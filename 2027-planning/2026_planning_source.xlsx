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gsharkey\Desktop\MY PROJECTS\"/>
    </mc:Choice>
  </mc:AlternateContent>
  <xr:revisionPtr revIDLastSave="0" documentId="13_ncr:1_{7DE1C01F-E27A-4EE5-9B40-EE9D06879AC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 Planning by Brand" sheetId="5" r:id="rId1"/>
    <sheet name="2026 Planning by Sub-Segment" sheetId="8" r:id="rId2"/>
    <sheet name="2025 Finish (ACTUAL)" sheetId="9" r:id="rId3"/>
    <sheet name="Brand Managers" sheetId="10" r:id="rId4"/>
    <sheet name="DATA - 2025 Review" sheetId="1" r:id="rId5"/>
    <sheet name="DATA - Segments" sheetId="6" r:id="rId6"/>
    <sheet name="2025 Goal Data" sheetId="4" state="hidden" r:id="rId7"/>
  </sheets>
  <externalReferences>
    <externalReference r:id="rId8"/>
  </externalReferences>
  <definedNames>
    <definedName name="_xlnm._FilterDatabase" localSheetId="0" hidden="1">'2026 Planning by Brand'!$A$1:$P$473</definedName>
    <definedName name="_xlnm._FilterDatabase" localSheetId="1">'2026 Planning by Sub-Segment'!$B$6:$I$32</definedName>
    <definedName name="_xlnm._FilterDatabase" localSheetId="4" hidden="1">'DATA - 2025 Review'!$A$1:$R$462</definedName>
    <definedName name="Action" comment="0" localSheetId="4" hidden="1">""</definedName>
    <definedName name="ActionC0" comment="Q3Jvc3NUYWI=" localSheetId="4" hidden="1">""</definedName>
    <definedName name="BaseQuery" comment="0" localSheetId="4" hidden="1">""</definedName>
    <definedName name="BaseQueryC0" comment="U2FsZXM=" localSheetId="4" hidden="1">""</definedName>
    <definedName name="CellActionA10" comment="0" localSheetId="4" hidden="1">""</definedName>
    <definedName name="CellActionA100" comment="0" localSheetId="4" hidden="1">""</definedName>
    <definedName name="CellActionA100C0" comment="U2hvd0RyaWxsRG93bignUGFic3QgQnJld2luZyBDb21wYW55JywgJ1NjaGxpdHogTWFsdFx0UGFic3QgQnJld2luZyBDb21wYW55JywgJycsdGhpcyk7" localSheetId="4" hidden="1">""</definedName>
    <definedName name="CellActionA101" comment="0" localSheetId="4" hidden="1">""</definedName>
    <definedName name="CellActionA101C0" comment="U2hvd0RyaWxsRG93bignUGFic3QgQnJld2luZyBDb21wYW55JywgJ0JhbGxhbnRpbmUgQWxlXHRQYWJzdCBCcmV3aW5nIENvbXBhbnknLCAnJyx0aGlzKTs=" localSheetId="4" hidden="1">""</definedName>
    <definedName name="CellActionA102" comment="0" localSheetId="4" hidden="1">""</definedName>
    <definedName name="CellActionA102C0" comment="U2hvd0RyaWxsRG93bignUGFic3QgQnJld2luZyBDb21wYW55JywgJ1NjaGFlZmVyXHRQYWJzdCBCcmV3aW5nIENvbXBhbnknLCAnJyx0aGlzKTs=" localSheetId="4" hidden="1">""</definedName>
    <definedName name="CellActionA103" comment="0" localSheetId="4" hidden="1">""</definedName>
    <definedName name="CellActionA103C0" comment="U2hvd0RyaWxsRG93bignUGFic3QgQnJld2luZyBDb21wYW55JywgJ0NvdW50cnkgQ2x1Ylx0UGFic3QgQnJld2luZyBDb21wYW55JywgJycsdGhpcyk7" localSheetId="4" hidden="1">""</definedName>
    <definedName name="CellActionA104" comment="0" localSheetId="4" hidden="1">""</definedName>
    <definedName name="CellActionA104C0" comment="U2hvd0RyaWxsRG93bignUGFic3QgQnJld2luZyBDb21wYW55JywgJ1NtYWxsIFRvd25cdFBhYnN0IEJyZXdpbmcgQ29tcGFueScsICcnLHRoaXMpOw==" localSheetId="4" hidden="1">""</definedName>
    <definedName name="CellActionA105" comment="0" localSheetId="4" hidden="1">""</definedName>
    <definedName name="CellActionA105C0" comment="U2hvd0RyaWxsRG93bignUGFic3QgQnJld2luZyBDb21wYW55JywgJ05ldyBIb2xsYW5kIEJyZXdpbmcgQ29cdFBhYnN0IEJyZXdpbmcgQ29tcGFueScsICcnLHRoaXMpOw==" localSheetId="4" hidden="1">""</definedName>
    <definedName name="CellActionA106" comment="0" localSheetId="4" hidden="1">""</definedName>
    <definedName name="CellActionA106C0" comment="U2hvd0RyaWxsRG93bignUGFic3QgQnJld2luZyBDb21wYW55JywgJ0xvbmUgU3Rhclx0UGFic3QgQnJld2luZyBDb21wYW55JywgJycsdGhpcyk7" localSheetId="4" hidden="1">""</definedName>
    <definedName name="CellActionA107" comment="0" localSheetId="4" hidden="1">""</definedName>
    <definedName name="CellActionA107C0" comment="U2hvd0RyaWxsRG93bignUGFic3QgQnJld2luZyBDb21wYW55JywgJ0VMIEppbWFkb3JcdFBhYnN0IEJyZXdpbmcgQ29tcGFueScsICcnLHRoaXMpOw==" localSheetId="4" hidden="1">""</definedName>
    <definedName name="CellActionA108" comment="0" localSheetId="4" hidden="1">""</definedName>
    <definedName name="CellActionA108C0" comment="U2hvd0RyaWxsRG93bignREcgWXVlbmdsaW5nIEluYycsICcnLCAnJyx0aGlzKTs=" localSheetId="4" hidden="1">""</definedName>
    <definedName name="CellActionA109" comment="0" localSheetId="4" hidden="1">""</definedName>
    <definedName name="CellActionA109C0" comment="U2hvd0RyaWxsRG93bignREcgWXVlbmdsaW5nIEluYycsICdZdWVuZ2xpbmcgTGFnZXJcdERHIFl1ZW5nbGluZyBJbmMnLCAnJyx0aGlzKTs=" localSheetId="4" hidden="1">""</definedName>
    <definedName name="CellActionA10C0" comment="U2hvd0RyaWxsRG93bignQ29uc3RlbGxhdGlvbiBCcmFuZHMnLCAnQ29yb25hIFByZW1pZXJcdENvbnN0ZWxsYXRpb24gQnJhbmRzJywgJycsdGhpcyk7" localSheetId="4" hidden="1">""</definedName>
    <definedName name="CellActionA11" comment="0" localSheetId="4" hidden="1">""</definedName>
    <definedName name="CellActionA110" comment="0" localSheetId="4" hidden="1">""</definedName>
    <definedName name="CellActionA110C0" comment="U2hvd0RyaWxsRG93bignREcgWXVlbmdsaW5nIEluYycsICdZdWVuZ2xpbmcgTGlnaHQgTGFnZXJcdERHIFl1ZW5nbGluZyBJbmMnLCAnJyx0aGlzKTs=" localSheetId="4" hidden="1">""</definedName>
    <definedName name="CellActionA111" comment="0" localSheetId="4" hidden="1">""</definedName>
    <definedName name="CellActionA111C0" comment="U2hvd0RyaWxsRG93bignREcgWXVlbmdsaW5nIEluYycsICdZdWVuZ2xpbmcgRmxpZ2h0XHRERyBZdWVuZ2xpbmcgSW5jJywgJycsdGhpcyk7" localSheetId="4" hidden="1">""</definedName>
    <definedName name="CellActionA112" comment="0" localSheetId="4" hidden="1">""</definedName>
    <definedName name="CellActionA112C0" comment="U2hvd0RyaWxsRG93bignREcgWXVlbmdsaW5nIEluYycsICdZdWVuZ2xpbmcgQmxhY2sgXHUwMDI2IFRhblx0REcgWXVlbmdsaW5nIEluYycsICcnLHRoaXMpOw==" localSheetId="4" hidden="1">""</definedName>
    <definedName name="CellActionA113" comment="0" localSheetId="4" hidden="1">""</definedName>
    <definedName name="CellActionA113C0" comment="U2hvd0RyaWxsRG93bignREcgWXVlbmdsaW5nIEluYycsICdZdWVuZ2xpbmcgUHJlbWl1bVx0REcgWXVlbmdsaW5nIEluYycsICcnLHRoaXMpOw==" localSheetId="4" hidden="1">""</definedName>
    <definedName name="CellActionA114" comment="0" localSheetId="4" hidden="1">""</definedName>
    <definedName name="CellActionA114C0" comment="U2hvd0RyaWxsRG93bignREcgWXVlbmdsaW5nIEluYycsICdZdWVuZ2xpbmcgR29sZGVuIFBpbHNuZXJcdERHIFl1ZW5nbGluZyBJbmMnLCAnJyx0aGlzKTs=" localSheetId="4" hidden="1">""</definedName>
    <definedName name="CellActionA115" comment="0" localSheetId="4" hidden="1">""</definedName>
    <definedName name="CellActionA115C0" comment="U2hvd0RyaWxsRG93bignREcgWXVlbmdsaW5nIEluYycsICdZdWVuZ2xpbmcgUHJlbWl1bSBMaWdodFx0REcgWXVlbmdsaW5nIEluYycsICcnLHRoaXMpOw==" localSheetId="4" hidden="1">""</definedName>
    <definedName name="CellActionA116" comment="0" localSheetId="4" hidden="1">""</definedName>
    <definedName name="CellActionA116C0" comment="U2hvd0RyaWxsRG93bignREcgWXVlbmdsaW5nIEluYycsICdZdWVuZ2xpbmcgT2t0b2JlcmZlc3RcdERHIFl1ZW5nbGluZyBJbmMnLCAnJyx0aGlzKTs=" localSheetId="4" hidden="1">""</definedName>
    <definedName name="CellActionA117" comment="0" localSheetId="4" hidden="1">""</definedName>
    <definedName name="CellActionA117C0" comment="U2hvd0RyaWxsRG93bignREcgWXVlbmdsaW5nIEluYycsICdZdWVuZ2xpbmcgSGVyc2hleVx1MDAyN3MgQ2hvY29sYXRlIFBvcnRlclx0REcgWXVlbmdsaW5nIEluYycsICcnLHRoaXMpOw==" localSheetId="4" hidden="1">""</definedName>
    <definedName name="CellActionA118" comment="0" localSheetId="4" hidden="1">""</definedName>
    <definedName name="CellActionA118C0" comment="U2hvd0RyaWxsRG93bignREcgWXVlbmdsaW5nIEluYycsICdZdWVuZ2xpbmcgQm9uZ28gRml6elx0REcgWXVlbmdsaW5nIEluYycsICcnLHRoaXMpOw==" localSheetId="4" hidden="1">""</definedName>
    <definedName name="CellActionA119" comment="0" localSheetId="4" hidden="1">""</definedName>
    <definedName name="CellActionA119C0" comment="U2hvd0RyaWxsRG93bignREcgWXVlbmdsaW5nIEluYycsICdEZyBZdWVuZ2xpbmcgSW5jXHRERyBZdWVuZ2xpbmcgSW5jJywgJycsdGhpcyk7" localSheetId="4" hidden="1">""</definedName>
    <definedName name="CellActionA11C0" comment="U2hvd0RyaWxsRG93bignQ29uc3RlbGxhdGlvbiBCcmFuZHMnLCAnUGFjaWZpY29cdENvbnN0ZWxsYXRpb24gQnJhbmRzJywgJycsdGhpcyk7" localSheetId="4" hidden="1">""</definedName>
    <definedName name="CellActionA12" comment="0" localSheetId="4" hidden="1">""</definedName>
    <definedName name="CellActionA120" comment="0" localSheetId="4" hidden="1">""</definedName>
    <definedName name="CellActionA120C0" comment="U2hvd0RyaWxsRG93bignU2FwcG9ybycsICcnLCAnJyx0aGlzKTs=" localSheetId="4" hidden="1">""</definedName>
    <definedName name="CellActionA121" comment="0" localSheetId="4" hidden="1">""</definedName>
    <definedName name="CellActionA121C0" comment="U2hvd0RyaWxsRG93bignU2FwcG9ybycsICdTYXBwb3JvXHRTYXBwb3JvJywgJycsdGhpcyk7" localSheetId="4" hidden="1">""</definedName>
    <definedName name="CellActionA122" comment="0" localSheetId="4" hidden="1">""</definedName>
    <definedName name="CellActionA122C0" comment="U2hvd0RyaWxsRG93bignTmV3IEJlbGdpdW0gQnJld2luZyBDb21wYW55JywgJycsICcnLHRoaXMpOw==" localSheetId="4" hidden="1">""</definedName>
    <definedName name="CellActionA123" comment="0" localSheetId="4" hidden="1">""</definedName>
    <definedName name="CellActionA123C0" comment="U2hvd0RyaWxsRG93bignTmV3IEJlbGdpdW0gQnJld2luZyBDb21wYW55JywgJ1Zvb2RvbyBGYW1pbHlcdE5ldyBCZWxnaXVtIEJyZXdpbmcgQ29tcGFueScsICcnLHRoaXMpOw==" localSheetId="4" hidden="1">""</definedName>
    <definedName name="CellActionA124" comment="0" localSheetId="4" hidden="1">""</definedName>
    <definedName name="CellActionA124C0" comment="U2hvd0RyaWxsRG93bignTmV3IEJlbGdpdW0gQnJld2luZyBDb21wYW55JywgJ0ZhdCBUaXJlIEZhbWlseVx0TmV3IEJlbGdpdW0gQnJld2luZyBDb21wYW55JywgJycsdGhpcyk7" localSheetId="4" hidden="1">""</definedName>
    <definedName name="CellActionA125" comment="0" localSheetId="4" hidden="1">""</definedName>
    <definedName name="CellActionA125C0" comment="U2hvd0RyaWxsRG93bignTmV3IEJlbGdpdW0gQnJld2luZyBDb21wYW55JywgJ05ldyBCZWxnaXVtIEJyZXdpbmcgQ29tcGFueVx0TmV3IEJlbGdpdW0gQnJld2luZyBDb21wYW55JywgJycsdGhpcyk7" localSheetId="4" hidden="1">""</definedName>
    <definedName name="CellActionA126" comment="0" localSheetId="4" hidden="1">""</definedName>
    <definedName name="CellActionA126C0" comment="U2hvd0RyaWxsRG93bignTmV3IEJlbGdpdW0gQnJld2luZyBDb21wYW55JywgJ1Zvb2RvbyBIYXJkY2hhcmdlZFx0TmV3IEJlbGdpdW0gQnJld2luZyBDb21wYW55JywgJycsdGhpcyk7" localSheetId="4" hidden="1">""</definedName>
    <definedName name="CellActionA127" comment="0" localSheetId="4" hidden="1">""</definedName>
    <definedName name="CellActionA127C0" comment="U2hvd0RyaWxsRG93bignTmV3IEJlbGdpdW0gQnJld2luZyBDb21wYW55JywgJ0xpZ2h0c3RyaWtlXHROZXcgQmVsZ2l1bSBCcmV3aW5nIENvbXBhbnknLCAnJyx0aGlzKTs=" localSheetId="4" hidden="1">""</definedName>
    <definedName name="CellActionA128" comment="0" localSheetId="4" hidden="1">""</definedName>
    <definedName name="CellActionA128C0" comment="U2hvd0RyaWxsRG93bignTmV3IEJlbGdpdW0gQnJld2luZyBDb21wYW55JywgJ0tpcmluIExpZ2h0XHROZXcgQmVsZ2l1bSBCcmV3aW5nIENvbXBhbnknLCAnJyx0aGlzKTs=" localSheetId="4" hidden="1">""</definedName>
    <definedName name="CellActionA129" comment="0" localSheetId="4" hidden="1">""</definedName>
    <definedName name="CellActionA129C0" comment="U2hvd0RyaWxsRG93bignTmV3IEJlbGdpdW0gQnJld2luZyBDb21wYW55JywgJ0tpcmluIEljaGliYW5cdE5ldyBCZWxnaXVtIEJyZXdpbmcgQ29tcGFueScsICcnLHRoaXMpOw==" localSheetId="4" hidden="1">""</definedName>
    <definedName name="CellActionA12C0" comment="U2hvd0RyaWxsRG93bignQ29uc3RlbGxhdGlvbiBCcmFuZHMnLCAnTW9kZWxvIE5lZ3JhXHRDb25zdGVsbGF0aW9uIEJyYW5kcycsICcnLHRoaXMpOw==" localSheetId="4" hidden="1">""</definedName>
    <definedName name="CellActionA13" comment="0" localSheetId="4" hidden="1">""</definedName>
    <definedName name="CellActionA130" comment="0" localSheetId="4" hidden="1">""</definedName>
    <definedName name="CellActionA130C0" comment="U2hvd0RyaWxsRG93bignU2llcnJhIE5ldmFkYSBCcmV3aW5nIENvbXBhbnknLCAnJywgJycsdGhpcyk7" localSheetId="4" hidden="1">""</definedName>
    <definedName name="CellActionA131" comment="0" localSheetId="4" hidden="1">""</definedName>
    <definedName name="CellActionA131C0" comment="U2hvd0RyaWxsRG93bignU2llcnJhIE5ldmFkYSBCcmV3aW5nIENvbXBhbnknLCAnU2llcnJhIE5ldmFkYVx0U2llcnJhIE5ldmFkYSBCcmV3aW5nIENvbXBhbnknLCAnJyx0aGlzKTs=" localSheetId="4" hidden="1">""</definedName>
    <definedName name="CellActionA132" comment="0" localSheetId="4" hidden="1">""</definedName>
    <definedName name="CellActionA132C0" comment="U2hvd0RyaWxsRG93bignU2llcnJhIE5ldmFkYSBCcmV3aW5nIENvbXBhbnknLCAnU3RyYWluZ2UgQmVhc3RcdFNpZXJyYSBOZXZhZGEgQnJld2luZyBDb21wYW55JywgJycsdGhpcyk7" localSheetId="4" hidden="1">""</definedName>
    <definedName name="CellActionA133" comment="0" localSheetId="4" hidden="1">""</definedName>
    <definedName name="CellActionA133C0" comment="U2hvd0RyaWxsRG93bignVG90YWwgQmV2ZXJhZ2UgU29sdXRpb25zJywgJycsICcnLHRoaXMpOw==" localSheetId="4" hidden="1">""</definedName>
    <definedName name="CellActionA134" comment="0" localSheetId="4" hidden="1">""</definedName>
    <definedName name="CellActionA134C0" comment="U2hvd0RyaWxsRG93bignVG90YWwgQmV2ZXJhZ2UgU29sdXRpb25zJywgJ0NhcmliXHRUb3RhbCBCZXZlcmFnZSBTb2x1dGlvbnMnLCAnJyx0aGlzKTs=" localSheetId="4" hidden="1">""</definedName>
    <definedName name="CellActionA135" comment="0" localSheetId="4" hidden="1">""</definedName>
    <definedName name="CellActionA135C0" comment="U2hvd0RyaWxsRG93bignVG90YWwgQmV2ZXJhZ2UgU29sdXRpb25zJywgJ01hZ25lcnNcdFRvdGFsIEJldmVyYWdlIFNvbHV0aW9ucycsICcnLHRoaXMpOw==" localSheetId="4" hidden="1">""</definedName>
    <definedName name="CellActionA136" comment="0" localSheetId="4" hidden="1">""</definedName>
    <definedName name="CellActionA136C0" comment="U2hvd0RyaWxsRG93bignVG90YWwgQmV2ZXJhZ2UgU29sdXRpb25zJywgJ1dlaWhlbnN0ZXBoYW5lclx0VG90YWwgQmV2ZXJhZ2UgU29sdXRpb25zJywgJycsdGhpcyk7" localSheetId="4" hidden="1">""</definedName>
    <definedName name="CellActionA137" comment="0" localSheetId="4" hidden="1">""</definedName>
    <definedName name="CellActionA137C0" comment="U2hvd0RyaWxsRG93bignVG90YWwgQmV2ZXJhZ2UgU29sdXRpb25zJywgJ01hY2tlc29uXHRUb3RhbCBCZXZlcmFnZSBTb2x1dGlvbnMnLCAnJyx0aGlzKTs=" localSheetId="4" hidden="1">""</definedName>
    <definedName name="CellActionA138" comment="0" localSheetId="4" hidden="1">""</definedName>
    <definedName name="CellActionA138C0" comment="U2hvd0RyaWxsRG93bignVG90YWwgQmV2ZXJhZ2UgU29sdXRpb25zJywgJ1Jla29yZGVybGlnXHRUb3RhbCBCZXZlcmFnZSBTb2x1dGlvbnMnLCAnJyx0aGlzKTs=" localSheetId="4" hidden="1">""</definedName>
    <definedName name="CellActionA139" comment="0" localSheetId="4" hidden="1">""</definedName>
    <definedName name="CellActionA139C0" comment="U2hvd0RyaWxsRG93bignVG90YWwgQmV2ZXJhZ2UgU29sdXRpb25zJywgJ0JhbmtzXHRUb3RhbCBCZXZlcmFnZSBTb2x1dGlvbnMnLCAnJyx0aGlzKTs=" localSheetId="4" hidden="1">""</definedName>
    <definedName name="CellActionA13C0" comment="U2hvd0RyaWxsRG93bignQ29uc3RlbGxhdGlvbiBCcmFuZHMnLCAnQ29yb25hIE5BXHRDb25zdGVsbGF0aW9uIEJyYW5kcycsICcnLHRoaXMpOw==" localSheetId="4" hidden="1">""</definedName>
    <definedName name="CellActionA14" comment="0" localSheetId="4" hidden="1">""</definedName>
    <definedName name="CellActionA140" comment="0" localSheetId="4" hidden="1">""</definedName>
    <definedName name="CellActionA140C0" comment="U2hvd0RyaWxsRG93bignVG90YWwgQmV2ZXJhZ2UgU29sdXRpb25zJywgJ1NoaXB5YXJkXHRUb3RhbCBCZXZlcmFnZSBTb2x1dGlvbnMnLCAnJyx0aGlzKTs=" localSheetId="4" hidden="1">""</definedName>
    <definedName name="CellActionA141" comment="0" localSheetId="4" hidden="1">""</definedName>
    <definedName name="CellActionA141C0" comment="U2hvd0RyaWxsRG93bignRlggTWF0dCcsICcnLCAnJyx0aGlzKTs=" localSheetId="4" hidden="1">""</definedName>
    <definedName name="CellActionA142" comment="0" localSheetId="4" hidden="1">""</definedName>
    <definedName name="CellActionA142C0" comment="U2hvd0RyaWxsRG93bignRlggTWF0dCcsICdGbHlpbmcgRG9nIEJyZXdpbmcgQ29cdEZYIE1hdHQnLCAnJyx0aGlzKTs=" localSheetId="4" hidden="1">""</definedName>
    <definedName name="CellActionA143" comment="0" localSheetId="4" hidden="1">""</definedName>
    <definedName name="CellActionA143C0" comment="U2hvd0RyaWxsRG93bignRlggTWF0dCcsICdTYXJhbmFjXHRGWCBNYXR0JywgJycsdGhpcyk7" localSheetId="4" hidden="1">""</definedName>
    <definedName name="CellActionA144" comment="0" localSheetId="4" hidden="1">""</definedName>
    <definedName name="CellActionA144C0" comment="U2hvd0RyaWxsRG93bignRlggTWF0dCcsICdGcmlkYXkgQmVlcnNcdEZYIE1hdHQnLCAnJyx0aGlzKTs=" localSheetId="4" hidden="1">""</definedName>
    <definedName name="CellActionA145" comment="0" localSheetId="4" hidden="1">""</definedName>
    <definedName name="CellActionA145C0" comment="U2hvd0RyaWxsRG93bignRlggTWF0dCcsICdLaW5nZmlzaGVyIFByZW1pdW1cdEZYIE1hdHQnLCAnJyx0aGlzKTs=" localSheetId="4" hidden="1">""</definedName>
    <definedName name="CellActionA146" comment="0" localSheetId="4" hidden="1">""</definedName>
    <definedName name="CellActionA146C0" comment="U2hvd0RyaWxsRG93bignRlggTWF0dCcsICdNY2tlbnppZVx1MDAyN3NcdEZYIE1hdHQnLCAnJyx0aGlzKTs=" localSheetId="4" hidden="1">""</definedName>
    <definedName name="CellActionA147" comment="0" localSheetId="4" hidden="1">""</definedName>
    <definedName name="CellActionA147C0" comment="U2hvd0RyaWxsRG93bignRlggTWF0dCcsICdSaWdodCBDb2FzdFx0RlggTWF0dCcsICcnLHRoaXMpOw==" localSheetId="4" hidden="1">""</definedName>
    <definedName name="CellActionA148" comment="0" localSheetId="4" hidden="1">""</definedName>
    <definedName name="CellActionA148C0" comment="U2hvd0RyaWxsRG93bignRmFtb3NhJywgJycsICcnLHRoaXMpOw==" localSheetId="4" hidden="1">""</definedName>
    <definedName name="CellActionA149" comment="0" localSheetId="4" hidden="1">""</definedName>
    <definedName name="CellActionA149C0" comment="U2hvd0RyaWxsRG93bignRmFtb3NhJywgJ0ZhbW9zYVx0RmFtb3NhJywgJycsdGhpcyk7" localSheetId="4" hidden="1">""</definedName>
    <definedName name="CellActionA14C0" comment="U2hvd0RyaWxsRG93bignQ29uc3RlbGxhdGlvbiBCcmFuZHMnLCAnTW9kZWxvIE9yb1x0Q29uc3RlbGxhdGlvbiBCcmFuZHMnLCAnJyx0aGlzKTs=" localSheetId="4" hidden="1">""</definedName>
    <definedName name="CellActionA15" comment="0" localSheetId="4" hidden="1">""</definedName>
    <definedName name="CellActionA150" comment="0" localSheetId="4" hidden="1">""</definedName>
    <definedName name="CellActionA150C0" comment="U2hvd0RyaWxsRG93bignRmFtb3NhJywgJ01vbnRlIENhcmxvXHRGYW1vc2EnLCAnJyx0aGlzKTs=" localSheetId="4" hidden="1">""</definedName>
    <definedName name="CellActionA151" comment="0" localSheetId="4" hidden="1">""</definedName>
    <definedName name="CellActionA151C0" comment="U2hvd0RyaWxsRG93bignUmFkZWJlcmdlciBVU0EnLCAnJywgJycsdGhpcyk7" localSheetId="4" hidden="1">""</definedName>
    <definedName name="CellActionA152" comment="0" localSheetId="4" hidden="1">""</definedName>
    <definedName name="CellActionA152C0" comment="U2hvd0RyaWxsRG93bignUmFkZWJlcmdlciBVU0EnLCAnRGFiXHRSYWRlYmVyZ2VyIFVTQScsICcnLHRoaXMpOw==" localSheetId="4" hidden="1">""</definedName>
    <definedName name="CellActionA153" comment="0" localSheetId="4" hidden="1">""</definedName>
    <definedName name="CellActionA153C0" comment="U2hvd0RyaWxsRG93bignUmFkZWJlcmdlciBVU0EnLCAnU2Nob2ZmZXJob2Zlclx0UmFkZWJlcmdlciBVU0EnLCAnJyx0aGlzKTs=" localSheetId="4" hidden="1">""</definedName>
    <definedName name="CellActionA154" comment="0" localSheetId="4" hidden="1">""</definedName>
    <definedName name="CellActionA154C0" comment="U2hvd0RyaWxsRG93bignUmFkZWJlcmdlciBVU0EnLCAnUmFkZWJlcmdlclx0UmFkZWJlcmdlciBVU0EnLCAnJyx0aGlzKTs=" localSheetId="4" hidden="1">""</definedName>
    <definedName name="CellActionA155" comment="0" localSheetId="4" hidden="1">""</definedName>
    <definedName name="CellActionA155C0" comment="U2hvd0RyaWxsRG93bignUmFkZWJlcmdlciBVU0EnLCAnQ2xhdXN0aGFsZXJcdFJhZGViZXJnZXIgVVNBJywgJycsdGhpcyk7" localSheetId="4" hidden="1">""</definedName>
    <definedName name="CellActionA156" comment="0" localSheetId="4" hidden="1">""</definedName>
    <definedName name="CellActionA156C0" comment="U2hvd0RyaWxsRG93bignTW9udGF1ayBCcmV3aW5nIENvJywgJycsICcnLHRoaXMpOw==" localSheetId="4" hidden="1">""</definedName>
    <definedName name="CellActionA157" comment="0" localSheetId="4" hidden="1">""</definedName>
    <definedName name="CellActionA157C0" comment="U2hvd0RyaWxsRG93bignTW9udGF1ayBCcmV3aW5nIENvJywgJ01vbnRhdWtcdE1vbnRhdWsgQnJld2luZyBDbycsICcnLHRoaXMpOw==" localSheetId="4" hidden="1">""</definedName>
    <definedName name="CellActionA158" comment="0" localSheetId="4" hidden="1">""</definedName>
    <definedName name="CellActionA158C0" comment="U2hvd0RyaWxsRG93bignQ2FwZSBNYXknLCAnJywgJycsdGhpcyk7" localSheetId="4" hidden="1">""</definedName>
    <definedName name="CellActionA159" comment="0" localSheetId="4" hidden="1">""</definedName>
    <definedName name="CellActionA159C0" comment="U2hvd0RyaWxsRG93bignQ2FwZSBNYXknLCAnQ2FwZSBNYXlcdENhcGUgTWF5JywgJycsdGhpcyk7" localSheetId="4" hidden="1">""</definedName>
    <definedName name="CellActionA15C0" comment="U2hvd0RyaWxsRG93bignQ29uc3RlbGxhdGlvbiBCcmFuZHMnLCAnQ29yb25hIFN1bmJyZXdcdENvbnN0ZWxsYXRpb24gQnJhbmRzJywgJycsdGhpcyk7" localSheetId="4" hidden="1">""</definedName>
    <definedName name="CellActionA16" comment="0" localSheetId="4" hidden="1">""</definedName>
    <definedName name="CellActionA160" comment="0" localSheetId="4" hidden="1">""</definedName>
    <definedName name="CellActionA160C0" comment="U2hvd0RyaWxsRG93bignVmljdG9yeSBCcmV3aW5nIENvbXBhbnknLCAnJywgJycsdGhpcyk7" localSheetId="4" hidden="1">""</definedName>
    <definedName name="CellActionA161" comment="0" localSheetId="4" hidden="1">""</definedName>
    <definedName name="CellActionA161C0" comment="U2hvd0RyaWxsRG93bignVmljdG9yeSBCcmV3aW5nIENvbXBhbnknLCAnTW9ua2V5IEZhbWlseVx0VmljdG9yeSBCcmV3aW5nIENvbXBhbnknLCAnJyx0aGlzKTs=" localSheetId="4" hidden="1">""</definedName>
    <definedName name="CellActionA162" comment="0" localSheetId="4" hidden="1">""</definedName>
    <definedName name="CellActionA162C0" comment="U2hvd0RyaWxsRG93bignVmljdG9yeSBCcmV3aW5nIENvbXBhbnknLCAnVmljdG9yeVx0VmljdG9yeSBCcmV3aW5nIENvbXBhbnknLCAnJyx0aGlzKTs=" localSheetId="4" hidden="1">""</definedName>
    <definedName name="CellActionA163" comment="0" localSheetId="4" hidden="1">""</definedName>
    <definedName name="CellActionA163C0" comment="U2hvd0RyaWxsRG93bignTGFndW5pdGFzIEJyZXdpbmcgQ28nLCAnJywgJycsdGhpcyk7" localSheetId="4" hidden="1">""</definedName>
    <definedName name="CellActionA164" comment="0" localSheetId="4" hidden="1">""</definedName>
    <definedName name="CellActionA164C0" comment="U2hvd0RyaWxsRG93bignTGFndW5pdGFzIEJyZXdpbmcgQ28nLCAnTGFndW5pdGFzXHRMYWd1bml0YXMgQnJld2luZyBDbycsICcnLHRoaXMpOw==" localSheetId="4" hidden="1">""</definedName>
    <definedName name="CellActionA165" comment="0" localSheetId="4" hidden="1">""</definedName>
    <definedName name="CellActionA165C0" comment="U2hvd0RyaWxsRG93bignTGFndW5pdGFzIEJyZXdpbmcgQ28nLCAnTGFndW5pdGFzIE5BXHRMYWd1bml0YXMgQnJld2luZyBDbycsICcnLHRoaXMpOw==" localSheetId="4" hidden="1">""</definedName>
    <definedName name="CellActionA166" comment="0" localSheetId="4" hidden="1">""</definedName>
    <definedName name="CellActionA166C0" comment="U2hvd0RyaWxsRG93bignU2l4cG9pbnQgQnJld2luZycsICcnLCAnJyx0aGlzKTs=" localSheetId="4" hidden="1">""</definedName>
    <definedName name="CellActionA167" comment="0" localSheetId="4" hidden="1">""</definedName>
    <definedName name="CellActionA167C0" comment="U2hvd0RyaWxsRG93bignU2l4cG9pbnQgQnJld2luZycsICdTaXhwb2ludFx0U2l4cG9pbnQgQnJld2luZycsICcnLHRoaXMpOw==" localSheetId="4" hidden="1">""</definedName>
    <definedName name="CellActionA168" comment="0" localSheetId="4" hidden="1">""</definedName>
    <definedName name="CellActionA168C0" comment="U2hvd0RyaWxsRG93bignU3RvbmUgQnJld2luZycsICcnLCAnJyx0aGlzKTs=" localSheetId="4" hidden="1">""</definedName>
    <definedName name="CellActionA169" comment="0" localSheetId="4" hidden="1">""</definedName>
    <definedName name="CellActionA169C0" comment="U2hvd0RyaWxsRG93bignU3RvbmUgQnJld2luZycsICdTdG9uZSBCcmV3aW5nXHRTdG9uZSBCcmV3aW5nJywgJycsdGhpcyk7" localSheetId="4" hidden="1">""</definedName>
    <definedName name="CellActionA16C0" comment="U2hvd0RyaWxsRG93bignQ29uc3RlbGxhdGlvbiBCcmFuZHMnLCAnQ29yb25hIFJlZnJlc2NhXHRDb25zdGVsbGF0aW9uIEJyYW5kcycsICcnLHRoaXMpOw==" localSheetId="4" hidden="1">""</definedName>
    <definedName name="CellActionA17" comment="0" localSheetId="4" hidden="1">""</definedName>
    <definedName name="CellActionA170" comment="0" localSheetId="4" hidden="1">""</definedName>
    <definedName name="CellActionA170C0" comment="U2hvd0RyaWxsRG93bignU3RvbmUgQnJld2luZycsICdTdG9uZSBQcmVtaXVtIFx1MDAyNiBTbW9vdGggQmVlciBDb1x0U3RvbmUgQnJld2luZycsICcnLHRoaXMpOw==" localSheetId="4" hidden="1">""</definedName>
    <definedName name="CellActionA171" comment="0" localSheetId="4" hidden="1">""</definedName>
    <definedName name="CellActionA171C0" comment="U2hvd0RyaWxsRG93bignVVMgQmV2ZXJhZ2UnLCAnJywgJycsdGhpcyk7" localSheetId="4" hidden="1">""</definedName>
    <definedName name="CellActionA172" comment="0" localSheetId="4" hidden="1">""</definedName>
    <definedName name="CellActionA172C0" comment="U2hvd0RyaWxsRG93bignVVMgQmV2ZXJhZ2UnLCAnRHJhZ29uIFN0b3V0XHRVUyBCZXZlcmFnZScsICcnLHRoaXMpOw==" localSheetId="4" hidden="1">""</definedName>
    <definedName name="CellActionA173" comment="0" localSheetId="4" hidden="1">""</definedName>
    <definedName name="CellActionA173C0" comment="U2hvd0RyaWxsRG93bignVVMgQmV2ZXJhZ2UnLCAnTW9vc2VoZWFkXHRVUyBCZXZlcmFnZScsICcnLHRoaXMpOw==" localSheetId="4" hidden="1">""</definedName>
    <definedName name="CellActionA174" comment="0" localSheetId="4" hidden="1">""</definedName>
    <definedName name="CellActionA174C0" comment="U2hvd0RyaWxsRG93bignVVMgQmV2ZXJhZ2UnLCAnQmlycmEgTW9yZXR0aVx0VVMgQmV2ZXJhZ2UnLCAnJyx0aGlzKTs=" localSheetId="4" hidden="1">""</definedName>
    <definedName name="CellActionA175" comment="0" localSheetId="4" hidden="1">""</definedName>
    <definedName name="CellActionA175C0" comment="U2hvd0RyaWxsRG93bignVVMgQmV2ZXJhZ2UnLCAnRXN0cmVsbGFcdFVTIEJldmVyYWdlJywgJycsdGhpcyk7" localSheetId="4" hidden="1">""</definedName>
    <definedName name="CellActionA176" comment="0" localSheetId="4" hidden="1">""</definedName>
    <definedName name="CellActionA176C0" comment="U2hvd0RyaWxsRG93bignVVMgQmV2ZXJhZ2UnLCAnRGF1cmFcdFVTIEJldmVyYWdlJywgJycsdGhpcyk7" localSheetId="4" hidden="1">""</definedName>
    <definedName name="CellActionA177" comment="0" localSheetId="4" hidden="1">""</definedName>
    <definedName name="CellActionA177C0" comment="U2hvd0RyaWxsRG93bignVVMgQmV2ZXJhZ2UnLCAnQ3plY2h2YXJcdFVTIEJldmVyYWdlJywgJycsdGhpcyk7" localSheetId="4" hidden="1">""</definedName>
    <definedName name="CellActionA178" comment="0" localSheetId="4" hidden="1">""</definedName>
    <definedName name="CellActionA178C0" comment="U2hvd0RyaWxsRG93bignVVMgQmV2ZXJhZ2UnLCAnTWFsaWJ1IFNwbGFzaFx0VVMgQmV2ZXJhZ2UnLCAnJyx0aGlzKTs=" localSheetId="4" hidden="1">""</definedName>
    <definedName name="CellActionA179" comment="0" localSheetId="4" hidden="1">""</definedName>
    <definedName name="CellActionA179C0" comment="U2hvd0RyaWxsRG93bignVVMgQmV2ZXJhZ2UnLCAnS3J1c292aWNlXHRVUyBCZXZlcmFnZScsICcnLHRoaXMpOw==" localSheetId="4" hidden="1">""</definedName>
    <definedName name="CellActionA17C0" comment="U2hvd0RyaWxsRG93bignQ29uc3RlbGxhdGlvbiBCcmFuZHMnLCAnTW9kZWxvIEFxdWFzIEZyZXNjYXNcdENvbnN0ZWxsYXRpb24gQnJhbmRzJywgJycsdGhpcyk7" localSheetId="4" hidden="1">""</definedName>
    <definedName name="CellActionA18" comment="0" localSheetId="4" hidden="1">""</definedName>
    <definedName name="CellActionA180" comment="0" localSheetId="4" hidden="1">""</definedName>
    <definedName name="CellActionA180C0" comment="U2hvd0RyaWxsRG93bignVVMgQmV2ZXJhZ2UnLCAnSW5uaXMgXHUwMDI2IEd1bm5cdFVTIEJldmVyYWdlJywgJycsdGhpcyk7" localSheetId="4" hidden="1">""</definedName>
    <definedName name="CellActionA181" comment="0" localSheetId="4" hidden="1">""</definedName>
    <definedName name="CellActionA181C0" comment="U2hvd0RyaWxsRG93bignVVMgQmV2ZXJhZ2UnLCAnVGFndXNcdFVTIEJldmVyYWdlJywgJycsdGhpcyk7" localSheetId="4" hidden="1">""</definedName>
    <definedName name="CellActionA182" comment="0" localSheetId="4" hidden="1">""</definedName>
    <definedName name="CellActionA182C0" comment="U2hvd0RyaWxsRG93bignVVMgQmV2ZXJhZ2UnLCAnU2FncmVzIENlcnZlamFcdFVTIEJldmVyYWdlJywgJycsdGhpcyk7" localSheetId="4" hidden="1">""</definedName>
    <definedName name="CellActionA183" comment="0" localSheetId="4" hidden="1">""</definedName>
    <definedName name="CellActionA183C0" comment="U2hvd0RyaWxsRG93bignVVMgQmV2ZXJhZ2UnLCAnRGV3ZXkgQ3J1c2hcdFVTIEJldmVyYWdlJywgJycsdGhpcyk7" localSheetId="4" hidden="1">""</definedName>
    <definedName name="CellActionA184" comment="0" localSheetId="4" hidden="1">""</definedName>
    <definedName name="CellActionA184C0" comment="U2hvd0RyaWxsRG93bignVVMgQmV2ZXJhZ2UnLCAnU3VwZXJpb3IgQ2VydmV6YVx0VVMgQmV2ZXJhZ2UnLCAnJyx0aGlzKTs=" localSheetId="4" hidden="1">""</definedName>
    <definedName name="CellActionA185" comment="0" localSheetId="4" hidden="1">""</definedName>
    <definedName name="CellActionA185C0" comment="U2hvd0RyaWxsRG93bignV2Fyd2ljayBWYWxsZXknLCAnJywgJycsdGhpcyk7" localSheetId="4" hidden="1">""</definedName>
    <definedName name="CellActionA186" comment="0" localSheetId="4" hidden="1">""</definedName>
    <definedName name="CellActionA186C0" comment="U2hvd0RyaWxsRG93bignV2Fyd2ljayBWYWxsZXknLCAnRG9jXHUwMDI3c1x0V2Fyd2ljayBWYWxsZXknLCAnJyx0aGlzKTs=" localSheetId="4" hidden="1">""</definedName>
    <definedName name="CellActionA187" comment="0" localSheetId="4" hidden="1">""</definedName>
    <definedName name="CellActionA187C0" comment="U2hvd0RyaWxsRG93bignV2Fyd2ljayBWYWxsZXknLCAnV2Fyd2ljayBHaW5cdFdhcndpY2sgVmFsbGV5JywgJycsdGhpcyk7" localSheetId="4" hidden="1">""</definedName>
    <definedName name="CellActionA188" comment="0" localSheetId="4" hidden="1">""</definedName>
    <definedName name="CellActionA188C0" comment="U2hvd0RyaWxsRG93bignV2Fyd2ljayBWYWxsZXknLCAnR2luIFBpZ1x0V2Fyd2ljayBWYWxsZXknLCAnJyx0aGlzKTs=" localSheetId="4" hidden="1">""</definedName>
    <definedName name="CellActionA189" comment="0" localSheetId="4" hidden="1">""</definedName>
    <definedName name="CellActionA189C0" comment="U2hvd0RyaWxsRG93bignRklGQ08nLCAnJywgJycsdGhpcyk7" localSheetId="4" hidden="1">""</definedName>
    <definedName name="CellActionA18C0" comment="U2hvd0RyaWxsRG93bignQ29uc3RlbGxhdGlvbiBCcmFuZHMnLCAnRnJlc2NhIE1peGVkXHRDb25zdGVsbGF0aW9uIEJyYW5kcycsICcnLHRoaXMpOw==" localSheetId="4" hidden="1">""</definedName>
    <definedName name="CellActionA19" comment="0" localSheetId="4" hidden="1">""</definedName>
    <definedName name="CellActionA190" comment="0" localSheetId="4" hidden="1">""</definedName>
    <definedName name="CellActionA190C0" comment="U2hvd0RyaWxsRG93bignRklGQ08nLCAnR2VuZXNlZVx0RklGQ08nLCAnJyx0aGlzKTs=" localSheetId="4" hidden="1">""</definedName>
    <definedName name="CellActionA191" comment="0" localSheetId="4" hidden="1">""</definedName>
    <definedName name="CellActionA191C0" comment="U2hvd0RyaWxsRG93bignRklGQ08nLCAnSW1wZXJpYWxcdEZJRkNPJywgJycsdGhpcyk7" localSheetId="4" hidden="1">""</definedName>
    <definedName name="CellActionA192" comment="0" localSheetId="4" hidden="1">""</definedName>
    <definedName name="CellActionA192C0" comment="U2hvd0RyaWxsRG93bignRklGQ08nLCAnSG9uZXkgQnJvd25cdEZJRkNPJywgJycsdGhpcyk7" localSheetId="4" hidden="1">""</definedName>
    <definedName name="CellActionA193" comment="0" localSheetId="4" hidden="1">""</definedName>
    <definedName name="CellActionA193C0" comment="U2hvd0RyaWxsRG93bignQXRobGV0aWMgQnJld2luZyBDb21wYW55JywgJycsICcnLHRoaXMpOw==" localSheetId="4" hidden="1">""</definedName>
    <definedName name="CellActionA194" comment="0" localSheetId="4" hidden="1">""</definedName>
    <definedName name="CellActionA194C0" comment="U2hvd0RyaWxsRG93bignQXRobGV0aWMgQnJld2luZyBDb21wYW55JywgJ0F0aGxldGljXHRBdGhsZXRpYyBCcmV3aW5nIENvbXBhbnknLCAnJyx0aGlzKTs=" localSheetId="4" hidden="1">""</definedName>
    <definedName name="CellActionA195" comment="0" localSheetId="4" hidden="1">""</definedName>
    <definedName name="CellActionA195C0" comment="U2hvd0RyaWxsRG93bignUGh1c2lvbiBQcm9qZWN0cycsICcnLCAnJyx0aGlzKTs=" localSheetId="4" hidden="1">""</definedName>
    <definedName name="CellActionA196" comment="0" localSheetId="4" hidden="1">""</definedName>
    <definedName name="CellActionA196C0" comment="U2hvd0RyaWxsRG93bignUGh1c2lvbiBQcm9qZWN0cycsICdGb3VyIExva29cdFBodXNpb24gUHJvamVjdHMnLCAnJyx0aGlzKTs=" localSheetId="4" hidden="1">""</definedName>
    <definedName name="CellActionA197" comment="0" localSheetId="4" hidden="1">""</definedName>
    <definedName name="CellActionA197C0" comment="U2hvd0RyaWxsRG93bignUGh1c2lvbiBQcm9qZWN0cycsICdFYXJ0aHF1YWtlXHRQaHVzaW9uIFByb2plY3RzJywgJycsdGhpcyk7" localSheetId="4" hidden="1">""</definedName>
    <definedName name="CellActionA198" comment="0" localSheetId="4" hidden="1">""</definedName>
    <definedName name="CellActionA198C0" comment="U2hvd0RyaWxsRG93bignUGh1c2lvbiBQcm9qZWN0cycsICdNYW1pdGFcdTAwMjdzXHRQaHVzaW9uIFByb2plY3RzJywgJycsdGhpcyk7" localSheetId="4" hidden="1">""</definedName>
    <definedName name="CellActionA199" comment="0" localSheetId="4" hidden="1">""</definedName>
    <definedName name="CellActionA199C0" comment="U2hvd0RyaWxsRG93bignUGh1c2lvbiBQcm9qZWN0cycsICdQaXJhdGUgV2F0ZXJcdFBodXNpb24gUHJvamVjdHMnLCAnJyx0aGlzKTs=" localSheetId="4" hidden="1">""</definedName>
    <definedName name="CellActionA19C0" comment="U2hvd0RyaWxsRG93bignQ29uc3RlbGxhdGlvbiBCcmFuZHMnLCAnVGhlIERyb3BcdENvbnN0ZWxsYXRpb24gQnJhbmRzJywgJycsdGhpcyk7" localSheetId="4" hidden="1">""</definedName>
    <definedName name="CellActionA20" comment="0" localSheetId="4" hidden="1">""</definedName>
    <definedName name="CellActionA200" comment="0" localSheetId="4" hidden="1">""</definedName>
    <definedName name="CellActionA200C0" comment="U2hvd0RyaWxsRG93bignUGh1c2lvbiBQcm9qZWN0cycsICdCYXNpY1x0UGh1c2lvbiBQcm9qZWN0cycsICcnLHRoaXMpOw==" localSheetId="4" hidden="1">""</definedName>
    <definedName name="CellActionA201" comment="0" localSheetId="4" hidden="1">""</definedName>
    <definedName name="CellActionA201C0" comment="U2hvd0RyaWxsRG93bignUGF1bGFuZXInLCAnJywgJycsdGhpcyk7" localSheetId="4" hidden="1">""</definedName>
    <definedName name="CellActionA202" comment="0" localSheetId="4" hidden="1">""</definedName>
    <definedName name="CellActionA202C0" comment="U2hvd0RyaWxsRG93bignUGF1bGFuZXInLCAnUGF1bGFuZXJcdFBhdWxhbmVyJywgJycsdGhpcyk7" localSheetId="4" hidden="1">""</definedName>
    <definedName name="CellActionA203" comment="0" localSheetId="4" hidden="1">""</definedName>
    <definedName name="CellActionA203C0" comment="U2hvd0RyaWxsRG93bignUGF1bGFuZXInLCAnVHNpbmd0YW9cdFBhdWxhbmVyJywgJycsdGhpcyk7" localSheetId="4" hidden="1">""</definedName>
    <definedName name="CellActionA204" comment="0" localSheetId="4" hidden="1">""</definedName>
    <definedName name="CellActionA204C0" comment="U2hvd0RyaWxsRG93bignUGF1bGFuZXInLCAnSGFja2VyLVBzY2hvcnJcdFBhdWxhbmVyJywgJycsdGhpcyk7" localSheetId="4" hidden="1">""</definedName>
    <definedName name="CellActionA205" comment="0" localSheetId="4" hidden="1">""</definedName>
    <definedName name="CellActionA205C0" comment="U2hvd0RyaWxsRG93bignUGF1bGFuZXInLCAnRnVsbGVyXHUwMDI3c1x0UGF1bGFuZXInLCAnJyx0aGlzKTs=" localSheetId="4" hidden="1">""</definedName>
    <definedName name="CellActionA206" comment="0" localSheetId="4" hidden="1">""</definedName>
    <definedName name="CellActionA206C0" comment="U2hvd0RyaWxsRG93bignUHJpZGUgXHUwMDI2IENsYXJrZScsICcnLCAnJyx0aGlzKTs=" localSheetId="4" hidden="1">""</definedName>
    <definedName name="CellActionA207" comment="0" localSheetId="4" hidden="1">""</definedName>
    <definedName name="CellActionA207C0" comment="U2hvd0RyaWxsRG93bignUHJpZGUgXHUwMDI2IENsYXJrZScsICdQcmlkZSBcdTAwMjYgQ2xhcmtlXHRQcmlkZSBcdTAwMjYgQ2xhcmtlJywgJycsdGhpcyk7" localSheetId="4" hidden="1">""</definedName>
    <definedName name="CellActionA208" comment="0" localSheetId="4" hidden="1">""</definedName>
    <definedName name="CellActionA208C0" comment="U2hvd0RyaWxsRG93bignSG9mYnJhdWhhdXMgVVNBJywgJycsICcnLHRoaXMpOw==" localSheetId="4" hidden="1">""</definedName>
    <definedName name="CellActionA209" comment="0" localSheetId="4" hidden="1">""</definedName>
    <definedName name="CellActionA209C0" comment="U2hvd0RyaWxsRG93bignSG9mYnJhdWhhdXMgVVNBJywgJ0hvZmJyYXUgVXNhXHRIb2ZicmF1aGF1cyBVU0EnLCAnJyx0aGlzKTs=" localSheetId="4" hidden="1">""</definedName>
    <definedName name="CellActionA20C0" comment="U2hvd0RyaWxsRG93bignQ29uc3RlbGxhdGlvbiBCcmFuZHMnLCAnQ29yb25hIFNlbHR6ZXJcdENvbnN0ZWxsYXRpb24gQnJhbmRzJywgJycsdGhpcyk7" localSheetId="4" hidden="1">""</definedName>
    <definedName name="CellActionA21" comment="0" localSheetId="4" hidden="1">""</definedName>
    <definedName name="CellActionA210" comment="0" localSheetId="4" hidden="1">""</definedName>
    <definedName name="CellActionA210C0" comment="U2hvd0RyaWxsRG93bignR2FyYWdlIEJlZXInLCAnJywgJycsdGhpcyk7" localSheetId="4" hidden="1">""</definedName>
    <definedName name="CellActionA211" comment="0" localSheetId="4" hidden="1">""</definedName>
    <definedName name="CellActionA211C0" comment="U2hvd0RyaWxsRG93bignR2FyYWdlIEJlZXInLCAnR2FyYWdlIEJlZXJcdEdhcmFnZSBCZWVyJywgJycsdGhpcyk7" localSheetId="4" hidden="1">""</definedName>
    <definedName name="CellActionA212" comment="0" localSheetId="4" hidden="1">""</definedName>
    <definedName name="CellActionA212C0" comment="U2hvd0RyaWxsRG93bignUmVkIEJ1bGwnLCAnJywgJycsdGhpcyk7" localSheetId="4" hidden="1">""</definedName>
    <definedName name="CellActionA213" comment="0" localSheetId="4" hidden="1">""</definedName>
    <definedName name="CellActionA213C0" comment="U2hvd0RyaWxsRG93bignUmVkIEJ1bGwnLCAnUmVkIEJ1bGxcdFJlZCBCdWxsJywgJycsdGhpcyk7" localSheetId="4" hidden="1">""</definedName>
    <definedName name="CellActionA214" comment="0" localSheetId="4" hidden="1">""</definedName>
    <definedName name="CellActionA214C0" comment="U2hvd0RyaWxsRG93bignQmVhayBcdTAwMjYgU2tpZmYnLCAnJywgJycsdGhpcyk7" localSheetId="4" hidden="1">""</definedName>
    <definedName name="CellActionA215" comment="0" localSheetId="4" hidden="1">""</definedName>
    <definedName name="CellActionA215C0" comment="U2hvd0RyaWxsRG93bignQmVhayBcdTAwMjYgU2tpZmYnLCAnMTkxMSBIYXJkIENpZGVyXHRCZWFrIFx1MDAyNiBTa2lmZicsICcnLHRoaXMpOw==" localSheetId="4" hidden="1">""</definedName>
    <definedName name="CellActionA216" comment="0" localSheetId="4" hidden="1">""</definedName>
    <definedName name="CellActionA216C0" comment="U2hvd0RyaWxsRG93bignQmVhayBcdTAwMjYgU2tpZmYnLCAnMTkxMSBTcGlyaXRzXHRCZWFrIFx1MDAyNiBTa2lmZicsICcnLHRoaXMpOw==" localSheetId="4" hidden="1">""</definedName>
    <definedName name="CellActionA217" comment="0" localSheetId="4" hidden="1">""</definedName>
    <definedName name="CellActionA217C0" comment="U2hvd0RyaWxsRG93bignU291dGhlcm4gVGllciBCcmV3aW5nIENvbXBhbnknLCAnJywgJycsdGhpcyk7" localSheetId="4" hidden="1">""</definedName>
    <definedName name="CellActionA218" comment="0" localSheetId="4" hidden="1">""</definedName>
    <definedName name="CellActionA218C0" comment="U2hvd0RyaWxsRG93bignU291dGhlcm4gVGllciBCcmV3aW5nIENvbXBhbnknLCAnU291dGhlcm4gVGllclx0U291dGhlcm4gVGllciBCcmV3aW5nIENvbXBhbnknLCAnJyx0aGlzKTs=" localSheetId="4" hidden="1">""</definedName>
    <definedName name="CellActionA219" comment="0" localSheetId="4" hidden="1">""</definedName>
    <definedName name="CellActionA219C0" comment="U2hvd0RyaWxsRG93bignTmFycmFnYW5zZXR0JywgJycsICcnLHRoaXMpOw==" localSheetId="4" hidden="1">""</definedName>
    <definedName name="CellActionA21C0" comment="U2hvd0RyaWxsRG93bignTW9sc29uQ29vcnMgQmV2ZXJhZ2UgQ29tcGFueScsICcnLCAnJyx0aGlzKTs=" localSheetId="4" hidden="1">""</definedName>
    <definedName name="CellActionA22" comment="0" localSheetId="4" hidden="1">""</definedName>
    <definedName name="CellActionA220" comment="0" localSheetId="4" hidden="1">""</definedName>
    <definedName name="CellActionA220C0" comment="U2hvd0RyaWxsRG93bignTmFycmFnYW5zZXR0JywgJ05hcnJhZ2Fuc2V0dFx0TmFycmFnYW5zZXR0JywgJycsdGhpcyk7" localSheetId="4" hidden="1">""</definedName>
    <definedName name="CellActionA221" comment="0" localSheetId="4" hidden="1">""</definedName>
    <definedName name="CellActionA221C0" comment="U2hvd0RyaWxsRG93bignTmFycmFnYW5zZXR0JywgJ0RlbFx1MDAyN3MgU2hhbmR5XHROYXJyYWdhbnNldHQnLCAnJyx0aGlzKTs=" localSheetId="4" hidden="1">""</definedName>
    <definedName name="CellActionA222" comment="0" localSheetId="4" hidden="1">""</definedName>
    <definedName name="CellActionA222C0" comment="U2hvd0RyaWxsRG93bignR3JlYXQgTGFrZXMnLCAnJywgJycsdGhpcyk7" localSheetId="4" hidden="1">""</definedName>
    <definedName name="CellActionA223" comment="0" localSheetId="4" hidden="1">""</definedName>
    <definedName name="CellActionA223C0" comment="U2hvd0RyaWxsRG93bignR3JlYXQgTGFrZXMnLCAnR3JlYXQgTGFrZXNcdEdyZWF0IExha2VzJywgJycsdGhpcyk7" localSheetId="4" hidden="1">""</definedName>
    <definedName name="CellActionA224" comment="0" localSheetId="4" hidden="1">""</definedName>
    <definedName name="CellActionA224C0" comment="U2hvd0RyaWxsRG93bignU2FyYXRvZ2EnLCAnJywgJycsdGhpcyk7" localSheetId="4" hidden="1">""</definedName>
    <definedName name="CellActionA225" comment="0" localSheetId="4" hidden="1">""</definedName>
    <definedName name="CellActionA225C0" comment="U2hvd0RyaWxsRG93bignU2FyYXRvZ2EnLCAnU2FyYXRvZ2FcdFNhcmF0b2dhJywgJycsdGhpcyk7" localSheetId="4" hidden="1">""</definedName>
    <definedName name="CellActionA226" comment="0" localSheetId="4" hidden="1">""</definedName>
    <definedName name="CellActionA226C0" comment="U2hvd0RyaWxsRG93bignVmluYWlvIEltcG9ydHMgTFREJywgJycsICcnLHRoaXMpOw==" localSheetId="4" hidden="1">""</definedName>
    <definedName name="CellActionA227" comment="0" localSheetId="4" hidden="1">""</definedName>
    <definedName name="CellActionA227C0" comment="U2hvd0RyaWxsRG93bignVmluYWlvIEltcG9ydHMgTFREJywgJ0NlcnZlemEgUmVwdWJsaWNhIExhIFR1eWEgNS4wIExhIER1cmFcdFZpbmFpbyBJbXBvcnRzIExURCcsICcnLHRoaXMpOw==" localSheetId="4" hidden="1">""</definedName>
    <definedName name="CellActionA228" comment="0" localSheetId="4" hidden="1">""</definedName>
    <definedName name="CellActionA228C0" comment="U2hvd0RyaWxsRG93bignVmluYWlvIEltcG9ydHMgTFREJywgJ0NlcnZlemEgUmVwdWJsaWNhIExBIFR1eWFcdFZpbmFpbyBJbXBvcnRzIExURCcsICcnLHRoaXMpOw==" localSheetId="4" hidden="1">""</definedName>
    <definedName name="CellActionA229" comment="0" localSheetId="4" hidden="1">""</definedName>
    <definedName name="CellActionA229C0" comment="U2hvd0RyaWxsRG93bignRm9vZCBcdTAwMjYgQmV2IEVudGVycHJpc2UgTExDJywgJycsICcnLHRoaXMpOw==" localSheetId="4" hidden="1">""</definedName>
    <definedName name="CellActionA22C0" comment="U2hvd0RyaWxsRG93bignTW9sc29uQ29vcnMgQmV2ZXJhZ2UgQ29tcGFueScsICdDb29ycyBMaWdodFx0TW9sc29uQ29vcnMgQmV2ZXJhZ2UgQ29tcGFueScsICcnLHRoaXMpOw==" localSheetId="4" hidden="1">""</definedName>
    <definedName name="CellActionA23" comment="0" localSheetId="4" hidden="1">""</definedName>
    <definedName name="CellActionA230" comment="0" localSheetId="4" hidden="1">""</definedName>
    <definedName name="CellActionA230C0" comment="U2hvd0RyaWxsRG93bignRm9vZCBcdTAwMjYgQmV2IEVudGVycHJpc2UgTExDJywgJ1Bva2VyIEltcG9ydFx0Rm9vZCBcdTAwMjYgQmV2IEVudGVycHJpc2UgTExDJywgJycsdGhpcyk7" localSheetId="4" hidden="1">""</definedName>
    <definedName name="CellActionA231" comment="0" localSheetId="4" hidden="1">""</definedName>
    <definedName name="CellActionA231C0" comment="U2hvd0RyaWxsRG93bignRm9vZCBcdTAwMjYgQmV2IEVudGVycHJpc2UgTExDJywgJ0FndWlsYSBJbXBvcnRcdEZvb2QgXHUwMDI2IEJldiBFbnRlcnByaXNlIExMQycsICcnLHRoaXMpOw==" localSheetId="4" hidden="1">""</definedName>
    <definedName name="CellActionA232" comment="0" localSheetId="4" hidden="1">""</definedName>
    <definedName name="CellActionA232C0" comment="U2hvd0RyaWxsRG93bignRm9vZCBcdTAwMjYgQmV2IEVudGVycHJpc2UgTExDJywgJ0Zvb2QgXHUwMDI2IEJldlx0Rm9vZCBcdTAwMjYgQmV2IEVudGVycHJpc2UgTExDJywgJycsdGhpcyk7" localSheetId="4" hidden="1">""</definedName>
    <definedName name="CellActionA233" comment="0" localSheetId="4" hidden="1">""</definedName>
    <definedName name="CellActionA233C0" comment="U2hvd0RyaWxsRG93bignRm9vZCBcdTAwMjYgQmV2IEVudGVycHJpc2UgTExDJywgJ0Nvc3Rlbml0YVx0Rm9vZCBcdTAwMjYgQmV2IEVudGVycHJpc2UgTExDJywgJycsdGhpcyk7" localSheetId="4" hidden="1">""</definedName>
    <definedName name="CellActionA234" comment="0" localSheetId="4" hidden="1">""</definedName>
    <definedName name="CellActionA234C0" comment="U2hvd0RyaWxsRG93bignQXJ0aXNhbmFsIEltcG9ydHMnLCAnJywgJycsdGhpcyk7" localSheetId="4" hidden="1">""</definedName>
    <definedName name="CellActionA235" comment="0" localSheetId="4" hidden="1">""</definedName>
    <definedName name="CellActionA235C0" comment="U2hvd0RyaWxsRG93bignQXJ0aXNhbmFsIEltcG9ydHMnLCAnVG9uYVx0QXJ0aXNhbmFsIEltcG9ydHMnLCAnJyx0aGlzKTs=" localSheetId="4" hidden="1">""</definedName>
    <definedName name="CellActionA236" comment="0" localSheetId="4" hidden="1">""</definedName>
    <definedName name="CellActionA236C0" comment="U2hvd0RyaWxsRG93bignQXJ0aXNhbmFsIEltcG9ydHMnLCAnUGFsbWFcdEFydGlzYW5hbCBJbXBvcnRzJywgJycsdGhpcyk7" localSheetId="4" hidden="1">""</definedName>
    <definedName name="CellActionA237" comment="0" localSheetId="4" hidden="1">""</definedName>
    <definedName name="CellActionA237C0" comment="U2hvd0RyaWxsRG93bignRXZpbCBHZW5pdXMnLCAnJywgJycsdGhpcyk7" localSheetId="4" hidden="1">""</definedName>
    <definedName name="CellActionA238" comment="0" localSheetId="4" hidden="1">""</definedName>
    <definedName name="CellActionA238C0" comment="U2hvd0RyaWxsRG93bignRXZpbCBHZW5pdXMnLCAnRXZpbCBHZW5pdXNcdEV2aWwgR2VuaXVzJywgJycsdGhpcyk7" localSheetId="4" hidden="1">""</definedName>
    <definedName name="CellActionA239" comment="0" localSheetId="4" hidden="1">""</definedName>
    <definedName name="CellActionA239C0" comment="U2hvd0RyaWxsRG93bignSGFycG9vbiBCcmV3ZXJ5JywgJycsICcnLHRoaXMpOw==" localSheetId="4" hidden="1">""</definedName>
    <definedName name="CellActionA23C0" comment="U2hvd0RyaWxsRG93bignTW9sc29uQ29vcnMgQmV2ZXJhZ2UgQ29tcGFueScsICdMaXRlXHRNb2xzb25Db29ycyBCZXZlcmFnZSBDb21wYW55JywgJycsdGhpcyk7" localSheetId="4" hidden="1">""</definedName>
    <definedName name="CellActionA24" comment="0" localSheetId="4" hidden="1">""</definedName>
    <definedName name="CellActionA240" comment="0" localSheetId="4" hidden="1">""</definedName>
    <definedName name="CellActionA240C0" comment="U2hvd0RyaWxsRG93bignSGFycG9vbiBCcmV3ZXJ5JywgJ0xvbmcgVHJhaWxcdEhhcnBvb24gQnJld2VyeScsICcnLHRoaXMpOw==" localSheetId="4" hidden="1">""</definedName>
    <definedName name="CellActionA241" comment="0" localSheetId="4" hidden="1">""</definedName>
    <definedName name="CellActionA241C0" comment="U2hvd0RyaWxsRG93bignSGFycG9vbiBCcmV3ZXJ5JywgJ1NoZWRcdEhhcnBvb24gQnJld2VyeScsICcnLHRoaXMpOw==" localSheetId="4" hidden="1">""</definedName>
    <definedName name="CellActionA242" comment="0" localSheetId="4" hidden="1">""</definedName>
    <definedName name="CellActionA242C0" comment="U2hvd0RyaWxsRG93bignSGFycG9vbiBCcmV3ZXJ5JywgJ090dGVyIENyZWVrXHRIYXJwb29uIEJyZXdlcnknLCAnJyx0aGlzKTs=" localSheetId="4" hidden="1">""</definedName>
    <definedName name="CellActionA243" comment="0" localSheetId="4" hidden="1">""</definedName>
    <definedName name="CellActionA243C0" comment="U2hvd0RyaWxsRG93bignR2FtYnJpbnVzIEltcG9ydHMnLCAnJywgJycsdGhpcyk7" localSheetId="4" hidden="1">""</definedName>
    <definedName name="CellActionA244" comment="0" localSheetId="4" hidden="1">""</definedName>
    <definedName name="CellActionA244C0" comment="U2hvd0RyaWxsRG93bignR2FtYnJpbnVzIEltcG9ydHMnLCAnU2hpbmVyXHRHYW1icmludXMgSW1wb3J0cycsICcnLHRoaXMpOw==" localSheetId="4" hidden="1">""</definedName>
    <definedName name="CellActionA245" comment="0" localSheetId="4" hidden="1">""</definedName>
    <definedName name="CellActionA245C0" comment="U2hvd0RyaWxsRG93bignQmVsbFx1MDAyN3MnLCAnJywgJycsdGhpcyk7" localSheetId="4" hidden="1">""</definedName>
    <definedName name="CellActionA246" comment="0" localSheetId="4" hidden="1">""</definedName>
    <definedName name="CellActionA246C0" comment="U2hvd0RyaWxsRG93bignQmVsbFx1MDAyN3MnLCAnQmVsbFx1MDAyN3MgSGVhcnRlZCBGYW1pbHlcdEJlbGxcdTAwMjdzJywgJycsdGhpcyk7" localSheetId="4" hidden="1">""</definedName>
    <definedName name="CellActionA247" comment="0" localSheetId="4" hidden="1">""</definedName>
    <definedName name="CellActionA247C0" comment="U2hvd0RyaWxsRG93bignQmVsbFx1MDAyN3MnLCAnQmVsbFx1MDAyN3NcdEJlbGxcdTAwMjdzJywgJycsdGhpcyk7" localSheetId="4" hidden="1">""</definedName>
    <definedName name="CellActionA248" comment="0" localSheetId="4" hidden="1">""</definedName>
    <definedName name="CellActionA248C0" comment="U2hvd0RyaWxsRG93bignRmx5aW5nIEZpc2gnLCAnJywgJycsdGhpcyk7" localSheetId="4" hidden="1">""</definedName>
    <definedName name="CellActionA249" comment="0" localSheetId="4" hidden="1">""</definedName>
    <definedName name="CellActionA249C0" comment="U2hvd0RyaWxsRG93bignRmx5aW5nIEZpc2gnLCAnRmx5aW5nIEZpc2hcdEZseWluZyBGaXNoJywgJycsdGhpcyk7" localSheetId="4" hidden="1">""</definedName>
    <definedName name="CellActionA24C0" comment="U2hvd0RyaWxsRG93bignTW9sc29uQ29vcnMgQmV2ZXJhZ2UgQ29tcGFueScsICdCbHVlIE1vb25cdE1vbHNvbkNvb3JzIEJldmVyYWdlIENvbXBhbnknLCAnJyx0aGlzKTs=" localSheetId="4" hidden="1">""</definedName>
    <definedName name="CellActionA25" comment="0" localSheetId="4" hidden="1">""</definedName>
    <definedName name="CellActionA250" comment="0" localSheetId="4" hidden="1">""</definedName>
    <definedName name="CellActionA250C0" comment="U2hvd0RyaWxsRG93bignRmx5aW5nIEZpc2gnLCAnQmlnIE1hbnMgQnJld1x0Rmx5aW5nIEZpc2gnLCAnJyx0aGlzKTs=" localSheetId="4" hidden="1">""</definedName>
    <definedName name="CellActionA251" comment="0" localSheetId="4" hidden="1">""</definedName>
    <definedName name="CellActionA251C0" comment="U2hvd0RyaWxsRG93bignR2xvYmFsIEJlZXInLCAnJywgJycsdGhpcyk7" localSheetId="4" hidden="1">""</definedName>
    <definedName name="CellActionA252" comment="0" localSheetId="4" hidden="1">""</definedName>
    <definedName name="CellActionA252C0" comment="U2hvd0RyaWxsRG93bignR2xvYmFsIEJlZXInLCAnU3RpZWdsXHRHbG9iYWwgQmVlcicsICcnLHRoaXMpOw==" localSheetId="4" hidden="1">""</definedName>
    <definedName name="CellActionA253" comment="0" localSheetId="4" hidden="1">""</definedName>
    <definedName name="CellActionA253C0" comment="U2hvd0RyaWxsRG93bignR2xvYmFsIEJlZXInLCAnU3VsbGl2YW5cdTAwMjdzXHRHbG9iYWwgQmVlcicsICcnLHRoaXMpOw==" localSheetId="4" hidden="1">""</definedName>
    <definedName name="CellActionA254" comment="0" localSheetId="4" hidden="1">""</definedName>
    <definedName name="CellActionA254C0" comment="U2hvd0RyaWxsRG93bignR2xvYmFsIEJlZXInLCAnWWFyZCBIb3VzZVx0R2xvYmFsIEJlZXInLCAnJyx0aGlzKTs=" localSheetId="4" hidden="1">""</definedName>
    <definedName name="CellActionA255" comment="0" localSheetId="4" hidden="1">""</definedName>
    <definedName name="CellActionA255C0" comment="U2hvd0RyaWxsRG93bignR2xvYmFsIEJlZXInLCAnQmF2aWtcdEdsb2JhbCBCZWVyJywgJycsdGhpcyk7" localSheetId="4" hidden="1">""</definedName>
    <definedName name="CellActionA256" comment="0" localSheetId="4" hidden="1">""</definedName>
    <definedName name="CellActionA256C0" comment="U2hvd0RyaWxsRG93bignR2xvYmFsIEJlZXInLCAnUGV0cnVzXHRHbG9iYWwgQmVlcicsICcnLHRoaXMpOw==" localSheetId="4" hidden="1">""</definedName>
    <definedName name="CellActionA257" comment="0" localSheetId="4" hidden="1">""</definedName>
    <definedName name="CellActionA257C0" comment="U2hvd0RyaWxsRG93bignR2xvYmFsIEJlZXInLCAnR3VsZGVuIERyYWFrXHRHbG9iYWwgQmVlcicsICcnLHRoaXMpOw==" localSheetId="4" hidden="1">""</definedName>
    <definedName name="CellActionA258" comment="0" localSheetId="4" hidden="1">""</definedName>
    <definedName name="CellActionA258C0" comment="U2hvd0RyaWxsRG93bignR2xvYmFsIEJlZXInLCAnUGlyYWF0XHRHbG9iYWwgQmVlcicsICcnLHRoaXMpOw==" localSheetId="4" hidden="1">""</definedName>
    <definedName name="CellActionA259" comment="0" localSheetId="4" hidden="1">""</definedName>
    <definedName name="CellActionA259C0" comment="U2hvd0RyaWxsRG93bignR2xvYmFsIEJlZXInLCAnQmFwdGlzdCBXaXRcdEdsb2JhbCBCZWVyJywgJycsdGhpcyk7" localSheetId="4" hidden="1">""</definedName>
    <definedName name="CellActionA25C0" comment="U2hvd0RyaWxsRG93bignTW9sc29uQ29vcnMgQmV2ZXJhZ2UgQ29tcGFueScsICdDb29yc1x0TW9sc29uQ29vcnMgQmV2ZXJhZ2UgQ29tcGFueScsICcnLHRoaXMpOw==" localSheetId="4" hidden="1">""</definedName>
    <definedName name="CellActionA26" comment="0" localSheetId="4" hidden="1">""</definedName>
    <definedName name="CellActionA260" comment="0" localSheetId="4" hidden="1">""</definedName>
    <definedName name="CellActionA260C0" comment="U2hvd0RyaWxsRG93bignR2xvYmFsIEJlZXInLCAnVmFuIFN0ZWVuYmVyZ2VcdEdsb2JhbCBCZWVyJywgJycsdGhpcyk7" localSheetId="4" hidden="1">""</definedName>
    <definedName name="CellActionA261" comment="0" localSheetId="4" hidden="1">""</definedName>
    <definedName name="CellActionA261C0" comment="U2hvd0RyaWxsRG93bignVmVybW9udCBIYXJkIENpZGVyJywgJycsICcnLHRoaXMpOw==" localSheetId="4" hidden="1">""</definedName>
    <definedName name="CellActionA262" comment="0" localSheetId="4" hidden="1">""</definedName>
    <definedName name="CellActionA262C0" comment="U2hvd0RyaWxsRG93bignVmVybW9udCBIYXJkIENpZGVyJywgJ1dvb2RjaHVja1x0VmVybW9udCBIYXJkIENpZGVyJywgJycsdGhpcyk7" localSheetId="4" hidden="1">""</definedName>
    <definedName name="CellActionA263" comment="0" localSheetId="4" hidden="1">""</definedName>
    <definedName name="CellActionA263C0" comment="U2hvd0RyaWxsRG93bignVmVybW9udCBIYXJkIENpZGVyJywgJ0RheSBDaGFzZXJcdFZlcm1vbnQgSGFyZCBDaWRlcicsICcnLHRoaXMpOw==" localSheetId="4" hidden="1">""</definedName>
    <definedName name="CellActionA264" comment="0" localSheetId="4" hidden="1">""</definedName>
    <definedName name="CellActionA264C0" comment="U2hvd0RyaWxsRG93bignVmVybW9udCBIYXJkIENpZGVyJywgJ1d5ZGVyXHUwMDI3c1x0VmVybW9udCBIYXJkIENpZGVyJywgJycsdGhpcyk7" localSheetId="4" hidden="1">""</definedName>
    <definedName name="CellActionA265" comment="0" localSheetId="4" hidden="1">""</definedName>
    <definedName name="CellActionA265C0" comment="U2hvd0RyaWxsRG93bignVHJhdmVsZXJzIENsdWInLCAnJywgJycsdGhpcyk7" localSheetId="4" hidden="1">""</definedName>
    <definedName name="CellActionA266" comment="0" localSheetId="4" hidden="1">""</definedName>
    <definedName name="CellActionA266C0" comment="U2hvd0RyaWxsRG93bignVHJhdmVsZXJzIENsdWInLCAnVHJhdmVsZXJzIENsdWJcdFRyYXZlbGVycyBDbHViJywgJycsdGhpcyk7" localSheetId="4" hidden="1">""</definedName>
    <definedName name="CellActionA267" comment="0" localSheetId="4" hidden="1">""</definedName>
    <definedName name="CellActionA267C0" comment="U2hvd0RyaWxsRG93bignQkpcdTAwMjdTIFByaXZhdGUgTGFiZWwgQnJldycsICcnLCAnJyx0aGlzKTs=" localSheetId="4" hidden="1">""</definedName>
    <definedName name="CellActionA268" comment="0" localSheetId="4" hidden="1">""</definedName>
    <definedName name="CellActionA268C0" comment="U2hvd0RyaWxsRG93bignQkpcdTAwMjdTIFByaXZhdGUgTGFiZWwgQnJldycsICdCSlx1MDAyN1MgUHJpdmF0ZSBMYWJlbCBCcmV3YVx0QkpcdTAwMjdTIFByaXZhdGUgTGFiZWwgQnJldycsICcnLHRoaXMpOw==" localSheetId="4" hidden="1">""</definedName>
    <definedName name="CellActionA269" comment="0" localSheetId="4" hidden="1">""</definedName>
    <definedName name="CellActionA269C0" comment="U2hvd0RyaWxsRG93bignUml2ZXIgSG9yc2UgQnJld2luZyBDbycsICcnLCAnJyx0aGlzKTs=" localSheetId="4" hidden="1">""</definedName>
    <definedName name="CellActionA26C0" comment="U2hvd0RyaWxsRG93bignTW9sc29uQ29vcnMgQmV2ZXJhZ2UgQ29tcGFueScsICdNaWxsZXIgSGlnaCBMaWZlXHRNb2xzb25Db29ycyBCZXZlcmFnZSBDb21wYW55JywgJycsdGhpcyk7" localSheetId="4" hidden="1">""</definedName>
    <definedName name="CellActionA27" comment="0" localSheetId="4" hidden="1">""</definedName>
    <definedName name="CellActionA270" comment="0" localSheetId="4" hidden="1">""</definedName>
    <definedName name="CellActionA270C0" comment="U2hvd0RyaWxsRG93bignUml2ZXIgSG9yc2UgQnJld2luZyBDbycsICdSaXZlciBIb3JzZSBCcmV3aW5nIENvXHRSaXZlciBIb3JzZSBCcmV3aW5nIENvJywgJycsdGhpcyk7" localSheetId="4" hidden="1">""</definedName>
    <definedName name="CellActionA271" comment="0" localSheetId="4" hidden="1">""</definedName>
    <definedName name="CellActionA271C0" comment="U2hvd0RyaWxsRG93bignUml2ZXIgSG9yc2UgQnJld2luZyBDbycsICdUaGUgR2FyZGVuIFN0YXRlIEV4cGVyaWVuY2VcdFJpdmVyIEhvcnNlIEJyZXdpbmcgQ28nLCAnJyx0aGlzKTs=" localSheetId="4" hidden="1">""</definedName>
    <definedName name="CellActionA272" comment="0" localSheetId="4" hidden="1">""</definedName>
    <definedName name="CellActionA272C0" comment="U2hvd0RyaWxsRG93bignUGFtcGEgQmV2ZXJhZ2VzJywgJycsICcnLHRoaXMpOw==" localSheetId="4" hidden="1">""</definedName>
    <definedName name="CellActionA273" comment="0" localSheetId="4" hidden="1">""</definedName>
    <definedName name="CellActionA273C0" comment="U2hvd0RyaWxsRG93bignUGFtcGEgQmV2ZXJhZ2VzJywgJ1F1aWxtZXNcdFBhbXBhIEJldmVyYWdlcycsICcnLHRoaXMpOw==" localSheetId="4" hidden="1">""</definedName>
    <definedName name="CellActionA274" comment="0" localSheetId="4" hidden="1">""</definedName>
    <definedName name="CellActionA274C0" comment="U2hvd0RyaWxsRG93bignR2xvYmFsIFZpbGxhZ2UgSW1wLicsICcnLCAnJyx0aGlzKTs=" localSheetId="4" hidden="1">""</definedName>
    <definedName name="CellActionA275" comment="0" localSheetId="4" hidden="1">""</definedName>
    <definedName name="CellActionA275C0" comment="U2hvd0RyaWxsRG93bignR2xvYmFsIFZpbGxhZ2UgSW1wLicsICdBdWd1c3RpbmVyXHRHbG9iYWwgVmlsbGFnZSBJbXAuJywgJycsdGhpcyk7" localSheetId="4" hidden="1">""</definedName>
    <definedName name="CellActionA276" comment="0" localSheetId="4" hidden="1">""</definedName>
    <definedName name="CellActionA276C0" comment="U2hvd0RyaWxsRG93bignR2xvYmFsIFZpbGxhZ2UgSW1wLicsICdPcmFuamVib29tXHRHbG9iYWwgVmlsbGFnZSBJbXAuJywgJycsdGhpcyk7" localSheetId="4" hidden="1">""</definedName>
    <definedName name="CellActionA277" comment="0" localSheetId="4" hidden="1">""</definedName>
    <definedName name="CellActionA277C0" comment="U2hvd0RyaWxsRG93bignTmV3YnVyZ2ggQnJld2luZycsICcnLCAnJyx0aGlzKTs=" localSheetId="4" hidden="1">""</definedName>
    <definedName name="CellActionA278" comment="0" localSheetId="4" hidden="1">""</definedName>
    <definedName name="CellActionA278C0" comment="U2hvd0RyaWxsRG93bignTmV3YnVyZ2ggQnJld2luZycsICdOZXdidXJnaFx0TmV3YnVyZ2ggQnJld2luZycsICcnLHRoaXMpOw==" localSheetId="4" hidden="1">""</definedName>
    <definedName name="CellActionA279" comment="0" localSheetId="4" hidden="1">""</definedName>
    <definedName name="CellActionA279C0" comment="U2hvd0RyaWxsRG93bignQ2l0aXplbiBDaWRlcicsICcnLCAnJyx0aGlzKTs=" localSheetId="4" hidden="1">""</definedName>
    <definedName name="CellActionA27C0" comment="U2hvd0RyaWxsRG93bignTW9sc29uQ29vcnMgQmV2ZXJhZ2UgQ29tcGFueScsICdQZXJvbmlcdE1vbHNvbkNvb3JzIEJldmVyYWdlIENvbXBhbnknLCAnJyx0aGlzKTs=" localSheetId="4" hidden="1">""</definedName>
    <definedName name="CellActionA28" comment="0" localSheetId="4" hidden="1">""</definedName>
    <definedName name="CellActionA280" comment="0" localSheetId="4" hidden="1">""</definedName>
    <definedName name="CellActionA280C0" comment="U2hvd0RyaWxsRG93bignQ2l0aXplbiBDaWRlcicsICdDaXRpemVuIENpZGVyXHRDaXRpemVuIENpZGVyJywgJycsdGhpcyk7" localSheetId="4" hidden="1">""</definedName>
    <definedName name="CellActionA281" comment="0" localSheetId="4" hidden="1">""</definedName>
    <definedName name="CellActionA281C0" comment="U2hvd0RyaWxsRG93bignSmVyc2V5IEdpcmwnLCAnJywgJycsdGhpcyk7" localSheetId="4" hidden="1">""</definedName>
    <definedName name="CellActionA282" comment="0" localSheetId="4" hidden="1">""</definedName>
    <definedName name="CellActionA282C0" comment="U2hvd0RyaWxsRG93bignSmVyc2V5IEdpcmwnLCAnSmVyc2V5IEdpcmxcdEplcnNleSBHaXJsJywgJycsdGhpcyk7" localSheetId="4" hidden="1">""</definedName>
    <definedName name="CellActionA283" comment="0" localSheetId="4" hidden="1">""</definedName>
    <definedName name="CellActionA283C0" comment="U2hvd0RyaWxsRG93bignUHJlc3RpZ2UnLCAnJywgJycsdGhpcyk7" localSheetId="4" hidden="1">""</definedName>
    <definedName name="CellActionA284" comment="0" localSheetId="4" hidden="1">""</definedName>
    <definedName name="CellActionA284C0" comment="U2hvd0RyaWxsRG93bignUHJlc3RpZ2UnLCAnTXl0aG9zXHRQcmVzdGlnZScsICcnLHRoaXMpOw==" localSheetId="4" hidden="1">""</definedName>
    <definedName name="CellActionA285" comment="0" localSheetId="4" hidden="1">""</definedName>
    <definedName name="CellActionA285C0" comment="U2hvd0RyaWxsRG93bignUHJlc3RpZ2UnLCAnR3JlZWsgV2luZXNcdFByZXN0aWdlJywgJycsdGhpcyk7" localSheetId="4" hidden="1">""</definedName>
    <definedName name="CellActionA286" comment="0" localSheetId="4" hidden="1">""</definedName>
    <definedName name="CellActionA286C0" comment="U2hvd0RyaWxsRG93bignUHJlc3RpZ2UnLCAnR3JlZWsgU3Bpcml0c1x0UHJlc3RpZ2UnLCAnJyx0aGlzKTs=" localSheetId="4" hidden="1">""</definedName>
    <definedName name="CellActionA287" comment="0" localSheetId="4" hidden="1">""</definedName>
    <definedName name="CellActionA287C0" comment="U2hvd0RyaWxsRG93bignUHJlc3RpZ2UnLCAnRml4IEhlbGxhc1x0UHJlc3RpZ2UnLCAnJyx0aGlzKTs=" localSheetId="4" hidden="1">""</definedName>
    <definedName name="CellActionA288" comment="0" localSheetId="4" hidden="1">""</definedName>
    <definedName name="CellActionA288C0" comment="U2hvd0RyaWxsRG93bignQm9sZCBSb2NrIEhhcmQgQ2lkZXInLCAnJywgJycsdGhpcyk7" localSheetId="4" hidden="1">""</definedName>
    <definedName name="CellActionA289" comment="0" localSheetId="4" hidden="1">""</definedName>
    <definedName name="CellActionA289C0" comment="U2hvd0RyaWxsRG93bignQm9sZCBSb2NrIEhhcmQgQ2lkZXInLCAnQm9sZCBSb2NrXHRCb2xkIFJvY2sgSGFyZCBDaWRlcicsICcnLHRoaXMpOw==" localSheetId="4" hidden="1">""</definedName>
    <definedName name="CellActionA28C0" comment="U2hvd0RyaWxsRG93bignTW9sc29uQ29vcnMgQmV2ZXJhZ2UgQ29tcGFueScsICdGb3N0ZXJzXHRNb2xzb25Db29ycyBCZXZlcmFnZSBDb21wYW55JywgJycsdGhpcyk7" localSheetId="4" hidden="1">""</definedName>
    <definedName name="CellActionA29" comment="0" localSheetId="4" hidden="1">""</definedName>
    <definedName name="CellActionA290" comment="0" localSheetId="4" hidden="1">""</definedName>
    <definedName name="CellActionA290C0" comment="U2hvd0RyaWxsRG93bignSXRoYWNhJywgJycsICcnLHRoaXMpOw==" localSheetId="4" hidden="1">""</definedName>
    <definedName name="CellActionA291" comment="0" localSheetId="4" hidden="1">""</definedName>
    <definedName name="CellActionA291C0" comment="U2hvd0RyaWxsRG93bignSXRoYWNhJywgJ0l0aGFjYVx0SXRoYWNhJywgJycsdGhpcyk7" localSheetId="4" hidden="1">""</definedName>
    <definedName name="CellActionA292" comment="0" localSheetId="4" hidden="1">""</definedName>
    <definedName name="CellActionA292C0" comment="U2hvd0RyaWxsRG93bignRHVjbGF3IEJyZXdpbmcnLCAnJywgJycsdGhpcyk7" localSheetId="4" hidden="1">""</definedName>
    <definedName name="CellActionA293" comment="0" localSheetId="4" hidden="1">""</definedName>
    <definedName name="CellActionA293C0" comment="U2hvd0RyaWxsRG93bignRHVjbGF3IEJyZXdpbmcnLCAnRHVjbGF3XHREdWNsYXcgQnJld2luZycsICcnLHRoaXMpOw==" localSheetId="4" hidden="1">""</definedName>
    <definedName name="CellActionA294" comment="0" localSheetId="4" hidden="1">""</definedName>
    <definedName name="CellActionA294C0" comment="U2hvd0RyaWxsRG93bignRm9yZ2VkIElyaXNoIFN0b3V0JywgJycsICcnLHRoaXMpOw==" localSheetId="4" hidden="1">""</definedName>
    <definedName name="CellActionA295" comment="0" localSheetId="4" hidden="1">""</definedName>
    <definedName name="CellActionA295C0" comment="U2hvd0RyaWxsRG93bignRm9yZ2VkIElyaXNoIFN0b3V0JywgJ0ZvcmdlZCBJcmlzaCBTdG91dFx0Rm9yZ2VkIElyaXNoIFN0b3V0JywgJycsdGhpcyk7" localSheetId="4" hidden="1">""</definedName>
    <definedName name="CellActionA296" comment="0" localSheetId="4" hidden="1">""</definedName>
    <definedName name="CellActionA296C0" comment="U2hvd0RyaWxsRG93bignVGFsa2hvdXNlIEVuY29yZScsICcnLCAnJyx0aGlzKTs=" localSheetId="4" hidden="1">""</definedName>
    <definedName name="CellActionA297" comment="0" localSheetId="4" hidden="1">""</definedName>
    <definedName name="CellActionA297C0" comment="U2hvd0RyaWxsRG93bignVGFsa2hvdXNlIEVuY29yZScsICdUYWxraG91c2UgRW5jb3JlXHRUYWxraG91c2UgRW5jb3JlJywgJycsdGhpcyk7" localSheetId="4" hidden="1">""</definedName>
    <definedName name="CellActionA298" comment="0" localSheetId="4" hidden="1">""</definedName>
    <definedName name="CellActionA298C0" comment="U2hvd0RyaWxsRG93bignQ3JpY2tldCBIaWxsJywgJycsICcnLHRoaXMpOw==" localSheetId="4" hidden="1">""</definedName>
    <definedName name="CellActionA299" comment="0" localSheetId="4" hidden="1">""</definedName>
    <definedName name="CellActionA299C0" comment="U2hvd0RyaWxsRG93bignQ3JpY2tldCBIaWxsJywgJ0NyaWNrZXQgSGlsbFx0Q3JpY2tldCBIaWxsJywgJycsdGhpcyk7" localSheetId="4" hidden="1">""</definedName>
    <definedName name="CellActionA29C0" comment="U2hvd0RyaWxsRG93bignTW9sc29uQ29vcnMgQmV2ZXJhZ2UgQ29tcGFueScsICdUeXNraWUgR3JvbmllXHRNb2xzb25Db29ycyBCZXZlcmFnZSBDb21wYW55JywgJycsdGhpcyk7" localSheetId="4" hidden="1">""</definedName>
    <definedName name="CellActionA3" comment="0" localSheetId="4" hidden="1">""</definedName>
    <definedName name="CellActionA30" comment="0" localSheetId="4" hidden="1">""</definedName>
    <definedName name="CellActionA300" comment="0" localSheetId="4" hidden="1">""</definedName>
    <definedName name="CellActionA300C0" comment="U2hvd0RyaWxsRG93bignSE9QIFdUUicsICcnLCAnJyx0aGlzKTs=" localSheetId="4" hidden="1">""</definedName>
    <definedName name="CellActionA301" comment="0" localSheetId="4" hidden="1">""</definedName>
    <definedName name="CellActionA301C0" comment="U2hvd0RyaWxsRG93bignSE9QIFdUUicsICdIT1AgV1RSXHRIT1AgV1RSJywgJycsdGhpcyk7" localSheetId="4" hidden="1">""</definedName>
    <definedName name="CellActionA302" comment="0" localSheetId="4" hidden="1">""</definedName>
    <definedName name="CellActionA302C0" comment="U2hvd0RyaWxsRG93bignQ3Jvb2sgXHUwMDI2IE1hcmtlcicsICcnLCAnJyx0aGlzKTs=" localSheetId="4" hidden="1">""</definedName>
    <definedName name="CellActionA303" comment="0" localSheetId="4" hidden="1">""</definedName>
    <definedName name="CellActionA303C0" comment="U2hvd0RyaWxsRG93bignQ3Jvb2sgXHUwMDI2IE1hcmtlcicsICdDcm9va1x1MDAyNk1hcmtlclx0Q3Jvb2sgXHUwMDI2IE1hcmtlcicsICcnLHRoaXMpOw==" localSheetId="4" hidden="1">""</definedName>
    <definedName name="CellActionA304" comment="0" localSheetId="4" hidden="1">""</definedName>
    <definedName name="CellActionA304C0" comment="U2hvd0RyaWxsRG93bignQ3Jvb2sgXHUwMDI2IE1hcmtlcicsICdDcm9va2VkIFRlYVx0Q3Jvb2sgXHUwMDI2IE1hcmtlcicsICcnLHRoaXMpOw==" localSheetId="4" hidden="1">""</definedName>
    <definedName name="CellActionA305" comment="0" localSheetId="4" hidden="1">""</definedName>
    <definedName name="CellActionA305C0" comment="U2hvd0RyaWxsRG93bignVW5pYnJvdWUnLCAnJywgJycsdGhpcyk7" localSheetId="4" hidden="1">""</definedName>
    <definedName name="CellActionA306" comment="0" localSheetId="4" hidden="1">""</definedName>
    <definedName name="CellActionA306C0" comment="U2hvd0RyaWxsRG93bignVW5pYnJvdWUnLCAnVW5pYnJvdWVcdFVuaWJyb3VlJywgJycsdGhpcyk7" localSheetId="4" hidden="1">""</definedName>
    <definedName name="CellActionA307" comment="0" localSheetId="4" hidden="1">""</definedName>
    <definedName name="CellActionA307C0" comment="U2hvd0RyaWxsRG93bignU291dGhlcm4gVGllciBEaXN0aWxsaW5nIENvbXBhbnknLCAnJywgJycsdGhpcyk7" localSheetId="4" hidden="1">""</definedName>
    <definedName name="CellActionA308" comment="0" localSheetId="4" hidden="1">""</definedName>
    <definedName name="CellActionA308C0" comment="U2hvd0RyaWxsRG93bignU291dGhlcm4gVGllciBEaXN0aWxsaW5nIENvbXBhbnknLCAnU291dGhlcm4gVGllciBEaXN0aWxsaW5nXHRTb3V0aGVybiBUaWVyIERpc3RpbGxpbmcgQ29tcGFueScsICcnLHRoaXMpOw==" localSheetId="4" hidden="1">""</definedName>
    <definedName name="CellActionA309" comment="0" localSheetId="4" hidden="1">""</definedName>
    <definedName name="CellActionA309C0" comment="U2hvd0RyaWxsRG93bignRWZlcycsICcnLCAnJyx0aGlzKTs=" localSheetId="4" hidden="1">""</definedName>
    <definedName name="CellActionA30C0" comment="U2hvd0RyaWxsRG93bignTW9sc29uQ29vcnMgQmV2ZXJhZ2UgQ29tcGFueScsICdBcm5vbGQgUGFsbWVyXHRNb2xzb25Db29ycyBCZXZlcmFnZSBDb21wYW55JywgJycsdGhpcyk7" localSheetId="4" hidden="1">""</definedName>
    <definedName name="CellActionA31" comment="0" localSheetId="4" hidden="1">""</definedName>
    <definedName name="CellActionA310" comment="0" localSheetId="4" hidden="1">""</definedName>
    <definedName name="CellActionA310C0" comment="U2hvd0RyaWxsRG93bignRWZlcycsICdFZmVzXHRFZmVzJywgJycsdGhpcyk7" localSheetId="4" hidden="1">""</definedName>
    <definedName name="CellActionA311" comment="0" localSheetId="4" hidden="1">""</definedName>
    <definedName name="CellActionA311C0" comment="U2hvd0RyaWxsRG93bignQ2VydmVjZXJpYSBMYSBUcm9waWNhbCcsICcnLCAnJyx0aGlzKTs=" localSheetId="4" hidden="1">""</definedName>
    <definedName name="CellActionA312" comment="0" localSheetId="4" hidden="1">""</definedName>
    <definedName name="CellActionA312C0" comment="U2hvd0RyaWxsRG93bignQ2VydmVjZXJpYSBMYSBUcm9waWNhbCcsICdMYSBUcm9waWNhbFx0Q2VydmVjZXJpYSBMYSBUcm9waWNhbCcsICcnLHRoaXMpOw==" localSheetId="4" hidden="1">""</definedName>
    <definedName name="CellActionA313" comment="0" localSheetId="4" hidden="1">""</definedName>
    <definedName name="CellActionA313C0" comment="U2hvd0RyaWxsRG93bignQmFybiBCcmV3IENvJywgJycsICcnLHRoaXMpOw==" localSheetId="4" hidden="1">""</definedName>
    <definedName name="CellActionA314" comment="0" localSheetId="4" hidden="1">""</definedName>
    <definedName name="CellActionA314C0" comment="U2hvd0RyaWxsRG93bignQmFybiBCcmV3IENvJywgJ0Jhcm4gQnJld1x0QmFybiBCcmV3IENvJywgJycsdGhpcyk7" localSheetId="4" hidden="1">""</definedName>
    <definedName name="CellActionA315" comment="0" localSheetId="4" hidden="1">""</definedName>
    <definedName name="CellActionA315C0" comment="U2hvd0RyaWxsRG93bignWFlaIEJldmVyYWdlJywgJycsICcnLHRoaXMpOw==" localSheetId="4" hidden="1">""</definedName>
    <definedName name="CellActionA316" comment="0" localSheetId="4" hidden="1">""</definedName>
    <definedName name="CellActionA316C0" comment="U2hvd0RyaWxsRG93bignWFlaIEJldmVyYWdlJywgJ1ByZXNzXHRYWVogQmV2ZXJhZ2UnLCAnJyx0aGlzKTs=" localSheetId="4" hidden="1">""</definedName>
    <definedName name="CellActionA317" comment="0" localSheetId="4" hidden="1">""</definedName>
    <definedName name="CellActionA317C0" comment="U2hvd0RyaWxsRG93bignRGVmaWFudCBCcmV3aW5nIENvLicsICcnLCAnJyx0aGlzKTs=" localSheetId="4" hidden="1">""</definedName>
    <definedName name="CellActionA318" comment="0" localSheetId="4" hidden="1">""</definedName>
    <definedName name="CellActionA318C0" comment="U2hvd0RyaWxsRG93bignRGVmaWFudCBCcmV3aW5nIENvLicsICdEZWZpYW50XHREZWZpYW50IEJyZXdpbmcgQ28uJywgJycsdGhpcyk7" localSheetId="4" hidden="1">""</definedName>
    <definedName name="CellActionA319" comment="0" localSheetId="4" hidden="1">""</definedName>
    <definedName name="CellActionA319C0" comment="U2hvd0RyaWxsRG93bignQnJld3RcdTAwMjdzIExMQycsICcnLCAnJyx0aGlzKTs=" localSheetId="4" hidden="1">""</definedName>
    <definedName name="CellActionA31C0" comment="U2hvd0RyaWxsRG93bignTW9sc29uQ29vcnMgQmV2ZXJhZ2UgQ29tcGFueScsICdLZXlzdG9uZVx0TW9sc29uQ29vcnMgQmV2ZXJhZ2UgQ29tcGFueScsICcnLHRoaXMpOw==" localSheetId="4" hidden="1">""</definedName>
    <definedName name="CellActionA32" comment="0" localSheetId="4" hidden="1">""</definedName>
    <definedName name="CellActionA320" comment="0" localSheetId="4" hidden="1">""</definedName>
    <definedName name="CellActionA320C0" comment="U2hvd0RyaWxsRG93bignQnJld3RcdTAwMjdzIExMQycsICdCcmV3dFx1MDAyN3NcdEJyZXd0XHUwMDI3cyBMTEMnLCAnJyx0aGlzKTs=" localSheetId="4" hidden="1">""</definedName>
    <definedName name="CellActionA321" comment="0" localSheetId="4" hidden="1">""</definedName>
    <definedName name="CellActionA321C0" comment="U2hvd0RyaWxsRG93bignSHlncmFkZSBCZXZlcmFnZScsICcnLCAnJyx0aGlzKTs=" localSheetId="4" hidden="1">""</definedName>
    <definedName name="CellActionA322" comment="0" localSheetId="4" hidden="1">""</definedName>
    <definedName name="CellActionA322C0" comment="U2hvd0RyaWxsRG93bignSHlncmFkZSBCZXZlcmFnZScsICdTb2RhIEJpcmNoXHRIeWdyYWRlIEJldmVyYWdlJywgJycsdGhpcyk7" localSheetId="4" hidden="1">""</definedName>
    <definedName name="CellActionA323" comment="0" localSheetId="4" hidden="1">""</definedName>
    <definedName name="CellActionA323C0" comment="U2hvd0RyaWxsRG93bignR1VTSCBJTkMnLCAnJywgJycsdGhpcyk7" localSheetId="4" hidden="1">""</definedName>
    <definedName name="CellActionA324" comment="0" localSheetId="4" hidden="1">""</definedName>
    <definedName name="CellActionA324C0" comment="U2hvd0RyaWxsRG93bignR1VTSCBJTkMnLCAnR3VzaFx0R1VTSCBJTkMnLCAnJyx0aGlzKTs=" localSheetId="4" hidden="1">""</definedName>
    <definedName name="CellActionA325" comment="0" localSheetId="4" hidden="1">""</definedName>
    <definedName name="CellActionA325C0" comment="U2hvd0RyaWxsRG93bignQ2FyYXZlbGxhIEluYycsICcnLCAnJyx0aGlzKTs=" localSheetId="4" hidden="1">""</definedName>
    <definedName name="CellActionA326" comment="0" localSheetId="4" hidden="1">""</definedName>
    <definedName name="CellActionA326C0" comment="U2hvd0RyaWxsRG93bignQ2FyYXZlbGxhIEluYycsICdDYXJhdmVsbGFcdENhcmF2ZWxsYSBJbmMnLCAnJyx0aGlzKTs=" localSheetId="4" hidden="1">""</definedName>
    <definedName name="CellActionA327" comment="0" localSheetId="4" hidden="1">""</definedName>
    <definedName name="CellActionA327C0" comment="U2hvd0RyaWxsRG93bignQ2FyYXZlbGxhIEluYycsICdEYW5jaW5nIFZpbmVzXHRDYXJhdmVsbGEgSW5jJywgJycsdGhpcyk7" localSheetId="4" hidden="1">""</definedName>
    <definedName name="CellActionA328" comment="0" localSheetId="4" hidden="1">""</definedName>
    <definedName name="CellActionA328C0" comment="U2hvd0RyaWxsRG93bignQ2FyYXZlbGxhIEluYycsICcyIENhbm9zXHRDYXJhdmVsbGEgSW5jJywgJycsdGhpcyk7" localSheetId="4" hidden="1">""</definedName>
    <definedName name="CellActionA329" comment="0" localSheetId="4" hidden="1">""</definedName>
    <definedName name="CellActionA329C0" comment="U2hvd0RyaWxsRG93bignQ2FyYXZlbGxhIEluYycsICdQb2NhIExvY2FcdENhcmF2ZWxsYSBJbmMnLCAnJyx0aGlzKTs=" localSheetId="4" hidden="1">""</definedName>
    <definedName name="CellActionA32C0" comment="U2hvd0RyaWxsRG93bignTW9sc29uQ29vcnMgQmV2ZXJhZ2UgQ29tcGFueScsICdTdGVlbCBSZXNlcnZlXHRNb2xzb25Db29ycyBCZXZlcmFnZSBDb21wYW55JywgJycsdGhpcyk7" localSheetId="4" hidden="1">""</definedName>
    <definedName name="CellActionA33" comment="0" localSheetId="4" hidden="1">""</definedName>
    <definedName name="CellActionA330" comment="0" localSheetId="4" hidden="1">""</definedName>
    <definedName name="CellActionA330C0" comment="U2hvd0RyaWxsRG93bignTGl0dGxlIFdhdGVyIERpc3RpbGxlcnknLCAnJywgJycsdGhpcyk7" localSheetId="4" hidden="1">""</definedName>
    <definedName name="CellActionA331" comment="0" localSheetId="4" hidden="1">""</definedName>
    <definedName name="CellActionA331C0" comment="U2hvd0RyaWxsRG93bignTGl0dGxlIFdhdGVyIERpc3RpbGxlcnknLCAnNDggQmxvY2tzXHRMaXR0bGUgV2F0ZXIgRGlzdGlsbGVyeScsICcnLHRoaXMpOw==" localSheetId="4" hidden="1">""</definedName>
    <definedName name="CellActionA332" comment="0" localSheetId="4" hidden="1">""</definedName>
    <definedName name="CellActionA332C0" comment="U2hvd0RyaWxsRG93bignTGl0dGxlIFdhdGVyIERpc3RpbGxlcnknLCAnV2hpdGVjYXBcdExpdHRsZSBXYXRlciBEaXN0aWxsZXJ5JywgJycsdGhpcyk7" localSheetId="4" hidden="1">""</definedName>
    <definedName name="CellActionA333" comment="0" localSheetId="4" hidden="1">""</definedName>
    <definedName name="CellActionA333C0" comment="U2hvd0RyaWxsRG93bignTGl0dGxlIFdhdGVyIERpc3RpbGxlcnknLCAnUnVzdGVkIFJldm9sdmVyXHRMaXR0bGUgV2F0ZXIgRGlzdGlsbGVyeScsICcnLHRoaXMpOw==" localSheetId="4" hidden="1">""</definedName>
    <definedName name="CellActionA334" comment="0" localSheetId="4" hidden="1">""</definedName>
    <definedName name="CellActionA334C0" comment="U2hvd0RyaWxsRG93bignRXZlciBHcmFuZCBHcm91cCBMTEMnLCAnJywgJycsdGhpcyk7" localSheetId="4" hidden="1">""</definedName>
    <definedName name="CellActionA335" comment="0" localSheetId="4" hidden="1">""</definedName>
    <definedName name="CellActionA335C0" comment="U2hvd0RyaWxsRG93bignRXZlciBHcmFuZCBHcm91cCBMTEMnLCAnU25vdyBCZWVyXHRFdmVyIEdyYW5kIEdyb3VwIExMQycsICcnLHRoaXMpOw==" localSheetId="4" hidden="1">""</definedName>
    <definedName name="CellActionA336" comment="0" localSheetId="4" hidden="1">""</definedName>
    <definedName name="CellActionA336C0" comment="U2hvd0RyaWxsRG93bignT1ZPIFZvZGthIExMQycsICcnLCAnJyx0aGlzKTs=" localSheetId="4" hidden="1">""</definedName>
    <definedName name="CellActionA337" comment="0" localSheetId="4" hidden="1">""</definedName>
    <definedName name="CellActionA337C0" comment="U2hvd0RyaWxsRG93bignT1ZPIFZvZGthIExMQycsICdPVk8gVm9ka2FcdE9WTyBWb2RrYSBMTEMnLCAnJyx0aGlzKTs=" localSheetId="4" hidden="1">""</definedName>
    <definedName name="CellActionA338" comment="0" localSheetId="4" hidden="1">""</definedName>
    <definedName name="CellActionA338C0" comment="U2hvd0RyaWxsRG93bignQnV6YmVlXHUwMDI3cyBCZXZlcmFnZXMgVVNBIExMQycsICcnLCAnJyx0aGlzKTs=" localSheetId="4" hidden="1">""</definedName>
    <definedName name="CellActionA339" comment="0" localSheetId="4" hidden="1">""</definedName>
    <definedName name="CellActionA339C0" comment="U2hvd0RyaWxsRG93bignQnV6YmVlXHUwMDI3cyBCZXZlcmFnZXMgVVNBIExMQycsICdCdXpiZWVcdTAwMjdzXHRCdXpiZWVcdTAwMjdzIEJldmVyYWdlcyBVU0EgTExDJywgJycsdGhpcyk7" localSheetId="4" hidden="1">""</definedName>
    <definedName name="CellActionA33C0" comment="U2hvd0RyaWxsRG93bignTW9sc29uQ29vcnMgQmV2ZXJhZ2UgQ29tcGFueScsICdNb2xzb25cdE1vbHNvbkNvb3JzIEJldmVyYWdlIENvbXBhbnknLCAnJyx0aGlzKTs=" localSheetId="4" hidden="1">""</definedName>
    <definedName name="CellActionA34" comment="0" localSheetId="4" hidden="1">""</definedName>
    <definedName name="CellActionA340" comment="0" localSheetId="4" hidden="1">""</definedName>
    <definedName name="CellActionA340C0" comment="U2hvd0RyaWxsRG93bignTW9sbHlcdTAwMjdzJywgJycsICcnLHRoaXMpOw==" localSheetId="4" hidden="1">""</definedName>
    <definedName name="CellActionA341" comment="0" localSheetId="4" hidden="1">""</definedName>
    <definedName name="CellActionA341C0" comment="U2hvd0RyaWxsRG93bignTW9sbHlcdTAwMjdzJywgJ01vbGx5XHUwMDI3c1x0TW9sbHlcdTAwMjdzJywgJycsdGhpcyk7" localSheetId="4" hidden="1">""</definedName>
    <definedName name="CellActionA342" comment="0" localSheetId="4" hidden="1">""</definedName>
    <definedName name="CellActionA342C0" comment="U2hvd0RyaWxsRG93bignRW1lcmdlbnQgQmV2ZXJhZ2UgUGFydG5lcnMnLCAnJywgJycsdGhpcyk7" localSheetId="4" hidden="1">""</definedName>
    <definedName name="CellActionA343" comment="0" localSheetId="4" hidden="1">""</definedName>
    <definedName name="CellActionA343C0" comment="U2hvd0RyaWxsRG93bignRW1lcmdlbnQgQmV2ZXJhZ2UgUGFydG5lcnMnLCAnSGVjdGFyZVx1MDAyN3NcdEVtZXJnZW50IEJldmVyYWdlIFBhcnRuZXJzJywgJycsdGhpcyk7" localSheetId="4" hidden="1">""</definedName>
    <definedName name="CellActionA344" comment="0" localSheetId="4" hidden="1">""</definedName>
    <definedName name="CellActionA344C0" comment="U2hvd0RyaWxsRG93bignRW1lcmdlbnQgQmV2ZXJhZ2UgUGFydG5lcnMnLCAnQ3Jvb2tlZCBCZXZlcmFnZVx0RW1lcmdlbnQgQmV2ZXJhZ2UgUGFydG5lcnMnLCAnJyx0aGlzKTs=" localSheetId="4" hidden="1">""</definedName>
    <definedName name="CellActionA345" comment="0" localSheetId="4" hidden="1">""</definedName>
    <definedName name="CellActionA345C0" comment="U2hvd0RyaWxsRG93bignRW1lcmdlbnQgQmV2ZXJhZ2UgUGFydG5lcnMnLCAnTGFyayBJbmZ1c2VkIEQ5XHRFbWVyZ2VudCBCZXZlcmFnZSBQYXJ0bmVycycsICcnLHRoaXMpOw==" localSheetId="4" hidden="1">""</definedName>
    <definedName name="CellActionA346" comment="0" localSheetId="4" hidden="1">""</definedName>
    <definedName name="CellActionA346C0" comment="U2hvd0RyaWxsRG93bignRW1lcmdlbnQgQmV2ZXJhZ2UgUGFydG5lcnMnLCAnQm9sZHQgSW5mdXNlZCBEOVx0RW1lcmdlbnQgQmV2ZXJhZ2UgUGFydG5lcnMnLCAnJyx0aGlzKTs=" localSheetId="4" hidden="1">""</definedName>
    <definedName name="CellActionA347" comment="0" localSheetId="4" hidden="1">""</definedName>
    <definedName name="CellActionA347C0" comment="U2hvd0RyaWxsRG93bignRW1lcmdlbnQgQmV2ZXJhZ2UgUGFydG5lcnMnLCAnQmVja2V0dFx1MDAyN3MgRDlcdEVtZXJnZW50IEJldmVyYWdlIFBhcnRuZXJzJywgJycsdGhpcyk7" localSheetId="4" hidden="1">""</definedName>
    <definedName name="CellActionA348" comment="0" localSheetId="4" hidden="1">""</definedName>
    <definedName name="CellActionA348C0" comment="U2hvd0RyaWxsRG93bignMiBUb3ducyBDaWRlcmhvdXNlJywgJycsICcnLHRoaXMpOw==" localSheetId="4" hidden="1">""</definedName>
    <definedName name="CellActionA349" comment="0" localSheetId="4" hidden="1">""</definedName>
    <definedName name="CellActionA349C0" comment="U2hvd0RyaWxsRG93bignMiBUb3ducyBDaWRlcmhvdXNlJywgJ0NyYWZ0d2VsbFx0MiBUb3ducyBDaWRlcmhvdXNlJywgJycsdGhpcyk7" localSheetId="4" hidden="1">""</definedName>
    <definedName name="CellActionA34C0" comment="U2hvd0RyaWxsRG93bignTW9sc29uQ29vcnMgQmV2ZXJhZ2UgQ29tcGFueScsICdQaWxzbmVyIFVycXVlbGxcdE1vbHNvbkNvb3JzIEJldmVyYWdlIENvbXBhbnknLCAnJyx0aGlzKTs=" localSheetId="4" hidden="1">""</definedName>
    <definedName name="CellActionA35" comment="0" localSheetId="4" hidden="1">""</definedName>
    <definedName name="CellActionA350" comment="0" localSheetId="4" hidden="1">""</definedName>
    <definedName name="CellActionA350C0" comment="U2hvd0RyaWxsRG93bignS2ltbyBTcGlyaXRzJywgJycsICcnLHRoaXMpOw==" localSheetId="4" hidden="1">""</definedName>
    <definedName name="CellActionA351" comment="0" localSheetId="4" hidden="1">""</definedName>
    <definedName name="CellActionA351C0" comment="U2hvd0RyaWxsRG93bignS2ltbyBTcGlyaXRzJywgJ1RydXN0ZWQgRnJpZW5kIENvY2t0YWlsc1x0S2ltbyBTcGlyaXRzJywgJycsdGhpcyk7" localSheetId="4" hidden="1">""</definedName>
    <definedName name="CellActionA352" comment="0" localSheetId="4" hidden="1">""</definedName>
    <definedName name="CellActionA352C0" comment="U2hvd0RyaWxsRG93bignUG9pbnQgQnJld2luZycsICcnLCAnJyx0aGlzKTs=" localSheetId="4" hidden="1">""</definedName>
    <definedName name="CellActionA353" comment="0" localSheetId="4" hidden="1">""</definedName>
    <definedName name="CellActionA353C0" comment="U2hvd0RyaWxsRG93bignUG9pbnQgQnJld2luZycsICdXaG9sZSBIb2dcdFBvaW50IEJyZXdpbmcnLCAnJyx0aGlzKTs=" localSheetId="4" hidden="1">""</definedName>
    <definedName name="CellActionA354" comment="0" localSheetId="4" hidden="1">""</definedName>
    <definedName name="CellActionA354C0" comment="U2hvd0RyaWxsRG93bignUHJpbW9zIEltcG9ydHMgTExDJywgJycsICcnLHRoaXMpOw==" localSheetId="4" hidden="1">""</definedName>
    <definedName name="CellActionA355" comment="0" localSheetId="4" hidden="1">""</definedName>
    <definedName name="CellActionA355C0" comment="U2hvd0RyaWxsRG93bignUHJpbW9zIEltcG9ydHMgTExDJywgJ0NoYXJyb1x0UHJpbW9zIEltcG9ydHMgTExDJywgJycsdGhpcyk7" localSheetId="4" hidden="1">""</definedName>
    <definedName name="CellActionA356" comment="0" localSheetId="4" hidden="1">""</definedName>
    <definedName name="CellActionA356C0" comment="U2hvd0RyaWxsRG93bignUHJpbW9zIEltcG9ydHMgTExDJywgJ01vbnRlIFhhbmljXHRQcmltb3MgSW1wb3J0cyBMTEMnLCAnJyx0aGlzKTs=" localSheetId="4" hidden="1">""</definedName>
    <definedName name="CellActionA357" comment="0" localSheetId="4" hidden="1">""</definedName>
    <definedName name="CellActionA357C0" comment="U2hvd0RyaWxsRG93bignUHJpbW9zIEltcG9ydHMgTExDJywgJ1JvbXBlIENvcmF6b25cdFByaW1vcyBJbXBvcnRzIExMQycsICcnLHRoaXMpOw==" localSheetId="4" hidden="1">""</definedName>
    <definedName name="CellActionA358" comment="0" localSheetId="4" hidden="1">""</definedName>
    <definedName name="CellActionA358C0" comment="U2hvd0RyaWxsRG93bignUHJpbW9zIEltcG9ydHMgTExDJywgJ0d1YW5hbWUgUm9tcG9wZVx0UHJpbW9zIEltcG9ydHMgTExDJywgJycsdGhpcyk7" localSheetId="4" hidden="1">""</definedName>
    <definedName name="CellActionA359" comment="0" localSheetId="4" hidden="1">""</definedName>
    <definedName name="CellActionA359C0" comment="U2hvd0RyaWxsRG93bignT2NlYW5vJywgJycsICcnLHRoaXMpOw==" localSheetId="4" hidden="1">""</definedName>
    <definedName name="CellActionA35C0" comment="U2hvd0RyaWxsRG93bignTW9sc29uQ29vcnMgQmV2ZXJhZ2UgQ29tcGFueScsICdNaWxsZXIgR2VudWluZSBEcmFmdFx0TW9sc29uQ29vcnMgQmV2ZXJhZ2UgQ29tcGFueScsICcnLHRoaXMpOw==" localSheetId="4" hidden="1">""</definedName>
    <definedName name="CellActionA36" comment="0" localSheetId="4" hidden="1">""</definedName>
    <definedName name="CellActionA360" comment="0" localSheetId="4" hidden="1">""</definedName>
    <definedName name="CellActionA360C0" comment="U2hvd0RyaWxsRG93bignT2NlYW5vJywgJ09jZWFub1x0T2NlYW5vJywgJycsdGhpcyk7" localSheetId="4" hidden="1">""</definedName>
    <definedName name="CellActionA361" comment="0" localSheetId="4" hidden="1">""</definedName>
    <definedName name="CellActionA361C0" comment="U2hvd0RyaWxsRG93bignSXNsYW5kIEJyYW5kcyBVU0EnLCAnJywgJycsdGhpcyk7" localSheetId="4" hidden="1">""</definedName>
    <definedName name="CellActionA362" comment="0" localSheetId="4" hidden="1">""</definedName>
    <definedName name="CellActionA362C0" comment="U2hvd0RyaWxsRG93bignSXNsYW5kIEJyYW5kcyBVU0EnLCAnSXNsYW5kIEJyYW5kc1x0SXNsYW5kIEJyYW5kcyBVU0EnLCAnJyx0aGlzKTs=" localSheetId="4" hidden="1">""</definedName>
    <definedName name="CellActionA363" comment="0" localSheetId="4" hidden="1">""</definedName>
    <definedName name="CellActionA363C0" comment="U2hvd0RyaWxsRG93bignRWxldmVuMjAnLCAnJywgJycsdGhpcyk7" localSheetId="4" hidden="1">""</definedName>
    <definedName name="CellActionA364" comment="0" localSheetId="4" hidden="1">""</definedName>
    <definedName name="CellActionA364C0" comment="U2hvd0RyaWxsRG93bignRWxldmVuMjAnLCAnRWxldmVuMjAgVGVxdWlsYVx0RWxldmVuMjAnLCAnJyx0aGlzKTs=" localSheetId="4" hidden="1">""</definedName>
    <definedName name="CellActionA365" comment="0" localSheetId="4" hidden="1">""</definedName>
    <definedName name="CellActionA365C0" comment="U2hvd0RyaWxsRG93bignV2F0ZXJsb28gR2luJywgJycsICcnLHRoaXMpOw==" localSheetId="4" hidden="1">""</definedName>
    <definedName name="CellActionA366" comment="0" localSheetId="4" hidden="1">""</definedName>
    <definedName name="CellActionA366C0" comment="U2hvd0RyaWxsRG93bignV2F0ZXJsb28gR2luJywgJ1dhdGVybG9vIEdpblx0V2F0ZXJsb28gR2luJywgJycsdGhpcyk7" localSheetId="4" hidden="1">""</definedName>
    <definedName name="CellActionA367" comment="0" localSheetId="4" hidden="1">""</definedName>
    <definedName name="CellActionA367C0" comment="U2hvd0RyaWxsRG93bignV2F0ZXJiaXJkIFNwaXJpdHMnLCAnJywgJycsdGhpcyk7" localSheetId="4" hidden="1">""</definedName>
    <definedName name="CellActionA368" comment="0" localSheetId="4" hidden="1">""</definedName>
    <definedName name="CellActionA368C0" comment="U2hvd0RyaWxsRG93bignV2F0ZXJiaXJkIFNwaXJpdHMnLCAnV2F0ZXJiaXJkIFNwaXJpdHNcdFdhdGVyYmlyZCBTcGlyaXRzJywgJycsdGhpcyk7" localSheetId="4" hidden="1">""</definedName>
    <definedName name="CellActionA369" comment="0" localSheetId="4" hidden="1">""</definedName>
    <definedName name="CellActionA369C0" comment="U2hvd0RyaWxsRG93bignVml2YSBCZXZlcmFnZXMgSW5jJywgJycsICcnLHRoaXMpOw==" localSheetId="4" hidden="1">""</definedName>
    <definedName name="CellActionA36C0" comment="U2hvd0RyaWxsRG93bignTW9sc29uQ29vcnMgQmV2ZXJhZ2UgQ29tcGFueScsICdNaWxsZXIgRXh0cmEgTGlnaHRcdE1vbHNvbkNvb3JzIEJldmVyYWdlIENvbXBhbnknLCAnJyx0aGlzKTs=" localSheetId="4" hidden="1">""</definedName>
    <definedName name="CellActionA37" comment="0" localSheetId="4" hidden="1">""</definedName>
    <definedName name="CellActionA370" comment="0" localSheetId="4" hidden="1">""</definedName>
    <definedName name="CellActionA370C0" comment="U2hvd0RyaWxsRG93bignVml2YSBCZXZlcmFnZXMgSW5jJywgJ1ZpdmEgVGVxdWlsYSBTZWx0emVyXHRWaXZhIEJldmVyYWdlcyBJbmMnLCAnJyx0aGlzKTs=" localSheetId="4" hidden="1">""</definedName>
    <definedName name="CellActionA371" comment="0" localSheetId="4" hidden="1">""</definedName>
    <definedName name="CellActionA371C0" comment="U2hvd0RyaWxsRG93bignVHJpbml0eSBGbGF2b3JzJywgJycsICcnLHRoaXMpOw==" localSheetId="4" hidden="1">""</definedName>
    <definedName name="CellActionA372" comment="0" localSheetId="4" hidden="1">""</definedName>
    <definedName name="CellActionA372C0" comment="U2hvd0RyaWxsRG93bignVHJpbml0eSBGbGF2b3JzJywgJ1RyaW5pdHlcdFRyaW5pdHkgRmxhdm9ycycsICcnLHRoaXMpOw==" localSheetId="4" hidden="1">""</definedName>
    <definedName name="CellActionA373" comment="0" localSheetId="4" hidden="1">""</definedName>
    <definedName name="CellActionA373C0" comment="U2hvd0RyaWxsRG93bignVGlscmF5IEFsdGVybmF0aXZlIEJldmVyYWdlJywgJycsICcnLHRoaXMpOw==" localSheetId="4" hidden="1">""</definedName>
    <definedName name="CellActionA374" comment="0" localSheetId="4" hidden="1">""</definedName>
    <definedName name="CellActionA374C0" comment="U2hvd0RyaWxsRG93bignVGlscmF5IEFsdGVybmF0aXZlIEJldmVyYWdlJywgJ0hlcmIgXHUwMDI2IEJsb29tXHRUaWxyYXkgQWx0ZXJuYXRpdmUgQmV2ZXJhZ2UnLCAnJyx0aGlzKTs=" localSheetId="4" hidden="1">""</definedName>
    <definedName name="CellActionA375" comment="0" localSheetId="4" hidden="1">""</definedName>
    <definedName name="CellActionA375C0" comment="U2hvd0RyaWxsRG93bignVGlscmF5IEFsdGVybmF0aXZlIEJldmVyYWdlJywgJ0hhcHB5IEZsb3dlclx0VGlscmF5IEFsdGVybmF0aXZlIEJldmVyYWdlJywgJycsdGhpcyk7" localSheetId="4" hidden="1">""</definedName>
    <definedName name="CellActionA376" comment="0" localSheetId="4" hidden="1">""</definedName>
    <definedName name="CellActionA376C0" comment="U2hvd0RyaWxsRG93bignVGlscmF5IEFsdGVybmF0aXZlIEJldmVyYWdlJywgJ0Zpenp5IEphbmVcdFRpbHJheSBBbHRlcm5hdGl2ZSBCZXZlcmFnZScsICcnLHRoaXMpOw==" localSheetId="4" hidden="1">""</definedName>
    <definedName name="CellActionA377" comment="0" localSheetId="4" hidden="1">""</definedName>
    <definedName name="CellActionA377C0" comment="U2hvd0RyaWxsRG93bignVGhlIE9sZCBHIExMQycsICcnLCAnJyx0aGlzKTs=" localSheetId="4" hidden="1">""</definedName>
    <definedName name="CellActionA378" comment="0" localSheetId="4" hidden="1">""</definedName>
    <definedName name="CellActionA378C0" comment="U2hvd0RyaWxsRG93bignVGhlIE9sZCBHIExMQycsICdUaGUgT2xkIEdcdFRoZSBPbGQgRyBMTEMnLCAnJyx0aGlzKTs=" localSheetId="4" hidden="1">""</definedName>
    <definedName name="CellActionA379" comment="0" localSheetId="4" hidden="1">""</definedName>
    <definedName name="CellActionA379C0" comment="U2hvd0RyaWxsRG93bignU3Rld2FydFx1MDAyN3MnLCAnJywgJycsdGhpcyk7" localSheetId="4" hidden="1">""</definedName>
    <definedName name="CellActionA37C0" comment="U2hvd0RyaWxsRG93bignTW9sc29uQ29vcnMgQmV2ZXJhZ2UgQ29tcGFueScsICdNaWx3YXVrZWVcdTAwMjdzIEJlc3QgSWNlXHRNb2xzb25Db29ycyBCZXZlcmFnZSBDb21wYW55JywgJycsdGhpcyk7" localSheetId="4" hidden="1">""</definedName>
    <definedName name="CellActionA38" comment="0" localSheetId="4" hidden="1">""</definedName>
    <definedName name="CellActionA380" comment="0" localSheetId="4" hidden="1">""</definedName>
    <definedName name="CellActionA380C0" comment="U2hvd0RyaWxsRG93bignU3Rld2FydFx1MDAyN3MnLCAnU3Rld2FydFx1MDAyN3NcdFN0ZXdhcnRcdTAwMjdzJywgJycsdGhpcyk7" localSheetId="4" hidden="1">""</definedName>
    <definedName name="CellActionA381" comment="0" localSheetId="4" hidden="1">""</definedName>
    <definedName name="CellActionA381C0" comment="U2hvd0RyaWxsRG93bignU291cmNlIEJyZXdpbmcnLCAnJywgJycsdGhpcyk7" localSheetId="4" hidden="1">""</definedName>
    <definedName name="CellActionA382" comment="0" localSheetId="4" hidden="1">""</definedName>
    <definedName name="CellActionA382C0" comment="U2hvd0RyaWxsRG93bignU291cmNlIEJyZXdpbmcnLCAnU291cmNlIG9mIEhvcHBpbmVzc1x0U291cmNlIEJyZXdpbmcnLCAnJyx0aGlzKTs=" localSheetId="4" hidden="1">""</definedName>
    <definedName name="CellActionA383" comment="0" localSheetId="4" hidden="1">""</definedName>
    <definedName name="CellActionA383C0" comment="U2hvd0RyaWxsRG93bignU2VhZmFyZXInLCAnJywgJycsdGhpcyk7" localSheetId="4" hidden="1">""</definedName>
    <definedName name="CellActionA384" comment="0" localSheetId="4" hidden="1">""</definedName>
    <definedName name="CellActionA384C0" comment="U2hvd0RyaWxsRG93bignU2VhZmFyZXInLCAnU2VhZmFyZXJcdFNlYWZhcmVyJywgJycsdGhpcyk7" localSheetId="4" hidden="1">""</definedName>
    <definedName name="CellActionA385" comment="0" localSheetId="4" hidden="1">""</definedName>
    <definedName name="CellActionA385C0" comment="U2hvd0RyaWxsRG93bignU2F2b3JpYW4gSU5DJywgJycsICcnLHRoaXMpOw==" localSheetId="4" hidden="1">""</definedName>
    <definedName name="CellActionA386" comment="0" localSheetId="4" hidden="1">""</definedName>
    <definedName name="CellActionA386C0" comment="U2hvd0RyaWxsRG93bignU2F2b3JpYW4gSU5DJywgJ1N0b25leSBSaXZlclx0U2F2b3JpYW4gSU5DJywgJycsdGhpcyk7" localSheetId="4" hidden="1">""</definedName>
    <definedName name="CellActionA387" comment="0" localSheetId="4" hidden="1">""</definedName>
    <definedName name="CellActionA387C0" comment="U2hvd0RyaWxsRG93bignU2F2b3JpYW4gSU5DJywgJ0xlcyBEb21hbmlhbGVzIFJvc2UgRFx1MDAyNyBBbmpvdSBMb2lyZVx0U2F2b3JpYW4gSU5DJywgJycsdGhpcyk7" localSheetId="4" hidden="1">""</definedName>
    <definedName name="CellActionA388" comment="0" localSheetId="4" hidden="1">""</definedName>
    <definedName name="CellActionA388C0" comment="U2hvd0RyaWxsRG93bignU2F2b3JpYW4gSU5DJywgJ0Nhc3RlbGxhbmkgRXRpY2hldHRhIEdpYWxsYVx0U2F2b3JpYW4gSU5DJywgJycsdGhpcyk7" localSheetId="4" hidden="1">""</definedName>
    <definedName name="CellActionA389" comment="0" localSheetId="4" hidden="1">""</definedName>
    <definedName name="CellActionA389C0" comment="U2hvd0RyaWxsRG93bignU2F2b3JpYW4gSU5DJywgJ0NhbGlzZVx0U2F2b3JpYW4gSU5DJywgJycsdGhpcyk7" localSheetId="4" hidden="1">""</definedName>
    <definedName name="CellActionA38C0" comment="U2hvd0RyaWxsRG93bignTW9sc29uQ29vcnMgQmV2ZXJhZ2UgQ29tcGFueScsICdHcm9sc2NoXHRNb2xzb25Db29ycyBCZXZlcmFnZSBDb21wYW55JywgJycsdGhpcyk7" localSheetId="4" hidden="1">""</definedName>
    <definedName name="CellActionA39" comment="0" localSheetId="4" hidden="1">""</definedName>
    <definedName name="CellActionA390" comment="0" localSheetId="4" hidden="1">""</definedName>
    <definedName name="CellActionA390C0" comment="U2hvd0RyaWxsRG93bignUml2aWVyYSBJbXBvcnRzJywgJycsICcnLHRoaXMpOw==" localSheetId="4" hidden="1">""</definedName>
    <definedName name="CellActionA391" comment="0" localSheetId="4" hidden="1">""</definedName>
    <definedName name="CellActionA391C0" comment="U2hvd0RyaWxsRG93bignUml2aWVyYSBJbXBvcnRzJywgJ0VjYWFuYVx0Uml2aWVyYSBJbXBvcnRzJywgJycsdGhpcyk7" localSheetId="4" hidden="1">""</definedName>
    <definedName name="CellActionA392" comment="0" localSheetId="4" hidden="1">""</definedName>
    <definedName name="CellActionA392C0" comment="U2hvd0RyaWxsRG93bignUmFkaXggTGFicycsICcnLCAnJyx0aGlzKTs=" localSheetId="4" hidden="1">""</definedName>
    <definedName name="CellActionA393" comment="0" localSheetId="4" hidden="1">""</definedName>
    <definedName name="CellActionA393C0" comment="U2hvd0RyaWxsRG93bignUmFkaXggTGFicycsICdGaW5kIFd1bmRlclx0UmFkaXggTGFicycsICcnLHRoaXMpOw==" localSheetId="4" hidden="1">""</definedName>
    <definedName name="CellActionA394" comment="0" localSheetId="4" hidden="1">""</definedName>
    <definedName name="CellActionA394C0" comment="U2hvd0RyaWxsRG93bignUGFzc2lvbiBUcmVlIENvJywgJycsICcnLHRoaXMpOw==" localSheetId="4" hidden="1">""</definedName>
    <definedName name="CellActionA395" comment="0" localSheetId="4" hidden="1">""</definedName>
    <definedName name="CellActionA395C0" comment="U2hvd0RyaWxsRG93bignUGFzc2lvbiBUcmVlIENvJywgJ1BvcCBTaXBzXHRQYXNzaW9uIFRyZWUgQ28nLCAnJyx0aGlzKTs=" localSheetId="4" hidden="1">""</definedName>
    <definedName name="CellActionA396" comment="0" localSheetId="4" hidden="1">""</definedName>
    <definedName name="CellActionA396C0" comment="U2hvd0RyaWxsRG93bignUGFyayBTdHJlZXQgSW1wb3J0cycsICcnLCAnJyx0aGlzKTs=" localSheetId="4" hidden="1">""</definedName>
    <definedName name="CellActionA397" comment="0" localSheetId="4" hidden="1">""</definedName>
    <definedName name="CellActionA397C0" comment="U2hvd0RyaWxsRG93bignUGFyayBTdHJlZXQgSW1wb3J0cycsICdQbGFpZCBEdWNrXHRQYXJrIFN0cmVldCBJbXBvcnRzJywgJycsdGhpcyk7" localSheetId="4" hidden="1">""</definedName>
    <definedName name="CellActionA398" comment="0" localSheetId="4" hidden="1">""</definedName>
    <definedName name="CellActionA398C0" comment="U2hvd0RyaWxsRG93bignUGFyYWRpc3NlIFNwaXJpdHMgTExDJywgJycsICcnLHRoaXMpOw==" localSheetId="4" hidden="1">""</definedName>
    <definedName name="CellActionA399" comment="0" localSheetId="4" hidden="1">""</definedName>
    <definedName name="CellActionA399C0" comment="U2hvd0RyaWxsRG93bignUGFyYWRpc3NlIFNwaXJpdHMgTExDJywgJ1BhcmFkaXNzZVx0UGFyYWRpc3NlIFNwaXJpdHMgTExDJywgJycsdGhpcyk7" localSheetId="4" hidden="1">""</definedName>
    <definedName name="CellActionA39C0" comment="U2hvd0RyaWxsRG93bignTW9sc29uQ29vcnMgQmV2ZXJhZ2UgQ29tcGFueScsICdDdXNxdWVuYVx0TW9sc29uQ29vcnMgQmV2ZXJhZ2UgQ29tcGFueScsICcnLHRoaXMpOw==" localSheetId="4" hidden="1">""</definedName>
    <definedName name="CellActionA3C0" comment="U2hvd0RyaWxsRG93bignQ29uc3RlbGxhdGlvbiBCcmFuZHMnLCAnJywgJycsdGhpcyk7" localSheetId="4" hidden="1">""</definedName>
    <definedName name="CellActionA4" comment="0" localSheetId="4" hidden="1">""</definedName>
    <definedName name="CellActionA40" comment="0" localSheetId="4" hidden="1">""</definedName>
    <definedName name="CellActionA400" comment="0" localSheetId="4" hidden="1">""</definedName>
    <definedName name="CellActionA400C0" comment="U2hvd0RyaWxsRG93bignTW9udHVja3kgQ29sZCBTbmFja3MnLCAnJywgJycsdGhpcyk7" localSheetId="4" hidden="1">""</definedName>
    <definedName name="CellActionA401" comment="0" localSheetId="4" hidden="1">""</definedName>
    <definedName name="CellActionA401C0" comment="U2hvd0RyaWxsRG93bignTW9udHVja3kgQ29sZCBTbmFja3MnLCAnTW9udHVja3lcdE1vbnR1Y2t5IENvbGQgU25hY2tzJywgJycsdGhpcyk7" localSheetId="4" hidden="1">""</definedName>
    <definedName name="CellActionA402" comment="0" localSheetId="4" hidden="1">""</definedName>
    <definedName name="CellActionA402C0" comment="U2hvd0RyaWxsRG93bignTW9kZXJuIEluZnVzaW9ucycsICcnLCAnJyx0aGlzKTs=" localSheetId="4" hidden="1">""</definedName>
    <definedName name="CellActionA403" comment="0" localSheetId="4" hidden="1">""</definedName>
    <definedName name="CellActionA403C0" comment="U2hvd0RyaWxsRG93bignTW9kZXJuIEluZnVzaW9ucycsICdIaTVcdE1vZGVybiBJbmZ1c2lvbnMnLCAnJyx0aGlzKTs=" localSheetId="4" hidden="1">""</definedName>
    <definedName name="CellActionA404" comment="0" localSheetId="4" hidden="1">""</definedName>
    <definedName name="CellActionA404C0" comment="U2hvd0RyaWxsRG93bignTW9kZXJuIEluZnVzaW9ucycsICdGaXZlaXNsYW5kc1x0TW9kZXJuIEluZnVzaW9ucycsICcnLHRoaXMpOw==" localSheetId="4" hidden="1">""</definedName>
    <definedName name="CellActionA405" comment="0" localSheetId="4" hidden="1">""</definedName>
    <definedName name="CellActionA405C0" comment="U2hvd0RyaWxsRG93bignTWlzYycsICcnLCAnJyx0aGlzKTs=" localSheetId="4" hidden="1">""</definedName>
    <definedName name="CellActionA406" comment="0" localSheetId="4" hidden="1">""</definedName>
    <definedName name="CellActionA406C0" comment="U2hvd0RyaWxsRG93bignTWlzYycsICdNaXNjXHRNaXNjJywgJycsdGhpcyk7" localSheetId="4" hidden="1">""</definedName>
    <definedName name="CellActionA407" comment="0" localSheetId="4" hidden="1">""</definedName>
    <definedName name="CellActionA407C0" comment="U2hvd0RyaWxsRG93bignTWlrZVx1MDAyN3MgTGVtb25hZGUnLCAnJywgJycsdGhpcyk7" localSheetId="4" hidden="1">""</definedName>
    <definedName name="CellActionA408" comment="0" localSheetId="4" hidden="1">""</definedName>
    <definedName name="CellActionA408C0" comment="U2hvd0RyaWxsRG93bignTWlrZVx1MDAyN3MgTGVtb25hZGUnLCAnUmV5IEF6dWxcdE1pa2VcdTAwMjdzIExlbW9uYWRlJywgJycsdGhpcyk7" localSheetId="4" hidden="1">""</definedName>
    <definedName name="CellActionA409" comment="0" localSheetId="4" hidden="1">""</definedName>
    <definedName name="CellActionA409C0" comment="U2hvd0RyaWxsRG93bignTWlrZVx1MDAyN3MgTGVtb25hZGUnLCAnTWlrZVx1MDAyN3MgSGFyZCBTZWx0emVyXHRNaWtlXHUwMDI3cyBMZW1vbmFkZScsICcnLHRoaXMpOw==" localSheetId="4" hidden="1">""</definedName>
    <definedName name="CellActionA40C0" comment="U2hvd0RyaWxsRG93bignTW9sc29uQ29vcnMgQmV2ZXJhZ2UgQ29tcGFueScsICdPbGQgRW5nbGlzaFx0TW9sc29uQ29vcnMgQmV2ZXJhZ2UgQ29tcGFueScsICcnLHRoaXMpOw==" localSheetId="4" hidden="1">""</definedName>
    <definedName name="CellActionA41" comment="0" localSheetId="4" hidden="1">""</definedName>
    <definedName name="CellActionA410" comment="0" localSheetId="4" hidden="1">""</definedName>
    <definedName name="CellActionA410C0" comment="U2hvd0RyaWxsRG93bignTG9kbyBCcmFuZHMnLCAnJywgJycsdGhpcyk7" localSheetId="4" hidden="1">""</definedName>
    <definedName name="CellActionA411" comment="0" localSheetId="4" hidden="1">""</definedName>
    <definedName name="CellActionA411C0" comment="U2hvd0RyaWxsRG93bignTG9kbyBCcmFuZHMnLCAnTG9Eb1x0TG9kbyBCcmFuZHMnLCAnJyx0aGlzKTs=" localSheetId="4" hidden="1">""</definedName>
    <definedName name="CellActionA412" comment="0" localSheetId="4" hidden="1">""</definedName>
    <definedName name="CellActionA412C0" comment="U2hvd0RyaWxsRG93bignTGljb3JlcyBBcnRlc2FuYWxlcycsICcnLCAnJyx0aGlzKTs=" localSheetId="4" hidden="1">""</definedName>
    <definedName name="CellActionA413" comment="0" localSheetId="4" hidden="1">""</definedName>
    <definedName name="CellActionA413C0" comment="U2hvd0RyaWxsRG93bignTGljb3JlcyBBcnRlc2FuYWxlcycsICdEZXNxdWl0ZVx0TGljb3JlcyBBcnRlc2FuYWxlcycsICcnLHRoaXMpOw==" localSheetId="4" hidden="1">""</definedName>
    <definedName name="CellActionA414" comment="0" localSheetId="4" hidden="1">""</definedName>
    <definedName name="CellActionA414C0" comment="U2hvd0RyaWxsRG93bignTGFpcmQgXHUwMDI2IENvbXBhbnknLCAnJywgJycsdGhpcyk7" localSheetId="4" hidden="1">""</definedName>
    <definedName name="CellActionA415" comment="0" localSheetId="4" hidden="1">""</definedName>
    <definedName name="CellActionA415C0" comment="U2hvd0RyaWxsRG93bignTGFpcmQgXHUwMDI2IENvbXBhbnknLCAnRml2ZSBPXHUwMDI3Q2xvY2tcdExhaXJkIFx1MDAyNiBDb21wYW55JywgJycsdGhpcyk7" localSheetId="4" hidden="1">""</definedName>
    <definedName name="CellActionA416" comment="0" localSheetId="4" hidden="1">""</definedName>
    <definedName name="CellActionA416C0" comment="U2hvd0RyaWxsRG93bignSmVyemV5IEp1bmdsZSBMTEMnLCAnJywgJycsdGhpcyk7" localSheetId="4" hidden="1">""</definedName>
    <definedName name="CellActionA417" comment="0" localSheetId="4" hidden="1">""</definedName>
    <definedName name="CellActionA417C0" comment="U2hvd0RyaWxsRG93bignSmVyemV5IEp1bmdsZSBMTEMnLCAnSmVyemV5IEp1bmdsZVx0SmVyemV5IEp1bmdsZSBMTEMnLCAnJyx0aGlzKTs=" localSheetId="4" hidden="1">""</definedName>
    <definedName name="CellActionA418" comment="0" localSheetId="4" hidden="1">""</definedName>
    <definedName name="CellActionA418C0" comment="U2hvd0RyaWxsRG93bignSXJvbiBIb3JzZScsICcnLCAnJyx0aGlzKTs=" localSheetId="4" hidden="1">""</definedName>
    <definedName name="CellActionA419" comment="0" localSheetId="4" hidden="1">""</definedName>
    <definedName name="CellActionA419C0" comment="U2hvd0RyaWxsRG93bignSXJvbiBIb3JzZScsICdTYWJyYXNvbFx0SXJvbiBIb3JzZScsICcnLHRoaXMpOw==" localSheetId="4" hidden="1">""</definedName>
    <definedName name="CellActionA41C0" comment="U2hvd0RyaWxsRG93bignTW9sc29uQ29vcnMgQmV2ZXJhZ2UgQ29tcGFueScsICdDcmlzdGFsXHRNb2xzb25Db29ycyBCZXZlcmFnZSBDb21wYW55JywgJycsdGhpcyk7" localSheetId="4" hidden="1">""</definedName>
    <definedName name="CellActionA42" comment="0" localSheetId="4" hidden="1">""</definedName>
    <definedName name="CellActionA420" comment="0" localSheetId="4" hidden="1">""</definedName>
    <definedName name="CellActionA420C0" comment="U2hvd0RyaWxsRG93bignSG9ybmVsbCBCcmV3aW5nIENvbXBhbnknLCAnJywgJycsdGhpcyk7" localSheetId="4" hidden="1">""</definedName>
    <definedName name="CellActionA421" comment="0" localSheetId="4" hidden="1">""</definedName>
    <definedName name="CellActionA421C0" comment="U2hvd0RyaWxsRG93bignSG9ybmVsbCBCcmV3aW5nIENvbXBhbnknLCAnQXJpem9uYSBIYXJkXHRIb3JuZWxsIEJyZXdpbmcgQ29tcGFueScsICcnLHRoaXMpOw==" localSheetId="4" hidden="1">""</definedName>
    <definedName name="CellActionA422" comment="0" localSheetId="4" hidden="1">""</definedName>
    <definedName name="CellActionA422C0" comment="U2hvd0RyaWxsRG93bignSGVhdnkgU2VhcycsICcnLCAnJyx0aGlzKTs=" localSheetId="4" hidden="1">""</definedName>
    <definedName name="CellActionA423" comment="0" localSheetId="4" hidden="1">""</definedName>
    <definedName name="CellActionA423C0" comment="U2hvd0RyaWxsRG93bignSGVhdnkgU2VhcycsICdIZWF2eSBTZWFzXHRIZWF2eSBTZWFzJywgJycsdGhpcyk7" localSheetId="4" hidden="1">""</definedName>
    <definedName name="CellActionA424" comment="0" localSheetId="4" hidden="1">""</definedName>
    <definedName name="CellActionA424C0" comment="U2hvd0RyaWxsRG93bignR29vZCBTdXBwbHknLCAnJywgJycsdGhpcyk7" localSheetId="4" hidden="1">""</definedName>
    <definedName name="CellActionA425" comment="0" localSheetId="4" hidden="1">""</definedName>
    <definedName name="CellActionA425C0" comment="U2hvd0RyaWxsRG93bignR29vZCBTdXBwbHknLCAnR29vZCBTdXBwbHlcdEdvb2QgU3VwcGx5JywgJycsdGhpcyk7" localSheetId="4" hidden="1">""</definedName>
    <definedName name="CellActionA426" comment="0" localSheetId="4" hidden="1">""</definedName>
    <definedName name="CellActionA426C0" comment="U2hvd0RyaWxsRG93bignR2lnbGknLCAnJywgJycsdGhpcyk7" localSheetId="4" hidden="1">""</definedName>
    <definedName name="CellActionA427" comment="0" localSheetId="4" hidden="1">""</definedName>
    <definedName name="CellActionA427C0" comment="U2hvd0RyaWxsRG93bignR2lnbGknLCAnR2lnbGlcdEdpZ2xpJywgJycsdGhpcyk7" localSheetId="4" hidden="1">""</definedName>
    <definedName name="CellActionA428" comment="0" localSheetId="4" hidden="1">""</definedName>
    <definedName name="CellActionA428C0" comment="U2hvd0RyaWxsRG93bignRnVua3kgQnVkZGhhJywgJycsICcnLHRoaXMpOw==" localSheetId="4" hidden="1">""</definedName>
    <definedName name="CellActionA429" comment="0" localSheetId="4" hidden="1">""</definedName>
    <definedName name="CellActionA429C0" comment="U2hvd0RyaWxsRG93bignRnVua3kgQnVkZGhhJywgJ0Z1bmt5IEJ1ZGRoYVx0RnVua3kgQnVkZGhhJywgJycsdGhpcyk7" localSheetId="4" hidden="1">""</definedName>
    <definedName name="CellActionA42C0" comment="U2hvd0RyaWxsRG93bignTW9sc29uQ29vcnMgQmV2ZXJhZ2UgQ29tcGFueScsICdHZW9yZ2UgS2lsbGlhblx1MDAyN3NcdE1vbHNvbkNvb3JzIEJldmVyYWdlIENvbXBhbnknLCAnJyx0aGlzKTs=" localSheetId="4" hidden="1">""</definedName>
    <definedName name="CellActionA43" comment="0" localSheetId="4" hidden="1">""</definedName>
    <definedName name="CellActionA430" comment="0" localSheetId="4" hidden="1">""</definedName>
    <definedName name="CellActionA430C0" comment="U2hvd0RyaWxsRG93bignRmxvcmlkYSBDYXJpYmJlYW4gRGlzdGlsbGVycyBMTEMnLCAnJywgJycsdGhpcyk7" localSheetId="4" hidden="1">""</definedName>
    <definedName name="CellActionA431" comment="0" localSheetId="4" hidden="1">""</definedName>
    <definedName name="CellActionA431C0" comment="U2hvd0RyaWxsRG93bignRmxvcmlkYSBDYXJpYmJlYW4gRGlzdGlsbGVycyBMTEMnLCAnQ2FwcmljY2lvXHRGbG9yaWRhIENhcmliYmVhbiBEaXN0aWxsZXJzIExMQycsICcnLHRoaXMpOw==" localSheetId="4" hidden="1">""</definedName>
    <definedName name="CellActionA432" comment="0" localSheetId="4" hidden="1">""</definedName>
    <definedName name="CellActionA432C0" comment="U2hvd0RyaWxsRG93bignRmxhZ3NoaXAgQnJld2VyeScsICcnLCAnJyx0aGlzKTs=" localSheetId="4" hidden="1">""</definedName>
    <definedName name="CellActionA433" comment="0" localSheetId="4" hidden="1">""</definedName>
    <definedName name="CellActionA433C0" comment="U2hvd0RyaWxsRG93bignRmxhZ3NoaXAgQnJld2VyeScsICdGbGFnc2hpcFx0RmxhZ3NoaXAgQnJld2VyeScsICcnLHRoaXMpOw==" localSheetId="4" hidden="1">""</definedName>
    <definedName name="CellActionA434" comment="0" localSheetId="4" hidden="1">""</definedName>
    <definedName name="CellActionA434C0" comment="U2hvd0RyaWxsRG93bignRHJlYW16IEludmVuc3RtZW50cyBMTEMnLCAnJywgJycsdGhpcyk7" localSheetId="4" hidden="1">""</definedName>
    <definedName name="CellActionA435" comment="0" localSheetId="4" hidden="1">""</definedName>
    <definedName name="CellActionA435C0" comment="U2hvd0RyaWxsRG93bignRHJlYW16IEludmVuc3RtZW50cyBMTEMnLCAnQnJpb1x0RHJlYW16IEludmVuc3RtZW50cyBMTEMnLCAnJyx0aGlzKTs=" localSheetId="4" hidden="1">""</definedName>
    <definedName name="CellActionA436" comment="0" localSheetId="4" hidden="1">""</definedName>
    <definedName name="CellActionA436C0" comment="U2hvd0RyaWxsRG93bignRGVsdGEgQmV2ZXJhZ2UgTExDJywgJycsICcnLHRoaXMpOw==" localSheetId="4" hidden="1">""</definedName>
    <definedName name="CellActionA437" comment="0" localSheetId="4" hidden="1">""</definedName>
    <definedName name="CellActionA437C0" comment="U2hvd0RyaWxsRG93bignRGVsdGEgQmV2ZXJhZ2UgTExDJywgJ0RFTFRBXHREZWx0YSBCZXZlcmFnZSBMTEMnLCAnJyx0aGlzKTs=" localSheetId="4" hidden="1">""</definedName>
    <definedName name="CellActionA438" comment="0" localSheetId="4" hidden="1">""</definedName>
    <definedName name="CellActionA438C0" comment="U2hvd0RyaWxsRG93bignRGFkIEdyYXNzJywgJycsICcnLHRoaXMpOw==" localSheetId="4" hidden="1">""</definedName>
    <definedName name="CellActionA439" comment="0" localSheetId="4" hidden="1">""</definedName>
    <definedName name="CellActionA439C0" comment="U2hvd0RyaWxsRG93bignRGFkIEdyYXNzJywgJ0RhZCBHcmFzc1x0RGFkIEdyYXNzJywgJycsdGhpcyk7" localSheetId="4" hidden="1">""</definedName>
    <definedName name="CellActionA43C0" comment="U2hvd0RyaWxsRG93bignTW9sc29uQ29vcnMgQmV2ZXJhZ2UgQ29tcGFueScsICdIYW1tXHUwMDI3c1x0TW9sc29uQ29vcnMgQmV2ZXJhZ2UgQ29tcGFueScsICcnLHRoaXMpOw==" localSheetId="4" hidden="1">""</definedName>
    <definedName name="CellActionA44" comment="0" localSheetId="4" hidden="1">""</definedName>
    <definedName name="CellActionA440" comment="0" localSheetId="4" hidden="1">""</definedName>
    <definedName name="CellActionA440C0" comment="U2hvd0RyaWxsRG93bignQ3Jlc2NlbnQgQ2FubmEnLCAnJywgJycsdGhpcyk7" localSheetId="4" hidden="1">""</definedName>
    <definedName name="CellActionA441" comment="0" localSheetId="4" hidden="1">""</definedName>
    <definedName name="CellActionA441C0" comment="U2hvd0RyaWxsRG93bignQ3Jlc2NlbnQgQ2FubmEnLCAnQ3Jlc2NlbnQgOVx0Q3Jlc2NlbnQgQ2FubmEnLCAnJyx0aGlzKTs=" localSheetId="4" hidden="1">""</definedName>
    <definedName name="CellActionA442" comment="0" localSheetId="4" hidden="1">""</definedName>
    <definedName name="CellActionA442C0" comment="U2hvd0RyaWxsRG93bignQ2F2YWxpZXIgVmVudHVyZXMsIExMQycsICcnLCAnJyx0aGlzKTs=" localSheetId="4" hidden="1">""</definedName>
    <definedName name="CellActionA443" comment="0" localSheetId="4" hidden="1">""</definedName>
    <definedName name="CellActionA443C0" comment="U2hvd0RyaWxsRG93bignQ2F2YWxpZXIgVmVudHVyZXMsIExMQycsICdDb2FzdGFsIENvY2t0YWlsc1x0Q2F2YWxpZXIgVmVudHVyZXMsIExMQycsICcnLHRoaXMpOw==" localSheetId="4" hidden="1">""</definedName>
    <definedName name="CellActionA444" comment="0" localSheetId="4" hidden="1">""</definedName>
    <definedName name="CellActionA444C0" comment="U2hvd0RyaWxsRG93bignQmxhemUgTGlmZSBMTEMnLCAnJywgJycsdGhpcyk7" localSheetId="4" hidden="1">""</definedName>
    <definedName name="CellActionA445" comment="0" localSheetId="4" hidden="1">""</definedName>
    <definedName name="CellActionA445C0" comment="U2hvd0RyaWxsRG93bignQmxhemUgTGlmZSBMTEMnLCAnTW90YVx1MDAyN0xhZGFcdEJsYXplIExpZmUgTExDJywgJycsdGhpcyk7" localSheetId="4" hidden="1">""</definedName>
    <definedName name="CellActionA446" comment="0" localSheetId="4" hidden="1">""</definedName>
    <definedName name="CellActionA446C0" comment="U2hvd0RyaWxsRG93bignQmxhemUgTGlmZSBMTEMnLCAnQm9kZWdhIENoaWxsZXJcdEJsYXplIExpZmUgTExDJywgJycsdGhpcyk7" localSheetId="4" hidden="1">""</definedName>
    <definedName name="CellActionA447" comment="0" localSheetId="4" hidden="1">""</definedName>
    <definedName name="CellActionA447C0" comment="U2hvd0RyaWxsRG93bignQmVsbGEgUmF5IEJldmVyYWdlJywgJycsICcnLHRoaXMpOw==" localSheetId="4" hidden="1">""</definedName>
    <definedName name="CellActionA448" comment="0" localSheetId="4" hidden="1">""</definedName>
    <definedName name="CellActionA448C0" comment="U2hvd0RyaWxsRG93bignQmVsbGEgUmF5IEJldmVyYWdlJywgJ0JlbGxhIFJheVx0QmVsbGEgUmF5IEJldmVyYWdlJywgJycsdGhpcyk7" localSheetId="4" hidden="1">""</definedName>
    <definedName name="CellActionA449" comment="0" localSheetId="4" hidden="1">""</definedName>
    <definedName name="CellActionA449C0" comment="U2hvd0RyaWxsRG93bignQmFyZHN0b3duIEJvdXJib24gQ28nLCAnJywgJycsdGhpcyk7" localSheetId="4" hidden="1">""</definedName>
    <definedName name="CellActionA44C0" comment="U2hvd0RyaWxsRG93bignTW9sc29uQ29vcnMgQmV2ZXJhZ2UgQ29tcGFueScsICdSZWRkXHUwMDI3cyBXaWNrZWRcdE1vbHNvbkNvb3JzIEJldmVyYWdlIENvbXBhbnknLCAnJyx0aGlzKTs=" localSheetId="4" hidden="1">""</definedName>
    <definedName name="CellActionA45" comment="0" localSheetId="4" hidden="1">""</definedName>
    <definedName name="CellActionA450" comment="0" localSheetId="4" hidden="1">""</definedName>
    <definedName name="CellActionA450C0" comment="U2hvd0RyaWxsRG93bignQmFyZHN0b3duIEJvdXJib24gQ28nLCAnQmFyZHN0b3duIEdyZWVuIFJpdmVyXHRCYXJkc3Rvd24gQm91cmJvbiBDbycsICcnLHRoaXMpOw==" localSheetId="4" hidden="1">""</definedName>
    <definedName name="CellActionA451" comment="0" localSheetId="4" hidden="1">""</definedName>
    <definedName name="CellActionA451C0" comment="U2hvd0RyaWxsRG93bignQmFyZHN0b3duIEJvdXJib24gQ28nLCAnQmFyZHN0b3duIEJvdXJib25cdEJhcmRzdG93biBCb3VyYm9uIENvJywgJycsdGhpcyk7" localSheetId="4" hidden="1">""</definedName>
    <definedName name="CellActionA452" comment="0" localSheetId="4" hidden="1">""</definedName>
    <definedName name="CellActionA452C0" comment="U2hvd0RyaWxsRG93bignQmFsbGFzdCBQb2ludCcsICcnLCAnJyx0aGlzKTs=" localSheetId="4" hidden="1">""</definedName>
    <definedName name="CellActionA453" comment="0" localSheetId="4" hidden="1">""</definedName>
    <definedName name="CellActionA453C0" comment="U2hvd0RyaWxsRG93bignQmFsbGFzdCBQb2ludCcsICdCYWxsYXN0IFBvaW50XHRCYWxsYXN0IFBvaW50JywgJycsdGhpcyk7" localSheetId="4" hidden="1">""</definedName>
    <definedName name="CellActionA454" comment="0" localSheetId="4" hidden="1">""</definedName>
    <definedName name="CellActionA454C0" comment="U2hvd0RyaWxsRG93bignQW1lcmljYW4gRnJ1aXRzJywgJycsICcnLHRoaXMpOw==" localSheetId="4" hidden="1">""</definedName>
    <definedName name="CellActionA455" comment="0" localSheetId="4" hidden="1">""</definedName>
    <definedName name="CellActionA455C0" comment="U2hvd0RyaWxsRG93bignQW1lcmljYW4gRnJ1aXRzJywgJ0FtZXJpY2FuIEZydWl0XHRBbWVyaWNhbiBGcnVpdHMnLCAnJyx0aGlzKTs=" localSheetId="4" hidden="1">""</definedName>
    <definedName name="CellActionA456" comment="0" localSheetId="4" hidden="1">""</definedName>
    <definedName name="CellActionA456C0" comment="U2hvd0RyaWxsRG93bignQWx0ZSBCZXZlcmFnZScsICcnLCAnJyx0aGlzKTs=" localSheetId="4" hidden="1">""</definedName>
    <definedName name="CellActionA457" comment="0" localSheetId="4" hidden="1">""</definedName>
    <definedName name="CellActionA457C0" comment="U2hvd0RyaWxsRG93bignQWx0ZSBCZXZlcmFnZScsICdBbHRlIEJldmVyYWdlXHRBbHRlIEJldmVyYWdlJywgJycsdGhpcyk7" localSheetId="4" hidden="1">""</definedName>
    <definedName name="CellActionA458" comment="0" localSheetId="4" hidden="1">""</definedName>
    <definedName name="CellActionA458C0" comment="U2hvd0RyaWxsRG93bignQWxpYXMgQnJldyBXb3JrcycsICcnLCAnJyx0aGlzKTs=" localSheetId="4" hidden="1">""</definedName>
    <definedName name="CellActionA459" comment="0" localSheetId="4" hidden="1">""</definedName>
    <definedName name="CellActionA459C0" comment="U2hvd0RyaWxsRG93bignQWxpYXMgQnJldyBXb3JrcycsICdBbGlhcyBCcmV3IFdvcmtzXHRBbGlhcyBCcmV3IFdvcmtzJywgJycsdGhpcyk7" localSheetId="4" hidden="1">""</definedName>
    <definedName name="CellActionA45C0" comment="U2hvd0RyaWxsRG93bignTW9sc29uQ29vcnMgQmV2ZXJhZ2UgQ29tcGFueScsICdTaW1wbHkgU3Bpa2VkXHRNb2xzb25Db29ycyBCZXZlcmFnZSBDb21wYW55JywgJycsdGhpcyk7" localSheetId="4" hidden="1">""</definedName>
    <definedName name="CellActionA46" comment="0" localSheetId="4" hidden="1">""</definedName>
    <definedName name="CellActionA460" comment="0" localSheetId="4" hidden="1">""</definedName>
    <definedName name="CellActionA460C0" comment="U2hvd0RyaWxsRG93bignQmVyY3p5IExMQycsICcnLCAnJyx0aGlzKTs=" localSheetId="4" hidden="1">""</definedName>
    <definedName name="CellActionA461" comment="0" localSheetId="4" hidden="1">""</definedName>
    <definedName name="CellActionA461C0" comment="U2hvd0RyaWxsRG93bignQmVyY3p5IExMQycsICdCZXJjenlcdEJlcmN6eSBMTEMnLCAnJyx0aGlzKTs=" localSheetId="4" hidden="1">""</definedName>
    <definedName name="CellActionA46C0" comment="U2hvd0RyaWxsRG93bignTW9sc29uQ29vcnMgQmV2ZXJhZ2UgQ29tcGFueScsICdUb3BvIENoaWNvXHRNb2xzb25Db29ycyBCZXZlcmFnZSBDb21wYW55JywgJycsdGhpcyk7" localSheetId="4" hidden="1">""</definedName>
    <definedName name="CellActionA47" comment="0" localSheetId="4" hidden="1">""</definedName>
    <definedName name="CellActionA47C0" comment="U2hvd0RyaWxsRG93bignTW9sc29uQ29vcnMgQmV2ZXJhZ2UgQ29tcGFueScsICdDb29ycyBFZGdlXHRNb2xzb25Db29ycyBCZXZlcmFnZSBDb21wYW55JywgJycsdGhpcyk7" localSheetId="4" hidden="1">""</definedName>
    <definedName name="CellActionA48" comment="0" localSheetId="4" hidden="1">""</definedName>
    <definedName name="CellActionA48C0" comment="U2hvd0RyaWxsRG93bignTW9sc29uQ29vcnMgQmV2ZXJhZ2UgQ29tcGFueScsICdBZ3VpbGFcdE1vbHNvbkNvb3JzIEJldmVyYWdlIENvbXBhbnknLCAnJyx0aGlzKTs=" localSheetId="4" hidden="1">""</definedName>
    <definedName name="CellActionA49" comment="0" localSheetId="4" hidden="1">""</definedName>
    <definedName name="CellActionA49C0" comment="U2hvd0RyaWxsRG93bignTW9sc29uQ29vcnMgQmV2ZXJhZ2UgQ29tcGFueScsICdWaXp6eVx0TW9sc29uQ29vcnMgQmV2ZXJhZ2UgQ29tcGFueScsICcnLHRoaXMpOw==" localSheetId="4" hidden="1">""</definedName>
    <definedName name="CellActionA4C0" comment="U2hvd0RyaWxsRG93bignQ29uc3RlbGxhdGlvbiBCcmFuZHMnLCAnQ29yb25hIEV4dHJhXHRDb25zdGVsbGF0aW9uIEJyYW5kcycsICcnLHRoaXMpOw==" localSheetId="4" hidden="1">""</definedName>
    <definedName name="CellActionA5" comment="0" localSheetId="4" hidden="1">""</definedName>
    <definedName name="CellActionA50" comment="0" localSheetId="4" hidden="1">""</definedName>
    <definedName name="CellActionA50C0" comment="U2hvd0RyaWxsRG93bignTW9sc29uQ29vcnMgQmV2ZXJhZ2UgQ29tcGFueScsICdNaWx3YXVrZWVcdTAwMjdzIEJlc3QgTGlnaHRcdE1vbHNvbkNvb3JzIEJldmVyYWdlIENvbXBhbnknLCAnJyx0aGlzKTs=" localSheetId="4" hidden="1">""</definedName>
    <definedName name="CellActionA51" comment="0" localSheetId="4" hidden="1">""</definedName>
    <definedName name="CellActionA51C0" comment="U2hvd0RyaWxsRG93bignTW9sc29uQ29vcnMgQmV2ZXJhZ2UgQ29tcGFueScsICdTb2xcdE1vbHNvbkNvb3JzIEJldmVyYWdlIENvbXBhbnknLCAnJyx0aGlzKTs=" localSheetId="4" hidden="1">""</definedName>
    <definedName name="CellActionA52" comment="0" localSheetId="4" hidden="1">""</definedName>
    <definedName name="CellActionA52C0" comment="U2hvd0RyaWxsRG93bignTW9sc29uQ29vcnMgQmV2ZXJhZ2UgQ29tcGFueScsICdSZWRkXHUwMDI3c1x0TW9sc29uQ29vcnMgQmV2ZXJhZ2UgQ29tcGFueScsICcnLHRoaXMpOw==" localSheetId="4" hidden="1">""</definedName>
    <definedName name="CellActionA53" comment="0" localSheetId="4" hidden="1">""</definedName>
    <definedName name="CellActionA53C0" comment="U2hvd0RyaWxsRG93bignTW9sc29uQ29vcnMgQmV2ZXJhZ2UgQ29tcGFueScsICdTdGVlbCBSZXNlcnZlIEFsbG95IFNlcmllc1x0TW9sc29uQ29vcnMgQmV2ZXJhZ2UgQ29tcGFueScsICcnLHRoaXMpOw==" localSheetId="4" hidden="1">""</definedName>
    <definedName name="CellActionA54" comment="0" localSheetId="4" hidden="1">""</definedName>
    <definedName name="CellActionA54C0" comment="U2hvd0RyaWxsRG93bignTW9sc29uQ29vcnMgQmV2ZXJhZ2UgQ29tcGFueScsICdMZWNoXHRNb2xzb25Db29ycyBCZXZlcmFnZSBDb21wYW55JywgJycsdGhpcyk7" localSheetId="4" hidden="1">""</definedName>
    <definedName name="CellActionA55" comment="0" localSheetId="4" hidden="1">""</definedName>
    <definedName name="CellActionA55C0" comment="U2hvd0RyaWxsRG93bignTW9sc29uQ29vcnMgQmV2ZXJhZ2UgQ29tcGFueScsICdGZXZlciBUcmVlXHRNb2xzb25Db29ycyBCZXZlcmFnZSBDb21wYW55JywgJycsdGhpcyk7" localSheetId="4" hidden="1">""</definedName>
    <definedName name="CellActionA56" comment="0" localSheetId="4" hidden="1">""</definedName>
    <definedName name="CellActionA56C0" comment="U2hvd0RyaWxsRG93bignTW9sc29uQ29vcnMgQmV2ZXJhZ2UgQ29tcGFueScsICdNaWx3YXVrZWVcdTAwMjdzIEJlc3RcdE1vbHNvbkNvb3JzIEJldmVyYWdlIENvbXBhbnknLCAnJyx0aGlzKTs=" localSheetId="4" hidden="1">""</definedName>
    <definedName name="CellActionA57" comment="0" localSheetId="4" hidden="1">""</definedName>
    <definedName name="CellActionA57C0" comment="U2hvd0RyaWxsRG93bignTW9sc29uQ29vcnMgQmV2ZXJhZ2UgQ29tcGFueScsICdMZWluZW5rdWdlbFx0TW9sc29uQ29vcnMgQmV2ZXJhZ2UgQ29tcGFueScsICcnLHRoaXMpOw==" localSheetId="4" hidden="1">""</definedName>
    <definedName name="CellActionA58" comment="0" localSheetId="4" hidden="1">""</definedName>
    <definedName name="CellActionA58C0" comment="U2hvd0RyaWxsRG93bignTW9sc29uQ29vcnMgQmV2ZXJhZ2UgQ29tcGFueScsICdIYXBweSBUaHVyc2RheSBTcGlrZWQgUmVmcmVzaGVyXHRNb2xzb25Db29ycyBCZXZlcmFnZSBDb21wYW55JywgJycsdGhpcyk7" localSheetId="4" hidden="1">""</definedName>
    <definedName name="CellActionA59" comment="0" localSheetId="4" hidden="1">""</definedName>
    <definedName name="CellActionA59C0" comment="U2hvd0RyaWxsRG93bignSGVpbmVrZW4gVVNBJywgJycsICcnLHRoaXMpOw==" localSheetId="4" hidden="1">""</definedName>
    <definedName name="CellActionA5C0" comment="U2hvd0RyaWxsRG93bignQ29uc3RlbGxhdGlvbiBCcmFuZHMnLCAnTW9kZWxvIEVzcGVjaWFsXHRDb25zdGVsbGF0aW9uIEJyYW5kcycsICcnLHRoaXMpOw==" localSheetId="4" hidden="1">""</definedName>
    <definedName name="CellActionA6" comment="0" localSheetId="4" hidden="1">""</definedName>
    <definedName name="CellActionA60" comment="0" localSheetId="4" hidden="1">""</definedName>
    <definedName name="CellActionA60C0" comment="U2hvd0RyaWxsRG93bignSGVpbmVrZW4gVVNBJywgJ0hlaW5la2VuIFVTQVx0SGVpbmVrZW4gVVNBJywgJycsdGhpcyk7" localSheetId="4" hidden="1">""</definedName>
    <definedName name="CellActionA61" comment="0" localSheetId="4" hidden="1">""</definedName>
    <definedName name="CellActionA61C0" comment="U2hvd0RyaWxsRG93bignSGVpbmVrZW4gVVNBJywgJ0hlaW5la2VuIExpZ2h0XHRIZWluZWtlbiBVU0EnLCAnJyx0aGlzKTs=" localSheetId="4" hidden="1">""</definedName>
    <definedName name="CellActionA62" comment="0" localSheetId="4" hidden="1">""</definedName>
    <definedName name="CellActionA62C0" comment="U2hvd0RyaWxsRG93bignSGVpbmVrZW4gVVNBJywgJ0hlaW5la2VuIDAuMFx0SGVpbmVrZW4gVVNBJywgJycsdGhpcyk7" localSheetId="4" hidden="1">""</definedName>
    <definedName name="CellActionA63" comment="0" localSheetId="4" hidden="1">""</definedName>
    <definedName name="CellActionA63C0" comment="U2hvd0RyaWxsRG93bignSGVpbmVrZW4gVVNBJywgJ0Ftc3RlbFx0SGVpbmVrZW4gVVNBJywgJycsdGhpcyk7" localSheetId="4" hidden="1">""</definedName>
    <definedName name="CellActionA64" comment="0" localSheetId="4" hidden="1">""</definedName>
    <definedName name="CellActionA64C0" comment="U2hvd0RyaWxsRG93bignSGVpbmVrZW4gVVNBJywgJ1RlY2F0ZVx0SGVpbmVrZW4gVVNBJywgJycsdGhpcyk7" localSheetId="4" hidden="1">""</definedName>
    <definedName name="CellActionA65" comment="0" localSheetId="4" hidden="1">""</definedName>
    <definedName name="CellActionA65C0" comment="U2hvd0RyaWxsRG93bignSGVpbmVrZW4gVVNBJywgJ0RvcyBFcXVpc1x0SGVpbmVrZW4gVVNBJywgJycsdGhpcyk7" localSheetId="4" hidden="1">""</definedName>
    <definedName name="CellActionA66" comment="0" localSheetId="4" hidden="1">""</definedName>
    <definedName name="CellActionA66C0" comment="U2hvd0RyaWxsRG93bignSGVpbmVrZW4gVVNBJywgJ1JlZCBTdHJpcGVcdEhlaW5la2VuIFVTQScsICcnLHRoaXMpOw==" localSheetId="4" hidden="1">""</definedName>
    <definedName name="CellActionA67" comment="0" localSheetId="4" hidden="1">""</definedName>
    <definedName name="CellActionA67C0" comment="U2hvd0RyaWxsRG93bignSGVpbmVrZW4gVVNBJywgJ0hlaW5la2VuIFNpbHZlclx0SGVpbmVrZW4gVVNBJywgJycsdGhpcyk7" localSheetId="4" hidden="1">""</definedName>
    <definedName name="CellActionA68" comment="0" localSheetId="4" hidden="1">""</definedName>
    <definedName name="CellActionA68C0" comment="U2hvd0RyaWxsRG93bignSGVpbmVrZW4gVVNBJywgJ011cnBoeVx1MDAyN3NcdEhlaW5la2VuIFVTQScsICcnLHRoaXMpOw==" localSheetId="4" hidden="1">""</definedName>
    <definedName name="CellActionA69" comment="0" localSheetId="4" hidden="1">""</definedName>
    <definedName name="CellActionA69C0" comment="U2hvd0RyaWxsRG93bignSGVpbmVrZW4gVVNBJywgJ1N0cm9uZ2Jvd1x0SGVpbmVrZW4gVVNBJywgJycsdGhpcyk7" localSheetId="4" hidden="1">""</definedName>
    <definedName name="CellActionA6C0" comment="U2hvd0RyaWxsRG93bignQ29uc3RlbGxhdGlvbiBCcmFuZHMnLCAnTW9kZWxvIENoZWxhZGFcdENvbnN0ZWxsYXRpb24gQnJhbmRzJywgJycsdGhpcyk7" localSheetId="4" hidden="1">""</definedName>
    <definedName name="CellActionA7" comment="0" localSheetId="4" hidden="1">""</definedName>
    <definedName name="CellActionA70" comment="0" localSheetId="4" hidden="1">""</definedName>
    <definedName name="CellActionA70C0" comment="U2hvd0RyaWxsRG93bignSGVpbmVrZW4gVVNBJywgJ1ByZXN0aWdlIExhZ2VyXHRIZWluZWtlbiBVU0EnLCAnJyx0aGlzKTs=" localSheetId="4" hidden="1">""</definedName>
    <definedName name="CellActionA71" comment="0" localSheetId="4" hidden="1">""</definedName>
    <definedName name="CellActionA71C0" comment="U2hvd0RyaWxsRG93bignSGVpbmVrZW4gVVNBJywgJ0J1Y2tsZXJcdEhlaW5la2VuIFVTQScsICcnLHRoaXMpOw==" localSheetId="4" hidden="1">""</definedName>
    <definedName name="CellActionA72" comment="0" localSheetId="4" hidden="1">""</definedName>
    <definedName name="CellActionA72C0" comment="U2hvd0RyaWxsRG93bignSGVpbmVrZW4gVVNBJywgJ0NhcnRhIEJsYW5jYVx0SGVpbmVrZW4gVVNBJywgJycsdGhpcyk7" localSheetId="4" hidden="1">""</definedName>
    <definedName name="CellActionA73" comment="0" localSheetId="4" hidden="1">""</definedName>
    <definedName name="CellActionA73C0" comment="U2hvd0RyaWxsRG93bignSGVpbmVrZW4gVVNBJywgJ1RlY2F0ZSBMaWdodFx0SGVpbmVrZW4gVVNBJywgJycsdGhpcyk7" localSheetId="4" hidden="1">""</definedName>
    <definedName name="CellActionA74" comment="0" localSheetId="4" hidden="1">""</definedName>
    <definedName name="CellActionA74C0" comment="U2hvd0RyaWxsRG93bignSGVpbmVrZW4gVVNBJywgJ05ld2Nhc3RsZVx0SGVpbmVrZW4gVVNBJywgJycsdGhpcyk7" localSheetId="4" hidden="1">""</definedName>
    <definedName name="CellActionA75" comment="0" localSheetId="4" hidden="1">""</definedName>
    <definedName name="CellActionA75C0" comment="U2hvd0RyaWxsRG93bignQm9zdG9uIEJlZXIgQ29tcGFueScsICcnLCAnJyx0aGlzKTs=" localSheetId="4" hidden="1">""</definedName>
    <definedName name="CellActionA76" comment="0" localSheetId="4" hidden="1">""</definedName>
    <definedName name="CellActionA76C0" comment="U2hvd0RyaWxsRG93bignQm9zdG9uIEJlZXIgQ29tcGFueScsICdTYW11ZWwgQWRhbXNcdEJvc3RvbiBCZWVyIENvbXBhbnknLCAnJyx0aGlzKTs=" localSheetId="4" hidden="1">""</definedName>
    <definedName name="CellActionA77" comment="0" localSheetId="4" hidden="1">""</definedName>
    <definedName name="CellActionA77C0" comment="U2hvd0RyaWxsRG93bignQm9zdG9uIEJlZXIgQ29tcGFueScsICdUd2lzdGVkIFRlYVx0Qm9zdG9uIEJlZXIgQ29tcGFueScsICcnLHRoaXMpOw==" localSheetId="4" hidden="1">""</definedName>
    <definedName name="CellActionA78" comment="0" localSheetId="4" hidden="1">""</definedName>
    <definedName name="CellActionA78C0" comment="U2hvd0RyaWxsRG93bignQm9zdG9uIEJlZXIgQ29tcGFueScsICdBbmdyeSBPcmNoYXJkXHRCb3N0b24gQmVlciBDb21wYW55JywgJycsdGhpcyk7" localSheetId="4" hidden="1">""</definedName>
    <definedName name="CellActionA79" comment="0" localSheetId="4" hidden="1">""</definedName>
    <definedName name="CellActionA79C0" comment="U2hvd0RyaWxsRG93bignQm9zdG9uIEJlZXIgQ29tcGFueScsICdUcnVseVx0Qm9zdG9uIEJlZXIgQ29tcGFueScsICcnLHRoaXMpOw==" localSheetId="4" hidden="1">""</definedName>
    <definedName name="CellActionA7C0" comment="U2hvd0RyaWxsRG93bignQ29uc3RlbGxhdGlvbiBCcmFuZHMnLCAnVmljdG9yaWFcdENvbnN0ZWxsYXRpb24gQnJhbmRzJywgJycsdGhpcyk7" localSheetId="4" hidden="1">""</definedName>
    <definedName name="CellActionA8" comment="0" localSheetId="4" hidden="1">""</definedName>
    <definedName name="CellActionA80" comment="0" localSheetId="4" hidden="1">""</definedName>
    <definedName name="CellActionA80C0" comment="U2hvd0RyaWxsRG93bignQm9zdG9uIEJlZXIgQ29tcGFueScsICdEb2dmaXNoIEhlYWQgQmVlclx0Qm9zdG9uIEJlZXIgQ29tcGFueScsICcnLHRoaXMpOw==" localSheetId="4" hidden="1">""</definedName>
    <definedName name="CellActionA81" comment="0" localSheetId="4" hidden="1">""</definedName>
    <definedName name="CellActionA81C0" comment="U2hvd0RyaWxsRG93bignQm9zdG9uIEJlZXIgQ29tcGFueScsICdTdW4gQ3J1aXNlclx0Qm9zdG9uIEJlZXIgQ29tcGFueScsICcnLHRoaXMpOw==" localSheetId="4" hidden="1">""</definedName>
    <definedName name="CellActionA82" comment="0" localSheetId="4" hidden="1">""</definedName>
    <definedName name="CellActionA82C0" comment="U2hvd0RyaWxsRG93bignQm9zdG9uIEJlZXIgQ29tcGFueScsICdIYXJkIE1vdW50YWluIERld1x0Qm9zdG9uIEJlZXIgQ29tcGFueScsICcnLHRoaXMpOw==" localSheetId="4" hidden="1">""</definedName>
    <definedName name="CellActionA83" comment="0" localSheetId="4" hidden="1">""</definedName>
    <definedName name="CellActionA83C0" comment="U2hvd0RyaWxsRG93bignQm9zdG9uIEJlZXIgQ29tcGFueScsICdEb2dmaXNoIEhlYWQgU3Bpcml0c1x0Qm9zdG9uIEJlZXIgQ29tcGFueScsICcnLHRoaXMpOw==" localSheetId="4" hidden="1">""</definedName>
    <definedName name="CellActionA84" comment="0" localSheetId="4" hidden="1">""</definedName>
    <definedName name="CellActionA84C0" comment="U2hvd0RyaWxsRG93bignQm9zdG9uIEJlZXIgQ29tcGFueScsICdTYXV6YVx0Qm9zdG9uIEJlZXIgQ29tcGFueScsICcnLHRoaXMpOw==" localSheetId="4" hidden="1">""</definedName>
    <definedName name="CellActionA85" comment="0" localSheetId="4" hidden="1">""</definedName>
    <definedName name="CellActionA85C0" comment="U2hvd0RyaWxsRG93bignQm9zdG9uIEJlZXIgQ29tcGFueScsICdKaW0gQmVhbSBLZW50dWNreVx0Qm9zdG9uIEJlZXIgQ29tcGFueScsICcnLHRoaXMpOw==" localSheetId="4" hidden="1">""</definedName>
    <definedName name="CellActionA86" comment="0" localSheetId="4" hidden="1">""</definedName>
    <definedName name="CellActionA86C0" comment="U2hvd0RyaWxsRG93bignQm9zdG9uIEJlZXIgQ29tcGFueScsICdDb25leSBJc2xhbmRcdEJvc3RvbiBCZWVyIENvbXBhbnknLCAnJyx0aGlzKTs=" localSheetId="4" hidden="1">""</definedName>
    <definedName name="CellActionA87" comment="0" localSheetId="4" hidden="1">""</definedName>
    <definedName name="CellActionA87C0" comment="U2hvd0RyaWxsRG93bignTWFyayBBbnRob255JywgJycsICcnLHRoaXMpOw==" localSheetId="4" hidden="1">""</definedName>
    <definedName name="CellActionA88" comment="0" localSheetId="4" hidden="1">""</definedName>
    <definedName name="CellActionA88C0" comment="U2hvd0RyaWxsRG93bignTWFyayBBbnRob255JywgJ1doaXRlIENsYXdcdE1hcmsgQW50aG9ueScsICcnLHRoaXMpOw==" localSheetId="4" hidden="1">""</definedName>
    <definedName name="CellActionA89" comment="0" localSheetId="4" hidden="1">""</definedName>
    <definedName name="CellActionA89C0" comment="U2hvd0RyaWxsRG93bignTWFyayBBbnRob255JywgJ01pa2VcdTAwMjdzIEhhcmQgTGVtb25hZGVcdE1hcmsgQW50aG9ueScsICcnLHRoaXMpOw==" localSheetId="4" hidden="1">""</definedName>
    <definedName name="CellActionA8C0" comment="U2hvd0RyaWxsRG93bignQ29uc3RlbGxhdGlvbiBCcmFuZHMnLCAnQ29yb25hIExpZ2h0XHRDb25zdGVsbGF0aW9uIEJyYW5kcycsICcnLHRoaXMpOw==" localSheetId="4" hidden="1">""</definedName>
    <definedName name="CellActionA9" comment="0" localSheetId="4" hidden="1">""</definedName>
    <definedName name="CellActionA90" comment="0" localSheetId="4" hidden="1">""</definedName>
    <definedName name="CellActionA90C0" comment="U2hvd0RyaWxsRG93bignTWFyayBBbnRob255JywgJ0NheW1hbiBKYWNrXHRNYXJrIEFudGhvbnknLCAnJyx0aGlzKTs=" localSheetId="4" hidden="1">""</definedName>
    <definedName name="CellActionA91" comment="0" localSheetId="4" hidden="1">""</definedName>
    <definedName name="CellActionA91C0" comment="U2hvd0RyaWxsRG93bignTWFyayBBbnRob255JywgJ01pa2VcdTAwMjdzIEhhcmRlclx0TWFyayBBbnRob255JywgJycsdGhpcyk7" localSheetId="4" hidden="1">""</definedName>
    <definedName name="CellActionA92" comment="0" localSheetId="4" hidden="1">""</definedName>
    <definedName name="CellActionA92C0" comment="U2hvd0RyaWxsRG93bignTWFyayBBbnRob255JywgJ014ZCBDb2NrdGFpbHNcdE1hcmsgQW50aG9ueScsICcnLHRoaXMpOw==" localSheetId="4" hidden="1">""</definedName>
    <definedName name="CellActionA93" comment="0" localSheetId="4" hidden="1">""</definedName>
    <definedName name="CellActionA93C0" comment="U2hvd0RyaWxsRG93bignTWFyayBBbnRob255JywgJ0RpbGxvblx1MDAyN3MgQ29ja3RhaWxzXHRNYXJrIEFudGhvbnknLCAnJyx0aGlzKTs=" localSheetId="4" hidden="1">""</definedName>
    <definedName name="CellActionA94" comment="0" localSheetId="4" hidden="1">""</definedName>
    <definedName name="CellActionA94C0" comment="U2hvd0RyaWxsRG93bignUGFic3QgQnJld2luZyBDb21wYW55JywgJycsICcnLHRoaXMpOw==" localSheetId="4" hidden="1">""</definedName>
    <definedName name="CellActionA95" comment="0" localSheetId="4" hidden="1">""</definedName>
    <definedName name="CellActionA95C0" comment="U2hvd0RyaWxsRG93bignUGFic3QgQnJld2luZyBDb21wYW55JywgJ1BhYnN0IEJyZXdpbmcgQ29tcGFueVx0UGFic3QgQnJld2luZyBDb21wYW55JywgJycsdGhpcyk7" localSheetId="4" hidden="1">""</definedName>
    <definedName name="CellActionA96" comment="0" localSheetId="4" hidden="1">""</definedName>
    <definedName name="CellActionA96C0" comment="U2hvd0RyaWxsRG93bignUGFic3QgQnJld2luZyBDb21wYW55JywgJ0NvbHQgNDVcdFBhYnN0IEJyZXdpbmcgQ29tcGFueScsICcnLHRoaXMpOw==" localSheetId="4" hidden="1">""</definedName>
    <definedName name="CellActionA97" comment="0" localSheetId="4" hidden="1">""</definedName>
    <definedName name="CellActionA97C0" comment="U2hvd0RyaWxsRG93bignUGFic3QgQnJld2luZyBDb21wYW55JywgJ1N0IElkZXNcdFBhYnN0IEJyZXdpbmcgQ29tcGFueScsICcnLHRoaXMpOw==" localSheetId="4" hidden="1">""</definedName>
    <definedName name="CellActionA98" comment="0" localSheetId="4" hidden="1">""</definedName>
    <definedName name="CellActionA98C0" comment="U2hvd0RyaWxsRG93bignUGFic3QgQnJld2luZyBDb21wYW55JywgJ09sZCBNaWx3YXVrZWVcdFBhYnN0IEJyZXdpbmcgQ29tcGFueScsICcnLHRoaXMpOw==" localSheetId="4" hidden="1">""</definedName>
    <definedName name="CellActionA99" comment="0" localSheetId="4" hidden="1">""</definedName>
    <definedName name="CellActionA99C0" comment="U2hvd0RyaWxsRG93bignUGFic3QgQnJld2luZyBDb21wYW55JywgJ0phY2sgRGFuaWVscyBDb3VudHJ5IENvY2t0YWlsc1x0UGFic3QgQnJld2luZyBDb21wYW55JywgJycsdGhpcyk7" localSheetId="4" hidden="1">""</definedName>
    <definedName name="CellActionA9C0" comment="U2hvd0RyaWxsRG93bignQ29uc3RlbGxhdGlvbiBCcmFuZHMnLCAnQ29yb25hIEZhbWlsaWFyXHRDb25zdGVsbGF0aW9uIEJyYW5kcycsICcnLHRoaXMpOw==" localSheetId="4" hidden="1">""</definedName>
    <definedName name="CellActionB10" comment="0" localSheetId="4" hidden="1">""</definedName>
    <definedName name="CellActionB100" comment="0" localSheetId="4" hidden="1">""</definedName>
    <definedName name="CellActionB100C0" comment="U2hvd0RyaWxsRG93bignUGFic3QgQnJld2luZyBDb21wYW55JywgJ1NjaGxpdHogTWFsdFx0UGFic3QgQnJld2luZyBDb21wYW55JywgJycsdGhpcyk7" localSheetId="4" hidden="1">""</definedName>
    <definedName name="CellActionB101" comment="0" localSheetId="4" hidden="1">""</definedName>
    <definedName name="CellActionB101C0" comment="U2hvd0RyaWxsRG93bignUGFic3QgQnJld2luZyBDb21wYW55JywgJ0JhbGxhbnRpbmUgQWxlXHRQYWJzdCBCcmV3aW5nIENvbXBhbnknLCAnJyx0aGlzKTs=" localSheetId="4" hidden="1">""</definedName>
    <definedName name="CellActionB102" comment="0" localSheetId="4" hidden="1">""</definedName>
    <definedName name="CellActionB102C0" comment="U2hvd0RyaWxsRG93bignUGFic3QgQnJld2luZyBDb21wYW55JywgJ1NjaGFlZmVyXHRQYWJzdCBCcmV3aW5nIENvbXBhbnknLCAnJyx0aGlzKTs=" localSheetId="4" hidden="1">""</definedName>
    <definedName name="CellActionB103" comment="0" localSheetId="4" hidden="1">""</definedName>
    <definedName name="CellActionB103C0" comment="U2hvd0RyaWxsRG93bignUGFic3QgQnJld2luZyBDb21wYW55JywgJ0NvdW50cnkgQ2x1Ylx0UGFic3QgQnJld2luZyBDb21wYW55JywgJycsdGhpcyk7" localSheetId="4" hidden="1">""</definedName>
    <definedName name="CellActionB104" comment="0" localSheetId="4" hidden="1">""</definedName>
    <definedName name="CellActionB104C0" comment="U2hvd0RyaWxsRG93bignUGFic3QgQnJld2luZyBDb21wYW55JywgJ1NtYWxsIFRvd25cdFBhYnN0IEJyZXdpbmcgQ29tcGFueScsICcnLHRoaXMpOw==" localSheetId="4" hidden="1">""</definedName>
    <definedName name="CellActionB105" comment="0" localSheetId="4" hidden="1">""</definedName>
    <definedName name="CellActionB105C0" comment="U2hvd0RyaWxsRG93bignUGFic3QgQnJld2luZyBDb21wYW55JywgJ05ldyBIb2xsYW5kIEJyZXdpbmcgQ29cdFBhYnN0IEJyZXdpbmcgQ29tcGFueScsICcnLHRoaXMpOw==" localSheetId="4" hidden="1">""</definedName>
    <definedName name="CellActionB106" comment="0" localSheetId="4" hidden="1">""</definedName>
    <definedName name="CellActionB106C0" comment="U2hvd0RyaWxsRG93bignUGFic3QgQnJld2luZyBDb21wYW55JywgJ0xvbmUgU3Rhclx0UGFic3QgQnJld2luZyBDb21wYW55JywgJycsdGhpcyk7" localSheetId="4" hidden="1">""</definedName>
    <definedName name="CellActionB107" comment="0" localSheetId="4" hidden="1">""</definedName>
    <definedName name="CellActionB107C0" comment="U2hvd0RyaWxsRG93bignUGFic3QgQnJld2luZyBDb21wYW55JywgJ0VMIEppbWFkb3JcdFBhYnN0IEJyZXdpbmcgQ29tcGFueScsICcnLHRoaXMpOw==" localSheetId="4" hidden="1">""</definedName>
    <definedName name="CellActionB109" comment="0" localSheetId="4" hidden="1">""</definedName>
    <definedName name="CellActionB109C0" comment="U2hvd0RyaWxsRG93bignREcgWXVlbmdsaW5nIEluYycsICdZdWVuZ2xpbmcgTGFnZXJcdERHIFl1ZW5nbGluZyBJbmMnLCAnJyx0aGlzKTs=" localSheetId="4" hidden="1">""</definedName>
    <definedName name="CellActionB10C0" comment="U2hvd0RyaWxsRG93bignQ29uc3RlbGxhdGlvbiBCcmFuZHMnLCAnQ29yb25hIFByZW1pZXJcdENvbnN0ZWxsYXRpb24gQnJhbmRzJywgJycsdGhpcyk7" localSheetId="4" hidden="1">""</definedName>
    <definedName name="CellActionB11" comment="0" localSheetId="4" hidden="1">""</definedName>
    <definedName name="CellActionB110" comment="0" localSheetId="4" hidden="1">""</definedName>
    <definedName name="CellActionB110C0" comment="U2hvd0RyaWxsRG93bignREcgWXVlbmdsaW5nIEluYycsICdZdWVuZ2xpbmcgTGlnaHQgTGFnZXJcdERHIFl1ZW5nbGluZyBJbmMnLCAnJyx0aGlzKTs=" localSheetId="4" hidden="1">""</definedName>
    <definedName name="CellActionB111" comment="0" localSheetId="4" hidden="1">""</definedName>
    <definedName name="CellActionB111C0" comment="U2hvd0RyaWxsRG93bignREcgWXVlbmdsaW5nIEluYycsICdZdWVuZ2xpbmcgRmxpZ2h0XHRERyBZdWVuZ2xpbmcgSW5jJywgJycsdGhpcyk7" localSheetId="4" hidden="1">""</definedName>
    <definedName name="CellActionB112" comment="0" localSheetId="4" hidden="1">""</definedName>
    <definedName name="CellActionB112C0" comment="U2hvd0RyaWxsRG93bignREcgWXVlbmdsaW5nIEluYycsICdZdWVuZ2xpbmcgQmxhY2sgXHUwMDI2IFRhblx0REcgWXVlbmdsaW5nIEluYycsICcnLHRoaXMpOw==" localSheetId="4" hidden="1">""</definedName>
    <definedName name="CellActionB113" comment="0" localSheetId="4" hidden="1">""</definedName>
    <definedName name="CellActionB113C0" comment="U2hvd0RyaWxsRG93bignREcgWXVlbmdsaW5nIEluYycsICdZdWVuZ2xpbmcgUHJlbWl1bVx0REcgWXVlbmdsaW5nIEluYycsICcnLHRoaXMpOw==" localSheetId="4" hidden="1">""</definedName>
    <definedName name="CellActionB114" comment="0" localSheetId="4" hidden="1">""</definedName>
    <definedName name="CellActionB114C0" comment="U2hvd0RyaWxsRG93bignREcgWXVlbmdsaW5nIEluYycsICdZdWVuZ2xpbmcgR29sZGVuIFBpbHNuZXJcdERHIFl1ZW5nbGluZyBJbmMnLCAnJyx0aGlzKTs=" localSheetId="4" hidden="1">""</definedName>
    <definedName name="CellActionB115" comment="0" localSheetId="4" hidden="1">""</definedName>
    <definedName name="CellActionB115C0" comment="U2hvd0RyaWxsRG93bignREcgWXVlbmdsaW5nIEluYycsICdZdWVuZ2xpbmcgUHJlbWl1bSBMaWdodFx0REcgWXVlbmdsaW5nIEluYycsICcnLHRoaXMpOw==" localSheetId="4" hidden="1">""</definedName>
    <definedName name="CellActionB116" comment="0" localSheetId="4" hidden="1">""</definedName>
    <definedName name="CellActionB116C0" comment="U2hvd0RyaWxsRG93bignREcgWXVlbmdsaW5nIEluYycsICdZdWVuZ2xpbmcgT2t0b2JlcmZlc3RcdERHIFl1ZW5nbGluZyBJbmMnLCAnJyx0aGlzKTs=" localSheetId="4" hidden="1">""</definedName>
    <definedName name="CellActionB117" comment="0" localSheetId="4" hidden="1">""</definedName>
    <definedName name="CellActionB117C0" comment="U2hvd0RyaWxsRG93bignREcgWXVlbmdsaW5nIEluYycsICdZdWVuZ2xpbmcgSGVyc2hleVx1MDAyN3MgQ2hvY29sYXRlIFBvcnRlclx0REcgWXVlbmdsaW5nIEluYycsICcnLHRoaXMpOw==" localSheetId="4" hidden="1">""</definedName>
    <definedName name="CellActionB118" comment="0" localSheetId="4" hidden="1">""</definedName>
    <definedName name="CellActionB118C0" comment="U2hvd0RyaWxsRG93bignREcgWXVlbmdsaW5nIEluYycsICdZdWVuZ2xpbmcgQm9uZ28gRml6elx0REcgWXVlbmdsaW5nIEluYycsICcnLHRoaXMpOw==" localSheetId="4" hidden="1">""</definedName>
    <definedName name="CellActionB119" comment="0" localSheetId="4" hidden="1">""</definedName>
    <definedName name="CellActionB119C0" comment="U2hvd0RyaWxsRG93bignREcgWXVlbmdsaW5nIEluYycsICdEZyBZdWVuZ2xpbmcgSW5jXHRERyBZdWVuZ2xpbmcgSW5jJywgJycsdGhpcyk7" localSheetId="4" hidden="1">""</definedName>
    <definedName name="CellActionB11C0" comment="U2hvd0RyaWxsRG93bignQ29uc3RlbGxhdGlvbiBCcmFuZHMnLCAnUGFjaWZpY29cdENvbnN0ZWxsYXRpb24gQnJhbmRzJywgJycsdGhpcyk7" localSheetId="4" hidden="1">""</definedName>
    <definedName name="CellActionB12" comment="0" localSheetId="4" hidden="1">""</definedName>
    <definedName name="CellActionB121" comment="0" localSheetId="4" hidden="1">""</definedName>
    <definedName name="CellActionB121C0" comment="U2hvd0RyaWxsRG93bignU2FwcG9ybycsICdTYXBwb3JvXHRTYXBwb3JvJywgJycsdGhpcyk7" localSheetId="4" hidden="1">""</definedName>
    <definedName name="CellActionB123" comment="0" localSheetId="4" hidden="1">""</definedName>
    <definedName name="CellActionB123C0" comment="U2hvd0RyaWxsRG93bignTmV3IEJlbGdpdW0gQnJld2luZyBDb21wYW55JywgJ1Zvb2RvbyBGYW1pbHlcdE5ldyBCZWxnaXVtIEJyZXdpbmcgQ29tcGFueScsICcnLHRoaXMpOw==" localSheetId="4" hidden="1">""</definedName>
    <definedName name="CellActionB124" comment="0" localSheetId="4" hidden="1">""</definedName>
    <definedName name="CellActionB124C0" comment="U2hvd0RyaWxsRG93bignTmV3IEJlbGdpdW0gQnJld2luZyBDb21wYW55JywgJ0ZhdCBUaXJlIEZhbWlseVx0TmV3IEJlbGdpdW0gQnJld2luZyBDb21wYW55JywgJycsdGhpcyk7" localSheetId="4" hidden="1">""</definedName>
    <definedName name="CellActionB125" comment="0" localSheetId="4" hidden="1">""</definedName>
    <definedName name="CellActionB125C0" comment="U2hvd0RyaWxsRG93bignTmV3IEJlbGdpdW0gQnJld2luZyBDb21wYW55JywgJ05ldyBCZWxnaXVtIEJyZXdpbmcgQ29tcGFueVx0TmV3IEJlbGdpdW0gQnJld2luZyBDb21wYW55JywgJycsdGhpcyk7" localSheetId="4" hidden="1">""</definedName>
    <definedName name="CellActionB126" comment="0" localSheetId="4" hidden="1">""</definedName>
    <definedName name="CellActionB126C0" comment="U2hvd0RyaWxsRG93bignTmV3IEJlbGdpdW0gQnJld2luZyBDb21wYW55JywgJ1Zvb2RvbyBIYXJkY2hhcmdlZFx0TmV3IEJlbGdpdW0gQnJld2luZyBDb21wYW55JywgJycsdGhpcyk7" localSheetId="4" hidden="1">""</definedName>
    <definedName name="CellActionB127" comment="0" localSheetId="4" hidden="1">""</definedName>
    <definedName name="CellActionB127C0" comment="U2hvd0RyaWxsRG93bignTmV3IEJlbGdpdW0gQnJld2luZyBDb21wYW55JywgJ0xpZ2h0c3RyaWtlXHROZXcgQmVsZ2l1bSBCcmV3aW5nIENvbXBhbnknLCAnJyx0aGlzKTs=" localSheetId="4" hidden="1">""</definedName>
    <definedName name="CellActionB128" comment="0" localSheetId="4" hidden="1">""</definedName>
    <definedName name="CellActionB128C0" comment="U2hvd0RyaWxsRG93bignTmV3IEJlbGdpdW0gQnJld2luZyBDb21wYW55JywgJ0tpcmluIExpZ2h0XHROZXcgQmVsZ2l1bSBCcmV3aW5nIENvbXBhbnknLCAnJyx0aGlzKTs=" localSheetId="4" hidden="1">""</definedName>
    <definedName name="CellActionB129" comment="0" localSheetId="4" hidden="1">""</definedName>
    <definedName name="CellActionB129C0" comment="U2hvd0RyaWxsRG93bignTmV3IEJlbGdpdW0gQnJld2luZyBDb21wYW55JywgJ0tpcmluIEljaGliYW5cdE5ldyBCZWxnaXVtIEJyZXdpbmcgQ29tcGFueScsICcnLHRoaXMpOw==" localSheetId="4" hidden="1">""</definedName>
    <definedName name="CellActionB12C0" comment="U2hvd0RyaWxsRG93bignQ29uc3RlbGxhdGlvbiBCcmFuZHMnLCAnTW9kZWxvIE5lZ3JhXHRDb25zdGVsbGF0aW9uIEJyYW5kcycsICcnLHRoaXMpOw==" localSheetId="4" hidden="1">""</definedName>
    <definedName name="CellActionB13" comment="0" localSheetId="4" hidden="1">""</definedName>
    <definedName name="CellActionB131" comment="0" localSheetId="4" hidden="1">""</definedName>
    <definedName name="CellActionB131C0" comment="U2hvd0RyaWxsRG93bignU2llcnJhIE5ldmFkYSBCcmV3aW5nIENvbXBhbnknLCAnU2llcnJhIE5ldmFkYVx0U2llcnJhIE5ldmFkYSBCcmV3aW5nIENvbXBhbnknLCAnJyx0aGlzKTs=" localSheetId="4" hidden="1">""</definedName>
    <definedName name="CellActionB132" comment="0" localSheetId="4" hidden="1">""</definedName>
    <definedName name="CellActionB132C0" comment="U2hvd0RyaWxsRG93bignU2llcnJhIE5ldmFkYSBCcmV3aW5nIENvbXBhbnknLCAnU3RyYWluZ2UgQmVhc3RcdFNpZXJyYSBOZXZhZGEgQnJld2luZyBDb21wYW55JywgJycsdGhpcyk7" localSheetId="4" hidden="1">""</definedName>
    <definedName name="CellActionB134" comment="0" localSheetId="4" hidden="1">""</definedName>
    <definedName name="CellActionB134C0" comment="U2hvd0RyaWxsRG93bignVG90YWwgQmV2ZXJhZ2UgU29sdXRpb25zJywgJ0NhcmliXHRUb3RhbCBCZXZlcmFnZSBTb2x1dGlvbnMnLCAnJyx0aGlzKTs=" localSheetId="4" hidden="1">""</definedName>
    <definedName name="CellActionB135" comment="0" localSheetId="4" hidden="1">""</definedName>
    <definedName name="CellActionB135C0" comment="U2hvd0RyaWxsRG93bignVG90YWwgQmV2ZXJhZ2UgU29sdXRpb25zJywgJ01hZ25lcnNcdFRvdGFsIEJldmVyYWdlIFNvbHV0aW9ucycsICcnLHRoaXMpOw==" localSheetId="4" hidden="1">""</definedName>
    <definedName name="CellActionB136" comment="0" localSheetId="4" hidden="1">""</definedName>
    <definedName name="CellActionB136C0" comment="U2hvd0RyaWxsRG93bignVG90YWwgQmV2ZXJhZ2UgU29sdXRpb25zJywgJ1dlaWhlbnN0ZXBoYW5lclx0VG90YWwgQmV2ZXJhZ2UgU29sdXRpb25zJywgJycsdGhpcyk7" localSheetId="4" hidden="1">""</definedName>
    <definedName name="CellActionB137" comment="0" localSheetId="4" hidden="1">""</definedName>
    <definedName name="CellActionB137C0" comment="U2hvd0RyaWxsRG93bignVG90YWwgQmV2ZXJhZ2UgU29sdXRpb25zJywgJ01hY2tlc29uXHRUb3RhbCBCZXZlcmFnZSBTb2x1dGlvbnMnLCAnJyx0aGlzKTs=" localSheetId="4" hidden="1">""</definedName>
    <definedName name="CellActionB138" comment="0" localSheetId="4" hidden="1">""</definedName>
    <definedName name="CellActionB138C0" comment="U2hvd0RyaWxsRG93bignVG90YWwgQmV2ZXJhZ2UgU29sdXRpb25zJywgJ1Jla29yZGVybGlnXHRUb3RhbCBCZXZlcmFnZSBTb2x1dGlvbnMnLCAnJyx0aGlzKTs=" localSheetId="4" hidden="1">""</definedName>
    <definedName name="CellActionB139" comment="0" localSheetId="4" hidden="1">""</definedName>
    <definedName name="CellActionB139C0" comment="U2hvd0RyaWxsRG93bignVG90YWwgQmV2ZXJhZ2UgU29sdXRpb25zJywgJ0JhbmtzXHRUb3RhbCBCZXZlcmFnZSBTb2x1dGlvbnMnLCAnJyx0aGlzKTs=" localSheetId="4" hidden="1">""</definedName>
    <definedName name="CellActionB13C0" comment="U2hvd0RyaWxsRG93bignQ29uc3RlbGxhdGlvbiBCcmFuZHMnLCAnQ29yb25hIE5BXHRDb25zdGVsbGF0aW9uIEJyYW5kcycsICcnLHRoaXMpOw==" localSheetId="4" hidden="1">""</definedName>
    <definedName name="CellActionB14" comment="0" localSheetId="4" hidden="1">""</definedName>
    <definedName name="CellActionB140" comment="0" localSheetId="4" hidden="1">""</definedName>
    <definedName name="CellActionB140C0" comment="U2hvd0RyaWxsRG93bignVG90YWwgQmV2ZXJhZ2UgU29sdXRpb25zJywgJ1NoaXB5YXJkXHRUb3RhbCBCZXZlcmFnZSBTb2x1dGlvbnMnLCAnJyx0aGlzKTs=" localSheetId="4" hidden="1">""</definedName>
    <definedName name="CellActionB142" comment="0" localSheetId="4" hidden="1">""</definedName>
    <definedName name="CellActionB142C0" comment="U2hvd0RyaWxsRG93bignRlggTWF0dCcsICdGbHlpbmcgRG9nIEJyZXdpbmcgQ29cdEZYIE1hdHQnLCAnJyx0aGlzKTs=" localSheetId="4" hidden="1">""</definedName>
    <definedName name="CellActionB143" comment="0" localSheetId="4" hidden="1">""</definedName>
    <definedName name="CellActionB143C0" comment="U2hvd0RyaWxsRG93bignRlggTWF0dCcsICdTYXJhbmFjXHRGWCBNYXR0JywgJycsdGhpcyk7" localSheetId="4" hidden="1">""</definedName>
    <definedName name="CellActionB144" comment="0" localSheetId="4" hidden="1">""</definedName>
    <definedName name="CellActionB144C0" comment="U2hvd0RyaWxsRG93bignRlggTWF0dCcsICdGcmlkYXkgQmVlcnNcdEZYIE1hdHQnLCAnJyx0aGlzKTs=" localSheetId="4" hidden="1">""</definedName>
    <definedName name="CellActionB145" comment="0" localSheetId="4" hidden="1">""</definedName>
    <definedName name="CellActionB145C0" comment="U2hvd0RyaWxsRG93bignRlggTWF0dCcsICdLaW5nZmlzaGVyIFByZW1pdW1cdEZYIE1hdHQnLCAnJyx0aGlzKTs=" localSheetId="4" hidden="1">""</definedName>
    <definedName name="CellActionB146" comment="0" localSheetId="4" hidden="1">""</definedName>
    <definedName name="CellActionB146C0" comment="U2hvd0RyaWxsRG93bignRlggTWF0dCcsICdNY2tlbnppZVx1MDAyN3NcdEZYIE1hdHQnLCAnJyx0aGlzKTs=" localSheetId="4" hidden="1">""</definedName>
    <definedName name="CellActionB147" comment="0" localSheetId="4" hidden="1">""</definedName>
    <definedName name="CellActionB147C0" comment="U2hvd0RyaWxsRG93bignRlggTWF0dCcsICdSaWdodCBDb2FzdFx0RlggTWF0dCcsICcnLHRoaXMpOw==" localSheetId="4" hidden="1">""</definedName>
    <definedName name="CellActionB149" comment="0" localSheetId="4" hidden="1">""</definedName>
    <definedName name="CellActionB149C0" comment="U2hvd0RyaWxsRG93bignRmFtb3NhJywgJ0ZhbW9zYVx0RmFtb3NhJywgJycsdGhpcyk7" localSheetId="4" hidden="1">""</definedName>
    <definedName name="CellActionB14C0" comment="U2hvd0RyaWxsRG93bignQ29uc3RlbGxhdGlvbiBCcmFuZHMnLCAnTW9kZWxvIE9yb1x0Q29uc3RlbGxhdGlvbiBCcmFuZHMnLCAnJyx0aGlzKTs=" localSheetId="4" hidden="1">""</definedName>
    <definedName name="CellActionB15" comment="0" localSheetId="4" hidden="1">""</definedName>
    <definedName name="CellActionB150" comment="0" localSheetId="4" hidden="1">""</definedName>
    <definedName name="CellActionB150C0" comment="U2hvd0RyaWxsRG93bignRmFtb3NhJywgJ01vbnRlIENhcmxvXHRGYW1vc2EnLCAnJyx0aGlzKTs=" localSheetId="4" hidden="1">""</definedName>
    <definedName name="CellActionB152" comment="0" localSheetId="4" hidden="1">""</definedName>
    <definedName name="CellActionB152C0" comment="U2hvd0RyaWxsRG93bignUmFkZWJlcmdlciBVU0EnLCAnRGFiXHRSYWRlYmVyZ2VyIFVTQScsICcnLHRoaXMpOw==" localSheetId="4" hidden="1">""</definedName>
    <definedName name="CellActionB153" comment="0" localSheetId="4" hidden="1">""</definedName>
    <definedName name="CellActionB153C0" comment="U2hvd0RyaWxsRG93bignUmFkZWJlcmdlciBVU0EnLCAnU2Nob2ZmZXJob2Zlclx0UmFkZWJlcmdlciBVU0EnLCAnJyx0aGlzKTs=" localSheetId="4" hidden="1">""</definedName>
    <definedName name="CellActionB154" comment="0" localSheetId="4" hidden="1">""</definedName>
    <definedName name="CellActionB154C0" comment="U2hvd0RyaWxsRG93bignUmFkZWJlcmdlciBVU0EnLCAnUmFkZWJlcmdlclx0UmFkZWJlcmdlciBVU0EnLCAnJyx0aGlzKTs=" localSheetId="4" hidden="1">""</definedName>
    <definedName name="CellActionB155" comment="0" localSheetId="4" hidden="1">""</definedName>
    <definedName name="CellActionB155C0" comment="U2hvd0RyaWxsRG93bignUmFkZWJlcmdlciBVU0EnLCAnQ2xhdXN0aGFsZXJcdFJhZGViZXJnZXIgVVNBJywgJycsdGhpcyk7" localSheetId="4" hidden="1">""</definedName>
    <definedName name="CellActionB157" comment="0" localSheetId="4" hidden="1">""</definedName>
    <definedName name="CellActionB157C0" comment="U2hvd0RyaWxsRG93bignTW9udGF1ayBCcmV3aW5nIENvJywgJ01vbnRhdWtcdE1vbnRhdWsgQnJld2luZyBDbycsICcnLHRoaXMpOw==" localSheetId="4" hidden="1">""</definedName>
    <definedName name="CellActionB159" comment="0" localSheetId="4" hidden="1">""</definedName>
    <definedName name="CellActionB159C0" comment="U2hvd0RyaWxsRG93bignQ2FwZSBNYXknLCAnQ2FwZSBNYXlcdENhcGUgTWF5JywgJycsdGhpcyk7" localSheetId="4" hidden="1">""</definedName>
    <definedName name="CellActionB15C0" comment="U2hvd0RyaWxsRG93bignQ29uc3RlbGxhdGlvbiBCcmFuZHMnLCAnQ29yb25hIFN1bmJyZXdcdENvbnN0ZWxsYXRpb24gQnJhbmRzJywgJycsdGhpcyk7" localSheetId="4" hidden="1">""</definedName>
    <definedName name="CellActionB16" comment="0" localSheetId="4" hidden="1">""</definedName>
    <definedName name="CellActionB161" comment="0" localSheetId="4" hidden="1">""</definedName>
    <definedName name="CellActionB161C0" comment="U2hvd0RyaWxsRG93bignVmljdG9yeSBCcmV3aW5nIENvbXBhbnknLCAnTW9ua2V5IEZhbWlseVx0VmljdG9yeSBCcmV3aW5nIENvbXBhbnknLCAnJyx0aGlzKTs=" localSheetId="4" hidden="1">""</definedName>
    <definedName name="CellActionB162" comment="0" localSheetId="4" hidden="1">""</definedName>
    <definedName name="CellActionB162C0" comment="U2hvd0RyaWxsRG93bignVmljdG9yeSBCcmV3aW5nIENvbXBhbnknLCAnVmljdG9yeVx0VmljdG9yeSBCcmV3aW5nIENvbXBhbnknLCAnJyx0aGlzKTs=" localSheetId="4" hidden="1">""</definedName>
    <definedName name="CellActionB164" comment="0" localSheetId="4" hidden="1">""</definedName>
    <definedName name="CellActionB164C0" comment="U2hvd0RyaWxsRG93bignTGFndW5pdGFzIEJyZXdpbmcgQ28nLCAnTGFndW5pdGFzXHRMYWd1bml0YXMgQnJld2luZyBDbycsICcnLHRoaXMpOw==" localSheetId="4" hidden="1">""</definedName>
    <definedName name="CellActionB165" comment="0" localSheetId="4" hidden="1">""</definedName>
    <definedName name="CellActionB165C0" comment="U2hvd0RyaWxsRG93bignTGFndW5pdGFzIEJyZXdpbmcgQ28nLCAnTGFndW5pdGFzIE5BXHRMYWd1bml0YXMgQnJld2luZyBDbycsICcnLHRoaXMpOw==" localSheetId="4" hidden="1">""</definedName>
    <definedName name="CellActionB167" comment="0" localSheetId="4" hidden="1">""</definedName>
    <definedName name="CellActionB167C0" comment="U2hvd0RyaWxsRG93bignU2l4cG9pbnQgQnJld2luZycsICdTaXhwb2ludFx0U2l4cG9pbnQgQnJld2luZycsICcnLHRoaXMpOw==" localSheetId="4" hidden="1">""</definedName>
    <definedName name="CellActionB169" comment="0" localSheetId="4" hidden="1">""</definedName>
    <definedName name="CellActionB169C0" comment="U2hvd0RyaWxsRG93bignU3RvbmUgQnJld2luZycsICdTdG9uZSBCcmV3aW5nXHRTdG9uZSBCcmV3aW5nJywgJycsdGhpcyk7" localSheetId="4" hidden="1">""</definedName>
    <definedName name="CellActionB16C0" comment="U2hvd0RyaWxsRG93bignQ29uc3RlbGxhdGlvbiBCcmFuZHMnLCAnQ29yb25hIFJlZnJlc2NhXHRDb25zdGVsbGF0aW9uIEJyYW5kcycsICcnLHRoaXMpOw==" localSheetId="4" hidden="1">""</definedName>
    <definedName name="CellActionB17" comment="0" localSheetId="4" hidden="1">""</definedName>
    <definedName name="CellActionB170" comment="0" localSheetId="4" hidden="1">""</definedName>
    <definedName name="CellActionB170C0" comment="U2hvd0RyaWxsRG93bignU3RvbmUgQnJld2luZycsICdTdG9uZSBQcmVtaXVtIFx1MDAyNiBTbW9vdGggQmVlciBDb1x0U3RvbmUgQnJld2luZycsICcnLHRoaXMpOw==" localSheetId="4" hidden="1">""</definedName>
    <definedName name="CellActionB172" comment="0" localSheetId="4" hidden="1">""</definedName>
    <definedName name="CellActionB172C0" comment="U2hvd0RyaWxsRG93bignVVMgQmV2ZXJhZ2UnLCAnRHJhZ29uIFN0b3V0XHRVUyBCZXZlcmFnZScsICcnLHRoaXMpOw==" localSheetId="4" hidden="1">""</definedName>
    <definedName name="CellActionB173" comment="0" localSheetId="4" hidden="1">""</definedName>
    <definedName name="CellActionB173C0" comment="U2hvd0RyaWxsRG93bignVVMgQmV2ZXJhZ2UnLCAnTW9vc2VoZWFkXHRVUyBCZXZlcmFnZScsICcnLHRoaXMpOw==" localSheetId="4" hidden="1">""</definedName>
    <definedName name="CellActionB174" comment="0" localSheetId="4" hidden="1">""</definedName>
    <definedName name="CellActionB174C0" comment="U2hvd0RyaWxsRG93bignVVMgQmV2ZXJhZ2UnLCAnQmlycmEgTW9yZXR0aVx0VVMgQmV2ZXJhZ2UnLCAnJyx0aGlzKTs=" localSheetId="4" hidden="1">""</definedName>
    <definedName name="CellActionB175" comment="0" localSheetId="4" hidden="1">""</definedName>
    <definedName name="CellActionB175C0" comment="U2hvd0RyaWxsRG93bignVVMgQmV2ZXJhZ2UnLCAnRXN0cmVsbGFcdFVTIEJldmVyYWdlJywgJycsdGhpcyk7" localSheetId="4" hidden="1">""</definedName>
    <definedName name="CellActionB176" comment="0" localSheetId="4" hidden="1">""</definedName>
    <definedName name="CellActionB176C0" comment="U2hvd0RyaWxsRG93bignVVMgQmV2ZXJhZ2UnLCAnRGF1cmFcdFVTIEJldmVyYWdlJywgJycsdGhpcyk7" localSheetId="4" hidden="1">""</definedName>
    <definedName name="CellActionB177" comment="0" localSheetId="4" hidden="1">""</definedName>
    <definedName name="CellActionB177C0" comment="U2hvd0RyaWxsRG93bignVVMgQmV2ZXJhZ2UnLCAnQ3plY2h2YXJcdFVTIEJldmVyYWdlJywgJycsdGhpcyk7" localSheetId="4" hidden="1">""</definedName>
    <definedName name="CellActionB178" comment="0" localSheetId="4" hidden="1">""</definedName>
    <definedName name="CellActionB178C0" comment="U2hvd0RyaWxsRG93bignVVMgQmV2ZXJhZ2UnLCAnTWFsaWJ1IFNwbGFzaFx0VVMgQmV2ZXJhZ2UnLCAnJyx0aGlzKTs=" localSheetId="4" hidden="1">""</definedName>
    <definedName name="CellActionB179" comment="0" localSheetId="4" hidden="1">""</definedName>
    <definedName name="CellActionB179C0" comment="U2hvd0RyaWxsRG93bignVVMgQmV2ZXJhZ2UnLCAnS3J1c292aWNlXHRVUyBCZXZlcmFnZScsICcnLHRoaXMpOw==" localSheetId="4" hidden="1">""</definedName>
    <definedName name="CellActionB17C0" comment="U2hvd0RyaWxsRG93bignQ29uc3RlbGxhdGlvbiBCcmFuZHMnLCAnTW9kZWxvIEFxdWFzIEZyZXNjYXNcdENvbnN0ZWxsYXRpb24gQnJhbmRzJywgJycsdGhpcyk7" localSheetId="4" hidden="1">""</definedName>
    <definedName name="CellActionB18" comment="0" localSheetId="4" hidden="1">""</definedName>
    <definedName name="CellActionB180" comment="0" localSheetId="4" hidden="1">""</definedName>
    <definedName name="CellActionB180C0" comment="U2hvd0RyaWxsRG93bignVVMgQmV2ZXJhZ2UnLCAnSW5uaXMgXHUwMDI2IEd1bm5cdFVTIEJldmVyYWdlJywgJycsdGhpcyk7" localSheetId="4" hidden="1">""</definedName>
    <definedName name="CellActionB181" comment="0" localSheetId="4" hidden="1">""</definedName>
    <definedName name="CellActionB181C0" comment="U2hvd0RyaWxsRG93bignVVMgQmV2ZXJhZ2UnLCAnVGFndXNcdFVTIEJldmVyYWdlJywgJycsdGhpcyk7" localSheetId="4" hidden="1">""</definedName>
    <definedName name="CellActionB182" comment="0" localSheetId="4" hidden="1">""</definedName>
    <definedName name="CellActionB182C0" comment="U2hvd0RyaWxsRG93bignVVMgQmV2ZXJhZ2UnLCAnU2FncmVzIENlcnZlamFcdFVTIEJldmVyYWdlJywgJycsdGhpcyk7" localSheetId="4" hidden="1">""</definedName>
    <definedName name="CellActionB183" comment="0" localSheetId="4" hidden="1">""</definedName>
    <definedName name="CellActionB183C0" comment="U2hvd0RyaWxsRG93bignVVMgQmV2ZXJhZ2UnLCAnRGV3ZXkgQ3J1c2hcdFVTIEJldmVyYWdlJywgJycsdGhpcyk7" localSheetId="4" hidden="1">""</definedName>
    <definedName name="CellActionB184" comment="0" localSheetId="4" hidden="1">""</definedName>
    <definedName name="CellActionB184C0" comment="U2hvd0RyaWxsRG93bignVVMgQmV2ZXJhZ2UnLCAnU3VwZXJpb3IgQ2VydmV6YVx0VVMgQmV2ZXJhZ2UnLCAnJyx0aGlzKTs=" localSheetId="4" hidden="1">""</definedName>
    <definedName name="CellActionB186" comment="0" localSheetId="4" hidden="1">""</definedName>
    <definedName name="CellActionB186C0" comment="U2hvd0RyaWxsRG93bignV2Fyd2ljayBWYWxsZXknLCAnRG9jXHUwMDI3c1x0V2Fyd2ljayBWYWxsZXknLCAnJyx0aGlzKTs=" localSheetId="4" hidden="1">""</definedName>
    <definedName name="CellActionB187" comment="0" localSheetId="4" hidden="1">""</definedName>
    <definedName name="CellActionB187C0" comment="U2hvd0RyaWxsRG93bignV2Fyd2ljayBWYWxsZXknLCAnV2Fyd2ljayBHaW5cdFdhcndpY2sgVmFsbGV5JywgJycsdGhpcyk7" localSheetId="4" hidden="1">""</definedName>
    <definedName name="CellActionB188" comment="0" localSheetId="4" hidden="1">""</definedName>
    <definedName name="CellActionB188C0" comment="U2hvd0RyaWxsRG93bignV2Fyd2ljayBWYWxsZXknLCAnR2luIFBpZ1x0V2Fyd2ljayBWYWxsZXknLCAnJyx0aGlzKTs=" localSheetId="4" hidden="1">""</definedName>
    <definedName name="CellActionB18C0" comment="U2hvd0RyaWxsRG93bignQ29uc3RlbGxhdGlvbiBCcmFuZHMnLCAnRnJlc2NhIE1peGVkXHRDb25zdGVsbGF0aW9uIEJyYW5kcycsICcnLHRoaXMpOw==" localSheetId="4" hidden="1">""</definedName>
    <definedName name="CellActionB19" comment="0" localSheetId="4" hidden="1">""</definedName>
    <definedName name="CellActionB190" comment="0" localSheetId="4" hidden="1">""</definedName>
    <definedName name="CellActionB190C0" comment="U2hvd0RyaWxsRG93bignRklGQ08nLCAnR2VuZXNlZVx0RklGQ08nLCAnJyx0aGlzKTs=" localSheetId="4" hidden="1">""</definedName>
    <definedName name="CellActionB191" comment="0" localSheetId="4" hidden="1">""</definedName>
    <definedName name="CellActionB191C0" comment="U2hvd0RyaWxsRG93bignRklGQ08nLCAnSW1wZXJpYWxcdEZJRkNPJywgJycsdGhpcyk7" localSheetId="4" hidden="1">""</definedName>
    <definedName name="CellActionB192" comment="0" localSheetId="4" hidden="1">""</definedName>
    <definedName name="CellActionB192C0" comment="U2hvd0RyaWxsRG93bignRklGQ08nLCAnSG9uZXkgQnJvd25cdEZJRkNPJywgJycsdGhpcyk7" localSheetId="4" hidden="1">""</definedName>
    <definedName name="CellActionB194" comment="0" localSheetId="4" hidden="1">""</definedName>
    <definedName name="CellActionB194C0" comment="U2hvd0RyaWxsRG93bignQXRobGV0aWMgQnJld2luZyBDb21wYW55JywgJ0F0aGxldGljXHRBdGhsZXRpYyBCcmV3aW5nIENvbXBhbnknLCAnJyx0aGlzKTs=" localSheetId="4" hidden="1">""</definedName>
    <definedName name="CellActionB196" comment="0" localSheetId="4" hidden="1">""</definedName>
    <definedName name="CellActionB196C0" comment="U2hvd0RyaWxsRG93bignUGh1c2lvbiBQcm9qZWN0cycsICdGb3VyIExva29cdFBodXNpb24gUHJvamVjdHMnLCAnJyx0aGlzKTs=" localSheetId="4" hidden="1">""</definedName>
    <definedName name="CellActionB197" comment="0" localSheetId="4" hidden="1">""</definedName>
    <definedName name="CellActionB197C0" comment="U2hvd0RyaWxsRG93bignUGh1c2lvbiBQcm9qZWN0cycsICdFYXJ0aHF1YWtlXHRQaHVzaW9uIFByb2plY3RzJywgJycsdGhpcyk7" localSheetId="4" hidden="1">""</definedName>
    <definedName name="CellActionB198" comment="0" localSheetId="4" hidden="1">""</definedName>
    <definedName name="CellActionB198C0" comment="U2hvd0RyaWxsRG93bignUGh1c2lvbiBQcm9qZWN0cycsICdNYW1pdGFcdTAwMjdzXHRQaHVzaW9uIFByb2plY3RzJywgJycsdGhpcyk7" localSheetId="4" hidden="1">""</definedName>
    <definedName name="CellActionB199" comment="0" localSheetId="4" hidden="1">""</definedName>
    <definedName name="CellActionB199C0" comment="U2hvd0RyaWxsRG93bignUGh1c2lvbiBQcm9qZWN0cycsICdQaXJhdGUgV2F0ZXJcdFBodXNpb24gUHJvamVjdHMnLCAnJyx0aGlzKTs=" localSheetId="4" hidden="1">""</definedName>
    <definedName name="CellActionB19C0" comment="U2hvd0RyaWxsRG93bignQ29uc3RlbGxhdGlvbiBCcmFuZHMnLCAnVGhlIERyb3BcdENvbnN0ZWxsYXRpb24gQnJhbmRzJywgJycsdGhpcyk7" localSheetId="4" hidden="1">""</definedName>
    <definedName name="CellActionB20" comment="0" localSheetId="4" hidden="1">""</definedName>
    <definedName name="CellActionB200" comment="0" localSheetId="4" hidden="1">""</definedName>
    <definedName name="CellActionB200C0" comment="U2hvd0RyaWxsRG93bignUGh1c2lvbiBQcm9qZWN0cycsICdCYXNpY1x0UGh1c2lvbiBQcm9qZWN0cycsICcnLHRoaXMpOw==" localSheetId="4" hidden="1">""</definedName>
    <definedName name="CellActionB202" comment="0" localSheetId="4" hidden="1">""</definedName>
    <definedName name="CellActionB202C0" comment="U2hvd0RyaWxsRG93bignUGF1bGFuZXInLCAnUGF1bGFuZXJcdFBhdWxhbmVyJywgJycsdGhpcyk7" localSheetId="4" hidden="1">""</definedName>
    <definedName name="CellActionB203" comment="0" localSheetId="4" hidden="1">""</definedName>
    <definedName name="CellActionB203C0" comment="U2hvd0RyaWxsRG93bignUGF1bGFuZXInLCAnVHNpbmd0YW9cdFBhdWxhbmVyJywgJycsdGhpcyk7" localSheetId="4" hidden="1">""</definedName>
    <definedName name="CellActionB204" comment="0" localSheetId="4" hidden="1">""</definedName>
    <definedName name="CellActionB204C0" comment="U2hvd0RyaWxsRG93bignUGF1bGFuZXInLCAnSGFja2VyLVBzY2hvcnJcdFBhdWxhbmVyJywgJycsdGhpcyk7" localSheetId="4" hidden="1">""</definedName>
    <definedName name="CellActionB205" comment="0" localSheetId="4" hidden="1">""</definedName>
    <definedName name="CellActionB205C0" comment="U2hvd0RyaWxsRG93bignUGF1bGFuZXInLCAnRnVsbGVyXHUwMDI3c1x0UGF1bGFuZXInLCAnJyx0aGlzKTs=" localSheetId="4" hidden="1">""</definedName>
    <definedName name="CellActionB207" comment="0" localSheetId="4" hidden="1">""</definedName>
    <definedName name="CellActionB207C0" comment="U2hvd0RyaWxsRG93bignUHJpZGUgXHUwMDI2IENsYXJrZScsICdQcmlkZSBcdTAwMjYgQ2xhcmtlXHRQcmlkZSBcdTAwMjYgQ2xhcmtlJywgJycsdGhpcyk7" localSheetId="4" hidden="1">""</definedName>
    <definedName name="CellActionB209" comment="0" localSheetId="4" hidden="1">""</definedName>
    <definedName name="CellActionB209C0" comment="U2hvd0RyaWxsRG93bignSG9mYnJhdWhhdXMgVVNBJywgJ0hvZmJyYXUgVXNhXHRIb2ZicmF1aGF1cyBVU0EnLCAnJyx0aGlzKTs=" localSheetId="4" hidden="1">""</definedName>
    <definedName name="CellActionB20C0" comment="U2hvd0RyaWxsRG93bignQ29uc3RlbGxhdGlvbiBCcmFuZHMnLCAnQ29yb25hIFNlbHR6ZXJcdENvbnN0ZWxsYXRpb24gQnJhbmRzJywgJycsdGhpcyk7" localSheetId="4" hidden="1">""</definedName>
    <definedName name="CellActionB211" comment="0" localSheetId="4" hidden="1">""</definedName>
    <definedName name="CellActionB211C0" comment="U2hvd0RyaWxsRG93bignR2FyYWdlIEJlZXInLCAnR2FyYWdlIEJlZXJcdEdhcmFnZSBCZWVyJywgJycsdGhpcyk7" localSheetId="4" hidden="1">""</definedName>
    <definedName name="CellActionB213" comment="0" localSheetId="4" hidden="1">""</definedName>
    <definedName name="CellActionB213C0" comment="U2hvd0RyaWxsRG93bignUmVkIEJ1bGwnLCAnUmVkIEJ1bGxcdFJlZCBCdWxsJywgJycsdGhpcyk7" localSheetId="4" hidden="1">""</definedName>
    <definedName name="CellActionB215" comment="0" localSheetId="4" hidden="1">""</definedName>
    <definedName name="CellActionB215C0" comment="U2hvd0RyaWxsRG93bignQmVhayBcdTAwMjYgU2tpZmYnLCAnMTkxMSBIYXJkIENpZGVyXHRCZWFrIFx1MDAyNiBTa2lmZicsICcnLHRoaXMpOw==" localSheetId="4" hidden="1">""</definedName>
    <definedName name="CellActionB216" comment="0" localSheetId="4" hidden="1">""</definedName>
    <definedName name="CellActionB216C0" comment="U2hvd0RyaWxsRG93bignQmVhayBcdTAwMjYgU2tpZmYnLCAnMTkxMSBTcGlyaXRzXHRCZWFrIFx1MDAyNiBTa2lmZicsICcnLHRoaXMpOw==" localSheetId="4" hidden="1">""</definedName>
    <definedName name="CellActionB218" comment="0" localSheetId="4" hidden="1">""</definedName>
    <definedName name="CellActionB218C0" comment="U2hvd0RyaWxsRG93bignU291dGhlcm4gVGllciBCcmV3aW5nIENvbXBhbnknLCAnU291dGhlcm4gVGllclx0U291dGhlcm4gVGllciBCcmV3aW5nIENvbXBhbnknLCAnJyx0aGlzKTs=" localSheetId="4" hidden="1">""</definedName>
    <definedName name="CellActionB22" comment="0" localSheetId="4" hidden="1">""</definedName>
    <definedName name="CellActionB220" comment="0" localSheetId="4" hidden="1">""</definedName>
    <definedName name="CellActionB220C0" comment="U2hvd0RyaWxsRG93bignTmFycmFnYW5zZXR0JywgJ05hcnJhZ2Fuc2V0dFx0TmFycmFnYW5zZXR0JywgJycsdGhpcyk7" localSheetId="4" hidden="1">""</definedName>
    <definedName name="CellActionB221" comment="0" localSheetId="4" hidden="1">""</definedName>
    <definedName name="CellActionB221C0" comment="U2hvd0RyaWxsRG93bignTmFycmFnYW5zZXR0JywgJ0RlbFx1MDAyN3MgU2hhbmR5XHROYXJyYWdhbnNldHQnLCAnJyx0aGlzKTs=" localSheetId="4" hidden="1">""</definedName>
    <definedName name="CellActionB223" comment="0" localSheetId="4" hidden="1">""</definedName>
    <definedName name="CellActionB223C0" comment="U2hvd0RyaWxsRG93bignR3JlYXQgTGFrZXMnLCAnR3JlYXQgTGFrZXNcdEdyZWF0IExha2VzJywgJycsdGhpcyk7" localSheetId="4" hidden="1">""</definedName>
    <definedName name="CellActionB225" comment="0" localSheetId="4" hidden="1">""</definedName>
    <definedName name="CellActionB225C0" comment="U2hvd0RyaWxsRG93bignU2FyYXRvZ2EnLCAnU2FyYXRvZ2FcdFNhcmF0b2dhJywgJycsdGhpcyk7" localSheetId="4" hidden="1">""</definedName>
    <definedName name="CellActionB227" comment="0" localSheetId="4" hidden="1">""</definedName>
    <definedName name="CellActionB227C0" comment="U2hvd0RyaWxsRG93bignVmluYWlvIEltcG9ydHMgTFREJywgJ0NlcnZlemEgUmVwdWJsaWNhIExhIFR1eWEgNS4wIExhIER1cmFcdFZpbmFpbyBJbXBvcnRzIExURCcsICcnLHRoaXMpOw==" localSheetId="4" hidden="1">""</definedName>
    <definedName name="CellActionB228" comment="0" localSheetId="4" hidden="1">""</definedName>
    <definedName name="CellActionB228C0" comment="U2hvd0RyaWxsRG93bignVmluYWlvIEltcG9ydHMgTFREJywgJ0NlcnZlemEgUmVwdWJsaWNhIExBIFR1eWFcdFZpbmFpbyBJbXBvcnRzIExURCcsICcnLHRoaXMpOw==" localSheetId="4" hidden="1">""</definedName>
    <definedName name="CellActionB22C0" comment="U2hvd0RyaWxsRG93bignTW9sc29uQ29vcnMgQmV2ZXJhZ2UgQ29tcGFueScsICdDb29ycyBMaWdodFx0TW9sc29uQ29vcnMgQmV2ZXJhZ2UgQ29tcGFueScsICcnLHRoaXMpOw==" localSheetId="4" hidden="1">""</definedName>
    <definedName name="CellActionB23" comment="0" localSheetId="4" hidden="1">""</definedName>
    <definedName name="CellActionB230" comment="0" localSheetId="4" hidden="1">""</definedName>
    <definedName name="CellActionB230C0" comment="U2hvd0RyaWxsRG93bignRm9vZCBcdTAwMjYgQmV2IEVudGVycHJpc2UgTExDJywgJ1Bva2VyIEltcG9ydFx0Rm9vZCBcdTAwMjYgQmV2IEVudGVycHJpc2UgTExDJywgJycsdGhpcyk7" localSheetId="4" hidden="1">""</definedName>
    <definedName name="CellActionB231" comment="0" localSheetId="4" hidden="1">""</definedName>
    <definedName name="CellActionB231C0" comment="U2hvd0RyaWxsRG93bignRm9vZCBcdTAwMjYgQmV2IEVudGVycHJpc2UgTExDJywgJ0FndWlsYSBJbXBvcnRcdEZvb2QgXHUwMDI2IEJldiBFbnRlcnByaXNlIExMQycsICcnLHRoaXMpOw==" localSheetId="4" hidden="1">""</definedName>
    <definedName name="CellActionB232" comment="0" localSheetId="4" hidden="1">""</definedName>
    <definedName name="CellActionB232C0" comment="U2hvd0RyaWxsRG93bignRm9vZCBcdTAwMjYgQmV2IEVudGVycHJpc2UgTExDJywgJ0Zvb2QgXHUwMDI2IEJldlx0Rm9vZCBcdTAwMjYgQmV2IEVudGVycHJpc2UgTExDJywgJycsdGhpcyk7" localSheetId="4" hidden="1">""</definedName>
    <definedName name="CellActionB233" comment="0" localSheetId="4" hidden="1">""</definedName>
    <definedName name="CellActionB233C0" comment="U2hvd0RyaWxsRG93bignRm9vZCBcdTAwMjYgQmV2IEVudGVycHJpc2UgTExDJywgJ0Nvc3Rlbml0YVx0Rm9vZCBcdTAwMjYgQmV2IEVudGVycHJpc2UgTExDJywgJycsdGhpcyk7" localSheetId="4" hidden="1">""</definedName>
    <definedName name="CellActionB235" comment="0" localSheetId="4" hidden="1">""</definedName>
    <definedName name="CellActionB235C0" comment="U2hvd0RyaWxsRG93bignQXJ0aXNhbmFsIEltcG9ydHMnLCAnVG9uYVx0QXJ0aXNhbmFsIEltcG9ydHMnLCAnJyx0aGlzKTs=" localSheetId="4" hidden="1">""</definedName>
    <definedName name="CellActionB236" comment="0" localSheetId="4" hidden="1">""</definedName>
    <definedName name="CellActionB236C0" comment="U2hvd0RyaWxsRG93bignQXJ0aXNhbmFsIEltcG9ydHMnLCAnUGFsbWFcdEFydGlzYW5hbCBJbXBvcnRzJywgJycsdGhpcyk7" localSheetId="4" hidden="1">""</definedName>
    <definedName name="CellActionB238" comment="0" localSheetId="4" hidden="1">""</definedName>
    <definedName name="CellActionB238C0" comment="U2hvd0RyaWxsRG93bignRXZpbCBHZW5pdXMnLCAnRXZpbCBHZW5pdXNcdEV2aWwgR2VuaXVzJywgJycsdGhpcyk7" localSheetId="4" hidden="1">""</definedName>
    <definedName name="CellActionB23C0" comment="U2hvd0RyaWxsRG93bignTW9sc29uQ29vcnMgQmV2ZXJhZ2UgQ29tcGFueScsICdMaXRlXHRNb2xzb25Db29ycyBCZXZlcmFnZSBDb21wYW55JywgJycsdGhpcyk7" localSheetId="4" hidden="1">""</definedName>
    <definedName name="CellActionB24" comment="0" localSheetId="4" hidden="1">""</definedName>
    <definedName name="CellActionB240" comment="0" localSheetId="4" hidden="1">""</definedName>
    <definedName name="CellActionB240C0" comment="U2hvd0RyaWxsRG93bignSGFycG9vbiBCcmV3ZXJ5JywgJ0xvbmcgVHJhaWxcdEhhcnBvb24gQnJld2VyeScsICcnLHRoaXMpOw==" localSheetId="4" hidden="1">""</definedName>
    <definedName name="CellActionB241" comment="0" localSheetId="4" hidden="1">""</definedName>
    <definedName name="CellActionB241C0" comment="U2hvd0RyaWxsRG93bignSGFycG9vbiBCcmV3ZXJ5JywgJ1NoZWRcdEhhcnBvb24gQnJld2VyeScsICcnLHRoaXMpOw==" localSheetId="4" hidden="1">""</definedName>
    <definedName name="CellActionB242" comment="0" localSheetId="4" hidden="1">""</definedName>
    <definedName name="CellActionB242C0" comment="U2hvd0RyaWxsRG93bignSGFycG9vbiBCcmV3ZXJ5JywgJ090dGVyIENyZWVrXHRIYXJwb29uIEJyZXdlcnknLCAnJyx0aGlzKTs=" localSheetId="4" hidden="1">""</definedName>
    <definedName name="CellActionB244" comment="0" localSheetId="4" hidden="1">""</definedName>
    <definedName name="CellActionB244C0" comment="U2hvd0RyaWxsRG93bignR2FtYnJpbnVzIEltcG9ydHMnLCAnU2hpbmVyXHRHYW1icmludXMgSW1wb3J0cycsICcnLHRoaXMpOw==" localSheetId="4" hidden="1">""</definedName>
    <definedName name="CellActionB246" comment="0" localSheetId="4" hidden="1">""</definedName>
    <definedName name="CellActionB246C0" comment="U2hvd0RyaWxsRG93bignQmVsbFx1MDAyN3MnLCAnQmVsbFx1MDAyN3MgSGVhcnRlZCBGYW1pbHlcdEJlbGxcdTAwMjdzJywgJycsdGhpcyk7" localSheetId="4" hidden="1">""</definedName>
    <definedName name="CellActionB247" comment="0" localSheetId="4" hidden="1">""</definedName>
    <definedName name="CellActionB247C0" comment="U2hvd0RyaWxsRG93bignQmVsbFx1MDAyN3MnLCAnQmVsbFx1MDAyN3NcdEJlbGxcdTAwMjdzJywgJycsdGhpcyk7" localSheetId="4" hidden="1">""</definedName>
    <definedName name="CellActionB249" comment="0" localSheetId="4" hidden="1">""</definedName>
    <definedName name="CellActionB249C0" comment="U2hvd0RyaWxsRG93bignRmx5aW5nIEZpc2gnLCAnRmx5aW5nIEZpc2hcdEZseWluZyBGaXNoJywgJycsdGhpcyk7" localSheetId="4" hidden="1">""</definedName>
    <definedName name="CellActionB24C0" comment="U2hvd0RyaWxsRG93bignTW9sc29uQ29vcnMgQmV2ZXJhZ2UgQ29tcGFueScsICdCbHVlIE1vb25cdE1vbHNvbkNvb3JzIEJldmVyYWdlIENvbXBhbnknLCAnJyx0aGlzKTs=" localSheetId="4" hidden="1">""</definedName>
    <definedName name="CellActionB25" comment="0" localSheetId="4" hidden="1">""</definedName>
    <definedName name="CellActionB250" comment="0" localSheetId="4" hidden="1">""</definedName>
    <definedName name="CellActionB250C0" comment="U2hvd0RyaWxsRG93bignRmx5aW5nIEZpc2gnLCAnQmlnIE1hbnMgQnJld1x0Rmx5aW5nIEZpc2gnLCAnJyx0aGlzKTs=" localSheetId="4" hidden="1">""</definedName>
    <definedName name="CellActionB252" comment="0" localSheetId="4" hidden="1">""</definedName>
    <definedName name="CellActionB252C0" comment="U2hvd0RyaWxsRG93bignR2xvYmFsIEJlZXInLCAnU3RpZWdsXHRHbG9iYWwgQmVlcicsICcnLHRoaXMpOw==" localSheetId="4" hidden="1">""</definedName>
    <definedName name="CellActionB253" comment="0" localSheetId="4" hidden="1">""</definedName>
    <definedName name="CellActionB253C0" comment="U2hvd0RyaWxsRG93bignR2xvYmFsIEJlZXInLCAnU3VsbGl2YW5cdTAwMjdzXHRHbG9iYWwgQmVlcicsICcnLHRoaXMpOw==" localSheetId="4" hidden="1">""</definedName>
    <definedName name="CellActionB254" comment="0" localSheetId="4" hidden="1">""</definedName>
    <definedName name="CellActionB254C0" comment="U2hvd0RyaWxsRG93bignR2xvYmFsIEJlZXInLCAnWWFyZCBIb3VzZVx0R2xvYmFsIEJlZXInLCAnJyx0aGlzKTs=" localSheetId="4" hidden="1">""</definedName>
    <definedName name="CellActionB255" comment="0" localSheetId="4" hidden="1">""</definedName>
    <definedName name="CellActionB255C0" comment="U2hvd0RyaWxsRG93bignR2xvYmFsIEJlZXInLCAnQmF2aWtcdEdsb2JhbCBCZWVyJywgJycsdGhpcyk7" localSheetId="4" hidden="1">""</definedName>
    <definedName name="CellActionB256" comment="0" localSheetId="4" hidden="1">""</definedName>
    <definedName name="CellActionB256C0" comment="U2hvd0RyaWxsRG93bignR2xvYmFsIEJlZXInLCAnUGV0cnVzXHRHbG9iYWwgQmVlcicsICcnLHRoaXMpOw==" localSheetId="4" hidden="1">""</definedName>
    <definedName name="CellActionB257" comment="0" localSheetId="4" hidden="1">""</definedName>
    <definedName name="CellActionB257C0" comment="U2hvd0RyaWxsRG93bignR2xvYmFsIEJlZXInLCAnR3VsZGVuIERyYWFrXHRHbG9iYWwgQmVlcicsICcnLHRoaXMpOw==" localSheetId="4" hidden="1">""</definedName>
    <definedName name="CellActionB258" comment="0" localSheetId="4" hidden="1">""</definedName>
    <definedName name="CellActionB258C0" comment="U2hvd0RyaWxsRG93bignR2xvYmFsIEJlZXInLCAnUGlyYWF0XHRHbG9iYWwgQmVlcicsICcnLHRoaXMpOw==" localSheetId="4" hidden="1">""</definedName>
    <definedName name="CellActionB259" comment="0" localSheetId="4" hidden="1">""</definedName>
    <definedName name="CellActionB259C0" comment="U2hvd0RyaWxsRG93bignR2xvYmFsIEJlZXInLCAnQmFwdGlzdCBXaXRcdEdsb2JhbCBCZWVyJywgJycsdGhpcyk7" localSheetId="4" hidden="1">""</definedName>
    <definedName name="CellActionB25C0" comment="U2hvd0RyaWxsRG93bignTW9sc29uQ29vcnMgQmV2ZXJhZ2UgQ29tcGFueScsICdDb29yc1x0TW9sc29uQ29vcnMgQmV2ZXJhZ2UgQ29tcGFueScsICcnLHRoaXMpOw==" localSheetId="4" hidden="1">""</definedName>
    <definedName name="CellActionB26" comment="0" localSheetId="4" hidden="1">""</definedName>
    <definedName name="CellActionB260" comment="0" localSheetId="4" hidden="1">""</definedName>
    <definedName name="CellActionB260C0" comment="U2hvd0RyaWxsRG93bignR2xvYmFsIEJlZXInLCAnVmFuIFN0ZWVuYmVyZ2VcdEdsb2JhbCBCZWVyJywgJycsdGhpcyk7" localSheetId="4" hidden="1">""</definedName>
    <definedName name="CellActionB262" comment="0" localSheetId="4" hidden="1">""</definedName>
    <definedName name="CellActionB262C0" comment="U2hvd0RyaWxsRG93bignVmVybW9udCBIYXJkIENpZGVyJywgJ1dvb2RjaHVja1x0VmVybW9udCBIYXJkIENpZGVyJywgJycsdGhpcyk7" localSheetId="4" hidden="1">""</definedName>
    <definedName name="CellActionB263" comment="0" localSheetId="4" hidden="1">""</definedName>
    <definedName name="CellActionB263C0" comment="U2hvd0RyaWxsRG93bignVmVybW9udCBIYXJkIENpZGVyJywgJ0RheSBDaGFzZXJcdFZlcm1vbnQgSGFyZCBDaWRlcicsICcnLHRoaXMpOw==" localSheetId="4" hidden="1">""</definedName>
    <definedName name="CellActionB264" comment="0" localSheetId="4" hidden="1">""</definedName>
    <definedName name="CellActionB264C0" comment="U2hvd0RyaWxsRG93bignVmVybW9udCBIYXJkIENpZGVyJywgJ1d5ZGVyXHUwMDI3c1x0VmVybW9udCBIYXJkIENpZGVyJywgJycsdGhpcyk7" localSheetId="4" hidden="1">""</definedName>
    <definedName name="CellActionB266" comment="0" localSheetId="4" hidden="1">""</definedName>
    <definedName name="CellActionB266C0" comment="U2hvd0RyaWxsRG93bignVHJhdmVsZXJzIENsdWInLCAnVHJhdmVsZXJzIENsdWJcdFRyYXZlbGVycyBDbHViJywgJycsdGhpcyk7" localSheetId="4" hidden="1">""</definedName>
    <definedName name="CellActionB268" comment="0" localSheetId="4" hidden="1">""</definedName>
    <definedName name="CellActionB268C0" comment="U2hvd0RyaWxsRG93bignQkpcdTAwMjdTIFByaXZhdGUgTGFiZWwgQnJldycsICdCSlx1MDAyN1MgUHJpdmF0ZSBMYWJlbCBCcmV3YVx0QkpcdTAwMjdTIFByaXZhdGUgTGFiZWwgQnJldycsICcnLHRoaXMpOw==" localSheetId="4" hidden="1">""</definedName>
    <definedName name="CellActionB26C0" comment="U2hvd0RyaWxsRG93bignTW9sc29uQ29vcnMgQmV2ZXJhZ2UgQ29tcGFueScsICdNaWxsZXIgSGlnaCBMaWZlXHRNb2xzb25Db29ycyBCZXZlcmFnZSBDb21wYW55JywgJycsdGhpcyk7" localSheetId="4" hidden="1">""</definedName>
    <definedName name="CellActionB27" comment="0" localSheetId="4" hidden="1">""</definedName>
    <definedName name="CellActionB270" comment="0" localSheetId="4" hidden="1">""</definedName>
    <definedName name="CellActionB270C0" comment="U2hvd0RyaWxsRG93bignUml2ZXIgSG9yc2UgQnJld2luZyBDbycsICdSaXZlciBIb3JzZSBCcmV3aW5nIENvXHRSaXZlciBIb3JzZSBCcmV3aW5nIENvJywgJycsdGhpcyk7" localSheetId="4" hidden="1">""</definedName>
    <definedName name="CellActionB271" comment="0" localSheetId="4" hidden="1">""</definedName>
    <definedName name="CellActionB271C0" comment="U2hvd0RyaWxsRG93bignUml2ZXIgSG9yc2UgQnJld2luZyBDbycsICdUaGUgR2FyZGVuIFN0YXRlIEV4cGVyaWVuY2VcdFJpdmVyIEhvcnNlIEJyZXdpbmcgQ28nLCAnJyx0aGlzKTs=" localSheetId="4" hidden="1">""</definedName>
    <definedName name="CellActionB273" comment="0" localSheetId="4" hidden="1">""</definedName>
    <definedName name="CellActionB273C0" comment="U2hvd0RyaWxsRG93bignUGFtcGEgQmV2ZXJhZ2VzJywgJ1F1aWxtZXNcdFBhbXBhIEJldmVyYWdlcycsICcnLHRoaXMpOw==" localSheetId="4" hidden="1">""</definedName>
    <definedName name="CellActionB275" comment="0" localSheetId="4" hidden="1">""</definedName>
    <definedName name="CellActionB275C0" comment="U2hvd0RyaWxsRG93bignR2xvYmFsIFZpbGxhZ2UgSW1wLicsICdBdWd1c3RpbmVyXHRHbG9iYWwgVmlsbGFnZSBJbXAuJywgJycsdGhpcyk7" localSheetId="4" hidden="1">""</definedName>
    <definedName name="CellActionB276" comment="0" localSheetId="4" hidden="1">""</definedName>
    <definedName name="CellActionB276C0" comment="U2hvd0RyaWxsRG93bignR2xvYmFsIFZpbGxhZ2UgSW1wLicsICdPcmFuamVib29tXHRHbG9iYWwgVmlsbGFnZSBJbXAuJywgJycsdGhpcyk7" localSheetId="4" hidden="1">""</definedName>
    <definedName name="CellActionB278" comment="0" localSheetId="4" hidden="1">""</definedName>
    <definedName name="CellActionB278C0" comment="U2hvd0RyaWxsRG93bignTmV3YnVyZ2ggQnJld2luZycsICdOZXdidXJnaFx0TmV3YnVyZ2ggQnJld2luZycsICcnLHRoaXMpOw==" localSheetId="4" hidden="1">""</definedName>
    <definedName name="CellActionB27C0" comment="U2hvd0RyaWxsRG93bignTW9sc29uQ29vcnMgQmV2ZXJhZ2UgQ29tcGFueScsICdQZXJvbmlcdE1vbHNvbkNvb3JzIEJldmVyYWdlIENvbXBhbnknLCAnJyx0aGlzKTs=" localSheetId="4" hidden="1">""</definedName>
    <definedName name="CellActionB28" comment="0" localSheetId="4" hidden="1">""</definedName>
    <definedName name="CellActionB280" comment="0" localSheetId="4" hidden="1">""</definedName>
    <definedName name="CellActionB280C0" comment="U2hvd0RyaWxsRG93bignQ2l0aXplbiBDaWRlcicsICdDaXRpemVuIENpZGVyXHRDaXRpemVuIENpZGVyJywgJycsdGhpcyk7" localSheetId="4" hidden="1">""</definedName>
    <definedName name="CellActionB282" comment="0" localSheetId="4" hidden="1">""</definedName>
    <definedName name="CellActionB282C0" comment="U2hvd0RyaWxsRG93bignSmVyc2V5IEdpcmwnLCAnSmVyc2V5IEdpcmxcdEplcnNleSBHaXJsJywgJycsdGhpcyk7" localSheetId="4" hidden="1">""</definedName>
    <definedName name="CellActionB284" comment="0" localSheetId="4" hidden="1">""</definedName>
    <definedName name="CellActionB284C0" comment="U2hvd0RyaWxsRG93bignUHJlc3RpZ2UnLCAnTXl0aG9zXHRQcmVzdGlnZScsICcnLHRoaXMpOw==" localSheetId="4" hidden="1">""</definedName>
    <definedName name="CellActionB285" comment="0" localSheetId="4" hidden="1">""</definedName>
    <definedName name="CellActionB285C0" comment="U2hvd0RyaWxsRG93bignUHJlc3RpZ2UnLCAnR3JlZWsgV2luZXNcdFByZXN0aWdlJywgJycsdGhpcyk7" localSheetId="4" hidden="1">""</definedName>
    <definedName name="CellActionB286" comment="0" localSheetId="4" hidden="1">""</definedName>
    <definedName name="CellActionB286C0" comment="U2hvd0RyaWxsRG93bignUHJlc3RpZ2UnLCAnR3JlZWsgU3Bpcml0c1x0UHJlc3RpZ2UnLCAnJyx0aGlzKTs=" localSheetId="4" hidden="1">""</definedName>
    <definedName name="CellActionB287" comment="0" localSheetId="4" hidden="1">""</definedName>
    <definedName name="CellActionB287C0" comment="U2hvd0RyaWxsRG93bignUHJlc3RpZ2UnLCAnRml4IEhlbGxhc1x0UHJlc3RpZ2UnLCAnJyx0aGlzKTs=" localSheetId="4" hidden="1">""</definedName>
    <definedName name="CellActionB289" comment="0" localSheetId="4" hidden="1">""</definedName>
    <definedName name="CellActionB289C0" comment="U2hvd0RyaWxsRG93bignQm9sZCBSb2NrIEhhcmQgQ2lkZXInLCAnQm9sZCBSb2NrXHRCb2xkIFJvY2sgSGFyZCBDaWRlcicsICcnLHRoaXMpOw==" localSheetId="4" hidden="1">""</definedName>
    <definedName name="CellActionB28C0" comment="U2hvd0RyaWxsRG93bignTW9sc29uQ29vcnMgQmV2ZXJhZ2UgQ29tcGFueScsICdGb3N0ZXJzXHRNb2xzb25Db29ycyBCZXZlcmFnZSBDb21wYW55JywgJycsdGhpcyk7" localSheetId="4" hidden="1">""</definedName>
    <definedName name="CellActionB29" comment="0" localSheetId="4" hidden="1">""</definedName>
    <definedName name="CellActionB291" comment="0" localSheetId="4" hidden="1">""</definedName>
    <definedName name="CellActionB291C0" comment="U2hvd0RyaWxsRG93bignSXRoYWNhJywgJ0l0aGFjYVx0SXRoYWNhJywgJycsdGhpcyk7" localSheetId="4" hidden="1">""</definedName>
    <definedName name="CellActionB293" comment="0" localSheetId="4" hidden="1">""</definedName>
    <definedName name="CellActionB293C0" comment="U2hvd0RyaWxsRG93bignRHVjbGF3IEJyZXdpbmcnLCAnRHVjbGF3XHREdWNsYXcgQnJld2luZycsICcnLHRoaXMpOw==" localSheetId="4" hidden="1">""</definedName>
    <definedName name="CellActionB295" comment="0" localSheetId="4" hidden="1">""</definedName>
    <definedName name="CellActionB295C0" comment="U2hvd0RyaWxsRG93bignRm9yZ2VkIElyaXNoIFN0b3V0JywgJ0ZvcmdlZCBJcmlzaCBTdG91dFx0Rm9yZ2VkIElyaXNoIFN0b3V0JywgJycsdGhpcyk7" localSheetId="4" hidden="1">""</definedName>
    <definedName name="CellActionB297" comment="0" localSheetId="4" hidden="1">""</definedName>
    <definedName name="CellActionB297C0" comment="U2hvd0RyaWxsRG93bignVGFsa2hvdXNlIEVuY29yZScsICdUYWxraG91c2UgRW5jb3JlXHRUYWxraG91c2UgRW5jb3JlJywgJycsdGhpcyk7" localSheetId="4" hidden="1">""</definedName>
    <definedName name="CellActionB299" comment="0" localSheetId="4" hidden="1">""</definedName>
    <definedName name="CellActionB299C0" comment="U2hvd0RyaWxsRG93bignQ3JpY2tldCBIaWxsJywgJ0NyaWNrZXQgSGlsbFx0Q3JpY2tldCBIaWxsJywgJycsdGhpcyk7" localSheetId="4" hidden="1">""</definedName>
    <definedName name="CellActionB29C0" comment="U2hvd0RyaWxsRG93bignTW9sc29uQ29vcnMgQmV2ZXJhZ2UgQ29tcGFueScsICdUeXNraWUgR3JvbmllXHRNb2xzb25Db29ycyBCZXZlcmFnZSBDb21wYW55JywgJycsdGhpcyk7" localSheetId="4" hidden="1">""</definedName>
    <definedName name="CellActionB30" comment="0" localSheetId="4" hidden="1">""</definedName>
    <definedName name="CellActionB301" comment="0" localSheetId="4" hidden="1">""</definedName>
    <definedName name="CellActionB301C0" comment="U2hvd0RyaWxsRG93bignSE9QIFdUUicsICdIT1AgV1RSXHRIT1AgV1RSJywgJycsdGhpcyk7" localSheetId="4" hidden="1">""</definedName>
    <definedName name="CellActionB303" comment="0" localSheetId="4" hidden="1">""</definedName>
    <definedName name="CellActionB303C0" comment="U2hvd0RyaWxsRG93bignQ3Jvb2sgXHUwMDI2IE1hcmtlcicsICdDcm9va1x1MDAyNk1hcmtlclx0Q3Jvb2sgXHUwMDI2IE1hcmtlcicsICcnLHRoaXMpOw==" localSheetId="4" hidden="1">""</definedName>
    <definedName name="CellActionB304" comment="0" localSheetId="4" hidden="1">""</definedName>
    <definedName name="CellActionB304C0" comment="U2hvd0RyaWxsRG93bignQ3Jvb2sgXHUwMDI2IE1hcmtlcicsICdDcm9va2VkIFRlYVx0Q3Jvb2sgXHUwMDI2IE1hcmtlcicsICcnLHRoaXMpOw==" localSheetId="4" hidden="1">""</definedName>
    <definedName name="CellActionB306" comment="0" localSheetId="4" hidden="1">""</definedName>
    <definedName name="CellActionB306C0" comment="U2hvd0RyaWxsRG93bignVW5pYnJvdWUnLCAnVW5pYnJvdWVcdFVuaWJyb3VlJywgJycsdGhpcyk7" localSheetId="4" hidden="1">""</definedName>
    <definedName name="CellActionB308" comment="0" localSheetId="4" hidden="1">""</definedName>
    <definedName name="CellActionB308C0" comment="U2hvd0RyaWxsRG93bignU291dGhlcm4gVGllciBEaXN0aWxsaW5nIENvbXBhbnknLCAnU291dGhlcm4gVGllciBEaXN0aWxsaW5nXHRTb3V0aGVybiBUaWVyIERpc3RpbGxpbmcgQ29tcGFueScsICcnLHRoaXMpOw==" localSheetId="4" hidden="1">""</definedName>
    <definedName name="CellActionB30C0" comment="U2hvd0RyaWxsRG93bignTW9sc29uQ29vcnMgQmV2ZXJhZ2UgQ29tcGFueScsICdBcm5vbGQgUGFsbWVyXHRNb2xzb25Db29ycyBCZXZlcmFnZSBDb21wYW55JywgJycsdGhpcyk7" localSheetId="4" hidden="1">""</definedName>
    <definedName name="CellActionB31" comment="0" localSheetId="4" hidden="1">""</definedName>
    <definedName name="CellActionB310" comment="0" localSheetId="4" hidden="1">""</definedName>
    <definedName name="CellActionB310C0" comment="U2hvd0RyaWxsRG93bignRWZlcycsICdFZmVzXHRFZmVzJywgJycsdGhpcyk7" localSheetId="4" hidden="1">""</definedName>
    <definedName name="CellActionB312" comment="0" localSheetId="4" hidden="1">""</definedName>
    <definedName name="CellActionB312C0" comment="U2hvd0RyaWxsRG93bignQ2VydmVjZXJpYSBMYSBUcm9waWNhbCcsICdMYSBUcm9waWNhbFx0Q2VydmVjZXJpYSBMYSBUcm9waWNhbCcsICcnLHRoaXMpOw==" localSheetId="4" hidden="1">""</definedName>
    <definedName name="CellActionB314" comment="0" localSheetId="4" hidden="1">""</definedName>
    <definedName name="CellActionB314C0" comment="U2hvd0RyaWxsRG93bignQmFybiBCcmV3IENvJywgJ0Jhcm4gQnJld1x0QmFybiBCcmV3IENvJywgJycsdGhpcyk7" localSheetId="4" hidden="1">""</definedName>
    <definedName name="CellActionB316" comment="0" localSheetId="4" hidden="1">""</definedName>
    <definedName name="CellActionB316C0" comment="U2hvd0RyaWxsRG93bignWFlaIEJldmVyYWdlJywgJ1ByZXNzXHRYWVogQmV2ZXJhZ2UnLCAnJyx0aGlzKTs=" localSheetId="4" hidden="1">""</definedName>
    <definedName name="CellActionB318" comment="0" localSheetId="4" hidden="1">""</definedName>
    <definedName name="CellActionB318C0" comment="U2hvd0RyaWxsRG93bignRGVmaWFudCBCcmV3aW5nIENvLicsICdEZWZpYW50XHREZWZpYW50IEJyZXdpbmcgQ28uJywgJycsdGhpcyk7" localSheetId="4" hidden="1">""</definedName>
    <definedName name="CellActionB31C0" comment="U2hvd0RyaWxsRG93bignTW9sc29uQ29vcnMgQmV2ZXJhZ2UgQ29tcGFueScsICdLZXlzdG9uZVx0TW9sc29uQ29vcnMgQmV2ZXJhZ2UgQ29tcGFueScsICcnLHRoaXMpOw==" localSheetId="4" hidden="1">""</definedName>
    <definedName name="CellActionB32" comment="0" localSheetId="4" hidden="1">""</definedName>
    <definedName name="CellActionB320" comment="0" localSheetId="4" hidden="1">""</definedName>
    <definedName name="CellActionB320C0" comment="U2hvd0RyaWxsRG93bignQnJld3RcdTAwMjdzIExMQycsICdCcmV3dFx1MDAyN3NcdEJyZXd0XHUwMDI3cyBMTEMnLCAnJyx0aGlzKTs=" localSheetId="4" hidden="1">""</definedName>
    <definedName name="CellActionB322" comment="0" localSheetId="4" hidden="1">""</definedName>
    <definedName name="CellActionB322C0" comment="U2hvd0RyaWxsRG93bignSHlncmFkZSBCZXZlcmFnZScsICdTb2RhIEJpcmNoXHRIeWdyYWRlIEJldmVyYWdlJywgJycsdGhpcyk7" localSheetId="4" hidden="1">""</definedName>
    <definedName name="CellActionB324" comment="0" localSheetId="4" hidden="1">""</definedName>
    <definedName name="CellActionB324C0" comment="U2hvd0RyaWxsRG93bignR1VTSCBJTkMnLCAnR3VzaFx0R1VTSCBJTkMnLCAnJyx0aGlzKTs=" localSheetId="4" hidden="1">""</definedName>
    <definedName name="CellActionB326" comment="0" localSheetId="4" hidden="1">""</definedName>
    <definedName name="CellActionB326C0" comment="U2hvd0RyaWxsRG93bignQ2FyYXZlbGxhIEluYycsICdDYXJhdmVsbGFcdENhcmF2ZWxsYSBJbmMnLCAnJyx0aGlzKTs=" localSheetId="4" hidden="1">""</definedName>
    <definedName name="CellActionB327" comment="0" localSheetId="4" hidden="1">""</definedName>
    <definedName name="CellActionB327C0" comment="U2hvd0RyaWxsRG93bignQ2FyYXZlbGxhIEluYycsICdEYW5jaW5nIFZpbmVzXHRDYXJhdmVsbGEgSW5jJywgJycsdGhpcyk7" localSheetId="4" hidden="1">""</definedName>
    <definedName name="CellActionB328" comment="0" localSheetId="4" hidden="1">""</definedName>
    <definedName name="CellActionB328C0" comment="U2hvd0RyaWxsRG93bignQ2FyYXZlbGxhIEluYycsICcyIENhbm9zXHRDYXJhdmVsbGEgSW5jJywgJycsdGhpcyk7" localSheetId="4" hidden="1">""</definedName>
    <definedName name="CellActionB329" comment="0" localSheetId="4" hidden="1">""</definedName>
    <definedName name="CellActionB329C0" comment="U2hvd0RyaWxsRG93bignQ2FyYXZlbGxhIEluYycsICdQb2NhIExvY2FcdENhcmF2ZWxsYSBJbmMnLCAnJyx0aGlzKTs=" localSheetId="4" hidden="1">""</definedName>
    <definedName name="CellActionB32C0" comment="U2hvd0RyaWxsRG93bignTW9sc29uQ29vcnMgQmV2ZXJhZ2UgQ29tcGFueScsICdTdGVlbCBSZXNlcnZlXHRNb2xzb25Db29ycyBCZXZlcmFnZSBDb21wYW55JywgJycsdGhpcyk7" localSheetId="4" hidden="1">""</definedName>
    <definedName name="CellActionB33" comment="0" localSheetId="4" hidden="1">""</definedName>
    <definedName name="CellActionB331" comment="0" localSheetId="4" hidden="1">""</definedName>
    <definedName name="CellActionB331C0" comment="U2hvd0RyaWxsRG93bignTGl0dGxlIFdhdGVyIERpc3RpbGxlcnknLCAnNDggQmxvY2tzXHRMaXR0bGUgV2F0ZXIgRGlzdGlsbGVyeScsICcnLHRoaXMpOw==" localSheetId="4" hidden="1">""</definedName>
    <definedName name="CellActionB332" comment="0" localSheetId="4" hidden="1">""</definedName>
    <definedName name="CellActionB332C0" comment="U2hvd0RyaWxsRG93bignTGl0dGxlIFdhdGVyIERpc3RpbGxlcnknLCAnV2hpdGVjYXBcdExpdHRsZSBXYXRlciBEaXN0aWxsZXJ5JywgJycsdGhpcyk7" localSheetId="4" hidden="1">""</definedName>
    <definedName name="CellActionB333" comment="0" localSheetId="4" hidden="1">""</definedName>
    <definedName name="CellActionB333C0" comment="U2hvd0RyaWxsRG93bignTGl0dGxlIFdhdGVyIERpc3RpbGxlcnknLCAnUnVzdGVkIFJldm9sdmVyXHRMaXR0bGUgV2F0ZXIgRGlzdGlsbGVyeScsICcnLHRoaXMpOw==" localSheetId="4" hidden="1">""</definedName>
    <definedName name="CellActionB335" comment="0" localSheetId="4" hidden="1">""</definedName>
    <definedName name="CellActionB335C0" comment="U2hvd0RyaWxsRG93bignRXZlciBHcmFuZCBHcm91cCBMTEMnLCAnU25vdyBCZWVyXHRFdmVyIEdyYW5kIEdyb3VwIExMQycsICcnLHRoaXMpOw==" localSheetId="4" hidden="1">""</definedName>
    <definedName name="CellActionB337" comment="0" localSheetId="4" hidden="1">""</definedName>
    <definedName name="CellActionB337C0" comment="U2hvd0RyaWxsRG93bignT1ZPIFZvZGthIExMQycsICdPVk8gVm9ka2FcdE9WTyBWb2RrYSBMTEMnLCAnJyx0aGlzKTs=" localSheetId="4" hidden="1">""</definedName>
    <definedName name="CellActionB339" comment="0" localSheetId="4" hidden="1">""</definedName>
    <definedName name="CellActionB339C0" comment="U2hvd0RyaWxsRG93bignQnV6YmVlXHUwMDI3cyBCZXZlcmFnZXMgVVNBIExMQycsICdCdXpiZWVcdTAwMjdzXHRCdXpiZWVcdTAwMjdzIEJldmVyYWdlcyBVU0EgTExDJywgJycsdGhpcyk7" localSheetId="4" hidden="1">""</definedName>
    <definedName name="CellActionB33C0" comment="U2hvd0RyaWxsRG93bignTW9sc29uQ29vcnMgQmV2ZXJhZ2UgQ29tcGFueScsICdNb2xzb25cdE1vbHNvbkNvb3JzIEJldmVyYWdlIENvbXBhbnknLCAnJyx0aGlzKTs=" localSheetId="4" hidden="1">""</definedName>
    <definedName name="CellActionB34" comment="0" localSheetId="4" hidden="1">""</definedName>
    <definedName name="CellActionB341" comment="0" localSheetId="4" hidden="1">""</definedName>
    <definedName name="CellActionB341C0" comment="U2hvd0RyaWxsRG93bignTW9sbHlcdTAwMjdzJywgJ01vbGx5XHUwMDI3c1x0TW9sbHlcdTAwMjdzJywgJycsdGhpcyk7" localSheetId="4" hidden="1">""</definedName>
    <definedName name="CellActionB343" comment="0" localSheetId="4" hidden="1">""</definedName>
    <definedName name="CellActionB343C0" comment="U2hvd0RyaWxsRG93bignRW1lcmdlbnQgQmV2ZXJhZ2UgUGFydG5lcnMnLCAnSGVjdGFyZVx1MDAyN3NcdEVtZXJnZW50IEJldmVyYWdlIFBhcnRuZXJzJywgJycsdGhpcyk7" localSheetId="4" hidden="1">""</definedName>
    <definedName name="CellActionB344" comment="0" localSheetId="4" hidden="1">""</definedName>
    <definedName name="CellActionB344C0" comment="U2hvd0RyaWxsRG93bignRW1lcmdlbnQgQmV2ZXJhZ2UgUGFydG5lcnMnLCAnQ3Jvb2tlZCBCZXZlcmFnZVx0RW1lcmdlbnQgQmV2ZXJhZ2UgUGFydG5lcnMnLCAnJyx0aGlzKTs=" localSheetId="4" hidden="1">""</definedName>
    <definedName name="CellActionB345" comment="0" localSheetId="4" hidden="1">""</definedName>
    <definedName name="CellActionB345C0" comment="U2hvd0RyaWxsRG93bignRW1lcmdlbnQgQmV2ZXJhZ2UgUGFydG5lcnMnLCAnTGFyayBJbmZ1c2VkIEQ5XHRFbWVyZ2VudCBCZXZlcmFnZSBQYXJ0bmVycycsICcnLHRoaXMpOw==" localSheetId="4" hidden="1">""</definedName>
    <definedName name="CellActionB346" comment="0" localSheetId="4" hidden="1">""</definedName>
    <definedName name="CellActionB346C0" comment="U2hvd0RyaWxsRG93bignRW1lcmdlbnQgQmV2ZXJhZ2UgUGFydG5lcnMnLCAnQm9sZHQgSW5mdXNlZCBEOVx0RW1lcmdlbnQgQmV2ZXJhZ2UgUGFydG5lcnMnLCAnJyx0aGlzKTs=" localSheetId="4" hidden="1">""</definedName>
    <definedName name="CellActionB347" comment="0" localSheetId="4" hidden="1">""</definedName>
    <definedName name="CellActionB347C0" comment="U2hvd0RyaWxsRG93bignRW1lcmdlbnQgQmV2ZXJhZ2UgUGFydG5lcnMnLCAnQmVja2V0dFx1MDAyN3MgRDlcdEVtZXJnZW50IEJldmVyYWdlIFBhcnRuZXJzJywgJycsdGhpcyk7" localSheetId="4" hidden="1">""</definedName>
    <definedName name="CellActionB349" comment="0" localSheetId="4" hidden="1">""</definedName>
    <definedName name="CellActionB349C0" comment="U2hvd0RyaWxsRG93bignMiBUb3ducyBDaWRlcmhvdXNlJywgJ0NyYWZ0d2VsbFx0MiBUb3ducyBDaWRlcmhvdXNlJywgJycsdGhpcyk7" localSheetId="4" hidden="1">""</definedName>
    <definedName name="CellActionB34C0" comment="U2hvd0RyaWxsRG93bignTW9sc29uQ29vcnMgQmV2ZXJhZ2UgQ29tcGFueScsICdQaWxzbmVyIFVycXVlbGxcdE1vbHNvbkNvb3JzIEJldmVyYWdlIENvbXBhbnknLCAnJyx0aGlzKTs=" localSheetId="4" hidden="1">""</definedName>
    <definedName name="CellActionB35" comment="0" localSheetId="4" hidden="1">""</definedName>
    <definedName name="CellActionB351" comment="0" localSheetId="4" hidden="1">""</definedName>
    <definedName name="CellActionB351C0" comment="U2hvd0RyaWxsRG93bignS2ltbyBTcGlyaXRzJywgJ1RydXN0ZWQgRnJpZW5kIENvY2t0YWlsc1x0S2ltbyBTcGlyaXRzJywgJycsdGhpcyk7" localSheetId="4" hidden="1">""</definedName>
    <definedName name="CellActionB353" comment="0" localSheetId="4" hidden="1">""</definedName>
    <definedName name="CellActionB353C0" comment="U2hvd0RyaWxsRG93bignUG9pbnQgQnJld2luZycsICdXaG9sZSBIb2dcdFBvaW50IEJyZXdpbmcnLCAnJyx0aGlzKTs=" localSheetId="4" hidden="1">""</definedName>
    <definedName name="CellActionB355" comment="0" localSheetId="4" hidden="1">""</definedName>
    <definedName name="CellActionB355C0" comment="U2hvd0RyaWxsRG93bignUHJpbW9zIEltcG9ydHMgTExDJywgJ0NoYXJyb1x0UHJpbW9zIEltcG9ydHMgTExDJywgJycsdGhpcyk7" localSheetId="4" hidden="1">""</definedName>
    <definedName name="CellActionB356" comment="0" localSheetId="4" hidden="1">""</definedName>
    <definedName name="CellActionB356C0" comment="U2hvd0RyaWxsRG93bignUHJpbW9zIEltcG9ydHMgTExDJywgJ01vbnRlIFhhbmljXHRQcmltb3MgSW1wb3J0cyBMTEMnLCAnJyx0aGlzKTs=" localSheetId="4" hidden="1">""</definedName>
    <definedName name="CellActionB357" comment="0" localSheetId="4" hidden="1">""</definedName>
    <definedName name="CellActionB357C0" comment="U2hvd0RyaWxsRG93bignUHJpbW9zIEltcG9ydHMgTExDJywgJ1JvbXBlIENvcmF6b25cdFByaW1vcyBJbXBvcnRzIExMQycsICcnLHRoaXMpOw==" localSheetId="4" hidden="1">""</definedName>
    <definedName name="CellActionB358" comment="0" localSheetId="4" hidden="1">""</definedName>
    <definedName name="CellActionB358C0" comment="U2hvd0RyaWxsRG93bignUHJpbW9zIEltcG9ydHMgTExDJywgJ0d1YW5hbWUgUm9tcG9wZVx0UHJpbW9zIEltcG9ydHMgTExDJywgJycsdGhpcyk7" localSheetId="4" hidden="1">""</definedName>
    <definedName name="CellActionB35C0" comment="U2hvd0RyaWxsRG93bignTW9sc29uQ29vcnMgQmV2ZXJhZ2UgQ29tcGFueScsICdNaWxsZXIgR2VudWluZSBEcmFmdFx0TW9sc29uQ29vcnMgQmV2ZXJhZ2UgQ29tcGFueScsICcnLHRoaXMpOw==" localSheetId="4" hidden="1">""</definedName>
    <definedName name="CellActionB36" comment="0" localSheetId="4" hidden="1">""</definedName>
    <definedName name="CellActionB360" comment="0" localSheetId="4" hidden="1">""</definedName>
    <definedName name="CellActionB360C0" comment="U2hvd0RyaWxsRG93bignT2NlYW5vJywgJ09jZWFub1x0T2NlYW5vJywgJycsdGhpcyk7" localSheetId="4" hidden="1">""</definedName>
    <definedName name="CellActionB362" comment="0" localSheetId="4" hidden="1">""</definedName>
    <definedName name="CellActionB362C0" comment="U2hvd0RyaWxsRG93bignSXNsYW5kIEJyYW5kcyBVU0EnLCAnSXNsYW5kIEJyYW5kc1x0SXNsYW5kIEJyYW5kcyBVU0EnLCAnJyx0aGlzKTs=" localSheetId="4" hidden="1">""</definedName>
    <definedName name="CellActionB364" comment="0" localSheetId="4" hidden="1">""</definedName>
    <definedName name="CellActionB364C0" comment="U2hvd0RyaWxsRG93bignRWxldmVuMjAnLCAnRWxldmVuMjAgVGVxdWlsYVx0RWxldmVuMjAnLCAnJyx0aGlzKTs=" localSheetId="4" hidden="1">""</definedName>
    <definedName name="CellActionB366" comment="0" localSheetId="4" hidden="1">""</definedName>
    <definedName name="CellActionB366C0" comment="U2hvd0RyaWxsRG93bignV2F0ZXJsb28gR2luJywgJ1dhdGVybG9vIEdpblx0V2F0ZXJsb28gR2luJywgJycsdGhpcyk7" localSheetId="4" hidden="1">""</definedName>
    <definedName name="CellActionB368" comment="0" localSheetId="4" hidden="1">""</definedName>
    <definedName name="CellActionB368C0" comment="U2hvd0RyaWxsRG93bignV2F0ZXJiaXJkIFNwaXJpdHMnLCAnV2F0ZXJiaXJkIFNwaXJpdHNcdFdhdGVyYmlyZCBTcGlyaXRzJywgJycsdGhpcyk7" localSheetId="4" hidden="1">""</definedName>
    <definedName name="CellActionB36C0" comment="U2hvd0RyaWxsRG93bignTW9sc29uQ29vcnMgQmV2ZXJhZ2UgQ29tcGFueScsICdNaWxsZXIgRXh0cmEgTGlnaHRcdE1vbHNvbkNvb3JzIEJldmVyYWdlIENvbXBhbnknLCAnJyx0aGlzKTs=" localSheetId="4" hidden="1">""</definedName>
    <definedName name="CellActionB37" comment="0" localSheetId="4" hidden="1">""</definedName>
    <definedName name="CellActionB370" comment="0" localSheetId="4" hidden="1">""</definedName>
    <definedName name="CellActionB370C0" comment="U2hvd0RyaWxsRG93bignVml2YSBCZXZlcmFnZXMgSW5jJywgJ1ZpdmEgVGVxdWlsYSBTZWx0emVyXHRWaXZhIEJldmVyYWdlcyBJbmMnLCAnJyx0aGlzKTs=" localSheetId="4" hidden="1">""</definedName>
    <definedName name="CellActionB372" comment="0" localSheetId="4" hidden="1">""</definedName>
    <definedName name="CellActionB372C0" comment="U2hvd0RyaWxsRG93bignVHJpbml0eSBGbGF2b3JzJywgJ1RyaW5pdHlcdFRyaW5pdHkgRmxhdm9ycycsICcnLHRoaXMpOw==" localSheetId="4" hidden="1">""</definedName>
    <definedName name="CellActionB374" comment="0" localSheetId="4" hidden="1">""</definedName>
    <definedName name="CellActionB374C0" comment="U2hvd0RyaWxsRG93bignVGlscmF5IEFsdGVybmF0aXZlIEJldmVyYWdlJywgJ0hlcmIgXHUwMDI2IEJsb29tXHRUaWxyYXkgQWx0ZXJuYXRpdmUgQmV2ZXJhZ2UnLCAnJyx0aGlzKTs=" localSheetId="4" hidden="1">""</definedName>
    <definedName name="CellActionB375" comment="0" localSheetId="4" hidden="1">""</definedName>
    <definedName name="CellActionB375C0" comment="U2hvd0RyaWxsRG93bignVGlscmF5IEFsdGVybmF0aXZlIEJldmVyYWdlJywgJ0hhcHB5IEZsb3dlclx0VGlscmF5IEFsdGVybmF0aXZlIEJldmVyYWdlJywgJycsdGhpcyk7" localSheetId="4" hidden="1">""</definedName>
    <definedName name="CellActionB376" comment="0" localSheetId="4" hidden="1">""</definedName>
    <definedName name="CellActionB376C0" comment="U2hvd0RyaWxsRG93bignVGlscmF5IEFsdGVybmF0aXZlIEJldmVyYWdlJywgJ0Zpenp5IEphbmVcdFRpbHJheSBBbHRlcm5hdGl2ZSBCZXZlcmFnZScsICcnLHRoaXMpOw==" localSheetId="4" hidden="1">""</definedName>
    <definedName name="CellActionB378" comment="0" localSheetId="4" hidden="1">""</definedName>
    <definedName name="CellActionB378C0" comment="U2hvd0RyaWxsRG93bignVGhlIE9sZCBHIExMQycsICdUaGUgT2xkIEdcdFRoZSBPbGQgRyBMTEMnLCAnJyx0aGlzKTs=" localSheetId="4" hidden="1">""</definedName>
    <definedName name="CellActionB37C0" comment="U2hvd0RyaWxsRG93bignTW9sc29uQ29vcnMgQmV2ZXJhZ2UgQ29tcGFueScsICdNaWx3YXVrZWVcdTAwMjdzIEJlc3QgSWNlXHRNb2xzb25Db29ycyBCZXZlcmFnZSBDb21wYW55JywgJycsdGhpcyk7" localSheetId="4" hidden="1">""</definedName>
    <definedName name="CellActionB38" comment="0" localSheetId="4" hidden="1">""</definedName>
    <definedName name="CellActionB380" comment="0" localSheetId="4" hidden="1">""</definedName>
    <definedName name="CellActionB380C0" comment="U2hvd0RyaWxsRG93bignU3Rld2FydFx1MDAyN3MnLCAnU3Rld2FydFx1MDAyN3NcdFN0ZXdhcnRcdTAwMjdzJywgJycsdGhpcyk7" localSheetId="4" hidden="1">""</definedName>
    <definedName name="CellActionB382" comment="0" localSheetId="4" hidden="1">""</definedName>
    <definedName name="CellActionB382C0" comment="U2hvd0RyaWxsRG93bignU291cmNlIEJyZXdpbmcnLCAnU291cmNlIG9mIEhvcHBpbmVzc1x0U291cmNlIEJyZXdpbmcnLCAnJyx0aGlzKTs=" localSheetId="4" hidden="1">""</definedName>
    <definedName name="CellActionB384" comment="0" localSheetId="4" hidden="1">""</definedName>
    <definedName name="CellActionB384C0" comment="U2hvd0RyaWxsRG93bignU2VhZmFyZXInLCAnU2VhZmFyZXJcdFNlYWZhcmVyJywgJycsdGhpcyk7" localSheetId="4" hidden="1">""</definedName>
    <definedName name="CellActionB386" comment="0" localSheetId="4" hidden="1">""</definedName>
    <definedName name="CellActionB386C0" comment="U2hvd0RyaWxsRG93bignU2F2b3JpYW4gSU5DJywgJ1N0b25leSBSaXZlclx0U2F2b3JpYW4gSU5DJywgJycsdGhpcyk7" localSheetId="4" hidden="1">""</definedName>
    <definedName name="CellActionB387" comment="0" localSheetId="4" hidden="1">""</definedName>
    <definedName name="CellActionB387C0" comment="U2hvd0RyaWxsRG93bignU2F2b3JpYW4gSU5DJywgJ0xlcyBEb21hbmlhbGVzIFJvc2UgRFx1MDAyNyBBbmpvdSBMb2lyZVx0U2F2b3JpYW4gSU5DJywgJycsdGhpcyk7" localSheetId="4" hidden="1">""</definedName>
    <definedName name="CellActionB388" comment="0" localSheetId="4" hidden="1">""</definedName>
    <definedName name="CellActionB388C0" comment="U2hvd0RyaWxsRG93bignU2F2b3JpYW4gSU5DJywgJ0Nhc3RlbGxhbmkgRXRpY2hldHRhIEdpYWxsYVx0U2F2b3JpYW4gSU5DJywgJycsdGhpcyk7" localSheetId="4" hidden="1">""</definedName>
    <definedName name="CellActionB389" comment="0" localSheetId="4" hidden="1">""</definedName>
    <definedName name="CellActionB389C0" comment="U2hvd0RyaWxsRG93bignU2F2b3JpYW4gSU5DJywgJ0NhbGlzZVx0U2F2b3JpYW4gSU5DJywgJycsdGhpcyk7" localSheetId="4" hidden="1">""</definedName>
    <definedName name="CellActionB38C0" comment="U2hvd0RyaWxsRG93bignTW9sc29uQ29vcnMgQmV2ZXJhZ2UgQ29tcGFueScsICdHcm9sc2NoXHRNb2xzb25Db29ycyBCZXZlcmFnZSBDb21wYW55JywgJycsdGhpcyk7" localSheetId="4" hidden="1">""</definedName>
    <definedName name="CellActionB39" comment="0" localSheetId="4" hidden="1">""</definedName>
    <definedName name="CellActionB391" comment="0" localSheetId="4" hidden="1">""</definedName>
    <definedName name="CellActionB391C0" comment="U2hvd0RyaWxsRG93bignUml2aWVyYSBJbXBvcnRzJywgJ0VjYWFuYVx0Uml2aWVyYSBJbXBvcnRzJywgJycsdGhpcyk7" localSheetId="4" hidden="1">""</definedName>
    <definedName name="CellActionB393" comment="0" localSheetId="4" hidden="1">""</definedName>
    <definedName name="CellActionB393C0" comment="U2hvd0RyaWxsRG93bignUmFkaXggTGFicycsICdGaW5kIFd1bmRlclx0UmFkaXggTGFicycsICcnLHRoaXMpOw==" localSheetId="4" hidden="1">""</definedName>
    <definedName name="CellActionB395" comment="0" localSheetId="4" hidden="1">""</definedName>
    <definedName name="CellActionB395C0" comment="U2hvd0RyaWxsRG93bignUGFzc2lvbiBUcmVlIENvJywgJ1BvcCBTaXBzXHRQYXNzaW9uIFRyZWUgQ28nLCAnJyx0aGlzKTs=" localSheetId="4" hidden="1">""</definedName>
    <definedName name="CellActionB397" comment="0" localSheetId="4" hidden="1">""</definedName>
    <definedName name="CellActionB397C0" comment="U2hvd0RyaWxsRG93bignUGFyayBTdHJlZXQgSW1wb3J0cycsICdQbGFpZCBEdWNrXHRQYXJrIFN0cmVldCBJbXBvcnRzJywgJycsdGhpcyk7" localSheetId="4" hidden="1">""</definedName>
    <definedName name="CellActionB399" comment="0" localSheetId="4" hidden="1">""</definedName>
    <definedName name="CellActionB399C0" comment="U2hvd0RyaWxsRG93bignUGFyYWRpc3NlIFNwaXJpdHMgTExDJywgJ1BhcmFkaXNzZVx0UGFyYWRpc3NlIFNwaXJpdHMgTExDJywgJycsdGhpcyk7" localSheetId="4" hidden="1">""</definedName>
    <definedName name="CellActionB39C0" comment="U2hvd0RyaWxsRG93bignTW9sc29uQ29vcnMgQmV2ZXJhZ2UgQ29tcGFueScsICdDdXNxdWVuYVx0TW9sc29uQ29vcnMgQmV2ZXJhZ2UgQ29tcGFueScsICcnLHRoaXMpOw==" localSheetId="4" hidden="1">""</definedName>
    <definedName name="CellActionB4" comment="0" localSheetId="4" hidden="1">""</definedName>
    <definedName name="CellActionB40" comment="0" localSheetId="4" hidden="1">""</definedName>
    <definedName name="CellActionB401" comment="0" localSheetId="4" hidden="1">""</definedName>
    <definedName name="CellActionB401C0" comment="U2hvd0RyaWxsRG93bignTW9udHVja3kgQ29sZCBTbmFja3MnLCAnTW9udHVja3lcdE1vbnR1Y2t5IENvbGQgU25hY2tzJywgJycsdGhpcyk7" localSheetId="4" hidden="1">""</definedName>
    <definedName name="CellActionB403" comment="0" localSheetId="4" hidden="1">""</definedName>
    <definedName name="CellActionB403C0" comment="U2hvd0RyaWxsRG93bignTW9kZXJuIEluZnVzaW9ucycsICdIaTVcdE1vZGVybiBJbmZ1c2lvbnMnLCAnJyx0aGlzKTs=" localSheetId="4" hidden="1">""</definedName>
    <definedName name="CellActionB404" comment="0" localSheetId="4" hidden="1">""</definedName>
    <definedName name="CellActionB404C0" comment="U2hvd0RyaWxsRG93bignTW9kZXJuIEluZnVzaW9ucycsICdGaXZlaXNsYW5kc1x0TW9kZXJuIEluZnVzaW9ucycsICcnLHRoaXMpOw==" localSheetId="4" hidden="1">""</definedName>
    <definedName name="CellActionB406" comment="0" localSheetId="4" hidden="1">""</definedName>
    <definedName name="CellActionB406C0" comment="U2hvd0RyaWxsRG93bignTWlzYycsICdNaXNjXHRNaXNjJywgJycsdGhpcyk7" localSheetId="4" hidden="1">""</definedName>
    <definedName name="CellActionB408" comment="0" localSheetId="4" hidden="1">""</definedName>
    <definedName name="CellActionB408C0" comment="U2hvd0RyaWxsRG93bignTWlrZVx1MDAyN3MgTGVtb25hZGUnLCAnUmV5IEF6dWxcdE1pa2VcdTAwMjdzIExlbW9uYWRlJywgJycsdGhpcyk7" localSheetId="4" hidden="1">""</definedName>
    <definedName name="CellActionB409" comment="0" localSheetId="4" hidden="1">""</definedName>
    <definedName name="CellActionB409C0" comment="U2hvd0RyaWxsRG93bignTWlrZVx1MDAyN3MgTGVtb25hZGUnLCAnTWlrZVx1MDAyN3MgSGFyZCBTZWx0emVyXHRNaWtlXHUwMDI3cyBMZW1vbmFkZScsICcnLHRoaXMpOw==" localSheetId="4" hidden="1">""</definedName>
    <definedName name="CellActionB40C0" comment="U2hvd0RyaWxsRG93bignTW9sc29uQ29vcnMgQmV2ZXJhZ2UgQ29tcGFueScsICdPbGQgRW5nbGlzaFx0TW9sc29uQ29vcnMgQmV2ZXJhZ2UgQ29tcGFueScsICcnLHRoaXMpOw==" localSheetId="4" hidden="1">""</definedName>
    <definedName name="CellActionB41" comment="0" localSheetId="4" hidden="1">""</definedName>
    <definedName name="CellActionB411" comment="0" localSheetId="4" hidden="1">""</definedName>
    <definedName name="CellActionB411C0" comment="U2hvd0RyaWxsRG93bignTG9kbyBCcmFuZHMnLCAnTG9Eb1x0TG9kbyBCcmFuZHMnLCAnJyx0aGlzKTs=" localSheetId="4" hidden="1">""</definedName>
    <definedName name="CellActionB413" comment="0" localSheetId="4" hidden="1">""</definedName>
    <definedName name="CellActionB413C0" comment="U2hvd0RyaWxsRG93bignTGljb3JlcyBBcnRlc2FuYWxlcycsICdEZXNxdWl0ZVx0TGljb3JlcyBBcnRlc2FuYWxlcycsICcnLHRoaXMpOw==" localSheetId="4" hidden="1">""</definedName>
    <definedName name="CellActionB415" comment="0" localSheetId="4" hidden="1">""</definedName>
    <definedName name="CellActionB415C0" comment="U2hvd0RyaWxsRG93bignTGFpcmQgXHUwMDI2IENvbXBhbnknLCAnRml2ZSBPXHUwMDI3Q2xvY2tcdExhaXJkIFx1MDAyNiBDb21wYW55JywgJycsdGhpcyk7" localSheetId="4" hidden="1">""</definedName>
    <definedName name="CellActionB417" comment="0" localSheetId="4" hidden="1">""</definedName>
    <definedName name="CellActionB417C0" comment="U2hvd0RyaWxsRG93bignSmVyemV5IEp1bmdsZSBMTEMnLCAnSmVyemV5IEp1bmdsZVx0SmVyemV5IEp1bmdsZSBMTEMnLCAnJyx0aGlzKTs=" localSheetId="4" hidden="1">""</definedName>
    <definedName name="CellActionB419" comment="0" localSheetId="4" hidden="1">""</definedName>
    <definedName name="CellActionB419C0" comment="U2hvd0RyaWxsRG93bignSXJvbiBIb3JzZScsICdTYWJyYXNvbFx0SXJvbiBIb3JzZScsICcnLHRoaXMpOw==" localSheetId="4" hidden="1">""</definedName>
    <definedName name="CellActionB41C0" comment="U2hvd0RyaWxsRG93bignTW9sc29uQ29vcnMgQmV2ZXJhZ2UgQ29tcGFueScsICdDcmlzdGFsXHRNb2xzb25Db29ycyBCZXZlcmFnZSBDb21wYW55JywgJycsdGhpcyk7" localSheetId="4" hidden="1">""</definedName>
    <definedName name="CellActionB42" comment="0" localSheetId="4" hidden="1">""</definedName>
    <definedName name="CellActionB421" comment="0" localSheetId="4" hidden="1">""</definedName>
    <definedName name="CellActionB421C0" comment="U2hvd0RyaWxsRG93bignSG9ybmVsbCBCcmV3aW5nIENvbXBhbnknLCAnQXJpem9uYSBIYXJkXHRIb3JuZWxsIEJyZXdpbmcgQ29tcGFueScsICcnLHRoaXMpOw==" localSheetId="4" hidden="1">""</definedName>
    <definedName name="CellActionB423" comment="0" localSheetId="4" hidden="1">""</definedName>
    <definedName name="CellActionB423C0" comment="U2hvd0RyaWxsRG93bignSGVhdnkgU2VhcycsICdIZWF2eSBTZWFzXHRIZWF2eSBTZWFzJywgJycsdGhpcyk7" localSheetId="4" hidden="1">""</definedName>
    <definedName name="CellActionB425" comment="0" localSheetId="4" hidden="1">""</definedName>
    <definedName name="CellActionB425C0" comment="U2hvd0RyaWxsRG93bignR29vZCBTdXBwbHknLCAnR29vZCBTdXBwbHlcdEdvb2QgU3VwcGx5JywgJycsdGhpcyk7" localSheetId="4" hidden="1">""</definedName>
    <definedName name="CellActionB427" comment="0" localSheetId="4" hidden="1">""</definedName>
    <definedName name="CellActionB427C0" comment="U2hvd0RyaWxsRG93bignR2lnbGknLCAnR2lnbGlcdEdpZ2xpJywgJycsdGhpcyk7" localSheetId="4" hidden="1">""</definedName>
    <definedName name="CellActionB429" comment="0" localSheetId="4" hidden="1">""</definedName>
    <definedName name="CellActionB429C0" comment="U2hvd0RyaWxsRG93bignRnVua3kgQnVkZGhhJywgJ0Z1bmt5IEJ1ZGRoYVx0RnVua3kgQnVkZGhhJywgJycsdGhpcyk7" localSheetId="4" hidden="1">""</definedName>
    <definedName name="CellActionB42C0" comment="U2hvd0RyaWxsRG93bignTW9sc29uQ29vcnMgQmV2ZXJhZ2UgQ29tcGFueScsICdHZW9yZ2UgS2lsbGlhblx1MDAyN3NcdE1vbHNvbkNvb3JzIEJldmVyYWdlIENvbXBhbnknLCAnJyx0aGlzKTs=" localSheetId="4" hidden="1">""</definedName>
    <definedName name="CellActionB43" comment="0" localSheetId="4" hidden="1">""</definedName>
    <definedName name="CellActionB431" comment="0" localSheetId="4" hidden="1">""</definedName>
    <definedName name="CellActionB431C0" comment="U2hvd0RyaWxsRG93bignRmxvcmlkYSBDYXJpYmJlYW4gRGlzdGlsbGVycyBMTEMnLCAnQ2FwcmljY2lvXHRGbG9yaWRhIENhcmliYmVhbiBEaXN0aWxsZXJzIExMQycsICcnLHRoaXMpOw==" localSheetId="4" hidden="1">""</definedName>
    <definedName name="CellActionB433" comment="0" localSheetId="4" hidden="1">""</definedName>
    <definedName name="CellActionB433C0" comment="U2hvd0RyaWxsRG93bignRmxhZ3NoaXAgQnJld2VyeScsICdGbGFnc2hpcFx0RmxhZ3NoaXAgQnJld2VyeScsICcnLHRoaXMpOw==" localSheetId="4" hidden="1">""</definedName>
    <definedName name="CellActionB435" comment="0" localSheetId="4" hidden="1">""</definedName>
    <definedName name="CellActionB435C0" comment="U2hvd0RyaWxsRG93bignRHJlYW16IEludmVuc3RtZW50cyBMTEMnLCAnQnJpb1x0RHJlYW16IEludmVuc3RtZW50cyBMTEMnLCAnJyx0aGlzKTs=" localSheetId="4" hidden="1">""</definedName>
    <definedName name="CellActionB437" comment="0" localSheetId="4" hidden="1">""</definedName>
    <definedName name="CellActionB437C0" comment="U2hvd0RyaWxsRG93bignRGVsdGEgQmV2ZXJhZ2UgTExDJywgJ0RFTFRBXHREZWx0YSBCZXZlcmFnZSBMTEMnLCAnJyx0aGlzKTs=" localSheetId="4" hidden="1">""</definedName>
    <definedName name="CellActionB439" comment="0" localSheetId="4" hidden="1">""</definedName>
    <definedName name="CellActionB439C0" comment="U2hvd0RyaWxsRG93bignRGFkIEdyYXNzJywgJ0RhZCBHcmFzc1x0RGFkIEdyYXNzJywgJycsdGhpcyk7" localSheetId="4" hidden="1">""</definedName>
    <definedName name="CellActionB43C0" comment="U2hvd0RyaWxsRG93bignTW9sc29uQ29vcnMgQmV2ZXJhZ2UgQ29tcGFueScsICdIYW1tXHUwMDI3c1x0TW9sc29uQ29vcnMgQmV2ZXJhZ2UgQ29tcGFueScsICcnLHRoaXMpOw==" localSheetId="4" hidden="1">""</definedName>
    <definedName name="CellActionB44" comment="0" localSheetId="4" hidden="1">""</definedName>
    <definedName name="CellActionB441" comment="0" localSheetId="4" hidden="1">""</definedName>
    <definedName name="CellActionB441C0" comment="U2hvd0RyaWxsRG93bignQ3Jlc2NlbnQgQ2FubmEnLCAnQ3Jlc2NlbnQgOVx0Q3Jlc2NlbnQgQ2FubmEnLCAnJyx0aGlzKTs=" localSheetId="4" hidden="1">""</definedName>
    <definedName name="CellActionB443" comment="0" localSheetId="4" hidden="1">""</definedName>
    <definedName name="CellActionB443C0" comment="U2hvd0RyaWxsRG93bignQ2F2YWxpZXIgVmVudHVyZXMsIExMQycsICdDb2FzdGFsIENvY2t0YWlsc1x0Q2F2YWxpZXIgVmVudHVyZXMsIExMQycsICcnLHRoaXMpOw==" localSheetId="4" hidden="1">""</definedName>
    <definedName name="CellActionB445" comment="0" localSheetId="4" hidden="1">""</definedName>
    <definedName name="CellActionB445C0" comment="U2hvd0RyaWxsRG93bignQmxhemUgTGlmZSBMTEMnLCAnTW90YVx1MDAyN0xhZGFcdEJsYXplIExpZmUgTExDJywgJycsdGhpcyk7" localSheetId="4" hidden="1">""</definedName>
    <definedName name="CellActionB446" comment="0" localSheetId="4" hidden="1">""</definedName>
    <definedName name="CellActionB446C0" comment="U2hvd0RyaWxsRG93bignQmxhemUgTGlmZSBMTEMnLCAnQm9kZWdhIENoaWxsZXJcdEJsYXplIExpZmUgTExDJywgJycsdGhpcyk7" localSheetId="4" hidden="1">""</definedName>
    <definedName name="CellActionB448" comment="0" localSheetId="4" hidden="1">""</definedName>
    <definedName name="CellActionB448C0" comment="U2hvd0RyaWxsRG93bignQmVsbGEgUmF5IEJldmVyYWdlJywgJ0JlbGxhIFJheVx0QmVsbGEgUmF5IEJldmVyYWdlJywgJycsdGhpcyk7" localSheetId="4" hidden="1">""</definedName>
    <definedName name="CellActionB44C0" comment="U2hvd0RyaWxsRG93bignTW9sc29uQ29vcnMgQmV2ZXJhZ2UgQ29tcGFueScsICdSZWRkXHUwMDI3cyBXaWNrZWRcdE1vbHNvbkNvb3JzIEJldmVyYWdlIENvbXBhbnknLCAnJyx0aGlzKTs=" localSheetId="4" hidden="1">""</definedName>
    <definedName name="CellActionB45" comment="0" localSheetId="4" hidden="1">""</definedName>
    <definedName name="CellActionB450" comment="0" localSheetId="4" hidden="1">""</definedName>
    <definedName name="CellActionB450C0" comment="U2hvd0RyaWxsRG93bignQmFyZHN0b3duIEJvdXJib24gQ28nLCAnQmFyZHN0b3duIEdyZWVuIFJpdmVyXHRCYXJkc3Rvd24gQm91cmJvbiBDbycsICcnLHRoaXMpOw==" localSheetId="4" hidden="1">""</definedName>
    <definedName name="CellActionB451" comment="0" localSheetId="4" hidden="1">""</definedName>
    <definedName name="CellActionB451C0" comment="U2hvd0RyaWxsRG93bignQmFyZHN0b3duIEJvdXJib24gQ28nLCAnQmFyZHN0b3duIEJvdXJib25cdEJhcmRzdG93biBCb3VyYm9uIENvJywgJycsdGhpcyk7" localSheetId="4" hidden="1">""</definedName>
    <definedName name="CellActionB453" comment="0" localSheetId="4" hidden="1">""</definedName>
    <definedName name="CellActionB453C0" comment="U2hvd0RyaWxsRG93bignQmFsbGFzdCBQb2ludCcsICdCYWxsYXN0IFBvaW50XHRCYWxsYXN0IFBvaW50JywgJycsdGhpcyk7" localSheetId="4" hidden="1">""</definedName>
    <definedName name="CellActionB455" comment="0" localSheetId="4" hidden="1">""</definedName>
    <definedName name="CellActionB455C0" comment="U2hvd0RyaWxsRG93bignQW1lcmljYW4gRnJ1aXRzJywgJ0FtZXJpY2FuIEZydWl0XHRBbWVyaWNhbiBGcnVpdHMnLCAnJyx0aGlzKTs=" localSheetId="4" hidden="1">""</definedName>
    <definedName name="CellActionB457" comment="0" localSheetId="4" hidden="1">""</definedName>
    <definedName name="CellActionB457C0" comment="U2hvd0RyaWxsRG93bignQWx0ZSBCZXZlcmFnZScsICdBbHRlIEJldmVyYWdlXHRBbHRlIEJldmVyYWdlJywgJycsdGhpcyk7" localSheetId="4" hidden="1">""</definedName>
    <definedName name="CellActionB459" comment="0" localSheetId="4" hidden="1">""</definedName>
    <definedName name="CellActionB459C0" comment="U2hvd0RyaWxsRG93bignQWxpYXMgQnJldyBXb3JrcycsICdBbGlhcyBCcmV3IFdvcmtzXHRBbGlhcyBCcmV3IFdvcmtzJywgJycsdGhpcyk7" localSheetId="4" hidden="1">""</definedName>
    <definedName name="CellActionB45C0" comment="U2hvd0RyaWxsRG93bignTW9sc29uQ29vcnMgQmV2ZXJhZ2UgQ29tcGFueScsICdTaW1wbHkgU3Bpa2VkXHRNb2xzb25Db29ycyBCZXZlcmFnZSBDb21wYW55JywgJycsdGhpcyk7" localSheetId="4" hidden="1">""</definedName>
    <definedName name="CellActionB46" comment="0" localSheetId="4" hidden="1">""</definedName>
    <definedName name="CellActionB461" comment="0" localSheetId="4" hidden="1">""</definedName>
    <definedName name="CellActionB461C0" comment="U2hvd0RyaWxsRG93bignQmVyY3p5IExMQycsICdCZXJjenlcdEJlcmN6eSBMTEMnLCAnJyx0aGlzKTs=" localSheetId="4" hidden="1">""</definedName>
    <definedName name="CellActionB46C0" comment="U2hvd0RyaWxsRG93bignTW9sc29uQ29vcnMgQmV2ZXJhZ2UgQ29tcGFueScsICdUb3BvIENoaWNvXHRNb2xzb25Db29ycyBCZXZlcmFnZSBDb21wYW55JywgJycsdGhpcyk7" localSheetId="4" hidden="1">""</definedName>
    <definedName name="CellActionB47" comment="0" localSheetId="4" hidden="1">""</definedName>
    <definedName name="CellActionB47C0" comment="U2hvd0RyaWxsRG93bignTW9sc29uQ29vcnMgQmV2ZXJhZ2UgQ29tcGFueScsICdDb29ycyBFZGdlXHRNb2xzb25Db29ycyBCZXZlcmFnZSBDb21wYW55JywgJycsdGhpcyk7" localSheetId="4" hidden="1">""</definedName>
    <definedName name="CellActionB48" comment="0" localSheetId="4" hidden="1">""</definedName>
    <definedName name="CellActionB48C0" comment="U2hvd0RyaWxsRG93bignTW9sc29uQ29vcnMgQmV2ZXJhZ2UgQ29tcGFueScsICdBZ3VpbGFcdE1vbHNvbkNvb3JzIEJldmVyYWdlIENvbXBhbnknLCAnJyx0aGlzKTs=" localSheetId="4" hidden="1">""</definedName>
    <definedName name="CellActionB49" comment="0" localSheetId="4" hidden="1">""</definedName>
    <definedName name="CellActionB49C0" comment="U2hvd0RyaWxsRG93bignTW9sc29uQ29vcnMgQmV2ZXJhZ2UgQ29tcGFueScsICdWaXp6eVx0TW9sc29uQ29vcnMgQmV2ZXJhZ2UgQ29tcGFueScsICcnLHRoaXMpOw==" localSheetId="4" hidden="1">""</definedName>
    <definedName name="CellActionB4C0" comment="U2hvd0RyaWxsRG93bignQ29uc3RlbGxhdGlvbiBCcmFuZHMnLCAnQ29yb25hIEV4dHJhXHRDb25zdGVsbGF0aW9uIEJyYW5kcycsICcnLHRoaXMpOw==" localSheetId="4" hidden="1">""</definedName>
    <definedName name="CellActionB5" comment="0" localSheetId="4" hidden="1">""</definedName>
    <definedName name="CellActionB50" comment="0" localSheetId="4" hidden="1">""</definedName>
    <definedName name="CellActionB50C0" comment="U2hvd0RyaWxsRG93bignTW9sc29uQ29vcnMgQmV2ZXJhZ2UgQ29tcGFueScsICdNaWx3YXVrZWVcdTAwMjdzIEJlc3QgTGlnaHRcdE1vbHNvbkNvb3JzIEJldmVyYWdlIENvbXBhbnknLCAnJyx0aGlzKTs=" localSheetId="4" hidden="1">""</definedName>
    <definedName name="CellActionB51" comment="0" localSheetId="4" hidden="1">""</definedName>
    <definedName name="CellActionB51C0" comment="U2hvd0RyaWxsRG93bignTW9sc29uQ29vcnMgQmV2ZXJhZ2UgQ29tcGFueScsICdTb2xcdE1vbHNvbkNvb3JzIEJldmVyYWdlIENvbXBhbnknLCAnJyx0aGlzKTs=" localSheetId="4" hidden="1">""</definedName>
    <definedName name="CellActionB52" comment="0" localSheetId="4" hidden="1">""</definedName>
    <definedName name="CellActionB52C0" comment="U2hvd0RyaWxsRG93bignTW9sc29uQ29vcnMgQmV2ZXJhZ2UgQ29tcGFueScsICdSZWRkXHUwMDI3c1x0TW9sc29uQ29vcnMgQmV2ZXJhZ2UgQ29tcGFueScsICcnLHRoaXMpOw==" localSheetId="4" hidden="1">""</definedName>
    <definedName name="CellActionB53" comment="0" localSheetId="4" hidden="1">""</definedName>
    <definedName name="CellActionB53C0" comment="U2hvd0RyaWxsRG93bignTW9sc29uQ29vcnMgQmV2ZXJhZ2UgQ29tcGFueScsICdTdGVlbCBSZXNlcnZlIEFsbG95IFNlcmllc1x0TW9sc29uQ29vcnMgQmV2ZXJhZ2UgQ29tcGFueScsICcnLHRoaXMpOw==" localSheetId="4" hidden="1">""</definedName>
    <definedName name="CellActionB54" comment="0" localSheetId="4" hidden="1">""</definedName>
    <definedName name="CellActionB54C0" comment="U2hvd0RyaWxsRG93bignTW9sc29uQ29vcnMgQmV2ZXJhZ2UgQ29tcGFueScsICdMZWNoXHRNb2xzb25Db29ycyBCZXZlcmFnZSBDb21wYW55JywgJycsdGhpcyk7" localSheetId="4" hidden="1">""</definedName>
    <definedName name="CellActionB55" comment="0" localSheetId="4" hidden="1">""</definedName>
    <definedName name="CellActionB55C0" comment="U2hvd0RyaWxsRG93bignTW9sc29uQ29vcnMgQmV2ZXJhZ2UgQ29tcGFueScsICdGZXZlciBUcmVlXHRNb2xzb25Db29ycyBCZXZlcmFnZSBDb21wYW55JywgJycsdGhpcyk7" localSheetId="4" hidden="1">""</definedName>
    <definedName name="CellActionB56" comment="0" localSheetId="4" hidden="1">""</definedName>
    <definedName name="CellActionB56C0" comment="U2hvd0RyaWxsRG93bignTW9sc29uQ29vcnMgQmV2ZXJhZ2UgQ29tcGFueScsICdNaWx3YXVrZWVcdTAwMjdzIEJlc3RcdE1vbHNvbkNvb3JzIEJldmVyYWdlIENvbXBhbnknLCAnJyx0aGlzKTs=" localSheetId="4" hidden="1">""</definedName>
    <definedName name="CellActionB57" comment="0" localSheetId="4" hidden="1">""</definedName>
    <definedName name="CellActionB57C0" comment="U2hvd0RyaWxsRG93bignTW9sc29uQ29vcnMgQmV2ZXJhZ2UgQ29tcGFueScsICdMZWluZW5rdWdlbFx0TW9sc29uQ29vcnMgQmV2ZXJhZ2UgQ29tcGFueScsICcnLHRoaXMpOw==" localSheetId="4" hidden="1">""</definedName>
    <definedName name="CellActionB58" comment="0" localSheetId="4" hidden="1">""</definedName>
    <definedName name="CellActionB58C0" comment="U2hvd0RyaWxsRG93bignTW9sc29uQ29vcnMgQmV2ZXJhZ2UgQ29tcGFueScsICdIYXBweSBUaHVyc2RheSBTcGlrZWQgUmVmcmVzaGVyXHRNb2xzb25Db29ycyBCZXZlcmFnZSBDb21wYW55JywgJycsdGhpcyk7" localSheetId="4" hidden="1">""</definedName>
    <definedName name="CellActionB5C0" comment="U2hvd0RyaWxsRG93bignQ29uc3RlbGxhdGlvbiBCcmFuZHMnLCAnTW9kZWxvIEVzcGVjaWFsXHRDb25zdGVsbGF0aW9uIEJyYW5kcycsICcnLHRoaXMpOw==" localSheetId="4" hidden="1">""</definedName>
    <definedName name="CellActionB6" comment="0" localSheetId="4" hidden="1">""</definedName>
    <definedName name="CellActionB60" comment="0" localSheetId="4" hidden="1">""</definedName>
    <definedName name="CellActionB60C0" comment="U2hvd0RyaWxsRG93bignSGVpbmVrZW4gVVNBJywgJ0hlaW5la2VuIFVTQVx0SGVpbmVrZW4gVVNBJywgJycsdGhpcyk7" localSheetId="4" hidden="1">""</definedName>
    <definedName name="CellActionB61" comment="0" localSheetId="4" hidden="1">""</definedName>
    <definedName name="CellActionB61C0" comment="U2hvd0RyaWxsRG93bignSGVpbmVrZW4gVVNBJywgJ0hlaW5la2VuIExpZ2h0XHRIZWluZWtlbiBVU0EnLCAnJyx0aGlzKTs=" localSheetId="4" hidden="1">""</definedName>
    <definedName name="CellActionB62" comment="0" localSheetId="4" hidden="1">""</definedName>
    <definedName name="CellActionB62C0" comment="U2hvd0RyaWxsRG93bignSGVpbmVrZW4gVVNBJywgJ0hlaW5la2VuIDAuMFx0SGVpbmVrZW4gVVNBJywgJycsdGhpcyk7" localSheetId="4" hidden="1">""</definedName>
    <definedName name="CellActionB63" comment="0" localSheetId="4" hidden="1">""</definedName>
    <definedName name="CellActionB63C0" comment="U2hvd0RyaWxsRG93bignSGVpbmVrZW4gVVNBJywgJ0Ftc3RlbFx0SGVpbmVrZW4gVVNBJywgJycsdGhpcyk7" localSheetId="4" hidden="1">""</definedName>
    <definedName name="CellActionB64" comment="0" localSheetId="4" hidden="1">""</definedName>
    <definedName name="CellActionB64C0" comment="U2hvd0RyaWxsRG93bignSGVpbmVrZW4gVVNBJywgJ1RlY2F0ZVx0SGVpbmVrZW4gVVNBJywgJycsdGhpcyk7" localSheetId="4" hidden="1">""</definedName>
    <definedName name="CellActionB65" comment="0" localSheetId="4" hidden="1">""</definedName>
    <definedName name="CellActionB65C0" comment="U2hvd0RyaWxsRG93bignSGVpbmVrZW4gVVNBJywgJ0RvcyBFcXVpc1x0SGVpbmVrZW4gVVNBJywgJycsdGhpcyk7" localSheetId="4" hidden="1">""</definedName>
    <definedName name="CellActionB66" comment="0" localSheetId="4" hidden="1">""</definedName>
    <definedName name="CellActionB66C0" comment="U2hvd0RyaWxsRG93bignSGVpbmVrZW4gVVNBJywgJ1JlZCBTdHJpcGVcdEhlaW5la2VuIFVTQScsICcnLHRoaXMpOw==" localSheetId="4" hidden="1">""</definedName>
    <definedName name="CellActionB67" comment="0" localSheetId="4" hidden="1">""</definedName>
    <definedName name="CellActionB67C0" comment="U2hvd0RyaWxsRG93bignSGVpbmVrZW4gVVNBJywgJ0hlaW5la2VuIFNpbHZlclx0SGVpbmVrZW4gVVNBJywgJycsdGhpcyk7" localSheetId="4" hidden="1">""</definedName>
    <definedName name="CellActionB68" comment="0" localSheetId="4" hidden="1">""</definedName>
    <definedName name="CellActionB68C0" comment="U2hvd0RyaWxsRG93bignSGVpbmVrZW4gVVNBJywgJ011cnBoeVx1MDAyN3NcdEhlaW5la2VuIFVTQScsICcnLHRoaXMpOw==" localSheetId="4" hidden="1">""</definedName>
    <definedName name="CellActionB69" comment="0" localSheetId="4" hidden="1">""</definedName>
    <definedName name="CellActionB69C0" comment="U2hvd0RyaWxsRG93bignSGVpbmVrZW4gVVNBJywgJ1N0cm9uZ2Jvd1x0SGVpbmVrZW4gVVNBJywgJycsdGhpcyk7" localSheetId="4" hidden="1">""</definedName>
    <definedName name="CellActionB6C0" comment="U2hvd0RyaWxsRG93bignQ29uc3RlbGxhdGlvbiBCcmFuZHMnLCAnTW9kZWxvIENoZWxhZGFcdENvbnN0ZWxsYXRpb24gQnJhbmRzJywgJycsdGhpcyk7" localSheetId="4" hidden="1">""</definedName>
    <definedName name="CellActionB7" comment="0" localSheetId="4" hidden="1">""</definedName>
    <definedName name="CellActionB70" comment="0" localSheetId="4" hidden="1">""</definedName>
    <definedName name="CellActionB70C0" comment="U2hvd0RyaWxsRG93bignSGVpbmVrZW4gVVNBJywgJ1ByZXN0aWdlIExhZ2VyXHRIZWluZWtlbiBVU0EnLCAnJyx0aGlzKTs=" localSheetId="4" hidden="1">""</definedName>
    <definedName name="CellActionB71" comment="0" localSheetId="4" hidden="1">""</definedName>
    <definedName name="CellActionB71C0" comment="U2hvd0RyaWxsRG93bignSGVpbmVrZW4gVVNBJywgJ0J1Y2tsZXJcdEhlaW5la2VuIFVTQScsICcnLHRoaXMpOw==" localSheetId="4" hidden="1">""</definedName>
    <definedName name="CellActionB72" comment="0" localSheetId="4" hidden="1">""</definedName>
    <definedName name="CellActionB72C0" comment="U2hvd0RyaWxsRG93bignSGVpbmVrZW4gVVNBJywgJ0NhcnRhIEJsYW5jYVx0SGVpbmVrZW4gVVNBJywgJycsdGhpcyk7" localSheetId="4" hidden="1">""</definedName>
    <definedName name="CellActionB73" comment="0" localSheetId="4" hidden="1">""</definedName>
    <definedName name="CellActionB73C0" comment="U2hvd0RyaWxsRG93bignSGVpbmVrZW4gVVNBJywgJ1RlY2F0ZSBMaWdodFx0SGVpbmVrZW4gVVNBJywgJycsdGhpcyk7" localSheetId="4" hidden="1">""</definedName>
    <definedName name="CellActionB74" comment="0" localSheetId="4" hidden="1">""</definedName>
    <definedName name="CellActionB74C0" comment="U2hvd0RyaWxsRG93bignSGVpbmVrZW4gVVNBJywgJ05ld2Nhc3RsZVx0SGVpbmVrZW4gVVNBJywgJycsdGhpcyk7" localSheetId="4" hidden="1">""</definedName>
    <definedName name="CellActionB76" comment="0" localSheetId="4" hidden="1">""</definedName>
    <definedName name="CellActionB76C0" comment="U2hvd0RyaWxsRG93bignQm9zdG9uIEJlZXIgQ29tcGFueScsICdTYW11ZWwgQWRhbXNcdEJvc3RvbiBCZWVyIENvbXBhbnknLCAnJyx0aGlzKTs=" localSheetId="4" hidden="1">""</definedName>
    <definedName name="CellActionB77" comment="0" localSheetId="4" hidden="1">""</definedName>
    <definedName name="CellActionB77C0" comment="U2hvd0RyaWxsRG93bignQm9zdG9uIEJlZXIgQ29tcGFueScsICdUd2lzdGVkIFRlYVx0Qm9zdG9uIEJlZXIgQ29tcGFueScsICcnLHRoaXMpOw==" localSheetId="4" hidden="1">""</definedName>
    <definedName name="CellActionB78" comment="0" localSheetId="4" hidden="1">""</definedName>
    <definedName name="CellActionB78C0" comment="U2hvd0RyaWxsRG93bignQm9zdG9uIEJlZXIgQ29tcGFueScsICdBbmdyeSBPcmNoYXJkXHRCb3N0b24gQmVlciBDb21wYW55JywgJycsdGhpcyk7" localSheetId="4" hidden="1">""</definedName>
    <definedName name="CellActionB79" comment="0" localSheetId="4" hidden="1">""</definedName>
    <definedName name="CellActionB79C0" comment="U2hvd0RyaWxsRG93bignQm9zdG9uIEJlZXIgQ29tcGFueScsICdUcnVseVx0Qm9zdG9uIEJlZXIgQ29tcGFueScsICcnLHRoaXMpOw==" localSheetId="4" hidden="1">""</definedName>
    <definedName name="CellActionB7C0" comment="U2hvd0RyaWxsRG93bignQ29uc3RlbGxhdGlvbiBCcmFuZHMnLCAnVmljdG9yaWFcdENvbnN0ZWxsYXRpb24gQnJhbmRzJywgJycsdGhpcyk7" localSheetId="4" hidden="1">""</definedName>
    <definedName name="CellActionB8" comment="0" localSheetId="4" hidden="1">""</definedName>
    <definedName name="CellActionB80" comment="0" localSheetId="4" hidden="1">""</definedName>
    <definedName name="CellActionB80C0" comment="U2hvd0RyaWxsRG93bignQm9zdG9uIEJlZXIgQ29tcGFueScsICdEb2dmaXNoIEhlYWQgQmVlclx0Qm9zdG9uIEJlZXIgQ29tcGFueScsICcnLHRoaXMpOw==" localSheetId="4" hidden="1">""</definedName>
    <definedName name="CellActionB81" comment="0" localSheetId="4" hidden="1">""</definedName>
    <definedName name="CellActionB81C0" comment="U2hvd0RyaWxsRG93bignQm9zdG9uIEJlZXIgQ29tcGFueScsICdTdW4gQ3J1aXNlclx0Qm9zdG9uIEJlZXIgQ29tcGFueScsICcnLHRoaXMpOw==" localSheetId="4" hidden="1">""</definedName>
    <definedName name="CellActionB82" comment="0" localSheetId="4" hidden="1">""</definedName>
    <definedName name="CellActionB82C0" comment="U2hvd0RyaWxsRG93bignQm9zdG9uIEJlZXIgQ29tcGFueScsICdIYXJkIE1vdW50YWluIERld1x0Qm9zdG9uIEJlZXIgQ29tcGFueScsICcnLHRoaXMpOw==" localSheetId="4" hidden="1">""</definedName>
    <definedName name="CellActionB83" comment="0" localSheetId="4" hidden="1">""</definedName>
    <definedName name="CellActionB83C0" comment="U2hvd0RyaWxsRG93bignQm9zdG9uIEJlZXIgQ29tcGFueScsICdEb2dmaXNoIEhlYWQgU3Bpcml0c1x0Qm9zdG9uIEJlZXIgQ29tcGFueScsICcnLHRoaXMpOw==" localSheetId="4" hidden="1">""</definedName>
    <definedName name="CellActionB84" comment="0" localSheetId="4" hidden="1">""</definedName>
    <definedName name="CellActionB84C0" comment="U2hvd0RyaWxsRG93bignQm9zdG9uIEJlZXIgQ29tcGFueScsICdTYXV6YVx0Qm9zdG9uIEJlZXIgQ29tcGFueScsICcnLHRoaXMpOw==" localSheetId="4" hidden="1">""</definedName>
    <definedName name="CellActionB85" comment="0" localSheetId="4" hidden="1">""</definedName>
    <definedName name="CellActionB85C0" comment="U2hvd0RyaWxsRG93bignQm9zdG9uIEJlZXIgQ29tcGFueScsICdKaW0gQmVhbSBLZW50dWNreVx0Qm9zdG9uIEJlZXIgQ29tcGFueScsICcnLHRoaXMpOw==" localSheetId="4" hidden="1">""</definedName>
    <definedName name="CellActionB86" comment="0" localSheetId="4" hidden="1">""</definedName>
    <definedName name="CellActionB86C0" comment="U2hvd0RyaWxsRG93bignQm9zdG9uIEJlZXIgQ29tcGFueScsICdDb25leSBJc2xhbmRcdEJvc3RvbiBCZWVyIENvbXBhbnknLCAnJyx0aGlzKTs=" localSheetId="4" hidden="1">""</definedName>
    <definedName name="CellActionB88" comment="0" localSheetId="4" hidden="1">""</definedName>
    <definedName name="CellActionB88C0" comment="U2hvd0RyaWxsRG93bignTWFyayBBbnRob255JywgJ1doaXRlIENsYXdcdE1hcmsgQW50aG9ueScsICcnLHRoaXMpOw==" localSheetId="4" hidden="1">""</definedName>
    <definedName name="CellActionB89" comment="0" localSheetId="4" hidden="1">""</definedName>
    <definedName name="CellActionB89C0" comment="U2hvd0RyaWxsRG93bignTWFyayBBbnRob255JywgJ01pa2VcdTAwMjdzIEhhcmQgTGVtb25hZGVcdE1hcmsgQW50aG9ueScsICcnLHRoaXMpOw==" localSheetId="4" hidden="1">""</definedName>
    <definedName name="CellActionB8C0" comment="U2hvd0RyaWxsRG93bignQ29uc3RlbGxhdGlvbiBCcmFuZHMnLCAnQ29yb25hIExpZ2h0XHRDb25zdGVsbGF0aW9uIEJyYW5kcycsICcnLHRoaXMpOw==" localSheetId="4" hidden="1">""</definedName>
    <definedName name="CellActionB9" comment="0" localSheetId="4" hidden="1">""</definedName>
    <definedName name="CellActionB90" comment="0" localSheetId="4" hidden="1">""</definedName>
    <definedName name="CellActionB90C0" comment="U2hvd0RyaWxsRG93bignTWFyayBBbnRob255JywgJ0NheW1hbiBKYWNrXHRNYXJrIEFudGhvbnknLCAnJyx0aGlzKTs=" localSheetId="4" hidden="1">""</definedName>
    <definedName name="CellActionB91" comment="0" localSheetId="4" hidden="1">""</definedName>
    <definedName name="CellActionB91C0" comment="U2hvd0RyaWxsRG93bignTWFyayBBbnRob255JywgJ01pa2VcdTAwMjdzIEhhcmRlclx0TWFyayBBbnRob255JywgJycsdGhpcyk7" localSheetId="4" hidden="1">""</definedName>
    <definedName name="CellActionB92" comment="0" localSheetId="4" hidden="1">""</definedName>
    <definedName name="CellActionB92C0" comment="U2hvd0RyaWxsRG93bignTWFyayBBbnRob255JywgJ014ZCBDb2NrdGFpbHNcdE1hcmsgQW50aG9ueScsICcnLHRoaXMpOw==" localSheetId="4" hidden="1">""</definedName>
    <definedName name="CellActionB93" comment="0" localSheetId="4" hidden="1">""</definedName>
    <definedName name="CellActionB93C0" comment="U2hvd0RyaWxsRG93bignTWFyayBBbnRob255JywgJ0RpbGxvblx1MDAyN3MgQ29ja3RhaWxzXHRNYXJrIEFudGhvbnknLCAnJyx0aGlzKTs=" localSheetId="4" hidden="1">""</definedName>
    <definedName name="CellActionB95" comment="0" localSheetId="4" hidden="1">""</definedName>
    <definedName name="CellActionB95C0" comment="U2hvd0RyaWxsRG93bignUGFic3QgQnJld2luZyBDb21wYW55JywgJ1BhYnN0IEJyZXdpbmcgQ29tcGFueVx0UGFic3QgQnJld2luZyBDb21wYW55JywgJycsdGhpcyk7" localSheetId="4" hidden="1">""</definedName>
    <definedName name="CellActionB96" comment="0" localSheetId="4" hidden="1">""</definedName>
    <definedName name="CellActionB96C0" comment="U2hvd0RyaWxsRG93bignUGFic3QgQnJld2luZyBDb21wYW55JywgJ0NvbHQgNDVcdFBhYnN0IEJyZXdpbmcgQ29tcGFueScsICcnLHRoaXMpOw==" localSheetId="4" hidden="1">""</definedName>
    <definedName name="CellActionB97" comment="0" localSheetId="4" hidden="1">""</definedName>
    <definedName name="CellActionB97C0" comment="U2hvd0RyaWxsRG93bignUGFic3QgQnJld2luZyBDb21wYW55JywgJ1N0IElkZXNcdFBhYnN0IEJyZXdpbmcgQ29tcGFueScsICcnLHRoaXMpOw==" localSheetId="4" hidden="1">""</definedName>
    <definedName name="CellActionB98" comment="0" localSheetId="4" hidden="1">""</definedName>
    <definedName name="CellActionB98C0" comment="U2hvd0RyaWxsRG93bignUGFic3QgQnJld2luZyBDb21wYW55JywgJ09sZCBNaWx3YXVrZWVcdFBhYnN0IEJyZXdpbmcgQ29tcGFueScsICcnLHRoaXMpOw==" localSheetId="4" hidden="1">""</definedName>
    <definedName name="CellActionB99" comment="0" localSheetId="4" hidden="1">""</definedName>
    <definedName name="CellActionB99C0" comment="U2hvd0RyaWxsRG93bignUGFic3QgQnJld2luZyBDb21wYW55JywgJ0phY2sgRGFuaWVscyBDb3VudHJ5IENvY2t0YWlsc1x0UGFic3QgQnJld2luZyBDb21wYW55JywgJycsdGhpcyk7" localSheetId="4" hidden="1">""</definedName>
    <definedName name="CellActionB9C0" comment="U2hvd0RyaWxsRG93bignQ29uc3RlbGxhdGlvbiBCcmFuZHMnLCAnQ29yb25hIEZhbWlsaWFyXHRDb25zdGVsbGF0aW9uIEJyYW5kcycsICcnLHRoaXMpOw==" localSheetId="4" hidden="1">""</definedName>
    <definedName name="CellOrderA1" comment="0" localSheetId="4" hidden="1">""</definedName>
    <definedName name="CellOrderA1C0" comment="MA==" localSheetId="4" hidden="1">""</definedName>
    <definedName name="CellOrderActionA1" comment="0" localSheetId="4" hidden="1">""</definedName>
    <definedName name="CellOrderActionA1C0" comment="RG9PcmRlckJ5KCcwJyk7" localSheetId="4" hidden="1">""</definedName>
    <definedName name="CellOrderActionC1" comment="0" localSheetId="4" hidden="1">""</definedName>
    <definedName name="CellOrderActionC1C0" comment="RG9PcmRlckJ5KCczJyk7" localSheetId="4" hidden="1">""</definedName>
    <definedName name="CellOrderActionD1" comment="0" localSheetId="4" hidden="1">""</definedName>
    <definedName name="CellOrderActionD1C0" comment="RG9PcmRlckJ5KCc0Jyk7" localSheetId="4" hidden="1">""</definedName>
    <definedName name="CellOrderActionE1" comment="0" localSheetId="4" hidden="1">""</definedName>
    <definedName name="CellOrderActionE1C0" comment="RG9PcmRlckJ5KCc1LlBlcmNlbnREaWZmJyk7" localSheetId="4" hidden="1">""</definedName>
    <definedName name="CellOrderActionF1" comment="0" localSheetId="4" hidden="1">""</definedName>
    <definedName name="CellOrderActionF1C0" comment="RG9PcmRlckJ5KCc2Jyk7" localSheetId="4" hidden="1">""</definedName>
    <definedName name="CellOrderActionG1" comment="0" localSheetId="4" hidden="1">""</definedName>
    <definedName name="CellOrderActionG1C0" comment="RG9PcmRlckJ5KCc4Jyk7" localSheetId="4" hidden="1">""</definedName>
    <definedName name="CellOrderC1" comment="0" localSheetId="4" hidden="1">""</definedName>
    <definedName name="CellOrderC1C0" comment="MA==" localSheetId="4" hidden="1">""</definedName>
    <definedName name="CellOrderD1" comment="0" localSheetId="4" hidden="1">""</definedName>
    <definedName name="CellOrderD1C0" comment="MA==" localSheetId="4" hidden="1">""</definedName>
    <definedName name="CellOrderE1" comment="0" localSheetId="4" hidden="1">""</definedName>
    <definedName name="CellOrderE1C0" comment="MA==" localSheetId="4" hidden="1">""</definedName>
    <definedName name="CellOrderF1" comment="0" localSheetId="4" hidden="1">""</definedName>
    <definedName name="CellOrderF1C0" comment="MA==" localSheetId="4" hidden="1">""</definedName>
    <definedName name="CellOrderG1" comment="0" localSheetId="4" hidden="1">""</definedName>
    <definedName name="CellOrderG1C0" comment="MA==" localSheetId="4" hidden="1">""</definedName>
    <definedName name="Child1" comment="0" localSheetId="4" hidden="1">""</definedName>
    <definedName name="Child1C0" comment="QnJhbmQgRmFtaWx5" localSheetId="4" hidden="1">""</definedName>
    <definedName name="Child2" comment="0" localSheetId="4" hidden="1">""</definedName>
    <definedName name="Child2C0" comment="U3VwcGxpZXI=" localSheetId="4" hidden="1">""</definedName>
    <definedName name="Child3" comment="0" localSheetId="4" hidden="1">""</definedName>
    <definedName name="Child4" comment="0" localSheetId="4" hidden="1">""</definedName>
    <definedName name="Child5" comment="0" localSheetId="4" hidden="1">""</definedName>
    <definedName name="Child6" comment="0" localSheetId="4" hidden="1">""</definedName>
    <definedName name="Child7" comment="0" localSheetId="4" hidden="1">""</definedName>
    <definedName name="DataStartRow" comment="0" localSheetId="4" hidden="1">""</definedName>
    <definedName name="DataStartRowC0" comment="MQ==" localSheetId="4" hidden="1">""</definedName>
    <definedName name="Detail1" comment="0" localSheetId="4" hidden="1">""</definedName>
    <definedName name="Detail2" comment="0" localSheetId="4" hidden="1">""</definedName>
    <definedName name="Detail3" comment="0" localSheetId="4" hidden="1">""</definedName>
    <definedName name="Detail4" comment="0" localSheetId="4" hidden="1">""</definedName>
    <definedName name="Detail5" comment="0" localSheetId="4" hidden="1">""</definedName>
    <definedName name="Detail6" comment="0" localSheetId="4" hidden="1">""</definedName>
    <definedName name="Detail7" comment="0" localSheetId="4" hidden="1">""</definedName>
    <definedName name="Dimension" comment="0" localSheetId="4" hidden="1">""</definedName>
    <definedName name="DimensionC0" comment="Mw==" localSheetId="4" hidden="1">""</definedName>
    <definedName name="LevelA1" comment="0" localSheetId="4" hidden="1">""</definedName>
    <definedName name="LevelA108" comment="0" localSheetId="4" hidden="1">""</definedName>
    <definedName name="LevelA108C0" comment="NA==" localSheetId="4" hidden="1">""</definedName>
    <definedName name="LevelA120" comment="0" localSheetId="4" hidden="1">""</definedName>
    <definedName name="LevelA120C0" comment="NA==" localSheetId="4" hidden="1">""</definedName>
    <definedName name="LevelA122" comment="0" localSheetId="4" hidden="1">""</definedName>
    <definedName name="LevelA122C0" comment="NA==" localSheetId="4" hidden="1">""</definedName>
    <definedName name="LevelA130" comment="0" localSheetId="4" hidden="1">""</definedName>
    <definedName name="LevelA130C0" comment="NA==" localSheetId="4" hidden="1">""</definedName>
    <definedName name="LevelA133" comment="0" localSheetId="4" hidden="1">""</definedName>
    <definedName name="LevelA133C0" comment="NA==" localSheetId="4" hidden="1">""</definedName>
    <definedName name="LevelA141" comment="0" localSheetId="4" hidden="1">""</definedName>
    <definedName name="LevelA141C0" comment="NA==" localSheetId="4" hidden="1">""</definedName>
    <definedName name="LevelA148" comment="0" localSheetId="4" hidden="1">""</definedName>
    <definedName name="LevelA148C0" comment="NA==" localSheetId="4" hidden="1">""</definedName>
    <definedName name="LevelA151" comment="0" localSheetId="4" hidden="1">""</definedName>
    <definedName name="LevelA151C0" comment="NA==" localSheetId="4" hidden="1">""</definedName>
    <definedName name="LevelA156" comment="0" localSheetId="4" hidden="1">""</definedName>
    <definedName name="LevelA156C0" comment="NA==" localSheetId="4" hidden="1">""</definedName>
    <definedName name="LevelA158" comment="0" localSheetId="4" hidden="1">""</definedName>
    <definedName name="LevelA158C0" comment="NA==" localSheetId="4" hidden="1">""</definedName>
    <definedName name="LevelA160" comment="0" localSheetId="4" hidden="1">""</definedName>
    <definedName name="LevelA160C0" comment="NA==" localSheetId="4" hidden="1">""</definedName>
    <definedName name="LevelA163" comment="0" localSheetId="4" hidden="1">""</definedName>
    <definedName name="LevelA163C0" comment="NA==" localSheetId="4" hidden="1">""</definedName>
    <definedName name="LevelA166" comment="0" localSheetId="4" hidden="1">""</definedName>
    <definedName name="LevelA166C0" comment="NA==" localSheetId="4" hidden="1">""</definedName>
    <definedName name="LevelA168" comment="0" localSheetId="4" hidden="1">""</definedName>
    <definedName name="LevelA168C0" comment="NA==" localSheetId="4" hidden="1">""</definedName>
    <definedName name="LevelA171" comment="0" localSheetId="4" hidden="1">""</definedName>
    <definedName name="LevelA171C0" comment="NA==" localSheetId="4" hidden="1">""</definedName>
    <definedName name="LevelA185" comment="0" localSheetId="4" hidden="1">""</definedName>
    <definedName name="LevelA185C0" comment="NA==" localSheetId="4" hidden="1">""</definedName>
    <definedName name="LevelA189" comment="0" localSheetId="4" hidden="1">""</definedName>
    <definedName name="LevelA189C0" comment="NA==" localSheetId="4" hidden="1">""</definedName>
    <definedName name="LevelA193" comment="0" localSheetId="4" hidden="1">""</definedName>
    <definedName name="LevelA193C0" comment="NA==" localSheetId="4" hidden="1">""</definedName>
    <definedName name="LevelA195" comment="0" localSheetId="4" hidden="1">""</definedName>
    <definedName name="LevelA195C0" comment="NA==" localSheetId="4" hidden="1">""</definedName>
    <definedName name="LevelA1C0" comment="Mg==" localSheetId="4" hidden="1">""</definedName>
    <definedName name="LevelA2" comment="0" localSheetId="4" hidden="1">""</definedName>
    <definedName name="LevelA201" comment="0" localSheetId="4" hidden="1">""</definedName>
    <definedName name="LevelA201C0" comment="NA==" localSheetId="4" hidden="1">""</definedName>
    <definedName name="LevelA206" comment="0" localSheetId="4" hidden="1">""</definedName>
    <definedName name="LevelA206C0" comment="NA==" localSheetId="4" hidden="1">""</definedName>
    <definedName name="LevelA208" comment="0" localSheetId="4" hidden="1">""</definedName>
    <definedName name="LevelA208C0" comment="NA==" localSheetId="4" hidden="1">""</definedName>
    <definedName name="LevelA21" comment="0" localSheetId="4" hidden="1">""</definedName>
    <definedName name="LevelA210" comment="0" localSheetId="4" hidden="1">""</definedName>
    <definedName name="LevelA210C0" comment="NA==" localSheetId="4" hidden="1">""</definedName>
    <definedName name="LevelA212" comment="0" localSheetId="4" hidden="1">""</definedName>
    <definedName name="LevelA212C0" comment="NA==" localSheetId="4" hidden="1">""</definedName>
    <definedName name="LevelA214" comment="0" localSheetId="4" hidden="1">""</definedName>
    <definedName name="LevelA214C0" comment="NA==" localSheetId="4" hidden="1">""</definedName>
    <definedName name="LevelA217" comment="0" localSheetId="4" hidden="1">""</definedName>
    <definedName name="LevelA217C0" comment="NA==" localSheetId="4" hidden="1">""</definedName>
    <definedName name="LevelA219" comment="0" localSheetId="4" hidden="1">""</definedName>
    <definedName name="LevelA219C0" comment="NA==" localSheetId="4" hidden="1">""</definedName>
    <definedName name="LevelA21C0" comment="NA==" localSheetId="4" hidden="1">""</definedName>
    <definedName name="LevelA222" comment="0" localSheetId="4" hidden="1">""</definedName>
    <definedName name="LevelA222C0" comment="NA==" localSheetId="4" hidden="1">""</definedName>
    <definedName name="LevelA224" comment="0" localSheetId="4" hidden="1">""</definedName>
    <definedName name="LevelA224C0" comment="NA==" localSheetId="4" hidden="1">""</definedName>
    <definedName name="LevelA226" comment="0" localSheetId="4" hidden="1">""</definedName>
    <definedName name="LevelA226C0" comment="NA==" localSheetId="4" hidden="1">""</definedName>
    <definedName name="LevelA229" comment="0" localSheetId="4" hidden="1">""</definedName>
    <definedName name="LevelA229C0" comment="NA==" localSheetId="4" hidden="1">""</definedName>
    <definedName name="LevelA234" comment="0" localSheetId="4" hidden="1">""</definedName>
    <definedName name="LevelA234C0" comment="NA==" localSheetId="4" hidden="1">""</definedName>
    <definedName name="LevelA237" comment="0" localSheetId="4" hidden="1">""</definedName>
    <definedName name="LevelA237C0" comment="NA==" localSheetId="4" hidden="1">""</definedName>
    <definedName name="LevelA239" comment="0" localSheetId="4" hidden="1">""</definedName>
    <definedName name="LevelA239C0" comment="NA==" localSheetId="4" hidden="1">""</definedName>
    <definedName name="LevelA243" comment="0" localSheetId="4" hidden="1">""</definedName>
    <definedName name="LevelA243C0" comment="NA==" localSheetId="4" hidden="1">""</definedName>
    <definedName name="LevelA245" comment="0" localSheetId="4" hidden="1">""</definedName>
    <definedName name="LevelA245C0" comment="NA==" localSheetId="4" hidden="1">""</definedName>
    <definedName name="LevelA248" comment="0" localSheetId="4" hidden="1">""</definedName>
    <definedName name="LevelA248C0" comment="NA==" localSheetId="4" hidden="1">""</definedName>
    <definedName name="LevelA251" comment="0" localSheetId="4" hidden="1">""</definedName>
    <definedName name="LevelA251C0" comment="NA==" localSheetId="4" hidden="1">""</definedName>
    <definedName name="LevelA261" comment="0" localSheetId="4" hidden="1">""</definedName>
    <definedName name="LevelA261C0" comment="NA==" localSheetId="4" hidden="1">""</definedName>
    <definedName name="LevelA265" comment="0" localSheetId="4" hidden="1">""</definedName>
    <definedName name="LevelA265C0" comment="NA==" localSheetId="4" hidden="1">""</definedName>
    <definedName name="LevelA267" comment="0" localSheetId="4" hidden="1">""</definedName>
    <definedName name="LevelA267C0" comment="NA==" localSheetId="4" hidden="1">""</definedName>
    <definedName name="LevelA269" comment="0" localSheetId="4" hidden="1">""</definedName>
    <definedName name="LevelA269C0" comment="NA==" localSheetId="4" hidden="1">""</definedName>
    <definedName name="LevelA272" comment="0" localSheetId="4" hidden="1">""</definedName>
    <definedName name="LevelA272C0" comment="NA==" localSheetId="4" hidden="1">""</definedName>
    <definedName name="LevelA274" comment="0" localSheetId="4" hidden="1">""</definedName>
    <definedName name="LevelA274C0" comment="NA==" localSheetId="4" hidden="1">""</definedName>
    <definedName name="LevelA277" comment="0" localSheetId="4" hidden="1">""</definedName>
    <definedName name="LevelA277C0" comment="NA==" localSheetId="4" hidden="1">""</definedName>
    <definedName name="LevelA279" comment="0" localSheetId="4" hidden="1">""</definedName>
    <definedName name="LevelA279C0" comment="NA==" localSheetId="4" hidden="1">""</definedName>
    <definedName name="LevelA281" comment="0" localSheetId="4" hidden="1">""</definedName>
    <definedName name="LevelA281C0" comment="NA==" localSheetId="4" hidden="1">""</definedName>
    <definedName name="LevelA283" comment="0" localSheetId="4" hidden="1">""</definedName>
    <definedName name="LevelA283C0" comment="NA==" localSheetId="4" hidden="1">""</definedName>
    <definedName name="LevelA288" comment="0" localSheetId="4" hidden="1">""</definedName>
    <definedName name="LevelA288C0" comment="NA==" localSheetId="4" hidden="1">""</definedName>
    <definedName name="LevelA290" comment="0" localSheetId="4" hidden="1">""</definedName>
    <definedName name="LevelA290C0" comment="NA==" localSheetId="4" hidden="1">""</definedName>
    <definedName name="LevelA292" comment="0" localSheetId="4" hidden="1">""</definedName>
    <definedName name="LevelA292C0" comment="NA==" localSheetId="4" hidden="1">""</definedName>
    <definedName name="LevelA294" comment="0" localSheetId="4" hidden="1">""</definedName>
    <definedName name="LevelA294C0" comment="NA==" localSheetId="4" hidden="1">""</definedName>
    <definedName name="LevelA296" comment="0" localSheetId="4" hidden="1">""</definedName>
    <definedName name="LevelA296C0" comment="NA==" localSheetId="4" hidden="1">""</definedName>
    <definedName name="LevelA298" comment="0" localSheetId="4" hidden="1">""</definedName>
    <definedName name="LevelA298C0" comment="NA==" localSheetId="4" hidden="1">""</definedName>
    <definedName name="LevelA2C0" comment="Mw==" localSheetId="4" hidden="1">""</definedName>
    <definedName name="LevelA3" comment="0" localSheetId="4" hidden="1">""</definedName>
    <definedName name="LevelA300" comment="0" localSheetId="4" hidden="1">""</definedName>
    <definedName name="LevelA300C0" comment="NA==" localSheetId="4" hidden="1">""</definedName>
    <definedName name="LevelA302" comment="0" localSheetId="4" hidden="1">""</definedName>
    <definedName name="LevelA302C0" comment="NA==" localSheetId="4" hidden="1">""</definedName>
    <definedName name="LevelA305" comment="0" localSheetId="4" hidden="1">""</definedName>
    <definedName name="LevelA305C0" comment="NA==" localSheetId="4" hidden="1">""</definedName>
    <definedName name="LevelA307" comment="0" localSheetId="4" hidden="1">""</definedName>
    <definedName name="LevelA307C0" comment="NA==" localSheetId="4" hidden="1">""</definedName>
    <definedName name="LevelA309" comment="0" localSheetId="4" hidden="1">""</definedName>
    <definedName name="LevelA309C0" comment="NA==" localSheetId="4" hidden="1">""</definedName>
    <definedName name="LevelA311" comment="0" localSheetId="4" hidden="1">""</definedName>
    <definedName name="LevelA311C0" comment="NA==" localSheetId="4" hidden="1">""</definedName>
    <definedName name="LevelA313" comment="0" localSheetId="4" hidden="1">""</definedName>
    <definedName name="LevelA313C0" comment="NA==" localSheetId="4" hidden="1">""</definedName>
    <definedName name="LevelA315" comment="0" localSheetId="4" hidden="1">""</definedName>
    <definedName name="LevelA315C0" comment="NA==" localSheetId="4" hidden="1">""</definedName>
    <definedName name="LevelA317" comment="0" localSheetId="4" hidden="1">""</definedName>
    <definedName name="LevelA317C0" comment="NA==" localSheetId="4" hidden="1">""</definedName>
    <definedName name="LevelA319" comment="0" localSheetId="4" hidden="1">""</definedName>
    <definedName name="LevelA319C0" comment="NA==" localSheetId="4" hidden="1">""</definedName>
    <definedName name="LevelA321" comment="0" localSheetId="4" hidden="1">""</definedName>
    <definedName name="LevelA321C0" comment="NA==" localSheetId="4" hidden="1">""</definedName>
    <definedName name="LevelA323" comment="0" localSheetId="4" hidden="1">""</definedName>
    <definedName name="LevelA323C0" comment="NA==" localSheetId="4" hidden="1">""</definedName>
    <definedName name="LevelA325" comment="0" localSheetId="4" hidden="1">""</definedName>
    <definedName name="LevelA325C0" comment="NA==" localSheetId="4" hidden="1">""</definedName>
    <definedName name="LevelA330" comment="0" localSheetId="4" hidden="1">""</definedName>
    <definedName name="LevelA330C0" comment="NA==" localSheetId="4" hidden="1">""</definedName>
    <definedName name="LevelA334" comment="0" localSheetId="4" hidden="1">""</definedName>
    <definedName name="LevelA334C0" comment="NA==" localSheetId="4" hidden="1">""</definedName>
    <definedName name="LevelA336" comment="0" localSheetId="4" hidden="1">""</definedName>
    <definedName name="LevelA336C0" comment="NA==" localSheetId="4" hidden="1">""</definedName>
    <definedName name="LevelA338" comment="0" localSheetId="4" hidden="1">""</definedName>
    <definedName name="LevelA338C0" comment="NA==" localSheetId="4" hidden="1">""</definedName>
    <definedName name="LevelA340" comment="0" localSheetId="4" hidden="1">""</definedName>
    <definedName name="LevelA340C0" comment="NA==" localSheetId="4" hidden="1">""</definedName>
    <definedName name="LevelA342" comment="0" localSheetId="4" hidden="1">""</definedName>
    <definedName name="LevelA342C0" comment="NA==" localSheetId="4" hidden="1">""</definedName>
    <definedName name="LevelA348" comment="0" localSheetId="4" hidden="1">""</definedName>
    <definedName name="LevelA348C0" comment="NA==" localSheetId="4" hidden="1">""</definedName>
    <definedName name="LevelA350" comment="0" localSheetId="4" hidden="1">""</definedName>
    <definedName name="LevelA350C0" comment="NA==" localSheetId="4" hidden="1">""</definedName>
    <definedName name="LevelA352" comment="0" localSheetId="4" hidden="1">""</definedName>
    <definedName name="LevelA352C0" comment="NA==" localSheetId="4" hidden="1">""</definedName>
    <definedName name="LevelA354" comment="0" localSheetId="4" hidden="1">""</definedName>
    <definedName name="LevelA354C0" comment="NA==" localSheetId="4" hidden="1">""</definedName>
    <definedName name="LevelA359" comment="0" localSheetId="4" hidden="1">""</definedName>
    <definedName name="LevelA359C0" comment="NA==" localSheetId="4" hidden="1">""</definedName>
    <definedName name="LevelA361" comment="0" localSheetId="4" hidden="1">""</definedName>
    <definedName name="LevelA361C0" comment="NA==" localSheetId="4" hidden="1">""</definedName>
    <definedName name="LevelA363" comment="0" localSheetId="4" hidden="1">""</definedName>
    <definedName name="LevelA363C0" comment="NA==" localSheetId="4" hidden="1">""</definedName>
    <definedName name="LevelA365" comment="0" localSheetId="4" hidden="1">""</definedName>
    <definedName name="LevelA365C0" comment="NA==" localSheetId="4" hidden="1">""</definedName>
    <definedName name="LevelA367" comment="0" localSheetId="4" hidden="1">""</definedName>
    <definedName name="LevelA367C0" comment="NA==" localSheetId="4" hidden="1">""</definedName>
    <definedName name="LevelA369" comment="0" localSheetId="4" hidden="1">""</definedName>
    <definedName name="LevelA369C0" comment="NA==" localSheetId="4" hidden="1">""</definedName>
    <definedName name="LevelA371" comment="0" localSheetId="4" hidden="1">""</definedName>
    <definedName name="LevelA371C0" comment="NA==" localSheetId="4" hidden="1">""</definedName>
    <definedName name="LevelA373" comment="0" localSheetId="4" hidden="1">""</definedName>
    <definedName name="LevelA373C0" comment="NA==" localSheetId="4" hidden="1">""</definedName>
    <definedName name="LevelA377" comment="0" localSheetId="4" hidden="1">""</definedName>
    <definedName name="LevelA377C0" comment="NA==" localSheetId="4" hidden="1">""</definedName>
    <definedName name="LevelA379" comment="0" localSheetId="4" hidden="1">""</definedName>
    <definedName name="LevelA379C0" comment="NA==" localSheetId="4" hidden="1">""</definedName>
    <definedName name="LevelA381" comment="0" localSheetId="4" hidden="1">""</definedName>
    <definedName name="LevelA381C0" comment="NA==" localSheetId="4" hidden="1">""</definedName>
    <definedName name="LevelA383" comment="0" localSheetId="4" hidden="1">""</definedName>
    <definedName name="LevelA383C0" comment="NA==" localSheetId="4" hidden="1">""</definedName>
    <definedName name="LevelA385" comment="0" localSheetId="4" hidden="1">""</definedName>
    <definedName name="LevelA385C0" comment="NA==" localSheetId="4" hidden="1">""</definedName>
    <definedName name="LevelA390" comment="0" localSheetId="4" hidden="1">""</definedName>
    <definedName name="LevelA390C0" comment="NA==" localSheetId="4" hidden="1">""</definedName>
    <definedName name="LevelA392" comment="0" localSheetId="4" hidden="1">""</definedName>
    <definedName name="LevelA392C0" comment="NA==" localSheetId="4" hidden="1">""</definedName>
    <definedName name="LevelA394" comment="0" localSheetId="4" hidden="1">""</definedName>
    <definedName name="LevelA394C0" comment="NA==" localSheetId="4" hidden="1">""</definedName>
    <definedName name="LevelA396" comment="0" localSheetId="4" hidden="1">""</definedName>
    <definedName name="LevelA396C0" comment="NA==" localSheetId="4" hidden="1">""</definedName>
    <definedName name="LevelA398" comment="0" localSheetId="4" hidden="1">""</definedName>
    <definedName name="LevelA398C0" comment="NA==" localSheetId="4" hidden="1">""</definedName>
    <definedName name="LevelA3C0" comment="NA==" localSheetId="4" hidden="1">""</definedName>
    <definedName name="LevelA400" comment="0" localSheetId="4" hidden="1">""</definedName>
    <definedName name="LevelA400C0" comment="NA==" localSheetId="4" hidden="1">""</definedName>
    <definedName name="LevelA402" comment="0" localSheetId="4" hidden="1">""</definedName>
    <definedName name="LevelA402C0" comment="NA==" localSheetId="4" hidden="1">""</definedName>
    <definedName name="LevelA405" comment="0" localSheetId="4" hidden="1">""</definedName>
    <definedName name="LevelA405C0" comment="NA==" localSheetId="4" hidden="1">""</definedName>
    <definedName name="LevelA407" comment="0" localSheetId="4" hidden="1">""</definedName>
    <definedName name="LevelA407C0" comment="NA==" localSheetId="4" hidden="1">""</definedName>
    <definedName name="LevelA410" comment="0" localSheetId="4" hidden="1">""</definedName>
    <definedName name="LevelA410C0" comment="NA==" localSheetId="4" hidden="1">""</definedName>
    <definedName name="LevelA412" comment="0" localSheetId="4" hidden="1">""</definedName>
    <definedName name="LevelA412C0" comment="NA==" localSheetId="4" hidden="1">""</definedName>
    <definedName name="LevelA414" comment="0" localSheetId="4" hidden="1">""</definedName>
    <definedName name="LevelA414C0" comment="NA==" localSheetId="4" hidden="1">""</definedName>
    <definedName name="LevelA416" comment="0" localSheetId="4" hidden="1">""</definedName>
    <definedName name="LevelA416C0" comment="NA==" localSheetId="4" hidden="1">""</definedName>
    <definedName name="LevelA418" comment="0" localSheetId="4" hidden="1">""</definedName>
    <definedName name="LevelA418C0" comment="NA==" localSheetId="4" hidden="1">""</definedName>
    <definedName name="LevelA420" comment="0" localSheetId="4" hidden="1">""</definedName>
    <definedName name="LevelA420C0" comment="NA==" localSheetId="4" hidden="1">""</definedName>
    <definedName name="LevelA422" comment="0" localSheetId="4" hidden="1">""</definedName>
    <definedName name="LevelA422C0" comment="NA==" localSheetId="4" hidden="1">""</definedName>
    <definedName name="LevelA424" comment="0" localSheetId="4" hidden="1">""</definedName>
    <definedName name="LevelA424C0" comment="NA==" localSheetId="4" hidden="1">""</definedName>
    <definedName name="LevelA426" comment="0" localSheetId="4" hidden="1">""</definedName>
    <definedName name="LevelA426C0" comment="NA==" localSheetId="4" hidden="1">""</definedName>
    <definedName name="LevelA428" comment="0" localSheetId="4" hidden="1">""</definedName>
    <definedName name="LevelA428C0" comment="NA==" localSheetId="4" hidden="1">""</definedName>
    <definedName name="LevelA430" comment="0" localSheetId="4" hidden="1">""</definedName>
    <definedName name="LevelA430C0" comment="NA==" localSheetId="4" hidden="1">""</definedName>
    <definedName name="LevelA432" comment="0" localSheetId="4" hidden="1">""</definedName>
    <definedName name="LevelA432C0" comment="NA==" localSheetId="4" hidden="1">""</definedName>
    <definedName name="LevelA434" comment="0" localSheetId="4" hidden="1">""</definedName>
    <definedName name="LevelA434C0" comment="NA==" localSheetId="4" hidden="1">""</definedName>
    <definedName name="LevelA436" comment="0" localSheetId="4" hidden="1">""</definedName>
    <definedName name="LevelA436C0" comment="NA==" localSheetId="4" hidden="1">""</definedName>
    <definedName name="LevelA438" comment="0" localSheetId="4" hidden="1">""</definedName>
    <definedName name="LevelA438C0" comment="NA==" localSheetId="4" hidden="1">""</definedName>
    <definedName name="LevelA440" comment="0" localSheetId="4" hidden="1">""</definedName>
    <definedName name="LevelA440C0" comment="NA==" localSheetId="4" hidden="1">""</definedName>
    <definedName name="LevelA442" comment="0" localSheetId="4" hidden="1">""</definedName>
    <definedName name="LevelA442C0" comment="NA==" localSheetId="4" hidden="1">""</definedName>
    <definedName name="LevelA444" comment="0" localSheetId="4" hidden="1">""</definedName>
    <definedName name="LevelA444C0" comment="NA==" localSheetId="4" hidden="1">""</definedName>
    <definedName name="LevelA447" comment="0" localSheetId="4" hidden="1">""</definedName>
    <definedName name="LevelA447C0" comment="NA==" localSheetId="4" hidden="1">""</definedName>
    <definedName name="LevelA449" comment="0" localSheetId="4" hidden="1">""</definedName>
    <definedName name="LevelA449C0" comment="NA==" localSheetId="4" hidden="1">""</definedName>
    <definedName name="LevelA452" comment="0" localSheetId="4" hidden="1">""</definedName>
    <definedName name="LevelA452C0" comment="NA==" localSheetId="4" hidden="1">""</definedName>
    <definedName name="LevelA454" comment="0" localSheetId="4" hidden="1">""</definedName>
    <definedName name="LevelA454C0" comment="NA==" localSheetId="4" hidden="1">""</definedName>
    <definedName name="LevelA456" comment="0" localSheetId="4" hidden="1">""</definedName>
    <definedName name="LevelA456C0" comment="NA==" localSheetId="4" hidden="1">""</definedName>
    <definedName name="LevelA458" comment="0" localSheetId="4" hidden="1">""</definedName>
    <definedName name="LevelA458C0" comment="NA==" localSheetId="4" hidden="1">""</definedName>
    <definedName name="LevelA460" comment="0" localSheetId="4" hidden="1">""</definedName>
    <definedName name="LevelA460C0" comment="NA==" localSheetId="4" hidden="1">""</definedName>
    <definedName name="LevelA59" comment="0" localSheetId="4" hidden="1">""</definedName>
    <definedName name="LevelA59C0" comment="NA==" localSheetId="4" hidden="1">""</definedName>
    <definedName name="LevelA75" comment="0" localSheetId="4" hidden="1">""</definedName>
    <definedName name="LevelA75C0" comment="NA==" localSheetId="4" hidden="1">""</definedName>
    <definedName name="LevelA87" comment="0" localSheetId="4" hidden="1">""</definedName>
    <definedName name="LevelA87C0" comment="NA==" localSheetId="4" hidden="1">""</definedName>
    <definedName name="LevelA94" comment="0" localSheetId="4" hidden="1">""</definedName>
    <definedName name="LevelA94C0" comment="NA==" localSheetId="4" hidden="1">""</definedName>
    <definedName name="Parent1" comment="0" localSheetId="4" hidden="1">""</definedName>
    <definedName name="Parent1C0" comment="U3VwcGxpZXI=" localSheetId="4" hidden="1">""</definedName>
    <definedName name="Parent2" comment="0" localSheetId="4" hidden="1">""</definedName>
    <definedName name="Parent3" comment="0" localSheetId="4" hidden="1">""</definedName>
    <definedName name="Parent4" comment="0" localSheetId="4" hidden="1">""</definedName>
    <definedName name="Parent5" comment="0" localSheetId="4" hidden="1">""</definedName>
    <definedName name="Parent6" comment="0" localSheetId="4" hidden="1">""</definedName>
    <definedName name="Parent7" comment="0" localSheetId="4" hidden="1">""</definedName>
    <definedName name="PivotTable" comment="0" localSheetId="4" hidden="1">""</definedName>
    <definedName name="PivotTableC0" comment="IktvaGxlckRpc3RSZXBvcnRzIi4idG1wX2FwaVJlcG9ydFZpZXdfZ3NoYXJrZXlfMjAyNTExMjAxMTQ3MzUzOTlfOWQ0ZTE3OTljYSI=" localSheetId="4" hidden="1">""</definedName>
    <definedName name="ReportName" comment="0" localSheetId="4" hidden="1">""</definedName>
    <definedName name="ReportNameC0" comment="Q29tcG91bmQgUGxhbm5pbmcgRG9jdW1lbnQ=" localSheetId="4" hidden="1">""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42" i="5" l="1"/>
  <c r="C472" i="5"/>
  <c r="C468" i="5"/>
  <c r="C466" i="5"/>
  <c r="C464" i="5"/>
  <c r="C462" i="5"/>
  <c r="C461" i="5"/>
  <c r="C459" i="5"/>
  <c r="C457" i="5"/>
  <c r="C456" i="5"/>
  <c r="C454" i="5"/>
  <c r="C452" i="5"/>
  <c r="C450" i="5"/>
  <c r="C448" i="5"/>
  <c r="C446" i="5"/>
  <c r="C442" i="5"/>
  <c r="C440" i="5"/>
  <c r="C438" i="5"/>
  <c r="C436" i="5"/>
  <c r="C434" i="5"/>
  <c r="C432" i="5"/>
  <c r="C430" i="5"/>
  <c r="C428" i="5"/>
  <c r="C426" i="5"/>
  <c r="C424" i="5"/>
  <c r="C422" i="5"/>
  <c r="C420" i="5"/>
  <c r="C419" i="5"/>
  <c r="C417" i="5"/>
  <c r="C415" i="5"/>
  <c r="C414" i="5"/>
  <c r="C410" i="5"/>
  <c r="C408" i="5"/>
  <c r="C406" i="5"/>
  <c r="C404" i="5"/>
  <c r="C402" i="5"/>
  <c r="C400" i="5"/>
  <c r="C399" i="5"/>
  <c r="C398" i="5"/>
  <c r="C397" i="5"/>
  <c r="C395" i="5"/>
  <c r="C393" i="5"/>
  <c r="C389" i="5"/>
  <c r="C387" i="5"/>
  <c r="C386" i="5"/>
  <c r="C385" i="5"/>
  <c r="C383" i="5"/>
  <c r="C381" i="5"/>
  <c r="C379" i="5"/>
  <c r="C377" i="5"/>
  <c r="C375" i="5"/>
  <c r="C373" i="5"/>
  <c r="C371" i="5"/>
  <c r="C369" i="5"/>
  <c r="C368" i="5"/>
  <c r="C367" i="5"/>
  <c r="C366" i="5"/>
  <c r="C364" i="5"/>
  <c r="C362" i="5"/>
  <c r="C360" i="5"/>
  <c r="C358" i="5"/>
  <c r="C357" i="5"/>
  <c r="C356" i="5"/>
  <c r="C355" i="5"/>
  <c r="C354" i="5"/>
  <c r="C352" i="5"/>
  <c r="C348" i="5"/>
  <c r="C346" i="5"/>
  <c r="C344" i="5"/>
  <c r="C343" i="5"/>
  <c r="C342" i="5"/>
  <c r="C340" i="5"/>
  <c r="C339" i="5"/>
  <c r="C338" i="5"/>
  <c r="C337" i="5"/>
  <c r="C331" i="5"/>
  <c r="C325" i="5"/>
  <c r="C321" i="5"/>
  <c r="C319" i="5"/>
  <c r="C317" i="5"/>
  <c r="C315" i="5"/>
  <c r="C314" i="5"/>
  <c r="C312" i="5"/>
  <c r="C308" i="5"/>
  <c r="C306" i="5"/>
  <c r="C302" i="5"/>
  <c r="C300" i="5"/>
  <c r="C298" i="5"/>
  <c r="C297" i="5"/>
  <c r="C296" i="5"/>
  <c r="C295" i="5"/>
  <c r="C291" i="5"/>
  <c r="C289" i="5"/>
  <c r="C286" i="5"/>
  <c r="C284" i="5"/>
  <c r="C279" i="5"/>
  <c r="C277" i="5"/>
  <c r="C275" i="5"/>
  <c r="C273" i="5"/>
  <c r="C271" i="5"/>
  <c r="C270" i="5"/>
  <c r="C269" i="5"/>
  <c r="C268" i="5"/>
  <c r="C267" i="5"/>
  <c r="C266" i="5"/>
  <c r="C265" i="5"/>
  <c r="C264" i="5"/>
  <c r="C263" i="5"/>
  <c r="C261" i="5"/>
  <c r="C260" i="5"/>
  <c r="C258" i="5"/>
  <c r="C257" i="5"/>
  <c r="C255" i="5"/>
  <c r="C251" i="5"/>
  <c r="C249" i="5"/>
  <c r="C247" i="5"/>
  <c r="C246" i="5"/>
  <c r="C244" i="5"/>
  <c r="C243" i="5"/>
  <c r="C242" i="5"/>
  <c r="C241" i="5"/>
  <c r="C240" i="5"/>
  <c r="C239" i="5"/>
  <c r="C238" i="5"/>
  <c r="C236" i="5"/>
  <c r="C235" i="5"/>
  <c r="C233" i="5"/>
  <c r="C231" i="5"/>
  <c r="C229" i="5"/>
  <c r="C228" i="5"/>
  <c r="C226" i="5"/>
  <c r="C223" i="5"/>
  <c r="C221" i="5"/>
  <c r="C219" i="5"/>
  <c r="C217" i="5"/>
  <c r="C215" i="5"/>
  <c r="C209" i="5"/>
  <c r="C208" i="5"/>
  <c r="C207" i="5"/>
  <c r="C206" i="5"/>
  <c r="C202" i="5"/>
  <c r="C201" i="5"/>
  <c r="C200" i="5"/>
  <c r="C198" i="5"/>
  <c r="C195" i="5"/>
  <c r="C194" i="5"/>
  <c r="C192" i="5"/>
  <c r="C191" i="5"/>
  <c r="C190" i="5"/>
  <c r="C186" i="5"/>
  <c r="C185" i="5"/>
  <c r="C184" i="5"/>
  <c r="C180" i="5"/>
  <c r="C179" i="5"/>
  <c r="C178" i="5"/>
  <c r="C177" i="5"/>
  <c r="C176" i="5"/>
  <c r="C174" i="5"/>
  <c r="C173" i="5"/>
  <c r="C171" i="5"/>
  <c r="C169" i="5"/>
  <c r="C168" i="5"/>
  <c r="C166" i="5"/>
  <c r="C165" i="5"/>
  <c r="C163" i="5"/>
  <c r="C161" i="5"/>
  <c r="C159" i="5"/>
  <c r="C158" i="5"/>
  <c r="C157" i="5"/>
  <c r="C156" i="5"/>
  <c r="C153" i="5"/>
  <c r="C151" i="5"/>
  <c r="C150" i="5"/>
  <c r="C149" i="5"/>
  <c r="C148" i="5"/>
  <c r="C147" i="5"/>
  <c r="C146" i="5"/>
  <c r="C144" i="5"/>
  <c r="C143" i="5"/>
  <c r="C142" i="5"/>
  <c r="C141" i="5"/>
  <c r="C140" i="5"/>
  <c r="C139" i="5"/>
  <c r="C138" i="5"/>
  <c r="C136" i="5"/>
  <c r="C135" i="5"/>
  <c r="C130" i="5"/>
  <c r="C129" i="5"/>
  <c r="C128" i="5"/>
  <c r="C127" i="5"/>
  <c r="C126" i="5"/>
  <c r="C124" i="5"/>
  <c r="C122" i="5"/>
  <c r="C119" i="5"/>
  <c r="C118" i="5"/>
  <c r="C117" i="5"/>
  <c r="C116" i="5"/>
  <c r="C115" i="5"/>
  <c r="C114" i="5"/>
  <c r="C113" i="5"/>
  <c r="C112" i="5"/>
  <c r="C109" i="5"/>
  <c r="C108" i="5"/>
  <c r="C107" i="5"/>
  <c r="C106" i="5"/>
  <c r="C105" i="5"/>
  <c r="C103" i="5"/>
  <c r="C102" i="5"/>
  <c r="C101" i="5"/>
  <c r="C100" i="5"/>
  <c r="C99" i="5"/>
  <c r="C98" i="5"/>
  <c r="C97" i="5"/>
  <c r="C94" i="5"/>
  <c r="C93" i="5"/>
  <c r="C92" i="5"/>
  <c r="C91" i="5"/>
  <c r="C90" i="5"/>
  <c r="C89" i="5"/>
  <c r="C84" i="5"/>
  <c r="C83" i="5"/>
  <c r="C82" i="5"/>
  <c r="C81" i="5"/>
  <c r="C80" i="5"/>
  <c r="C79" i="5"/>
  <c r="C78" i="5"/>
  <c r="C77" i="5"/>
  <c r="C75" i="5"/>
  <c r="C73" i="5"/>
  <c r="C72" i="5"/>
  <c r="C71" i="5"/>
  <c r="C70" i="5"/>
  <c r="C69" i="5"/>
  <c r="C68" i="5"/>
  <c r="C67" i="5"/>
  <c r="C66" i="5"/>
  <c r="C65" i="5"/>
  <c r="C64" i="5"/>
  <c r="C61" i="5"/>
  <c r="C62" i="5"/>
  <c r="C60" i="5"/>
  <c r="C471" i="5"/>
  <c r="C469" i="5"/>
  <c r="C467" i="5"/>
  <c r="C465" i="5"/>
  <c r="C463" i="5"/>
  <c r="C460" i="5"/>
  <c r="C458" i="5"/>
  <c r="C455" i="5"/>
  <c r="C453" i="5"/>
  <c r="C451" i="5"/>
  <c r="C449" i="5"/>
  <c r="C447" i="5"/>
  <c r="C445" i="5"/>
  <c r="C443" i="5"/>
  <c r="C441" i="5"/>
  <c r="C439" i="5"/>
  <c r="C437" i="5"/>
  <c r="C435" i="5"/>
  <c r="C433" i="5"/>
  <c r="C431" i="5"/>
  <c r="C429" i="5"/>
  <c r="C427" i="5"/>
  <c r="C425" i="5"/>
  <c r="C423" i="5"/>
  <c r="C421" i="5"/>
  <c r="C418" i="5"/>
  <c r="C416" i="5"/>
  <c r="C413" i="5"/>
  <c r="C411" i="5"/>
  <c r="C409" i="5"/>
  <c r="C407" i="5"/>
  <c r="C405" i="5"/>
  <c r="C403" i="5"/>
  <c r="C401" i="5"/>
  <c r="C396" i="5"/>
  <c r="C394" i="5"/>
  <c r="C392" i="5"/>
  <c r="C390" i="5"/>
  <c r="C388" i="5"/>
  <c r="C384" i="5"/>
  <c r="C382" i="5"/>
  <c r="C380" i="5"/>
  <c r="C376" i="5"/>
  <c r="C374" i="5"/>
  <c r="C372" i="5"/>
  <c r="C370" i="5"/>
  <c r="C365" i="5"/>
  <c r="C363" i="5"/>
  <c r="C361" i="5"/>
  <c r="C359" i="5"/>
  <c r="C353" i="5"/>
  <c r="C351" i="5"/>
  <c r="C349" i="5"/>
  <c r="C347" i="5"/>
  <c r="C345" i="5"/>
  <c r="C341" i="5"/>
  <c r="C336" i="5"/>
  <c r="C334" i="5"/>
  <c r="C332" i="5"/>
  <c r="C330" i="5"/>
  <c r="C328" i="5"/>
  <c r="C326" i="5"/>
  <c r="C324" i="5"/>
  <c r="C322" i="5"/>
  <c r="C320" i="5"/>
  <c r="C318" i="5"/>
  <c r="C316" i="5"/>
  <c r="C313" i="5"/>
  <c r="C311" i="5"/>
  <c r="C309" i="5"/>
  <c r="C307" i="5"/>
  <c r="C305" i="5"/>
  <c r="C303" i="5"/>
  <c r="C301" i="5"/>
  <c r="C299" i="5"/>
  <c r="C294" i="5"/>
  <c r="C292" i="5"/>
  <c r="C290" i="5"/>
  <c r="C288" i="5"/>
  <c r="C285" i="5"/>
  <c r="C283" i="5"/>
  <c r="C280" i="5"/>
  <c r="C278" i="5"/>
  <c r="C276" i="5"/>
  <c r="C272" i="5"/>
  <c r="C262" i="5"/>
  <c r="C259" i="5"/>
  <c r="C256" i="5"/>
  <c r="C254" i="5"/>
  <c r="C250" i="5"/>
  <c r="C248" i="5"/>
  <c r="C245" i="5"/>
  <c r="C234" i="5"/>
  <c r="C232" i="5"/>
  <c r="C230" i="5"/>
  <c r="C227" i="5"/>
  <c r="C225" i="5"/>
  <c r="C222" i="5"/>
  <c r="C220" i="5"/>
  <c r="C218" i="5"/>
  <c r="C216" i="5"/>
  <c r="C214" i="5"/>
  <c r="C205" i="5"/>
  <c r="C199" i="5"/>
  <c r="C197" i="5"/>
  <c r="C193" i="5"/>
  <c r="C189" i="5"/>
  <c r="C175" i="5"/>
  <c r="C172" i="5"/>
  <c r="C170" i="5"/>
  <c r="C167" i="5"/>
  <c r="C164" i="5"/>
  <c r="C162" i="5"/>
  <c r="C160" i="5"/>
  <c r="C155" i="5"/>
  <c r="C152" i="5"/>
  <c r="C145" i="5"/>
  <c r="C137" i="5"/>
  <c r="C134" i="5"/>
  <c r="C125" i="5"/>
  <c r="C123" i="5"/>
  <c r="C111" i="5"/>
  <c r="C96" i="5"/>
  <c r="C88" i="5"/>
  <c r="C76" i="5"/>
  <c r="C59" i="5"/>
  <c r="C21" i="5"/>
  <c r="C3" i="5"/>
  <c r="O213" i="5"/>
  <c r="P213" i="5" s="1"/>
  <c r="O211" i="5"/>
  <c r="P211" i="5" s="1"/>
  <c r="O95" i="5"/>
  <c r="P95" i="5" s="1"/>
  <c r="O63" i="5"/>
  <c r="P63" i="5" s="1"/>
  <c r="M213" i="5"/>
  <c r="M211" i="5"/>
  <c r="M95" i="5"/>
  <c r="C225" i="9"/>
  <c r="C226" i="9"/>
  <c r="C224" i="9"/>
  <c r="F98" i="5"/>
  <c r="C90" i="9"/>
  <c r="C125" i="9"/>
  <c r="C124" i="9"/>
  <c r="F131" i="5"/>
  <c r="C3" i="9"/>
  <c r="C4" i="9"/>
  <c r="C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74" i="9"/>
  <c r="C75" i="9"/>
  <c r="C76" i="9"/>
  <c r="C77" i="9"/>
  <c r="C78" i="9"/>
  <c r="C79" i="9"/>
  <c r="C80" i="9"/>
  <c r="C81" i="9"/>
  <c r="C82" i="9"/>
  <c r="C83" i="9"/>
  <c r="C84" i="9"/>
  <c r="C85" i="9"/>
  <c r="C86" i="9"/>
  <c r="C87" i="9"/>
  <c r="C88" i="9"/>
  <c r="C89" i="9"/>
  <c r="C91" i="9"/>
  <c r="C92" i="9"/>
  <c r="C93" i="9"/>
  <c r="C94" i="9"/>
  <c r="C95" i="9"/>
  <c r="C96" i="9"/>
  <c r="C97" i="9"/>
  <c r="C98" i="9"/>
  <c r="C99" i="9"/>
  <c r="C100" i="9"/>
  <c r="C101" i="9"/>
  <c r="C102" i="9"/>
  <c r="C103" i="9"/>
  <c r="C104" i="9"/>
  <c r="C105" i="9"/>
  <c r="C106" i="9"/>
  <c r="C107" i="9"/>
  <c r="C108" i="9"/>
  <c r="C109" i="9"/>
  <c r="C110" i="9"/>
  <c r="C111" i="9"/>
  <c r="C112" i="9"/>
  <c r="C113" i="9"/>
  <c r="C114" i="9"/>
  <c r="C115" i="9"/>
  <c r="C116" i="9"/>
  <c r="C117" i="9"/>
  <c r="C122" i="9"/>
  <c r="C123" i="9"/>
  <c r="C118" i="9"/>
  <c r="C119" i="9"/>
  <c r="C120" i="9"/>
  <c r="C121" i="9"/>
  <c r="C126" i="9"/>
  <c r="C127" i="9"/>
  <c r="C128" i="9"/>
  <c r="C129" i="9"/>
  <c r="C130" i="9"/>
  <c r="C131" i="9"/>
  <c r="C132" i="9"/>
  <c r="C133" i="9"/>
  <c r="C134" i="9"/>
  <c r="C135" i="9"/>
  <c r="C136" i="9"/>
  <c r="C137" i="9"/>
  <c r="C138" i="9"/>
  <c r="C139" i="9"/>
  <c r="C140" i="9"/>
  <c r="C141" i="9"/>
  <c r="C142" i="9"/>
  <c r="C143" i="9"/>
  <c r="C144" i="9"/>
  <c r="C145" i="9"/>
  <c r="C146" i="9"/>
  <c r="C147" i="9"/>
  <c r="C148" i="9"/>
  <c r="C149" i="9"/>
  <c r="C150" i="9"/>
  <c r="C151" i="9"/>
  <c r="C152" i="9"/>
  <c r="C153" i="9"/>
  <c r="C154" i="9"/>
  <c r="C155" i="9"/>
  <c r="C156" i="9"/>
  <c r="C157" i="9"/>
  <c r="C158" i="9"/>
  <c r="C159" i="9"/>
  <c r="C160" i="9"/>
  <c r="C161" i="9"/>
  <c r="C162" i="9"/>
  <c r="C163" i="9"/>
  <c r="C164" i="9"/>
  <c r="C165" i="9"/>
  <c r="C166" i="9"/>
  <c r="C167" i="9"/>
  <c r="C168" i="9"/>
  <c r="C169" i="9"/>
  <c r="C170" i="9"/>
  <c r="C171" i="9"/>
  <c r="C172" i="9"/>
  <c r="C173" i="9"/>
  <c r="C174" i="9"/>
  <c r="C175" i="9"/>
  <c r="C176" i="9"/>
  <c r="C177" i="9"/>
  <c r="C178" i="9"/>
  <c r="C179" i="9"/>
  <c r="C180" i="9"/>
  <c r="C181" i="9"/>
  <c r="C182" i="9"/>
  <c r="C183" i="9"/>
  <c r="C184" i="9"/>
  <c r="C185" i="9"/>
  <c r="C186" i="9"/>
  <c r="C187" i="9"/>
  <c r="C188" i="9"/>
  <c r="C189" i="9"/>
  <c r="C190" i="9"/>
  <c r="C191" i="9"/>
  <c r="C192" i="9"/>
  <c r="C193" i="9"/>
  <c r="C194" i="9"/>
  <c r="C195" i="9"/>
  <c r="C196" i="9"/>
  <c r="C197" i="9"/>
  <c r="C198" i="9"/>
  <c r="C199" i="9"/>
  <c r="C200" i="9"/>
  <c r="C201" i="9"/>
  <c r="C202" i="9"/>
  <c r="C203" i="9"/>
  <c r="C204" i="9"/>
  <c r="C205" i="9"/>
  <c r="C206" i="9"/>
  <c r="C207" i="9"/>
  <c r="C208" i="9"/>
  <c r="C209" i="9"/>
  <c r="C210" i="9"/>
  <c r="C211" i="9"/>
  <c r="C212" i="9"/>
  <c r="C213" i="9"/>
  <c r="C214" i="9"/>
  <c r="C215" i="9"/>
  <c r="C216" i="9"/>
  <c r="C217" i="9"/>
  <c r="C218" i="9"/>
  <c r="C219" i="9"/>
  <c r="C220" i="9"/>
  <c r="C221" i="9"/>
  <c r="C222" i="9"/>
  <c r="C223" i="9"/>
  <c r="C228" i="9"/>
  <c r="C229" i="9"/>
  <c r="C227" i="9"/>
  <c r="C230" i="9"/>
  <c r="C231" i="9"/>
  <c r="C232" i="9"/>
  <c r="C233" i="9"/>
  <c r="C234" i="9"/>
  <c r="C235" i="9"/>
  <c r="C236" i="9"/>
  <c r="C237" i="9"/>
  <c r="C238" i="9"/>
  <c r="C239" i="9"/>
  <c r="C240" i="9"/>
  <c r="C241" i="9"/>
  <c r="C242" i="9"/>
  <c r="C243" i="9"/>
  <c r="C244" i="9"/>
  <c r="C245" i="9"/>
  <c r="C246" i="9"/>
  <c r="C247" i="9"/>
  <c r="C248" i="9"/>
  <c r="C249" i="9"/>
  <c r="C250" i="9"/>
  <c r="C251" i="9"/>
  <c r="C252" i="9"/>
  <c r="C253" i="9"/>
  <c r="C254" i="9"/>
  <c r="C255" i="9"/>
  <c r="C256" i="9"/>
  <c r="C257" i="9"/>
  <c r="C258" i="9"/>
  <c r="C259" i="9"/>
  <c r="C260" i="9"/>
  <c r="C261" i="9"/>
  <c r="C262" i="9"/>
  <c r="C263" i="9"/>
  <c r="C264" i="9"/>
  <c r="C265" i="9"/>
  <c r="C266" i="9"/>
  <c r="C267" i="9"/>
  <c r="C268" i="9"/>
  <c r="C269" i="9"/>
  <c r="C270" i="9"/>
  <c r="C271" i="9"/>
  <c r="C272" i="9"/>
  <c r="C273" i="9"/>
  <c r="C274" i="9"/>
  <c r="C275" i="9"/>
  <c r="C276" i="9"/>
  <c r="C277" i="9"/>
  <c r="C278" i="9"/>
  <c r="C279" i="9"/>
  <c r="C280" i="9"/>
  <c r="C281" i="9"/>
  <c r="C282" i="9"/>
  <c r="C283" i="9"/>
  <c r="C284" i="9"/>
  <c r="C285" i="9"/>
  <c r="C286" i="9"/>
  <c r="C287" i="9"/>
  <c r="C288" i="9"/>
  <c r="C289" i="9"/>
  <c r="C290" i="9"/>
  <c r="C291" i="9"/>
  <c r="C292" i="9"/>
  <c r="C293" i="9"/>
  <c r="C294" i="9"/>
  <c r="C295" i="9"/>
  <c r="C296" i="9"/>
  <c r="C297" i="9"/>
  <c r="C298" i="9"/>
  <c r="C299" i="9"/>
  <c r="C300" i="9"/>
  <c r="C301" i="9"/>
  <c r="C302" i="9"/>
  <c r="C303" i="9"/>
  <c r="C304" i="9"/>
  <c r="C305" i="9"/>
  <c r="C306" i="9"/>
  <c r="C307" i="9"/>
  <c r="C308" i="9"/>
  <c r="C309" i="9"/>
  <c r="C310" i="9"/>
  <c r="C311" i="9"/>
  <c r="C312" i="9"/>
  <c r="C313" i="9"/>
  <c r="C314" i="9"/>
  <c r="C315" i="9"/>
  <c r="C316" i="9"/>
  <c r="C317" i="9"/>
  <c r="C318" i="9"/>
  <c r="C319" i="9"/>
  <c r="C320" i="9"/>
  <c r="C321" i="9"/>
  <c r="C322" i="9"/>
  <c r="C323" i="9"/>
  <c r="C324" i="9"/>
  <c r="C325" i="9"/>
  <c r="C326" i="9"/>
  <c r="C327" i="9"/>
  <c r="C328" i="9"/>
  <c r="C329" i="9"/>
  <c r="C330" i="9"/>
  <c r="C331" i="9"/>
  <c r="C332" i="9"/>
  <c r="C333" i="9"/>
  <c r="C334" i="9"/>
  <c r="C335" i="9"/>
  <c r="C336" i="9"/>
  <c r="C337" i="9"/>
  <c r="C338" i="9"/>
  <c r="C339" i="9"/>
  <c r="C340" i="9"/>
  <c r="C341" i="9"/>
  <c r="C342" i="9"/>
  <c r="C343" i="9"/>
  <c r="C344" i="9"/>
  <c r="C345" i="9"/>
  <c r="C346" i="9"/>
  <c r="C347" i="9"/>
  <c r="C348" i="9"/>
  <c r="C349" i="9"/>
  <c r="C350" i="9"/>
  <c r="C351" i="9"/>
  <c r="C352" i="9"/>
  <c r="C353" i="9"/>
  <c r="C354" i="9"/>
  <c r="C355" i="9"/>
  <c r="C356" i="9"/>
  <c r="C357" i="9"/>
  <c r="C358" i="9"/>
  <c r="C359" i="9"/>
  <c r="C360" i="9"/>
  <c r="C361" i="9"/>
  <c r="C362" i="9"/>
  <c r="C363" i="9"/>
  <c r="C364" i="9"/>
  <c r="C365" i="9"/>
  <c r="C366" i="9"/>
  <c r="C367" i="9"/>
  <c r="C368" i="9"/>
  <c r="C369" i="9"/>
  <c r="C370" i="9"/>
  <c r="C371" i="9"/>
  <c r="C372" i="9"/>
  <c r="C373" i="9"/>
  <c r="C374" i="9"/>
  <c r="C375" i="9"/>
  <c r="C376" i="9"/>
  <c r="C377" i="9"/>
  <c r="C378" i="9"/>
  <c r="C379" i="9"/>
  <c r="C380" i="9"/>
  <c r="C381" i="9"/>
  <c r="C382" i="9"/>
  <c r="C383" i="9"/>
  <c r="C384" i="9"/>
  <c r="C385" i="9"/>
  <c r="C386" i="9"/>
  <c r="C387" i="9"/>
  <c r="C388" i="9"/>
  <c r="C389" i="9"/>
  <c r="C390" i="9"/>
  <c r="C391" i="9"/>
  <c r="C392" i="9"/>
  <c r="C393" i="9"/>
  <c r="C394" i="9"/>
  <c r="C395" i="9"/>
  <c r="C396" i="9"/>
  <c r="C397" i="9"/>
  <c r="C398" i="9"/>
  <c r="C399" i="9"/>
  <c r="C400" i="9"/>
  <c r="C401" i="9"/>
  <c r="C402" i="9"/>
  <c r="C403" i="9"/>
  <c r="C404" i="9"/>
  <c r="C405" i="9"/>
  <c r="C406" i="9"/>
  <c r="C407" i="9"/>
  <c r="C408" i="9"/>
  <c r="C409" i="9"/>
  <c r="C410" i="9"/>
  <c r="C411" i="9"/>
  <c r="C412" i="9"/>
  <c r="C413" i="9"/>
  <c r="C414" i="9"/>
  <c r="C415" i="9"/>
  <c r="C416" i="9"/>
  <c r="C417" i="9"/>
  <c r="C418" i="9"/>
  <c r="C419" i="9"/>
  <c r="C420" i="9"/>
  <c r="C421" i="9"/>
  <c r="C422" i="9"/>
  <c r="C423" i="9"/>
  <c r="C424" i="9"/>
  <c r="C425" i="9"/>
  <c r="C426" i="9"/>
  <c r="C427" i="9"/>
  <c r="C428" i="9"/>
  <c r="C429" i="9"/>
  <c r="C430" i="9"/>
  <c r="C431" i="9"/>
  <c r="C432" i="9"/>
  <c r="C433" i="9"/>
  <c r="C434" i="9"/>
  <c r="C435" i="9"/>
  <c r="C436" i="9"/>
  <c r="C2" i="9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F314" i="6"/>
  <c r="F315" i="6"/>
  <c r="F316" i="6"/>
  <c r="F317" i="6"/>
  <c r="F318" i="6"/>
  <c r="F319" i="6"/>
  <c r="F320" i="6"/>
  <c r="F321" i="6"/>
  <c r="F322" i="6"/>
  <c r="F323" i="6"/>
  <c r="F324" i="6"/>
  <c r="F325" i="6"/>
  <c r="F326" i="6"/>
  <c r="F327" i="6"/>
  <c r="F328" i="6"/>
  <c r="F329" i="6"/>
  <c r="F330" i="6"/>
  <c r="F331" i="6"/>
  <c r="F332" i="6"/>
  <c r="F333" i="6"/>
  <c r="F334" i="6"/>
  <c r="F335" i="6"/>
  <c r="F336" i="6"/>
  <c r="F337" i="6"/>
  <c r="F338" i="6"/>
  <c r="F339" i="6"/>
  <c r="F340" i="6"/>
  <c r="F341" i="6"/>
  <c r="F342" i="6"/>
  <c r="F343" i="6"/>
  <c r="F344" i="6"/>
  <c r="F2" i="6"/>
  <c r="G20" i="5"/>
  <c r="G21" i="5"/>
  <c r="G54" i="5"/>
  <c r="G56" i="5"/>
  <c r="G59" i="5"/>
  <c r="G74" i="5"/>
  <c r="G76" i="5"/>
  <c r="G85" i="5"/>
  <c r="G86" i="5"/>
  <c r="G88" i="5"/>
  <c r="G96" i="5"/>
  <c r="G97" i="5"/>
  <c r="G111" i="5"/>
  <c r="G120" i="5"/>
  <c r="G121" i="5"/>
  <c r="G123" i="5"/>
  <c r="G125" i="5"/>
  <c r="G131" i="5"/>
  <c r="G132" i="5"/>
  <c r="G133" i="5"/>
  <c r="G134" i="5"/>
  <c r="G136" i="5"/>
  <c r="G137" i="5"/>
  <c r="G145" i="5"/>
  <c r="G152" i="5"/>
  <c r="G155" i="5"/>
  <c r="G160" i="5"/>
  <c r="G162" i="5"/>
  <c r="G164" i="5"/>
  <c r="G167" i="5"/>
  <c r="G170" i="5"/>
  <c r="G172" i="5"/>
  <c r="G175" i="5"/>
  <c r="G189" i="5"/>
  <c r="G193" i="5"/>
  <c r="G197" i="5"/>
  <c r="G199" i="5"/>
  <c r="G203" i="5"/>
  <c r="G204" i="5"/>
  <c r="G205" i="5"/>
  <c r="G210" i="5"/>
  <c r="G212" i="5"/>
  <c r="G214" i="5"/>
  <c r="G216" i="5"/>
  <c r="G218" i="5"/>
  <c r="G220" i="5"/>
  <c r="G222" i="5"/>
  <c r="G225" i="5"/>
  <c r="G227" i="5"/>
  <c r="G230" i="5"/>
  <c r="G232" i="5"/>
  <c r="G234" i="5"/>
  <c r="G237" i="5"/>
  <c r="G238" i="5"/>
  <c r="G239" i="5"/>
  <c r="G240" i="5"/>
  <c r="G242" i="5"/>
  <c r="G245" i="5"/>
  <c r="G248" i="5"/>
  <c r="G250" i="5"/>
  <c r="G252" i="5"/>
  <c r="G253" i="5"/>
  <c r="G254" i="5"/>
  <c r="G256" i="5"/>
  <c r="G259" i="5"/>
  <c r="G262" i="5"/>
  <c r="G272" i="5"/>
  <c r="G276" i="5"/>
  <c r="G278" i="5"/>
  <c r="G280" i="5"/>
  <c r="G283" i="5"/>
  <c r="G285" i="5"/>
  <c r="G287" i="5"/>
  <c r="G288" i="5"/>
  <c r="G290" i="5"/>
  <c r="G292" i="5"/>
  <c r="G294" i="5"/>
  <c r="G299" i="5"/>
  <c r="G301" i="5"/>
  <c r="G303" i="5"/>
  <c r="G305" i="5"/>
  <c r="G307" i="5"/>
  <c r="G309" i="5"/>
  <c r="G311" i="5"/>
  <c r="G313" i="5"/>
  <c r="G316" i="5"/>
  <c r="G318" i="5"/>
  <c r="G320" i="5"/>
  <c r="G322" i="5"/>
  <c r="G324" i="5"/>
  <c r="G326" i="5"/>
  <c r="G328" i="5"/>
  <c r="G330" i="5"/>
  <c r="G332" i="5"/>
  <c r="G334" i="5"/>
  <c r="G336" i="5"/>
  <c r="G341" i="5"/>
  <c r="G345" i="5"/>
  <c r="G347" i="5"/>
  <c r="G349" i="5"/>
  <c r="G351" i="5"/>
  <c r="G353" i="5"/>
  <c r="G359" i="5"/>
  <c r="G361" i="5"/>
  <c r="G363" i="5"/>
  <c r="G365" i="5"/>
  <c r="G370" i="5"/>
  <c r="G372" i="5"/>
  <c r="G374" i="5"/>
  <c r="G376" i="5"/>
  <c r="G378" i="5"/>
  <c r="G379" i="5"/>
  <c r="G380" i="5"/>
  <c r="G382" i="5"/>
  <c r="G384" i="5"/>
  <c r="G388" i="5"/>
  <c r="G390" i="5"/>
  <c r="G391" i="5"/>
  <c r="G392" i="5"/>
  <c r="G394" i="5"/>
  <c r="G395" i="5"/>
  <c r="G396" i="5"/>
  <c r="G401" i="5"/>
  <c r="G403" i="5"/>
  <c r="G405" i="5"/>
  <c r="G407" i="5"/>
  <c r="G409" i="5"/>
  <c r="G411" i="5"/>
  <c r="G412" i="5"/>
  <c r="G413" i="5"/>
  <c r="G416" i="5"/>
  <c r="G418" i="5"/>
  <c r="G419" i="5"/>
  <c r="G420" i="5"/>
  <c r="G421" i="5"/>
  <c r="G423" i="5"/>
  <c r="G425" i="5"/>
  <c r="G426" i="5"/>
  <c r="G427" i="5"/>
  <c r="G429" i="5"/>
  <c r="G430" i="5"/>
  <c r="G431" i="5"/>
  <c r="G433" i="5"/>
  <c r="G434" i="5"/>
  <c r="G435" i="5"/>
  <c r="G436" i="5"/>
  <c r="G437" i="5"/>
  <c r="G439" i="5"/>
  <c r="G440" i="5"/>
  <c r="G441" i="5"/>
  <c r="G443" i="5"/>
  <c r="G444" i="5"/>
  <c r="G445" i="5"/>
  <c r="G447" i="5"/>
  <c r="G449" i="5"/>
  <c r="G451" i="5"/>
  <c r="G453" i="5"/>
  <c r="G455" i="5"/>
  <c r="G458" i="5"/>
  <c r="G460" i="5"/>
  <c r="G463" i="5"/>
  <c r="G464" i="5"/>
  <c r="G465" i="5"/>
  <c r="G467" i="5"/>
  <c r="G469" i="5"/>
  <c r="G471" i="5"/>
  <c r="G3" i="5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32" i="6"/>
  <c r="C233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C250" i="6"/>
  <c r="C251" i="6"/>
  <c r="C252" i="6"/>
  <c r="C253" i="6"/>
  <c r="C254" i="6"/>
  <c r="C255" i="6"/>
  <c r="C256" i="6"/>
  <c r="C257" i="6"/>
  <c r="C258" i="6"/>
  <c r="C259" i="6"/>
  <c r="C260" i="6"/>
  <c r="C261" i="6"/>
  <c r="C262" i="6"/>
  <c r="C263" i="6"/>
  <c r="C264" i="6"/>
  <c r="C265" i="6"/>
  <c r="C266" i="6"/>
  <c r="C267" i="6"/>
  <c r="C268" i="6"/>
  <c r="C269" i="6"/>
  <c r="C270" i="6"/>
  <c r="C271" i="6"/>
  <c r="C272" i="6"/>
  <c r="C273" i="6"/>
  <c r="C274" i="6"/>
  <c r="C275" i="6"/>
  <c r="C276" i="6"/>
  <c r="C277" i="6"/>
  <c r="C278" i="6"/>
  <c r="C279" i="6"/>
  <c r="C280" i="6"/>
  <c r="C281" i="6"/>
  <c r="C282" i="6"/>
  <c r="C283" i="6"/>
  <c r="C284" i="6"/>
  <c r="C285" i="6"/>
  <c r="C286" i="6"/>
  <c r="C287" i="6"/>
  <c r="C288" i="6"/>
  <c r="C289" i="6"/>
  <c r="C290" i="6"/>
  <c r="C291" i="6"/>
  <c r="C292" i="6"/>
  <c r="C293" i="6"/>
  <c r="C294" i="6"/>
  <c r="C295" i="6"/>
  <c r="C296" i="6"/>
  <c r="C297" i="6"/>
  <c r="C298" i="6"/>
  <c r="C299" i="6"/>
  <c r="C300" i="6"/>
  <c r="C301" i="6"/>
  <c r="C302" i="6"/>
  <c r="C303" i="6"/>
  <c r="C304" i="6"/>
  <c r="C305" i="6"/>
  <c r="C306" i="6"/>
  <c r="C307" i="6"/>
  <c r="C308" i="6"/>
  <c r="C309" i="6"/>
  <c r="C310" i="6"/>
  <c r="C311" i="6"/>
  <c r="C312" i="6"/>
  <c r="C313" i="6"/>
  <c r="C314" i="6"/>
  <c r="C315" i="6"/>
  <c r="C316" i="6"/>
  <c r="C317" i="6"/>
  <c r="C318" i="6"/>
  <c r="C319" i="6"/>
  <c r="C320" i="6"/>
  <c r="C321" i="6"/>
  <c r="C322" i="6"/>
  <c r="C323" i="6"/>
  <c r="C324" i="6"/>
  <c r="C325" i="6"/>
  <c r="C326" i="6"/>
  <c r="C327" i="6"/>
  <c r="C328" i="6"/>
  <c r="C329" i="6"/>
  <c r="C330" i="6"/>
  <c r="C331" i="6"/>
  <c r="C332" i="6"/>
  <c r="C333" i="6"/>
  <c r="C334" i="6"/>
  <c r="C335" i="6"/>
  <c r="C336" i="6"/>
  <c r="C337" i="6"/>
  <c r="C338" i="6"/>
  <c r="C339" i="6"/>
  <c r="C340" i="6"/>
  <c r="C341" i="6"/>
  <c r="C342" i="6"/>
  <c r="C343" i="6"/>
  <c r="C344" i="6"/>
  <c r="C2" i="6"/>
  <c r="F242" i="5"/>
  <c r="F238" i="5"/>
  <c r="F239" i="5"/>
  <c r="F240" i="5"/>
  <c r="F237" i="5"/>
  <c r="I204" i="1"/>
  <c r="J238" i="5" l="1"/>
  <c r="J240" i="5"/>
  <c r="J239" i="5"/>
  <c r="J237" i="5"/>
  <c r="J131" i="5"/>
  <c r="E211" i="5"/>
  <c r="D95" i="5"/>
  <c r="D211" i="5"/>
  <c r="E213" i="5"/>
  <c r="G213" i="5" s="1"/>
  <c r="E98" i="5"/>
  <c r="G98" i="5" s="1"/>
  <c r="E95" i="5"/>
  <c r="G63" i="5"/>
  <c r="F212" i="5"/>
  <c r="J212" i="5" s="1"/>
  <c r="F210" i="5"/>
  <c r="J210" i="5" s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O239" i="5" l="1"/>
  <c r="P239" i="5" s="1"/>
  <c r="L239" i="5"/>
  <c r="M239" i="5" s="1"/>
  <c r="O240" i="5"/>
  <c r="P240" i="5" s="1"/>
  <c r="L240" i="5"/>
  <c r="M240" i="5" s="1"/>
  <c r="O242" i="5"/>
  <c r="P242" i="5" s="1"/>
  <c r="L242" i="5"/>
  <c r="M242" i="5" s="1"/>
  <c r="O98" i="5"/>
  <c r="P98" i="5" s="1"/>
  <c r="L98" i="5"/>
  <c r="M98" i="5" s="1"/>
  <c r="O238" i="5"/>
  <c r="P238" i="5" s="1"/>
  <c r="L238" i="5"/>
  <c r="M238" i="5" s="1"/>
  <c r="G211" i="5"/>
  <c r="G95" i="5"/>
  <c r="I128" i="1"/>
  <c r="D128" i="1"/>
  <c r="E128" i="1"/>
  <c r="E122" i="1"/>
  <c r="C2" i="1"/>
  <c r="F2" i="5"/>
  <c r="J2" i="5" s="1"/>
  <c r="F3" i="5"/>
  <c r="J3" i="5" s="1"/>
  <c r="F4" i="5"/>
  <c r="J4" i="5" s="1"/>
  <c r="F5" i="5"/>
  <c r="J5" i="5" s="1"/>
  <c r="O5" i="5" s="1"/>
  <c r="P5" i="5" s="1"/>
  <c r="F6" i="5"/>
  <c r="J6" i="5" s="1"/>
  <c r="O6" i="5" s="1"/>
  <c r="P6" i="5" s="1"/>
  <c r="F7" i="5"/>
  <c r="J7" i="5" s="1"/>
  <c r="O7" i="5" s="1"/>
  <c r="P7" i="5" s="1"/>
  <c r="F8" i="5"/>
  <c r="J8" i="5" s="1"/>
  <c r="O8" i="5" s="1"/>
  <c r="P8" i="5" s="1"/>
  <c r="F9" i="5"/>
  <c r="J9" i="5" s="1"/>
  <c r="O9" i="5" s="1"/>
  <c r="P9" i="5" s="1"/>
  <c r="F10" i="5"/>
  <c r="J10" i="5" s="1"/>
  <c r="O10" i="5" s="1"/>
  <c r="P10" i="5" s="1"/>
  <c r="F11" i="5"/>
  <c r="J11" i="5" s="1"/>
  <c r="O11" i="5" s="1"/>
  <c r="P11" i="5" s="1"/>
  <c r="F12" i="5"/>
  <c r="J12" i="5" s="1"/>
  <c r="O12" i="5" s="1"/>
  <c r="P12" i="5" s="1"/>
  <c r="F13" i="5"/>
  <c r="J13" i="5" s="1"/>
  <c r="O13" i="5" s="1"/>
  <c r="P13" i="5" s="1"/>
  <c r="F14" i="5"/>
  <c r="J14" i="5" s="1"/>
  <c r="O14" i="5" s="1"/>
  <c r="P14" i="5" s="1"/>
  <c r="F15" i="5"/>
  <c r="J15" i="5" s="1"/>
  <c r="O15" i="5" s="1"/>
  <c r="P15" i="5" s="1"/>
  <c r="F16" i="5"/>
  <c r="J16" i="5" s="1"/>
  <c r="O16" i="5" s="1"/>
  <c r="P16" i="5" s="1"/>
  <c r="F17" i="5"/>
  <c r="J17" i="5" s="1"/>
  <c r="O17" i="5" s="1"/>
  <c r="P17" i="5" s="1"/>
  <c r="F18" i="5"/>
  <c r="J18" i="5" s="1"/>
  <c r="O18" i="5" s="1"/>
  <c r="P18" i="5" s="1"/>
  <c r="F19" i="5"/>
  <c r="J19" i="5" s="1"/>
  <c r="O19" i="5" s="1"/>
  <c r="P19" i="5" s="1"/>
  <c r="F20" i="5"/>
  <c r="F21" i="5"/>
  <c r="J21" i="5" s="1"/>
  <c r="F22" i="5"/>
  <c r="J22" i="5" s="1"/>
  <c r="F23" i="5"/>
  <c r="J23" i="5" s="1"/>
  <c r="F24" i="5"/>
  <c r="J24" i="5" s="1"/>
  <c r="F25" i="5"/>
  <c r="J25" i="5" s="1"/>
  <c r="F26" i="5"/>
  <c r="J26" i="5" s="1"/>
  <c r="F27" i="5"/>
  <c r="J27" i="5" s="1"/>
  <c r="F28" i="5"/>
  <c r="J28" i="5" s="1"/>
  <c r="F29" i="5"/>
  <c r="J29" i="5" s="1"/>
  <c r="F30" i="5"/>
  <c r="J30" i="5" s="1"/>
  <c r="F31" i="5"/>
  <c r="J31" i="5" s="1"/>
  <c r="F32" i="5"/>
  <c r="J32" i="5" s="1"/>
  <c r="F33" i="5"/>
  <c r="J33" i="5" s="1"/>
  <c r="F34" i="5"/>
  <c r="J34" i="5" s="1"/>
  <c r="F35" i="5"/>
  <c r="J35" i="5" s="1"/>
  <c r="F36" i="5"/>
  <c r="J36" i="5" s="1"/>
  <c r="F37" i="5"/>
  <c r="J37" i="5" s="1"/>
  <c r="F38" i="5"/>
  <c r="J38" i="5" s="1"/>
  <c r="F39" i="5"/>
  <c r="J39" i="5" s="1"/>
  <c r="F40" i="5"/>
  <c r="J40" i="5" s="1"/>
  <c r="F41" i="5"/>
  <c r="J41" i="5" s="1"/>
  <c r="F42" i="5"/>
  <c r="J42" i="5" s="1"/>
  <c r="F43" i="5"/>
  <c r="J43" i="5" s="1"/>
  <c r="F44" i="5"/>
  <c r="J44" i="5" s="1"/>
  <c r="F45" i="5"/>
  <c r="J45" i="5" s="1"/>
  <c r="F46" i="5"/>
  <c r="J46" i="5" s="1"/>
  <c r="F47" i="5"/>
  <c r="J47" i="5" s="1"/>
  <c r="F48" i="5"/>
  <c r="J48" i="5" s="1"/>
  <c r="F49" i="5"/>
  <c r="J49" i="5" s="1"/>
  <c r="F50" i="5"/>
  <c r="J50" i="5" s="1"/>
  <c r="F51" i="5"/>
  <c r="J51" i="5" s="1"/>
  <c r="F52" i="5"/>
  <c r="J52" i="5" s="1"/>
  <c r="F53" i="5"/>
  <c r="J53" i="5" s="1"/>
  <c r="F54" i="5"/>
  <c r="F55" i="5"/>
  <c r="J55" i="5" s="1"/>
  <c r="F56" i="5"/>
  <c r="F57" i="5"/>
  <c r="J57" i="5" s="1"/>
  <c r="F58" i="5"/>
  <c r="J58" i="5" s="1"/>
  <c r="F59" i="5"/>
  <c r="J59" i="5" s="1"/>
  <c r="F60" i="5"/>
  <c r="J60" i="5" s="1"/>
  <c r="F61" i="5"/>
  <c r="J61" i="5" s="1"/>
  <c r="F62" i="5"/>
  <c r="J62" i="5" s="1"/>
  <c r="F64" i="5"/>
  <c r="J64" i="5" s="1"/>
  <c r="F65" i="5"/>
  <c r="J65" i="5" s="1"/>
  <c r="F66" i="5"/>
  <c r="J66" i="5" s="1"/>
  <c r="F67" i="5"/>
  <c r="J67" i="5" s="1"/>
  <c r="F68" i="5"/>
  <c r="J68" i="5" s="1"/>
  <c r="F69" i="5"/>
  <c r="J69" i="5" s="1"/>
  <c r="F70" i="5"/>
  <c r="J70" i="5" s="1"/>
  <c r="F71" i="5"/>
  <c r="J71" i="5" s="1"/>
  <c r="F72" i="5"/>
  <c r="J72" i="5" s="1"/>
  <c r="F73" i="5"/>
  <c r="J73" i="5" s="1"/>
  <c r="F74" i="5"/>
  <c r="F75" i="5"/>
  <c r="J75" i="5" s="1"/>
  <c r="F76" i="5"/>
  <c r="J76" i="5" s="1"/>
  <c r="F77" i="5"/>
  <c r="J77" i="5" s="1"/>
  <c r="F78" i="5"/>
  <c r="J78" i="5" s="1"/>
  <c r="F79" i="5"/>
  <c r="J79" i="5" s="1"/>
  <c r="F80" i="5"/>
  <c r="J80" i="5" s="1"/>
  <c r="F81" i="5"/>
  <c r="J81" i="5" s="1"/>
  <c r="F82" i="5"/>
  <c r="J82" i="5" s="1"/>
  <c r="F83" i="5"/>
  <c r="J83" i="5" s="1"/>
  <c r="F84" i="5"/>
  <c r="J84" i="5" s="1"/>
  <c r="F85" i="5"/>
  <c r="F86" i="5"/>
  <c r="F87" i="5"/>
  <c r="J87" i="5" s="1"/>
  <c r="F88" i="5"/>
  <c r="J88" i="5" s="1"/>
  <c r="F89" i="5"/>
  <c r="J89" i="5" s="1"/>
  <c r="F90" i="5"/>
  <c r="J90" i="5" s="1"/>
  <c r="F91" i="5"/>
  <c r="J91" i="5" s="1"/>
  <c r="F92" i="5"/>
  <c r="J92" i="5" s="1"/>
  <c r="F93" i="5"/>
  <c r="J93" i="5" s="1"/>
  <c r="F94" i="5"/>
  <c r="J94" i="5" s="1"/>
  <c r="F96" i="5"/>
  <c r="J96" i="5" s="1"/>
  <c r="F97" i="5"/>
  <c r="J97" i="5" s="1"/>
  <c r="F99" i="5"/>
  <c r="J99" i="5" s="1"/>
  <c r="F100" i="5"/>
  <c r="J100" i="5" s="1"/>
  <c r="F101" i="5"/>
  <c r="J101" i="5" s="1"/>
  <c r="F102" i="5"/>
  <c r="J102" i="5" s="1"/>
  <c r="F103" i="5"/>
  <c r="J103" i="5" s="1"/>
  <c r="F104" i="5"/>
  <c r="J104" i="5" s="1"/>
  <c r="F105" i="5"/>
  <c r="J105" i="5" s="1"/>
  <c r="F106" i="5"/>
  <c r="J106" i="5" s="1"/>
  <c r="F107" i="5"/>
  <c r="J107" i="5" s="1"/>
  <c r="F108" i="5"/>
  <c r="J108" i="5" s="1"/>
  <c r="F109" i="5"/>
  <c r="J109" i="5" s="1"/>
  <c r="F110" i="5"/>
  <c r="J110" i="5" s="1"/>
  <c r="F111" i="5"/>
  <c r="J111" i="5" s="1"/>
  <c r="F112" i="5"/>
  <c r="J112" i="5" s="1"/>
  <c r="F113" i="5"/>
  <c r="J113" i="5" s="1"/>
  <c r="F114" i="5"/>
  <c r="J114" i="5" s="1"/>
  <c r="F115" i="5"/>
  <c r="J115" i="5" s="1"/>
  <c r="F116" i="5"/>
  <c r="J116" i="5" s="1"/>
  <c r="F117" i="5"/>
  <c r="J117" i="5" s="1"/>
  <c r="F118" i="5"/>
  <c r="J118" i="5" s="1"/>
  <c r="F119" i="5"/>
  <c r="J119" i="5" s="1"/>
  <c r="F120" i="5"/>
  <c r="F121" i="5"/>
  <c r="F122" i="5"/>
  <c r="J122" i="5" s="1"/>
  <c r="F123" i="5"/>
  <c r="J123" i="5" s="1"/>
  <c r="F124" i="5"/>
  <c r="J124" i="5" s="1"/>
  <c r="F125" i="5"/>
  <c r="J125" i="5" s="1"/>
  <c r="F126" i="5"/>
  <c r="J126" i="5" s="1"/>
  <c r="F127" i="5"/>
  <c r="J127" i="5" s="1"/>
  <c r="F128" i="5"/>
  <c r="J128" i="5" s="1"/>
  <c r="F129" i="5"/>
  <c r="J129" i="5" s="1"/>
  <c r="F130" i="5"/>
  <c r="J130" i="5" s="1"/>
  <c r="F132" i="5"/>
  <c r="J132" i="5" s="1"/>
  <c r="F133" i="5"/>
  <c r="J133" i="5" s="1"/>
  <c r="F134" i="5"/>
  <c r="J134" i="5" s="1"/>
  <c r="F135" i="5"/>
  <c r="J135" i="5" s="1"/>
  <c r="F136" i="5"/>
  <c r="F137" i="5"/>
  <c r="J137" i="5" s="1"/>
  <c r="F138" i="5"/>
  <c r="J138" i="5" s="1"/>
  <c r="F139" i="5"/>
  <c r="J139" i="5" s="1"/>
  <c r="F140" i="5"/>
  <c r="J140" i="5" s="1"/>
  <c r="F141" i="5"/>
  <c r="J141" i="5" s="1"/>
  <c r="F142" i="5"/>
  <c r="J142" i="5" s="1"/>
  <c r="F143" i="5"/>
  <c r="J143" i="5" s="1"/>
  <c r="F144" i="5"/>
  <c r="J144" i="5" s="1"/>
  <c r="F145" i="5"/>
  <c r="J145" i="5" s="1"/>
  <c r="F146" i="5"/>
  <c r="J146" i="5" s="1"/>
  <c r="F147" i="5"/>
  <c r="J147" i="5" s="1"/>
  <c r="F148" i="5"/>
  <c r="J148" i="5" s="1"/>
  <c r="F149" i="5"/>
  <c r="J149" i="5" s="1"/>
  <c r="F150" i="5"/>
  <c r="J150" i="5" s="1"/>
  <c r="F151" i="5"/>
  <c r="J151" i="5" s="1"/>
  <c r="F152" i="5"/>
  <c r="J152" i="5" s="1"/>
  <c r="F153" i="5"/>
  <c r="J153" i="5" s="1"/>
  <c r="F154" i="5"/>
  <c r="J154" i="5" s="1"/>
  <c r="F155" i="5"/>
  <c r="J155" i="5" s="1"/>
  <c r="F156" i="5"/>
  <c r="J156" i="5" s="1"/>
  <c r="F157" i="5"/>
  <c r="J157" i="5" s="1"/>
  <c r="F158" i="5"/>
  <c r="J158" i="5" s="1"/>
  <c r="F159" i="5"/>
  <c r="J159" i="5" s="1"/>
  <c r="F160" i="5"/>
  <c r="J160" i="5" s="1"/>
  <c r="F161" i="5"/>
  <c r="J161" i="5" s="1"/>
  <c r="F162" i="5"/>
  <c r="J162" i="5" s="1"/>
  <c r="F163" i="5"/>
  <c r="J163" i="5" s="1"/>
  <c r="F164" i="5"/>
  <c r="J164" i="5" s="1"/>
  <c r="F165" i="5"/>
  <c r="J165" i="5" s="1"/>
  <c r="F166" i="5"/>
  <c r="J166" i="5" s="1"/>
  <c r="F167" i="5"/>
  <c r="J167" i="5" s="1"/>
  <c r="F168" i="5"/>
  <c r="J168" i="5" s="1"/>
  <c r="F169" i="5"/>
  <c r="J169" i="5" s="1"/>
  <c r="F170" i="5"/>
  <c r="J170" i="5" s="1"/>
  <c r="F171" i="5"/>
  <c r="J171" i="5" s="1"/>
  <c r="F172" i="5"/>
  <c r="J172" i="5" s="1"/>
  <c r="F173" i="5"/>
  <c r="J173" i="5" s="1"/>
  <c r="F174" i="5"/>
  <c r="J174" i="5" s="1"/>
  <c r="F175" i="5"/>
  <c r="J175" i="5" s="1"/>
  <c r="F176" i="5"/>
  <c r="J176" i="5" s="1"/>
  <c r="F177" i="5"/>
  <c r="J177" i="5" s="1"/>
  <c r="F178" i="5"/>
  <c r="J178" i="5" s="1"/>
  <c r="F179" i="5"/>
  <c r="J179" i="5" s="1"/>
  <c r="F180" i="5"/>
  <c r="J180" i="5" s="1"/>
  <c r="F181" i="5"/>
  <c r="J181" i="5" s="1"/>
  <c r="F182" i="5"/>
  <c r="J182" i="5" s="1"/>
  <c r="F183" i="5"/>
  <c r="J183" i="5" s="1"/>
  <c r="F184" i="5"/>
  <c r="J184" i="5" s="1"/>
  <c r="F185" i="5"/>
  <c r="J185" i="5" s="1"/>
  <c r="F186" i="5"/>
  <c r="J186" i="5" s="1"/>
  <c r="F187" i="5"/>
  <c r="J187" i="5" s="1"/>
  <c r="F188" i="5"/>
  <c r="J188" i="5" s="1"/>
  <c r="F189" i="5"/>
  <c r="J189" i="5" s="1"/>
  <c r="F190" i="5"/>
  <c r="J190" i="5" s="1"/>
  <c r="F191" i="5"/>
  <c r="J191" i="5" s="1"/>
  <c r="F192" i="5"/>
  <c r="J192" i="5" s="1"/>
  <c r="F193" i="5"/>
  <c r="J193" i="5" s="1"/>
  <c r="F194" i="5"/>
  <c r="J194" i="5" s="1"/>
  <c r="F195" i="5"/>
  <c r="J195" i="5" s="1"/>
  <c r="F196" i="5"/>
  <c r="J196" i="5" s="1"/>
  <c r="F197" i="5"/>
  <c r="J197" i="5" s="1"/>
  <c r="F198" i="5"/>
  <c r="J198" i="5" s="1"/>
  <c r="F199" i="5"/>
  <c r="J199" i="5" s="1"/>
  <c r="F200" i="5"/>
  <c r="J200" i="5" s="1"/>
  <c r="F201" i="5"/>
  <c r="J201" i="5" s="1"/>
  <c r="F202" i="5"/>
  <c r="J202" i="5" s="1"/>
  <c r="F203" i="5"/>
  <c r="F204" i="5"/>
  <c r="F205" i="5"/>
  <c r="J205" i="5" s="1"/>
  <c r="F206" i="5"/>
  <c r="J206" i="5" s="1"/>
  <c r="F207" i="5"/>
  <c r="J207" i="5" s="1"/>
  <c r="F208" i="5"/>
  <c r="J208" i="5" s="1"/>
  <c r="F209" i="5"/>
  <c r="J209" i="5" s="1"/>
  <c r="F214" i="5"/>
  <c r="J214" i="5" s="1"/>
  <c r="F215" i="5"/>
  <c r="J215" i="5" s="1"/>
  <c r="F216" i="5"/>
  <c r="J216" i="5" s="1"/>
  <c r="F217" i="5"/>
  <c r="J217" i="5" s="1"/>
  <c r="F218" i="5"/>
  <c r="J218" i="5" s="1"/>
  <c r="F219" i="5"/>
  <c r="J219" i="5" s="1"/>
  <c r="F220" i="5"/>
  <c r="J220" i="5" s="1"/>
  <c r="F221" i="5"/>
  <c r="J221" i="5" s="1"/>
  <c r="F222" i="5"/>
  <c r="J222" i="5" s="1"/>
  <c r="F223" i="5"/>
  <c r="J223" i="5" s="1"/>
  <c r="F224" i="5"/>
  <c r="J224" i="5" s="1"/>
  <c r="F225" i="5"/>
  <c r="J225" i="5" s="1"/>
  <c r="F226" i="5"/>
  <c r="J226" i="5" s="1"/>
  <c r="F227" i="5"/>
  <c r="J227" i="5" s="1"/>
  <c r="F228" i="5"/>
  <c r="J228" i="5" s="1"/>
  <c r="F229" i="5"/>
  <c r="J229" i="5" s="1"/>
  <c r="F230" i="5"/>
  <c r="J230" i="5" s="1"/>
  <c r="F231" i="5"/>
  <c r="J231" i="5" s="1"/>
  <c r="F232" i="5"/>
  <c r="J232" i="5" s="1"/>
  <c r="F233" i="5"/>
  <c r="J233" i="5" s="1"/>
  <c r="F234" i="5"/>
  <c r="J234" i="5" s="1"/>
  <c r="F235" i="5"/>
  <c r="J235" i="5" s="1"/>
  <c r="F236" i="5"/>
  <c r="J236" i="5" s="1"/>
  <c r="F243" i="5"/>
  <c r="J243" i="5" s="1"/>
  <c r="F241" i="5"/>
  <c r="J241" i="5" s="1"/>
  <c r="F244" i="5"/>
  <c r="J244" i="5" s="1"/>
  <c r="F245" i="5"/>
  <c r="J245" i="5" s="1"/>
  <c r="F246" i="5"/>
  <c r="J246" i="5" s="1"/>
  <c r="F247" i="5"/>
  <c r="J247" i="5" s="1"/>
  <c r="F248" i="5"/>
  <c r="J248" i="5" s="1"/>
  <c r="F249" i="5"/>
  <c r="J249" i="5" s="1"/>
  <c r="F250" i="5"/>
  <c r="J250" i="5" s="1"/>
  <c r="F251" i="5"/>
  <c r="J251" i="5" s="1"/>
  <c r="F252" i="5"/>
  <c r="F253" i="5"/>
  <c r="F254" i="5"/>
  <c r="J254" i="5" s="1"/>
  <c r="F255" i="5"/>
  <c r="J255" i="5" s="1"/>
  <c r="F256" i="5"/>
  <c r="J256" i="5" s="1"/>
  <c r="F257" i="5"/>
  <c r="J257" i="5" s="1"/>
  <c r="F258" i="5"/>
  <c r="J258" i="5" s="1"/>
  <c r="F259" i="5"/>
  <c r="J259" i="5" s="1"/>
  <c r="F260" i="5"/>
  <c r="J260" i="5" s="1"/>
  <c r="F261" i="5"/>
  <c r="J261" i="5" s="1"/>
  <c r="F262" i="5"/>
  <c r="J262" i="5" s="1"/>
  <c r="F263" i="5"/>
  <c r="J263" i="5" s="1"/>
  <c r="F264" i="5"/>
  <c r="J264" i="5" s="1"/>
  <c r="F265" i="5"/>
  <c r="J265" i="5" s="1"/>
  <c r="F266" i="5"/>
  <c r="J266" i="5" s="1"/>
  <c r="F267" i="5"/>
  <c r="J267" i="5" s="1"/>
  <c r="F268" i="5"/>
  <c r="J268" i="5" s="1"/>
  <c r="F269" i="5"/>
  <c r="J269" i="5" s="1"/>
  <c r="F270" i="5"/>
  <c r="J270" i="5" s="1"/>
  <c r="F271" i="5"/>
  <c r="J271" i="5" s="1"/>
  <c r="F272" i="5"/>
  <c r="J272" i="5" s="1"/>
  <c r="F273" i="5"/>
  <c r="J273" i="5" s="1"/>
  <c r="F274" i="5"/>
  <c r="J274" i="5" s="1"/>
  <c r="F275" i="5"/>
  <c r="J275" i="5" s="1"/>
  <c r="F276" i="5"/>
  <c r="J276" i="5" s="1"/>
  <c r="F277" i="5"/>
  <c r="J277" i="5" s="1"/>
  <c r="F278" i="5"/>
  <c r="J278" i="5" s="1"/>
  <c r="F279" i="5"/>
  <c r="J279" i="5" s="1"/>
  <c r="F280" i="5"/>
  <c r="J280" i="5" s="1"/>
  <c r="F281" i="5"/>
  <c r="J281" i="5" s="1"/>
  <c r="F282" i="5"/>
  <c r="J282" i="5" s="1"/>
  <c r="F283" i="5"/>
  <c r="J283" i="5" s="1"/>
  <c r="F284" i="5"/>
  <c r="J284" i="5" s="1"/>
  <c r="F285" i="5"/>
  <c r="J285" i="5" s="1"/>
  <c r="F286" i="5"/>
  <c r="J286" i="5" s="1"/>
  <c r="F287" i="5"/>
  <c r="F288" i="5"/>
  <c r="J288" i="5" s="1"/>
  <c r="F289" i="5"/>
  <c r="J289" i="5" s="1"/>
  <c r="F290" i="5"/>
  <c r="J290" i="5" s="1"/>
  <c r="F291" i="5"/>
  <c r="J291" i="5" s="1"/>
  <c r="F292" i="5"/>
  <c r="J292" i="5" s="1"/>
  <c r="F293" i="5"/>
  <c r="J293" i="5" s="1"/>
  <c r="F294" i="5"/>
  <c r="J294" i="5" s="1"/>
  <c r="F295" i="5"/>
  <c r="J295" i="5" s="1"/>
  <c r="F296" i="5"/>
  <c r="J296" i="5" s="1"/>
  <c r="F297" i="5"/>
  <c r="J297" i="5" s="1"/>
  <c r="F298" i="5"/>
  <c r="J298" i="5" s="1"/>
  <c r="F299" i="5"/>
  <c r="J299" i="5" s="1"/>
  <c r="F300" i="5"/>
  <c r="J300" i="5" s="1"/>
  <c r="F301" i="5"/>
  <c r="J301" i="5" s="1"/>
  <c r="F302" i="5"/>
  <c r="J302" i="5" s="1"/>
  <c r="F303" i="5"/>
  <c r="J303" i="5" s="1"/>
  <c r="F304" i="5"/>
  <c r="J304" i="5" s="1"/>
  <c r="F305" i="5"/>
  <c r="J305" i="5" s="1"/>
  <c r="F306" i="5"/>
  <c r="J306" i="5" s="1"/>
  <c r="F307" i="5"/>
  <c r="J307" i="5" s="1"/>
  <c r="F308" i="5"/>
  <c r="J308" i="5" s="1"/>
  <c r="F309" i="5"/>
  <c r="J309" i="5" s="1"/>
  <c r="F310" i="5"/>
  <c r="J310" i="5" s="1"/>
  <c r="F311" i="5"/>
  <c r="J311" i="5" s="1"/>
  <c r="F312" i="5"/>
  <c r="J312" i="5" s="1"/>
  <c r="F313" i="5"/>
  <c r="J313" i="5" s="1"/>
  <c r="F314" i="5"/>
  <c r="J314" i="5" s="1"/>
  <c r="F315" i="5"/>
  <c r="J315" i="5" s="1"/>
  <c r="F316" i="5"/>
  <c r="J316" i="5" s="1"/>
  <c r="F317" i="5"/>
  <c r="J317" i="5" s="1"/>
  <c r="F318" i="5"/>
  <c r="J318" i="5" s="1"/>
  <c r="F319" i="5"/>
  <c r="J319" i="5" s="1"/>
  <c r="F320" i="5"/>
  <c r="J320" i="5" s="1"/>
  <c r="F321" i="5"/>
  <c r="J321" i="5" s="1"/>
  <c r="F322" i="5"/>
  <c r="J322" i="5" s="1"/>
  <c r="F323" i="5"/>
  <c r="J323" i="5" s="1"/>
  <c r="F324" i="5"/>
  <c r="J324" i="5" s="1"/>
  <c r="F325" i="5"/>
  <c r="J325" i="5" s="1"/>
  <c r="F326" i="5"/>
  <c r="J326" i="5" s="1"/>
  <c r="F327" i="5"/>
  <c r="J327" i="5" s="1"/>
  <c r="F328" i="5"/>
  <c r="J328" i="5" s="1"/>
  <c r="F329" i="5"/>
  <c r="J329" i="5" s="1"/>
  <c r="F330" i="5"/>
  <c r="J330" i="5" s="1"/>
  <c r="F331" i="5"/>
  <c r="J331" i="5" s="1"/>
  <c r="F332" i="5"/>
  <c r="J332" i="5" s="1"/>
  <c r="F333" i="5"/>
  <c r="J333" i="5" s="1"/>
  <c r="F334" i="5"/>
  <c r="J334" i="5" s="1"/>
  <c r="F335" i="5"/>
  <c r="J335" i="5" s="1"/>
  <c r="F336" i="5"/>
  <c r="J336" i="5" s="1"/>
  <c r="F337" i="5"/>
  <c r="J337" i="5" s="1"/>
  <c r="F338" i="5"/>
  <c r="J338" i="5" s="1"/>
  <c r="F339" i="5"/>
  <c r="J339" i="5" s="1"/>
  <c r="F340" i="5"/>
  <c r="J340" i="5" s="1"/>
  <c r="F341" i="5"/>
  <c r="J341" i="5" s="1"/>
  <c r="F342" i="5"/>
  <c r="J342" i="5" s="1"/>
  <c r="F343" i="5"/>
  <c r="J343" i="5" s="1"/>
  <c r="F344" i="5"/>
  <c r="J344" i="5" s="1"/>
  <c r="F345" i="5"/>
  <c r="J345" i="5" s="1"/>
  <c r="F346" i="5"/>
  <c r="J346" i="5" s="1"/>
  <c r="F347" i="5"/>
  <c r="J347" i="5" s="1"/>
  <c r="F348" i="5"/>
  <c r="J348" i="5" s="1"/>
  <c r="F349" i="5"/>
  <c r="J349" i="5" s="1"/>
  <c r="F350" i="5"/>
  <c r="J350" i="5" s="1"/>
  <c r="F351" i="5"/>
  <c r="J351" i="5" s="1"/>
  <c r="F352" i="5"/>
  <c r="J352" i="5" s="1"/>
  <c r="F353" i="5"/>
  <c r="J353" i="5" s="1"/>
  <c r="F354" i="5"/>
  <c r="J354" i="5" s="1"/>
  <c r="F355" i="5"/>
  <c r="J355" i="5" s="1"/>
  <c r="F356" i="5"/>
  <c r="J356" i="5" s="1"/>
  <c r="F357" i="5"/>
  <c r="J357" i="5" s="1"/>
  <c r="F358" i="5"/>
  <c r="J358" i="5" s="1"/>
  <c r="F359" i="5"/>
  <c r="J359" i="5" s="1"/>
  <c r="F360" i="5"/>
  <c r="J360" i="5" s="1"/>
  <c r="F361" i="5"/>
  <c r="J361" i="5" s="1"/>
  <c r="F362" i="5"/>
  <c r="J362" i="5" s="1"/>
  <c r="F363" i="5"/>
  <c r="J363" i="5" s="1"/>
  <c r="F364" i="5"/>
  <c r="J364" i="5" s="1"/>
  <c r="F365" i="5"/>
  <c r="J365" i="5" s="1"/>
  <c r="F366" i="5"/>
  <c r="J366" i="5" s="1"/>
  <c r="F367" i="5"/>
  <c r="J367" i="5" s="1"/>
  <c r="F368" i="5"/>
  <c r="J368" i="5" s="1"/>
  <c r="F369" i="5"/>
  <c r="J369" i="5" s="1"/>
  <c r="F370" i="5"/>
  <c r="J370" i="5" s="1"/>
  <c r="F371" i="5"/>
  <c r="J371" i="5" s="1"/>
  <c r="F372" i="5"/>
  <c r="J372" i="5" s="1"/>
  <c r="F373" i="5"/>
  <c r="J373" i="5" s="1"/>
  <c r="F374" i="5"/>
  <c r="J374" i="5" s="1"/>
  <c r="F375" i="5"/>
  <c r="J375" i="5" s="1"/>
  <c r="F376" i="5"/>
  <c r="J376" i="5" s="1"/>
  <c r="F377" i="5"/>
  <c r="J377" i="5" s="1"/>
  <c r="F378" i="5"/>
  <c r="J378" i="5" s="1"/>
  <c r="F379" i="5"/>
  <c r="F380" i="5"/>
  <c r="J380" i="5" s="1"/>
  <c r="F381" i="5"/>
  <c r="J381" i="5" s="1"/>
  <c r="F382" i="5"/>
  <c r="J382" i="5" s="1"/>
  <c r="F383" i="5"/>
  <c r="J383" i="5" s="1"/>
  <c r="F384" i="5"/>
  <c r="J384" i="5" s="1"/>
  <c r="F385" i="5"/>
  <c r="J385" i="5" s="1"/>
  <c r="F386" i="5"/>
  <c r="J386" i="5" s="1"/>
  <c r="F387" i="5"/>
  <c r="J387" i="5" s="1"/>
  <c r="F388" i="5"/>
  <c r="J388" i="5" s="1"/>
  <c r="F389" i="5"/>
  <c r="J389" i="5" s="1"/>
  <c r="F390" i="5"/>
  <c r="J390" i="5" s="1"/>
  <c r="F391" i="5"/>
  <c r="F392" i="5"/>
  <c r="J392" i="5" s="1"/>
  <c r="F393" i="5"/>
  <c r="J393" i="5" s="1"/>
  <c r="F394" i="5"/>
  <c r="J394" i="5" s="1"/>
  <c r="F395" i="5"/>
  <c r="F396" i="5"/>
  <c r="J396" i="5" s="1"/>
  <c r="F397" i="5"/>
  <c r="J397" i="5" s="1"/>
  <c r="F398" i="5"/>
  <c r="J398" i="5" s="1"/>
  <c r="F399" i="5"/>
  <c r="J399" i="5" s="1"/>
  <c r="F400" i="5"/>
  <c r="J400" i="5" s="1"/>
  <c r="F401" i="5"/>
  <c r="J401" i="5" s="1"/>
  <c r="F402" i="5"/>
  <c r="J402" i="5" s="1"/>
  <c r="F403" i="5"/>
  <c r="J403" i="5" s="1"/>
  <c r="F404" i="5"/>
  <c r="J404" i="5" s="1"/>
  <c r="F405" i="5"/>
  <c r="J405" i="5" s="1"/>
  <c r="F406" i="5"/>
  <c r="J406" i="5" s="1"/>
  <c r="F407" i="5"/>
  <c r="J407" i="5" s="1"/>
  <c r="F408" i="5"/>
  <c r="J408" i="5" s="1"/>
  <c r="F409" i="5"/>
  <c r="J409" i="5" s="1"/>
  <c r="F410" i="5"/>
  <c r="J410" i="5" s="1"/>
  <c r="F411" i="5"/>
  <c r="J411" i="5" s="1"/>
  <c r="F412" i="5"/>
  <c r="F413" i="5"/>
  <c r="J413" i="5" s="1"/>
  <c r="F414" i="5"/>
  <c r="J414" i="5" s="1"/>
  <c r="F415" i="5"/>
  <c r="J415" i="5" s="1"/>
  <c r="F416" i="5"/>
  <c r="J416" i="5" s="1"/>
  <c r="F417" i="5"/>
  <c r="J417" i="5" s="1"/>
  <c r="F418" i="5"/>
  <c r="J418" i="5" s="1"/>
  <c r="F419" i="5"/>
  <c r="F420" i="5"/>
  <c r="F421" i="5"/>
  <c r="J421" i="5" s="1"/>
  <c r="F422" i="5"/>
  <c r="J422" i="5" s="1"/>
  <c r="F423" i="5"/>
  <c r="J423" i="5" s="1"/>
  <c r="F424" i="5"/>
  <c r="J424" i="5" s="1"/>
  <c r="F425" i="5"/>
  <c r="J425" i="5" s="1"/>
  <c r="F426" i="5"/>
  <c r="F427" i="5"/>
  <c r="J427" i="5" s="1"/>
  <c r="F428" i="5"/>
  <c r="J428" i="5" s="1"/>
  <c r="F429" i="5"/>
  <c r="J429" i="5" s="1"/>
  <c r="F430" i="5"/>
  <c r="F431" i="5"/>
  <c r="J431" i="5" s="1"/>
  <c r="F432" i="5"/>
  <c r="J432" i="5" s="1"/>
  <c r="F433" i="5"/>
  <c r="J433" i="5" s="1"/>
  <c r="F434" i="5"/>
  <c r="F435" i="5"/>
  <c r="J435" i="5" s="1"/>
  <c r="F436" i="5"/>
  <c r="F437" i="5"/>
  <c r="J437" i="5" s="1"/>
  <c r="F438" i="5"/>
  <c r="J438" i="5" s="1"/>
  <c r="F439" i="5"/>
  <c r="J439" i="5" s="1"/>
  <c r="F440" i="5"/>
  <c r="F441" i="5"/>
  <c r="J441" i="5" s="1"/>
  <c r="F442" i="5"/>
  <c r="J442" i="5" s="1"/>
  <c r="F443" i="5"/>
  <c r="J443" i="5" s="1"/>
  <c r="F444" i="5"/>
  <c r="F445" i="5"/>
  <c r="J445" i="5" s="1"/>
  <c r="F446" i="5"/>
  <c r="J446" i="5" s="1"/>
  <c r="F447" i="5"/>
  <c r="J447" i="5" s="1"/>
  <c r="F448" i="5"/>
  <c r="J448" i="5" s="1"/>
  <c r="F449" i="5"/>
  <c r="J449" i="5" s="1"/>
  <c r="F450" i="5"/>
  <c r="J450" i="5" s="1"/>
  <c r="F451" i="5"/>
  <c r="J451" i="5" s="1"/>
  <c r="F452" i="5"/>
  <c r="J452" i="5" s="1"/>
  <c r="F453" i="5"/>
  <c r="J453" i="5" s="1"/>
  <c r="F454" i="5"/>
  <c r="J454" i="5" s="1"/>
  <c r="F455" i="5"/>
  <c r="J455" i="5" s="1"/>
  <c r="F456" i="5"/>
  <c r="J456" i="5" s="1"/>
  <c r="F457" i="5"/>
  <c r="J457" i="5" s="1"/>
  <c r="F458" i="5"/>
  <c r="J458" i="5" s="1"/>
  <c r="F459" i="5"/>
  <c r="J459" i="5" s="1"/>
  <c r="F460" i="5"/>
  <c r="J460" i="5" s="1"/>
  <c r="F461" i="5"/>
  <c r="J461" i="5" s="1"/>
  <c r="F462" i="5"/>
  <c r="J462" i="5" s="1"/>
  <c r="F463" i="5"/>
  <c r="J463" i="5" s="1"/>
  <c r="F464" i="5"/>
  <c r="F465" i="5"/>
  <c r="J465" i="5" s="1"/>
  <c r="F466" i="5"/>
  <c r="J466" i="5" s="1"/>
  <c r="F467" i="5"/>
  <c r="J467" i="5" s="1"/>
  <c r="F468" i="5"/>
  <c r="J468" i="5" s="1"/>
  <c r="F469" i="5"/>
  <c r="J469" i="5" s="1"/>
  <c r="F470" i="5"/>
  <c r="J470" i="5" s="1"/>
  <c r="F471" i="5"/>
  <c r="J471" i="5" s="1"/>
  <c r="F472" i="5"/>
  <c r="J472" i="5" s="1"/>
  <c r="I3" i="1"/>
  <c r="O395" i="5" l="1"/>
  <c r="P395" i="5" s="1"/>
  <c r="L395" i="5"/>
  <c r="M395" i="5" s="1"/>
  <c r="O20" i="5"/>
  <c r="P20" i="5" s="1"/>
  <c r="M20" i="5"/>
  <c r="O419" i="5"/>
  <c r="P419" i="5" s="1"/>
  <c r="L419" i="5"/>
  <c r="M419" i="5" s="1"/>
  <c r="O203" i="5"/>
  <c r="P203" i="5" s="1"/>
  <c r="L203" i="5"/>
  <c r="M203" i="5" s="1"/>
  <c r="O191" i="5"/>
  <c r="P191" i="5" s="1"/>
  <c r="L191" i="5"/>
  <c r="M191" i="5" s="1"/>
  <c r="O179" i="5"/>
  <c r="P179" i="5" s="1"/>
  <c r="L179" i="5"/>
  <c r="M179" i="5" s="1"/>
  <c r="O143" i="5"/>
  <c r="P143" i="5" s="1"/>
  <c r="L143" i="5"/>
  <c r="M143" i="5" s="1"/>
  <c r="O130" i="5"/>
  <c r="P130" i="5" s="1"/>
  <c r="L130" i="5"/>
  <c r="M130" i="5" s="1"/>
  <c r="O118" i="5"/>
  <c r="P118" i="5" s="1"/>
  <c r="L118" i="5"/>
  <c r="M118" i="5" s="1"/>
  <c r="O106" i="5"/>
  <c r="P106" i="5" s="1"/>
  <c r="L106" i="5"/>
  <c r="M106" i="5" s="1"/>
  <c r="O92" i="5"/>
  <c r="P92" i="5" s="1"/>
  <c r="L92" i="5"/>
  <c r="M92" i="5" s="1"/>
  <c r="L80" i="5"/>
  <c r="M80" i="5" s="1"/>
  <c r="O80" i="5"/>
  <c r="P80" i="5" s="1"/>
  <c r="O68" i="5"/>
  <c r="P68" i="5" s="1"/>
  <c r="L68" i="5"/>
  <c r="M68" i="5" s="1"/>
  <c r="L55" i="5"/>
  <c r="M55" i="5" s="1"/>
  <c r="O55" i="5"/>
  <c r="P55" i="5" s="1"/>
  <c r="L43" i="5"/>
  <c r="M43" i="5" s="1"/>
  <c r="O43" i="5"/>
  <c r="P43" i="5" s="1"/>
  <c r="L31" i="5"/>
  <c r="M31" i="5" s="1"/>
  <c r="O31" i="5"/>
  <c r="P31" i="5" s="1"/>
  <c r="O371" i="5"/>
  <c r="P371" i="5" s="1"/>
  <c r="L371" i="5"/>
  <c r="M371" i="5" s="1"/>
  <c r="O54" i="5"/>
  <c r="P54" i="5" s="1"/>
  <c r="M54" i="5"/>
  <c r="L42" i="5"/>
  <c r="M42" i="5" s="1"/>
  <c r="O42" i="5"/>
  <c r="P42" i="5" s="1"/>
  <c r="L30" i="5"/>
  <c r="M30" i="5" s="1"/>
  <c r="O30" i="5"/>
  <c r="P30" i="5" s="1"/>
  <c r="O366" i="5"/>
  <c r="P366" i="5" s="1"/>
  <c r="L366" i="5"/>
  <c r="M366" i="5" s="1"/>
  <c r="O354" i="5"/>
  <c r="P354" i="5" s="1"/>
  <c r="L354" i="5"/>
  <c r="M354" i="5" s="1"/>
  <c r="O342" i="5"/>
  <c r="P342" i="5" s="1"/>
  <c r="L342" i="5"/>
  <c r="M342" i="5" s="1"/>
  <c r="L306" i="5"/>
  <c r="M306" i="5" s="1"/>
  <c r="O306" i="5"/>
  <c r="P306" i="5" s="1"/>
  <c r="O282" i="5"/>
  <c r="P282" i="5" s="1"/>
  <c r="L282" i="5"/>
  <c r="M282" i="5" s="1"/>
  <c r="O270" i="5"/>
  <c r="P270" i="5" s="1"/>
  <c r="L270" i="5"/>
  <c r="M270" i="5" s="1"/>
  <c r="O258" i="5"/>
  <c r="P258" i="5" s="1"/>
  <c r="L258" i="5"/>
  <c r="M258" i="5" s="1"/>
  <c r="O246" i="5"/>
  <c r="P246" i="5" s="1"/>
  <c r="L246" i="5"/>
  <c r="M246" i="5" s="1"/>
  <c r="O229" i="5"/>
  <c r="P229" i="5" s="1"/>
  <c r="L229" i="5"/>
  <c r="M229" i="5" s="1"/>
  <c r="L217" i="5"/>
  <c r="M217" i="5" s="1"/>
  <c r="O217" i="5"/>
  <c r="P217" i="5" s="1"/>
  <c r="O201" i="5"/>
  <c r="P201" i="5" s="1"/>
  <c r="L201" i="5"/>
  <c r="M201" i="5" s="1"/>
  <c r="O177" i="5"/>
  <c r="P177" i="5" s="1"/>
  <c r="L177" i="5"/>
  <c r="M177" i="5" s="1"/>
  <c r="O165" i="5"/>
  <c r="P165" i="5" s="1"/>
  <c r="L165" i="5"/>
  <c r="M165" i="5" s="1"/>
  <c r="O153" i="5"/>
  <c r="P153" i="5" s="1"/>
  <c r="L153" i="5"/>
  <c r="M153" i="5" s="1"/>
  <c r="O141" i="5"/>
  <c r="P141" i="5" s="1"/>
  <c r="L141" i="5"/>
  <c r="M141" i="5" s="1"/>
  <c r="O128" i="5"/>
  <c r="P128" i="5" s="1"/>
  <c r="L128" i="5"/>
  <c r="M128" i="5" s="1"/>
  <c r="O116" i="5"/>
  <c r="P116" i="5" s="1"/>
  <c r="L116" i="5"/>
  <c r="M116" i="5" s="1"/>
  <c r="O104" i="5"/>
  <c r="P104" i="5" s="1"/>
  <c r="L104" i="5"/>
  <c r="M104" i="5" s="1"/>
  <c r="O90" i="5"/>
  <c r="P90" i="5" s="1"/>
  <c r="L90" i="5"/>
  <c r="M90" i="5" s="1"/>
  <c r="O78" i="5"/>
  <c r="P78" i="5" s="1"/>
  <c r="L78" i="5"/>
  <c r="M78" i="5" s="1"/>
  <c r="O66" i="5"/>
  <c r="P66" i="5" s="1"/>
  <c r="L66" i="5"/>
  <c r="M66" i="5" s="1"/>
  <c r="L53" i="5"/>
  <c r="M53" i="5" s="1"/>
  <c r="O53" i="5"/>
  <c r="P53" i="5" s="1"/>
  <c r="L41" i="5"/>
  <c r="M41" i="5" s="1"/>
  <c r="O41" i="5"/>
  <c r="P41" i="5" s="1"/>
  <c r="L29" i="5"/>
  <c r="M29" i="5" s="1"/>
  <c r="O29" i="5"/>
  <c r="P29" i="5" s="1"/>
  <c r="O389" i="5"/>
  <c r="P389" i="5" s="1"/>
  <c r="L389" i="5"/>
  <c r="M389" i="5" s="1"/>
  <c r="O377" i="5"/>
  <c r="P377" i="5" s="1"/>
  <c r="L377" i="5"/>
  <c r="M377" i="5" s="1"/>
  <c r="L329" i="5"/>
  <c r="M329" i="5" s="1"/>
  <c r="O329" i="5"/>
  <c r="P329" i="5" s="1"/>
  <c r="O317" i="5"/>
  <c r="P317" i="5" s="1"/>
  <c r="L317" i="5"/>
  <c r="M317" i="5" s="1"/>
  <c r="O293" i="5"/>
  <c r="P293" i="5" s="1"/>
  <c r="L293" i="5"/>
  <c r="M293" i="5" s="1"/>
  <c r="O281" i="5"/>
  <c r="P281" i="5" s="1"/>
  <c r="L281" i="5"/>
  <c r="M281" i="5" s="1"/>
  <c r="O269" i="5"/>
  <c r="P269" i="5" s="1"/>
  <c r="L269" i="5"/>
  <c r="M269" i="5" s="1"/>
  <c r="O257" i="5"/>
  <c r="P257" i="5" s="1"/>
  <c r="L257" i="5"/>
  <c r="M257" i="5" s="1"/>
  <c r="O228" i="5"/>
  <c r="P228" i="5" s="1"/>
  <c r="L228" i="5"/>
  <c r="M228" i="5" s="1"/>
  <c r="O200" i="5"/>
  <c r="P200" i="5" s="1"/>
  <c r="L200" i="5"/>
  <c r="M200" i="5" s="1"/>
  <c r="O188" i="5"/>
  <c r="P188" i="5" s="1"/>
  <c r="L188" i="5"/>
  <c r="M188" i="5" s="1"/>
  <c r="O176" i="5"/>
  <c r="P176" i="5" s="1"/>
  <c r="L176" i="5"/>
  <c r="M176" i="5" s="1"/>
  <c r="O140" i="5"/>
  <c r="P140" i="5" s="1"/>
  <c r="L140" i="5"/>
  <c r="M140" i="5" s="1"/>
  <c r="O127" i="5"/>
  <c r="P127" i="5" s="1"/>
  <c r="L127" i="5"/>
  <c r="M127" i="5" s="1"/>
  <c r="L115" i="5"/>
  <c r="M115" i="5" s="1"/>
  <c r="O115" i="5"/>
  <c r="P115" i="5" s="1"/>
  <c r="O103" i="5"/>
  <c r="P103" i="5" s="1"/>
  <c r="L103" i="5"/>
  <c r="M103" i="5" s="1"/>
  <c r="O89" i="5"/>
  <c r="P89" i="5" s="1"/>
  <c r="L89" i="5"/>
  <c r="M89" i="5" s="1"/>
  <c r="O77" i="5"/>
  <c r="P77" i="5" s="1"/>
  <c r="L77" i="5"/>
  <c r="M77" i="5" s="1"/>
  <c r="O65" i="5"/>
  <c r="P65" i="5" s="1"/>
  <c r="L65" i="5"/>
  <c r="M65" i="5" s="1"/>
  <c r="L52" i="5"/>
  <c r="M52" i="5" s="1"/>
  <c r="O52" i="5"/>
  <c r="P52" i="5" s="1"/>
  <c r="L40" i="5"/>
  <c r="M40" i="5" s="1"/>
  <c r="O40" i="5"/>
  <c r="P40" i="5" s="1"/>
  <c r="L28" i="5"/>
  <c r="M28" i="5" s="1"/>
  <c r="O28" i="5"/>
  <c r="P28" i="5" s="1"/>
  <c r="O412" i="5"/>
  <c r="P412" i="5" s="1"/>
  <c r="L412" i="5"/>
  <c r="M412" i="5" s="1"/>
  <c r="O400" i="5"/>
  <c r="P400" i="5" s="1"/>
  <c r="L400" i="5"/>
  <c r="M400" i="5" s="1"/>
  <c r="O364" i="5"/>
  <c r="P364" i="5" s="1"/>
  <c r="L364" i="5"/>
  <c r="M364" i="5" s="1"/>
  <c r="O352" i="5"/>
  <c r="P352" i="5" s="1"/>
  <c r="L352" i="5"/>
  <c r="M352" i="5" s="1"/>
  <c r="O340" i="5"/>
  <c r="P340" i="5" s="1"/>
  <c r="L340" i="5"/>
  <c r="M340" i="5" s="1"/>
  <c r="O304" i="5"/>
  <c r="P304" i="5" s="1"/>
  <c r="L304" i="5"/>
  <c r="M304" i="5" s="1"/>
  <c r="O268" i="5"/>
  <c r="P268" i="5" s="1"/>
  <c r="L268" i="5"/>
  <c r="M268" i="5" s="1"/>
  <c r="O244" i="5"/>
  <c r="P244" i="5" s="1"/>
  <c r="L244" i="5"/>
  <c r="M244" i="5" s="1"/>
  <c r="L215" i="5"/>
  <c r="M215" i="5" s="1"/>
  <c r="O215" i="5"/>
  <c r="P215" i="5" s="1"/>
  <c r="O187" i="5"/>
  <c r="P187" i="5" s="1"/>
  <c r="L187" i="5"/>
  <c r="M187" i="5" s="1"/>
  <c r="O163" i="5"/>
  <c r="P163" i="5" s="1"/>
  <c r="L163" i="5"/>
  <c r="M163" i="5" s="1"/>
  <c r="L151" i="5"/>
  <c r="M151" i="5" s="1"/>
  <c r="O151" i="5"/>
  <c r="P151" i="5" s="1"/>
  <c r="O139" i="5"/>
  <c r="P139" i="5" s="1"/>
  <c r="L139" i="5"/>
  <c r="M139" i="5" s="1"/>
  <c r="O126" i="5"/>
  <c r="P126" i="5" s="1"/>
  <c r="L126" i="5"/>
  <c r="M126" i="5" s="1"/>
  <c r="O114" i="5"/>
  <c r="P114" i="5" s="1"/>
  <c r="L114" i="5"/>
  <c r="M114" i="5" s="1"/>
  <c r="L102" i="5"/>
  <c r="M102" i="5" s="1"/>
  <c r="O102" i="5"/>
  <c r="P102" i="5" s="1"/>
  <c r="O64" i="5"/>
  <c r="P64" i="5" s="1"/>
  <c r="L64" i="5"/>
  <c r="M64" i="5" s="1"/>
  <c r="L51" i="5"/>
  <c r="M51" i="5" s="1"/>
  <c r="O51" i="5"/>
  <c r="P51" i="5" s="1"/>
  <c r="L39" i="5"/>
  <c r="M39" i="5" s="1"/>
  <c r="O39" i="5"/>
  <c r="P39" i="5" s="1"/>
  <c r="L27" i="5"/>
  <c r="M27" i="5" s="1"/>
  <c r="O27" i="5"/>
  <c r="P27" i="5" s="1"/>
  <c r="O399" i="5"/>
  <c r="P399" i="5" s="1"/>
  <c r="L399" i="5"/>
  <c r="M399" i="5" s="1"/>
  <c r="O387" i="5"/>
  <c r="P387" i="5" s="1"/>
  <c r="L387" i="5"/>
  <c r="M387" i="5" s="1"/>
  <c r="O375" i="5"/>
  <c r="P375" i="5" s="1"/>
  <c r="L375" i="5"/>
  <c r="M375" i="5" s="1"/>
  <c r="O339" i="5"/>
  <c r="P339" i="5" s="1"/>
  <c r="L339" i="5"/>
  <c r="M339" i="5" s="1"/>
  <c r="O327" i="5"/>
  <c r="P327" i="5" s="1"/>
  <c r="L327" i="5"/>
  <c r="M327" i="5" s="1"/>
  <c r="O315" i="5"/>
  <c r="P315" i="5" s="1"/>
  <c r="L315" i="5"/>
  <c r="M315" i="5" s="1"/>
  <c r="O291" i="5"/>
  <c r="P291" i="5" s="1"/>
  <c r="L291" i="5"/>
  <c r="M291" i="5" s="1"/>
  <c r="O279" i="5"/>
  <c r="P279" i="5" s="1"/>
  <c r="L279" i="5"/>
  <c r="M279" i="5" s="1"/>
  <c r="O267" i="5"/>
  <c r="P267" i="5" s="1"/>
  <c r="L267" i="5"/>
  <c r="M267" i="5" s="1"/>
  <c r="O255" i="5"/>
  <c r="P255" i="5" s="1"/>
  <c r="L255" i="5"/>
  <c r="M255" i="5" s="1"/>
  <c r="O241" i="5"/>
  <c r="P241" i="5" s="1"/>
  <c r="L241" i="5"/>
  <c r="M241" i="5" s="1"/>
  <c r="O226" i="5"/>
  <c r="P226" i="5" s="1"/>
  <c r="L226" i="5"/>
  <c r="M226" i="5" s="1"/>
  <c r="O198" i="5"/>
  <c r="P198" i="5" s="1"/>
  <c r="L198" i="5"/>
  <c r="M198" i="5" s="1"/>
  <c r="O186" i="5"/>
  <c r="P186" i="5" s="1"/>
  <c r="L186" i="5"/>
  <c r="M186" i="5" s="1"/>
  <c r="O174" i="5"/>
  <c r="P174" i="5" s="1"/>
  <c r="L174" i="5"/>
  <c r="M174" i="5" s="1"/>
  <c r="O150" i="5"/>
  <c r="P150" i="5" s="1"/>
  <c r="L150" i="5"/>
  <c r="M150" i="5" s="1"/>
  <c r="O138" i="5"/>
  <c r="P138" i="5" s="1"/>
  <c r="L138" i="5"/>
  <c r="M138" i="5" s="1"/>
  <c r="O113" i="5"/>
  <c r="P113" i="5" s="1"/>
  <c r="L113" i="5"/>
  <c r="M113" i="5" s="1"/>
  <c r="O101" i="5"/>
  <c r="P101" i="5" s="1"/>
  <c r="L101" i="5"/>
  <c r="M101" i="5" s="1"/>
  <c r="O87" i="5"/>
  <c r="P87" i="5" s="1"/>
  <c r="L87" i="5"/>
  <c r="M87" i="5" s="1"/>
  <c r="L75" i="5"/>
  <c r="M75" i="5" s="1"/>
  <c r="O75" i="5"/>
  <c r="P75" i="5" s="1"/>
  <c r="O62" i="5"/>
  <c r="P62" i="5" s="1"/>
  <c r="L62" i="5"/>
  <c r="M62" i="5" s="1"/>
  <c r="L50" i="5"/>
  <c r="M50" i="5" s="1"/>
  <c r="O50" i="5"/>
  <c r="P50" i="5" s="1"/>
  <c r="L38" i="5"/>
  <c r="M38" i="5" s="1"/>
  <c r="O38" i="5"/>
  <c r="P38" i="5" s="1"/>
  <c r="L26" i="5"/>
  <c r="M26" i="5" s="1"/>
  <c r="O26" i="5"/>
  <c r="P26" i="5" s="1"/>
  <c r="O74" i="5"/>
  <c r="P74" i="5" s="1"/>
  <c r="M74" i="5"/>
  <c r="O61" i="5"/>
  <c r="P61" i="5" s="1"/>
  <c r="L61" i="5"/>
  <c r="M61" i="5" s="1"/>
  <c r="L49" i="5"/>
  <c r="M49" i="5" s="1"/>
  <c r="O49" i="5"/>
  <c r="P49" i="5" s="1"/>
  <c r="L37" i="5"/>
  <c r="M37" i="5" s="1"/>
  <c r="O37" i="5"/>
  <c r="P37" i="5" s="1"/>
  <c r="L25" i="5"/>
  <c r="M25" i="5" s="1"/>
  <c r="O25" i="5"/>
  <c r="P25" i="5" s="1"/>
  <c r="O335" i="5"/>
  <c r="P335" i="5" s="1"/>
  <c r="L335" i="5"/>
  <c r="M335" i="5" s="1"/>
  <c r="O85" i="5"/>
  <c r="P85" i="5" s="1"/>
  <c r="M85" i="5"/>
  <c r="O73" i="5"/>
  <c r="P73" i="5" s="1"/>
  <c r="L73" i="5"/>
  <c r="M73" i="5" s="1"/>
  <c r="O60" i="5"/>
  <c r="P60" i="5" s="1"/>
  <c r="L60" i="5"/>
  <c r="M60" i="5" s="1"/>
  <c r="L48" i="5"/>
  <c r="M48" i="5" s="1"/>
  <c r="O48" i="5"/>
  <c r="P48" i="5" s="1"/>
  <c r="L36" i="5"/>
  <c r="M36" i="5" s="1"/>
  <c r="O36" i="5"/>
  <c r="P36" i="5" s="1"/>
  <c r="L24" i="5"/>
  <c r="M24" i="5" s="1"/>
  <c r="O24" i="5"/>
  <c r="P24" i="5" s="1"/>
  <c r="O287" i="5"/>
  <c r="P287" i="5" s="1"/>
  <c r="L287" i="5"/>
  <c r="M287" i="5" s="1"/>
  <c r="O275" i="5"/>
  <c r="P275" i="5" s="1"/>
  <c r="L275" i="5"/>
  <c r="M275" i="5" s="1"/>
  <c r="O263" i="5"/>
  <c r="P263" i="5" s="1"/>
  <c r="L263" i="5"/>
  <c r="M263" i="5" s="1"/>
  <c r="O251" i="5"/>
  <c r="P251" i="5" s="1"/>
  <c r="L251" i="5"/>
  <c r="M251" i="5" s="1"/>
  <c r="O206" i="5"/>
  <c r="P206" i="5" s="1"/>
  <c r="L206" i="5"/>
  <c r="M206" i="5" s="1"/>
  <c r="O194" i="5"/>
  <c r="P194" i="5" s="1"/>
  <c r="L194" i="5"/>
  <c r="M194" i="5" s="1"/>
  <c r="O182" i="5"/>
  <c r="P182" i="5" s="1"/>
  <c r="L182" i="5"/>
  <c r="M182" i="5" s="1"/>
  <c r="O158" i="5"/>
  <c r="P158" i="5" s="1"/>
  <c r="L158" i="5"/>
  <c r="M158" i="5" s="1"/>
  <c r="O146" i="5"/>
  <c r="P146" i="5" s="1"/>
  <c r="L146" i="5"/>
  <c r="M146" i="5" s="1"/>
  <c r="O466" i="5"/>
  <c r="P466" i="5" s="1"/>
  <c r="L466" i="5"/>
  <c r="M466" i="5" s="1"/>
  <c r="O454" i="5"/>
  <c r="P454" i="5" s="1"/>
  <c r="L454" i="5"/>
  <c r="M454" i="5" s="1"/>
  <c r="O442" i="5"/>
  <c r="P442" i="5" s="1"/>
  <c r="L442" i="5"/>
  <c r="M442" i="5" s="1"/>
  <c r="L430" i="5"/>
  <c r="M430" i="5" s="1"/>
  <c r="O430" i="5"/>
  <c r="P430" i="5" s="1"/>
  <c r="O406" i="5"/>
  <c r="P406" i="5" s="1"/>
  <c r="L406" i="5"/>
  <c r="M406" i="5" s="1"/>
  <c r="O358" i="5"/>
  <c r="P358" i="5" s="1"/>
  <c r="L358" i="5"/>
  <c r="M358" i="5" s="1"/>
  <c r="O346" i="5"/>
  <c r="P346" i="5" s="1"/>
  <c r="L346" i="5"/>
  <c r="M346" i="5" s="1"/>
  <c r="O310" i="5"/>
  <c r="P310" i="5" s="1"/>
  <c r="L310" i="5"/>
  <c r="M310" i="5" s="1"/>
  <c r="O298" i="5"/>
  <c r="P298" i="5" s="1"/>
  <c r="L298" i="5"/>
  <c r="M298" i="5" s="1"/>
  <c r="O286" i="5"/>
  <c r="P286" i="5" s="1"/>
  <c r="L286" i="5"/>
  <c r="M286" i="5" s="1"/>
  <c r="O274" i="5"/>
  <c r="P274" i="5" s="1"/>
  <c r="L274" i="5"/>
  <c r="M274" i="5" s="1"/>
  <c r="O233" i="5"/>
  <c r="P233" i="5" s="1"/>
  <c r="L233" i="5"/>
  <c r="M233" i="5" s="1"/>
  <c r="O221" i="5"/>
  <c r="P221" i="5" s="1"/>
  <c r="L221" i="5"/>
  <c r="M221" i="5" s="1"/>
  <c r="O181" i="5"/>
  <c r="P181" i="5" s="1"/>
  <c r="L181" i="5"/>
  <c r="M181" i="5" s="1"/>
  <c r="L169" i="5"/>
  <c r="M169" i="5" s="1"/>
  <c r="O169" i="5"/>
  <c r="P169" i="5" s="1"/>
  <c r="O157" i="5"/>
  <c r="P157" i="5" s="1"/>
  <c r="L157" i="5"/>
  <c r="M157" i="5" s="1"/>
  <c r="O133" i="5"/>
  <c r="P133" i="5" s="1"/>
  <c r="L133" i="5"/>
  <c r="M133" i="5" s="1"/>
  <c r="O417" i="5"/>
  <c r="P417" i="5" s="1"/>
  <c r="L417" i="5"/>
  <c r="M417" i="5" s="1"/>
  <c r="O393" i="5"/>
  <c r="P393" i="5" s="1"/>
  <c r="L393" i="5"/>
  <c r="M393" i="5" s="1"/>
  <c r="O381" i="5"/>
  <c r="P381" i="5" s="1"/>
  <c r="L381" i="5"/>
  <c r="M381" i="5" s="1"/>
  <c r="O369" i="5"/>
  <c r="P369" i="5" s="1"/>
  <c r="L369" i="5"/>
  <c r="M369" i="5" s="1"/>
  <c r="O357" i="5"/>
  <c r="P357" i="5" s="1"/>
  <c r="L357" i="5"/>
  <c r="M357" i="5" s="1"/>
  <c r="O333" i="5"/>
  <c r="P333" i="5" s="1"/>
  <c r="L333" i="5"/>
  <c r="M333" i="5" s="1"/>
  <c r="O321" i="5"/>
  <c r="P321" i="5" s="1"/>
  <c r="L321" i="5"/>
  <c r="M321" i="5" s="1"/>
  <c r="O297" i="5"/>
  <c r="P297" i="5" s="1"/>
  <c r="L297" i="5"/>
  <c r="M297" i="5" s="1"/>
  <c r="O273" i="5"/>
  <c r="P273" i="5" s="1"/>
  <c r="L273" i="5"/>
  <c r="M273" i="5" s="1"/>
  <c r="O261" i="5"/>
  <c r="P261" i="5" s="1"/>
  <c r="L261" i="5"/>
  <c r="M261" i="5" s="1"/>
  <c r="O249" i="5"/>
  <c r="P249" i="5" s="1"/>
  <c r="L249" i="5"/>
  <c r="M249" i="5" s="1"/>
  <c r="O204" i="5"/>
  <c r="P204" i="5" s="1"/>
  <c r="L204" i="5"/>
  <c r="M204" i="5" s="1"/>
  <c r="O192" i="5"/>
  <c r="P192" i="5" s="1"/>
  <c r="L192" i="5"/>
  <c r="M192" i="5" s="1"/>
  <c r="O180" i="5"/>
  <c r="P180" i="5" s="1"/>
  <c r="L180" i="5"/>
  <c r="M180" i="5" s="1"/>
  <c r="L168" i="5"/>
  <c r="M168" i="5" s="1"/>
  <c r="O168" i="5"/>
  <c r="P168" i="5" s="1"/>
  <c r="O156" i="5"/>
  <c r="P156" i="5" s="1"/>
  <c r="L156" i="5"/>
  <c r="M156" i="5" s="1"/>
  <c r="O144" i="5"/>
  <c r="P144" i="5" s="1"/>
  <c r="L144" i="5"/>
  <c r="M144" i="5" s="1"/>
  <c r="O132" i="5"/>
  <c r="P132" i="5" s="1"/>
  <c r="L132" i="5"/>
  <c r="M132" i="5" s="1"/>
  <c r="O119" i="5"/>
  <c r="P119" i="5" s="1"/>
  <c r="L119" i="5"/>
  <c r="M119" i="5" s="1"/>
  <c r="L107" i="5"/>
  <c r="M107" i="5" s="1"/>
  <c r="O107" i="5"/>
  <c r="P107" i="5" s="1"/>
  <c r="O93" i="5"/>
  <c r="P93" i="5" s="1"/>
  <c r="L93" i="5"/>
  <c r="M93" i="5" s="1"/>
  <c r="L81" i="5"/>
  <c r="M81" i="5" s="1"/>
  <c r="O81" i="5"/>
  <c r="P81" i="5" s="1"/>
  <c r="O69" i="5"/>
  <c r="P69" i="5" s="1"/>
  <c r="L69" i="5"/>
  <c r="M69" i="5" s="1"/>
  <c r="O56" i="5"/>
  <c r="P56" i="5" s="1"/>
  <c r="M56" i="5"/>
  <c r="L44" i="5"/>
  <c r="M44" i="5" s="1"/>
  <c r="O44" i="5"/>
  <c r="P44" i="5" s="1"/>
  <c r="L32" i="5"/>
  <c r="M32" i="5" s="1"/>
  <c r="O32" i="5"/>
  <c r="P32" i="5" s="1"/>
  <c r="O464" i="5"/>
  <c r="P464" i="5" s="1"/>
  <c r="L464" i="5"/>
  <c r="M464" i="5" s="1"/>
  <c r="O452" i="5"/>
  <c r="P452" i="5" s="1"/>
  <c r="L452" i="5"/>
  <c r="M452" i="5" s="1"/>
  <c r="O440" i="5"/>
  <c r="P440" i="5" s="1"/>
  <c r="L440" i="5"/>
  <c r="M440" i="5" s="1"/>
  <c r="L428" i="5"/>
  <c r="M428" i="5" s="1"/>
  <c r="O428" i="5"/>
  <c r="P428" i="5" s="1"/>
  <c r="O404" i="5"/>
  <c r="P404" i="5" s="1"/>
  <c r="L404" i="5"/>
  <c r="M404" i="5" s="1"/>
  <c r="O368" i="5"/>
  <c r="P368" i="5" s="1"/>
  <c r="L368" i="5"/>
  <c r="M368" i="5" s="1"/>
  <c r="O356" i="5"/>
  <c r="P356" i="5" s="1"/>
  <c r="L356" i="5"/>
  <c r="M356" i="5" s="1"/>
  <c r="O344" i="5"/>
  <c r="P344" i="5" s="1"/>
  <c r="L344" i="5"/>
  <c r="M344" i="5" s="1"/>
  <c r="O308" i="5"/>
  <c r="P308" i="5" s="1"/>
  <c r="L308" i="5"/>
  <c r="M308" i="5" s="1"/>
  <c r="O296" i="5"/>
  <c r="P296" i="5" s="1"/>
  <c r="L296" i="5"/>
  <c r="M296" i="5" s="1"/>
  <c r="O284" i="5"/>
  <c r="P284" i="5" s="1"/>
  <c r="L284" i="5"/>
  <c r="M284" i="5" s="1"/>
  <c r="O260" i="5"/>
  <c r="P260" i="5" s="1"/>
  <c r="L260" i="5"/>
  <c r="M260" i="5" s="1"/>
  <c r="O231" i="5"/>
  <c r="P231" i="5" s="1"/>
  <c r="L231" i="5"/>
  <c r="M231" i="5" s="1"/>
  <c r="O219" i="5"/>
  <c r="P219" i="5" s="1"/>
  <c r="L219" i="5"/>
  <c r="M219" i="5" s="1"/>
  <c r="O415" i="5"/>
  <c r="P415" i="5" s="1"/>
  <c r="L415" i="5"/>
  <c r="M415" i="5" s="1"/>
  <c r="O391" i="5"/>
  <c r="P391" i="5" s="1"/>
  <c r="L391" i="5"/>
  <c r="M391" i="5" s="1"/>
  <c r="O379" i="5"/>
  <c r="P379" i="5" s="1"/>
  <c r="L379" i="5"/>
  <c r="M379" i="5" s="1"/>
  <c r="L367" i="5"/>
  <c r="M367" i="5" s="1"/>
  <c r="O367" i="5"/>
  <c r="P367" i="5" s="1"/>
  <c r="O355" i="5"/>
  <c r="P355" i="5" s="1"/>
  <c r="L355" i="5"/>
  <c r="M355" i="5" s="1"/>
  <c r="O343" i="5"/>
  <c r="P343" i="5" s="1"/>
  <c r="L343" i="5"/>
  <c r="M343" i="5" s="1"/>
  <c r="O331" i="5"/>
  <c r="P331" i="5" s="1"/>
  <c r="L331" i="5"/>
  <c r="M331" i="5" s="1"/>
  <c r="O319" i="5"/>
  <c r="P319" i="5" s="1"/>
  <c r="L319" i="5"/>
  <c r="M319" i="5" s="1"/>
  <c r="O295" i="5"/>
  <c r="P295" i="5" s="1"/>
  <c r="L295" i="5"/>
  <c r="M295" i="5" s="1"/>
  <c r="O271" i="5"/>
  <c r="P271" i="5" s="1"/>
  <c r="L271" i="5"/>
  <c r="M271" i="5" s="1"/>
  <c r="O247" i="5"/>
  <c r="P247" i="5" s="1"/>
  <c r="L247" i="5"/>
  <c r="M247" i="5" s="1"/>
  <c r="O202" i="5"/>
  <c r="P202" i="5" s="1"/>
  <c r="L202" i="5"/>
  <c r="M202" i="5" s="1"/>
  <c r="O190" i="5"/>
  <c r="P190" i="5" s="1"/>
  <c r="L190" i="5"/>
  <c r="M190" i="5" s="1"/>
  <c r="O178" i="5"/>
  <c r="P178" i="5" s="1"/>
  <c r="L178" i="5"/>
  <c r="M178" i="5" s="1"/>
  <c r="L166" i="5"/>
  <c r="M166" i="5" s="1"/>
  <c r="O166" i="5"/>
  <c r="P166" i="5" s="1"/>
  <c r="O154" i="5"/>
  <c r="P154" i="5" s="1"/>
  <c r="L154" i="5"/>
  <c r="M154" i="5" s="1"/>
  <c r="O142" i="5"/>
  <c r="P142" i="5" s="1"/>
  <c r="L142" i="5"/>
  <c r="M142" i="5" s="1"/>
  <c r="O129" i="5"/>
  <c r="P129" i="5" s="1"/>
  <c r="L129" i="5"/>
  <c r="M129" i="5" s="1"/>
  <c r="O117" i="5"/>
  <c r="P117" i="5" s="1"/>
  <c r="L117" i="5"/>
  <c r="M117" i="5" s="1"/>
  <c r="O105" i="5"/>
  <c r="P105" i="5" s="1"/>
  <c r="L105" i="5"/>
  <c r="M105" i="5" s="1"/>
  <c r="O91" i="5"/>
  <c r="P91" i="5" s="1"/>
  <c r="L91" i="5"/>
  <c r="M91" i="5" s="1"/>
  <c r="O79" i="5"/>
  <c r="P79" i="5" s="1"/>
  <c r="L79" i="5"/>
  <c r="M79" i="5" s="1"/>
  <c r="O67" i="5"/>
  <c r="P67" i="5" s="1"/>
  <c r="L67" i="5"/>
  <c r="M67" i="5" s="1"/>
  <c r="O462" i="5"/>
  <c r="P462" i="5" s="1"/>
  <c r="L462" i="5"/>
  <c r="M462" i="5" s="1"/>
  <c r="O450" i="5"/>
  <c r="P450" i="5" s="1"/>
  <c r="L450" i="5"/>
  <c r="M450" i="5" s="1"/>
  <c r="O438" i="5"/>
  <c r="P438" i="5" s="1"/>
  <c r="L438" i="5"/>
  <c r="M438" i="5" s="1"/>
  <c r="O426" i="5"/>
  <c r="P426" i="5" s="1"/>
  <c r="L426" i="5"/>
  <c r="M426" i="5" s="1"/>
  <c r="O414" i="5"/>
  <c r="P414" i="5" s="1"/>
  <c r="L414" i="5"/>
  <c r="M414" i="5" s="1"/>
  <c r="O402" i="5"/>
  <c r="P402" i="5" s="1"/>
  <c r="L402" i="5"/>
  <c r="M402" i="5" s="1"/>
  <c r="O461" i="5"/>
  <c r="P461" i="5" s="1"/>
  <c r="L461" i="5"/>
  <c r="M461" i="5" s="1"/>
  <c r="O472" i="5"/>
  <c r="P472" i="5" s="1"/>
  <c r="L472" i="5"/>
  <c r="M472" i="5" s="1"/>
  <c r="O448" i="5"/>
  <c r="P448" i="5" s="1"/>
  <c r="L448" i="5"/>
  <c r="M448" i="5" s="1"/>
  <c r="O436" i="5"/>
  <c r="P436" i="5" s="1"/>
  <c r="L436" i="5"/>
  <c r="M436" i="5" s="1"/>
  <c r="O424" i="5"/>
  <c r="P424" i="5" s="1"/>
  <c r="L424" i="5"/>
  <c r="M424" i="5" s="1"/>
  <c r="O459" i="5"/>
  <c r="P459" i="5" s="1"/>
  <c r="L459" i="5"/>
  <c r="M459" i="5" s="1"/>
  <c r="O470" i="5"/>
  <c r="P470" i="5" s="1"/>
  <c r="L470" i="5"/>
  <c r="M470" i="5" s="1"/>
  <c r="O446" i="5"/>
  <c r="P446" i="5" s="1"/>
  <c r="L446" i="5"/>
  <c r="M446" i="5" s="1"/>
  <c r="O434" i="5"/>
  <c r="P434" i="5" s="1"/>
  <c r="L434" i="5"/>
  <c r="M434" i="5" s="1"/>
  <c r="O422" i="5"/>
  <c r="P422" i="5" s="1"/>
  <c r="L422" i="5"/>
  <c r="M422" i="5" s="1"/>
  <c r="O410" i="5"/>
  <c r="P410" i="5" s="1"/>
  <c r="L410" i="5"/>
  <c r="M410" i="5" s="1"/>
  <c r="O398" i="5"/>
  <c r="P398" i="5" s="1"/>
  <c r="L398" i="5"/>
  <c r="M398" i="5" s="1"/>
  <c r="O386" i="5"/>
  <c r="P386" i="5" s="1"/>
  <c r="L386" i="5"/>
  <c r="M386" i="5" s="1"/>
  <c r="O362" i="5"/>
  <c r="P362" i="5" s="1"/>
  <c r="L362" i="5"/>
  <c r="M362" i="5" s="1"/>
  <c r="O350" i="5"/>
  <c r="P350" i="5" s="1"/>
  <c r="L350" i="5"/>
  <c r="M350" i="5" s="1"/>
  <c r="O338" i="5"/>
  <c r="P338" i="5" s="1"/>
  <c r="L338" i="5"/>
  <c r="M338" i="5" s="1"/>
  <c r="O314" i="5"/>
  <c r="P314" i="5" s="1"/>
  <c r="L314" i="5"/>
  <c r="M314" i="5" s="1"/>
  <c r="O302" i="5"/>
  <c r="P302" i="5" s="1"/>
  <c r="L302" i="5"/>
  <c r="M302" i="5" s="1"/>
  <c r="O266" i="5"/>
  <c r="P266" i="5" s="1"/>
  <c r="L266" i="5"/>
  <c r="M266" i="5" s="1"/>
  <c r="O243" i="5"/>
  <c r="P243" i="5" s="1"/>
  <c r="L243" i="5"/>
  <c r="M243" i="5" s="1"/>
  <c r="O209" i="5"/>
  <c r="P209" i="5" s="1"/>
  <c r="L209" i="5"/>
  <c r="M209" i="5" s="1"/>
  <c r="O185" i="5"/>
  <c r="P185" i="5" s="1"/>
  <c r="L185" i="5"/>
  <c r="M185" i="5" s="1"/>
  <c r="O173" i="5"/>
  <c r="P173" i="5" s="1"/>
  <c r="L173" i="5"/>
  <c r="M173" i="5" s="1"/>
  <c r="O161" i="5"/>
  <c r="P161" i="5" s="1"/>
  <c r="L161" i="5"/>
  <c r="M161" i="5" s="1"/>
  <c r="O149" i="5"/>
  <c r="P149" i="5" s="1"/>
  <c r="L149" i="5"/>
  <c r="M149" i="5" s="1"/>
  <c r="O124" i="5"/>
  <c r="P124" i="5" s="1"/>
  <c r="L124" i="5"/>
  <c r="M124" i="5" s="1"/>
  <c r="O112" i="5"/>
  <c r="P112" i="5" s="1"/>
  <c r="L112" i="5"/>
  <c r="M112" i="5" s="1"/>
  <c r="O100" i="5"/>
  <c r="P100" i="5" s="1"/>
  <c r="L100" i="5"/>
  <c r="M100" i="5" s="1"/>
  <c r="O86" i="5"/>
  <c r="P86" i="5" s="1"/>
  <c r="M86" i="5"/>
  <c r="O457" i="5"/>
  <c r="P457" i="5" s="1"/>
  <c r="L457" i="5"/>
  <c r="M457" i="5" s="1"/>
  <c r="O397" i="5"/>
  <c r="P397" i="5" s="1"/>
  <c r="L397" i="5"/>
  <c r="M397" i="5" s="1"/>
  <c r="O385" i="5"/>
  <c r="P385" i="5" s="1"/>
  <c r="L385" i="5"/>
  <c r="M385" i="5" s="1"/>
  <c r="O373" i="5"/>
  <c r="P373" i="5" s="1"/>
  <c r="L373" i="5"/>
  <c r="M373" i="5" s="1"/>
  <c r="O337" i="5"/>
  <c r="P337" i="5" s="1"/>
  <c r="L337" i="5"/>
  <c r="M337" i="5" s="1"/>
  <c r="O325" i="5"/>
  <c r="P325" i="5" s="1"/>
  <c r="L325" i="5"/>
  <c r="M325" i="5" s="1"/>
  <c r="O289" i="5"/>
  <c r="P289" i="5" s="1"/>
  <c r="L289" i="5"/>
  <c r="M289" i="5" s="1"/>
  <c r="O277" i="5"/>
  <c r="P277" i="5" s="1"/>
  <c r="L277" i="5"/>
  <c r="M277" i="5" s="1"/>
  <c r="O265" i="5"/>
  <c r="P265" i="5" s="1"/>
  <c r="L265" i="5"/>
  <c r="M265" i="5" s="1"/>
  <c r="O253" i="5"/>
  <c r="P253" i="5" s="1"/>
  <c r="L253" i="5"/>
  <c r="M253" i="5" s="1"/>
  <c r="O236" i="5"/>
  <c r="P236" i="5" s="1"/>
  <c r="L236" i="5"/>
  <c r="M236" i="5" s="1"/>
  <c r="O224" i="5"/>
  <c r="P224" i="5" s="1"/>
  <c r="L224" i="5"/>
  <c r="M224" i="5" s="1"/>
  <c r="O208" i="5"/>
  <c r="P208" i="5" s="1"/>
  <c r="L208" i="5"/>
  <c r="M208" i="5" s="1"/>
  <c r="O196" i="5"/>
  <c r="P196" i="5" s="1"/>
  <c r="L196" i="5"/>
  <c r="M196" i="5" s="1"/>
  <c r="L184" i="5"/>
  <c r="M184" i="5" s="1"/>
  <c r="O184" i="5"/>
  <c r="P184" i="5" s="1"/>
  <c r="O148" i="5"/>
  <c r="P148" i="5" s="1"/>
  <c r="L148" i="5"/>
  <c r="M148" i="5" s="1"/>
  <c r="O136" i="5"/>
  <c r="P136" i="5" s="1"/>
  <c r="L136" i="5"/>
  <c r="M136" i="5" s="1"/>
  <c r="O99" i="5"/>
  <c r="P99" i="5" s="1"/>
  <c r="L99" i="5"/>
  <c r="M99" i="5" s="1"/>
  <c r="O468" i="5"/>
  <c r="P468" i="5" s="1"/>
  <c r="L468" i="5"/>
  <c r="M468" i="5" s="1"/>
  <c r="O456" i="5"/>
  <c r="P456" i="5" s="1"/>
  <c r="L456" i="5"/>
  <c r="M456" i="5" s="1"/>
  <c r="O444" i="5"/>
  <c r="P444" i="5" s="1"/>
  <c r="L444" i="5"/>
  <c r="M444" i="5" s="1"/>
  <c r="O432" i="5"/>
  <c r="P432" i="5" s="1"/>
  <c r="L432" i="5"/>
  <c r="M432" i="5" s="1"/>
  <c r="O420" i="5"/>
  <c r="P420" i="5" s="1"/>
  <c r="L420" i="5"/>
  <c r="M420" i="5" s="1"/>
  <c r="O408" i="5"/>
  <c r="P408" i="5" s="1"/>
  <c r="L408" i="5"/>
  <c r="M408" i="5" s="1"/>
  <c r="O360" i="5"/>
  <c r="P360" i="5" s="1"/>
  <c r="L360" i="5"/>
  <c r="M360" i="5" s="1"/>
  <c r="O348" i="5"/>
  <c r="P348" i="5" s="1"/>
  <c r="L348" i="5"/>
  <c r="M348" i="5" s="1"/>
  <c r="O312" i="5"/>
  <c r="P312" i="5" s="1"/>
  <c r="L312" i="5"/>
  <c r="M312" i="5" s="1"/>
  <c r="O300" i="5"/>
  <c r="P300" i="5" s="1"/>
  <c r="L300" i="5"/>
  <c r="M300" i="5" s="1"/>
  <c r="O264" i="5"/>
  <c r="P264" i="5" s="1"/>
  <c r="L264" i="5"/>
  <c r="M264" i="5" s="1"/>
  <c r="L252" i="5"/>
  <c r="M252" i="5" s="1"/>
  <c r="O252" i="5"/>
  <c r="P252" i="5" s="1"/>
  <c r="O235" i="5"/>
  <c r="P235" i="5" s="1"/>
  <c r="L235" i="5"/>
  <c r="M235" i="5" s="1"/>
  <c r="O223" i="5"/>
  <c r="P223" i="5" s="1"/>
  <c r="L223" i="5"/>
  <c r="M223" i="5" s="1"/>
  <c r="O207" i="5"/>
  <c r="P207" i="5" s="1"/>
  <c r="L207" i="5"/>
  <c r="M207" i="5" s="1"/>
  <c r="O195" i="5"/>
  <c r="P195" i="5" s="1"/>
  <c r="L195" i="5"/>
  <c r="M195" i="5" s="1"/>
  <c r="O183" i="5"/>
  <c r="P183" i="5" s="1"/>
  <c r="L183" i="5"/>
  <c r="M183" i="5" s="1"/>
  <c r="O171" i="5"/>
  <c r="P171" i="5" s="1"/>
  <c r="L171" i="5"/>
  <c r="M171" i="5" s="1"/>
  <c r="O159" i="5"/>
  <c r="P159" i="5" s="1"/>
  <c r="L159" i="5"/>
  <c r="M159" i="5" s="1"/>
  <c r="O147" i="5"/>
  <c r="P147" i="5" s="1"/>
  <c r="L147" i="5"/>
  <c r="M147" i="5" s="1"/>
  <c r="O135" i="5"/>
  <c r="P135" i="5" s="1"/>
  <c r="L135" i="5"/>
  <c r="M135" i="5" s="1"/>
  <c r="O122" i="5"/>
  <c r="P122" i="5" s="1"/>
  <c r="L122" i="5"/>
  <c r="M122" i="5" s="1"/>
  <c r="L110" i="5"/>
  <c r="M110" i="5" s="1"/>
  <c r="O110" i="5"/>
  <c r="P110" i="5" s="1"/>
  <c r="O97" i="5"/>
  <c r="P97" i="5" s="1"/>
  <c r="L97" i="5"/>
  <c r="M97" i="5" s="1"/>
  <c r="L84" i="5"/>
  <c r="M84" i="5" s="1"/>
  <c r="O84" i="5"/>
  <c r="P84" i="5" s="1"/>
  <c r="O72" i="5"/>
  <c r="P72" i="5" s="1"/>
  <c r="L72" i="5"/>
  <c r="M72" i="5" s="1"/>
  <c r="L47" i="5"/>
  <c r="M47" i="5" s="1"/>
  <c r="O47" i="5"/>
  <c r="P47" i="5" s="1"/>
  <c r="L35" i="5"/>
  <c r="M35" i="5" s="1"/>
  <c r="O35" i="5"/>
  <c r="P35" i="5" s="1"/>
  <c r="L23" i="5"/>
  <c r="M23" i="5" s="1"/>
  <c r="O23" i="5"/>
  <c r="P23" i="5" s="1"/>
  <c r="O383" i="5"/>
  <c r="P383" i="5" s="1"/>
  <c r="L383" i="5"/>
  <c r="M383" i="5" s="1"/>
  <c r="L121" i="5"/>
  <c r="M121" i="5" s="1"/>
  <c r="O121" i="5"/>
  <c r="P121" i="5" s="1"/>
  <c r="O109" i="5"/>
  <c r="P109" i="5" s="1"/>
  <c r="L109" i="5"/>
  <c r="M109" i="5" s="1"/>
  <c r="O83" i="5"/>
  <c r="P83" i="5" s="1"/>
  <c r="L83" i="5"/>
  <c r="M83" i="5" s="1"/>
  <c r="L71" i="5"/>
  <c r="M71" i="5" s="1"/>
  <c r="O71" i="5"/>
  <c r="P71" i="5" s="1"/>
  <c r="L58" i="5"/>
  <c r="M58" i="5" s="1"/>
  <c r="O58" i="5"/>
  <c r="P58" i="5" s="1"/>
  <c r="L46" i="5"/>
  <c r="M46" i="5" s="1"/>
  <c r="O46" i="5"/>
  <c r="P46" i="5" s="1"/>
  <c r="L34" i="5"/>
  <c r="M34" i="5" s="1"/>
  <c r="O34" i="5"/>
  <c r="P34" i="5" s="1"/>
  <c r="L22" i="5"/>
  <c r="M22" i="5" s="1"/>
  <c r="O22" i="5"/>
  <c r="P22" i="5" s="1"/>
  <c r="O323" i="5"/>
  <c r="P323" i="5" s="1"/>
  <c r="L323" i="5"/>
  <c r="M323" i="5" s="1"/>
  <c r="O120" i="5"/>
  <c r="P120" i="5" s="1"/>
  <c r="L120" i="5"/>
  <c r="M120" i="5" s="1"/>
  <c r="L108" i="5"/>
  <c r="M108" i="5" s="1"/>
  <c r="O108" i="5"/>
  <c r="P108" i="5" s="1"/>
  <c r="L94" i="5"/>
  <c r="M94" i="5" s="1"/>
  <c r="O94" i="5"/>
  <c r="P94" i="5" s="1"/>
  <c r="L82" i="5"/>
  <c r="M82" i="5" s="1"/>
  <c r="O82" i="5"/>
  <c r="P82" i="5" s="1"/>
  <c r="O70" i="5"/>
  <c r="P70" i="5" s="1"/>
  <c r="L70" i="5"/>
  <c r="M70" i="5" s="1"/>
  <c r="L57" i="5"/>
  <c r="M57" i="5" s="1"/>
  <c r="O57" i="5"/>
  <c r="P57" i="5" s="1"/>
  <c r="L45" i="5"/>
  <c r="M45" i="5" s="1"/>
  <c r="O45" i="5"/>
  <c r="P45" i="5" s="1"/>
  <c r="L33" i="5"/>
  <c r="M33" i="5" s="1"/>
  <c r="O33" i="5"/>
  <c r="P33" i="5" s="1"/>
  <c r="L18" i="5"/>
  <c r="M18" i="5" s="1"/>
  <c r="L6" i="5"/>
  <c r="M6" i="5" s="1"/>
  <c r="L17" i="5"/>
  <c r="M17" i="5" s="1"/>
  <c r="L5" i="5"/>
  <c r="M5" i="5" s="1"/>
  <c r="L16" i="5"/>
  <c r="M16" i="5" s="1"/>
  <c r="O4" i="5"/>
  <c r="P4" i="5" s="1"/>
  <c r="L4" i="5"/>
  <c r="M4" i="5" s="1"/>
  <c r="L15" i="5"/>
  <c r="M15" i="5" s="1"/>
  <c r="L14" i="5"/>
  <c r="M14" i="5" s="1"/>
  <c r="L13" i="5"/>
  <c r="M13" i="5" s="1"/>
  <c r="L12" i="5"/>
  <c r="M12" i="5" s="1"/>
  <c r="L11" i="5"/>
  <c r="M11" i="5" s="1"/>
  <c r="L10" i="5"/>
  <c r="M10" i="5" s="1"/>
  <c r="L9" i="5"/>
  <c r="M9" i="5" s="1"/>
  <c r="L8" i="5"/>
  <c r="M8" i="5" s="1"/>
  <c r="L19" i="5"/>
  <c r="M19" i="5" s="1"/>
  <c r="L7" i="5"/>
  <c r="M7" i="5" s="1"/>
  <c r="D119" i="5"/>
  <c r="E119" i="5"/>
  <c r="D107" i="5"/>
  <c r="E107" i="5"/>
  <c r="D93" i="5"/>
  <c r="E93" i="5"/>
  <c r="D81" i="5"/>
  <c r="E81" i="5"/>
  <c r="D69" i="5"/>
  <c r="E69" i="5"/>
  <c r="D8" i="5"/>
  <c r="E8" i="5"/>
  <c r="D44" i="5"/>
  <c r="E44" i="5"/>
  <c r="D32" i="5"/>
  <c r="E32" i="5"/>
  <c r="D191" i="5"/>
  <c r="E191" i="5"/>
  <c r="D179" i="5"/>
  <c r="E179" i="5"/>
  <c r="D143" i="5"/>
  <c r="E143" i="5"/>
  <c r="D130" i="5"/>
  <c r="E130" i="5"/>
  <c r="D118" i="5"/>
  <c r="E118" i="5"/>
  <c r="D106" i="5"/>
  <c r="E106" i="5"/>
  <c r="D92" i="5"/>
  <c r="E92" i="5"/>
  <c r="D80" i="5"/>
  <c r="E80" i="5"/>
  <c r="D68" i="5"/>
  <c r="E68" i="5"/>
  <c r="D55" i="5"/>
  <c r="E55" i="5"/>
  <c r="D43" i="5"/>
  <c r="E43" i="5"/>
  <c r="D31" i="5"/>
  <c r="E31" i="5"/>
  <c r="D19" i="5"/>
  <c r="E19" i="5"/>
  <c r="D7" i="5"/>
  <c r="E7" i="5"/>
  <c r="D383" i="5"/>
  <c r="E383" i="5"/>
  <c r="D371" i="5"/>
  <c r="E371" i="5"/>
  <c r="D335" i="5"/>
  <c r="E335" i="5"/>
  <c r="D323" i="5"/>
  <c r="E323" i="5"/>
  <c r="D466" i="5"/>
  <c r="E466" i="5"/>
  <c r="D454" i="5"/>
  <c r="E454" i="5"/>
  <c r="D442" i="5"/>
  <c r="E442" i="5"/>
  <c r="D367" i="5"/>
  <c r="E367" i="5"/>
  <c r="D355" i="5"/>
  <c r="E355" i="5"/>
  <c r="D343" i="5"/>
  <c r="E343" i="5"/>
  <c r="D331" i="5"/>
  <c r="E331" i="5"/>
  <c r="D319" i="5"/>
  <c r="E319" i="5"/>
  <c r="D295" i="5"/>
  <c r="E295" i="5"/>
  <c r="D271" i="5"/>
  <c r="E271" i="5"/>
  <c r="D247" i="5"/>
  <c r="E247" i="5"/>
  <c r="D202" i="5"/>
  <c r="E202" i="5"/>
  <c r="D190" i="5"/>
  <c r="E190" i="5"/>
  <c r="D178" i="5"/>
  <c r="E178" i="5"/>
  <c r="D166" i="5"/>
  <c r="E166" i="5"/>
  <c r="D154" i="5"/>
  <c r="E154" i="5"/>
  <c r="D142" i="5"/>
  <c r="E142" i="5"/>
  <c r="D129" i="5"/>
  <c r="E129" i="5"/>
  <c r="D117" i="5"/>
  <c r="E117" i="5"/>
  <c r="D105" i="5"/>
  <c r="E105" i="5"/>
  <c r="D91" i="5"/>
  <c r="E91" i="5"/>
  <c r="D79" i="5"/>
  <c r="E79" i="5"/>
  <c r="D67" i="5"/>
  <c r="E67" i="5"/>
  <c r="D452" i="5"/>
  <c r="E452" i="5"/>
  <c r="D42" i="5"/>
  <c r="E42" i="5"/>
  <c r="D30" i="5"/>
  <c r="E30" i="5"/>
  <c r="D18" i="5"/>
  <c r="E18" i="5"/>
  <c r="D6" i="5"/>
  <c r="E6" i="5"/>
  <c r="D462" i="5"/>
  <c r="E462" i="5"/>
  <c r="D450" i="5"/>
  <c r="E450" i="5"/>
  <c r="D438" i="5"/>
  <c r="E438" i="5"/>
  <c r="D408" i="5"/>
  <c r="E408" i="5"/>
  <c r="D360" i="5"/>
  <c r="E360" i="5"/>
  <c r="D348" i="5"/>
  <c r="E348" i="5"/>
  <c r="D312" i="5"/>
  <c r="E312" i="5"/>
  <c r="D300" i="5"/>
  <c r="E300" i="5"/>
  <c r="D264" i="5"/>
  <c r="E264" i="5"/>
  <c r="D428" i="5"/>
  <c r="E428" i="5"/>
  <c r="D404" i="5"/>
  <c r="E404" i="5"/>
  <c r="D368" i="5"/>
  <c r="E368" i="5"/>
  <c r="D356" i="5"/>
  <c r="E356" i="5"/>
  <c r="D344" i="5"/>
  <c r="E344" i="5"/>
  <c r="D308" i="5"/>
  <c r="E308" i="5"/>
  <c r="D296" i="5"/>
  <c r="E296" i="5"/>
  <c r="D284" i="5"/>
  <c r="E284" i="5"/>
  <c r="D260" i="5"/>
  <c r="E260" i="5"/>
  <c r="D231" i="5"/>
  <c r="E231" i="5"/>
  <c r="D219" i="5"/>
  <c r="E219" i="5"/>
  <c r="D415" i="5"/>
  <c r="E415" i="5"/>
  <c r="D414" i="5"/>
  <c r="E414" i="5"/>
  <c r="D402" i="5"/>
  <c r="E402" i="5"/>
  <c r="D366" i="5"/>
  <c r="E366" i="5"/>
  <c r="D354" i="5"/>
  <c r="E354" i="5"/>
  <c r="D342" i="5"/>
  <c r="E342" i="5"/>
  <c r="D306" i="5"/>
  <c r="E306" i="5"/>
  <c r="D282" i="5"/>
  <c r="E282" i="5"/>
  <c r="D270" i="5"/>
  <c r="E270" i="5"/>
  <c r="D258" i="5"/>
  <c r="E258" i="5"/>
  <c r="D246" i="5"/>
  <c r="E246" i="5"/>
  <c r="D229" i="5"/>
  <c r="E229" i="5"/>
  <c r="D217" i="5"/>
  <c r="E217" i="5"/>
  <c r="D201" i="5"/>
  <c r="E201" i="5"/>
  <c r="D177" i="5"/>
  <c r="E177" i="5"/>
  <c r="D165" i="5"/>
  <c r="E165" i="5"/>
  <c r="D153" i="5"/>
  <c r="E153" i="5"/>
  <c r="D141" i="5"/>
  <c r="E141" i="5"/>
  <c r="D128" i="5"/>
  <c r="E128" i="5"/>
  <c r="D116" i="5"/>
  <c r="E116" i="5"/>
  <c r="D104" i="5"/>
  <c r="E104" i="5"/>
  <c r="D90" i="5"/>
  <c r="E90" i="5"/>
  <c r="D78" i="5"/>
  <c r="E78" i="5"/>
  <c r="D66" i="5"/>
  <c r="E66" i="5"/>
  <c r="D53" i="5"/>
  <c r="E53" i="5"/>
  <c r="D41" i="5"/>
  <c r="E41" i="5"/>
  <c r="D29" i="5"/>
  <c r="E29" i="5"/>
  <c r="D17" i="5"/>
  <c r="E17" i="5"/>
  <c r="D5" i="5"/>
  <c r="E5" i="5"/>
  <c r="D461" i="5"/>
  <c r="E461" i="5"/>
  <c r="D389" i="5"/>
  <c r="E389" i="5"/>
  <c r="D377" i="5"/>
  <c r="E377" i="5"/>
  <c r="D329" i="5"/>
  <c r="E329" i="5"/>
  <c r="D317" i="5"/>
  <c r="E317" i="5"/>
  <c r="D293" i="5"/>
  <c r="E293" i="5"/>
  <c r="D281" i="5"/>
  <c r="E281" i="5"/>
  <c r="D269" i="5"/>
  <c r="E269" i="5"/>
  <c r="D257" i="5"/>
  <c r="E257" i="5"/>
  <c r="D228" i="5"/>
  <c r="E228" i="5"/>
  <c r="D200" i="5"/>
  <c r="E200" i="5"/>
  <c r="D188" i="5"/>
  <c r="E188" i="5"/>
  <c r="D176" i="5"/>
  <c r="E176" i="5"/>
  <c r="D140" i="5"/>
  <c r="E140" i="5"/>
  <c r="D127" i="5"/>
  <c r="E127" i="5"/>
  <c r="D115" i="5"/>
  <c r="E115" i="5"/>
  <c r="D103" i="5"/>
  <c r="E103" i="5"/>
  <c r="D89" i="5"/>
  <c r="E89" i="5"/>
  <c r="D77" i="5"/>
  <c r="E77" i="5"/>
  <c r="D65" i="5"/>
  <c r="E65" i="5"/>
  <c r="D52" i="5"/>
  <c r="E52" i="5"/>
  <c r="D40" i="5"/>
  <c r="E40" i="5"/>
  <c r="D28" i="5"/>
  <c r="E28" i="5"/>
  <c r="D16" i="5"/>
  <c r="E16" i="5"/>
  <c r="D192" i="5"/>
  <c r="E192" i="5"/>
  <c r="D180" i="5"/>
  <c r="E180" i="5"/>
  <c r="D168" i="5"/>
  <c r="E168" i="5"/>
  <c r="D156" i="5"/>
  <c r="E156" i="5"/>
  <c r="D144" i="5"/>
  <c r="E144" i="5"/>
  <c r="D424" i="5"/>
  <c r="E424" i="5"/>
  <c r="D406" i="5"/>
  <c r="E406" i="5"/>
  <c r="D358" i="5"/>
  <c r="E358" i="5"/>
  <c r="D346" i="5"/>
  <c r="E346" i="5"/>
  <c r="D310" i="5"/>
  <c r="E310" i="5"/>
  <c r="D298" i="5"/>
  <c r="E298" i="5"/>
  <c r="D286" i="5"/>
  <c r="E286" i="5"/>
  <c r="D274" i="5"/>
  <c r="E274" i="5"/>
  <c r="D233" i="5"/>
  <c r="E233" i="5"/>
  <c r="D221" i="5"/>
  <c r="E221" i="5"/>
  <c r="D181" i="5"/>
  <c r="E181" i="5"/>
  <c r="D169" i="5"/>
  <c r="E169" i="5"/>
  <c r="D157" i="5"/>
  <c r="E157" i="5"/>
  <c r="D417" i="5"/>
  <c r="E417" i="5"/>
  <c r="D393" i="5"/>
  <c r="E393" i="5"/>
  <c r="D381" i="5"/>
  <c r="E381" i="5"/>
  <c r="D369" i="5"/>
  <c r="E369" i="5"/>
  <c r="D357" i="5"/>
  <c r="E357" i="5"/>
  <c r="D333" i="5"/>
  <c r="E333" i="5"/>
  <c r="D321" i="5"/>
  <c r="E321" i="5"/>
  <c r="D297" i="5"/>
  <c r="E297" i="5"/>
  <c r="D273" i="5"/>
  <c r="E273" i="5"/>
  <c r="D261" i="5"/>
  <c r="E261" i="5"/>
  <c r="D249" i="5"/>
  <c r="E249" i="5"/>
  <c r="D472" i="5"/>
  <c r="E472" i="5"/>
  <c r="D448" i="5"/>
  <c r="E448" i="5"/>
  <c r="D400" i="5"/>
  <c r="E400" i="5"/>
  <c r="D364" i="5"/>
  <c r="E364" i="5"/>
  <c r="D352" i="5"/>
  <c r="E352" i="5"/>
  <c r="D340" i="5"/>
  <c r="E340" i="5"/>
  <c r="D304" i="5"/>
  <c r="E304" i="5"/>
  <c r="D268" i="5"/>
  <c r="E268" i="5"/>
  <c r="D244" i="5"/>
  <c r="E244" i="5"/>
  <c r="D215" i="5"/>
  <c r="E215" i="5"/>
  <c r="D187" i="5"/>
  <c r="E187" i="5"/>
  <c r="D163" i="5"/>
  <c r="E163" i="5"/>
  <c r="D151" i="5"/>
  <c r="E151" i="5"/>
  <c r="D139" i="5"/>
  <c r="E139" i="5"/>
  <c r="D126" i="5"/>
  <c r="E126" i="5"/>
  <c r="D114" i="5"/>
  <c r="E114" i="5"/>
  <c r="D102" i="5"/>
  <c r="E102" i="5"/>
  <c r="D64" i="5"/>
  <c r="E64" i="5"/>
  <c r="D51" i="5"/>
  <c r="E51" i="5"/>
  <c r="D39" i="5"/>
  <c r="E39" i="5"/>
  <c r="D27" i="5"/>
  <c r="E27" i="5"/>
  <c r="D15" i="5"/>
  <c r="E15" i="5"/>
  <c r="D459" i="5"/>
  <c r="E459" i="5"/>
  <c r="D399" i="5"/>
  <c r="E399" i="5"/>
  <c r="D387" i="5"/>
  <c r="E387" i="5"/>
  <c r="D375" i="5"/>
  <c r="E375" i="5"/>
  <c r="D339" i="5"/>
  <c r="E339" i="5"/>
  <c r="D327" i="5"/>
  <c r="E327" i="5"/>
  <c r="D315" i="5"/>
  <c r="E315" i="5"/>
  <c r="D291" i="5"/>
  <c r="E291" i="5"/>
  <c r="D279" i="5"/>
  <c r="E279" i="5"/>
  <c r="D267" i="5"/>
  <c r="E267" i="5"/>
  <c r="D255" i="5"/>
  <c r="E255" i="5"/>
  <c r="D241" i="5"/>
  <c r="E241" i="5"/>
  <c r="D226" i="5"/>
  <c r="E226" i="5"/>
  <c r="D198" i="5"/>
  <c r="E198" i="5"/>
  <c r="D186" i="5"/>
  <c r="E186" i="5"/>
  <c r="D174" i="5"/>
  <c r="E174" i="5"/>
  <c r="D150" i="5"/>
  <c r="E150" i="5"/>
  <c r="D138" i="5"/>
  <c r="E138" i="5"/>
  <c r="D113" i="5"/>
  <c r="E113" i="5"/>
  <c r="D101" i="5"/>
  <c r="E101" i="5"/>
  <c r="D87" i="5"/>
  <c r="E87" i="5"/>
  <c r="D75" i="5"/>
  <c r="E75" i="5"/>
  <c r="D62" i="5"/>
  <c r="E62" i="5"/>
  <c r="D50" i="5"/>
  <c r="E50" i="5"/>
  <c r="D38" i="5"/>
  <c r="E38" i="5"/>
  <c r="D26" i="5"/>
  <c r="E26" i="5"/>
  <c r="D14" i="5"/>
  <c r="E14" i="5"/>
  <c r="D422" i="5"/>
  <c r="E422" i="5"/>
  <c r="D410" i="5"/>
  <c r="E410" i="5"/>
  <c r="D398" i="5"/>
  <c r="E398" i="5"/>
  <c r="D386" i="5"/>
  <c r="E386" i="5"/>
  <c r="D362" i="5"/>
  <c r="E362" i="5"/>
  <c r="D350" i="5"/>
  <c r="E350" i="5"/>
  <c r="D338" i="5"/>
  <c r="E338" i="5"/>
  <c r="D314" i="5"/>
  <c r="E314" i="5"/>
  <c r="D302" i="5"/>
  <c r="E302" i="5"/>
  <c r="D266" i="5"/>
  <c r="E266" i="5"/>
  <c r="D243" i="5"/>
  <c r="E243" i="5"/>
  <c r="D209" i="5"/>
  <c r="E209" i="5"/>
  <c r="D185" i="5"/>
  <c r="E185" i="5"/>
  <c r="D173" i="5"/>
  <c r="E173" i="5"/>
  <c r="D161" i="5"/>
  <c r="E161" i="5"/>
  <c r="D149" i="5"/>
  <c r="E149" i="5"/>
  <c r="D124" i="5"/>
  <c r="E124" i="5"/>
  <c r="D112" i="5"/>
  <c r="E112" i="5"/>
  <c r="D100" i="5"/>
  <c r="E100" i="5"/>
  <c r="D61" i="5"/>
  <c r="E61" i="5"/>
  <c r="D49" i="5"/>
  <c r="E49" i="5"/>
  <c r="D37" i="5"/>
  <c r="E37" i="5"/>
  <c r="D25" i="5"/>
  <c r="E25" i="5"/>
  <c r="D13" i="5"/>
  <c r="E13" i="5"/>
  <c r="D236" i="5"/>
  <c r="E236" i="5"/>
  <c r="D224" i="5"/>
  <c r="E224" i="5"/>
  <c r="D208" i="5"/>
  <c r="E208" i="5"/>
  <c r="D196" i="5"/>
  <c r="E196" i="5"/>
  <c r="D184" i="5"/>
  <c r="E184" i="5"/>
  <c r="D148" i="5"/>
  <c r="E148" i="5"/>
  <c r="D99" i="5"/>
  <c r="E99" i="5"/>
  <c r="D73" i="5"/>
  <c r="E73" i="5"/>
  <c r="D60" i="5"/>
  <c r="E60" i="5"/>
  <c r="D48" i="5"/>
  <c r="E48" i="5"/>
  <c r="D36" i="5"/>
  <c r="E36" i="5"/>
  <c r="D24" i="5"/>
  <c r="E24" i="5"/>
  <c r="D12" i="5"/>
  <c r="E12" i="5"/>
  <c r="D470" i="5"/>
  <c r="E470" i="5"/>
  <c r="D446" i="5"/>
  <c r="E446" i="5"/>
  <c r="D457" i="5"/>
  <c r="E457" i="5"/>
  <c r="D397" i="5"/>
  <c r="E397" i="5"/>
  <c r="D385" i="5"/>
  <c r="E385" i="5"/>
  <c r="D373" i="5"/>
  <c r="E373" i="5"/>
  <c r="D337" i="5"/>
  <c r="E337" i="5"/>
  <c r="D325" i="5"/>
  <c r="E325" i="5"/>
  <c r="D289" i="5"/>
  <c r="E289" i="5"/>
  <c r="D277" i="5"/>
  <c r="E277" i="5"/>
  <c r="D265" i="5"/>
  <c r="E265" i="5"/>
  <c r="D468" i="5"/>
  <c r="E468" i="5"/>
  <c r="D456" i="5"/>
  <c r="E456" i="5"/>
  <c r="D235" i="5"/>
  <c r="E235" i="5"/>
  <c r="D223" i="5"/>
  <c r="E223" i="5"/>
  <c r="D207" i="5"/>
  <c r="E207" i="5"/>
  <c r="D195" i="5"/>
  <c r="E195" i="5"/>
  <c r="D183" i="5"/>
  <c r="E183" i="5"/>
  <c r="D171" i="5"/>
  <c r="E171" i="5"/>
  <c r="D159" i="5"/>
  <c r="E159" i="5"/>
  <c r="D147" i="5"/>
  <c r="E147" i="5"/>
  <c r="D135" i="5"/>
  <c r="E135" i="5"/>
  <c r="D122" i="5"/>
  <c r="E122" i="5"/>
  <c r="D110" i="5"/>
  <c r="E110" i="5"/>
  <c r="D84" i="5"/>
  <c r="E84" i="5"/>
  <c r="D72" i="5"/>
  <c r="E72" i="5"/>
  <c r="D47" i="5"/>
  <c r="E47" i="5"/>
  <c r="D35" i="5"/>
  <c r="E35" i="5"/>
  <c r="D23" i="5"/>
  <c r="E23" i="5"/>
  <c r="D11" i="5"/>
  <c r="E11" i="5"/>
  <c r="D275" i="5"/>
  <c r="E275" i="5"/>
  <c r="D263" i="5"/>
  <c r="E263" i="5"/>
  <c r="D251" i="5"/>
  <c r="E251" i="5"/>
  <c r="D206" i="5"/>
  <c r="E206" i="5"/>
  <c r="D194" i="5"/>
  <c r="E194" i="5"/>
  <c r="D182" i="5"/>
  <c r="E182" i="5"/>
  <c r="D158" i="5"/>
  <c r="E158" i="5"/>
  <c r="D146" i="5"/>
  <c r="E146" i="5"/>
  <c r="D109" i="5"/>
  <c r="E109" i="5"/>
  <c r="D83" i="5"/>
  <c r="E83" i="5"/>
  <c r="D71" i="5"/>
  <c r="E71" i="5"/>
  <c r="D58" i="5"/>
  <c r="E58" i="5"/>
  <c r="D46" i="5"/>
  <c r="E46" i="5"/>
  <c r="D34" i="5"/>
  <c r="E34" i="5"/>
  <c r="D22" i="5"/>
  <c r="E22" i="5"/>
  <c r="D10" i="5"/>
  <c r="E10" i="5"/>
  <c r="D432" i="5"/>
  <c r="E432" i="5"/>
  <c r="D108" i="5"/>
  <c r="E108" i="5"/>
  <c r="D94" i="5"/>
  <c r="E94" i="5"/>
  <c r="D82" i="5"/>
  <c r="E82" i="5"/>
  <c r="D70" i="5"/>
  <c r="E70" i="5"/>
  <c r="D57" i="5"/>
  <c r="E57" i="5"/>
  <c r="D45" i="5"/>
  <c r="E45" i="5"/>
  <c r="D33" i="5"/>
  <c r="E33" i="5"/>
  <c r="D9" i="5"/>
  <c r="E9" i="5"/>
  <c r="D4" i="5"/>
  <c r="E4" i="5"/>
  <c r="L406" i="4"/>
  <c r="J406" i="4"/>
  <c r="K405" i="4"/>
  <c r="J405" i="4"/>
  <c r="I405" i="4" s="1"/>
  <c r="L404" i="4"/>
  <c r="J404" i="4"/>
  <c r="K403" i="4"/>
  <c r="J403" i="4"/>
  <c r="I403" i="4" s="1"/>
  <c r="L402" i="4"/>
  <c r="J402" i="4"/>
  <c r="J401" i="4" s="1"/>
  <c r="I401" i="4" s="1"/>
  <c r="K401" i="4"/>
  <c r="L398" i="4"/>
  <c r="L397" i="4"/>
  <c r="K396" i="4"/>
  <c r="K384" i="4"/>
  <c r="J357" i="4"/>
  <c r="K357" i="4" s="1"/>
  <c r="L357" i="4" s="1"/>
  <c r="J245" i="4"/>
  <c r="K127" i="4"/>
  <c r="J127" i="4"/>
  <c r="J126" i="4"/>
  <c r="J124" i="4"/>
  <c r="K123" i="4"/>
  <c r="L123" i="4" s="1"/>
  <c r="J123" i="4"/>
  <c r="K122" i="4"/>
  <c r="L122" i="4" s="1"/>
  <c r="J122" i="4"/>
  <c r="J120" i="4"/>
  <c r="K120" i="4" s="1"/>
  <c r="L120" i="4" s="1"/>
  <c r="K116" i="4"/>
  <c r="L116" i="4" s="1"/>
  <c r="J116" i="4"/>
  <c r="J115" i="4"/>
  <c r="K115" i="4" s="1"/>
  <c r="L115" i="4" s="1"/>
  <c r="L114" i="4"/>
  <c r="J114" i="4"/>
  <c r="K114" i="4" s="1"/>
  <c r="J113" i="4"/>
  <c r="K113" i="4" s="1"/>
  <c r="L113" i="4" s="1"/>
  <c r="J112" i="4"/>
  <c r="K112" i="4" s="1"/>
  <c r="L112" i="4" s="1"/>
  <c r="J111" i="4"/>
  <c r="K110" i="4"/>
  <c r="L110" i="4" s="1"/>
  <c r="J110" i="4"/>
  <c r="K109" i="4"/>
  <c r="L109" i="4" s="1"/>
  <c r="J109" i="4"/>
  <c r="J107" i="4"/>
  <c r="K107" i="4" s="1"/>
  <c r="L107" i="4" s="1"/>
  <c r="J106" i="4"/>
  <c r="K106" i="4" s="1"/>
  <c r="L106" i="4" s="1"/>
  <c r="K105" i="4"/>
  <c r="L105" i="4" s="1"/>
  <c r="J105" i="4"/>
  <c r="K104" i="4"/>
  <c r="L104" i="4" s="1"/>
  <c r="J104" i="4"/>
  <c r="K103" i="4"/>
  <c r="L103" i="4" s="1"/>
  <c r="J103" i="4"/>
  <c r="J102" i="4"/>
  <c r="K102" i="4" s="1"/>
  <c r="L102" i="4" s="1"/>
  <c r="J101" i="4"/>
  <c r="K101" i="4" s="1"/>
  <c r="L101" i="4" s="1"/>
  <c r="J100" i="4"/>
  <c r="K100" i="4" s="1"/>
  <c r="L100" i="4" s="1"/>
  <c r="J99" i="4"/>
  <c r="K99" i="4" s="1"/>
  <c r="L99" i="4" s="1"/>
  <c r="J98" i="4"/>
  <c r="K97" i="4"/>
  <c r="L97" i="4" s="1"/>
  <c r="J97" i="4"/>
  <c r="K96" i="4"/>
  <c r="L96" i="4" s="1"/>
  <c r="J96" i="4"/>
  <c r="K94" i="4"/>
  <c r="J94" i="4"/>
  <c r="K91" i="4"/>
  <c r="L91" i="4" s="1"/>
  <c r="J91" i="4"/>
  <c r="K89" i="4"/>
  <c r="L89" i="4" s="1"/>
  <c r="J89" i="4"/>
  <c r="K88" i="4"/>
  <c r="L88" i="4" s="1"/>
  <c r="J88" i="4"/>
  <c r="J87" i="4"/>
  <c r="K87" i="4" s="1"/>
  <c r="L87" i="4" s="1"/>
  <c r="J86" i="4"/>
  <c r="K86" i="4" s="1"/>
  <c r="L86" i="4" s="1"/>
  <c r="L85" i="4"/>
  <c r="J85" i="4"/>
  <c r="K85" i="4" s="1"/>
  <c r="F25" i="8" l="1"/>
  <c r="E25" i="8"/>
  <c r="F23" i="8"/>
  <c r="E23" i="8"/>
  <c r="F15" i="8"/>
  <c r="E15" i="8"/>
  <c r="F8" i="8"/>
  <c r="E8" i="8"/>
  <c r="F32" i="8"/>
  <c r="E32" i="8"/>
  <c r="F22" i="8"/>
  <c r="E22" i="8"/>
  <c r="F16" i="8"/>
  <c r="E16" i="8"/>
  <c r="F30" i="8"/>
  <c r="E30" i="8"/>
  <c r="F21" i="8"/>
  <c r="E21" i="8"/>
  <c r="F29" i="8"/>
  <c r="E29" i="8"/>
  <c r="F24" i="8"/>
  <c r="E24" i="8"/>
  <c r="F17" i="8"/>
  <c r="E17" i="8"/>
  <c r="F19" i="8"/>
  <c r="E19" i="8"/>
  <c r="F26" i="8"/>
  <c r="E26" i="8"/>
  <c r="F11" i="8"/>
  <c r="E11" i="8"/>
  <c r="F28" i="8"/>
  <c r="E28" i="8"/>
  <c r="F13" i="8"/>
  <c r="E13" i="8"/>
  <c r="F9" i="8"/>
  <c r="E9" i="8"/>
  <c r="F10" i="8"/>
  <c r="E10" i="8"/>
  <c r="F27" i="8"/>
  <c r="E27" i="8"/>
  <c r="F31" i="8"/>
  <c r="E31" i="8"/>
  <c r="F18" i="8"/>
  <c r="E18" i="8"/>
  <c r="F14" i="8"/>
  <c r="E14" i="8"/>
  <c r="F12" i="8"/>
  <c r="E12" i="8"/>
  <c r="F20" i="8"/>
  <c r="E20" i="8"/>
  <c r="G231" i="5"/>
  <c r="G356" i="5"/>
  <c r="G312" i="5"/>
  <c r="G462" i="5"/>
  <c r="G67" i="5"/>
  <c r="G142" i="5"/>
  <c r="G247" i="5"/>
  <c r="G355" i="5"/>
  <c r="G335" i="5"/>
  <c r="G43" i="5"/>
  <c r="G118" i="5"/>
  <c r="G44" i="5"/>
  <c r="G119" i="5"/>
  <c r="G45" i="5"/>
  <c r="G432" i="5"/>
  <c r="G71" i="5"/>
  <c r="G194" i="5"/>
  <c r="G23" i="5"/>
  <c r="G122" i="5"/>
  <c r="G195" i="5"/>
  <c r="G265" i="5"/>
  <c r="G385" i="5"/>
  <c r="G24" i="5"/>
  <c r="G148" i="5"/>
  <c r="G13" i="5"/>
  <c r="G112" i="5"/>
  <c r="G209" i="5"/>
  <c r="G350" i="5"/>
  <c r="G14" i="5"/>
  <c r="G87" i="5"/>
  <c r="G186" i="5"/>
  <c r="G279" i="5"/>
  <c r="G387" i="5"/>
  <c r="G51" i="5"/>
  <c r="G151" i="5"/>
  <c r="G304" i="5"/>
  <c r="G472" i="5"/>
  <c r="G333" i="5"/>
  <c r="G157" i="5"/>
  <c r="G286" i="5"/>
  <c r="G424" i="5"/>
  <c r="G16" i="5"/>
  <c r="G89" i="5"/>
  <c r="G188" i="5"/>
  <c r="G293" i="5"/>
  <c r="G5" i="5"/>
  <c r="G78" i="5"/>
  <c r="G153" i="5"/>
  <c r="G246" i="5"/>
  <c r="G354" i="5"/>
  <c r="G397" i="5"/>
  <c r="G243" i="5"/>
  <c r="G26" i="5"/>
  <c r="G198" i="5"/>
  <c r="G64" i="5"/>
  <c r="G357" i="5"/>
  <c r="G317" i="5"/>
  <c r="G368" i="5"/>
  <c r="G6" i="5"/>
  <c r="G79" i="5"/>
  <c r="G371" i="5"/>
  <c r="G8" i="5"/>
  <c r="G22" i="5"/>
  <c r="G147" i="5"/>
  <c r="G196" i="5"/>
  <c r="G386" i="5"/>
  <c r="G226" i="5"/>
  <c r="G352" i="5"/>
  <c r="G181" i="5"/>
  <c r="G228" i="5"/>
  <c r="G104" i="5"/>
  <c r="G284" i="5"/>
  <c r="G442" i="5"/>
  <c r="G68" i="5"/>
  <c r="G34" i="5"/>
  <c r="G159" i="5"/>
  <c r="G161" i="5"/>
  <c r="G57" i="5"/>
  <c r="G10" i="5"/>
  <c r="G206" i="5"/>
  <c r="G35" i="5"/>
  <c r="G135" i="5"/>
  <c r="G277" i="5"/>
  <c r="G184" i="5"/>
  <c r="G25" i="5"/>
  <c r="G362" i="5"/>
  <c r="G101" i="5"/>
  <c r="G291" i="5"/>
  <c r="G340" i="5"/>
  <c r="G249" i="5"/>
  <c r="G169" i="5"/>
  <c r="G144" i="5"/>
  <c r="G28" i="5"/>
  <c r="G103" i="5"/>
  <c r="G17" i="5"/>
  <c r="G90" i="5"/>
  <c r="G165" i="5"/>
  <c r="G366" i="5"/>
  <c r="G348" i="5"/>
  <c r="G154" i="5"/>
  <c r="G367" i="5"/>
  <c r="G55" i="5"/>
  <c r="G109" i="5"/>
  <c r="G251" i="5"/>
  <c r="G223" i="5"/>
  <c r="G289" i="5"/>
  <c r="G48" i="5"/>
  <c r="G37" i="5"/>
  <c r="G266" i="5"/>
  <c r="G38" i="5"/>
  <c r="G113" i="5"/>
  <c r="G315" i="5"/>
  <c r="G102" i="5"/>
  <c r="G187" i="5"/>
  <c r="G261" i="5"/>
  <c r="G310" i="5"/>
  <c r="G156" i="5"/>
  <c r="G115" i="5"/>
  <c r="G329" i="5"/>
  <c r="G29" i="5"/>
  <c r="G177" i="5"/>
  <c r="G402" i="5"/>
  <c r="G404" i="5"/>
  <c r="G18" i="5"/>
  <c r="G91" i="5"/>
  <c r="G295" i="5"/>
  <c r="G383" i="5"/>
  <c r="G69" i="5"/>
  <c r="G4" i="5"/>
  <c r="G82" i="5"/>
  <c r="G146" i="5"/>
  <c r="G72" i="5"/>
  <c r="G235" i="5"/>
  <c r="G446" i="5"/>
  <c r="G60" i="5"/>
  <c r="G49" i="5"/>
  <c r="G398" i="5"/>
  <c r="G50" i="5"/>
  <c r="G138" i="5"/>
  <c r="G327" i="5"/>
  <c r="G114" i="5"/>
  <c r="G215" i="5"/>
  <c r="G364" i="5"/>
  <c r="G273" i="5"/>
  <c r="G221" i="5"/>
  <c r="G346" i="5"/>
  <c r="G168" i="5"/>
  <c r="G127" i="5"/>
  <c r="G377" i="5"/>
  <c r="G41" i="5"/>
  <c r="G116" i="5"/>
  <c r="G201" i="5"/>
  <c r="G414" i="5"/>
  <c r="G296" i="5"/>
  <c r="G408" i="5"/>
  <c r="G30" i="5"/>
  <c r="G105" i="5"/>
  <c r="G178" i="5"/>
  <c r="G454" i="5"/>
  <c r="G7" i="5"/>
  <c r="G80" i="5"/>
  <c r="G81" i="5"/>
  <c r="G94" i="5"/>
  <c r="G46" i="5"/>
  <c r="G275" i="5"/>
  <c r="G456" i="5"/>
  <c r="G337" i="5"/>
  <c r="G224" i="5"/>
  <c r="G61" i="5"/>
  <c r="G173" i="5"/>
  <c r="G410" i="5"/>
  <c r="G62" i="5"/>
  <c r="G339" i="5"/>
  <c r="G27" i="5"/>
  <c r="G126" i="5"/>
  <c r="G244" i="5"/>
  <c r="G297" i="5"/>
  <c r="G233" i="5"/>
  <c r="G358" i="5"/>
  <c r="G65" i="5"/>
  <c r="G140" i="5"/>
  <c r="G269" i="5"/>
  <c r="G53" i="5"/>
  <c r="G128" i="5"/>
  <c r="G217" i="5"/>
  <c r="G415" i="5"/>
  <c r="G308" i="5"/>
  <c r="G438" i="5"/>
  <c r="G117" i="5"/>
  <c r="G331" i="5"/>
  <c r="G466" i="5"/>
  <c r="G19" i="5"/>
  <c r="G92" i="5"/>
  <c r="G93" i="5"/>
  <c r="G33" i="5"/>
  <c r="G58" i="5"/>
  <c r="G182" i="5"/>
  <c r="G11" i="5"/>
  <c r="G110" i="5"/>
  <c r="G183" i="5"/>
  <c r="G468" i="5"/>
  <c r="G12" i="5"/>
  <c r="G236" i="5"/>
  <c r="G185" i="5"/>
  <c r="G338" i="5"/>
  <c r="G422" i="5"/>
  <c r="G75" i="5"/>
  <c r="G174" i="5"/>
  <c r="G267" i="5"/>
  <c r="G375" i="5"/>
  <c r="G39" i="5"/>
  <c r="G139" i="5"/>
  <c r="G268" i="5"/>
  <c r="G448" i="5"/>
  <c r="G321" i="5"/>
  <c r="G417" i="5"/>
  <c r="G274" i="5"/>
  <c r="G406" i="5"/>
  <c r="G192" i="5"/>
  <c r="G77" i="5"/>
  <c r="G176" i="5"/>
  <c r="G281" i="5"/>
  <c r="G461" i="5"/>
  <c r="G66" i="5"/>
  <c r="G141" i="5"/>
  <c r="G229" i="5"/>
  <c r="G342" i="5"/>
  <c r="G219" i="5"/>
  <c r="G344" i="5"/>
  <c r="G300" i="5"/>
  <c r="G450" i="5"/>
  <c r="G452" i="5"/>
  <c r="G129" i="5"/>
  <c r="G202" i="5"/>
  <c r="G343" i="5"/>
  <c r="G323" i="5"/>
  <c r="G31" i="5"/>
  <c r="G106" i="5"/>
  <c r="G32" i="5"/>
  <c r="G107" i="5"/>
  <c r="G83" i="5"/>
  <c r="G207" i="5"/>
  <c r="G36" i="5"/>
  <c r="G124" i="5"/>
  <c r="G399" i="5"/>
  <c r="G163" i="5"/>
  <c r="G298" i="5"/>
  <c r="G200" i="5"/>
  <c r="G258" i="5"/>
  <c r="G260" i="5"/>
  <c r="G271" i="5"/>
  <c r="G130" i="5"/>
  <c r="G70" i="5"/>
  <c r="G47" i="5"/>
  <c r="G457" i="5"/>
  <c r="G149" i="5"/>
  <c r="G459" i="5"/>
  <c r="G369" i="5"/>
  <c r="G40" i="5"/>
  <c r="G270" i="5"/>
  <c r="G360" i="5"/>
  <c r="G166" i="5"/>
  <c r="G143" i="5"/>
  <c r="G263" i="5"/>
  <c r="G325" i="5"/>
  <c r="G208" i="5"/>
  <c r="G302" i="5"/>
  <c r="G241" i="5"/>
  <c r="G15" i="5"/>
  <c r="G381" i="5"/>
  <c r="G52" i="5"/>
  <c r="G257" i="5"/>
  <c r="G282" i="5"/>
  <c r="G428" i="5"/>
  <c r="G319" i="5"/>
  <c r="G179" i="5"/>
  <c r="G9" i="5"/>
  <c r="G158" i="5"/>
  <c r="G84" i="5"/>
  <c r="G171" i="5"/>
  <c r="G470" i="5"/>
  <c r="G73" i="5"/>
  <c r="G314" i="5"/>
  <c r="G150" i="5"/>
  <c r="G255" i="5"/>
  <c r="G400" i="5"/>
  <c r="G393" i="5"/>
  <c r="G180" i="5"/>
  <c r="G389" i="5"/>
  <c r="G306" i="5"/>
  <c r="G264" i="5"/>
  <c r="G42" i="5"/>
  <c r="G190" i="5"/>
  <c r="G191" i="5"/>
  <c r="G108" i="5"/>
  <c r="G373" i="5"/>
  <c r="G99" i="5"/>
  <c r="G100" i="5"/>
  <c r="J93" i="4"/>
  <c r="K98" i="4"/>
  <c r="L98" i="4" s="1"/>
  <c r="J121" i="4"/>
  <c r="K124" i="4"/>
  <c r="K93" i="4"/>
  <c r="L94" i="4"/>
  <c r="K111" i="4"/>
  <c r="K126" i="4"/>
  <c r="L127" i="4"/>
  <c r="L19" i="1"/>
  <c r="M19" i="1"/>
  <c r="L93" i="1"/>
  <c r="G8" i="8" l="1"/>
  <c r="G19" i="8"/>
  <c r="G10" i="8"/>
  <c r="G13" i="8"/>
  <c r="G20" i="8"/>
  <c r="G23" i="8"/>
  <c r="G15" i="8"/>
  <c r="G27" i="8"/>
  <c r="G11" i="8"/>
  <c r="G29" i="8"/>
  <c r="G12" i="8"/>
  <c r="G18" i="8"/>
  <c r="G17" i="8"/>
  <c r="G24" i="8"/>
  <c r="G22" i="8"/>
  <c r="G28" i="8"/>
  <c r="G26" i="8"/>
  <c r="G25" i="8"/>
  <c r="G31" i="8"/>
  <c r="G32" i="8"/>
  <c r="G21" i="8"/>
  <c r="G9" i="8"/>
  <c r="G16" i="8"/>
  <c r="G30" i="8"/>
  <c r="G14" i="8"/>
  <c r="L124" i="4"/>
  <c r="K121" i="4"/>
  <c r="L111" i="4"/>
  <c r="G7" i="8" l="1"/>
  <c r="K78" i="4"/>
  <c r="L78" i="4" s="1"/>
  <c r="J78" i="4"/>
  <c r="J77" i="4"/>
  <c r="K77" i="4" s="1"/>
  <c r="L77" i="4" s="1"/>
  <c r="L76" i="4"/>
  <c r="K76" i="4"/>
  <c r="J76" i="4"/>
  <c r="K75" i="4"/>
  <c r="L75" i="4" s="1"/>
  <c r="J75" i="4"/>
  <c r="K74" i="4"/>
  <c r="L74" i="4" s="1"/>
  <c r="J74" i="4"/>
  <c r="J73" i="4"/>
  <c r="K73" i="4" s="1"/>
  <c r="L72" i="4"/>
  <c r="K72" i="4"/>
  <c r="J72" i="4"/>
  <c r="L70" i="4"/>
  <c r="K70" i="4"/>
  <c r="J70" i="4"/>
  <c r="J68" i="4"/>
  <c r="K68" i="4" s="1"/>
  <c r="L68" i="4" s="1"/>
  <c r="J67" i="4"/>
  <c r="K67" i="4" s="1"/>
  <c r="L67" i="4" s="1"/>
  <c r="L66" i="4"/>
  <c r="K66" i="4"/>
  <c r="J66" i="4"/>
  <c r="J65" i="4"/>
  <c r="K65" i="4" s="1"/>
  <c r="L65" i="4" s="1"/>
  <c r="J64" i="4"/>
  <c r="K64" i="4" s="1"/>
  <c r="L64" i="4" s="1"/>
  <c r="J63" i="4"/>
  <c r="K63" i="4" s="1"/>
  <c r="L63" i="4" s="1"/>
  <c r="L62" i="4"/>
  <c r="K62" i="4"/>
  <c r="J62" i="4"/>
  <c r="J61" i="4"/>
  <c r="K61" i="4" s="1"/>
  <c r="L61" i="4" s="1"/>
  <c r="J60" i="4"/>
  <c r="K60" i="4" s="1"/>
  <c r="L60" i="4" s="1"/>
  <c r="J59" i="4"/>
  <c r="K59" i="4" s="1"/>
  <c r="L59" i="4" s="1"/>
  <c r="L58" i="4"/>
  <c r="K58" i="4"/>
  <c r="J58" i="4"/>
  <c r="J57" i="4"/>
  <c r="K57" i="4" s="1"/>
  <c r="J55" i="4"/>
  <c r="K55" i="4" s="1"/>
  <c r="L55" i="4" s="1"/>
  <c r="L54" i="4"/>
  <c r="K54" i="4"/>
  <c r="J54" i="4"/>
  <c r="J53" i="4"/>
  <c r="K53" i="4" s="1"/>
  <c r="L53" i="4" s="1"/>
  <c r="J52" i="4"/>
  <c r="K52" i="4" s="1"/>
  <c r="L52" i="4" s="1"/>
  <c r="J51" i="4"/>
  <c r="K51" i="4" s="1"/>
  <c r="L51" i="4" s="1"/>
  <c r="L50" i="4"/>
  <c r="K50" i="4"/>
  <c r="J50" i="4"/>
  <c r="J49" i="4"/>
  <c r="K49" i="4" s="1"/>
  <c r="L49" i="4" s="1"/>
  <c r="J48" i="4"/>
  <c r="K48" i="4" s="1"/>
  <c r="L48" i="4" s="1"/>
  <c r="J47" i="4"/>
  <c r="K47" i="4" s="1"/>
  <c r="L47" i="4" s="1"/>
  <c r="L46" i="4"/>
  <c r="K46" i="4"/>
  <c r="J46" i="4"/>
  <c r="J45" i="4"/>
  <c r="K45" i="4" s="1"/>
  <c r="L45" i="4" s="1"/>
  <c r="J44" i="4"/>
  <c r="K44" i="4" s="1"/>
  <c r="L44" i="4" s="1"/>
  <c r="J43" i="4"/>
  <c r="K43" i="4" s="1"/>
  <c r="L43" i="4" s="1"/>
  <c r="L42" i="4"/>
  <c r="K42" i="4"/>
  <c r="J42" i="4"/>
  <c r="J41" i="4"/>
  <c r="K41" i="4" s="1"/>
  <c r="L41" i="4" s="1"/>
  <c r="J40" i="4"/>
  <c r="K40" i="4" s="1"/>
  <c r="L40" i="4" s="1"/>
  <c r="J39" i="4"/>
  <c r="K39" i="4" s="1"/>
  <c r="L39" i="4" s="1"/>
  <c r="L38" i="4"/>
  <c r="K38" i="4"/>
  <c r="J38" i="4"/>
  <c r="J37" i="4"/>
  <c r="K37" i="4" s="1"/>
  <c r="L37" i="4" s="1"/>
  <c r="J36" i="4"/>
  <c r="K36" i="4" s="1"/>
  <c r="L36" i="4" s="1"/>
  <c r="J35" i="4"/>
  <c r="K35" i="4" s="1"/>
  <c r="L35" i="4" s="1"/>
  <c r="L34" i="4"/>
  <c r="K34" i="4"/>
  <c r="J34" i="4"/>
  <c r="J33" i="4"/>
  <c r="K33" i="4" s="1"/>
  <c r="L33" i="4" s="1"/>
  <c r="J32" i="4"/>
  <c r="K32" i="4" s="1"/>
  <c r="L32" i="4" s="1"/>
  <c r="J31" i="4"/>
  <c r="K31" i="4" s="1"/>
  <c r="L31" i="4" s="1"/>
  <c r="L30" i="4"/>
  <c r="K30" i="4"/>
  <c r="J30" i="4"/>
  <c r="J29" i="4"/>
  <c r="K29" i="4" s="1"/>
  <c r="L29" i="4" s="1"/>
  <c r="J28" i="4"/>
  <c r="K28" i="4" s="1"/>
  <c r="L28" i="4" s="1"/>
  <c r="J27" i="4"/>
  <c r="K27" i="4" s="1"/>
  <c r="L27" i="4" s="1"/>
  <c r="L26" i="4"/>
  <c r="K26" i="4"/>
  <c r="J26" i="4"/>
  <c r="K25" i="4"/>
  <c r="L25" i="4" s="1"/>
  <c r="J25" i="4"/>
  <c r="J24" i="4"/>
  <c r="K24" i="4" s="1"/>
  <c r="L24" i="4" s="1"/>
  <c r="J23" i="4"/>
  <c r="J20" i="4" s="1"/>
  <c r="I20" i="4" s="1"/>
  <c r="L22" i="4"/>
  <c r="L21" i="4"/>
  <c r="J21" i="4"/>
  <c r="K19" i="4"/>
  <c r="L19" i="4" s="1"/>
  <c r="J19" i="4"/>
  <c r="K18" i="4"/>
  <c r="L18" i="4" s="1"/>
  <c r="J18" i="4"/>
  <c r="J17" i="4"/>
  <c r="K17" i="4" s="1"/>
  <c r="L17" i="4" s="1"/>
  <c r="K16" i="4"/>
  <c r="L16" i="4" s="1"/>
  <c r="J16" i="4"/>
  <c r="K15" i="4"/>
  <c r="L15" i="4" s="1"/>
  <c r="J15" i="4"/>
  <c r="K14" i="4"/>
  <c r="L14" i="4" s="1"/>
  <c r="J14" i="4"/>
  <c r="J13" i="4"/>
  <c r="K13" i="4" s="1"/>
  <c r="L13" i="4" s="1"/>
  <c r="K12" i="4"/>
  <c r="L12" i="4" s="1"/>
  <c r="J12" i="4"/>
  <c r="K11" i="4"/>
  <c r="L11" i="4" s="1"/>
  <c r="J11" i="4"/>
  <c r="K10" i="4"/>
  <c r="L10" i="4" s="1"/>
  <c r="J10" i="4"/>
  <c r="J9" i="4"/>
  <c r="K9" i="4" s="1"/>
  <c r="L9" i="4" s="1"/>
  <c r="K8" i="4"/>
  <c r="L8" i="4" s="1"/>
  <c r="J8" i="4"/>
  <c r="K7" i="4"/>
  <c r="L7" i="4" s="1"/>
  <c r="J7" i="4"/>
  <c r="K6" i="4"/>
  <c r="L6" i="4" s="1"/>
  <c r="J6" i="4"/>
  <c r="J3" i="4" s="1"/>
  <c r="J5" i="4"/>
  <c r="K5" i="4" s="1"/>
  <c r="K4" i="4"/>
  <c r="L4" i="4" s="1"/>
  <c r="J4" i="4"/>
  <c r="L73" i="4" l="1"/>
  <c r="L57" i="4"/>
  <c r="L5" i="4"/>
  <c r="K3" i="4"/>
  <c r="K23" i="4"/>
  <c r="K20" i="4" l="1"/>
  <c r="L20" i="4" s="1"/>
  <c r="L23" i="4"/>
  <c r="C3" i="1" l="1"/>
  <c r="C3" i="4"/>
  <c r="C5" i="1"/>
  <c r="C6" i="1"/>
  <c r="C7" i="1"/>
  <c r="N7" i="1" s="1"/>
  <c r="O7" i="1" s="1"/>
  <c r="C8" i="1"/>
  <c r="C9" i="1"/>
  <c r="C10" i="1"/>
  <c r="C11" i="1"/>
  <c r="C12" i="1"/>
  <c r="C13" i="1"/>
  <c r="C14" i="1"/>
  <c r="C15" i="1"/>
  <c r="C16" i="1"/>
  <c r="C17" i="1"/>
  <c r="C18" i="1"/>
  <c r="C19" i="1"/>
  <c r="N19" i="1" s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N36" i="1" s="1"/>
  <c r="O36" i="1" s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N55" i="1" s="1"/>
  <c r="O55" i="1" s="1"/>
  <c r="C56" i="1"/>
  <c r="N56" i="1" s="1"/>
  <c r="O56" i="1" s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N74" i="1" s="1"/>
  <c r="O74" i="1" s="1"/>
  <c r="C75" i="1"/>
  <c r="C76" i="1"/>
  <c r="C77" i="1"/>
  <c r="C78" i="1"/>
  <c r="C79" i="1"/>
  <c r="C80" i="1"/>
  <c r="C81" i="1"/>
  <c r="C82" i="1"/>
  <c r="C83" i="1"/>
  <c r="C84" i="1"/>
  <c r="H131" i="5" s="1"/>
  <c r="C85" i="1"/>
  <c r="C86" i="1"/>
  <c r="C87" i="1"/>
  <c r="C88" i="1"/>
  <c r="N88" i="1" s="1"/>
  <c r="O88" i="1" s="1"/>
  <c r="C89" i="1"/>
  <c r="N89" i="1" s="1"/>
  <c r="O89" i="1" s="1"/>
  <c r="C90" i="1"/>
  <c r="N90" i="1" s="1"/>
  <c r="O90" i="1" s="1"/>
  <c r="C91" i="1"/>
  <c r="N91" i="1" s="1"/>
  <c r="O91" i="1" s="1"/>
  <c r="C92" i="1"/>
  <c r="N92" i="1" s="1"/>
  <c r="O92" i="1" s="1"/>
  <c r="C93" i="1"/>
  <c r="N93" i="1" s="1"/>
  <c r="O93" i="1" s="1"/>
  <c r="C94" i="1"/>
  <c r="C95" i="1"/>
  <c r="N95" i="1" s="1"/>
  <c r="O95" i="1" s="1"/>
  <c r="C96" i="1"/>
  <c r="N96" i="1" s="1"/>
  <c r="O96" i="1" s="1"/>
  <c r="C97" i="1"/>
  <c r="N97" i="1" s="1"/>
  <c r="O97" i="1" s="1"/>
  <c r="C98" i="1"/>
  <c r="N98" i="1" s="1"/>
  <c r="O98" i="1" s="1"/>
  <c r="C99" i="1"/>
  <c r="N99" i="1" s="1"/>
  <c r="O99" i="1" s="1"/>
  <c r="C100" i="1"/>
  <c r="N100" i="1" s="1"/>
  <c r="O100" i="1" s="1"/>
  <c r="C101" i="1"/>
  <c r="N101" i="1" s="1"/>
  <c r="O101" i="1" s="1"/>
  <c r="C102" i="1"/>
  <c r="N102" i="1" s="1"/>
  <c r="O102" i="1" s="1"/>
  <c r="C103" i="1"/>
  <c r="N103" i="1" s="1"/>
  <c r="O103" i="1" s="1"/>
  <c r="C104" i="1"/>
  <c r="N104" i="1" s="1"/>
  <c r="O104" i="1" s="1"/>
  <c r="C105" i="1"/>
  <c r="N105" i="1" s="1"/>
  <c r="O105" i="1" s="1"/>
  <c r="C106" i="1"/>
  <c r="N106" i="1" s="1"/>
  <c r="O106" i="1" s="1"/>
  <c r="C107" i="1"/>
  <c r="N107" i="1" s="1"/>
  <c r="O107" i="1" s="1"/>
  <c r="C108" i="1"/>
  <c r="C109" i="1"/>
  <c r="N109" i="1" s="1"/>
  <c r="O109" i="1" s="1"/>
  <c r="C110" i="1"/>
  <c r="N110" i="1" s="1"/>
  <c r="O110" i="1" s="1"/>
  <c r="C111" i="1"/>
  <c r="N111" i="1" s="1"/>
  <c r="O111" i="1" s="1"/>
  <c r="C112" i="1"/>
  <c r="N112" i="1" s="1"/>
  <c r="O112" i="1" s="1"/>
  <c r="C113" i="1"/>
  <c r="N113" i="1" s="1"/>
  <c r="O113" i="1" s="1"/>
  <c r="C114" i="1"/>
  <c r="N114" i="1" s="1"/>
  <c r="O114" i="1" s="1"/>
  <c r="C115" i="1"/>
  <c r="N115" i="1" s="1"/>
  <c r="O115" i="1" s="1"/>
  <c r="C116" i="1"/>
  <c r="N116" i="1" s="1"/>
  <c r="O116" i="1" s="1"/>
  <c r="C117" i="1"/>
  <c r="N117" i="1" s="1"/>
  <c r="O117" i="1" s="1"/>
  <c r="C118" i="1"/>
  <c r="N118" i="1" s="1"/>
  <c r="O118" i="1" s="1"/>
  <c r="C119" i="1"/>
  <c r="N119" i="1" s="1"/>
  <c r="O119" i="1" s="1"/>
  <c r="C120" i="1"/>
  <c r="C121" i="1"/>
  <c r="N121" i="1" s="1"/>
  <c r="O121" i="1" s="1"/>
  <c r="C122" i="1"/>
  <c r="C123" i="1"/>
  <c r="N123" i="1" s="1"/>
  <c r="O123" i="1" s="1"/>
  <c r="C124" i="1"/>
  <c r="N124" i="1" s="1"/>
  <c r="O124" i="1" s="1"/>
  <c r="C125" i="1"/>
  <c r="N125" i="1" s="1"/>
  <c r="O125" i="1" s="1"/>
  <c r="C126" i="1"/>
  <c r="N126" i="1" s="1"/>
  <c r="O126" i="1" s="1"/>
  <c r="C127" i="1"/>
  <c r="N127" i="1" s="1"/>
  <c r="O127" i="1" s="1"/>
  <c r="C129" i="1"/>
  <c r="N129" i="1" s="1"/>
  <c r="O129" i="1" s="1"/>
  <c r="C130" i="1"/>
  <c r="N130" i="1" s="1"/>
  <c r="O130" i="1" s="1"/>
  <c r="C131" i="1"/>
  <c r="C132" i="1"/>
  <c r="N132" i="1" s="1"/>
  <c r="O132" i="1" s="1"/>
  <c r="C133" i="1"/>
  <c r="N133" i="1" s="1"/>
  <c r="O133" i="1" s="1"/>
  <c r="C134" i="1"/>
  <c r="C135" i="1"/>
  <c r="N135" i="1" s="1"/>
  <c r="O135" i="1" s="1"/>
  <c r="C136" i="1"/>
  <c r="N136" i="1" s="1"/>
  <c r="O136" i="1" s="1"/>
  <c r="C137" i="1"/>
  <c r="N137" i="1" s="1"/>
  <c r="O137" i="1" s="1"/>
  <c r="C138" i="1"/>
  <c r="N138" i="1" s="1"/>
  <c r="O138" i="1" s="1"/>
  <c r="C139" i="1"/>
  <c r="N139" i="1" s="1"/>
  <c r="O139" i="1" s="1"/>
  <c r="C140" i="1"/>
  <c r="N140" i="1" s="1"/>
  <c r="O140" i="1" s="1"/>
  <c r="C141" i="1"/>
  <c r="N141" i="1" s="1"/>
  <c r="O141" i="1" s="1"/>
  <c r="C142" i="1"/>
  <c r="C143" i="1"/>
  <c r="N143" i="1" s="1"/>
  <c r="O143" i="1" s="1"/>
  <c r="C144" i="1"/>
  <c r="N144" i="1" s="1"/>
  <c r="O144" i="1" s="1"/>
  <c r="C145" i="1"/>
  <c r="N145" i="1" s="1"/>
  <c r="O145" i="1" s="1"/>
  <c r="C146" i="1"/>
  <c r="N146" i="1" s="1"/>
  <c r="O146" i="1" s="1"/>
  <c r="C147" i="1"/>
  <c r="N147" i="1" s="1"/>
  <c r="O147" i="1" s="1"/>
  <c r="C148" i="1"/>
  <c r="N148" i="1" s="1"/>
  <c r="O148" i="1" s="1"/>
  <c r="C149" i="1"/>
  <c r="C150" i="1"/>
  <c r="N150" i="1" s="1"/>
  <c r="O150" i="1" s="1"/>
  <c r="C151" i="1"/>
  <c r="N151" i="1" s="1"/>
  <c r="O151" i="1" s="1"/>
  <c r="C152" i="1"/>
  <c r="C153" i="1"/>
  <c r="N153" i="1" s="1"/>
  <c r="O153" i="1" s="1"/>
  <c r="C154" i="1"/>
  <c r="N154" i="1" s="1"/>
  <c r="O154" i="1" s="1"/>
  <c r="C155" i="1"/>
  <c r="N155" i="1" s="1"/>
  <c r="O155" i="1" s="1"/>
  <c r="C156" i="1"/>
  <c r="N156" i="1" s="1"/>
  <c r="O156" i="1" s="1"/>
  <c r="C157" i="1"/>
  <c r="C158" i="1"/>
  <c r="N158" i="1" s="1"/>
  <c r="O158" i="1" s="1"/>
  <c r="C159" i="1"/>
  <c r="C160" i="1"/>
  <c r="N160" i="1" s="1"/>
  <c r="O160" i="1" s="1"/>
  <c r="C161" i="1"/>
  <c r="C162" i="1"/>
  <c r="N162" i="1" s="1"/>
  <c r="O162" i="1" s="1"/>
  <c r="C163" i="1"/>
  <c r="N163" i="1" s="1"/>
  <c r="O163" i="1" s="1"/>
  <c r="C164" i="1"/>
  <c r="C165" i="1"/>
  <c r="N165" i="1" s="1"/>
  <c r="O165" i="1" s="1"/>
  <c r="C166" i="1"/>
  <c r="N166" i="1" s="1"/>
  <c r="O166" i="1" s="1"/>
  <c r="C167" i="1"/>
  <c r="C168" i="1"/>
  <c r="N168" i="1" s="1"/>
  <c r="O168" i="1" s="1"/>
  <c r="C169" i="1"/>
  <c r="C170" i="1"/>
  <c r="N170" i="1" s="1"/>
  <c r="O170" i="1" s="1"/>
  <c r="C171" i="1"/>
  <c r="N171" i="1" s="1"/>
  <c r="O171" i="1" s="1"/>
  <c r="C172" i="1"/>
  <c r="C173" i="1"/>
  <c r="N173" i="1" s="1"/>
  <c r="O173" i="1" s="1"/>
  <c r="C174" i="1"/>
  <c r="N174" i="1" s="1"/>
  <c r="O174" i="1" s="1"/>
  <c r="C175" i="1"/>
  <c r="N175" i="1" s="1"/>
  <c r="O175" i="1" s="1"/>
  <c r="C176" i="1"/>
  <c r="N176" i="1" s="1"/>
  <c r="O176" i="1" s="1"/>
  <c r="C177" i="1"/>
  <c r="N177" i="1" s="1"/>
  <c r="O177" i="1" s="1"/>
  <c r="C178" i="1"/>
  <c r="N178" i="1" s="1"/>
  <c r="O178" i="1" s="1"/>
  <c r="C179" i="1"/>
  <c r="N179" i="1" s="1"/>
  <c r="O179" i="1" s="1"/>
  <c r="C180" i="1"/>
  <c r="N180" i="1" s="1"/>
  <c r="O180" i="1" s="1"/>
  <c r="C181" i="1"/>
  <c r="N181" i="1" s="1"/>
  <c r="O181" i="1" s="1"/>
  <c r="C182" i="1"/>
  <c r="N182" i="1" s="1"/>
  <c r="O182" i="1" s="1"/>
  <c r="C183" i="1"/>
  <c r="N183" i="1" s="1"/>
  <c r="O183" i="1" s="1"/>
  <c r="C184" i="1"/>
  <c r="N184" i="1" s="1"/>
  <c r="O184" i="1" s="1"/>
  <c r="C185" i="1"/>
  <c r="N185" i="1" s="1"/>
  <c r="O185" i="1" s="1"/>
  <c r="C186" i="1"/>
  <c r="C187" i="1"/>
  <c r="N187" i="1" s="1"/>
  <c r="O187" i="1" s="1"/>
  <c r="C188" i="1"/>
  <c r="N188" i="1" s="1"/>
  <c r="O188" i="1" s="1"/>
  <c r="C189" i="1"/>
  <c r="N189" i="1" s="1"/>
  <c r="O189" i="1" s="1"/>
  <c r="C190" i="1"/>
  <c r="C191" i="1"/>
  <c r="N191" i="1" s="1"/>
  <c r="O191" i="1" s="1"/>
  <c r="C192" i="1"/>
  <c r="N192" i="1" s="1"/>
  <c r="O192" i="1" s="1"/>
  <c r="C193" i="1"/>
  <c r="N193" i="1" s="1"/>
  <c r="O193" i="1" s="1"/>
  <c r="C194" i="1"/>
  <c r="C195" i="1"/>
  <c r="N195" i="1" s="1"/>
  <c r="O195" i="1" s="1"/>
  <c r="C196" i="1"/>
  <c r="C197" i="1"/>
  <c r="N197" i="1" s="1"/>
  <c r="O197" i="1" s="1"/>
  <c r="C198" i="1"/>
  <c r="N198" i="1" s="1"/>
  <c r="O198" i="1" s="1"/>
  <c r="C199" i="1"/>
  <c r="N199" i="1" s="1"/>
  <c r="O199" i="1" s="1"/>
  <c r="C200" i="1"/>
  <c r="N200" i="1" s="1"/>
  <c r="O200" i="1" s="1"/>
  <c r="C201" i="1"/>
  <c r="N201" i="1" s="1"/>
  <c r="O201" i="1" s="1"/>
  <c r="C202" i="1"/>
  <c r="C203" i="1"/>
  <c r="N203" i="1" s="1"/>
  <c r="O203" i="1" s="1"/>
  <c r="C204" i="1"/>
  <c r="N204" i="1" s="1"/>
  <c r="O204" i="1" s="1"/>
  <c r="C205" i="1"/>
  <c r="N205" i="1" s="1"/>
  <c r="O205" i="1" s="1"/>
  <c r="C206" i="1"/>
  <c r="N206" i="1" s="1"/>
  <c r="O206" i="1" s="1"/>
  <c r="C207" i="1"/>
  <c r="C208" i="1"/>
  <c r="N208" i="1" s="1"/>
  <c r="O208" i="1" s="1"/>
  <c r="C209" i="1"/>
  <c r="C210" i="1"/>
  <c r="N210" i="1" s="1"/>
  <c r="O210" i="1" s="1"/>
  <c r="C211" i="1"/>
  <c r="C212" i="1"/>
  <c r="N212" i="1" s="1"/>
  <c r="O212" i="1" s="1"/>
  <c r="C213" i="1"/>
  <c r="C214" i="1"/>
  <c r="N214" i="1" s="1"/>
  <c r="O214" i="1" s="1"/>
  <c r="C215" i="1"/>
  <c r="C216" i="1"/>
  <c r="N216" i="1" s="1"/>
  <c r="O216" i="1" s="1"/>
  <c r="C217" i="1"/>
  <c r="N217" i="1" s="1"/>
  <c r="O217" i="1" s="1"/>
  <c r="C218" i="1"/>
  <c r="C219" i="1"/>
  <c r="N219" i="1" s="1"/>
  <c r="O219" i="1" s="1"/>
  <c r="C220" i="1"/>
  <c r="C221" i="1"/>
  <c r="N221" i="1" s="1"/>
  <c r="O221" i="1" s="1"/>
  <c r="C222" i="1"/>
  <c r="N222" i="1" s="1"/>
  <c r="O222" i="1" s="1"/>
  <c r="C223" i="1"/>
  <c r="C224" i="1"/>
  <c r="N224" i="1" s="1"/>
  <c r="O224" i="1" s="1"/>
  <c r="C225" i="1"/>
  <c r="C226" i="1"/>
  <c r="N226" i="1" s="1"/>
  <c r="O226" i="1" s="1"/>
  <c r="C227" i="1"/>
  <c r="C228" i="1"/>
  <c r="N228" i="1" s="1"/>
  <c r="O228" i="1" s="1"/>
  <c r="C229" i="1"/>
  <c r="N229" i="1" s="1"/>
  <c r="O229" i="1" s="1"/>
  <c r="C230" i="1"/>
  <c r="C231" i="1"/>
  <c r="N231" i="1" s="1"/>
  <c r="O231" i="1" s="1"/>
  <c r="C232" i="1"/>
  <c r="N232" i="1" s="1"/>
  <c r="O232" i="1" s="1"/>
  <c r="C233" i="1"/>
  <c r="N233" i="1" s="1"/>
  <c r="O233" i="1" s="1"/>
  <c r="C234" i="1"/>
  <c r="N234" i="1" s="1"/>
  <c r="O234" i="1" s="1"/>
  <c r="C235" i="1"/>
  <c r="C236" i="1"/>
  <c r="N236" i="1" s="1"/>
  <c r="O236" i="1" s="1"/>
  <c r="C237" i="1"/>
  <c r="N237" i="1" s="1"/>
  <c r="O237" i="1" s="1"/>
  <c r="C238" i="1"/>
  <c r="C239" i="1"/>
  <c r="N239" i="1" s="1"/>
  <c r="O239" i="1" s="1"/>
  <c r="C240" i="1"/>
  <c r="C241" i="1"/>
  <c r="N241" i="1" s="1"/>
  <c r="O241" i="1" s="1"/>
  <c r="C242" i="1"/>
  <c r="N242" i="1" s="1"/>
  <c r="O242" i="1" s="1"/>
  <c r="C243" i="1"/>
  <c r="N243" i="1" s="1"/>
  <c r="O243" i="1" s="1"/>
  <c r="C244" i="1"/>
  <c r="C245" i="1"/>
  <c r="N245" i="1" s="1"/>
  <c r="O245" i="1" s="1"/>
  <c r="C246" i="1"/>
  <c r="C247" i="1"/>
  <c r="N247" i="1" s="1"/>
  <c r="O247" i="1" s="1"/>
  <c r="C248" i="1"/>
  <c r="N248" i="1" s="1"/>
  <c r="O248" i="1" s="1"/>
  <c r="C249" i="1"/>
  <c r="C250" i="1"/>
  <c r="N250" i="1" s="1"/>
  <c r="O250" i="1" s="1"/>
  <c r="C251" i="1"/>
  <c r="N251" i="1" s="1"/>
  <c r="O251" i="1" s="1"/>
  <c r="C252" i="1"/>
  <c r="C253" i="1"/>
  <c r="N253" i="1" s="1"/>
  <c r="O253" i="1" s="1"/>
  <c r="C254" i="1"/>
  <c r="N254" i="1" s="1"/>
  <c r="O254" i="1" s="1"/>
  <c r="C255" i="1"/>
  <c r="N255" i="1" s="1"/>
  <c r="O255" i="1" s="1"/>
  <c r="C256" i="1"/>
  <c r="N256" i="1" s="1"/>
  <c r="O256" i="1" s="1"/>
  <c r="C257" i="1"/>
  <c r="N257" i="1" s="1"/>
  <c r="O257" i="1" s="1"/>
  <c r="C258" i="1"/>
  <c r="N258" i="1" s="1"/>
  <c r="O258" i="1" s="1"/>
  <c r="C259" i="1"/>
  <c r="N259" i="1" s="1"/>
  <c r="O259" i="1" s="1"/>
  <c r="C260" i="1"/>
  <c r="N260" i="1" s="1"/>
  <c r="O260" i="1" s="1"/>
  <c r="C261" i="1"/>
  <c r="N261" i="1" s="1"/>
  <c r="O261" i="1" s="1"/>
  <c r="C262" i="1"/>
  <c r="C263" i="1"/>
  <c r="N263" i="1" s="1"/>
  <c r="O263" i="1" s="1"/>
  <c r="C264" i="1"/>
  <c r="N264" i="1" s="1"/>
  <c r="O264" i="1" s="1"/>
  <c r="C265" i="1"/>
  <c r="N265" i="1" s="1"/>
  <c r="O265" i="1" s="1"/>
  <c r="C266" i="1"/>
  <c r="C267" i="1"/>
  <c r="N267" i="1" s="1"/>
  <c r="O267" i="1" s="1"/>
  <c r="C268" i="1"/>
  <c r="C269" i="1"/>
  <c r="N269" i="1" s="1"/>
  <c r="O269" i="1" s="1"/>
  <c r="C270" i="1"/>
  <c r="C271" i="1"/>
  <c r="N271" i="1" s="1"/>
  <c r="O271" i="1" s="1"/>
  <c r="C272" i="1"/>
  <c r="N272" i="1" s="1"/>
  <c r="O272" i="1" s="1"/>
  <c r="C273" i="1"/>
  <c r="C274" i="1"/>
  <c r="N274" i="1" s="1"/>
  <c r="O274" i="1" s="1"/>
  <c r="C275" i="1"/>
  <c r="C276" i="1"/>
  <c r="N276" i="1" s="1"/>
  <c r="O276" i="1" s="1"/>
  <c r="C277" i="1"/>
  <c r="N277" i="1" s="1"/>
  <c r="O277" i="1" s="1"/>
  <c r="C278" i="1"/>
  <c r="C279" i="1"/>
  <c r="N279" i="1" s="1"/>
  <c r="O279" i="1" s="1"/>
  <c r="C280" i="1"/>
  <c r="C281" i="1"/>
  <c r="N281" i="1" s="1"/>
  <c r="O281" i="1" s="1"/>
  <c r="C282" i="1"/>
  <c r="C283" i="1"/>
  <c r="N283" i="1" s="1"/>
  <c r="O283" i="1" s="1"/>
  <c r="C284" i="1"/>
  <c r="C285" i="1"/>
  <c r="N285" i="1" s="1"/>
  <c r="O285" i="1" s="1"/>
  <c r="C286" i="1"/>
  <c r="N286" i="1" s="1"/>
  <c r="O286" i="1" s="1"/>
  <c r="C287" i="1"/>
  <c r="N287" i="1" s="1"/>
  <c r="O287" i="1" s="1"/>
  <c r="C288" i="1"/>
  <c r="N288" i="1" s="1"/>
  <c r="O288" i="1" s="1"/>
  <c r="C289" i="1"/>
  <c r="C290" i="1"/>
  <c r="N290" i="1" s="1"/>
  <c r="O290" i="1" s="1"/>
  <c r="C291" i="1"/>
  <c r="C292" i="1"/>
  <c r="N292" i="1" s="1"/>
  <c r="O292" i="1" s="1"/>
  <c r="C293" i="1"/>
  <c r="C294" i="1"/>
  <c r="N294" i="1" s="1"/>
  <c r="O294" i="1" s="1"/>
  <c r="C295" i="1"/>
  <c r="C296" i="1"/>
  <c r="N296" i="1" s="1"/>
  <c r="O296" i="1" s="1"/>
  <c r="C297" i="1"/>
  <c r="C298" i="1"/>
  <c r="N298" i="1" s="1"/>
  <c r="O298" i="1" s="1"/>
  <c r="C299" i="1"/>
  <c r="C300" i="1"/>
  <c r="N300" i="1" s="1"/>
  <c r="O300" i="1" s="1"/>
  <c r="C301" i="1"/>
  <c r="C302" i="1"/>
  <c r="N302" i="1" s="1"/>
  <c r="O302" i="1" s="1"/>
  <c r="C303" i="1"/>
  <c r="C304" i="1"/>
  <c r="N304" i="1" s="1"/>
  <c r="O304" i="1" s="1"/>
  <c r="C305" i="1"/>
  <c r="N305" i="1" s="1"/>
  <c r="O305" i="1" s="1"/>
  <c r="C306" i="1"/>
  <c r="C307" i="1"/>
  <c r="N307" i="1" s="1"/>
  <c r="O307" i="1" s="1"/>
  <c r="C308" i="1"/>
  <c r="C309" i="1"/>
  <c r="N309" i="1" s="1"/>
  <c r="O309" i="1" s="1"/>
  <c r="C310" i="1"/>
  <c r="C311" i="1"/>
  <c r="N311" i="1" s="1"/>
  <c r="O311" i="1" s="1"/>
  <c r="C312" i="1"/>
  <c r="N312" i="1" s="1"/>
  <c r="O312" i="1" s="1"/>
  <c r="C313" i="1"/>
  <c r="N313" i="1" s="1"/>
  <c r="O313" i="1" s="1"/>
  <c r="C314" i="1"/>
  <c r="C315" i="1"/>
  <c r="N315" i="1" s="1"/>
  <c r="O315" i="1" s="1"/>
  <c r="C316" i="1"/>
  <c r="C317" i="1"/>
  <c r="N317" i="1" s="1"/>
  <c r="O317" i="1" s="1"/>
  <c r="C318" i="1"/>
  <c r="C319" i="1"/>
  <c r="N319" i="1" s="1"/>
  <c r="O319" i="1" s="1"/>
  <c r="C320" i="1"/>
  <c r="N320" i="1" s="1"/>
  <c r="O320" i="1" s="1"/>
  <c r="C321" i="1"/>
  <c r="N321" i="1" s="1"/>
  <c r="O321" i="1" s="1"/>
  <c r="C322" i="1"/>
  <c r="C323" i="1"/>
  <c r="N323" i="1" s="1"/>
  <c r="O323" i="1" s="1"/>
  <c r="C324" i="1"/>
  <c r="C325" i="1"/>
  <c r="N325" i="1" s="1"/>
  <c r="O325" i="1" s="1"/>
  <c r="C326" i="1"/>
  <c r="C327" i="1"/>
  <c r="N327" i="1" s="1"/>
  <c r="O327" i="1" s="1"/>
  <c r="C328" i="1"/>
  <c r="N328" i="1" s="1"/>
  <c r="O328" i="1" s="1"/>
  <c r="C329" i="1"/>
  <c r="N329" i="1" s="1"/>
  <c r="O329" i="1" s="1"/>
  <c r="C330" i="1"/>
  <c r="N330" i="1" s="1"/>
  <c r="O330" i="1" s="1"/>
  <c r="C331" i="1"/>
  <c r="C332" i="1"/>
  <c r="N332" i="1" s="1"/>
  <c r="O332" i="1" s="1"/>
  <c r="C333" i="1"/>
  <c r="N333" i="1" s="1"/>
  <c r="O333" i="1" s="1"/>
  <c r="C334" i="1"/>
  <c r="N334" i="1" s="1"/>
  <c r="O334" i="1" s="1"/>
  <c r="C335" i="1"/>
  <c r="C336" i="1"/>
  <c r="N336" i="1" s="1"/>
  <c r="O336" i="1" s="1"/>
  <c r="C337" i="1"/>
  <c r="C338" i="1"/>
  <c r="N338" i="1" s="1"/>
  <c r="O338" i="1" s="1"/>
  <c r="C339" i="1"/>
  <c r="N339" i="1" s="1"/>
  <c r="O339" i="1" s="1"/>
  <c r="C340" i="1"/>
  <c r="N340" i="1" s="1"/>
  <c r="O340" i="1" s="1"/>
  <c r="C341" i="1"/>
  <c r="C342" i="1"/>
  <c r="N342" i="1" s="1"/>
  <c r="O342" i="1" s="1"/>
  <c r="C343" i="1"/>
  <c r="C344" i="1"/>
  <c r="N344" i="1" s="1"/>
  <c r="O344" i="1" s="1"/>
  <c r="C345" i="1"/>
  <c r="N345" i="1" s="1"/>
  <c r="O345" i="1" s="1"/>
  <c r="C346" i="1"/>
  <c r="N346" i="1" s="1"/>
  <c r="O346" i="1" s="1"/>
  <c r="C347" i="1"/>
  <c r="N347" i="1" s="1"/>
  <c r="O347" i="1" s="1"/>
  <c r="C348" i="1"/>
  <c r="N348" i="1" s="1"/>
  <c r="O348" i="1" s="1"/>
  <c r="C349" i="1"/>
  <c r="C350" i="1"/>
  <c r="N350" i="1" s="1"/>
  <c r="O350" i="1" s="1"/>
  <c r="C351" i="1"/>
  <c r="C352" i="1"/>
  <c r="N352" i="1" s="1"/>
  <c r="O352" i="1" s="1"/>
  <c r="C353" i="1"/>
  <c r="C354" i="1"/>
  <c r="N354" i="1" s="1"/>
  <c r="O354" i="1" s="1"/>
  <c r="C355" i="1"/>
  <c r="C356" i="1"/>
  <c r="N356" i="1" s="1"/>
  <c r="O356" i="1" s="1"/>
  <c r="C357" i="1"/>
  <c r="N357" i="1" s="1"/>
  <c r="O357" i="1" s="1"/>
  <c r="C358" i="1"/>
  <c r="N358" i="1" s="1"/>
  <c r="O358" i="1" s="1"/>
  <c r="C359" i="1"/>
  <c r="N359" i="1" s="1"/>
  <c r="O359" i="1" s="1"/>
  <c r="C360" i="1"/>
  <c r="C361" i="1"/>
  <c r="N361" i="1" s="1"/>
  <c r="O361" i="1" s="1"/>
  <c r="C362" i="1"/>
  <c r="C363" i="1"/>
  <c r="N363" i="1" s="1"/>
  <c r="O363" i="1" s="1"/>
  <c r="C364" i="1"/>
  <c r="C365" i="1"/>
  <c r="N365" i="1" s="1"/>
  <c r="O365" i="1" s="1"/>
  <c r="C366" i="1"/>
  <c r="N366" i="1" s="1"/>
  <c r="O366" i="1" s="1"/>
  <c r="C367" i="1"/>
  <c r="N367" i="1" s="1"/>
  <c r="O367" i="1" s="1"/>
  <c r="C368" i="1"/>
  <c r="C369" i="1"/>
  <c r="N369" i="1" s="1"/>
  <c r="O369" i="1" s="1"/>
  <c r="C370" i="1"/>
  <c r="N370" i="1" s="1"/>
  <c r="O370" i="1" s="1"/>
  <c r="C371" i="1"/>
  <c r="N371" i="1" s="1"/>
  <c r="O371" i="1" s="1"/>
  <c r="C372" i="1"/>
  <c r="C373" i="1"/>
  <c r="N373" i="1" s="1"/>
  <c r="O373" i="1" s="1"/>
  <c r="C374" i="1"/>
  <c r="N374" i="1" s="1"/>
  <c r="O374" i="1" s="1"/>
  <c r="C375" i="1"/>
  <c r="N375" i="1" s="1"/>
  <c r="O375" i="1" s="1"/>
  <c r="C376" i="1"/>
  <c r="N376" i="1" s="1"/>
  <c r="O376" i="1" s="1"/>
  <c r="C377" i="1"/>
  <c r="N377" i="1" s="1"/>
  <c r="O377" i="1" s="1"/>
  <c r="C378" i="1"/>
  <c r="N378" i="1" s="1"/>
  <c r="O378" i="1" s="1"/>
  <c r="C379" i="1"/>
  <c r="N379" i="1" s="1"/>
  <c r="O379" i="1" s="1"/>
  <c r="C380" i="1"/>
  <c r="C381" i="1"/>
  <c r="N381" i="1" s="1"/>
  <c r="O381" i="1" s="1"/>
  <c r="C382" i="1"/>
  <c r="N382" i="1" s="1"/>
  <c r="O382" i="1" s="1"/>
  <c r="C383" i="1"/>
  <c r="N383" i="1" s="1"/>
  <c r="O383" i="1" s="1"/>
  <c r="C384" i="1"/>
  <c r="C385" i="1"/>
  <c r="N385" i="1" s="1"/>
  <c r="O385" i="1" s="1"/>
  <c r="C386" i="1"/>
  <c r="N386" i="1" s="1"/>
  <c r="O386" i="1" s="1"/>
  <c r="C387" i="1"/>
  <c r="N387" i="1" s="1"/>
  <c r="O387" i="1" s="1"/>
  <c r="C388" i="1"/>
  <c r="N388" i="1" s="1"/>
  <c r="O388" i="1" s="1"/>
  <c r="C389" i="1"/>
  <c r="N389" i="1" s="1"/>
  <c r="O389" i="1" s="1"/>
  <c r="C390" i="1"/>
  <c r="N390" i="1" s="1"/>
  <c r="O390" i="1" s="1"/>
  <c r="C391" i="1"/>
  <c r="N391" i="1" s="1"/>
  <c r="O391" i="1" s="1"/>
  <c r="C392" i="1"/>
  <c r="N392" i="1" s="1"/>
  <c r="O392" i="1" s="1"/>
  <c r="C393" i="1"/>
  <c r="N393" i="1" s="1"/>
  <c r="O393" i="1" s="1"/>
  <c r="C394" i="1"/>
  <c r="N394" i="1" s="1"/>
  <c r="O394" i="1" s="1"/>
  <c r="C395" i="1"/>
  <c r="N395" i="1" s="1"/>
  <c r="O395" i="1" s="1"/>
  <c r="C396" i="1"/>
  <c r="N396" i="1" s="1"/>
  <c r="O396" i="1" s="1"/>
  <c r="C397" i="1"/>
  <c r="N397" i="1" s="1"/>
  <c r="O397" i="1" s="1"/>
  <c r="C398" i="1"/>
  <c r="N398" i="1" s="1"/>
  <c r="O398" i="1" s="1"/>
  <c r="C399" i="1"/>
  <c r="N399" i="1" s="1"/>
  <c r="O399" i="1" s="1"/>
  <c r="C400" i="1"/>
  <c r="N400" i="1" s="1"/>
  <c r="O400" i="1" s="1"/>
  <c r="C401" i="1"/>
  <c r="C402" i="1"/>
  <c r="N402" i="1" s="1"/>
  <c r="O402" i="1" s="1"/>
  <c r="C403" i="1"/>
  <c r="N403" i="1" s="1"/>
  <c r="O403" i="1" s="1"/>
  <c r="C404" i="1"/>
  <c r="N404" i="1" s="1"/>
  <c r="O404" i="1" s="1"/>
  <c r="C405" i="1"/>
  <c r="N405" i="1" s="1"/>
  <c r="O405" i="1" s="1"/>
  <c r="C406" i="1"/>
  <c r="N406" i="1" s="1"/>
  <c r="O406" i="1" s="1"/>
  <c r="C407" i="1"/>
  <c r="N407" i="1" s="1"/>
  <c r="O407" i="1" s="1"/>
  <c r="C408" i="1"/>
  <c r="N408" i="1" s="1"/>
  <c r="O408" i="1" s="1"/>
  <c r="C409" i="1"/>
  <c r="N409" i="1" s="1"/>
  <c r="O409" i="1" s="1"/>
  <c r="C410" i="1"/>
  <c r="N410" i="1" s="1"/>
  <c r="O410" i="1" s="1"/>
  <c r="C411" i="1"/>
  <c r="N411" i="1" s="1"/>
  <c r="O411" i="1" s="1"/>
  <c r="C412" i="1"/>
  <c r="N412" i="1" s="1"/>
  <c r="O412" i="1" s="1"/>
  <c r="C413" i="1"/>
  <c r="N413" i="1" s="1"/>
  <c r="O413" i="1" s="1"/>
  <c r="C414" i="1"/>
  <c r="N414" i="1" s="1"/>
  <c r="O414" i="1" s="1"/>
  <c r="C415" i="1"/>
  <c r="C416" i="1"/>
  <c r="N416" i="1" s="1"/>
  <c r="O416" i="1" s="1"/>
  <c r="C417" i="1"/>
  <c r="N417" i="1" s="1"/>
  <c r="O417" i="1" s="1"/>
  <c r="C418" i="1"/>
  <c r="N418" i="1" s="1"/>
  <c r="O418" i="1" s="1"/>
  <c r="C419" i="1"/>
  <c r="C420" i="1"/>
  <c r="N420" i="1" s="1"/>
  <c r="O420" i="1" s="1"/>
  <c r="C421" i="1"/>
  <c r="N421" i="1" s="1"/>
  <c r="O421" i="1" s="1"/>
  <c r="C422" i="1"/>
  <c r="N422" i="1" s="1"/>
  <c r="O422" i="1" s="1"/>
  <c r="C423" i="1"/>
  <c r="C424" i="1"/>
  <c r="N424" i="1" s="1"/>
  <c r="O424" i="1" s="1"/>
  <c r="C425" i="1"/>
  <c r="C426" i="1"/>
  <c r="N426" i="1" s="1"/>
  <c r="O426" i="1" s="1"/>
  <c r="C427" i="1"/>
  <c r="N427" i="1" s="1"/>
  <c r="O427" i="1" s="1"/>
  <c r="C428" i="1"/>
  <c r="N428" i="1" s="1"/>
  <c r="O428" i="1" s="1"/>
  <c r="C429" i="1"/>
  <c r="C430" i="1"/>
  <c r="N430" i="1" s="1"/>
  <c r="O430" i="1" s="1"/>
  <c r="C431" i="1"/>
  <c r="C432" i="1"/>
  <c r="N432" i="1" s="1"/>
  <c r="O432" i="1" s="1"/>
  <c r="C433" i="1"/>
  <c r="C434" i="1"/>
  <c r="N434" i="1" s="1"/>
  <c r="O434" i="1" s="1"/>
  <c r="C435" i="1"/>
  <c r="N435" i="1" s="1"/>
  <c r="O435" i="1" s="1"/>
  <c r="C436" i="1"/>
  <c r="N436" i="1" s="1"/>
  <c r="O436" i="1" s="1"/>
  <c r="C437" i="1"/>
  <c r="N437" i="1" s="1"/>
  <c r="O437" i="1" s="1"/>
  <c r="C438" i="1"/>
  <c r="N438" i="1" s="1"/>
  <c r="O438" i="1" s="1"/>
  <c r="C439" i="1"/>
  <c r="N439" i="1" s="1"/>
  <c r="O439" i="1" s="1"/>
  <c r="C440" i="1"/>
  <c r="N440" i="1" s="1"/>
  <c r="O440" i="1" s="1"/>
  <c r="C441" i="1"/>
  <c r="N441" i="1" s="1"/>
  <c r="O441" i="1" s="1"/>
  <c r="C442" i="1"/>
  <c r="N442" i="1" s="1"/>
  <c r="O442" i="1" s="1"/>
  <c r="C443" i="1"/>
  <c r="N443" i="1" s="1"/>
  <c r="O443" i="1" s="1"/>
  <c r="C444" i="1"/>
  <c r="N444" i="1" s="1"/>
  <c r="O444" i="1" s="1"/>
  <c r="C445" i="1"/>
  <c r="N445" i="1" s="1"/>
  <c r="O445" i="1" s="1"/>
  <c r="C446" i="1"/>
  <c r="N446" i="1" s="1"/>
  <c r="O446" i="1" s="1"/>
  <c r="C447" i="1"/>
  <c r="N447" i="1" s="1"/>
  <c r="O447" i="1" s="1"/>
  <c r="C448" i="1"/>
  <c r="N448" i="1" s="1"/>
  <c r="O448" i="1" s="1"/>
  <c r="C449" i="1"/>
  <c r="N449" i="1" s="1"/>
  <c r="O449" i="1" s="1"/>
  <c r="C450" i="1"/>
  <c r="N450" i="1" s="1"/>
  <c r="O450" i="1" s="1"/>
  <c r="C451" i="1"/>
  <c r="N451" i="1" s="1"/>
  <c r="O451" i="1" s="1"/>
  <c r="C452" i="1"/>
  <c r="N452" i="1" s="1"/>
  <c r="O452" i="1" s="1"/>
  <c r="C453" i="1"/>
  <c r="C454" i="1"/>
  <c r="N454" i="1" s="1"/>
  <c r="O454" i="1" s="1"/>
  <c r="C455" i="1"/>
  <c r="N455" i="1" s="1"/>
  <c r="O455" i="1" s="1"/>
  <c r="C456" i="1"/>
  <c r="N456" i="1" s="1"/>
  <c r="O456" i="1" s="1"/>
  <c r="C457" i="1"/>
  <c r="N457" i="1" s="1"/>
  <c r="O457" i="1" s="1"/>
  <c r="C458" i="1"/>
  <c r="N458" i="1" s="1"/>
  <c r="O458" i="1" s="1"/>
  <c r="C459" i="1"/>
  <c r="N459" i="1" s="1"/>
  <c r="O459" i="1" s="1"/>
  <c r="C460" i="1"/>
  <c r="N460" i="1" s="1"/>
  <c r="O460" i="1" s="1"/>
  <c r="C461" i="1"/>
  <c r="C462" i="1"/>
  <c r="N462" i="1" s="1"/>
  <c r="O462" i="1" s="1"/>
  <c r="C4" i="1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K264" i="1" s="1"/>
  <c r="L264" i="1" s="1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4" i="4"/>
  <c r="E425" i="4"/>
  <c r="D425" i="4"/>
  <c r="E424" i="4"/>
  <c r="D424" i="4"/>
  <c r="E423" i="4"/>
  <c r="D423" i="4"/>
  <c r="E422" i="4"/>
  <c r="D422" i="4"/>
  <c r="J422" i="4" s="1"/>
  <c r="E421" i="4"/>
  <c r="D421" i="4"/>
  <c r="E420" i="4"/>
  <c r="D420" i="4"/>
  <c r="J420" i="4" s="1"/>
  <c r="E419" i="4"/>
  <c r="D419" i="4"/>
  <c r="E418" i="4"/>
  <c r="D418" i="4"/>
  <c r="J418" i="4" s="1"/>
  <c r="E417" i="4"/>
  <c r="D417" i="4"/>
  <c r="E416" i="4"/>
  <c r="D416" i="4"/>
  <c r="E415" i="4"/>
  <c r="D415" i="4"/>
  <c r="E414" i="4"/>
  <c r="D414" i="4"/>
  <c r="E413" i="4"/>
  <c r="D413" i="4"/>
  <c r="E412" i="4"/>
  <c r="D412" i="4"/>
  <c r="E411" i="4"/>
  <c r="D411" i="4"/>
  <c r="E410" i="4"/>
  <c r="D410" i="4"/>
  <c r="E409" i="4"/>
  <c r="D409" i="4"/>
  <c r="E408" i="4"/>
  <c r="D408" i="4"/>
  <c r="E407" i="4"/>
  <c r="D407" i="4"/>
  <c r="G406" i="4"/>
  <c r="H405" i="4"/>
  <c r="L405" i="4" s="1"/>
  <c r="G405" i="4"/>
  <c r="F405" i="4"/>
  <c r="G404" i="4"/>
  <c r="H404" i="4" s="1"/>
  <c r="H403" i="4"/>
  <c r="L403" i="4" s="1"/>
  <c r="G403" i="4"/>
  <c r="F403" i="4" s="1"/>
  <c r="G402" i="4"/>
  <c r="E398" i="4"/>
  <c r="D398" i="4"/>
  <c r="E397" i="4"/>
  <c r="D397" i="4"/>
  <c r="H396" i="4"/>
  <c r="L396" i="4" s="1"/>
  <c r="E396" i="4"/>
  <c r="D396" i="4"/>
  <c r="E395" i="4"/>
  <c r="D395" i="4"/>
  <c r="E394" i="4"/>
  <c r="D394" i="4"/>
  <c r="E393" i="4"/>
  <c r="D393" i="4"/>
  <c r="E392" i="4"/>
  <c r="D392" i="4"/>
  <c r="E391" i="4"/>
  <c r="D391" i="4"/>
  <c r="E390" i="4"/>
  <c r="D390" i="4"/>
  <c r="E389" i="4"/>
  <c r="D389" i="4"/>
  <c r="E388" i="4"/>
  <c r="D388" i="4"/>
  <c r="E387" i="4"/>
  <c r="D387" i="4"/>
  <c r="J387" i="4" s="1"/>
  <c r="E386" i="4"/>
  <c r="D386" i="4"/>
  <c r="E385" i="4"/>
  <c r="D385" i="4"/>
  <c r="J385" i="4" s="1"/>
  <c r="E384" i="4"/>
  <c r="D384" i="4"/>
  <c r="E383" i="4"/>
  <c r="D383" i="4"/>
  <c r="E382" i="4"/>
  <c r="D382" i="4"/>
  <c r="E381" i="4"/>
  <c r="D381" i="4"/>
  <c r="E380" i="4"/>
  <c r="D380" i="4"/>
  <c r="E379" i="4"/>
  <c r="D379" i="4"/>
  <c r="E378" i="4"/>
  <c r="D378" i="4"/>
  <c r="E377" i="4"/>
  <c r="D377" i="4"/>
  <c r="E376" i="4"/>
  <c r="D376" i="4"/>
  <c r="E375" i="4"/>
  <c r="D375" i="4"/>
  <c r="E374" i="4"/>
  <c r="D374" i="4"/>
  <c r="E373" i="4"/>
  <c r="D373" i="4"/>
  <c r="J373" i="4" s="1"/>
  <c r="E372" i="4"/>
  <c r="D372" i="4"/>
  <c r="E371" i="4"/>
  <c r="D371" i="4"/>
  <c r="E370" i="4"/>
  <c r="D370" i="4"/>
  <c r="E369" i="4"/>
  <c r="D369" i="4"/>
  <c r="J369" i="4" s="1"/>
  <c r="E368" i="4"/>
  <c r="D368" i="4"/>
  <c r="E367" i="4"/>
  <c r="D367" i="4"/>
  <c r="E366" i="4"/>
  <c r="D366" i="4"/>
  <c r="E365" i="4"/>
  <c r="D365" i="4"/>
  <c r="E364" i="4"/>
  <c r="D364" i="4"/>
  <c r="E363" i="4"/>
  <c r="D363" i="4"/>
  <c r="E362" i="4"/>
  <c r="D362" i="4"/>
  <c r="E361" i="4"/>
  <c r="D361" i="4"/>
  <c r="E360" i="4"/>
  <c r="D360" i="4"/>
  <c r="E359" i="4"/>
  <c r="D359" i="4"/>
  <c r="E358" i="4"/>
  <c r="D358" i="4"/>
  <c r="G357" i="4"/>
  <c r="H357" i="4" s="1"/>
  <c r="E357" i="4"/>
  <c r="E356" i="4"/>
  <c r="D356" i="4"/>
  <c r="E355" i="4"/>
  <c r="D355" i="4"/>
  <c r="E354" i="4"/>
  <c r="D354" i="4"/>
  <c r="E353" i="4"/>
  <c r="D353" i="4"/>
  <c r="E352" i="4"/>
  <c r="D352" i="4"/>
  <c r="E351" i="4"/>
  <c r="D351" i="4"/>
  <c r="E350" i="4"/>
  <c r="D350" i="4"/>
  <c r="E349" i="4"/>
  <c r="D349" i="4"/>
  <c r="E348" i="4"/>
  <c r="D348" i="4"/>
  <c r="E347" i="4"/>
  <c r="D347" i="4"/>
  <c r="E346" i="4"/>
  <c r="D346" i="4"/>
  <c r="E345" i="4"/>
  <c r="D345" i="4"/>
  <c r="E344" i="4"/>
  <c r="D344" i="4"/>
  <c r="E343" i="4"/>
  <c r="D343" i="4"/>
  <c r="E342" i="4"/>
  <c r="D342" i="4"/>
  <c r="E341" i="4"/>
  <c r="D341" i="4"/>
  <c r="E340" i="4"/>
  <c r="D340" i="4"/>
  <c r="E339" i="4"/>
  <c r="D339" i="4"/>
  <c r="E338" i="4"/>
  <c r="D338" i="4"/>
  <c r="E337" i="4"/>
  <c r="D337" i="4"/>
  <c r="E336" i="4"/>
  <c r="D336" i="4"/>
  <c r="E335" i="4"/>
  <c r="D335" i="4"/>
  <c r="E334" i="4"/>
  <c r="D334" i="4"/>
  <c r="E333" i="4"/>
  <c r="D333" i="4"/>
  <c r="E332" i="4"/>
  <c r="D332" i="4"/>
  <c r="E331" i="4"/>
  <c r="D331" i="4"/>
  <c r="E330" i="4"/>
  <c r="D330" i="4"/>
  <c r="E329" i="4"/>
  <c r="D329" i="4"/>
  <c r="E328" i="4"/>
  <c r="D328" i="4"/>
  <c r="E326" i="4"/>
  <c r="D326" i="4"/>
  <c r="J326" i="4" s="1"/>
  <c r="E325" i="4"/>
  <c r="D325" i="4"/>
  <c r="E324" i="4"/>
  <c r="D324" i="4"/>
  <c r="E323" i="4"/>
  <c r="D323" i="4"/>
  <c r="E322" i="4"/>
  <c r="D322" i="4"/>
  <c r="E321" i="4"/>
  <c r="D321" i="4"/>
  <c r="E320" i="4"/>
  <c r="D320" i="4"/>
  <c r="E319" i="4"/>
  <c r="D319" i="4"/>
  <c r="E318" i="4"/>
  <c r="D318" i="4"/>
  <c r="E317" i="4"/>
  <c r="D317" i="4"/>
  <c r="E316" i="4"/>
  <c r="D316" i="4"/>
  <c r="E315" i="4"/>
  <c r="D315" i="4"/>
  <c r="E314" i="4"/>
  <c r="D314" i="4"/>
  <c r="J314" i="4" s="1"/>
  <c r="E313" i="4"/>
  <c r="D313" i="4"/>
  <c r="E312" i="4"/>
  <c r="D312" i="4"/>
  <c r="E311" i="4"/>
  <c r="D311" i="4"/>
  <c r="E310" i="4"/>
  <c r="D310" i="4"/>
  <c r="J310" i="4" s="1"/>
  <c r="E309" i="4"/>
  <c r="D309" i="4"/>
  <c r="E308" i="4"/>
  <c r="D308" i="4"/>
  <c r="E307" i="4"/>
  <c r="D307" i="4"/>
  <c r="E306" i="4"/>
  <c r="D306" i="4"/>
  <c r="E305" i="4"/>
  <c r="D305" i="4"/>
  <c r="E304" i="4"/>
  <c r="D304" i="4"/>
  <c r="J304" i="4" s="1"/>
  <c r="K304" i="4" s="1"/>
  <c r="E303" i="4"/>
  <c r="D303" i="4"/>
  <c r="E302" i="4"/>
  <c r="D302" i="4"/>
  <c r="E301" i="4"/>
  <c r="D301" i="4"/>
  <c r="E300" i="4"/>
  <c r="D300" i="4"/>
  <c r="E299" i="4"/>
  <c r="D299" i="4"/>
  <c r="E298" i="4"/>
  <c r="D298" i="4"/>
  <c r="E297" i="4"/>
  <c r="D297" i="4"/>
  <c r="E296" i="4"/>
  <c r="D296" i="4"/>
  <c r="J296" i="4" s="1"/>
  <c r="E295" i="4"/>
  <c r="D295" i="4"/>
  <c r="E294" i="4"/>
  <c r="D294" i="4"/>
  <c r="E293" i="4"/>
  <c r="D293" i="4"/>
  <c r="J293" i="4" s="1"/>
  <c r="E292" i="4"/>
  <c r="D292" i="4"/>
  <c r="E291" i="4"/>
  <c r="D291" i="4"/>
  <c r="E290" i="4"/>
  <c r="D290" i="4"/>
  <c r="E289" i="4"/>
  <c r="D289" i="4"/>
  <c r="J289" i="4" s="1"/>
  <c r="K289" i="4" s="1"/>
  <c r="E288" i="4"/>
  <c r="D288" i="4"/>
  <c r="E287" i="4"/>
  <c r="D287" i="4"/>
  <c r="E286" i="4"/>
  <c r="D286" i="4"/>
  <c r="E285" i="4"/>
  <c r="D285" i="4"/>
  <c r="E284" i="4"/>
  <c r="D284" i="4"/>
  <c r="E283" i="4"/>
  <c r="D283" i="4"/>
  <c r="E282" i="4"/>
  <c r="D282" i="4"/>
  <c r="E281" i="4"/>
  <c r="D281" i="4"/>
  <c r="E280" i="4"/>
  <c r="D280" i="4"/>
  <c r="E279" i="4"/>
  <c r="D279" i="4"/>
  <c r="E278" i="4"/>
  <c r="D278" i="4"/>
  <c r="E277" i="4"/>
  <c r="D277" i="4"/>
  <c r="J277" i="4" s="1"/>
  <c r="K277" i="4" s="1"/>
  <c r="E276" i="4"/>
  <c r="D276" i="4"/>
  <c r="E275" i="4"/>
  <c r="D275" i="4"/>
  <c r="E274" i="4"/>
  <c r="D274" i="4"/>
  <c r="J274" i="4" s="1"/>
  <c r="E273" i="4"/>
  <c r="D273" i="4"/>
  <c r="E272" i="4"/>
  <c r="D272" i="4"/>
  <c r="E271" i="4"/>
  <c r="D271" i="4"/>
  <c r="J271" i="4" s="1"/>
  <c r="K271" i="4" s="1"/>
  <c r="E270" i="4"/>
  <c r="D270" i="4"/>
  <c r="E269" i="4"/>
  <c r="D269" i="4"/>
  <c r="J269" i="4" s="1"/>
  <c r="K269" i="4" s="1"/>
  <c r="E268" i="4"/>
  <c r="D268" i="4"/>
  <c r="E267" i="4"/>
  <c r="D267" i="4"/>
  <c r="J267" i="4" s="1"/>
  <c r="K267" i="4" s="1"/>
  <c r="E266" i="4"/>
  <c r="D266" i="4"/>
  <c r="E265" i="4"/>
  <c r="D265" i="4"/>
  <c r="E264" i="4"/>
  <c r="D264" i="4"/>
  <c r="E263" i="4"/>
  <c r="D263" i="4"/>
  <c r="E262" i="4"/>
  <c r="D262" i="4"/>
  <c r="E261" i="4"/>
  <c r="D261" i="4"/>
  <c r="E260" i="4"/>
  <c r="D260" i="4"/>
  <c r="E259" i="4"/>
  <c r="D259" i="4"/>
  <c r="E258" i="4"/>
  <c r="D258" i="4"/>
  <c r="E257" i="4"/>
  <c r="D257" i="4"/>
  <c r="E256" i="4"/>
  <c r="D256" i="4"/>
  <c r="E255" i="4"/>
  <c r="D255" i="4"/>
  <c r="E254" i="4"/>
  <c r="D254" i="4"/>
  <c r="E253" i="4"/>
  <c r="D253" i="4"/>
  <c r="E252" i="4"/>
  <c r="D252" i="4"/>
  <c r="J252" i="4" s="1"/>
  <c r="K252" i="4" s="1"/>
  <c r="E251" i="4"/>
  <c r="D251" i="4"/>
  <c r="E250" i="4"/>
  <c r="D250" i="4"/>
  <c r="E249" i="4"/>
  <c r="D249" i="4"/>
  <c r="E248" i="4"/>
  <c r="D248" i="4"/>
  <c r="E247" i="4"/>
  <c r="D247" i="4"/>
  <c r="E246" i="4"/>
  <c r="D246" i="4"/>
  <c r="K246" i="4" s="1"/>
  <c r="E245" i="4"/>
  <c r="D245" i="4"/>
  <c r="I245" i="4" s="1"/>
  <c r="E244" i="4"/>
  <c r="D244" i="4"/>
  <c r="E243" i="4"/>
  <c r="D243" i="4"/>
  <c r="E242" i="4"/>
  <c r="D242" i="4"/>
  <c r="E241" i="4"/>
  <c r="D241" i="4"/>
  <c r="E240" i="4"/>
  <c r="D240" i="4"/>
  <c r="E239" i="4"/>
  <c r="D239" i="4"/>
  <c r="E238" i="4"/>
  <c r="D238" i="4"/>
  <c r="J238" i="4" s="1"/>
  <c r="E237" i="4"/>
  <c r="D237" i="4"/>
  <c r="E236" i="4"/>
  <c r="D236" i="4"/>
  <c r="E235" i="4"/>
  <c r="D235" i="4"/>
  <c r="J235" i="4" s="1"/>
  <c r="E234" i="4"/>
  <c r="D234" i="4"/>
  <c r="E233" i="4"/>
  <c r="D233" i="4"/>
  <c r="E232" i="4"/>
  <c r="D232" i="4"/>
  <c r="E231" i="4"/>
  <c r="D231" i="4"/>
  <c r="E230" i="4"/>
  <c r="D230" i="4"/>
  <c r="E229" i="4"/>
  <c r="D229" i="4"/>
  <c r="E228" i="4"/>
  <c r="D228" i="4"/>
  <c r="E227" i="4"/>
  <c r="D227" i="4"/>
  <c r="E226" i="4"/>
  <c r="D226" i="4"/>
  <c r="E225" i="4"/>
  <c r="D225" i="4"/>
  <c r="E224" i="4"/>
  <c r="D224" i="4"/>
  <c r="E223" i="4"/>
  <c r="D223" i="4"/>
  <c r="E222" i="4"/>
  <c r="D222" i="4"/>
  <c r="E221" i="4"/>
  <c r="D221" i="4"/>
  <c r="E220" i="4"/>
  <c r="D220" i="4"/>
  <c r="E219" i="4"/>
  <c r="D219" i="4"/>
  <c r="E218" i="4"/>
  <c r="D218" i="4"/>
  <c r="E217" i="4"/>
  <c r="D217" i="4"/>
  <c r="E216" i="4"/>
  <c r="D216" i="4"/>
  <c r="E215" i="4"/>
  <c r="D215" i="4"/>
  <c r="E214" i="4"/>
  <c r="D214" i="4"/>
  <c r="E213" i="4"/>
  <c r="D213" i="4"/>
  <c r="J213" i="4" s="1"/>
  <c r="K213" i="4" s="1"/>
  <c r="E212" i="4"/>
  <c r="D212" i="4"/>
  <c r="E211" i="4"/>
  <c r="D211" i="4"/>
  <c r="J211" i="4" s="1"/>
  <c r="K211" i="4" s="1"/>
  <c r="E210" i="4"/>
  <c r="D210" i="4"/>
  <c r="E209" i="4"/>
  <c r="D209" i="4"/>
  <c r="E208" i="4"/>
  <c r="D208" i="4"/>
  <c r="E207" i="4"/>
  <c r="D207" i="4"/>
  <c r="E206" i="4"/>
  <c r="D206" i="4"/>
  <c r="E205" i="4"/>
  <c r="D205" i="4"/>
  <c r="E204" i="4"/>
  <c r="D204" i="4"/>
  <c r="J204" i="4" s="1"/>
  <c r="K204" i="4" s="1"/>
  <c r="E203" i="4"/>
  <c r="D203" i="4"/>
  <c r="E202" i="4"/>
  <c r="D202" i="4"/>
  <c r="J202" i="4" s="1"/>
  <c r="E201" i="4"/>
  <c r="D201" i="4"/>
  <c r="E200" i="4"/>
  <c r="D200" i="4"/>
  <c r="E199" i="4"/>
  <c r="D199" i="4"/>
  <c r="E198" i="4"/>
  <c r="D198" i="4"/>
  <c r="E197" i="4"/>
  <c r="D197" i="4"/>
  <c r="E196" i="4"/>
  <c r="D196" i="4"/>
  <c r="E195" i="4"/>
  <c r="D195" i="4"/>
  <c r="E194" i="4"/>
  <c r="D194" i="4"/>
  <c r="E193" i="4"/>
  <c r="D193" i="4"/>
  <c r="J193" i="4" s="1"/>
  <c r="K193" i="4" s="1"/>
  <c r="E192" i="4"/>
  <c r="D192" i="4"/>
  <c r="E191" i="4"/>
  <c r="D191" i="4"/>
  <c r="J191" i="4" s="1"/>
  <c r="K191" i="4" s="1"/>
  <c r="E190" i="4"/>
  <c r="D190" i="4"/>
  <c r="E189" i="4"/>
  <c r="D189" i="4"/>
  <c r="E188" i="4"/>
  <c r="D188" i="4"/>
  <c r="J188" i="4" s="1"/>
  <c r="K188" i="4" s="1"/>
  <c r="E187" i="4"/>
  <c r="D187" i="4"/>
  <c r="E186" i="4"/>
  <c r="D186" i="4"/>
  <c r="E185" i="4"/>
  <c r="D185" i="4"/>
  <c r="J185" i="4" s="1"/>
  <c r="K185" i="4" s="1"/>
  <c r="E184" i="4"/>
  <c r="D184" i="4"/>
  <c r="E183" i="4"/>
  <c r="D183" i="4"/>
  <c r="E182" i="4"/>
  <c r="D182" i="4"/>
  <c r="E181" i="4"/>
  <c r="D181" i="4"/>
  <c r="E180" i="4"/>
  <c r="D180" i="4"/>
  <c r="E179" i="4"/>
  <c r="D179" i="4"/>
  <c r="E178" i="4"/>
  <c r="D178" i="4"/>
  <c r="J178" i="4" s="1"/>
  <c r="K178" i="4" s="1"/>
  <c r="E177" i="4"/>
  <c r="D177" i="4"/>
  <c r="E176" i="4"/>
  <c r="D176" i="4"/>
  <c r="J176" i="4" s="1"/>
  <c r="K176" i="4" s="1"/>
  <c r="E175" i="4"/>
  <c r="D175" i="4"/>
  <c r="E174" i="4"/>
  <c r="D174" i="4"/>
  <c r="E173" i="4"/>
  <c r="D173" i="4"/>
  <c r="E172" i="4"/>
  <c r="D172" i="4"/>
  <c r="E169" i="4"/>
  <c r="D169" i="4"/>
  <c r="E168" i="4"/>
  <c r="D168" i="4"/>
  <c r="J168" i="4" s="1"/>
  <c r="K168" i="4" s="1"/>
  <c r="E167" i="4"/>
  <c r="D167" i="4"/>
  <c r="E166" i="4"/>
  <c r="D166" i="4"/>
  <c r="J166" i="4" s="1"/>
  <c r="K166" i="4" s="1"/>
  <c r="E165" i="4"/>
  <c r="D165" i="4"/>
  <c r="J165" i="4" s="1"/>
  <c r="K165" i="4" s="1"/>
  <c r="E164" i="4"/>
  <c r="D164" i="4"/>
  <c r="E163" i="4"/>
  <c r="D163" i="4"/>
  <c r="E162" i="4"/>
  <c r="D162" i="4"/>
  <c r="E161" i="4"/>
  <c r="D161" i="4"/>
  <c r="E160" i="4"/>
  <c r="D160" i="4"/>
  <c r="E159" i="4"/>
  <c r="D159" i="4"/>
  <c r="E158" i="4"/>
  <c r="D158" i="4"/>
  <c r="E157" i="4"/>
  <c r="D157" i="4"/>
  <c r="J157" i="4" s="1"/>
  <c r="E156" i="4"/>
  <c r="D156" i="4"/>
  <c r="E155" i="4"/>
  <c r="D155" i="4"/>
  <c r="E154" i="4"/>
  <c r="D154" i="4"/>
  <c r="E153" i="4"/>
  <c r="D153" i="4"/>
  <c r="E152" i="4"/>
  <c r="D152" i="4"/>
  <c r="E150" i="4"/>
  <c r="D150" i="4"/>
  <c r="E149" i="4"/>
  <c r="D149" i="4"/>
  <c r="E148" i="4"/>
  <c r="D148" i="4"/>
  <c r="E147" i="4"/>
  <c r="D147" i="4"/>
  <c r="E146" i="4"/>
  <c r="D146" i="4"/>
  <c r="E145" i="4"/>
  <c r="D145" i="4"/>
  <c r="E144" i="4"/>
  <c r="D144" i="4"/>
  <c r="E143" i="4"/>
  <c r="D143" i="4"/>
  <c r="J143" i="4" s="1"/>
  <c r="K143" i="4" s="1"/>
  <c r="E142" i="4"/>
  <c r="D142" i="4"/>
  <c r="E141" i="4"/>
  <c r="D141" i="4"/>
  <c r="E140" i="4"/>
  <c r="D140" i="4"/>
  <c r="E139" i="4"/>
  <c r="D139" i="4"/>
  <c r="J139" i="4" s="1"/>
  <c r="K139" i="4" s="1"/>
  <c r="E138" i="4"/>
  <c r="D138" i="4"/>
  <c r="J138" i="4" s="1"/>
  <c r="K138" i="4" s="1"/>
  <c r="E137" i="4"/>
  <c r="D137" i="4"/>
  <c r="E136" i="4"/>
  <c r="D136" i="4"/>
  <c r="E135" i="4"/>
  <c r="D135" i="4"/>
  <c r="E134" i="4"/>
  <c r="D134" i="4"/>
  <c r="E133" i="4"/>
  <c r="D133" i="4"/>
  <c r="J133" i="4" s="1"/>
  <c r="K133" i="4" s="1"/>
  <c r="E132" i="4"/>
  <c r="D132" i="4"/>
  <c r="E131" i="4"/>
  <c r="D131" i="4"/>
  <c r="E130" i="4"/>
  <c r="D130" i="4"/>
  <c r="J130" i="4" s="1"/>
  <c r="K130" i="4" s="1"/>
  <c r="E129" i="4"/>
  <c r="D129" i="4"/>
  <c r="E128" i="4"/>
  <c r="D128" i="4"/>
  <c r="G127" i="4"/>
  <c r="E127" i="4"/>
  <c r="E126" i="4"/>
  <c r="D126" i="4"/>
  <c r="I126" i="4" s="1"/>
  <c r="H124" i="4"/>
  <c r="G124" i="4"/>
  <c r="E124" i="4"/>
  <c r="G123" i="4"/>
  <c r="H123" i="4" s="1"/>
  <c r="E123" i="4"/>
  <c r="G122" i="4"/>
  <c r="H122" i="4" s="1"/>
  <c r="E122" i="4"/>
  <c r="E121" i="4"/>
  <c r="D121" i="4"/>
  <c r="I121" i="4" s="1"/>
  <c r="G120" i="4"/>
  <c r="H120" i="4" s="1"/>
  <c r="E120" i="4"/>
  <c r="E119" i="4"/>
  <c r="D119" i="4"/>
  <c r="E118" i="4"/>
  <c r="D118" i="4"/>
  <c r="E117" i="4"/>
  <c r="D117" i="4"/>
  <c r="H116" i="4"/>
  <c r="G116" i="4"/>
  <c r="E116" i="4"/>
  <c r="G115" i="4"/>
  <c r="H115" i="4" s="1"/>
  <c r="E115" i="4"/>
  <c r="G114" i="4"/>
  <c r="H114" i="4" s="1"/>
  <c r="E114" i="4"/>
  <c r="G113" i="4"/>
  <c r="H113" i="4" s="1"/>
  <c r="E113" i="4"/>
  <c r="G112" i="4"/>
  <c r="H112" i="4" s="1"/>
  <c r="E112" i="4"/>
  <c r="G111" i="4"/>
  <c r="E111" i="4"/>
  <c r="H110" i="4"/>
  <c r="G110" i="4"/>
  <c r="E110" i="4"/>
  <c r="G109" i="4"/>
  <c r="H109" i="4" s="1"/>
  <c r="E109" i="4"/>
  <c r="E108" i="4"/>
  <c r="D108" i="4"/>
  <c r="G107" i="4"/>
  <c r="H107" i="4" s="1"/>
  <c r="E107" i="4"/>
  <c r="G106" i="4"/>
  <c r="H106" i="4" s="1"/>
  <c r="E106" i="4"/>
  <c r="G105" i="4"/>
  <c r="H105" i="4" s="1"/>
  <c r="E105" i="4"/>
  <c r="G104" i="4"/>
  <c r="H104" i="4" s="1"/>
  <c r="E104" i="4"/>
  <c r="G103" i="4"/>
  <c r="H103" i="4" s="1"/>
  <c r="E103" i="4"/>
  <c r="G102" i="4"/>
  <c r="H102" i="4" s="1"/>
  <c r="E102" i="4"/>
  <c r="G101" i="4"/>
  <c r="H101" i="4" s="1"/>
  <c r="E101" i="4"/>
  <c r="G100" i="4"/>
  <c r="H100" i="4" s="1"/>
  <c r="E100" i="4"/>
  <c r="G99" i="4"/>
  <c r="H99" i="4" s="1"/>
  <c r="E99" i="4"/>
  <c r="G98" i="4"/>
  <c r="H98" i="4" s="1"/>
  <c r="E98" i="4"/>
  <c r="G97" i="4"/>
  <c r="H97" i="4" s="1"/>
  <c r="E97" i="4"/>
  <c r="G96" i="4"/>
  <c r="H96" i="4" s="1"/>
  <c r="E96" i="4"/>
  <c r="G94" i="4"/>
  <c r="H94" i="4" s="1"/>
  <c r="E94" i="4"/>
  <c r="E93" i="4"/>
  <c r="D93" i="4"/>
  <c r="I93" i="4" s="1"/>
  <c r="E92" i="4"/>
  <c r="D92" i="4"/>
  <c r="J92" i="4" s="1"/>
  <c r="G91" i="4"/>
  <c r="H91" i="4" s="1"/>
  <c r="E91" i="4"/>
  <c r="G89" i="4"/>
  <c r="H89" i="4" s="1"/>
  <c r="E89" i="4"/>
  <c r="G88" i="4"/>
  <c r="H88" i="4" s="1"/>
  <c r="E88" i="4"/>
  <c r="G87" i="4"/>
  <c r="H87" i="4" s="1"/>
  <c r="E87" i="4"/>
  <c r="G86" i="4"/>
  <c r="E86" i="4"/>
  <c r="G85" i="4"/>
  <c r="H85" i="4" s="1"/>
  <c r="E85" i="4"/>
  <c r="E84" i="4"/>
  <c r="D84" i="4"/>
  <c r="E83" i="4"/>
  <c r="D83" i="4"/>
  <c r="E82" i="4"/>
  <c r="D82" i="4"/>
  <c r="E81" i="4"/>
  <c r="D81" i="4"/>
  <c r="E80" i="4"/>
  <c r="D80" i="4"/>
  <c r="J80" i="4" s="1"/>
  <c r="G78" i="4"/>
  <c r="H78" i="4" s="1"/>
  <c r="E78" i="4"/>
  <c r="G77" i="4"/>
  <c r="H77" i="4" s="1"/>
  <c r="E77" i="4"/>
  <c r="G76" i="4"/>
  <c r="H76" i="4" s="1"/>
  <c r="E76" i="4"/>
  <c r="G75" i="4"/>
  <c r="H75" i="4" s="1"/>
  <c r="E75" i="4"/>
  <c r="G74" i="4"/>
  <c r="H74" i="4" s="1"/>
  <c r="E74" i="4"/>
  <c r="G73" i="4"/>
  <c r="H73" i="4" s="1"/>
  <c r="E73" i="4"/>
  <c r="G72" i="4"/>
  <c r="H72" i="4" s="1"/>
  <c r="E72" i="4"/>
  <c r="E71" i="4"/>
  <c r="D71" i="4"/>
  <c r="G70" i="4"/>
  <c r="H70" i="4" s="1"/>
  <c r="E70" i="4"/>
  <c r="E69" i="4"/>
  <c r="D69" i="4"/>
  <c r="J69" i="4" s="1"/>
  <c r="G68" i="4"/>
  <c r="H68" i="4" s="1"/>
  <c r="E68" i="4"/>
  <c r="G67" i="4"/>
  <c r="H67" i="4" s="1"/>
  <c r="E67" i="4"/>
  <c r="G66" i="4"/>
  <c r="H66" i="4" s="1"/>
  <c r="E66" i="4"/>
  <c r="G65" i="4"/>
  <c r="H65" i="4" s="1"/>
  <c r="E65" i="4"/>
  <c r="G64" i="4"/>
  <c r="H64" i="4" s="1"/>
  <c r="E64" i="4"/>
  <c r="G63" i="4"/>
  <c r="H63" i="4" s="1"/>
  <c r="E63" i="4"/>
  <c r="G62" i="4"/>
  <c r="H62" i="4" s="1"/>
  <c r="E62" i="4"/>
  <c r="G61" i="4"/>
  <c r="H61" i="4" s="1"/>
  <c r="E61" i="4"/>
  <c r="G60" i="4"/>
  <c r="H60" i="4" s="1"/>
  <c r="E60" i="4"/>
  <c r="G59" i="4"/>
  <c r="H59" i="4" s="1"/>
  <c r="E59" i="4"/>
  <c r="G58" i="4"/>
  <c r="H58" i="4" s="1"/>
  <c r="E58" i="4"/>
  <c r="H57" i="4"/>
  <c r="G57" i="4"/>
  <c r="E57" i="4"/>
  <c r="E56" i="4"/>
  <c r="D56" i="4"/>
  <c r="G55" i="4"/>
  <c r="H55" i="4" s="1"/>
  <c r="E55" i="4"/>
  <c r="G54" i="4"/>
  <c r="H54" i="4" s="1"/>
  <c r="G53" i="4"/>
  <c r="H53" i="4" s="1"/>
  <c r="G52" i="4"/>
  <c r="H52" i="4" s="1"/>
  <c r="G51" i="4"/>
  <c r="H51" i="4" s="1"/>
  <c r="G50" i="4"/>
  <c r="H50" i="4" s="1"/>
  <c r="G49" i="4"/>
  <c r="H49" i="4" s="1"/>
  <c r="H48" i="4"/>
  <c r="G48" i="4"/>
  <c r="E48" i="4"/>
  <c r="G47" i="4"/>
  <c r="H47" i="4" s="1"/>
  <c r="G46" i="4"/>
  <c r="H46" i="4" s="1"/>
  <c r="E46" i="4"/>
  <c r="G45" i="4"/>
  <c r="H45" i="4" s="1"/>
  <c r="G44" i="4"/>
  <c r="H44" i="4" s="1"/>
  <c r="G43" i="4"/>
  <c r="H43" i="4" s="1"/>
  <c r="H42" i="4"/>
  <c r="G42" i="4"/>
  <c r="G41" i="4"/>
  <c r="H41" i="4" s="1"/>
  <c r="G40" i="4"/>
  <c r="H40" i="4" s="1"/>
  <c r="E40" i="4"/>
  <c r="G39" i="4"/>
  <c r="H39" i="4" s="1"/>
  <c r="E39" i="4"/>
  <c r="G38" i="4"/>
  <c r="H38" i="4" s="1"/>
  <c r="G37" i="4"/>
  <c r="H37" i="4" s="1"/>
  <c r="G36" i="4"/>
  <c r="H36" i="4" s="1"/>
  <c r="G35" i="4"/>
  <c r="H35" i="4" s="1"/>
  <c r="E35" i="4"/>
  <c r="G34" i="4"/>
  <c r="H34" i="4" s="1"/>
  <c r="E34" i="4"/>
  <c r="G33" i="4"/>
  <c r="H33" i="4" s="1"/>
  <c r="G32" i="4"/>
  <c r="H32" i="4" s="1"/>
  <c r="G31" i="4"/>
  <c r="H31" i="4" s="1"/>
  <c r="G30" i="4"/>
  <c r="H30" i="4" s="1"/>
  <c r="E30" i="4"/>
  <c r="G29" i="4"/>
  <c r="H29" i="4" s="1"/>
  <c r="G28" i="4"/>
  <c r="H28" i="4" s="1"/>
  <c r="G27" i="4"/>
  <c r="H27" i="4" s="1"/>
  <c r="G26" i="4"/>
  <c r="H26" i="4" s="1"/>
  <c r="G25" i="4"/>
  <c r="G24" i="4"/>
  <c r="G23" i="4"/>
  <c r="E22" i="4"/>
  <c r="G21" i="4"/>
  <c r="E20" i="4"/>
  <c r="G19" i="4"/>
  <c r="H19" i="4" s="1"/>
  <c r="E19" i="4"/>
  <c r="G18" i="4"/>
  <c r="H18" i="4" s="1"/>
  <c r="E18" i="4"/>
  <c r="G17" i="4"/>
  <c r="H17" i="4" s="1"/>
  <c r="E17" i="4"/>
  <c r="G16" i="4"/>
  <c r="H16" i="4" s="1"/>
  <c r="E16" i="4"/>
  <c r="G15" i="4"/>
  <c r="H15" i="4" s="1"/>
  <c r="E15" i="4"/>
  <c r="G14" i="4"/>
  <c r="H14" i="4" s="1"/>
  <c r="E14" i="4"/>
  <c r="G13" i="4"/>
  <c r="H13" i="4" s="1"/>
  <c r="E13" i="4"/>
  <c r="G12" i="4"/>
  <c r="H12" i="4" s="1"/>
  <c r="E12" i="4"/>
  <c r="G11" i="4"/>
  <c r="H11" i="4" s="1"/>
  <c r="E11" i="4"/>
  <c r="G10" i="4"/>
  <c r="H10" i="4" s="1"/>
  <c r="E10" i="4"/>
  <c r="G9" i="4"/>
  <c r="H9" i="4" s="1"/>
  <c r="E9" i="4"/>
  <c r="G8" i="4"/>
  <c r="H8" i="4" s="1"/>
  <c r="E8" i="4"/>
  <c r="G7" i="4"/>
  <c r="E7" i="4"/>
  <c r="H6" i="4"/>
  <c r="G6" i="4"/>
  <c r="E6" i="4"/>
  <c r="G5" i="4"/>
  <c r="H5" i="4" s="1"/>
  <c r="E5" i="4"/>
  <c r="G4" i="4"/>
  <c r="H4" i="4" s="1"/>
  <c r="E4" i="4"/>
  <c r="E3" i="4"/>
  <c r="D3" i="4"/>
  <c r="I3" i="4" s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" i="1"/>
  <c r="N120" i="1" l="1"/>
  <c r="O120" i="1" s="1"/>
  <c r="J268" i="4"/>
  <c r="K268" i="4" s="1"/>
  <c r="G147" i="4"/>
  <c r="J147" i="4"/>
  <c r="K147" i="4" s="1"/>
  <c r="J186" i="4"/>
  <c r="K186" i="4" s="1"/>
  <c r="J222" i="4"/>
  <c r="J221" i="4" s="1"/>
  <c r="I221" i="4" s="1"/>
  <c r="N207" i="1" s="1"/>
  <c r="O207" i="1" s="1"/>
  <c r="G258" i="4"/>
  <c r="G257" i="4" s="1"/>
  <c r="F257" i="4" s="1"/>
  <c r="K282" i="1" s="1"/>
  <c r="L282" i="1" s="1"/>
  <c r="J258" i="4"/>
  <c r="J257" i="4" s="1"/>
  <c r="I257" i="4" s="1"/>
  <c r="N282" i="1" s="1"/>
  <c r="O282" i="1" s="1"/>
  <c r="G300" i="4"/>
  <c r="G299" i="4" s="1"/>
  <c r="F299" i="4" s="1"/>
  <c r="K322" i="1" s="1"/>
  <c r="L322" i="1" s="1"/>
  <c r="J300" i="4"/>
  <c r="G337" i="4"/>
  <c r="G336" i="4" s="1"/>
  <c r="F336" i="4" s="1"/>
  <c r="K364" i="1" s="1"/>
  <c r="L364" i="1" s="1"/>
  <c r="J337" i="4"/>
  <c r="J336" i="4" s="1"/>
  <c r="I336" i="4" s="1"/>
  <c r="N364" i="1" s="1"/>
  <c r="O364" i="1" s="1"/>
  <c r="G129" i="4"/>
  <c r="J129" i="4"/>
  <c r="G135" i="4"/>
  <c r="J135" i="4"/>
  <c r="G160" i="4"/>
  <c r="G159" i="4" s="1"/>
  <c r="F159" i="4" s="1"/>
  <c r="K157" i="1" s="1"/>
  <c r="L157" i="1" s="1"/>
  <c r="J160" i="4"/>
  <c r="J159" i="4" s="1"/>
  <c r="I159" i="4" s="1"/>
  <c r="N157" i="1" s="1"/>
  <c r="O157" i="1" s="1"/>
  <c r="G174" i="4"/>
  <c r="H174" i="4" s="1"/>
  <c r="J174" i="4"/>
  <c r="K174" i="4" s="1"/>
  <c r="J192" i="4"/>
  <c r="K192" i="4" s="1"/>
  <c r="J276" i="4"/>
  <c r="J275" i="4" s="1"/>
  <c r="I275" i="4" s="1"/>
  <c r="N275" i="1" s="1"/>
  <c r="O275" i="1" s="1"/>
  <c r="G306" i="4"/>
  <c r="G305" i="4" s="1"/>
  <c r="F305" i="4" s="1"/>
  <c r="K289" i="1" s="1"/>
  <c r="L289" i="1" s="1"/>
  <c r="J306" i="4"/>
  <c r="J305" i="4" s="1"/>
  <c r="I305" i="4" s="1"/>
  <c r="N289" i="1" s="1"/>
  <c r="O289" i="1" s="1"/>
  <c r="G331" i="4"/>
  <c r="G330" i="4" s="1"/>
  <c r="J331" i="4"/>
  <c r="J190" i="4"/>
  <c r="K190" i="4" s="1"/>
  <c r="J335" i="4"/>
  <c r="J334" i="4" s="1"/>
  <c r="I334" i="4" s="1"/>
  <c r="N401" i="1" s="1"/>
  <c r="O401" i="1" s="1"/>
  <c r="J141" i="4"/>
  <c r="K141" i="4" s="1"/>
  <c r="G180" i="4"/>
  <c r="H180" i="4" s="1"/>
  <c r="J180" i="4"/>
  <c r="K180" i="4" s="1"/>
  <c r="J210" i="4"/>
  <c r="K210" i="4" s="1"/>
  <c r="J318" i="4"/>
  <c r="J317" i="4" s="1"/>
  <c r="I317" i="4" s="1"/>
  <c r="N301" i="1" s="1"/>
  <c r="O301" i="1" s="1"/>
  <c r="J349" i="4"/>
  <c r="K349" i="4" s="1"/>
  <c r="J164" i="4"/>
  <c r="K164" i="4" s="1"/>
  <c r="K202" i="4"/>
  <c r="G232" i="4"/>
  <c r="J232" i="4"/>
  <c r="G262" i="4"/>
  <c r="H262" i="4" s="1"/>
  <c r="J262" i="4"/>
  <c r="K262" i="4" s="1"/>
  <c r="G316" i="4"/>
  <c r="H316" i="4" s="1"/>
  <c r="H315" i="4" s="1"/>
  <c r="J316" i="4"/>
  <c r="J315" i="4" s="1"/>
  <c r="I315" i="4" s="1"/>
  <c r="N306" i="1" s="1"/>
  <c r="O306" i="1" s="1"/>
  <c r="G228" i="4"/>
  <c r="G227" i="4" s="1"/>
  <c r="F227" i="4" s="1"/>
  <c r="K213" i="1" s="1"/>
  <c r="L213" i="1" s="1"/>
  <c r="J228" i="4"/>
  <c r="J227" i="4" s="1"/>
  <c r="I227" i="4" s="1"/>
  <c r="N213" i="1" s="1"/>
  <c r="O213" i="1" s="1"/>
  <c r="K228" i="4"/>
  <c r="G264" i="4"/>
  <c r="J264" i="4"/>
  <c r="K264" i="4" s="1"/>
  <c r="G312" i="4"/>
  <c r="G311" i="4" s="1"/>
  <c r="F311" i="4" s="1"/>
  <c r="K318" i="1" s="1"/>
  <c r="L318" i="1" s="1"/>
  <c r="J312" i="4"/>
  <c r="J311" i="4" s="1"/>
  <c r="I311" i="4" s="1"/>
  <c r="G361" i="4"/>
  <c r="J361" i="4"/>
  <c r="J360" i="4" s="1"/>
  <c r="I360" i="4" s="1"/>
  <c r="N372" i="1" s="1"/>
  <c r="O372" i="1" s="1"/>
  <c r="J198" i="4"/>
  <c r="J197" i="4" s="1"/>
  <c r="I197" i="4" s="1"/>
  <c r="K245" i="4"/>
  <c r="J288" i="4"/>
  <c r="K288" i="4" s="1"/>
  <c r="K80" i="4"/>
  <c r="J117" i="4"/>
  <c r="K117" i="4" s="1"/>
  <c r="J154" i="4"/>
  <c r="K154" i="4" s="1"/>
  <c r="G270" i="4"/>
  <c r="J270" i="4"/>
  <c r="K270" i="4" s="1"/>
  <c r="J294" i="4"/>
  <c r="K294" i="4" s="1"/>
  <c r="G324" i="4"/>
  <c r="G323" i="4" s="1"/>
  <c r="F323" i="4" s="1"/>
  <c r="K316" i="1" s="1"/>
  <c r="L316" i="1" s="1"/>
  <c r="J324" i="4"/>
  <c r="J323" i="4" s="1"/>
  <c r="I323" i="4" s="1"/>
  <c r="J367" i="4"/>
  <c r="J366" i="4" s="1"/>
  <c r="I366" i="4" s="1"/>
  <c r="G152" i="4"/>
  <c r="H152" i="4" s="1"/>
  <c r="J152" i="4"/>
  <c r="K152" i="4" s="1"/>
  <c r="G172" i="4"/>
  <c r="J172" i="4"/>
  <c r="K172" i="4" s="1"/>
  <c r="J184" i="4"/>
  <c r="K184" i="4" s="1"/>
  <c r="J226" i="4"/>
  <c r="J225" i="4" s="1"/>
  <c r="I225" i="4" s="1"/>
  <c r="N223" i="1" s="1"/>
  <c r="O223" i="1" s="1"/>
  <c r="G250" i="4"/>
  <c r="H250" i="4" s="1"/>
  <c r="J250" i="4"/>
  <c r="G286" i="4"/>
  <c r="H286" i="4" s="1"/>
  <c r="J286" i="4"/>
  <c r="K286" i="4" s="1"/>
  <c r="G322" i="4"/>
  <c r="G321" i="4" s="1"/>
  <c r="J322" i="4"/>
  <c r="J321" i="4" s="1"/>
  <c r="I321" i="4" s="1"/>
  <c r="N308" i="1" s="1"/>
  <c r="O308" i="1" s="1"/>
  <c r="G208" i="4"/>
  <c r="G207" i="4" s="1"/>
  <c r="J208" i="4"/>
  <c r="J207" i="4" s="1"/>
  <c r="I207" i="4" s="1"/>
  <c r="G146" i="4"/>
  <c r="H146" i="4" s="1"/>
  <c r="J146" i="4"/>
  <c r="K146" i="4" s="1"/>
  <c r="J153" i="4"/>
  <c r="K153" i="4" s="1"/>
  <c r="J173" i="4"/>
  <c r="K173" i="4" s="1"/>
  <c r="J179" i="4"/>
  <c r="K179" i="4" s="1"/>
  <c r="G203" i="4"/>
  <c r="H203" i="4" s="1"/>
  <c r="J203" i="4"/>
  <c r="K203" i="4" s="1"/>
  <c r="J215" i="4"/>
  <c r="K215" i="4" s="1"/>
  <c r="J233" i="4"/>
  <c r="K233" i="4" s="1"/>
  <c r="G239" i="4"/>
  <c r="H239" i="4" s="1"/>
  <c r="J239" i="4"/>
  <c r="K239" i="4" s="1"/>
  <c r="J251" i="4"/>
  <c r="K251" i="4" s="1"/>
  <c r="G281" i="4"/>
  <c r="J281" i="4"/>
  <c r="J280" i="4" s="1"/>
  <c r="I280" i="4" s="1"/>
  <c r="N280" i="1" s="1"/>
  <c r="O280" i="1" s="1"/>
  <c r="J287" i="4"/>
  <c r="K287" i="4" s="1"/>
  <c r="K293" i="4"/>
  <c r="G342" i="4"/>
  <c r="H342" i="4" s="1"/>
  <c r="H341" i="4" s="1"/>
  <c r="J342" i="4"/>
  <c r="J341" i="4" s="1"/>
  <c r="I341" i="4" s="1"/>
  <c r="N384" i="1" s="1"/>
  <c r="O384" i="1" s="1"/>
  <c r="J354" i="4"/>
  <c r="J353" i="4" s="1"/>
  <c r="I353" i="4" s="1"/>
  <c r="N429" i="1" s="1"/>
  <c r="O429" i="1" s="1"/>
  <c r="J390" i="4"/>
  <c r="J389" i="4" s="1"/>
  <c r="I389" i="4" s="1"/>
  <c r="N431" i="1" s="1"/>
  <c r="O431" i="1" s="1"/>
  <c r="G410" i="4"/>
  <c r="J410" i="4"/>
  <c r="J409" i="4" s="1"/>
  <c r="I409" i="4" s="1"/>
  <c r="J416" i="4"/>
  <c r="J415" i="4" s="1"/>
  <c r="I415" i="4" s="1"/>
  <c r="N349" i="1" s="1"/>
  <c r="O349" i="1" s="1"/>
  <c r="K422" i="4"/>
  <c r="J421" i="4"/>
  <c r="I421" i="4" s="1"/>
  <c r="N362" i="1" s="1"/>
  <c r="O362" i="1" s="1"/>
  <c r="G145" i="4"/>
  <c r="H145" i="4" s="1"/>
  <c r="J145" i="4"/>
  <c r="K145" i="4" s="1"/>
  <c r="G158" i="4"/>
  <c r="H158" i="4" s="1"/>
  <c r="J158" i="4"/>
  <c r="K158" i="4" s="1"/>
  <c r="J196" i="4"/>
  <c r="K196" i="4" s="1"/>
  <c r="G214" i="4"/>
  <c r="H214" i="4" s="1"/>
  <c r="J214" i="4"/>
  <c r="K214" i="4" s="1"/>
  <c r="G220" i="4"/>
  <c r="H220" i="4" s="1"/>
  <c r="J220" i="4"/>
  <c r="K220" i="4" s="1"/>
  <c r="K238" i="4"/>
  <c r="J244" i="4"/>
  <c r="J243" i="4" s="1"/>
  <c r="I243" i="4" s="1"/>
  <c r="N238" i="1" s="1"/>
  <c r="O238" i="1" s="1"/>
  <c r="J256" i="4"/>
  <c r="J255" i="4" s="1"/>
  <c r="I255" i="4" s="1"/>
  <c r="N244" i="1" s="1"/>
  <c r="O244" i="1" s="1"/>
  <c r="K274" i="4"/>
  <c r="J273" i="4"/>
  <c r="I273" i="4" s="1"/>
  <c r="N268" i="1" s="1"/>
  <c r="O268" i="1" s="1"/>
  <c r="J298" i="4"/>
  <c r="J297" i="4" s="1"/>
  <c r="I297" i="4" s="1"/>
  <c r="N291" i="1" s="1"/>
  <c r="O291" i="1" s="1"/>
  <c r="K310" i="4"/>
  <c r="J309" i="4"/>
  <c r="I309" i="4" s="1"/>
  <c r="N299" i="1" s="1"/>
  <c r="O299" i="1" s="1"/>
  <c r="J329" i="4"/>
  <c r="J328" i="4" s="1"/>
  <c r="I328" i="4" s="1"/>
  <c r="N423" i="1" s="1"/>
  <c r="O423" i="1" s="1"/>
  <c r="J347" i="4"/>
  <c r="K347" i="4" s="1"/>
  <c r="G359" i="4"/>
  <c r="H359" i="4" s="1"/>
  <c r="H358" i="4" s="1"/>
  <c r="J359" i="4"/>
  <c r="J358" i="4" s="1"/>
  <c r="I358" i="4" s="1"/>
  <c r="J365" i="4"/>
  <c r="J364" i="4" s="1"/>
  <c r="I364" i="4" s="1"/>
  <c r="G371" i="4"/>
  <c r="G370" i="4" s="1"/>
  <c r="F370" i="4" s="1"/>
  <c r="J371" i="4"/>
  <c r="J370" i="4" s="1"/>
  <c r="I370" i="4" s="1"/>
  <c r="G377" i="4"/>
  <c r="G376" i="4" s="1"/>
  <c r="F376" i="4" s="1"/>
  <c r="K415" i="1" s="1"/>
  <c r="L415" i="1" s="1"/>
  <c r="J377" i="4"/>
  <c r="J376" i="4" s="1"/>
  <c r="I376" i="4" s="1"/>
  <c r="N415" i="1" s="1"/>
  <c r="O415" i="1" s="1"/>
  <c r="J383" i="4"/>
  <c r="J382" i="4" s="1"/>
  <c r="I382" i="4" s="1"/>
  <c r="N211" i="1" s="1"/>
  <c r="O211" i="1" s="1"/>
  <c r="J395" i="4"/>
  <c r="K395" i="4" s="1"/>
  <c r="K92" i="4"/>
  <c r="J84" i="4"/>
  <c r="I84" i="4" s="1"/>
  <c r="N87" i="1" s="1"/>
  <c r="O87" i="1" s="1"/>
  <c r="J412" i="4"/>
  <c r="J411" i="4" s="1"/>
  <c r="I411" i="4" s="1"/>
  <c r="K418" i="4"/>
  <c r="J417" i="4"/>
  <c r="I417" i="4" s="1"/>
  <c r="J424" i="4"/>
  <c r="K424" i="4" s="1"/>
  <c r="N122" i="1"/>
  <c r="O122" i="1" s="1"/>
  <c r="N194" i="1"/>
  <c r="O194" i="1" s="1"/>
  <c r="N167" i="1"/>
  <c r="O167" i="1" s="1"/>
  <c r="N94" i="1"/>
  <c r="O94" i="1" s="1"/>
  <c r="K373" i="4"/>
  <c r="J379" i="4"/>
  <c r="J378" i="4" s="1"/>
  <c r="I378" i="4" s="1"/>
  <c r="N351" i="1" s="1"/>
  <c r="O351" i="1" s="1"/>
  <c r="J136" i="4"/>
  <c r="K136" i="4" s="1"/>
  <c r="G142" i="4"/>
  <c r="H142" i="4" s="1"/>
  <c r="J142" i="4"/>
  <c r="K142" i="4" s="1"/>
  <c r="G148" i="4"/>
  <c r="H148" i="4" s="1"/>
  <c r="J148" i="4"/>
  <c r="K148" i="4" s="1"/>
  <c r="J155" i="4"/>
  <c r="K155" i="4" s="1"/>
  <c r="G167" i="4"/>
  <c r="H167" i="4" s="1"/>
  <c r="J167" i="4"/>
  <c r="K167" i="4" s="1"/>
  <c r="J175" i="4"/>
  <c r="K175" i="4" s="1"/>
  <c r="G181" i="4"/>
  <c r="H181" i="4" s="1"/>
  <c r="J181" i="4"/>
  <c r="K181" i="4" s="1"/>
  <c r="G187" i="4"/>
  <c r="H187" i="4" s="1"/>
  <c r="J187" i="4"/>
  <c r="K187" i="4" s="1"/>
  <c r="G217" i="4"/>
  <c r="H217" i="4" s="1"/>
  <c r="J217" i="4"/>
  <c r="K235" i="4"/>
  <c r="J241" i="4"/>
  <c r="K241" i="4" s="1"/>
  <c r="G397" i="4"/>
  <c r="J397" i="4"/>
  <c r="G81" i="4"/>
  <c r="H81" i="4" s="1"/>
  <c r="J81" i="4"/>
  <c r="K81" i="4" s="1"/>
  <c r="J118" i="4"/>
  <c r="K118" i="4" s="1"/>
  <c r="J265" i="4"/>
  <c r="K265" i="4" s="1"/>
  <c r="G283" i="4"/>
  <c r="H283" i="4" s="1"/>
  <c r="J283" i="4"/>
  <c r="K283" i="4" s="1"/>
  <c r="J344" i="4"/>
  <c r="J343" i="4" s="1"/>
  <c r="I343" i="4" s="1"/>
  <c r="N419" i="1" s="1"/>
  <c r="O419" i="1" s="1"/>
  <c r="J350" i="4"/>
  <c r="K350" i="4" s="1"/>
  <c r="G356" i="4"/>
  <c r="H356" i="4" s="1"/>
  <c r="J356" i="4"/>
  <c r="J355" i="4" s="1"/>
  <c r="I355" i="4" s="1"/>
  <c r="N227" i="1" s="1"/>
  <c r="O227" i="1" s="1"/>
  <c r="G374" i="4"/>
  <c r="H374" i="4" s="1"/>
  <c r="J374" i="4"/>
  <c r="G386" i="4"/>
  <c r="H386" i="4" s="1"/>
  <c r="L386" i="4" s="1"/>
  <c r="J386" i="4"/>
  <c r="J392" i="4"/>
  <c r="J391" i="4" s="1"/>
  <c r="I391" i="4" s="1"/>
  <c r="N335" i="1" s="1"/>
  <c r="O335" i="1" s="1"/>
  <c r="J137" i="4"/>
  <c r="K137" i="4" s="1"/>
  <c r="J162" i="4"/>
  <c r="J161" i="4" s="1"/>
  <c r="I161" i="4" s="1"/>
  <c r="N159" i="1" s="1"/>
  <c r="O159" i="1" s="1"/>
  <c r="J194" i="4"/>
  <c r="K194" i="4" s="1"/>
  <c r="G200" i="4"/>
  <c r="H200" i="4" s="1"/>
  <c r="H199" i="4" s="1"/>
  <c r="J200" i="4"/>
  <c r="J199" i="4" s="1"/>
  <c r="I199" i="4" s="1"/>
  <c r="N169" i="1" s="1"/>
  <c r="O169" i="1" s="1"/>
  <c r="G206" i="4"/>
  <c r="H206" i="4" s="1"/>
  <c r="H205" i="4" s="1"/>
  <c r="J206" i="4"/>
  <c r="J205" i="4" s="1"/>
  <c r="I205" i="4" s="1"/>
  <c r="N186" i="1" s="1"/>
  <c r="O186" i="1" s="1"/>
  <c r="G212" i="4"/>
  <c r="H212" i="4" s="1"/>
  <c r="J212" i="4"/>
  <c r="K212" i="4" s="1"/>
  <c r="G218" i="4"/>
  <c r="H218" i="4" s="1"/>
  <c r="J218" i="4"/>
  <c r="K218" i="4" s="1"/>
  <c r="G224" i="4"/>
  <c r="G223" i="4" s="1"/>
  <c r="F223" i="4" s="1"/>
  <c r="K209" i="1" s="1"/>
  <c r="L209" i="1" s="1"/>
  <c r="J224" i="4"/>
  <c r="J230" i="4"/>
  <c r="J229" i="4" s="1"/>
  <c r="I229" i="4" s="1"/>
  <c r="N218" i="1" s="1"/>
  <c r="O218" i="1" s="1"/>
  <c r="G236" i="4"/>
  <c r="H236" i="4" s="1"/>
  <c r="J236" i="4"/>
  <c r="K236" i="4" s="1"/>
  <c r="G242" i="4"/>
  <c r="H242" i="4" s="1"/>
  <c r="J242" i="4"/>
  <c r="K242" i="4" s="1"/>
  <c r="G248" i="4"/>
  <c r="G247" i="4" s="1"/>
  <c r="F247" i="4" s="1"/>
  <c r="K225" i="1" s="1"/>
  <c r="L225" i="1" s="1"/>
  <c r="J248" i="4"/>
  <c r="J247" i="4" s="1"/>
  <c r="I247" i="4" s="1"/>
  <c r="N225" i="1" s="1"/>
  <c r="O225" i="1" s="1"/>
  <c r="G398" i="4"/>
  <c r="J398" i="4"/>
  <c r="G408" i="4"/>
  <c r="G407" i="4" s="1"/>
  <c r="F407" i="4" s="1"/>
  <c r="K310" i="1" s="1"/>
  <c r="L310" i="1" s="1"/>
  <c r="J408" i="4"/>
  <c r="J407" i="4" s="1"/>
  <c r="I407" i="4" s="1"/>
  <c r="N310" i="1" s="1"/>
  <c r="O310" i="1" s="1"/>
  <c r="J414" i="4"/>
  <c r="J413" i="4" s="1"/>
  <c r="I413" i="4" s="1"/>
  <c r="N314" i="1" s="1"/>
  <c r="O314" i="1" s="1"/>
  <c r="K420" i="4"/>
  <c r="J419" i="4"/>
  <c r="I419" i="4" s="1"/>
  <c r="N425" i="1" s="1"/>
  <c r="O425" i="1" s="1"/>
  <c r="J82" i="4"/>
  <c r="K82" i="4" s="1"/>
  <c r="G119" i="4"/>
  <c r="H119" i="4" s="1"/>
  <c r="J119" i="4"/>
  <c r="K119" i="4" s="1"/>
  <c r="G254" i="4"/>
  <c r="G253" i="4" s="1"/>
  <c r="F253" i="4" s="1"/>
  <c r="K266" i="1" s="1"/>
  <c r="L266" i="1" s="1"/>
  <c r="J254" i="4"/>
  <c r="J253" i="4" s="1"/>
  <c r="I253" i="4" s="1"/>
  <c r="N266" i="1" s="1"/>
  <c r="O266" i="1" s="1"/>
  <c r="J260" i="4"/>
  <c r="J266" i="4"/>
  <c r="K266" i="4" s="1"/>
  <c r="G272" i="4"/>
  <c r="H272" i="4" s="1"/>
  <c r="J272" i="4"/>
  <c r="K272" i="4" s="1"/>
  <c r="G284" i="4"/>
  <c r="H284" i="4" s="1"/>
  <c r="J284" i="4"/>
  <c r="K284" i="4" s="1"/>
  <c r="K296" i="4"/>
  <c r="J295" i="4"/>
  <c r="I295" i="4" s="1"/>
  <c r="N278" i="1" s="1"/>
  <c r="O278" i="1" s="1"/>
  <c r="G302" i="4"/>
  <c r="H302" i="4" s="1"/>
  <c r="J302" i="4"/>
  <c r="K302" i="4" s="1"/>
  <c r="G308" i="4"/>
  <c r="G307" i="4" s="1"/>
  <c r="F307" i="4" s="1"/>
  <c r="K368" i="1" s="1"/>
  <c r="L368" i="1" s="1"/>
  <c r="J308" i="4"/>
  <c r="J307" i="4" s="1"/>
  <c r="I307" i="4" s="1"/>
  <c r="N368" i="1" s="1"/>
  <c r="O368" i="1" s="1"/>
  <c r="K314" i="4"/>
  <c r="J313" i="4"/>
  <c r="I313" i="4" s="1"/>
  <c r="N341" i="1" s="1"/>
  <c r="O341" i="1" s="1"/>
  <c r="G320" i="4"/>
  <c r="G319" i="4" s="1"/>
  <c r="F319" i="4" s="1"/>
  <c r="K453" i="1" s="1"/>
  <c r="L453" i="1" s="1"/>
  <c r="J320" i="4"/>
  <c r="J319" i="4" s="1"/>
  <c r="I319" i="4" s="1"/>
  <c r="N453" i="1" s="1"/>
  <c r="O453" i="1" s="1"/>
  <c r="K326" i="4"/>
  <c r="J325" i="4"/>
  <c r="I325" i="4" s="1"/>
  <c r="N303" i="1" s="1"/>
  <c r="O303" i="1" s="1"/>
  <c r="G333" i="4"/>
  <c r="G332" i="4" s="1"/>
  <c r="F332" i="4" s="1"/>
  <c r="K461" i="1" s="1"/>
  <c r="L461" i="1" s="1"/>
  <c r="J333" i="4"/>
  <c r="J332" i="4" s="1"/>
  <c r="I332" i="4" s="1"/>
  <c r="N461" i="1" s="1"/>
  <c r="O461" i="1" s="1"/>
  <c r="J339" i="4"/>
  <c r="J351" i="4"/>
  <c r="K351" i="4" s="1"/>
  <c r="G363" i="4"/>
  <c r="G362" i="4" s="1"/>
  <c r="F362" i="4" s="1"/>
  <c r="K297" i="1" s="1"/>
  <c r="L297" i="1" s="1"/>
  <c r="J363" i="4"/>
  <c r="J362" i="4" s="1"/>
  <c r="I362" i="4" s="1"/>
  <c r="N297" i="1" s="1"/>
  <c r="O297" i="1" s="1"/>
  <c r="K369" i="4"/>
  <c r="J368" i="4"/>
  <c r="I368" i="4" s="1"/>
  <c r="N360" i="1" s="1"/>
  <c r="O360" i="1" s="1"/>
  <c r="J375" i="4"/>
  <c r="K375" i="4" s="1"/>
  <c r="J381" i="4"/>
  <c r="J380" i="4" s="1"/>
  <c r="I380" i="4" s="1"/>
  <c r="N324" i="1" s="1"/>
  <c r="O324" i="1" s="1"/>
  <c r="G132" i="4"/>
  <c r="H132" i="4" s="1"/>
  <c r="J132" i="4"/>
  <c r="J131" i="4" s="1"/>
  <c r="I131" i="4" s="1"/>
  <c r="N149" i="1" s="1"/>
  <c r="O149" i="1" s="1"/>
  <c r="G144" i="4"/>
  <c r="H144" i="4" s="1"/>
  <c r="J144" i="4"/>
  <c r="K144" i="4" s="1"/>
  <c r="J150" i="4"/>
  <c r="K150" i="4" s="1"/>
  <c r="K157" i="4"/>
  <c r="G169" i="4"/>
  <c r="H169" i="4" s="1"/>
  <c r="J169" i="4"/>
  <c r="K169" i="4" s="1"/>
  <c r="G177" i="4"/>
  <c r="H177" i="4" s="1"/>
  <c r="J177" i="4"/>
  <c r="K177" i="4" s="1"/>
  <c r="G183" i="4"/>
  <c r="H183" i="4" s="1"/>
  <c r="J183" i="4"/>
  <c r="K183" i="4" s="1"/>
  <c r="G189" i="4"/>
  <c r="H189" i="4" s="1"/>
  <c r="J189" i="4"/>
  <c r="K189" i="4" s="1"/>
  <c r="G195" i="4"/>
  <c r="H195" i="4" s="1"/>
  <c r="J195" i="4"/>
  <c r="K195" i="4" s="1"/>
  <c r="J219" i="4"/>
  <c r="K219" i="4" s="1"/>
  <c r="N295" i="1"/>
  <c r="O295" i="1" s="1"/>
  <c r="J83" i="4"/>
  <c r="K83" i="4" s="1"/>
  <c r="G261" i="4"/>
  <c r="H261" i="4" s="1"/>
  <c r="J261" i="4"/>
  <c r="K261" i="4" s="1"/>
  <c r="J279" i="4"/>
  <c r="J278" i="4" s="1"/>
  <c r="I278" i="4" s="1"/>
  <c r="N293" i="1" s="1"/>
  <c r="O293" i="1" s="1"/>
  <c r="J291" i="4"/>
  <c r="J290" i="4" s="1"/>
  <c r="I290" i="4" s="1"/>
  <c r="N273" i="1" s="1"/>
  <c r="O273" i="1" s="1"/>
  <c r="G303" i="4"/>
  <c r="H303" i="4" s="1"/>
  <c r="J303" i="4"/>
  <c r="K303" i="4" s="1"/>
  <c r="J340" i="4"/>
  <c r="K340" i="4" s="1"/>
  <c r="J346" i="4"/>
  <c r="G352" i="4"/>
  <c r="H352" i="4" s="1"/>
  <c r="J352" i="4"/>
  <c r="K352" i="4" s="1"/>
  <c r="G388" i="4"/>
  <c r="H388" i="4" s="1"/>
  <c r="L388" i="4" s="1"/>
  <c r="J388" i="4"/>
  <c r="G394" i="4"/>
  <c r="H394" i="4" s="1"/>
  <c r="J394" i="4"/>
  <c r="N318" i="1"/>
  <c r="O318" i="1" s="1"/>
  <c r="N316" i="1"/>
  <c r="O316" i="1" s="1"/>
  <c r="H371" i="5"/>
  <c r="H383" i="5"/>
  <c r="H470" i="5"/>
  <c r="H302" i="5"/>
  <c r="H175" i="5"/>
  <c r="H469" i="5"/>
  <c r="H325" i="5"/>
  <c r="H174" i="5"/>
  <c r="H26" i="5"/>
  <c r="H372" i="5"/>
  <c r="H225" i="5"/>
  <c r="H74" i="5"/>
  <c r="H430" i="5"/>
  <c r="H345" i="5"/>
  <c r="H367" i="5"/>
  <c r="H220" i="5"/>
  <c r="H467" i="5"/>
  <c r="H296" i="5"/>
  <c r="H110" i="5"/>
  <c r="H455" i="5"/>
  <c r="H334" i="5"/>
  <c r="H34" i="5"/>
  <c r="H454" i="5"/>
  <c r="H154" i="5"/>
  <c r="H379" i="5"/>
  <c r="H426" i="5"/>
  <c r="H458" i="5"/>
  <c r="H398" i="5"/>
  <c r="D32" i="8" s="1"/>
  <c r="H290" i="5"/>
  <c r="H196" i="5"/>
  <c r="H163" i="5"/>
  <c r="H457" i="5"/>
  <c r="H313" i="5"/>
  <c r="H162" i="5"/>
  <c r="H14" i="5"/>
  <c r="H360" i="5"/>
  <c r="H209" i="5"/>
  <c r="H61" i="5"/>
  <c r="H410" i="5"/>
  <c r="H362" i="5"/>
  <c r="H151" i="5"/>
  <c r="H445" i="5"/>
  <c r="H301" i="5"/>
  <c r="H150" i="5"/>
  <c r="H348" i="5"/>
  <c r="H197" i="5"/>
  <c r="H49" i="5"/>
  <c r="H262" i="5"/>
  <c r="H206" i="5"/>
  <c r="H181" i="5"/>
  <c r="H33" i="5"/>
  <c r="H323" i="5"/>
  <c r="H350" i="5"/>
  <c r="H338" i="5"/>
  <c r="H139" i="5"/>
  <c r="H433" i="5"/>
  <c r="H289" i="5"/>
  <c r="H138" i="5"/>
  <c r="H215" i="5"/>
  <c r="H336" i="5"/>
  <c r="H185" i="5"/>
  <c r="H37" i="5"/>
  <c r="H331" i="5"/>
  <c r="H180" i="5"/>
  <c r="H22" i="5"/>
  <c r="H250" i="5"/>
  <c r="H405" i="5"/>
  <c r="H370" i="5"/>
  <c r="H285" i="5"/>
  <c r="H266" i="5"/>
  <c r="H278" i="5"/>
  <c r="I19" i="5"/>
  <c r="H126" i="5"/>
  <c r="H421" i="5"/>
  <c r="H277" i="5"/>
  <c r="H125" i="5"/>
  <c r="H468" i="5"/>
  <c r="H324" i="5"/>
  <c r="H173" i="5"/>
  <c r="H25" i="5"/>
  <c r="H382" i="5"/>
  <c r="H46" i="5"/>
  <c r="H344" i="5"/>
  <c r="H135" i="5"/>
  <c r="H158" i="5"/>
  <c r="H248" i="5"/>
  <c r="H221" i="5"/>
  <c r="D16" i="8" s="1"/>
  <c r="H308" i="5"/>
  <c r="H453" i="5"/>
  <c r="H441" i="5"/>
  <c r="H261" i="5"/>
  <c r="H207" i="5"/>
  <c r="H341" i="5"/>
  <c r="H340" i="5"/>
  <c r="H415" i="5"/>
  <c r="H84" i="5"/>
  <c r="H282" i="5"/>
  <c r="H202" i="5"/>
  <c r="H199" i="5"/>
  <c r="H373" i="5"/>
  <c r="H101" i="5"/>
  <c r="H384" i="5"/>
  <c r="H112" i="5"/>
  <c r="H346" i="5"/>
  <c r="H147" i="5"/>
  <c r="H416" i="5"/>
  <c r="H182" i="5"/>
  <c r="H376" i="5"/>
  <c r="H275" i="5"/>
  <c r="H229" i="5"/>
  <c r="H431" i="5"/>
  <c r="H160" i="5"/>
  <c r="H342" i="5"/>
  <c r="H11" i="5"/>
  <c r="H44" i="5"/>
  <c r="H287" i="5"/>
  <c r="H204" i="5"/>
  <c r="H317" i="5"/>
  <c r="H164" i="5"/>
  <c r="H89" i="5"/>
  <c r="H16" i="5"/>
  <c r="H56" i="5"/>
  <c r="H53" i="5"/>
  <c r="H68" i="5"/>
  <c r="H178" i="5"/>
  <c r="H364" i="5"/>
  <c r="H413" i="5"/>
  <c r="H224" i="5"/>
  <c r="H187" i="5"/>
  <c r="H361" i="5"/>
  <c r="H87" i="5"/>
  <c r="H312" i="5"/>
  <c r="H100" i="5"/>
  <c r="H122" i="5"/>
  <c r="H193" i="5"/>
  <c r="H404" i="5"/>
  <c r="H83" i="5"/>
  <c r="H146" i="5"/>
  <c r="H407" i="5"/>
  <c r="H184" i="5"/>
  <c r="H94" i="5"/>
  <c r="H378" i="5"/>
  <c r="H269" i="5"/>
  <c r="H343" i="5"/>
  <c r="H232" i="5"/>
  <c r="H79" i="5"/>
  <c r="H462" i="5"/>
  <c r="H327" i="5"/>
  <c r="H461" i="5"/>
  <c r="H17" i="5"/>
  <c r="H31" i="5"/>
  <c r="H283" i="5"/>
  <c r="H142" i="5"/>
  <c r="H328" i="5"/>
  <c r="H172" i="5"/>
  <c r="H114" i="5"/>
  <c r="H349" i="5"/>
  <c r="H75" i="5"/>
  <c r="H300" i="5"/>
  <c r="H86" i="5"/>
  <c r="H322" i="5"/>
  <c r="H72" i="5"/>
  <c r="H145" i="5"/>
  <c r="H380" i="5"/>
  <c r="H439" i="5"/>
  <c r="H259" i="5"/>
  <c r="H357" i="5"/>
  <c r="H99" i="5"/>
  <c r="H321" i="5"/>
  <c r="H192" i="5"/>
  <c r="H42" i="5"/>
  <c r="H119" i="5"/>
  <c r="H449" i="5"/>
  <c r="H390" i="5"/>
  <c r="H280" i="5"/>
  <c r="H228" i="5"/>
  <c r="H152" i="5"/>
  <c r="H77" i="5"/>
  <c r="H4" i="5"/>
  <c r="H389" i="5"/>
  <c r="H438" i="5"/>
  <c r="H247" i="5"/>
  <c r="H105" i="5"/>
  <c r="H292" i="5"/>
  <c r="H102" i="5"/>
  <c r="H337" i="5"/>
  <c r="H62" i="5"/>
  <c r="H288" i="5"/>
  <c r="H13" i="5"/>
  <c r="H310" i="5"/>
  <c r="H59" i="5"/>
  <c r="H133" i="5"/>
  <c r="H368" i="5"/>
  <c r="H71" i="5"/>
  <c r="H417" i="5"/>
  <c r="H369" i="5"/>
  <c r="H359" i="5"/>
  <c r="H136" i="5"/>
  <c r="H5" i="5"/>
  <c r="H169" i="5"/>
  <c r="H304" i="5"/>
  <c r="H306" i="5"/>
  <c r="H85" i="5"/>
  <c r="H414" i="5"/>
  <c r="H354" i="5"/>
  <c r="H237" i="5"/>
  <c r="H234" i="5" s="1"/>
  <c r="H399" i="5"/>
  <c r="H315" i="5"/>
  <c r="H69" i="5"/>
  <c r="H353" i="5"/>
  <c r="H460" i="5"/>
  <c r="H402" i="5"/>
  <c r="H20" i="5"/>
  <c r="H67" i="5"/>
  <c r="H256" i="5"/>
  <c r="H446" i="5"/>
  <c r="H347" i="5"/>
  <c r="H88" i="5"/>
  <c r="H265" i="5"/>
  <c r="H50" i="5"/>
  <c r="H276" i="5"/>
  <c r="H36" i="5"/>
  <c r="D13" i="8" s="1"/>
  <c r="H298" i="5"/>
  <c r="H120" i="5"/>
  <c r="H332" i="5"/>
  <c r="H429" i="5"/>
  <c r="H57" i="5"/>
  <c r="H208" i="5"/>
  <c r="H194" i="5"/>
  <c r="H108" i="5"/>
  <c r="H443" i="5"/>
  <c r="H121" i="5"/>
  <c r="H189" i="5"/>
  <c r="H305" i="5"/>
  <c r="H80" i="5"/>
  <c r="H60" i="5"/>
  <c r="H286" i="5"/>
  <c r="H318" i="5"/>
  <c r="H303" i="5"/>
  <c r="H216" i="5"/>
  <c r="H140" i="5"/>
  <c r="H65" i="5"/>
  <c r="H32" i="5"/>
  <c r="H281" i="5"/>
  <c r="H424" i="5"/>
  <c r="H366" i="5"/>
  <c r="H3" i="5"/>
  <c r="H30" i="5"/>
  <c r="H217" i="5"/>
  <c r="H263" i="5"/>
  <c r="H434" i="5"/>
  <c r="H76" i="5"/>
  <c r="H253" i="5"/>
  <c r="H38" i="5"/>
  <c r="H264" i="5"/>
  <c r="H24" i="5"/>
  <c r="H274" i="5"/>
  <c r="H35" i="5"/>
  <c r="H222" i="5"/>
  <c r="H403" i="5"/>
  <c r="H297" i="5"/>
  <c r="H170" i="5"/>
  <c r="H10" i="5"/>
  <c r="H109" i="5"/>
  <c r="H47" i="5"/>
  <c r="H230" i="5"/>
  <c r="H394" i="5"/>
  <c r="H78" i="5"/>
  <c r="H156" i="5"/>
  <c r="H8" i="5"/>
  <c r="H231" i="5"/>
  <c r="H246" i="5"/>
  <c r="H471" i="5"/>
  <c r="H387" i="5"/>
  <c r="H465" i="5"/>
  <c r="H245" i="5"/>
  <c r="H388" i="5"/>
  <c r="H330" i="5"/>
  <c r="H437" i="5"/>
  <c r="H177" i="5"/>
  <c r="H422" i="5"/>
  <c r="H64" i="5"/>
  <c r="H456" i="5"/>
  <c r="H252" i="5"/>
  <c r="H223" i="5"/>
  <c r="H23" i="5"/>
  <c r="H309" i="5"/>
  <c r="H299" i="5"/>
  <c r="H70" i="5"/>
  <c r="H48" i="5"/>
  <c r="H6" i="5"/>
  <c r="H123" i="5"/>
  <c r="H419" i="5"/>
  <c r="H268" i="5"/>
  <c r="H118" i="5"/>
  <c r="H203" i="5"/>
  <c r="H375" i="5"/>
  <c r="H291" i="5"/>
  <c r="H200" i="5"/>
  <c r="H127" i="5"/>
  <c r="H52" i="5"/>
  <c r="H428" i="5"/>
  <c r="H166" i="5"/>
  <c r="H352" i="5"/>
  <c r="H294" i="5"/>
  <c r="H401" i="5"/>
  <c r="H391" i="5"/>
  <c r="H141" i="5"/>
  <c r="H386" i="5"/>
  <c r="H51" i="5"/>
  <c r="H226" i="5"/>
  <c r="H444" i="5"/>
  <c r="H82" i="5"/>
  <c r="H21" i="5"/>
  <c r="H96" i="5"/>
  <c r="H9" i="5"/>
  <c r="H307" i="5"/>
  <c r="H153" i="5"/>
  <c r="H7" i="5"/>
  <c r="H167" i="5"/>
  <c r="H459" i="5"/>
  <c r="H279" i="5"/>
  <c r="H356" i="5"/>
  <c r="H129" i="5"/>
  <c r="H316" i="5"/>
  <c r="H258" i="5"/>
  <c r="H365" i="5"/>
  <c r="H132" i="5"/>
  <c r="H104" i="5"/>
  <c r="H358" i="5"/>
  <c r="H374" i="5"/>
  <c r="H39" i="5"/>
  <c r="H214" i="5"/>
  <c r="H432" i="5"/>
  <c r="H161" i="5"/>
  <c r="H195" i="5"/>
  <c r="H134" i="5"/>
  <c r="H284" i="5"/>
  <c r="H144" i="5"/>
  <c r="H418" i="5"/>
  <c r="H406" i="5"/>
  <c r="H442" i="5"/>
  <c r="H270" i="5"/>
  <c r="H81" i="5"/>
  <c r="H41" i="5"/>
  <c r="H130" i="5"/>
  <c r="H447" i="5"/>
  <c r="H363" i="5"/>
  <c r="H188" i="5"/>
  <c r="H115" i="5"/>
  <c r="H40" i="5"/>
  <c r="H427" i="5"/>
  <c r="H91" i="5"/>
  <c r="H201" i="5"/>
  <c r="H329" i="5"/>
  <c r="H93" i="5"/>
  <c r="H66" i="5"/>
  <c r="H381" i="5"/>
  <c r="H107" i="5"/>
  <c r="H12" i="5"/>
  <c r="H326" i="5"/>
  <c r="H27" i="5"/>
  <c r="H409" i="5"/>
  <c r="H198" i="5"/>
  <c r="H420" i="5"/>
  <c r="H149" i="5"/>
  <c r="H73" i="5"/>
  <c r="H45" i="5"/>
  <c r="H452" i="5"/>
  <c r="H272" i="5"/>
  <c r="H205" i="5"/>
  <c r="H251" i="5"/>
  <c r="H249" i="5"/>
  <c r="H395" i="5"/>
  <c r="H183" i="5"/>
  <c r="H191" i="5"/>
  <c r="H451" i="5"/>
  <c r="H466" i="5"/>
  <c r="D26" i="8" s="1"/>
  <c r="H92" i="5"/>
  <c r="H351" i="5"/>
  <c r="H267" i="5"/>
  <c r="H355" i="5"/>
  <c r="H54" i="5"/>
  <c r="H165" i="5"/>
  <c r="H179" i="5"/>
  <c r="H293" i="5"/>
  <c r="H472" i="5"/>
  <c r="H29" i="5"/>
  <c r="H233" i="5"/>
  <c r="D17" i="8" s="1"/>
  <c r="H314" i="5"/>
  <c r="H15" i="5"/>
  <c r="H397" i="5"/>
  <c r="H186" i="5"/>
  <c r="H408" i="5"/>
  <c r="H137" i="5"/>
  <c r="H171" i="5"/>
  <c r="H440" i="5"/>
  <c r="H260" i="5"/>
  <c r="H159" i="5"/>
  <c r="H157" i="5"/>
  <c r="H111" i="5"/>
  <c r="H117" i="5"/>
  <c r="H448" i="5"/>
  <c r="H333" i="5"/>
  <c r="H116" i="5"/>
  <c r="H155" i="5"/>
  <c r="H190" i="5"/>
  <c r="H450" i="5"/>
  <c r="H320" i="5"/>
  <c r="H55" i="5"/>
  <c r="H464" i="5"/>
  <c r="H435" i="5"/>
  <c r="H176" i="5"/>
  <c r="H103" i="5"/>
  <c r="H28" i="5"/>
  <c r="H319" i="5"/>
  <c r="H18" i="5"/>
  <c r="H128" i="5"/>
  <c r="H143" i="5"/>
  <c r="H257" i="5"/>
  <c r="H436" i="5"/>
  <c r="H227" i="5"/>
  <c r="H385" i="5"/>
  <c r="H113" i="5"/>
  <c r="H396" i="5"/>
  <c r="H124" i="5"/>
  <c r="H295" i="5"/>
  <c r="H58" i="5"/>
  <c r="H463" i="5"/>
  <c r="H90" i="5"/>
  <c r="H106" i="5"/>
  <c r="H43" i="5"/>
  <c r="H168" i="5"/>
  <c r="H335" i="5"/>
  <c r="H19" i="5"/>
  <c r="H273" i="5"/>
  <c r="H425" i="5"/>
  <c r="H423" i="5"/>
  <c r="H377" i="5"/>
  <c r="H339" i="5"/>
  <c r="H255" i="5"/>
  <c r="H400" i="5"/>
  <c r="H271" i="5"/>
  <c r="H311" i="5"/>
  <c r="F321" i="4"/>
  <c r="K308" i="1" s="1"/>
  <c r="L308" i="1" s="1"/>
  <c r="K69" i="4"/>
  <c r="J56" i="4"/>
  <c r="I56" i="4" s="1"/>
  <c r="N59" i="1" s="1"/>
  <c r="O59" i="1" s="1"/>
  <c r="G166" i="4"/>
  <c r="H166" i="4" s="1"/>
  <c r="L166" i="4" s="1"/>
  <c r="H331" i="4"/>
  <c r="H330" i="4" s="1"/>
  <c r="G412" i="4"/>
  <c r="G411" i="4" s="1"/>
  <c r="H270" i="4"/>
  <c r="N3" i="1"/>
  <c r="O3" i="1" s="1"/>
  <c r="O19" i="1"/>
  <c r="P19" i="1"/>
  <c r="I2" i="1"/>
  <c r="K67" i="1"/>
  <c r="L67" i="1" s="1"/>
  <c r="N67" i="1"/>
  <c r="O67" i="1" s="1"/>
  <c r="K54" i="1"/>
  <c r="L54" i="1" s="1"/>
  <c r="N54" i="1"/>
  <c r="O54" i="1" s="1"/>
  <c r="K30" i="1"/>
  <c r="L30" i="1" s="1"/>
  <c r="N30" i="1"/>
  <c r="O30" i="1" s="1"/>
  <c r="K53" i="1"/>
  <c r="L53" i="1" s="1"/>
  <c r="N53" i="1"/>
  <c r="O53" i="1" s="1"/>
  <c r="K29" i="1"/>
  <c r="L29" i="1" s="1"/>
  <c r="N29" i="1"/>
  <c r="O29" i="1" s="1"/>
  <c r="K85" i="1"/>
  <c r="L85" i="1" s="1"/>
  <c r="N85" i="1"/>
  <c r="O85" i="1" s="1"/>
  <c r="K73" i="1"/>
  <c r="L73" i="1" s="1"/>
  <c r="N73" i="1"/>
  <c r="O73" i="1" s="1"/>
  <c r="K61" i="1"/>
  <c r="L61" i="1" s="1"/>
  <c r="N61" i="1"/>
  <c r="O61" i="1" s="1"/>
  <c r="K49" i="1"/>
  <c r="L49" i="1" s="1"/>
  <c r="N49" i="1"/>
  <c r="O49" i="1" s="1"/>
  <c r="K37" i="1"/>
  <c r="L37" i="1" s="1"/>
  <c r="N37" i="1"/>
  <c r="O37" i="1" s="1"/>
  <c r="K25" i="1"/>
  <c r="L25" i="1" s="1"/>
  <c r="N25" i="1"/>
  <c r="O25" i="1" s="1"/>
  <c r="K13" i="1"/>
  <c r="L13" i="1" s="1"/>
  <c r="N13" i="1"/>
  <c r="O13" i="1" s="1"/>
  <c r="K24" i="1"/>
  <c r="L24" i="1" s="1"/>
  <c r="N24" i="1"/>
  <c r="O24" i="1" s="1"/>
  <c r="K12" i="1"/>
  <c r="L12" i="1" s="1"/>
  <c r="N12" i="1"/>
  <c r="O12" i="1" s="1"/>
  <c r="K42" i="1"/>
  <c r="L42" i="1" s="1"/>
  <c r="N42" i="1"/>
  <c r="O42" i="1" s="1"/>
  <c r="K6" i="1"/>
  <c r="L6" i="1" s="1"/>
  <c r="N6" i="1"/>
  <c r="O6" i="1" s="1"/>
  <c r="K77" i="1"/>
  <c r="L77" i="1" s="1"/>
  <c r="N77" i="1"/>
  <c r="O77" i="1" s="1"/>
  <c r="K65" i="1"/>
  <c r="L65" i="1" s="1"/>
  <c r="N65" i="1"/>
  <c r="O65" i="1" s="1"/>
  <c r="K41" i="1"/>
  <c r="L41" i="1" s="1"/>
  <c r="N41" i="1"/>
  <c r="O41" i="1" s="1"/>
  <c r="K5" i="1"/>
  <c r="L5" i="1" s="1"/>
  <c r="N5" i="1"/>
  <c r="O5" i="1" s="1"/>
  <c r="K76" i="1"/>
  <c r="L76" i="1" s="1"/>
  <c r="N76" i="1"/>
  <c r="O76" i="1" s="1"/>
  <c r="K64" i="1"/>
  <c r="L64" i="1" s="1"/>
  <c r="N64" i="1"/>
  <c r="O64" i="1" s="1"/>
  <c r="K52" i="1"/>
  <c r="L52" i="1" s="1"/>
  <c r="N52" i="1"/>
  <c r="O52" i="1" s="1"/>
  <c r="K40" i="1"/>
  <c r="L40" i="1" s="1"/>
  <c r="N40" i="1"/>
  <c r="O40" i="1" s="1"/>
  <c r="K28" i="1"/>
  <c r="L28" i="1" s="1"/>
  <c r="N28" i="1"/>
  <c r="O28" i="1" s="1"/>
  <c r="K16" i="1"/>
  <c r="L16" i="1" s="1"/>
  <c r="N16" i="1"/>
  <c r="O16" i="1" s="1"/>
  <c r="K63" i="1"/>
  <c r="L63" i="1" s="1"/>
  <c r="N63" i="1"/>
  <c r="O63" i="1" s="1"/>
  <c r="K51" i="1"/>
  <c r="L51" i="1" s="1"/>
  <c r="N51" i="1"/>
  <c r="O51" i="1" s="1"/>
  <c r="K39" i="1"/>
  <c r="L39" i="1" s="1"/>
  <c r="N39" i="1"/>
  <c r="O39" i="1" s="1"/>
  <c r="K27" i="1"/>
  <c r="L27" i="1" s="1"/>
  <c r="N27" i="1"/>
  <c r="O27" i="1" s="1"/>
  <c r="K15" i="1"/>
  <c r="L15" i="1" s="1"/>
  <c r="N15" i="1"/>
  <c r="O15" i="1" s="1"/>
  <c r="K86" i="1"/>
  <c r="L86" i="1" s="1"/>
  <c r="N86" i="1"/>
  <c r="O86" i="1" s="1"/>
  <c r="K62" i="1"/>
  <c r="L62" i="1" s="1"/>
  <c r="N62" i="1"/>
  <c r="O62" i="1" s="1"/>
  <c r="K50" i="1"/>
  <c r="L50" i="1" s="1"/>
  <c r="N50" i="1"/>
  <c r="O50" i="1" s="1"/>
  <c r="K38" i="1"/>
  <c r="L38" i="1" s="1"/>
  <c r="N38" i="1"/>
  <c r="O38" i="1" s="1"/>
  <c r="K26" i="1"/>
  <c r="L26" i="1" s="1"/>
  <c r="N26" i="1"/>
  <c r="O26" i="1" s="1"/>
  <c r="K14" i="1"/>
  <c r="L14" i="1" s="1"/>
  <c r="N14" i="1"/>
  <c r="O14" i="1" s="1"/>
  <c r="K84" i="1"/>
  <c r="L84" i="1" s="1"/>
  <c r="N84" i="1"/>
  <c r="O84" i="1" s="1"/>
  <c r="K72" i="1"/>
  <c r="L72" i="1" s="1"/>
  <c r="N72" i="1"/>
  <c r="O72" i="1" s="1"/>
  <c r="K60" i="1"/>
  <c r="L60" i="1" s="1"/>
  <c r="N60" i="1"/>
  <c r="O60" i="1" s="1"/>
  <c r="K48" i="1"/>
  <c r="L48" i="1" s="1"/>
  <c r="N48" i="1"/>
  <c r="O48" i="1" s="1"/>
  <c r="K83" i="1"/>
  <c r="L83" i="1" s="1"/>
  <c r="N83" i="1"/>
  <c r="O83" i="1" s="1"/>
  <c r="K71" i="1"/>
  <c r="L71" i="1" s="1"/>
  <c r="N71" i="1"/>
  <c r="O71" i="1" s="1"/>
  <c r="K47" i="1"/>
  <c r="L47" i="1" s="1"/>
  <c r="N47" i="1"/>
  <c r="O47" i="1" s="1"/>
  <c r="K35" i="1"/>
  <c r="L35" i="1" s="1"/>
  <c r="N35" i="1"/>
  <c r="O35" i="1" s="1"/>
  <c r="K23" i="1"/>
  <c r="L23" i="1" s="1"/>
  <c r="N23" i="1"/>
  <c r="O23" i="1" s="1"/>
  <c r="K11" i="1"/>
  <c r="L11" i="1" s="1"/>
  <c r="N11" i="1"/>
  <c r="O11" i="1" s="1"/>
  <c r="K79" i="1"/>
  <c r="L79" i="1" s="1"/>
  <c r="N79" i="1"/>
  <c r="O79" i="1" s="1"/>
  <c r="K4" i="1"/>
  <c r="L4" i="1" s="1"/>
  <c r="N4" i="1"/>
  <c r="O4" i="1" s="1"/>
  <c r="K78" i="1"/>
  <c r="L78" i="1" s="1"/>
  <c r="N78" i="1"/>
  <c r="O78" i="1" s="1"/>
  <c r="K66" i="1"/>
  <c r="L66" i="1" s="1"/>
  <c r="N66" i="1"/>
  <c r="O66" i="1" s="1"/>
  <c r="K18" i="1"/>
  <c r="L18" i="1" s="1"/>
  <c r="N18" i="1"/>
  <c r="O18" i="1" s="1"/>
  <c r="K17" i="1"/>
  <c r="L17" i="1" s="1"/>
  <c r="N17" i="1"/>
  <c r="O17" i="1" s="1"/>
  <c r="K82" i="1"/>
  <c r="L82" i="1" s="1"/>
  <c r="N82" i="1"/>
  <c r="O82" i="1" s="1"/>
  <c r="K70" i="1"/>
  <c r="L70" i="1" s="1"/>
  <c r="N70" i="1"/>
  <c r="O70" i="1" s="1"/>
  <c r="K58" i="1"/>
  <c r="L58" i="1" s="1"/>
  <c r="N58" i="1"/>
  <c r="O58" i="1" s="1"/>
  <c r="K46" i="1"/>
  <c r="L46" i="1" s="1"/>
  <c r="N46" i="1"/>
  <c r="O46" i="1" s="1"/>
  <c r="K34" i="1"/>
  <c r="L34" i="1" s="1"/>
  <c r="N34" i="1"/>
  <c r="O34" i="1" s="1"/>
  <c r="K22" i="1"/>
  <c r="L22" i="1" s="1"/>
  <c r="N22" i="1"/>
  <c r="O22" i="1" s="1"/>
  <c r="K10" i="1"/>
  <c r="L10" i="1" s="1"/>
  <c r="N10" i="1"/>
  <c r="O10" i="1" s="1"/>
  <c r="K81" i="1"/>
  <c r="L81" i="1" s="1"/>
  <c r="N81" i="1"/>
  <c r="O81" i="1" s="1"/>
  <c r="K69" i="1"/>
  <c r="L69" i="1" s="1"/>
  <c r="N69" i="1"/>
  <c r="O69" i="1" s="1"/>
  <c r="K57" i="1"/>
  <c r="L57" i="1" s="1"/>
  <c r="N57" i="1"/>
  <c r="O57" i="1" s="1"/>
  <c r="K45" i="1"/>
  <c r="L45" i="1" s="1"/>
  <c r="N45" i="1"/>
  <c r="O45" i="1" s="1"/>
  <c r="K33" i="1"/>
  <c r="L33" i="1" s="1"/>
  <c r="N33" i="1"/>
  <c r="O33" i="1" s="1"/>
  <c r="K21" i="1"/>
  <c r="L21" i="1" s="1"/>
  <c r="N21" i="1"/>
  <c r="O21" i="1" s="1"/>
  <c r="K9" i="1"/>
  <c r="L9" i="1" s="1"/>
  <c r="N9" i="1"/>
  <c r="O9" i="1" s="1"/>
  <c r="K80" i="1"/>
  <c r="L80" i="1" s="1"/>
  <c r="N80" i="1"/>
  <c r="O80" i="1" s="1"/>
  <c r="K68" i="1"/>
  <c r="L68" i="1" s="1"/>
  <c r="N68" i="1"/>
  <c r="O68" i="1" s="1"/>
  <c r="K44" i="1"/>
  <c r="L44" i="1" s="1"/>
  <c r="N44" i="1"/>
  <c r="O44" i="1" s="1"/>
  <c r="K32" i="1"/>
  <c r="L32" i="1" s="1"/>
  <c r="N32" i="1"/>
  <c r="O32" i="1" s="1"/>
  <c r="K20" i="1"/>
  <c r="L20" i="1" s="1"/>
  <c r="N20" i="1"/>
  <c r="O20" i="1" s="1"/>
  <c r="K8" i="1"/>
  <c r="L8" i="1" s="1"/>
  <c r="N8" i="1"/>
  <c r="O8" i="1" s="1"/>
  <c r="K43" i="1"/>
  <c r="L43" i="1" s="1"/>
  <c r="N43" i="1"/>
  <c r="O43" i="1" s="1"/>
  <c r="K31" i="1"/>
  <c r="L31" i="1" s="1"/>
  <c r="N31" i="1"/>
  <c r="O31" i="1" s="1"/>
  <c r="K204" i="1"/>
  <c r="L204" i="1" s="1"/>
  <c r="K449" i="1"/>
  <c r="L449" i="1" s="1"/>
  <c r="K437" i="1"/>
  <c r="L437" i="1" s="1"/>
  <c r="K413" i="1"/>
  <c r="L413" i="1" s="1"/>
  <c r="K389" i="1"/>
  <c r="L389" i="1" s="1"/>
  <c r="K377" i="1"/>
  <c r="L377" i="1" s="1"/>
  <c r="K365" i="1"/>
  <c r="L365" i="1" s="1"/>
  <c r="K329" i="1"/>
  <c r="L329" i="1" s="1"/>
  <c r="K317" i="1"/>
  <c r="L317" i="1" s="1"/>
  <c r="K305" i="1"/>
  <c r="L305" i="1" s="1"/>
  <c r="K281" i="1"/>
  <c r="L281" i="1" s="1"/>
  <c r="K269" i="1"/>
  <c r="L269" i="1" s="1"/>
  <c r="K257" i="1"/>
  <c r="L257" i="1" s="1"/>
  <c r="K245" i="1"/>
  <c r="L245" i="1" s="1"/>
  <c r="K233" i="1"/>
  <c r="L233" i="1" s="1"/>
  <c r="K221" i="1"/>
  <c r="L221" i="1" s="1"/>
  <c r="K197" i="1"/>
  <c r="L197" i="1" s="1"/>
  <c r="K185" i="1"/>
  <c r="L185" i="1" s="1"/>
  <c r="K173" i="1"/>
  <c r="L173" i="1" s="1"/>
  <c r="K137" i="1"/>
  <c r="L137" i="1" s="1"/>
  <c r="K124" i="1"/>
  <c r="L124" i="1" s="1"/>
  <c r="K112" i="1"/>
  <c r="L112" i="1" s="1"/>
  <c r="K100" i="1"/>
  <c r="L100" i="1" s="1"/>
  <c r="K88" i="1"/>
  <c r="L88" i="1" s="1"/>
  <c r="K448" i="1"/>
  <c r="L448" i="1" s="1"/>
  <c r="K436" i="1"/>
  <c r="L436" i="1" s="1"/>
  <c r="K412" i="1"/>
  <c r="L412" i="1" s="1"/>
  <c r="K400" i="1"/>
  <c r="L400" i="1" s="1"/>
  <c r="K388" i="1"/>
  <c r="L388" i="1" s="1"/>
  <c r="K376" i="1"/>
  <c r="L376" i="1" s="1"/>
  <c r="K352" i="1"/>
  <c r="L352" i="1" s="1"/>
  <c r="K340" i="1"/>
  <c r="L340" i="1" s="1"/>
  <c r="K328" i="1"/>
  <c r="L328" i="1" s="1"/>
  <c r="K304" i="1"/>
  <c r="L304" i="1" s="1"/>
  <c r="K292" i="1"/>
  <c r="L292" i="1" s="1"/>
  <c r="K256" i="1"/>
  <c r="L256" i="1" s="1"/>
  <c r="K232" i="1"/>
  <c r="L232" i="1" s="1"/>
  <c r="K208" i="1"/>
  <c r="L208" i="1" s="1"/>
  <c r="K184" i="1"/>
  <c r="L184" i="1" s="1"/>
  <c r="K160" i="1"/>
  <c r="L160" i="1" s="1"/>
  <c r="K148" i="1"/>
  <c r="L148" i="1" s="1"/>
  <c r="K136" i="1"/>
  <c r="L136" i="1" s="1"/>
  <c r="K123" i="1"/>
  <c r="L123" i="1" s="1"/>
  <c r="K111" i="1"/>
  <c r="L111" i="1" s="1"/>
  <c r="K99" i="1"/>
  <c r="L99" i="1" s="1"/>
  <c r="K460" i="1"/>
  <c r="L460" i="1" s="1"/>
  <c r="K459" i="1"/>
  <c r="L459" i="1" s="1"/>
  <c r="K435" i="1"/>
  <c r="L435" i="1" s="1"/>
  <c r="K411" i="1"/>
  <c r="L411" i="1" s="1"/>
  <c r="K387" i="1"/>
  <c r="L387" i="1" s="1"/>
  <c r="K375" i="1"/>
  <c r="L375" i="1" s="1"/>
  <c r="K363" i="1"/>
  <c r="L363" i="1" s="1"/>
  <c r="K339" i="1"/>
  <c r="L339" i="1" s="1"/>
  <c r="K327" i="1"/>
  <c r="L327" i="1" s="1"/>
  <c r="K315" i="1"/>
  <c r="L315" i="1" s="1"/>
  <c r="K279" i="1"/>
  <c r="L279" i="1" s="1"/>
  <c r="K267" i="1"/>
  <c r="L267" i="1" s="1"/>
  <c r="K255" i="1"/>
  <c r="L255" i="1" s="1"/>
  <c r="K243" i="1"/>
  <c r="L243" i="1" s="1"/>
  <c r="K231" i="1"/>
  <c r="L231" i="1" s="1"/>
  <c r="K219" i="1"/>
  <c r="L219" i="1" s="1"/>
  <c r="K195" i="1"/>
  <c r="L195" i="1" s="1"/>
  <c r="K183" i="1"/>
  <c r="L183" i="1" s="1"/>
  <c r="K171" i="1"/>
  <c r="L171" i="1" s="1"/>
  <c r="K147" i="1"/>
  <c r="L147" i="1" s="1"/>
  <c r="K135" i="1"/>
  <c r="L135" i="1" s="1"/>
  <c r="K110" i="1"/>
  <c r="L110" i="1" s="1"/>
  <c r="K98" i="1"/>
  <c r="L98" i="1" s="1"/>
  <c r="K74" i="1"/>
  <c r="L74" i="1" s="1"/>
  <c r="K424" i="1"/>
  <c r="L424" i="1" s="1"/>
  <c r="K447" i="1"/>
  <c r="L447" i="1" s="1"/>
  <c r="K399" i="1"/>
  <c r="L399" i="1" s="1"/>
  <c r="K457" i="1"/>
  <c r="L457" i="1" s="1"/>
  <c r="K445" i="1"/>
  <c r="L445" i="1" s="1"/>
  <c r="K421" i="1"/>
  <c r="L421" i="1" s="1"/>
  <c r="K409" i="1"/>
  <c r="L409" i="1" s="1"/>
  <c r="K397" i="1"/>
  <c r="L397" i="1" s="1"/>
  <c r="K385" i="1"/>
  <c r="L385" i="1" s="1"/>
  <c r="K373" i="1"/>
  <c r="L373" i="1" s="1"/>
  <c r="K361" i="1"/>
  <c r="L361" i="1" s="1"/>
  <c r="K325" i="1"/>
  <c r="L325" i="1" s="1"/>
  <c r="K313" i="1"/>
  <c r="L313" i="1" s="1"/>
  <c r="K277" i="1"/>
  <c r="L277" i="1" s="1"/>
  <c r="K265" i="1"/>
  <c r="L265" i="1" s="1"/>
  <c r="K253" i="1"/>
  <c r="L253" i="1" s="1"/>
  <c r="K241" i="1"/>
  <c r="L241" i="1" s="1"/>
  <c r="K229" i="1"/>
  <c r="L229" i="1" s="1"/>
  <c r="K217" i="1"/>
  <c r="L217" i="1" s="1"/>
  <c r="K205" i="1"/>
  <c r="L205" i="1" s="1"/>
  <c r="K193" i="1"/>
  <c r="L193" i="1" s="1"/>
  <c r="K181" i="1"/>
  <c r="L181" i="1" s="1"/>
  <c r="K145" i="1"/>
  <c r="L145" i="1" s="1"/>
  <c r="K133" i="1"/>
  <c r="L133" i="1" s="1"/>
  <c r="K96" i="1"/>
  <c r="L96" i="1" s="1"/>
  <c r="K36" i="1"/>
  <c r="L36" i="1" s="1"/>
  <c r="K458" i="1"/>
  <c r="L458" i="1" s="1"/>
  <c r="K446" i="1"/>
  <c r="L446" i="1" s="1"/>
  <c r="K434" i="1"/>
  <c r="L434" i="1" s="1"/>
  <c r="K422" i="1"/>
  <c r="L422" i="1" s="1"/>
  <c r="K410" i="1"/>
  <c r="L410" i="1" s="1"/>
  <c r="K398" i="1"/>
  <c r="L398" i="1" s="1"/>
  <c r="K386" i="1"/>
  <c r="L386" i="1" s="1"/>
  <c r="K374" i="1"/>
  <c r="L374" i="1" s="1"/>
  <c r="K350" i="1"/>
  <c r="L350" i="1" s="1"/>
  <c r="K338" i="1"/>
  <c r="L338" i="1" s="1"/>
  <c r="K302" i="1"/>
  <c r="L302" i="1" s="1"/>
  <c r="K290" i="1"/>
  <c r="L290" i="1" s="1"/>
  <c r="K254" i="1"/>
  <c r="L254" i="1" s="1"/>
  <c r="K242" i="1"/>
  <c r="L242" i="1" s="1"/>
  <c r="K206" i="1"/>
  <c r="L206" i="1" s="1"/>
  <c r="K182" i="1"/>
  <c r="L182" i="1" s="1"/>
  <c r="K170" i="1"/>
  <c r="L170" i="1" s="1"/>
  <c r="K158" i="1"/>
  <c r="L158" i="1" s="1"/>
  <c r="K146" i="1"/>
  <c r="L146" i="1" s="1"/>
  <c r="K121" i="1"/>
  <c r="L121" i="1" s="1"/>
  <c r="K109" i="1"/>
  <c r="L109" i="1" s="1"/>
  <c r="K97" i="1"/>
  <c r="L97" i="1" s="1"/>
  <c r="K444" i="1"/>
  <c r="L444" i="1" s="1"/>
  <c r="K348" i="1"/>
  <c r="L348" i="1" s="1"/>
  <c r="K288" i="1"/>
  <c r="L288" i="1" s="1"/>
  <c r="K192" i="1"/>
  <c r="L192" i="1" s="1"/>
  <c r="K395" i="1"/>
  <c r="L395" i="1" s="1"/>
  <c r="K383" i="1"/>
  <c r="L383" i="1" s="1"/>
  <c r="K371" i="1"/>
  <c r="L371" i="1" s="1"/>
  <c r="K359" i="1"/>
  <c r="L359" i="1" s="1"/>
  <c r="K347" i="1"/>
  <c r="L347" i="1" s="1"/>
  <c r="K323" i="1"/>
  <c r="L323" i="1" s="1"/>
  <c r="K311" i="1"/>
  <c r="L311" i="1" s="1"/>
  <c r="K287" i="1"/>
  <c r="L287" i="1" s="1"/>
  <c r="K263" i="1"/>
  <c r="L263" i="1" s="1"/>
  <c r="K251" i="1"/>
  <c r="L251" i="1" s="1"/>
  <c r="K239" i="1"/>
  <c r="L239" i="1" s="1"/>
  <c r="K203" i="1"/>
  <c r="L203" i="1" s="1"/>
  <c r="K191" i="1"/>
  <c r="L191" i="1" s="1"/>
  <c r="K179" i="1"/>
  <c r="L179" i="1" s="1"/>
  <c r="K155" i="1"/>
  <c r="L155" i="1" s="1"/>
  <c r="K143" i="1"/>
  <c r="L143" i="1" s="1"/>
  <c r="K118" i="1"/>
  <c r="L118" i="1" s="1"/>
  <c r="K106" i="1"/>
  <c r="L106" i="1" s="1"/>
  <c r="K456" i="1"/>
  <c r="L456" i="1" s="1"/>
  <c r="K408" i="1"/>
  <c r="L408" i="1" s="1"/>
  <c r="K396" i="1"/>
  <c r="L396" i="1" s="1"/>
  <c r="K336" i="1"/>
  <c r="L336" i="1" s="1"/>
  <c r="K312" i="1"/>
  <c r="L312" i="1" s="1"/>
  <c r="K228" i="1"/>
  <c r="L228" i="1" s="1"/>
  <c r="K216" i="1"/>
  <c r="L216" i="1" s="1"/>
  <c r="K180" i="1"/>
  <c r="L180" i="1" s="1"/>
  <c r="K168" i="1"/>
  <c r="L168" i="1" s="1"/>
  <c r="K156" i="1"/>
  <c r="L156" i="1" s="1"/>
  <c r="K144" i="1"/>
  <c r="L144" i="1" s="1"/>
  <c r="K455" i="1"/>
  <c r="L455" i="1" s="1"/>
  <c r="K443" i="1"/>
  <c r="L443" i="1" s="1"/>
  <c r="K407" i="1"/>
  <c r="L407" i="1" s="1"/>
  <c r="K454" i="1"/>
  <c r="L454" i="1" s="1"/>
  <c r="K442" i="1"/>
  <c r="L442" i="1" s="1"/>
  <c r="K430" i="1"/>
  <c r="L430" i="1" s="1"/>
  <c r="K418" i="1"/>
  <c r="L418" i="1" s="1"/>
  <c r="K406" i="1"/>
  <c r="L406" i="1" s="1"/>
  <c r="K394" i="1"/>
  <c r="L394" i="1" s="1"/>
  <c r="K382" i="1"/>
  <c r="L382" i="1" s="1"/>
  <c r="K370" i="1"/>
  <c r="L370" i="1" s="1"/>
  <c r="K358" i="1"/>
  <c r="L358" i="1" s="1"/>
  <c r="K346" i="1"/>
  <c r="L346" i="1" s="1"/>
  <c r="K334" i="1"/>
  <c r="L334" i="1" s="1"/>
  <c r="K298" i="1"/>
  <c r="L298" i="1" s="1"/>
  <c r="K286" i="1"/>
  <c r="L286" i="1" s="1"/>
  <c r="K274" i="1"/>
  <c r="L274" i="1" s="1"/>
  <c r="K250" i="1"/>
  <c r="L250" i="1" s="1"/>
  <c r="K226" i="1"/>
  <c r="L226" i="1" s="1"/>
  <c r="K214" i="1"/>
  <c r="L214" i="1" s="1"/>
  <c r="K178" i="1"/>
  <c r="L178" i="1" s="1"/>
  <c r="K166" i="1"/>
  <c r="L166" i="1" s="1"/>
  <c r="K154" i="1"/>
  <c r="L154" i="1" s="1"/>
  <c r="K130" i="1"/>
  <c r="L130" i="1" s="1"/>
  <c r="K117" i="1"/>
  <c r="L117" i="1" s="1"/>
  <c r="K105" i="1"/>
  <c r="L105" i="1" s="1"/>
  <c r="K95" i="1"/>
  <c r="L95" i="1" s="1"/>
  <c r="K441" i="1"/>
  <c r="L441" i="1" s="1"/>
  <c r="K417" i="1"/>
  <c r="L417" i="1" s="1"/>
  <c r="K405" i="1"/>
  <c r="L405" i="1" s="1"/>
  <c r="K393" i="1"/>
  <c r="L393" i="1" s="1"/>
  <c r="K381" i="1"/>
  <c r="L381" i="1" s="1"/>
  <c r="K369" i="1"/>
  <c r="L369" i="1" s="1"/>
  <c r="K357" i="1"/>
  <c r="L357" i="1" s="1"/>
  <c r="K345" i="1"/>
  <c r="L345" i="1" s="1"/>
  <c r="K333" i="1"/>
  <c r="L333" i="1" s="1"/>
  <c r="K321" i="1"/>
  <c r="L321" i="1" s="1"/>
  <c r="K309" i="1"/>
  <c r="L309" i="1" s="1"/>
  <c r="K285" i="1"/>
  <c r="L285" i="1" s="1"/>
  <c r="K261" i="1"/>
  <c r="L261" i="1" s="1"/>
  <c r="K237" i="1"/>
  <c r="L237" i="1" s="1"/>
  <c r="K201" i="1"/>
  <c r="L201" i="1" s="1"/>
  <c r="K189" i="1"/>
  <c r="L189" i="1" s="1"/>
  <c r="K177" i="1"/>
  <c r="L177" i="1" s="1"/>
  <c r="K165" i="1"/>
  <c r="L165" i="1" s="1"/>
  <c r="K153" i="1"/>
  <c r="L153" i="1" s="1"/>
  <c r="K141" i="1"/>
  <c r="L141" i="1" s="1"/>
  <c r="K129" i="1"/>
  <c r="L129" i="1" s="1"/>
  <c r="K116" i="1"/>
  <c r="L116" i="1" s="1"/>
  <c r="K104" i="1"/>
  <c r="L104" i="1" s="1"/>
  <c r="K92" i="1"/>
  <c r="L92" i="1" s="1"/>
  <c r="K56" i="1"/>
  <c r="L56" i="1" s="1"/>
  <c r="K300" i="1"/>
  <c r="L300" i="1" s="1"/>
  <c r="K107" i="1"/>
  <c r="L107" i="1" s="1"/>
  <c r="K452" i="1"/>
  <c r="L452" i="1" s="1"/>
  <c r="K440" i="1"/>
  <c r="L440" i="1" s="1"/>
  <c r="K428" i="1"/>
  <c r="L428" i="1" s="1"/>
  <c r="K416" i="1"/>
  <c r="L416" i="1" s="1"/>
  <c r="K404" i="1"/>
  <c r="L404" i="1" s="1"/>
  <c r="K392" i="1"/>
  <c r="L392" i="1" s="1"/>
  <c r="K356" i="1"/>
  <c r="L356" i="1" s="1"/>
  <c r="K344" i="1"/>
  <c r="L344" i="1" s="1"/>
  <c r="K332" i="1"/>
  <c r="L332" i="1" s="1"/>
  <c r="K320" i="1"/>
  <c r="L320" i="1" s="1"/>
  <c r="K296" i="1"/>
  <c r="L296" i="1" s="1"/>
  <c r="K272" i="1"/>
  <c r="L272" i="1" s="1"/>
  <c r="K260" i="1"/>
  <c r="L260" i="1" s="1"/>
  <c r="K248" i="1"/>
  <c r="L248" i="1" s="1"/>
  <c r="K236" i="1"/>
  <c r="L236" i="1" s="1"/>
  <c r="K224" i="1"/>
  <c r="L224" i="1" s="1"/>
  <c r="K212" i="1"/>
  <c r="L212" i="1" s="1"/>
  <c r="K200" i="1"/>
  <c r="L200" i="1" s="1"/>
  <c r="K188" i="1"/>
  <c r="L188" i="1" s="1"/>
  <c r="K176" i="1"/>
  <c r="L176" i="1" s="1"/>
  <c r="K140" i="1"/>
  <c r="L140" i="1" s="1"/>
  <c r="K127" i="1"/>
  <c r="L127" i="1" s="1"/>
  <c r="K115" i="1"/>
  <c r="L115" i="1" s="1"/>
  <c r="K103" i="1"/>
  <c r="L103" i="1" s="1"/>
  <c r="K91" i="1"/>
  <c r="L91" i="1" s="1"/>
  <c r="K55" i="1"/>
  <c r="L55" i="1" s="1"/>
  <c r="K420" i="1"/>
  <c r="L420" i="1" s="1"/>
  <c r="K132" i="1"/>
  <c r="L132" i="1" s="1"/>
  <c r="K451" i="1"/>
  <c r="L451" i="1" s="1"/>
  <c r="K439" i="1"/>
  <c r="L439" i="1" s="1"/>
  <c r="K427" i="1"/>
  <c r="L427" i="1" s="1"/>
  <c r="K403" i="1"/>
  <c r="L403" i="1" s="1"/>
  <c r="K391" i="1"/>
  <c r="L391" i="1" s="1"/>
  <c r="K379" i="1"/>
  <c r="L379" i="1" s="1"/>
  <c r="K367" i="1"/>
  <c r="L367" i="1" s="1"/>
  <c r="K319" i="1"/>
  <c r="L319" i="1" s="1"/>
  <c r="K307" i="1"/>
  <c r="L307" i="1" s="1"/>
  <c r="K283" i="1"/>
  <c r="L283" i="1" s="1"/>
  <c r="K271" i="1"/>
  <c r="L271" i="1" s="1"/>
  <c r="K259" i="1"/>
  <c r="L259" i="1" s="1"/>
  <c r="K247" i="1"/>
  <c r="L247" i="1" s="1"/>
  <c r="K199" i="1"/>
  <c r="L199" i="1" s="1"/>
  <c r="K187" i="1"/>
  <c r="L187" i="1" s="1"/>
  <c r="K175" i="1"/>
  <c r="L175" i="1" s="1"/>
  <c r="K163" i="1"/>
  <c r="L163" i="1" s="1"/>
  <c r="K151" i="1"/>
  <c r="L151" i="1" s="1"/>
  <c r="K139" i="1"/>
  <c r="L139" i="1" s="1"/>
  <c r="K126" i="1"/>
  <c r="L126" i="1" s="1"/>
  <c r="K114" i="1"/>
  <c r="L114" i="1" s="1"/>
  <c r="K102" i="1"/>
  <c r="L102" i="1" s="1"/>
  <c r="K90" i="1"/>
  <c r="L90" i="1" s="1"/>
  <c r="K432" i="1"/>
  <c r="L432" i="1" s="1"/>
  <c r="K276" i="1"/>
  <c r="L276" i="1" s="1"/>
  <c r="K119" i="1"/>
  <c r="L119" i="1" s="1"/>
  <c r="K462" i="1"/>
  <c r="L462" i="1" s="1"/>
  <c r="K450" i="1"/>
  <c r="L450" i="1" s="1"/>
  <c r="K438" i="1"/>
  <c r="L438" i="1" s="1"/>
  <c r="K426" i="1"/>
  <c r="L426" i="1" s="1"/>
  <c r="K414" i="1"/>
  <c r="L414" i="1" s="1"/>
  <c r="K402" i="1"/>
  <c r="L402" i="1" s="1"/>
  <c r="K390" i="1"/>
  <c r="L390" i="1" s="1"/>
  <c r="K378" i="1"/>
  <c r="L378" i="1" s="1"/>
  <c r="K366" i="1"/>
  <c r="L366" i="1" s="1"/>
  <c r="K354" i="1"/>
  <c r="L354" i="1" s="1"/>
  <c r="K342" i="1"/>
  <c r="L342" i="1" s="1"/>
  <c r="K330" i="1"/>
  <c r="L330" i="1" s="1"/>
  <c r="K294" i="1"/>
  <c r="L294" i="1" s="1"/>
  <c r="K258" i="1"/>
  <c r="L258" i="1" s="1"/>
  <c r="K234" i="1"/>
  <c r="L234" i="1" s="1"/>
  <c r="K222" i="1"/>
  <c r="L222" i="1" s="1"/>
  <c r="K210" i="1"/>
  <c r="L210" i="1" s="1"/>
  <c r="K198" i="1"/>
  <c r="L198" i="1" s="1"/>
  <c r="K174" i="1"/>
  <c r="L174" i="1" s="1"/>
  <c r="K162" i="1"/>
  <c r="L162" i="1" s="1"/>
  <c r="K150" i="1"/>
  <c r="L150" i="1" s="1"/>
  <c r="K138" i="1"/>
  <c r="L138" i="1" s="1"/>
  <c r="K125" i="1"/>
  <c r="L125" i="1" s="1"/>
  <c r="K113" i="1"/>
  <c r="L113" i="1" s="1"/>
  <c r="K101" i="1"/>
  <c r="L101" i="1" s="1"/>
  <c r="K89" i="1"/>
  <c r="L89" i="1" s="1"/>
  <c r="K7" i="1"/>
  <c r="L7" i="1" s="1"/>
  <c r="G205" i="4"/>
  <c r="F205" i="4" s="1"/>
  <c r="K186" i="1" s="1"/>
  <c r="L186" i="1" s="1"/>
  <c r="G121" i="4"/>
  <c r="F121" i="4" s="1"/>
  <c r="K122" i="1" s="1"/>
  <c r="L122" i="1" s="1"/>
  <c r="G192" i="4"/>
  <c r="H192" i="4" s="1"/>
  <c r="G298" i="4"/>
  <c r="G297" i="4" s="1"/>
  <c r="F297" i="4" s="1"/>
  <c r="K291" i="1" s="1"/>
  <c r="L291" i="1" s="1"/>
  <c r="G349" i="4"/>
  <c r="H349" i="4" s="1"/>
  <c r="H121" i="4"/>
  <c r="L121" i="4" s="1"/>
  <c r="G211" i="4"/>
  <c r="H211" i="4" s="1"/>
  <c r="L211" i="4" s="1"/>
  <c r="G344" i="4"/>
  <c r="G343" i="4" s="1"/>
  <c r="F343" i="4" s="1"/>
  <c r="K419" i="1" s="1"/>
  <c r="L419" i="1" s="1"/>
  <c r="H355" i="4"/>
  <c r="G244" i="4"/>
  <c r="G243" i="4" s="1"/>
  <c r="F243" i="4" s="1"/>
  <c r="K238" i="1" s="1"/>
  <c r="L238" i="1" s="1"/>
  <c r="G385" i="4"/>
  <c r="H385" i="4" s="1"/>
  <c r="L385" i="4" s="1"/>
  <c r="G137" i="4"/>
  <c r="H137" i="4" s="1"/>
  <c r="G375" i="4"/>
  <c r="H375" i="4" s="1"/>
  <c r="G198" i="4"/>
  <c r="G197" i="4" s="1"/>
  <c r="F197" i="4" s="1"/>
  <c r="K167" i="1" s="1"/>
  <c r="L167" i="1" s="1"/>
  <c r="H208" i="4"/>
  <c r="H207" i="4" s="1"/>
  <c r="G155" i="4"/>
  <c r="H155" i="4" s="1"/>
  <c r="G420" i="4"/>
  <c r="G419" i="4" s="1"/>
  <c r="F419" i="4" s="1"/>
  <c r="K425" i="1" s="1"/>
  <c r="L425" i="1" s="1"/>
  <c r="G425" i="4"/>
  <c r="H172" i="4"/>
  <c r="G186" i="4"/>
  <c r="H186" i="4" s="1"/>
  <c r="G190" i="4"/>
  <c r="H190" i="4" s="1"/>
  <c r="G289" i="4"/>
  <c r="H289" i="4" s="1"/>
  <c r="L289" i="4" s="1"/>
  <c r="G294" i="4"/>
  <c r="H294" i="4" s="1"/>
  <c r="F330" i="4"/>
  <c r="K337" i="1" s="1"/>
  <c r="L337" i="1" s="1"/>
  <c r="G204" i="4"/>
  <c r="H204" i="4" s="1"/>
  <c r="L204" i="4" s="1"/>
  <c r="G143" i="4"/>
  <c r="H143" i="4" s="1"/>
  <c r="L143" i="4" s="1"/>
  <c r="G185" i="4"/>
  <c r="H185" i="4" s="1"/>
  <c r="L185" i="4" s="1"/>
  <c r="G193" i="4"/>
  <c r="H193" i="4" s="1"/>
  <c r="L193" i="4" s="1"/>
  <c r="G271" i="4"/>
  <c r="H271" i="4" s="1"/>
  <c r="L271" i="4" s="1"/>
  <c r="G358" i="4"/>
  <c r="F358" i="4" s="1"/>
  <c r="G395" i="4"/>
  <c r="H395" i="4" s="1"/>
  <c r="G92" i="4"/>
  <c r="G84" i="4" s="1"/>
  <c r="F84" i="4" s="1"/>
  <c r="K87" i="1" s="1"/>
  <c r="L87" i="1" s="1"/>
  <c r="H129" i="4"/>
  <c r="G213" i="4"/>
  <c r="H213" i="4" s="1"/>
  <c r="L213" i="4" s="1"/>
  <c r="G226" i="4"/>
  <c r="G225" i="4" s="1"/>
  <c r="F225" i="4" s="1"/>
  <c r="K223" i="1" s="1"/>
  <c r="L223" i="1" s="1"/>
  <c r="H322" i="4"/>
  <c r="H321" i="4" s="1"/>
  <c r="H86" i="4"/>
  <c r="G235" i="4"/>
  <c r="G280" i="4"/>
  <c r="F280" i="4" s="1"/>
  <c r="K280" i="1" s="1"/>
  <c r="L280" i="1" s="1"/>
  <c r="H281" i="4"/>
  <c r="H280" i="4" s="1"/>
  <c r="G314" i="4"/>
  <c r="G313" i="4" s="1"/>
  <c r="F313" i="4" s="1"/>
  <c r="K341" i="1" s="1"/>
  <c r="L341" i="1" s="1"/>
  <c r="G267" i="4"/>
  <c r="H267" i="4" s="1"/>
  <c r="L267" i="4" s="1"/>
  <c r="G296" i="4"/>
  <c r="G295" i="4" s="1"/>
  <c r="F295" i="4" s="1"/>
  <c r="K278" i="1" s="1"/>
  <c r="L278" i="1" s="1"/>
  <c r="G369" i="4"/>
  <c r="G368" i="4" s="1"/>
  <c r="F368" i="4" s="1"/>
  <c r="K360" i="1" s="1"/>
  <c r="L360" i="1" s="1"/>
  <c r="G383" i="4"/>
  <c r="G382" i="4" s="1"/>
  <c r="F382" i="4" s="1"/>
  <c r="K211" i="1" s="1"/>
  <c r="L211" i="1" s="1"/>
  <c r="G83" i="4"/>
  <c r="H83" i="4" s="1"/>
  <c r="D2" i="4"/>
  <c r="H7" i="4"/>
  <c r="G162" i="4"/>
  <c r="G161" i="4" s="1"/>
  <c r="F161" i="4" s="1"/>
  <c r="K159" i="1" s="1"/>
  <c r="L159" i="1" s="1"/>
  <c r="G191" i="4"/>
  <c r="H191" i="4" s="1"/>
  <c r="L191" i="4" s="1"/>
  <c r="F207" i="4"/>
  <c r="K194" i="1" s="1"/>
  <c r="L194" i="1" s="1"/>
  <c r="H228" i="4"/>
  <c r="H227" i="4" s="1"/>
  <c r="G274" i="4"/>
  <c r="G273" i="4" s="1"/>
  <c r="F273" i="4" s="1"/>
  <c r="K268" i="1" s="1"/>
  <c r="L268" i="1" s="1"/>
  <c r="G293" i="4"/>
  <c r="G141" i="4"/>
  <c r="G279" i="4"/>
  <c r="G278" i="4" s="1"/>
  <c r="F278" i="4" s="1"/>
  <c r="K293" i="1" s="1"/>
  <c r="L293" i="1" s="1"/>
  <c r="G360" i="4"/>
  <c r="F360" i="4" s="1"/>
  <c r="K372" i="1" s="1"/>
  <c r="L372" i="1" s="1"/>
  <c r="H361" i="4"/>
  <c r="H360" i="4" s="1"/>
  <c r="G339" i="4"/>
  <c r="H339" i="4" s="1"/>
  <c r="G424" i="4"/>
  <c r="G20" i="4"/>
  <c r="H324" i="4"/>
  <c r="H323" i="4" s="1"/>
  <c r="G150" i="4"/>
  <c r="G164" i="4"/>
  <c r="G3" i="4"/>
  <c r="F3" i="4" s="1"/>
  <c r="K3" i="1" s="1"/>
  <c r="L3" i="1" s="1"/>
  <c r="G69" i="4"/>
  <c r="G118" i="4"/>
  <c r="H118" i="4" s="1"/>
  <c r="H127" i="4"/>
  <c r="H126" i="4" s="1"/>
  <c r="L126" i="4" s="1"/>
  <c r="G126" i="4"/>
  <c r="F126" i="4" s="1"/>
  <c r="K120" i="1" s="1"/>
  <c r="L120" i="1" s="1"/>
  <c r="G165" i="4"/>
  <c r="H165" i="4" s="1"/>
  <c r="L165" i="4" s="1"/>
  <c r="G175" i="4"/>
  <c r="H175" i="4" s="1"/>
  <c r="G196" i="4"/>
  <c r="H196" i="4" s="1"/>
  <c r="G401" i="4"/>
  <c r="F401" i="4" s="1"/>
  <c r="H402" i="4"/>
  <c r="H401" i="4" s="1"/>
  <c r="L401" i="4" s="1"/>
  <c r="G173" i="4"/>
  <c r="H173" i="4" s="1"/>
  <c r="H111" i="4"/>
  <c r="H135" i="4"/>
  <c r="G215" i="4"/>
  <c r="H215" i="4" s="1"/>
  <c r="G268" i="4"/>
  <c r="H268" i="4" s="1"/>
  <c r="H93" i="4"/>
  <c r="L93" i="4" s="1"/>
  <c r="G178" i="4"/>
  <c r="H178" i="4" s="1"/>
  <c r="L178" i="4" s="1"/>
  <c r="G409" i="4"/>
  <c r="F409" i="4" s="1"/>
  <c r="H410" i="4"/>
  <c r="H409" i="4" s="1"/>
  <c r="G184" i="4"/>
  <c r="G256" i="4"/>
  <c r="G255" i="4" s="1"/>
  <c r="F255" i="4" s="1"/>
  <c r="K244" i="1" s="1"/>
  <c r="L244" i="1" s="1"/>
  <c r="H264" i="4"/>
  <c r="G350" i="4"/>
  <c r="H350" i="4" s="1"/>
  <c r="G416" i="4"/>
  <c r="G415" i="4" s="1"/>
  <c r="F415" i="4" s="1"/>
  <c r="K349" i="1" s="1"/>
  <c r="L349" i="1" s="1"/>
  <c r="G133" i="4"/>
  <c r="H147" i="4"/>
  <c r="G168" i="4"/>
  <c r="H168" i="4" s="1"/>
  <c r="L168" i="4" s="1"/>
  <c r="G188" i="4"/>
  <c r="H188" i="4" s="1"/>
  <c r="L188" i="4" s="1"/>
  <c r="G202" i="4"/>
  <c r="H232" i="4"/>
  <c r="H3" i="4"/>
  <c r="L3" i="4" s="1"/>
  <c r="G130" i="4"/>
  <c r="G128" i="4" s="1"/>
  <c r="F128" i="4" s="1"/>
  <c r="K131" i="1" s="1"/>
  <c r="L131" i="1" s="1"/>
  <c r="G219" i="4"/>
  <c r="H219" i="4" s="1"/>
  <c r="G246" i="4"/>
  <c r="G245" i="4" s="1"/>
  <c r="F245" i="4" s="1"/>
  <c r="K295" i="1" s="1"/>
  <c r="L295" i="1" s="1"/>
  <c r="G373" i="4"/>
  <c r="G179" i="4"/>
  <c r="H179" i="4" s="1"/>
  <c r="G276" i="4"/>
  <c r="H276" i="4" s="1"/>
  <c r="G367" i="4"/>
  <c r="G366" i="4" s="1"/>
  <c r="F366" i="4" s="1"/>
  <c r="H300" i="4"/>
  <c r="H299" i="4" s="1"/>
  <c r="G80" i="4"/>
  <c r="H80" i="4" s="1"/>
  <c r="G138" i="4"/>
  <c r="H138" i="4" s="1"/>
  <c r="L138" i="4" s="1"/>
  <c r="G153" i="4"/>
  <c r="H153" i="4" s="1"/>
  <c r="G251" i="4"/>
  <c r="H251" i="4" s="1"/>
  <c r="G265" i="4"/>
  <c r="H265" i="4" s="1"/>
  <c r="G287" i="4"/>
  <c r="G304" i="4"/>
  <c r="G329" i="4"/>
  <c r="G328" i="4" s="1"/>
  <c r="F328" i="4" s="1"/>
  <c r="K423" i="1" s="1"/>
  <c r="L423" i="1" s="1"/>
  <c r="G340" i="4"/>
  <c r="H340" i="4" s="1"/>
  <c r="G347" i="4"/>
  <c r="H347" i="4" s="1"/>
  <c r="G351" i="4"/>
  <c r="H351" i="4" s="1"/>
  <c r="G418" i="4"/>
  <c r="G417" i="4" s="1"/>
  <c r="F417" i="4" s="1"/>
  <c r="G157" i="4"/>
  <c r="G176" i="4"/>
  <c r="H176" i="4" s="1"/>
  <c r="L176" i="4" s="1"/>
  <c r="G194" i="4"/>
  <c r="H194" i="4" s="1"/>
  <c r="G210" i="4"/>
  <c r="G238" i="4"/>
  <c r="G237" i="4" s="1"/>
  <c r="F237" i="4" s="1"/>
  <c r="K215" i="1" s="1"/>
  <c r="L215" i="1" s="1"/>
  <c r="G277" i="4"/>
  <c r="H277" i="4" s="1"/>
  <c r="L277" i="4" s="1"/>
  <c r="G381" i="4"/>
  <c r="G380" i="4" s="1"/>
  <c r="F380" i="4" s="1"/>
  <c r="K324" i="1" s="1"/>
  <c r="L324" i="1" s="1"/>
  <c r="G354" i="4"/>
  <c r="G353" i="4" s="1"/>
  <c r="F353" i="4" s="1"/>
  <c r="K429" i="1" s="1"/>
  <c r="L429" i="1" s="1"/>
  <c r="G392" i="4"/>
  <c r="G391" i="4" s="1"/>
  <c r="F391" i="4" s="1"/>
  <c r="K335" i="1" s="1"/>
  <c r="L335" i="1" s="1"/>
  <c r="G93" i="4"/>
  <c r="F93" i="4" s="1"/>
  <c r="K94" i="1" s="1"/>
  <c r="L94" i="1" s="1"/>
  <c r="G154" i="4"/>
  <c r="H154" i="4" s="1"/>
  <c r="G288" i="4"/>
  <c r="H288" i="4" s="1"/>
  <c r="G365" i="4"/>
  <c r="G364" i="4" s="1"/>
  <c r="F364" i="4" s="1"/>
  <c r="F411" i="4"/>
  <c r="G222" i="4"/>
  <c r="G221" i="4" s="1"/>
  <c r="F221" i="4" s="1"/>
  <c r="K207" i="1" s="1"/>
  <c r="L207" i="1" s="1"/>
  <c r="G230" i="4"/>
  <c r="G229" i="4" s="1"/>
  <c r="F229" i="4" s="1"/>
  <c r="K218" i="1" s="1"/>
  <c r="L218" i="1" s="1"/>
  <c r="G241" i="4"/>
  <c r="G252" i="4"/>
  <c r="H252" i="4" s="1"/>
  <c r="L252" i="4" s="1"/>
  <c r="G260" i="4"/>
  <c r="G291" i="4"/>
  <c r="G290" i="4" s="1"/>
  <c r="F290" i="4" s="1"/>
  <c r="K273" i="1" s="1"/>
  <c r="L273" i="1" s="1"/>
  <c r="G310" i="4"/>
  <c r="G309" i="4" s="1"/>
  <c r="F309" i="4" s="1"/>
  <c r="K299" i="1" s="1"/>
  <c r="L299" i="1" s="1"/>
  <c r="G318" i="4"/>
  <c r="G317" i="4" s="1"/>
  <c r="F317" i="4" s="1"/>
  <c r="K301" i="1" s="1"/>
  <c r="L301" i="1" s="1"/>
  <c r="G326" i="4"/>
  <c r="G325" i="4" s="1"/>
  <c r="F325" i="4" s="1"/>
  <c r="K303" i="1" s="1"/>
  <c r="L303" i="1" s="1"/>
  <c r="G335" i="4"/>
  <c r="G334" i="4" s="1"/>
  <c r="F334" i="4" s="1"/>
  <c r="K401" i="1" s="1"/>
  <c r="L401" i="1" s="1"/>
  <c r="G387" i="4"/>
  <c r="H387" i="4" s="1"/>
  <c r="L387" i="4" s="1"/>
  <c r="G414" i="4"/>
  <c r="G413" i="4" s="1"/>
  <c r="F413" i="4" s="1"/>
  <c r="K314" i="1" s="1"/>
  <c r="L314" i="1" s="1"/>
  <c r="G422" i="4"/>
  <c r="G421" i="4" s="1"/>
  <c r="F421" i="4" s="1"/>
  <c r="K362" i="1" s="1"/>
  <c r="L362" i="1" s="1"/>
  <c r="G82" i="4"/>
  <c r="H82" i="4" s="1"/>
  <c r="G117" i="4"/>
  <c r="G136" i="4"/>
  <c r="H136" i="4" s="1"/>
  <c r="G139" i="4"/>
  <c r="G233" i="4"/>
  <c r="G231" i="4" s="1"/>
  <c r="F231" i="4" s="1"/>
  <c r="K220" i="1" s="1"/>
  <c r="L220" i="1" s="1"/>
  <c r="G266" i="4"/>
  <c r="G269" i="4"/>
  <c r="H269" i="4" s="1"/>
  <c r="L269" i="4" s="1"/>
  <c r="G346" i="4"/>
  <c r="G379" i="4"/>
  <c r="G378" i="4" s="1"/>
  <c r="F378" i="4" s="1"/>
  <c r="K351" i="1" s="1"/>
  <c r="L351" i="1" s="1"/>
  <c r="G390" i="4"/>
  <c r="G389" i="4" s="1"/>
  <c r="F389" i="4" s="1"/>
  <c r="K431" i="1" s="1"/>
  <c r="L431" i="1" s="1"/>
  <c r="D11" i="8" l="1"/>
  <c r="D25" i="8"/>
  <c r="D19" i="8"/>
  <c r="D18" i="8"/>
  <c r="D31" i="8"/>
  <c r="D14" i="8"/>
  <c r="D28" i="8"/>
  <c r="D27" i="8"/>
  <c r="D15" i="8"/>
  <c r="D23" i="8"/>
  <c r="D8" i="8"/>
  <c r="D22" i="8"/>
  <c r="D20" i="8"/>
  <c r="D24" i="8"/>
  <c r="D12" i="8"/>
  <c r="D10" i="8"/>
  <c r="D21" i="8"/>
  <c r="D29" i="8"/>
  <c r="D9" i="8"/>
  <c r="D30" i="8"/>
  <c r="H2" i="5"/>
  <c r="J2" i="1"/>
  <c r="J345" i="4"/>
  <c r="I345" i="4" s="1"/>
  <c r="N433" i="1" s="1"/>
  <c r="O433" i="1" s="1"/>
  <c r="H333" i="4"/>
  <c r="H332" i="4" s="1"/>
  <c r="G234" i="4"/>
  <c r="F234" i="4" s="1"/>
  <c r="K249" i="1" s="1"/>
  <c r="L249" i="1" s="1"/>
  <c r="K392" i="4"/>
  <c r="J292" i="4"/>
  <c r="I292" i="4" s="1"/>
  <c r="N270" i="1" s="1"/>
  <c r="O270" i="1" s="1"/>
  <c r="L220" i="4"/>
  <c r="K320" i="4"/>
  <c r="K319" i="4" s="1"/>
  <c r="J156" i="4"/>
  <c r="I156" i="4" s="1"/>
  <c r="N161" i="1" s="1"/>
  <c r="O161" i="1" s="1"/>
  <c r="H312" i="4"/>
  <c r="H311" i="4" s="1"/>
  <c r="G341" i="4"/>
  <c r="F341" i="4" s="1"/>
  <c r="K384" i="1" s="1"/>
  <c r="L384" i="1" s="1"/>
  <c r="G156" i="4"/>
  <c r="F156" i="4" s="1"/>
  <c r="K161" i="1" s="1"/>
  <c r="L161" i="1" s="1"/>
  <c r="H306" i="4"/>
  <c r="H305" i="4" s="1"/>
  <c r="K132" i="4"/>
  <c r="H224" i="4"/>
  <c r="H223" i="4" s="1"/>
  <c r="G259" i="4"/>
  <c r="F259" i="4" s="1"/>
  <c r="K262" i="1" s="1"/>
  <c r="L262" i="1" s="1"/>
  <c r="L261" i="4"/>
  <c r="L214" i="4"/>
  <c r="L180" i="4"/>
  <c r="H308" i="4"/>
  <c r="H307" i="4" s="1"/>
  <c r="G315" i="4"/>
  <c r="F315" i="4" s="1"/>
  <c r="K306" i="1" s="1"/>
  <c r="L306" i="1" s="1"/>
  <c r="H160" i="4"/>
  <c r="H159" i="4" s="1"/>
  <c r="L177" i="4"/>
  <c r="J384" i="4"/>
  <c r="I384" i="4" s="1"/>
  <c r="N230" i="1" s="1"/>
  <c r="O230" i="1" s="1"/>
  <c r="H337" i="4"/>
  <c r="H336" i="4" s="1"/>
  <c r="G301" i="4"/>
  <c r="F301" i="4" s="1"/>
  <c r="K326" i="1" s="1"/>
  <c r="L326" i="1" s="1"/>
  <c r="H320" i="4"/>
  <c r="H319" i="4" s="1"/>
  <c r="L167" i="4"/>
  <c r="K322" i="4"/>
  <c r="K321" i="4" s="1"/>
  <c r="L321" i="4" s="1"/>
  <c r="K256" i="4"/>
  <c r="K255" i="4" s="1"/>
  <c r="H248" i="4"/>
  <c r="H247" i="4" s="1"/>
  <c r="L148" i="4"/>
  <c r="K412" i="4"/>
  <c r="K411" i="4" s="1"/>
  <c r="L262" i="4"/>
  <c r="K222" i="4"/>
  <c r="K221" i="4" s="1"/>
  <c r="L194" i="4"/>
  <c r="G355" i="4"/>
  <c r="F355" i="4" s="1"/>
  <c r="K227" i="1" s="1"/>
  <c r="L227" i="1" s="1"/>
  <c r="G240" i="4"/>
  <c r="F240" i="4" s="1"/>
  <c r="K246" i="1" s="1"/>
  <c r="L246" i="1" s="1"/>
  <c r="H371" i="4"/>
  <c r="H370" i="4" s="1"/>
  <c r="G199" i="4"/>
  <c r="F199" i="4" s="1"/>
  <c r="K169" i="1" s="1"/>
  <c r="L169" i="1" s="1"/>
  <c r="J393" i="4"/>
  <c r="I393" i="4" s="1"/>
  <c r="L189" i="4"/>
  <c r="K308" i="4"/>
  <c r="K307" i="4" s="1"/>
  <c r="L187" i="4"/>
  <c r="K416" i="4"/>
  <c r="K415" i="4" s="1"/>
  <c r="G423" i="4"/>
  <c r="F423" i="4" s="1"/>
  <c r="K353" i="1" s="1"/>
  <c r="L353" i="1" s="1"/>
  <c r="H377" i="4"/>
  <c r="H376" i="4" s="1"/>
  <c r="L270" i="4"/>
  <c r="G282" i="4"/>
  <c r="F282" i="4" s="1"/>
  <c r="K235" i="1" s="1"/>
  <c r="L235" i="1" s="1"/>
  <c r="H254" i="4"/>
  <c r="H253" i="4" s="1"/>
  <c r="H363" i="4"/>
  <c r="H362" i="4" s="1"/>
  <c r="J372" i="4"/>
  <c r="I372" i="4" s="1"/>
  <c r="N331" i="1" s="1"/>
  <c r="O331" i="1" s="1"/>
  <c r="L118" i="4"/>
  <c r="H420" i="4"/>
  <c r="H419" i="4" s="1"/>
  <c r="L81" i="4"/>
  <c r="J338" i="4"/>
  <c r="I338" i="4" s="1"/>
  <c r="N380" i="1" s="1"/>
  <c r="O380" i="1" s="1"/>
  <c r="K298" i="4"/>
  <c r="K297" i="4" s="1"/>
  <c r="L179" i="4"/>
  <c r="G131" i="4"/>
  <c r="F131" i="4" s="1"/>
  <c r="K149" i="1" s="1"/>
  <c r="L149" i="1" s="1"/>
  <c r="G372" i="4"/>
  <c r="F372" i="4" s="1"/>
  <c r="K331" i="1" s="1"/>
  <c r="L331" i="1" s="1"/>
  <c r="L169" i="4"/>
  <c r="K333" i="4"/>
  <c r="K254" i="4"/>
  <c r="K253" i="4" s="1"/>
  <c r="L137" i="4"/>
  <c r="L350" i="4"/>
  <c r="K365" i="4"/>
  <c r="K364" i="4" s="1"/>
  <c r="L154" i="4"/>
  <c r="K344" i="4"/>
  <c r="K343" i="4" s="1"/>
  <c r="J396" i="4"/>
  <c r="I396" i="4" s="1"/>
  <c r="N343" i="1" s="1"/>
  <c r="O343" i="1" s="1"/>
  <c r="L181" i="4"/>
  <c r="L136" i="4"/>
  <c r="K359" i="4"/>
  <c r="L359" i="4" s="1"/>
  <c r="K410" i="4"/>
  <c r="K409" i="4" s="1"/>
  <c r="L409" i="4" s="1"/>
  <c r="L190" i="4"/>
  <c r="L219" i="4"/>
  <c r="L153" i="4"/>
  <c r="L158" i="4"/>
  <c r="L251" i="4"/>
  <c r="H381" i="4"/>
  <c r="H380" i="4" s="1"/>
  <c r="L82" i="4"/>
  <c r="K244" i="4"/>
  <c r="K243" i="4" s="1"/>
  <c r="K390" i="4"/>
  <c r="K389" i="4" s="1"/>
  <c r="L239" i="4"/>
  <c r="K367" i="4"/>
  <c r="K366" i="4" s="1"/>
  <c r="K306" i="4"/>
  <c r="K305" i="4" s="1"/>
  <c r="L305" i="4" s="1"/>
  <c r="L147" i="4"/>
  <c r="H282" i="4"/>
  <c r="L242" i="4"/>
  <c r="K377" i="4"/>
  <c r="K376" i="4" s="1"/>
  <c r="K329" i="4"/>
  <c r="K328" i="4" s="1"/>
  <c r="L145" i="4"/>
  <c r="K208" i="4"/>
  <c r="L208" i="4" s="1"/>
  <c r="K316" i="4"/>
  <c r="L316" i="4" s="1"/>
  <c r="L268" i="4"/>
  <c r="L352" i="4"/>
  <c r="L272" i="4"/>
  <c r="K374" i="4"/>
  <c r="L374" i="4" s="1"/>
  <c r="L155" i="4"/>
  <c r="K342" i="4"/>
  <c r="K341" i="4" s="1"/>
  <c r="L341" i="4" s="1"/>
  <c r="K234" i="4"/>
  <c r="L236" i="4"/>
  <c r="K108" i="4"/>
  <c r="L283" i="4"/>
  <c r="K282" i="4"/>
  <c r="L347" i="4"/>
  <c r="L322" i="4"/>
  <c r="L172" i="4"/>
  <c r="L264" i="4"/>
  <c r="K263" i="4"/>
  <c r="J231" i="4"/>
  <c r="I231" i="4" s="1"/>
  <c r="N220" i="1" s="1"/>
  <c r="O220" i="1" s="1"/>
  <c r="K209" i="4"/>
  <c r="J134" i="4"/>
  <c r="I134" i="4" s="1"/>
  <c r="N152" i="1" s="1"/>
  <c r="O152" i="1" s="1"/>
  <c r="K381" i="4"/>
  <c r="K230" i="4"/>
  <c r="K200" i="4"/>
  <c r="J282" i="4"/>
  <c r="I282" i="4" s="1"/>
  <c r="N235" i="1" s="1"/>
  <c r="O235" i="1" s="1"/>
  <c r="L215" i="4"/>
  <c r="J209" i="4"/>
  <c r="I209" i="4" s="1"/>
  <c r="N196" i="1" s="1"/>
  <c r="O196" i="1" s="1"/>
  <c r="K135" i="4"/>
  <c r="K131" i="4"/>
  <c r="L132" i="4"/>
  <c r="L375" i="4"/>
  <c r="L302" i="4"/>
  <c r="K301" i="4"/>
  <c r="J259" i="4"/>
  <c r="I259" i="4" s="1"/>
  <c r="N262" i="1" s="1"/>
  <c r="O262" i="1" s="1"/>
  <c r="K224" i="4"/>
  <c r="J223" i="4"/>
  <c r="I223" i="4" s="1"/>
  <c r="N209" i="1" s="1"/>
  <c r="O209" i="1" s="1"/>
  <c r="K417" i="4"/>
  <c r="J237" i="4"/>
  <c r="I237" i="4" s="1"/>
  <c r="N215" i="1" s="1"/>
  <c r="O215" i="1" s="1"/>
  <c r="K281" i="4"/>
  <c r="L146" i="4"/>
  <c r="L152" i="4"/>
  <c r="K198" i="4"/>
  <c r="K227" i="4"/>
  <c r="L227" i="4" s="1"/>
  <c r="L228" i="4"/>
  <c r="J201" i="4"/>
  <c r="I201" i="4" s="1"/>
  <c r="N190" i="1" s="1"/>
  <c r="O190" i="1" s="1"/>
  <c r="G201" i="4"/>
  <c r="F201" i="4" s="1"/>
  <c r="K190" i="1" s="1"/>
  <c r="L190" i="1" s="1"/>
  <c r="K346" i="4"/>
  <c r="J301" i="4"/>
  <c r="I301" i="4" s="1"/>
  <c r="N326" i="1" s="1"/>
  <c r="O326" i="1" s="1"/>
  <c r="K260" i="4"/>
  <c r="G396" i="4"/>
  <c r="F396" i="4" s="1"/>
  <c r="K343" i="1" s="1"/>
  <c r="L343" i="1" s="1"/>
  <c r="K237" i="4"/>
  <c r="L203" i="4"/>
  <c r="L286" i="4"/>
  <c r="K285" i="4"/>
  <c r="K201" i="4"/>
  <c r="K129" i="4"/>
  <c r="J128" i="4"/>
  <c r="I128" i="4" s="1"/>
  <c r="N131" i="1" s="1"/>
  <c r="O131" i="1" s="1"/>
  <c r="L186" i="4"/>
  <c r="K248" i="4"/>
  <c r="L218" i="4"/>
  <c r="K356" i="4"/>
  <c r="J240" i="4"/>
  <c r="I240" i="4" s="1"/>
  <c r="N246" i="1" s="1"/>
  <c r="O246" i="1" s="1"/>
  <c r="K379" i="4"/>
  <c r="K371" i="4"/>
  <c r="K309" i="4"/>
  <c r="J285" i="4"/>
  <c r="I285" i="4" s="1"/>
  <c r="N284" i="1" s="1"/>
  <c r="O284" i="1" s="1"/>
  <c r="K163" i="4"/>
  <c r="J140" i="4"/>
  <c r="I140" i="4" s="1"/>
  <c r="N134" i="1" s="1"/>
  <c r="O134" i="1" s="1"/>
  <c r="K276" i="4"/>
  <c r="L340" i="4"/>
  <c r="L83" i="4"/>
  <c r="K368" i="4"/>
  <c r="K325" i="4"/>
  <c r="L265" i="4"/>
  <c r="K240" i="4"/>
  <c r="L142" i="4"/>
  <c r="K354" i="4"/>
  <c r="K361" i="4"/>
  <c r="J163" i="4"/>
  <c r="I163" i="4" s="1"/>
  <c r="N164" i="1" s="1"/>
  <c r="O164" i="1" s="1"/>
  <c r="K140" i="4"/>
  <c r="K337" i="4"/>
  <c r="H258" i="4"/>
  <c r="H257" i="4" s="1"/>
  <c r="K394" i="4"/>
  <c r="L303" i="4"/>
  <c r="L195" i="4"/>
  <c r="K363" i="4"/>
  <c r="K295" i="4"/>
  <c r="J263" i="4"/>
  <c r="I263" i="4" s="1"/>
  <c r="N252" i="1" s="1"/>
  <c r="O252" i="1" s="1"/>
  <c r="J234" i="4"/>
  <c r="I234" i="4" s="1"/>
  <c r="N249" i="1" s="1"/>
  <c r="O249" i="1" s="1"/>
  <c r="K84" i="4"/>
  <c r="K250" i="4"/>
  <c r="J249" i="4"/>
  <c r="I249" i="4" s="1"/>
  <c r="N240" i="1" s="1"/>
  <c r="O240" i="1" s="1"/>
  <c r="K335" i="4"/>
  <c r="L192" i="4"/>
  <c r="L284" i="4"/>
  <c r="L119" i="4"/>
  <c r="K419" i="4"/>
  <c r="L212" i="4"/>
  <c r="J108" i="4"/>
  <c r="I108" i="4" s="1"/>
  <c r="N108" i="1" s="1"/>
  <c r="O108" i="1" s="1"/>
  <c r="L174" i="4"/>
  <c r="L395" i="4"/>
  <c r="K324" i="4"/>
  <c r="J71" i="4"/>
  <c r="I71" i="4" s="1"/>
  <c r="N75" i="1" s="1"/>
  <c r="O75" i="1" s="1"/>
  <c r="K348" i="4"/>
  <c r="L349" i="4"/>
  <c r="K300" i="4"/>
  <c r="J299" i="4"/>
  <c r="I299" i="4" s="1"/>
  <c r="N322" i="1" s="1"/>
  <c r="O322" i="1" s="1"/>
  <c r="L175" i="4"/>
  <c r="H425" i="4"/>
  <c r="J425" i="4"/>
  <c r="J423" i="4" s="1"/>
  <c r="I423" i="4" s="1"/>
  <c r="N353" i="1" s="1"/>
  <c r="O353" i="1" s="1"/>
  <c r="K291" i="4"/>
  <c r="K149" i="4"/>
  <c r="L351" i="4"/>
  <c r="K414" i="4"/>
  <c r="K162" i="4"/>
  <c r="J216" i="4"/>
  <c r="I216" i="4" s="1"/>
  <c r="N202" i="1" s="1"/>
  <c r="O202" i="1" s="1"/>
  <c r="K273" i="4"/>
  <c r="K421" i="4"/>
  <c r="L173" i="4"/>
  <c r="K226" i="4"/>
  <c r="L80" i="4"/>
  <c r="K71" i="4"/>
  <c r="K312" i="4"/>
  <c r="J348" i="4"/>
  <c r="I348" i="4" s="1"/>
  <c r="N355" i="1" s="1"/>
  <c r="O355" i="1" s="1"/>
  <c r="K156" i="4"/>
  <c r="H408" i="4"/>
  <c r="H407" i="4" s="1"/>
  <c r="L183" i="4"/>
  <c r="K182" i="4"/>
  <c r="J149" i="4"/>
  <c r="I149" i="4" s="1"/>
  <c r="N142" i="1" s="1"/>
  <c r="O142" i="1" s="1"/>
  <c r="K313" i="4"/>
  <c r="K206" i="4"/>
  <c r="K217" i="4"/>
  <c r="L196" i="4"/>
  <c r="K318" i="4"/>
  <c r="K331" i="4"/>
  <c r="J330" i="4"/>
  <c r="I330" i="4" s="1"/>
  <c r="N337" i="1" s="1"/>
  <c r="O337" i="1" s="1"/>
  <c r="K160" i="4"/>
  <c r="K258" i="4"/>
  <c r="H393" i="4"/>
  <c r="K391" i="4"/>
  <c r="K279" i="4"/>
  <c r="J182" i="4"/>
  <c r="I182" i="4" s="1"/>
  <c r="N172" i="1" s="1"/>
  <c r="O172" i="1" s="1"/>
  <c r="L144" i="4"/>
  <c r="K339" i="4"/>
  <c r="K408" i="4"/>
  <c r="K383" i="4"/>
  <c r="K292" i="4"/>
  <c r="L294" i="4"/>
  <c r="L288" i="4"/>
  <c r="K232" i="4"/>
  <c r="H16" i="8"/>
  <c r="I16" i="8"/>
  <c r="I32" i="8"/>
  <c r="H32" i="8"/>
  <c r="H13" i="8"/>
  <c r="I13" i="8"/>
  <c r="H26" i="8"/>
  <c r="I26" i="8"/>
  <c r="H17" i="8"/>
  <c r="I17" i="8"/>
  <c r="G348" i="4"/>
  <c r="F348" i="4" s="1"/>
  <c r="K355" i="1" s="1"/>
  <c r="L355" i="1" s="1"/>
  <c r="H291" i="4"/>
  <c r="H290" i="4" s="1"/>
  <c r="H296" i="4"/>
  <c r="H295" i="4" s="1"/>
  <c r="G108" i="4"/>
  <c r="F108" i="4" s="1"/>
  <c r="K108" i="1" s="1"/>
  <c r="L108" i="1" s="1"/>
  <c r="G285" i="4"/>
  <c r="F285" i="4" s="1"/>
  <c r="K284" i="1" s="1"/>
  <c r="L284" i="1" s="1"/>
  <c r="H198" i="4"/>
  <c r="H197" i="4" s="1"/>
  <c r="H348" i="4"/>
  <c r="G134" i="4"/>
  <c r="F134" i="4" s="1"/>
  <c r="K152" i="1" s="1"/>
  <c r="L152" i="1" s="1"/>
  <c r="H384" i="4"/>
  <c r="L384" i="4" s="1"/>
  <c r="K56" i="4"/>
  <c r="G140" i="4"/>
  <c r="F140" i="4" s="1"/>
  <c r="K134" i="1" s="1"/>
  <c r="L134" i="1" s="1"/>
  <c r="H130" i="4"/>
  <c r="L130" i="4" s="1"/>
  <c r="H298" i="4"/>
  <c r="H297" i="4" s="1"/>
  <c r="G263" i="4"/>
  <c r="F263" i="4" s="1"/>
  <c r="K252" i="1" s="1"/>
  <c r="L252" i="1" s="1"/>
  <c r="H117" i="4"/>
  <c r="L117" i="4" s="1"/>
  <c r="H365" i="4"/>
  <c r="H364" i="4" s="1"/>
  <c r="H392" i="4"/>
  <c r="H391" i="4" s="1"/>
  <c r="H390" i="4"/>
  <c r="H389" i="4" s="1"/>
  <c r="H412" i="4"/>
  <c r="H411" i="4" s="1"/>
  <c r="U46" i="1"/>
  <c r="U68" i="1"/>
  <c r="U31" i="1"/>
  <c r="U57" i="1"/>
  <c r="U66" i="1"/>
  <c r="U264" i="1"/>
  <c r="U20" i="1"/>
  <c r="U10" i="1"/>
  <c r="U82" i="1"/>
  <c r="U79" i="1"/>
  <c r="U40" i="1"/>
  <c r="U13" i="1"/>
  <c r="U32" i="1"/>
  <c r="U33" i="1"/>
  <c r="U22" i="1"/>
  <c r="U11" i="1"/>
  <c r="U48" i="1"/>
  <c r="U38" i="1"/>
  <c r="U39" i="1"/>
  <c r="U25" i="1"/>
  <c r="U29" i="1"/>
  <c r="U45" i="1"/>
  <c r="U18" i="1"/>
  <c r="U23" i="1"/>
  <c r="U35" i="1"/>
  <c r="U62" i="1"/>
  <c r="U42" i="1"/>
  <c r="I2" i="5"/>
  <c r="U80" i="1"/>
  <c r="U69" i="1"/>
  <c r="U58" i="1"/>
  <c r="U16" i="1"/>
  <c r="U12" i="1"/>
  <c r="U61" i="1"/>
  <c r="U17" i="1"/>
  <c r="U77" i="1"/>
  <c r="U44" i="1"/>
  <c r="U34" i="1"/>
  <c r="U60" i="1"/>
  <c r="U50" i="1"/>
  <c r="U51" i="1"/>
  <c r="U6" i="1"/>
  <c r="U37" i="1"/>
  <c r="U53" i="1"/>
  <c r="U72" i="1"/>
  <c r="U63" i="1"/>
  <c r="U49" i="1"/>
  <c r="U30" i="1"/>
  <c r="U47" i="1"/>
  <c r="U84" i="1"/>
  <c r="U86" i="1"/>
  <c r="U8" i="1"/>
  <c r="U9" i="1"/>
  <c r="U81" i="1"/>
  <c r="U70" i="1"/>
  <c r="U71" i="1"/>
  <c r="U14" i="1"/>
  <c r="U15" i="1"/>
  <c r="U28" i="1"/>
  <c r="U41" i="1"/>
  <c r="U24" i="1"/>
  <c r="U73" i="1"/>
  <c r="U67" i="1"/>
  <c r="U83" i="1"/>
  <c r="U26" i="1"/>
  <c r="U27" i="1"/>
  <c r="U65" i="1"/>
  <c r="U85" i="1"/>
  <c r="U52" i="1"/>
  <c r="U54" i="1"/>
  <c r="U76" i="1"/>
  <c r="U64" i="1"/>
  <c r="U78" i="1"/>
  <c r="U43" i="1"/>
  <c r="U253" i="1"/>
  <c r="U101" i="1"/>
  <c r="U448" i="1"/>
  <c r="U173" i="1"/>
  <c r="U317" i="1"/>
  <c r="U316" i="1" s="1"/>
  <c r="U124" i="1"/>
  <c r="U399" i="1"/>
  <c r="U185" i="1"/>
  <c r="U329" i="1"/>
  <c r="U204" i="1"/>
  <c r="U408" i="1"/>
  <c r="U315" i="1"/>
  <c r="U314" i="1" s="1"/>
  <c r="U123" i="1"/>
  <c r="U411" i="1"/>
  <c r="U197" i="1"/>
  <c r="U113" i="1"/>
  <c r="U110" i="1"/>
  <c r="U363" i="1"/>
  <c r="U362" i="1" s="1"/>
  <c r="U160" i="1"/>
  <c r="U159" i="1" s="1"/>
  <c r="U304" i="1"/>
  <c r="U88" i="1"/>
  <c r="U233" i="1"/>
  <c r="U374" i="1"/>
  <c r="U100" i="1"/>
  <c r="U245" i="1"/>
  <c r="U244" i="1" s="1"/>
  <c r="U339" i="1"/>
  <c r="U258" i="1"/>
  <c r="U402" i="1"/>
  <c r="U401" i="1" s="1"/>
  <c r="U114" i="1"/>
  <c r="U259" i="1"/>
  <c r="U103" i="1"/>
  <c r="U248" i="1"/>
  <c r="U391" i="1"/>
  <c r="U116" i="1"/>
  <c r="U261" i="1"/>
  <c r="U286" i="1"/>
  <c r="U430" i="1"/>
  <c r="U429" i="1" s="1"/>
  <c r="U179" i="1"/>
  <c r="U323" i="1"/>
  <c r="U322" i="1" s="1"/>
  <c r="U443" i="1"/>
  <c r="U133" i="1"/>
  <c r="U277" i="1"/>
  <c r="U267" i="1"/>
  <c r="U266" i="1" s="1"/>
  <c r="U125" i="1"/>
  <c r="U413" i="1"/>
  <c r="U271" i="1"/>
  <c r="U115" i="1"/>
  <c r="U260" i="1"/>
  <c r="U403" i="1"/>
  <c r="U154" i="1"/>
  <c r="U298" i="1"/>
  <c r="U297" i="1" s="1"/>
  <c r="U441" i="1"/>
  <c r="U336" i="1"/>
  <c r="U335" i="1" s="1"/>
  <c r="U191" i="1"/>
  <c r="U97" i="1"/>
  <c r="U242" i="1"/>
  <c r="U145" i="1"/>
  <c r="U135" i="1"/>
  <c r="U279" i="1"/>
  <c r="U278" i="1" s="1"/>
  <c r="U459" i="1"/>
  <c r="U232" i="1"/>
  <c r="U305" i="1"/>
  <c r="U138" i="1"/>
  <c r="U426" i="1"/>
  <c r="U425" i="1" s="1"/>
  <c r="U139" i="1"/>
  <c r="U283" i="1"/>
  <c r="U282" i="1" s="1"/>
  <c r="U127" i="1"/>
  <c r="U272" i="1"/>
  <c r="U416" i="1"/>
  <c r="U415" i="1" s="1"/>
  <c r="U141" i="1"/>
  <c r="U285" i="1"/>
  <c r="U454" i="1"/>
  <c r="U453" i="1" s="1"/>
  <c r="U395" i="1"/>
  <c r="U203" i="1"/>
  <c r="U109" i="1"/>
  <c r="U397" i="1"/>
  <c r="U147" i="1"/>
  <c r="U99" i="1"/>
  <c r="U150" i="1"/>
  <c r="U294" i="1"/>
  <c r="U293" i="1" s="1"/>
  <c r="U437" i="1"/>
  <c r="U151" i="1"/>
  <c r="U140" i="1"/>
  <c r="U427" i="1"/>
  <c r="U153" i="1"/>
  <c r="U178" i="1"/>
  <c r="U406" i="1"/>
  <c r="U359" i="1"/>
  <c r="U121" i="1"/>
  <c r="U120" i="1" s="1"/>
  <c r="U312" i="1"/>
  <c r="U111" i="1"/>
  <c r="U256" i="1"/>
  <c r="U162" i="1"/>
  <c r="U163" i="1"/>
  <c r="U307" i="1"/>
  <c r="U306" i="1" s="1"/>
  <c r="U450" i="1"/>
  <c r="U296" i="1"/>
  <c r="U295" i="1" s="1"/>
  <c r="U439" i="1"/>
  <c r="U164" i="1"/>
  <c r="U309" i="1"/>
  <c r="U308" i="1" s="1"/>
  <c r="U334" i="1"/>
  <c r="U455" i="1"/>
  <c r="U370" i="1"/>
  <c r="U421" i="1"/>
  <c r="U181" i="1"/>
  <c r="U325" i="1"/>
  <c r="U324" i="1" s="1"/>
  <c r="U174" i="1"/>
  <c r="U462" i="1"/>
  <c r="U461" i="1" s="1"/>
  <c r="U175" i="1"/>
  <c r="U319" i="1"/>
  <c r="U318" i="1" s="1"/>
  <c r="U132" i="1"/>
  <c r="U177" i="1"/>
  <c r="U320" i="1"/>
  <c r="U95" i="1"/>
  <c r="U239" i="1"/>
  <c r="U238" i="1" s="1"/>
  <c r="U382" i="1"/>
  <c r="U146" i="1"/>
  <c r="U290" i="1"/>
  <c r="U289" i="1" s="1"/>
  <c r="U434" i="1"/>
  <c r="U433" i="1" s="1"/>
  <c r="U193" i="1"/>
  <c r="U183" i="1"/>
  <c r="U327" i="1"/>
  <c r="U136" i="1"/>
  <c r="U435" i="1"/>
  <c r="U119" i="1"/>
  <c r="U187" i="1"/>
  <c r="U176" i="1"/>
  <c r="U107" i="1"/>
  <c r="U333" i="1"/>
  <c r="U214" i="1"/>
  <c r="U213" i="1" s="1"/>
  <c r="U358" i="1"/>
  <c r="U144" i="1"/>
  <c r="U106" i="1"/>
  <c r="U158" i="1"/>
  <c r="U157" i="1" s="1"/>
  <c r="U302" i="1"/>
  <c r="U301" i="1" s="1"/>
  <c r="U445" i="1"/>
  <c r="U205" i="1"/>
  <c r="U195" i="1"/>
  <c r="U194" i="1" s="1"/>
  <c r="U148" i="1"/>
  <c r="U292" i="1"/>
  <c r="U291" i="1" s="1"/>
  <c r="U221" i="1"/>
  <c r="U365" i="1"/>
  <c r="U364" i="1" s="1"/>
  <c r="U7" i="1"/>
  <c r="U198" i="1"/>
  <c r="U342" i="1"/>
  <c r="U341" i="1" s="1"/>
  <c r="U276" i="1"/>
  <c r="U199" i="1"/>
  <c r="U332" i="1"/>
  <c r="U300" i="1"/>
  <c r="U299" i="1" s="1"/>
  <c r="U201" i="1"/>
  <c r="U345" i="1"/>
  <c r="U226" i="1"/>
  <c r="U225" i="1" s="1"/>
  <c r="U156" i="1"/>
  <c r="U118" i="1"/>
  <c r="U263" i="1"/>
  <c r="U170" i="1"/>
  <c r="U457" i="1"/>
  <c r="U217" i="1"/>
  <c r="U361" i="1"/>
  <c r="U360" i="1" s="1"/>
  <c r="U210" i="1"/>
  <c r="U209" i="1" s="1"/>
  <c r="U354" i="1"/>
  <c r="U353" i="1" s="1"/>
  <c r="U420" i="1"/>
  <c r="U419" i="1" s="1"/>
  <c r="U200" i="1"/>
  <c r="U344" i="1"/>
  <c r="U357" i="1"/>
  <c r="U168" i="1"/>
  <c r="U167" i="1" s="1"/>
  <c r="U182" i="1"/>
  <c r="U229" i="1"/>
  <c r="U424" i="1"/>
  <c r="U423" i="1" s="1"/>
  <c r="U219" i="1"/>
  <c r="U218" i="1" s="1"/>
  <c r="U222" i="1"/>
  <c r="U432" i="1"/>
  <c r="U431" i="1" s="1"/>
  <c r="U366" i="1"/>
  <c r="U212" i="1"/>
  <c r="U211" i="1" s="1"/>
  <c r="U356" i="1"/>
  <c r="U369" i="1"/>
  <c r="U368" i="1" s="1"/>
  <c r="U105" i="1"/>
  <c r="U250" i="1"/>
  <c r="U393" i="1"/>
  <c r="U180" i="1"/>
  <c r="U143" i="1"/>
  <c r="U287" i="1"/>
  <c r="U192" i="1"/>
  <c r="U338" i="1"/>
  <c r="U337" i="1" s="1"/>
  <c r="U96" i="1"/>
  <c r="U241" i="1"/>
  <c r="U385" i="1"/>
  <c r="U384" i="1" s="1"/>
  <c r="U231" i="1"/>
  <c r="U386" i="1"/>
  <c r="U184" i="1"/>
  <c r="U328" i="1"/>
  <c r="U112" i="1"/>
  <c r="U257" i="1"/>
  <c r="U89" i="1"/>
  <c r="U90" i="1"/>
  <c r="U224" i="1"/>
  <c r="U223" i="1" s="1"/>
  <c r="U117" i="1"/>
  <c r="U350" i="1"/>
  <c r="U349" i="1" s="1"/>
  <c r="U98" i="1"/>
  <c r="U269" i="1"/>
  <c r="U268" i="1" s="1"/>
  <c r="U92" i="1"/>
  <c r="U381" i="1"/>
  <c r="U380" i="1" s="1"/>
  <c r="U216" i="1"/>
  <c r="U288" i="1"/>
  <c r="U206" i="1"/>
  <c r="U102" i="1"/>
  <c r="U247" i="1"/>
  <c r="U91" i="1"/>
  <c r="U236" i="1"/>
  <c r="U104" i="1"/>
  <c r="U274" i="1"/>
  <c r="U273" i="1" s="1"/>
  <c r="U417" i="1"/>
  <c r="U228" i="1"/>
  <c r="U311" i="1"/>
  <c r="U310" i="1" s="1"/>
  <c r="U265" i="1"/>
  <c r="U255" i="1"/>
  <c r="U208" i="1"/>
  <c r="U207" i="1" s="1"/>
  <c r="U352" i="1"/>
  <c r="U351" i="1" s="1"/>
  <c r="U137" i="1"/>
  <c r="U281" i="1"/>
  <c r="U280" i="1" s="1"/>
  <c r="U234" i="1"/>
  <c r="U378" i="1"/>
  <c r="U237" i="1"/>
  <c r="U155" i="1"/>
  <c r="H157" i="4"/>
  <c r="H156" i="4" s="1"/>
  <c r="G384" i="4"/>
  <c r="F384" i="4" s="1"/>
  <c r="K230" i="1" s="1"/>
  <c r="L230" i="1" s="1"/>
  <c r="G182" i="4"/>
  <c r="F182" i="4" s="1"/>
  <c r="K172" i="1" s="1"/>
  <c r="L172" i="1" s="1"/>
  <c r="G2" i="4"/>
  <c r="F2" i="4" s="1"/>
  <c r="H133" i="4"/>
  <c r="L133" i="4" s="1"/>
  <c r="G149" i="4"/>
  <c r="F149" i="4" s="1"/>
  <c r="K142" i="1" s="1"/>
  <c r="L142" i="1" s="1"/>
  <c r="H418" i="4"/>
  <c r="H417" i="4" s="1"/>
  <c r="H150" i="4"/>
  <c r="H149" i="4" s="1"/>
  <c r="H304" i="4"/>
  <c r="H266" i="4"/>
  <c r="H263" i="4" s="1"/>
  <c r="G209" i="4"/>
  <c r="F209" i="4" s="1"/>
  <c r="K196" i="1" s="1"/>
  <c r="L196" i="1" s="1"/>
  <c r="H314" i="4"/>
  <c r="H313" i="4" s="1"/>
  <c r="H222" i="4"/>
  <c r="H221" i="4" s="1"/>
  <c r="H71" i="4"/>
  <c r="H287" i="4"/>
  <c r="H285" i="4" s="1"/>
  <c r="H244" i="4"/>
  <c r="H243" i="4" s="1"/>
  <c r="H329" i="4"/>
  <c r="H328" i="4" s="1"/>
  <c r="G345" i="4"/>
  <c r="F345" i="4" s="1"/>
  <c r="K433" i="1" s="1"/>
  <c r="L433" i="1" s="1"/>
  <c r="H373" i="4"/>
  <c r="H372" i="4" s="1"/>
  <c r="G292" i="4"/>
  <c r="F292" i="4" s="1"/>
  <c r="K270" i="1" s="1"/>
  <c r="L270" i="1" s="1"/>
  <c r="H69" i="4"/>
  <c r="H56" i="4" s="1"/>
  <c r="H422" i="4"/>
  <c r="H421" i="4" s="1"/>
  <c r="H230" i="4"/>
  <c r="H229" i="4" s="1"/>
  <c r="H202" i="4"/>
  <c r="H201" i="4" s="1"/>
  <c r="H293" i="4"/>
  <c r="H292" i="4" s="1"/>
  <c r="H344" i="4"/>
  <c r="H343" i="4" s="1"/>
  <c r="G393" i="4"/>
  <c r="F393" i="4" s="1"/>
  <c r="G249" i="4"/>
  <c r="F249" i="4" s="1"/>
  <c r="K240" i="1" s="1"/>
  <c r="L240" i="1" s="1"/>
  <c r="H367" i="4"/>
  <c r="H366" i="4" s="1"/>
  <c r="H354" i="4"/>
  <c r="H353" i="4" s="1"/>
  <c r="H216" i="4"/>
  <c r="H414" i="4"/>
  <c r="H413" i="4" s="1"/>
  <c r="H233" i="4"/>
  <c r="H231" i="4" s="1"/>
  <c r="H383" i="4"/>
  <c r="H382" i="4" s="1"/>
  <c r="H346" i="4"/>
  <c r="H345" i="4" s="1"/>
  <c r="H256" i="4"/>
  <c r="H255" i="4" s="1"/>
  <c r="H238" i="4"/>
  <c r="H237" i="4" s="1"/>
  <c r="H184" i="4"/>
  <c r="H182" i="4" s="1"/>
  <c r="H369" i="4"/>
  <c r="H368" i="4" s="1"/>
  <c r="H226" i="4"/>
  <c r="H225" i="4" s="1"/>
  <c r="H416" i="4"/>
  <c r="H415" i="4" s="1"/>
  <c r="H162" i="4"/>
  <c r="H161" i="4" s="1"/>
  <c r="H92" i="4"/>
  <c r="H84" i="4" s="1"/>
  <c r="H241" i="4"/>
  <c r="H240" i="4" s="1"/>
  <c r="H318" i="4"/>
  <c r="H317" i="4" s="1"/>
  <c r="G56" i="4"/>
  <c r="F56" i="4" s="1"/>
  <c r="K59" i="1" s="1"/>
  <c r="L59" i="1" s="1"/>
  <c r="G338" i="4"/>
  <c r="F338" i="4" s="1"/>
  <c r="K380" i="1" s="1"/>
  <c r="L380" i="1" s="1"/>
  <c r="H335" i="4"/>
  <c r="H334" i="4" s="1"/>
  <c r="G216" i="4"/>
  <c r="F216" i="4" s="1"/>
  <c r="K202" i="1" s="1"/>
  <c r="L202" i="1" s="1"/>
  <c r="G275" i="4"/>
  <c r="F275" i="4" s="1"/>
  <c r="K275" i="1" s="1"/>
  <c r="L275" i="1" s="1"/>
  <c r="H246" i="4"/>
  <c r="H310" i="4"/>
  <c r="H309" i="4" s="1"/>
  <c r="H235" i="4"/>
  <c r="H234" i="4" s="1"/>
  <c r="H326" i="4"/>
  <c r="H325" i="4" s="1"/>
  <c r="H275" i="4"/>
  <c r="H249" i="4"/>
  <c r="H141" i="4"/>
  <c r="H140" i="4" s="1"/>
  <c r="H338" i="4"/>
  <c r="H279" i="4"/>
  <c r="H278" i="4" s="1"/>
  <c r="H424" i="4"/>
  <c r="H423" i="4" s="1"/>
  <c r="H260" i="4"/>
  <c r="H259" i="4" s="1"/>
  <c r="G163" i="4"/>
  <c r="F163" i="4" s="1"/>
  <c r="K164" i="1" s="1"/>
  <c r="L164" i="1" s="1"/>
  <c r="H379" i="4"/>
  <c r="H378" i="4" s="1"/>
  <c r="H139" i="4"/>
  <c r="H210" i="4"/>
  <c r="H209" i="4" s="1"/>
  <c r="H164" i="4"/>
  <c r="H163" i="4" s="1"/>
  <c r="H274" i="4"/>
  <c r="H273" i="4" s="1"/>
  <c r="G71" i="4"/>
  <c r="F71" i="4" s="1"/>
  <c r="K75" i="1" s="1"/>
  <c r="L75" i="1" s="1"/>
  <c r="I27" i="8" l="1"/>
  <c r="H19" i="8"/>
  <c r="J13" i="8"/>
  <c r="J32" i="8"/>
  <c r="I19" i="8"/>
  <c r="J17" i="8"/>
  <c r="J26" i="8"/>
  <c r="J16" i="8"/>
  <c r="D7" i="8"/>
  <c r="H27" i="8"/>
  <c r="I23" i="8"/>
  <c r="I11" i="8"/>
  <c r="H22" i="8"/>
  <c r="I30" i="8"/>
  <c r="I18" i="8"/>
  <c r="I14" i="8"/>
  <c r="I28" i="8"/>
  <c r="I9" i="8"/>
  <c r="H25" i="8"/>
  <c r="I22" i="8"/>
  <c r="I24" i="8"/>
  <c r="I31" i="8"/>
  <c r="I20" i="8"/>
  <c r="I15" i="8"/>
  <c r="H29" i="8"/>
  <c r="I25" i="8"/>
  <c r="I29" i="8"/>
  <c r="I10" i="8"/>
  <c r="I12" i="8"/>
  <c r="I21" i="8"/>
  <c r="H14" i="8"/>
  <c r="H18" i="8"/>
  <c r="H23" i="8"/>
  <c r="H30" i="8"/>
  <c r="H11" i="8"/>
  <c r="H28" i="8"/>
  <c r="H31" i="8"/>
  <c r="I8" i="8"/>
  <c r="H24" i="8"/>
  <c r="H20" i="8"/>
  <c r="H15" i="8"/>
  <c r="H10" i="8"/>
  <c r="H21" i="8"/>
  <c r="H12" i="8"/>
  <c r="H8" i="8"/>
  <c r="H9" i="8"/>
  <c r="H108" i="4"/>
  <c r="L420" i="4"/>
  <c r="L319" i="4"/>
  <c r="L308" i="4"/>
  <c r="L333" i="4"/>
  <c r="L320" i="4"/>
  <c r="K332" i="4"/>
  <c r="L332" i="4" s="1"/>
  <c r="H128" i="4"/>
  <c r="L419" i="4"/>
  <c r="L376" i="4"/>
  <c r="K358" i="4"/>
  <c r="L358" i="4" s="1"/>
  <c r="L377" i="4"/>
  <c r="L71" i="4"/>
  <c r="K372" i="4"/>
  <c r="L372" i="4" s="1"/>
  <c r="M131" i="5"/>
  <c r="L131" i="5"/>
  <c r="K131" i="5" s="1"/>
  <c r="P131" i="5"/>
  <c r="L306" i="4"/>
  <c r="L410" i="4"/>
  <c r="L253" i="4"/>
  <c r="K207" i="4"/>
  <c r="L207" i="4" s="1"/>
  <c r="L295" i="4"/>
  <c r="K315" i="4"/>
  <c r="L315" i="4" s="1"/>
  <c r="L307" i="4"/>
  <c r="L254" i="4"/>
  <c r="M431" i="5"/>
  <c r="L431" i="5"/>
  <c r="K431" i="5" s="1"/>
  <c r="L189" i="5"/>
  <c r="K189" i="5" s="1"/>
  <c r="P380" i="5"/>
  <c r="O380" i="5"/>
  <c r="N380" i="5" s="1"/>
  <c r="P248" i="5"/>
  <c r="O248" i="5"/>
  <c r="N248" i="5" s="1"/>
  <c r="M216" i="5"/>
  <c r="L216" i="5"/>
  <c r="K216" i="5" s="1"/>
  <c r="P372" i="5"/>
  <c r="O372" i="5"/>
  <c r="N372" i="5" s="1"/>
  <c r="P167" i="5"/>
  <c r="O167" i="5"/>
  <c r="N167" i="5" s="1"/>
  <c r="M88" i="5"/>
  <c r="L88" i="5"/>
  <c r="K88" i="5" s="1"/>
  <c r="M256" i="5"/>
  <c r="L256" i="5"/>
  <c r="K256" i="5" s="1"/>
  <c r="M374" i="5"/>
  <c r="L374" i="5"/>
  <c r="K374" i="5" s="1"/>
  <c r="M172" i="5"/>
  <c r="L172" i="5"/>
  <c r="K172" i="5" s="1"/>
  <c r="M388" i="5"/>
  <c r="L388" i="5"/>
  <c r="K388" i="5" s="1"/>
  <c r="M370" i="5"/>
  <c r="L370" i="5"/>
  <c r="K370" i="5" s="1"/>
  <c r="M290" i="5"/>
  <c r="L290" i="5"/>
  <c r="K290" i="5" s="1"/>
  <c r="P134" i="5"/>
  <c r="O134" i="5"/>
  <c r="N134" i="5" s="1"/>
  <c r="M332" i="5"/>
  <c r="L332" i="5"/>
  <c r="K332" i="5" s="1"/>
  <c r="M309" i="5"/>
  <c r="L309" i="5"/>
  <c r="K309" i="5" s="1"/>
  <c r="M307" i="5"/>
  <c r="L307" i="5"/>
  <c r="K307" i="5" s="1"/>
  <c r="L3" i="5"/>
  <c r="K3" i="5" s="1"/>
  <c r="P388" i="5"/>
  <c r="O388" i="5"/>
  <c r="N388" i="5" s="1"/>
  <c r="M405" i="5"/>
  <c r="L405" i="5"/>
  <c r="K405" i="5" s="1"/>
  <c r="O189" i="5"/>
  <c r="N189" i="5" s="1"/>
  <c r="P370" i="5"/>
  <c r="O370" i="5"/>
  <c r="N370" i="5" s="1"/>
  <c r="M380" i="5"/>
  <c r="L380" i="5"/>
  <c r="K380" i="5" s="1"/>
  <c r="M248" i="5"/>
  <c r="L248" i="5"/>
  <c r="K248" i="5" s="1"/>
  <c r="P290" i="5"/>
  <c r="O290" i="5"/>
  <c r="N290" i="5" s="1"/>
  <c r="P216" i="5"/>
  <c r="O216" i="5"/>
  <c r="N216" i="5" s="1"/>
  <c r="P384" i="5"/>
  <c r="O384" i="5"/>
  <c r="N384" i="5" s="1"/>
  <c r="M134" i="5"/>
  <c r="L134" i="5"/>
  <c r="K134" i="5" s="1"/>
  <c r="M372" i="5"/>
  <c r="L372" i="5"/>
  <c r="K372" i="5" s="1"/>
  <c r="M167" i="5"/>
  <c r="L167" i="5"/>
  <c r="K167" i="5" s="1"/>
  <c r="P125" i="5"/>
  <c r="O125" i="5"/>
  <c r="N125" i="5" s="1"/>
  <c r="P332" i="5"/>
  <c r="O332" i="5"/>
  <c r="N332" i="5" s="1"/>
  <c r="P88" i="5"/>
  <c r="O88" i="5"/>
  <c r="N88" i="5" s="1"/>
  <c r="M230" i="5"/>
  <c r="L230" i="5"/>
  <c r="K230" i="5" s="1"/>
  <c r="P256" i="5"/>
  <c r="O256" i="5"/>
  <c r="N256" i="5" s="1"/>
  <c r="P111" i="5"/>
  <c r="O111" i="5"/>
  <c r="N111" i="5" s="1"/>
  <c r="P309" i="5"/>
  <c r="O309" i="5"/>
  <c r="N309" i="5" s="1"/>
  <c r="P307" i="5"/>
  <c r="O307" i="5"/>
  <c r="N307" i="5" s="1"/>
  <c r="O3" i="5"/>
  <c r="N3" i="5" s="1"/>
  <c r="P374" i="5"/>
  <c r="O374" i="5"/>
  <c r="N374" i="5" s="1"/>
  <c r="M292" i="5"/>
  <c r="L292" i="5"/>
  <c r="K292" i="5" s="1"/>
  <c r="O365" i="5"/>
  <c r="N365" i="5" s="1"/>
  <c r="P405" i="5"/>
  <c r="O405" i="5"/>
  <c r="N405" i="5" s="1"/>
  <c r="P418" i="5"/>
  <c r="O418" i="5"/>
  <c r="N418" i="5" s="1"/>
  <c r="M160" i="5"/>
  <c r="L160" i="5"/>
  <c r="K160" i="5" s="1"/>
  <c r="M453" i="5"/>
  <c r="L453" i="5"/>
  <c r="K453" i="5" s="1"/>
  <c r="P232" i="5"/>
  <c r="O232" i="5"/>
  <c r="N232" i="5" s="1"/>
  <c r="M382" i="5"/>
  <c r="L382" i="5"/>
  <c r="K382" i="5" s="1"/>
  <c r="P330" i="5"/>
  <c r="O330" i="5"/>
  <c r="N330" i="5" s="1"/>
  <c r="P262" i="5"/>
  <c r="O262" i="5"/>
  <c r="N262" i="5" s="1"/>
  <c r="P218" i="5"/>
  <c r="O218" i="5"/>
  <c r="N218" i="5" s="1"/>
  <c r="M324" i="5"/>
  <c r="L324" i="5"/>
  <c r="K324" i="5" s="1"/>
  <c r="M336" i="5"/>
  <c r="L336" i="5"/>
  <c r="K336" i="5" s="1"/>
  <c r="L341" i="5"/>
  <c r="K341" i="5" s="1"/>
  <c r="M326" i="5"/>
  <c r="L326" i="5"/>
  <c r="K326" i="5" s="1"/>
  <c r="P463" i="5"/>
  <c r="O463" i="5"/>
  <c r="N463" i="5" s="1"/>
  <c r="P361" i="5"/>
  <c r="O361" i="5"/>
  <c r="N361" i="5" s="1"/>
  <c r="M445" i="5"/>
  <c r="L445" i="5"/>
  <c r="K445" i="5" s="1"/>
  <c r="P278" i="5"/>
  <c r="O278" i="5"/>
  <c r="N278" i="5" s="1"/>
  <c r="M334" i="5"/>
  <c r="L334" i="5"/>
  <c r="K334" i="5" s="1"/>
  <c r="M378" i="5"/>
  <c r="L378" i="5"/>
  <c r="K378" i="5" s="1"/>
  <c r="P193" i="5"/>
  <c r="O193" i="5"/>
  <c r="N193" i="5" s="1"/>
  <c r="M392" i="5"/>
  <c r="L392" i="5"/>
  <c r="K392" i="5" s="1"/>
  <c r="M439" i="5"/>
  <c r="L439" i="5"/>
  <c r="K439" i="5" s="1"/>
  <c r="P225" i="5"/>
  <c r="O225" i="5"/>
  <c r="N225" i="5" s="1"/>
  <c r="P471" i="5"/>
  <c r="O471" i="5"/>
  <c r="N471" i="5" s="1"/>
  <c r="P197" i="5"/>
  <c r="O197" i="5"/>
  <c r="N197" i="5" s="1"/>
  <c r="M305" i="5"/>
  <c r="L305" i="5"/>
  <c r="K305" i="5" s="1"/>
  <c r="M418" i="5"/>
  <c r="L418" i="5"/>
  <c r="K418" i="5" s="1"/>
  <c r="P160" i="5"/>
  <c r="O160" i="5"/>
  <c r="N160" i="5" s="1"/>
  <c r="P453" i="5"/>
  <c r="O453" i="5"/>
  <c r="N453" i="5" s="1"/>
  <c r="M232" i="5"/>
  <c r="L232" i="5"/>
  <c r="K232" i="5" s="1"/>
  <c r="P382" i="5"/>
  <c r="O382" i="5"/>
  <c r="N382" i="5" s="1"/>
  <c r="M330" i="5"/>
  <c r="L330" i="5"/>
  <c r="K330" i="5" s="1"/>
  <c r="M262" i="5"/>
  <c r="L262" i="5"/>
  <c r="K262" i="5" s="1"/>
  <c r="M218" i="5"/>
  <c r="L218" i="5"/>
  <c r="K218" i="5" s="1"/>
  <c r="P324" i="5"/>
  <c r="O324" i="5"/>
  <c r="N324" i="5" s="1"/>
  <c r="P336" i="5"/>
  <c r="O336" i="5"/>
  <c r="N336" i="5" s="1"/>
  <c r="O341" i="5"/>
  <c r="N341" i="5" s="1"/>
  <c r="P326" i="5"/>
  <c r="O326" i="5"/>
  <c r="N326" i="5" s="1"/>
  <c r="M463" i="5"/>
  <c r="L463" i="5"/>
  <c r="K463" i="5" s="1"/>
  <c r="M361" i="5"/>
  <c r="L361" i="5"/>
  <c r="K361" i="5" s="1"/>
  <c r="P445" i="5"/>
  <c r="O445" i="5"/>
  <c r="N445" i="5" s="1"/>
  <c r="M278" i="5"/>
  <c r="L278" i="5"/>
  <c r="K278" i="5" s="1"/>
  <c r="P334" i="5"/>
  <c r="O334" i="5"/>
  <c r="N334" i="5" s="1"/>
  <c r="P378" i="5"/>
  <c r="O378" i="5"/>
  <c r="N378" i="5" s="1"/>
  <c r="M193" i="5"/>
  <c r="L193" i="5"/>
  <c r="K193" i="5" s="1"/>
  <c r="P392" i="5"/>
  <c r="O392" i="5"/>
  <c r="N392" i="5" s="1"/>
  <c r="P439" i="5"/>
  <c r="O439" i="5"/>
  <c r="N439" i="5" s="1"/>
  <c r="M225" i="5"/>
  <c r="L225" i="5"/>
  <c r="K225" i="5" s="1"/>
  <c r="M471" i="5"/>
  <c r="L471" i="5"/>
  <c r="K471" i="5" s="1"/>
  <c r="M197" i="5"/>
  <c r="L197" i="5"/>
  <c r="K197" i="5" s="1"/>
  <c r="P394" i="5"/>
  <c r="O394" i="5"/>
  <c r="N394" i="5" s="1"/>
  <c r="M237" i="5"/>
  <c r="L237" i="5"/>
  <c r="K237" i="5" s="1"/>
  <c r="M384" i="5"/>
  <c r="L384" i="5"/>
  <c r="K384" i="5" s="1"/>
  <c r="M125" i="5"/>
  <c r="L125" i="5"/>
  <c r="K125" i="5" s="1"/>
  <c r="P230" i="5"/>
  <c r="O230" i="5"/>
  <c r="N230" i="5" s="1"/>
  <c r="M111" i="5"/>
  <c r="L111" i="5"/>
  <c r="K111" i="5" s="1"/>
  <c r="P288" i="5"/>
  <c r="O288" i="5"/>
  <c r="N288" i="5" s="1"/>
  <c r="P199" i="5"/>
  <c r="O199" i="5"/>
  <c r="N199" i="5" s="1"/>
  <c r="M254" i="5"/>
  <c r="L254" i="5"/>
  <c r="K254" i="5" s="1"/>
  <c r="M407" i="5"/>
  <c r="L407" i="5"/>
  <c r="K407" i="5" s="1"/>
  <c r="L234" i="5"/>
  <c r="K234" i="5" s="1"/>
  <c r="P403" i="5"/>
  <c r="O403" i="5"/>
  <c r="N403" i="5" s="1"/>
  <c r="M441" i="5"/>
  <c r="L441" i="5"/>
  <c r="K441" i="5" s="1"/>
  <c r="M301" i="5"/>
  <c r="L301" i="5"/>
  <c r="K301" i="5" s="1"/>
  <c r="M363" i="5"/>
  <c r="L363" i="5"/>
  <c r="K363" i="5" s="1"/>
  <c r="M351" i="5"/>
  <c r="L351" i="5"/>
  <c r="K351" i="5" s="1"/>
  <c r="M313" i="5"/>
  <c r="L313" i="5"/>
  <c r="K313" i="5" s="1"/>
  <c r="M162" i="5"/>
  <c r="L162" i="5"/>
  <c r="K162" i="5" s="1"/>
  <c r="P123" i="5"/>
  <c r="O123" i="5"/>
  <c r="N123" i="5" s="1"/>
  <c r="M322" i="5"/>
  <c r="L322" i="5"/>
  <c r="K322" i="5" s="1"/>
  <c r="M299" i="5"/>
  <c r="L299" i="5"/>
  <c r="K299" i="5" s="1"/>
  <c r="P376" i="5"/>
  <c r="O376" i="5"/>
  <c r="N376" i="5" s="1"/>
  <c r="P285" i="5"/>
  <c r="O285" i="5"/>
  <c r="N285" i="5" s="1"/>
  <c r="P425" i="5"/>
  <c r="O425" i="5"/>
  <c r="N425" i="5" s="1"/>
  <c r="M345" i="5"/>
  <c r="L345" i="5"/>
  <c r="K345" i="5" s="1"/>
  <c r="M259" i="5"/>
  <c r="L259" i="5"/>
  <c r="K259" i="5" s="1"/>
  <c r="M349" i="5"/>
  <c r="L349" i="5"/>
  <c r="K349" i="5" s="1"/>
  <c r="M359" i="5"/>
  <c r="L359" i="5"/>
  <c r="K359" i="5" s="1"/>
  <c r="M390" i="5"/>
  <c r="L390" i="5"/>
  <c r="K390" i="5" s="1"/>
  <c r="L21" i="5"/>
  <c r="K21" i="5" s="1"/>
  <c r="M220" i="5"/>
  <c r="L220" i="5"/>
  <c r="K220" i="5" s="1"/>
  <c r="M288" i="5"/>
  <c r="L288" i="5"/>
  <c r="K288" i="5" s="1"/>
  <c r="P407" i="5"/>
  <c r="O407" i="5"/>
  <c r="N407" i="5" s="1"/>
  <c r="O234" i="5"/>
  <c r="N234" i="5" s="1"/>
  <c r="M403" i="5"/>
  <c r="L403" i="5"/>
  <c r="K403" i="5" s="1"/>
  <c r="P441" i="5"/>
  <c r="O441" i="5"/>
  <c r="N441" i="5" s="1"/>
  <c r="P301" i="5"/>
  <c r="O301" i="5"/>
  <c r="N301" i="5" s="1"/>
  <c r="P363" i="5"/>
  <c r="O363" i="5"/>
  <c r="N363" i="5" s="1"/>
  <c r="P351" i="5"/>
  <c r="O351" i="5"/>
  <c r="N351" i="5" s="1"/>
  <c r="P313" i="5"/>
  <c r="O313" i="5"/>
  <c r="N313" i="5" s="1"/>
  <c r="P162" i="5"/>
  <c r="O162" i="5"/>
  <c r="N162" i="5" s="1"/>
  <c r="M123" i="5"/>
  <c r="L123" i="5"/>
  <c r="K123" i="5" s="1"/>
  <c r="P322" i="5"/>
  <c r="O322" i="5"/>
  <c r="N322" i="5" s="1"/>
  <c r="P299" i="5"/>
  <c r="O299" i="5"/>
  <c r="N299" i="5" s="1"/>
  <c r="M285" i="5"/>
  <c r="L285" i="5"/>
  <c r="K285" i="5" s="1"/>
  <c r="M425" i="5"/>
  <c r="L425" i="5"/>
  <c r="K425" i="5" s="1"/>
  <c r="P345" i="5"/>
  <c r="O345" i="5"/>
  <c r="N345" i="5" s="1"/>
  <c r="P259" i="5"/>
  <c r="O259" i="5"/>
  <c r="N259" i="5" s="1"/>
  <c r="P349" i="5"/>
  <c r="O349" i="5"/>
  <c r="N349" i="5" s="1"/>
  <c r="M353" i="5"/>
  <c r="L353" i="5"/>
  <c r="K353" i="5" s="1"/>
  <c r="M460" i="5"/>
  <c r="L460" i="5"/>
  <c r="K460" i="5" s="1"/>
  <c r="M318" i="5"/>
  <c r="L318" i="5"/>
  <c r="K318" i="5" s="1"/>
  <c r="M303" i="5"/>
  <c r="L303" i="5"/>
  <c r="K303" i="5" s="1"/>
  <c r="M222" i="5"/>
  <c r="L222" i="5"/>
  <c r="K222" i="5" s="1"/>
  <c r="P205" i="5"/>
  <c r="O205" i="5"/>
  <c r="N205" i="5" s="1"/>
  <c r="P465" i="5"/>
  <c r="O465" i="5"/>
  <c r="N465" i="5" s="1"/>
  <c r="P458" i="5"/>
  <c r="O458" i="5"/>
  <c r="N458" i="5" s="1"/>
  <c r="M447" i="5"/>
  <c r="L447" i="5"/>
  <c r="K447" i="5" s="1"/>
  <c r="M409" i="5"/>
  <c r="L409" i="5"/>
  <c r="K409" i="5" s="1"/>
  <c r="M413" i="5"/>
  <c r="L413" i="5"/>
  <c r="K413" i="5" s="1"/>
  <c r="M96" i="5"/>
  <c r="L96" i="5"/>
  <c r="K96" i="5" s="1"/>
  <c r="O59" i="5"/>
  <c r="N59" i="5" s="1"/>
  <c r="P283" i="5"/>
  <c r="O283" i="5"/>
  <c r="N283" i="5" s="1"/>
  <c r="P423" i="5"/>
  <c r="O423" i="5"/>
  <c r="N423" i="5" s="1"/>
  <c r="L294" i="5"/>
  <c r="K294" i="5" s="1"/>
  <c r="M347" i="5"/>
  <c r="L347" i="5"/>
  <c r="K347" i="5" s="1"/>
  <c r="P311" i="5"/>
  <c r="O311" i="5"/>
  <c r="N311" i="5" s="1"/>
  <c r="P435" i="5"/>
  <c r="O435" i="5"/>
  <c r="N435" i="5" s="1"/>
  <c r="P467" i="5"/>
  <c r="O467" i="5"/>
  <c r="N467" i="5" s="1"/>
  <c r="M272" i="5"/>
  <c r="L272" i="5"/>
  <c r="K272" i="5" s="1"/>
  <c r="P437" i="5"/>
  <c r="O437" i="5"/>
  <c r="N437" i="5" s="1"/>
  <c r="P245" i="5"/>
  <c r="O245" i="5"/>
  <c r="N245" i="5" s="1"/>
  <c r="P254" i="5"/>
  <c r="O254" i="5"/>
  <c r="N254" i="5" s="1"/>
  <c r="P318" i="5"/>
  <c r="O318" i="5"/>
  <c r="N318" i="5" s="1"/>
  <c r="P303" i="5"/>
  <c r="O303" i="5"/>
  <c r="N303" i="5" s="1"/>
  <c r="P222" i="5"/>
  <c r="O222" i="5"/>
  <c r="N222" i="5" s="1"/>
  <c r="M205" i="5"/>
  <c r="L205" i="5"/>
  <c r="K205" i="5" s="1"/>
  <c r="M465" i="5"/>
  <c r="L465" i="5"/>
  <c r="K465" i="5" s="1"/>
  <c r="M458" i="5"/>
  <c r="L458" i="5"/>
  <c r="K458" i="5" s="1"/>
  <c r="P409" i="5"/>
  <c r="O409" i="5"/>
  <c r="N409" i="5" s="1"/>
  <c r="P413" i="5"/>
  <c r="O413" i="5"/>
  <c r="N413" i="5" s="1"/>
  <c r="P96" i="5"/>
  <c r="O96" i="5"/>
  <c r="N96" i="5" s="1"/>
  <c r="L59" i="5"/>
  <c r="K59" i="5" s="1"/>
  <c r="M283" i="5"/>
  <c r="L283" i="5"/>
  <c r="K283" i="5" s="1"/>
  <c r="M423" i="5"/>
  <c r="L423" i="5"/>
  <c r="K423" i="5" s="1"/>
  <c r="O294" i="5"/>
  <c r="N294" i="5" s="1"/>
  <c r="P347" i="5"/>
  <c r="O347" i="5"/>
  <c r="N347" i="5" s="1"/>
  <c r="M311" i="5"/>
  <c r="L311" i="5"/>
  <c r="K311" i="5" s="1"/>
  <c r="M435" i="5"/>
  <c r="L435" i="5"/>
  <c r="K435" i="5" s="1"/>
  <c r="M467" i="5"/>
  <c r="L467" i="5"/>
  <c r="K467" i="5" s="1"/>
  <c r="P272" i="5"/>
  <c r="O272" i="5"/>
  <c r="N272" i="5" s="1"/>
  <c r="O396" i="5"/>
  <c r="N396" i="5" s="1"/>
  <c r="P175" i="5"/>
  <c r="O175" i="5"/>
  <c r="N175" i="5" s="1"/>
  <c r="P429" i="5"/>
  <c r="O429" i="5"/>
  <c r="N429" i="5" s="1"/>
  <c r="P353" i="5"/>
  <c r="O353" i="5"/>
  <c r="N353" i="5" s="1"/>
  <c r="P145" i="5"/>
  <c r="O145" i="5"/>
  <c r="N145" i="5" s="1"/>
  <c r="M401" i="5"/>
  <c r="L401" i="5"/>
  <c r="K401" i="5" s="1"/>
  <c r="P152" i="5"/>
  <c r="O152" i="5"/>
  <c r="N152" i="5" s="1"/>
  <c r="M137" i="5"/>
  <c r="L137" i="5"/>
  <c r="K137" i="5" s="1"/>
  <c r="M411" i="5"/>
  <c r="L411" i="5"/>
  <c r="K411" i="5" s="1"/>
  <c r="P455" i="5"/>
  <c r="O455" i="5"/>
  <c r="N455" i="5" s="1"/>
  <c r="M250" i="5"/>
  <c r="L250" i="5"/>
  <c r="K250" i="5" s="1"/>
  <c r="M449" i="5"/>
  <c r="L449" i="5"/>
  <c r="K449" i="5" s="1"/>
  <c r="P214" i="5"/>
  <c r="O214" i="5"/>
  <c r="N214" i="5" s="1"/>
  <c r="M316" i="5"/>
  <c r="L316" i="5"/>
  <c r="K316" i="5" s="1"/>
  <c r="M469" i="5"/>
  <c r="L469" i="5"/>
  <c r="K469" i="5" s="1"/>
  <c r="P427" i="5"/>
  <c r="O427" i="5"/>
  <c r="N427" i="5" s="1"/>
  <c r="P421" i="5"/>
  <c r="O421" i="5"/>
  <c r="N421" i="5" s="1"/>
  <c r="P164" i="5"/>
  <c r="O164" i="5"/>
  <c r="N164" i="5" s="1"/>
  <c r="P433" i="5"/>
  <c r="O433" i="5"/>
  <c r="N433" i="5" s="1"/>
  <c r="M328" i="5"/>
  <c r="L328" i="5"/>
  <c r="K328" i="5" s="1"/>
  <c r="P227" i="5"/>
  <c r="O227" i="5"/>
  <c r="N227" i="5" s="1"/>
  <c r="P451" i="5"/>
  <c r="O451" i="5"/>
  <c r="N451" i="5" s="1"/>
  <c r="M443" i="5"/>
  <c r="L443" i="5"/>
  <c r="K443" i="5" s="1"/>
  <c r="P416" i="5"/>
  <c r="O416" i="5"/>
  <c r="N416" i="5" s="1"/>
  <c r="M280" i="5"/>
  <c r="L280" i="5"/>
  <c r="K280" i="5" s="1"/>
  <c r="M276" i="5"/>
  <c r="L276" i="5"/>
  <c r="K276" i="5" s="1"/>
  <c r="P170" i="5"/>
  <c r="O170" i="5"/>
  <c r="N170" i="5" s="1"/>
  <c r="M199" i="5"/>
  <c r="L199" i="5"/>
  <c r="K199" i="5" s="1"/>
  <c r="M376" i="5"/>
  <c r="L376" i="5"/>
  <c r="K376" i="5" s="1"/>
  <c r="P460" i="5"/>
  <c r="O460" i="5"/>
  <c r="N460" i="5" s="1"/>
  <c r="M145" i="5"/>
  <c r="L145" i="5"/>
  <c r="K145" i="5" s="1"/>
  <c r="P401" i="5"/>
  <c r="O401" i="5"/>
  <c r="N401" i="5" s="1"/>
  <c r="M152" i="5"/>
  <c r="L152" i="5"/>
  <c r="K152" i="5" s="1"/>
  <c r="P137" i="5"/>
  <c r="O137" i="5"/>
  <c r="N137" i="5" s="1"/>
  <c r="P411" i="5"/>
  <c r="O411" i="5"/>
  <c r="N411" i="5" s="1"/>
  <c r="M455" i="5"/>
  <c r="L455" i="5"/>
  <c r="K455" i="5" s="1"/>
  <c r="P250" i="5"/>
  <c r="O250" i="5"/>
  <c r="N250" i="5" s="1"/>
  <c r="P449" i="5"/>
  <c r="O449" i="5"/>
  <c r="N449" i="5" s="1"/>
  <c r="M214" i="5"/>
  <c r="L214" i="5"/>
  <c r="K214" i="5" s="1"/>
  <c r="P316" i="5"/>
  <c r="O316" i="5"/>
  <c r="N316" i="5" s="1"/>
  <c r="P469" i="5"/>
  <c r="O469" i="5"/>
  <c r="N469" i="5" s="1"/>
  <c r="M427" i="5"/>
  <c r="L427" i="5"/>
  <c r="K427" i="5" s="1"/>
  <c r="M421" i="5"/>
  <c r="L421" i="5"/>
  <c r="K421" i="5" s="1"/>
  <c r="M164" i="5"/>
  <c r="L164" i="5"/>
  <c r="K164" i="5" s="1"/>
  <c r="M433" i="5"/>
  <c r="L433" i="5"/>
  <c r="K433" i="5" s="1"/>
  <c r="P328" i="5"/>
  <c r="O328" i="5"/>
  <c r="N328" i="5" s="1"/>
  <c r="M227" i="5"/>
  <c r="L227" i="5"/>
  <c r="K227" i="5" s="1"/>
  <c r="M451" i="5"/>
  <c r="L451" i="5"/>
  <c r="K451" i="5" s="1"/>
  <c r="P443" i="5"/>
  <c r="O443" i="5"/>
  <c r="N443" i="5" s="1"/>
  <c r="M416" i="5"/>
  <c r="L416" i="5"/>
  <c r="K416" i="5" s="1"/>
  <c r="P280" i="5"/>
  <c r="O280" i="5"/>
  <c r="N280" i="5" s="1"/>
  <c r="P276" i="5"/>
  <c r="O276" i="5"/>
  <c r="N276" i="5" s="1"/>
  <c r="P155" i="5"/>
  <c r="O155" i="5"/>
  <c r="N155" i="5" s="1"/>
  <c r="O76" i="5"/>
  <c r="N76" i="5" s="1"/>
  <c r="P447" i="5"/>
  <c r="O447" i="5"/>
  <c r="N447" i="5" s="1"/>
  <c r="P359" i="5"/>
  <c r="O359" i="5"/>
  <c r="N359" i="5" s="1"/>
  <c r="P431" i="5"/>
  <c r="O431" i="5"/>
  <c r="N431" i="5" s="1"/>
  <c r="L396" i="5"/>
  <c r="K396" i="5" s="1"/>
  <c r="P390" i="5"/>
  <c r="O390" i="5"/>
  <c r="N390" i="5" s="1"/>
  <c r="P172" i="5"/>
  <c r="O172" i="5"/>
  <c r="N172" i="5" s="1"/>
  <c r="M437" i="5"/>
  <c r="L437" i="5"/>
  <c r="K437" i="5" s="1"/>
  <c r="M155" i="5"/>
  <c r="L155" i="5"/>
  <c r="K155" i="5" s="1"/>
  <c r="M170" i="5"/>
  <c r="L170" i="5"/>
  <c r="K170" i="5" s="1"/>
  <c r="O21" i="5"/>
  <c r="N21" i="5" s="1"/>
  <c r="M394" i="5"/>
  <c r="L394" i="5"/>
  <c r="K394" i="5" s="1"/>
  <c r="P305" i="5"/>
  <c r="O305" i="5"/>
  <c r="N305" i="5" s="1"/>
  <c r="P292" i="5"/>
  <c r="O292" i="5"/>
  <c r="N292" i="5" s="1"/>
  <c r="M175" i="5"/>
  <c r="L175" i="5"/>
  <c r="K175" i="5" s="1"/>
  <c r="P220" i="5"/>
  <c r="O220" i="5"/>
  <c r="N220" i="5" s="1"/>
  <c r="L76" i="5"/>
  <c r="K76" i="5" s="1"/>
  <c r="M245" i="5"/>
  <c r="L245" i="5"/>
  <c r="K245" i="5" s="1"/>
  <c r="L365" i="5"/>
  <c r="K365" i="5" s="1"/>
  <c r="M429" i="5"/>
  <c r="L429" i="5"/>
  <c r="K429" i="5" s="1"/>
  <c r="L342" i="4"/>
  <c r="H131" i="4"/>
  <c r="L131" i="4" s="1"/>
  <c r="L297" i="4"/>
  <c r="L282" i="4"/>
  <c r="L184" i="4"/>
  <c r="L206" i="4"/>
  <c r="K205" i="4"/>
  <c r="L205" i="4" s="1"/>
  <c r="K323" i="4"/>
  <c r="L323" i="4" s="1"/>
  <c r="L324" i="4"/>
  <c r="L365" i="4"/>
  <c r="L367" i="4"/>
  <c r="L363" i="4"/>
  <c r="K362" i="4"/>
  <c r="L362" i="4" s="1"/>
  <c r="L241" i="4"/>
  <c r="L237" i="4"/>
  <c r="L329" i="4"/>
  <c r="L424" i="4"/>
  <c r="L292" i="4"/>
  <c r="L258" i="4"/>
  <c r="K257" i="4"/>
  <c r="L257" i="4" s="1"/>
  <c r="L313" i="4"/>
  <c r="L226" i="4"/>
  <c r="K225" i="4"/>
  <c r="L225" i="4" s="1"/>
  <c r="L149" i="4"/>
  <c r="L364" i="4"/>
  <c r="L366" i="4"/>
  <c r="L240" i="4"/>
  <c r="L163" i="4"/>
  <c r="K247" i="4"/>
  <c r="L247" i="4" s="1"/>
  <c r="L248" i="4"/>
  <c r="L238" i="4"/>
  <c r="H134" i="4"/>
  <c r="L139" i="4"/>
  <c r="L293" i="4"/>
  <c r="L160" i="4"/>
  <c r="K159" i="4"/>
  <c r="L159" i="4" s="1"/>
  <c r="L314" i="4"/>
  <c r="L150" i="4"/>
  <c r="L235" i="4"/>
  <c r="L164" i="4"/>
  <c r="L411" i="4"/>
  <c r="K197" i="4"/>
  <c r="L197" i="4" s="1"/>
  <c r="L198" i="4"/>
  <c r="K199" i="4"/>
  <c r="L199" i="4" s="1"/>
  <c r="L200" i="4"/>
  <c r="L383" i="4"/>
  <c r="K382" i="4"/>
  <c r="L382" i="4" s="1"/>
  <c r="L421" i="4"/>
  <c r="L291" i="4"/>
  <c r="K290" i="4"/>
  <c r="L290" i="4" s="1"/>
  <c r="L250" i="4"/>
  <c r="K249" i="4"/>
  <c r="L249" i="4" s="1"/>
  <c r="L394" i="4"/>
  <c r="K393" i="4"/>
  <c r="L393" i="4" s="1"/>
  <c r="L412" i="4"/>
  <c r="L230" i="4"/>
  <c r="K229" i="4"/>
  <c r="L229" i="4" s="1"/>
  <c r="H245" i="4"/>
  <c r="L245" i="4" s="1"/>
  <c r="L246" i="4"/>
  <c r="L331" i="4"/>
  <c r="K330" i="4"/>
  <c r="L330" i="4" s="1"/>
  <c r="L182" i="4"/>
  <c r="L422" i="4"/>
  <c r="K425" i="4"/>
  <c r="K2" i="4" s="1"/>
  <c r="J2" i="4"/>
  <c r="I2" i="4" s="1"/>
  <c r="L84" i="4"/>
  <c r="K128" i="4"/>
  <c r="L129" i="4"/>
  <c r="K380" i="4"/>
  <c r="L380" i="4" s="1"/>
  <c r="L381" i="4"/>
  <c r="L408" i="4"/>
  <c r="K407" i="4"/>
  <c r="L407" i="4" s="1"/>
  <c r="L318" i="4"/>
  <c r="K317" i="4"/>
  <c r="L317" i="4" s="1"/>
  <c r="L273" i="4"/>
  <c r="L92" i="4"/>
  <c r="K336" i="4"/>
  <c r="L336" i="4" s="1"/>
  <c r="L337" i="4"/>
  <c r="L325" i="4"/>
  <c r="L201" i="4"/>
  <c r="K259" i="4"/>
  <c r="L259" i="4" s="1"/>
  <c r="L260" i="4"/>
  <c r="K280" i="4"/>
  <c r="L280" i="4" s="1"/>
  <c r="L281" i="4"/>
  <c r="L233" i="4"/>
  <c r="K338" i="4"/>
  <c r="L338" i="4" s="1"/>
  <c r="L339" i="4"/>
  <c r="L416" i="4"/>
  <c r="L274" i="4"/>
  <c r="L140" i="4"/>
  <c r="L326" i="4"/>
  <c r="L310" i="4"/>
  <c r="L202" i="4"/>
  <c r="L243" i="4"/>
  <c r="L108" i="4"/>
  <c r="L415" i="4"/>
  <c r="L156" i="4"/>
  <c r="L373" i="4"/>
  <c r="L141" i="4"/>
  <c r="L369" i="4"/>
  <c r="L309" i="4"/>
  <c r="L285" i="4"/>
  <c r="K345" i="4"/>
  <c r="L345" i="4" s="1"/>
  <c r="L346" i="4"/>
  <c r="L418" i="4"/>
  <c r="L135" i="4"/>
  <c r="K134" i="4"/>
  <c r="L244" i="4"/>
  <c r="L157" i="4"/>
  <c r="L343" i="4"/>
  <c r="L300" i="4"/>
  <c r="K299" i="4"/>
  <c r="L299" i="4" s="1"/>
  <c r="L368" i="4"/>
  <c r="L371" i="4"/>
  <c r="K370" i="4"/>
  <c r="L370" i="4" s="1"/>
  <c r="L417" i="4"/>
  <c r="L209" i="4"/>
  <c r="L232" i="4"/>
  <c r="K231" i="4"/>
  <c r="L231" i="4" s="1"/>
  <c r="L279" i="4"/>
  <c r="K278" i="4"/>
  <c r="L278" i="4" s="1"/>
  <c r="L256" i="4"/>
  <c r="L344" i="4"/>
  <c r="L361" i="4"/>
  <c r="K360" i="4"/>
  <c r="L360" i="4" s="1"/>
  <c r="K378" i="4"/>
  <c r="L378" i="4" s="1"/>
  <c r="L379" i="4"/>
  <c r="L222" i="4"/>
  <c r="L210" i="4"/>
  <c r="L234" i="4"/>
  <c r="L392" i="4"/>
  <c r="L255" i="4"/>
  <c r="L312" i="4"/>
  <c r="K311" i="4"/>
  <c r="L311" i="4" s="1"/>
  <c r="K161" i="4"/>
  <c r="L161" i="4" s="1"/>
  <c r="L162" i="4"/>
  <c r="L348" i="4"/>
  <c r="K353" i="4"/>
  <c r="L353" i="4" s="1"/>
  <c r="L354" i="4"/>
  <c r="L390" i="4"/>
  <c r="L221" i="4"/>
  <c r="L224" i="4"/>
  <c r="K223" i="4"/>
  <c r="L223" i="4" s="1"/>
  <c r="L287" i="4"/>
  <c r="H301" i="4"/>
  <c r="L301" i="4" s="1"/>
  <c r="L304" i="4"/>
  <c r="L391" i="4"/>
  <c r="L217" i="4"/>
  <c r="K216" i="4"/>
  <c r="L216" i="4" s="1"/>
  <c r="K413" i="4"/>
  <c r="L413" i="4" s="1"/>
  <c r="L414" i="4"/>
  <c r="L298" i="4"/>
  <c r="K334" i="4"/>
  <c r="L334" i="4" s="1"/>
  <c r="L335" i="4"/>
  <c r="L296" i="4"/>
  <c r="L276" i="4"/>
  <c r="K275" i="4"/>
  <c r="L275" i="4" s="1"/>
  <c r="L356" i="4"/>
  <c r="K355" i="4"/>
  <c r="L355" i="4" s="1"/>
  <c r="L389" i="4"/>
  <c r="L328" i="4"/>
  <c r="L263" i="4"/>
  <c r="L266" i="4"/>
  <c r="L56" i="4"/>
  <c r="L69" i="4"/>
  <c r="U254" i="1"/>
  <c r="U251" i="1"/>
  <c r="U4" i="1"/>
  <c r="U5" i="1"/>
  <c r="U59" i="1"/>
  <c r="O2" i="1"/>
  <c r="N2" i="1" s="1"/>
  <c r="P2" i="1" s="1"/>
  <c r="L2" i="1"/>
  <c r="U3" i="1"/>
  <c r="U21" i="1"/>
  <c r="U75" i="1"/>
  <c r="U246" i="1"/>
  <c r="U355" i="1"/>
  <c r="U249" i="1"/>
  <c r="U303" i="1"/>
  <c r="U169" i="1"/>
  <c r="U262" i="1"/>
  <c r="U131" i="1"/>
  <c r="U227" i="1"/>
  <c r="U275" i="1"/>
  <c r="U230" i="1"/>
  <c r="U220" i="1"/>
  <c r="U87" i="1"/>
  <c r="U284" i="1"/>
  <c r="U331" i="1"/>
  <c r="U186" i="1"/>
  <c r="U142" i="1"/>
  <c r="U161" i="1"/>
  <c r="U240" i="1"/>
  <c r="U326" i="1"/>
  <c r="U270" i="1"/>
  <c r="U202" i="1"/>
  <c r="U172" i="1"/>
  <c r="U235" i="1"/>
  <c r="U152" i="1"/>
  <c r="U343" i="1"/>
  <c r="U215" i="1"/>
  <c r="U122" i="1"/>
  <c r="U196" i="1"/>
  <c r="U94" i="1"/>
  <c r="U108" i="1"/>
  <c r="U252" i="1"/>
  <c r="U190" i="1"/>
  <c r="U134" i="1"/>
  <c r="U149" i="1"/>
  <c r="H2" i="4"/>
  <c r="M365" i="5" l="1"/>
  <c r="J9" i="8"/>
  <c r="J27" i="8"/>
  <c r="J21" i="8"/>
  <c r="J19" i="8"/>
  <c r="P396" i="5"/>
  <c r="J12" i="8"/>
  <c r="P76" i="5"/>
  <c r="M59" i="5"/>
  <c r="M76" i="5"/>
  <c r="J22" i="8"/>
  <c r="J24" i="8"/>
  <c r="J20" i="8"/>
  <c r="J11" i="8"/>
  <c r="M294" i="5"/>
  <c r="J30" i="8"/>
  <c r="M396" i="5"/>
  <c r="P294" i="5"/>
  <c r="J15" i="8"/>
  <c r="J28" i="8"/>
  <c r="J29" i="8"/>
  <c r="J23" i="8"/>
  <c r="J18" i="8"/>
  <c r="J14" i="8"/>
  <c r="J8" i="8"/>
  <c r="J10" i="8"/>
  <c r="J25" i="8"/>
  <c r="J31" i="8"/>
  <c r="H7" i="8"/>
  <c r="E7" i="8" s="1"/>
  <c r="I7" i="8"/>
  <c r="F7" i="8" s="1"/>
  <c r="P341" i="5"/>
  <c r="M189" i="5"/>
  <c r="P365" i="5"/>
  <c r="P59" i="5"/>
  <c r="M341" i="5"/>
  <c r="P3" i="5"/>
  <c r="P21" i="5"/>
  <c r="P189" i="5"/>
  <c r="M21" i="5"/>
  <c r="M3" i="5"/>
  <c r="K473" i="5"/>
  <c r="P237" i="5"/>
  <c r="P234" i="5" s="1"/>
  <c r="O131" i="5"/>
  <c r="N131" i="5" s="1"/>
  <c r="O237" i="5"/>
  <c r="N237" i="5" s="1"/>
  <c r="L128" i="4"/>
  <c r="L2" i="4"/>
  <c r="L134" i="4"/>
  <c r="L425" i="4"/>
  <c r="K423" i="4"/>
  <c r="L423" i="4" s="1"/>
  <c r="K2" i="1"/>
  <c r="J7" i="8" l="1"/>
  <c r="M2" i="5"/>
  <c r="O2" i="5"/>
  <c r="N2" i="5" s="1"/>
  <c r="U373" i="1"/>
  <c r="U372" i="1" s="1"/>
  <c r="M2" i="1"/>
  <c r="U243" i="1"/>
  <c r="U2" i="1" s="1"/>
  <c r="I4" i="5" l="1"/>
  <c r="I21" i="5"/>
  <c r="I36" i="5"/>
  <c r="I55" i="5"/>
  <c r="I56" i="5"/>
  <c r="I59" i="5"/>
  <c r="I75" i="5"/>
  <c r="I76" i="5"/>
  <c r="I88" i="5"/>
  <c r="I94" i="5"/>
  <c r="I96" i="5"/>
  <c r="I111" i="5"/>
  <c r="I123" i="5"/>
  <c r="I125" i="5"/>
  <c r="I129" i="5"/>
  <c r="I132" i="5"/>
  <c r="I133" i="5"/>
  <c r="I134" i="5"/>
  <c r="I137" i="5"/>
  <c r="I145" i="5"/>
  <c r="I152" i="5"/>
  <c r="I155" i="5"/>
  <c r="I160" i="5"/>
  <c r="I162" i="5"/>
  <c r="I164" i="5"/>
  <c r="I167" i="5"/>
  <c r="I168" i="5"/>
  <c r="I169" i="5"/>
  <c r="I170" i="5"/>
  <c r="I172" i="5"/>
  <c r="I174" i="5"/>
  <c r="I175" i="5"/>
  <c r="I189" i="5"/>
  <c r="I191" i="5"/>
  <c r="I192" i="5"/>
  <c r="I193" i="5"/>
  <c r="I197" i="5"/>
  <c r="I199" i="5"/>
  <c r="I205" i="5"/>
  <c r="I214" i="5"/>
  <c r="I216" i="5"/>
  <c r="I218" i="5"/>
  <c r="I220" i="5"/>
  <c r="I222" i="5"/>
  <c r="I225" i="5"/>
  <c r="I227" i="5"/>
  <c r="I230" i="5"/>
  <c r="I232" i="5"/>
  <c r="I234" i="5"/>
  <c r="I237" i="5"/>
  <c r="I245" i="5"/>
  <c r="I248" i="5"/>
  <c r="I250" i="5"/>
  <c r="I254" i="5"/>
  <c r="I256" i="5"/>
  <c r="I259" i="5"/>
  <c r="I262" i="5"/>
  <c r="I272" i="5"/>
  <c r="I276" i="5"/>
  <c r="I278" i="5"/>
  <c r="I280" i="5"/>
  <c r="I283" i="5"/>
  <c r="I285" i="5"/>
  <c r="I288" i="5"/>
  <c r="I290" i="5"/>
  <c r="I292" i="5"/>
  <c r="I294" i="5"/>
  <c r="I299" i="5"/>
  <c r="I301" i="5"/>
  <c r="I303" i="5"/>
  <c r="I305" i="5"/>
  <c r="I307" i="5"/>
  <c r="I309" i="5"/>
  <c r="I311" i="5"/>
  <c r="I313" i="5"/>
  <c r="I316" i="5"/>
  <c r="I318" i="5"/>
  <c r="I320" i="5"/>
  <c r="I322" i="5"/>
  <c r="I323" i="5"/>
  <c r="I324" i="5"/>
  <c r="I326" i="5"/>
  <c r="I328" i="5"/>
  <c r="I330" i="5"/>
  <c r="I331" i="5"/>
  <c r="I332" i="5"/>
  <c r="I334" i="5"/>
  <c r="I336" i="5"/>
  <c r="I340" i="5"/>
  <c r="I341" i="5"/>
  <c r="I345" i="5"/>
  <c r="I347" i="5"/>
  <c r="I349" i="5"/>
  <c r="I350" i="5"/>
  <c r="I351" i="5"/>
  <c r="I353" i="5"/>
  <c r="I356" i="5"/>
  <c r="I357" i="5"/>
  <c r="I358" i="5"/>
  <c r="I359" i="5"/>
  <c r="I361" i="5"/>
  <c r="I363" i="5"/>
  <c r="I365" i="5"/>
  <c r="I370" i="5"/>
  <c r="I372" i="5"/>
  <c r="I374" i="5"/>
  <c r="I376" i="5"/>
  <c r="I377" i="5"/>
  <c r="I378" i="5"/>
  <c r="I380" i="5"/>
  <c r="I381" i="5"/>
  <c r="I382" i="5"/>
  <c r="I384" i="5"/>
  <c r="I385" i="5"/>
  <c r="I386" i="5"/>
  <c r="I387" i="5"/>
  <c r="I388" i="5"/>
  <c r="I389" i="5"/>
  <c r="I390" i="5"/>
  <c r="I392" i="5"/>
  <c r="I393" i="5"/>
  <c r="I394" i="5"/>
  <c r="I396" i="5"/>
  <c r="I397" i="5"/>
  <c r="I398" i="5"/>
  <c r="I399" i="5"/>
  <c r="I400" i="5"/>
  <c r="I401" i="5"/>
  <c r="I402" i="5"/>
  <c r="I403" i="5"/>
  <c r="I404" i="5"/>
  <c r="I405" i="5"/>
  <c r="I406" i="5"/>
  <c r="I407" i="5"/>
  <c r="I408" i="5"/>
  <c r="I409" i="5"/>
  <c r="I410" i="5"/>
  <c r="I411" i="5"/>
  <c r="I413" i="5"/>
  <c r="I414" i="5"/>
  <c r="I415" i="5"/>
  <c r="I416" i="5"/>
  <c r="I417" i="5"/>
  <c r="I418" i="5"/>
  <c r="I419" i="5"/>
  <c r="I420" i="5"/>
  <c r="I421" i="5"/>
  <c r="I422" i="5"/>
  <c r="I423" i="5"/>
  <c r="I424" i="5"/>
  <c r="I425" i="5"/>
  <c r="I427" i="5"/>
  <c r="I428" i="5"/>
  <c r="I429" i="5"/>
  <c r="I431" i="5"/>
  <c r="I432" i="5"/>
  <c r="I433" i="5"/>
  <c r="I435" i="5"/>
  <c r="I437" i="5"/>
  <c r="I438" i="5"/>
  <c r="I439" i="5"/>
  <c r="I441" i="5"/>
  <c r="I443" i="5"/>
  <c r="I445" i="5"/>
  <c r="I446" i="5"/>
  <c r="I447" i="5"/>
  <c r="I448" i="5"/>
  <c r="I449" i="5"/>
  <c r="I450" i="5"/>
  <c r="I451" i="5"/>
  <c r="I452" i="5"/>
  <c r="I453" i="5"/>
  <c r="I454" i="5"/>
  <c r="I455" i="5"/>
  <c r="I456" i="5"/>
  <c r="I457" i="5"/>
  <c r="I458" i="5"/>
  <c r="I459" i="5"/>
  <c r="I460" i="5"/>
  <c r="I461" i="5"/>
  <c r="I462" i="5"/>
  <c r="I463" i="5"/>
  <c r="I465" i="5"/>
  <c r="I466" i="5"/>
  <c r="I467" i="5"/>
  <c r="I468" i="5"/>
  <c r="I469" i="5"/>
  <c r="I470" i="5"/>
  <c r="I471" i="5"/>
  <c r="I3" i="5"/>
  <c r="P328" i="1" l="1"/>
  <c r="I338" i="5"/>
  <c r="P256" i="1"/>
  <c r="I266" i="5"/>
  <c r="P232" i="1"/>
  <c r="I241" i="5"/>
  <c r="P208" i="1"/>
  <c r="I215" i="5"/>
  <c r="P184" i="1"/>
  <c r="I187" i="5"/>
  <c r="P160" i="1"/>
  <c r="I163" i="5"/>
  <c r="P148" i="1"/>
  <c r="I151" i="5"/>
  <c r="P136" i="1"/>
  <c r="I139" i="5"/>
  <c r="P123" i="1"/>
  <c r="I126" i="5"/>
  <c r="P111" i="1"/>
  <c r="I114" i="5"/>
  <c r="P99" i="1"/>
  <c r="I102" i="5"/>
  <c r="P63" i="1"/>
  <c r="I64" i="5"/>
  <c r="P51" i="1"/>
  <c r="I51" i="5"/>
  <c r="P39" i="1"/>
  <c r="I39" i="5"/>
  <c r="P27" i="1"/>
  <c r="I27" i="5"/>
  <c r="P14" i="1"/>
  <c r="I14" i="5"/>
  <c r="P281" i="1"/>
  <c r="I291" i="5"/>
  <c r="P269" i="1"/>
  <c r="I279" i="5"/>
  <c r="P257" i="1"/>
  <c r="I267" i="5"/>
  <c r="P245" i="1"/>
  <c r="I255" i="5"/>
  <c r="P233" i="1"/>
  <c r="P221" i="1"/>
  <c r="I228" i="5"/>
  <c r="P137" i="1"/>
  <c r="I140" i="5"/>
  <c r="P124" i="1"/>
  <c r="I127" i="5"/>
  <c r="P112" i="1"/>
  <c r="I115" i="5"/>
  <c r="P100" i="1"/>
  <c r="I103" i="5"/>
  <c r="P88" i="1"/>
  <c r="I89" i="5"/>
  <c r="P76" i="1"/>
  <c r="I77" i="5"/>
  <c r="P64" i="1"/>
  <c r="I65" i="5"/>
  <c r="P52" i="1"/>
  <c r="I52" i="5"/>
  <c r="P28" i="1"/>
  <c r="I28" i="5"/>
  <c r="P424" i="1"/>
  <c r="I434" i="5"/>
  <c r="P304" i="1"/>
  <c r="I314" i="5"/>
  <c r="P292" i="1"/>
  <c r="I302" i="5"/>
  <c r="P363" i="1"/>
  <c r="I373" i="5"/>
  <c r="P327" i="1"/>
  <c r="I337" i="5"/>
  <c r="P315" i="1"/>
  <c r="I325" i="5"/>
  <c r="P279" i="1"/>
  <c r="I289" i="5"/>
  <c r="P267" i="1"/>
  <c r="I277" i="5"/>
  <c r="P255" i="1"/>
  <c r="I265" i="5"/>
  <c r="P243" i="1"/>
  <c r="I253" i="5"/>
  <c r="P231" i="1"/>
  <c r="I243" i="5"/>
  <c r="P219" i="1"/>
  <c r="I226" i="5"/>
  <c r="P195" i="1"/>
  <c r="I198" i="5"/>
  <c r="P183" i="1"/>
  <c r="I186" i="5"/>
  <c r="P147" i="1"/>
  <c r="I150" i="5"/>
  <c r="P135" i="1"/>
  <c r="I138" i="5"/>
  <c r="P110" i="1"/>
  <c r="I113" i="5"/>
  <c r="P98" i="1"/>
  <c r="I101" i="5"/>
  <c r="P86" i="1"/>
  <c r="I87" i="5"/>
  <c r="P62" i="1"/>
  <c r="I62" i="5"/>
  <c r="P50" i="1"/>
  <c r="I50" i="5"/>
  <c r="P38" i="1"/>
  <c r="I38" i="5"/>
  <c r="P26" i="1"/>
  <c r="I26" i="5"/>
  <c r="P13" i="1"/>
  <c r="I13" i="5"/>
  <c r="P197" i="1"/>
  <c r="I200" i="5"/>
  <c r="P185" i="1"/>
  <c r="I188" i="5"/>
  <c r="P173" i="1"/>
  <c r="I176" i="5"/>
  <c r="P40" i="1"/>
  <c r="I40" i="5"/>
  <c r="P350" i="1"/>
  <c r="I360" i="5"/>
  <c r="P338" i="1"/>
  <c r="I348" i="5"/>
  <c r="P302" i="1"/>
  <c r="I312" i="5"/>
  <c r="P290" i="1"/>
  <c r="I300" i="5"/>
  <c r="P254" i="1"/>
  <c r="I264" i="5"/>
  <c r="P242" i="1"/>
  <c r="I252" i="5"/>
  <c r="P206" i="1"/>
  <c r="I209" i="5"/>
  <c r="P182" i="1"/>
  <c r="I185" i="5"/>
  <c r="P170" i="1"/>
  <c r="I173" i="5"/>
  <c r="P158" i="1"/>
  <c r="I161" i="5"/>
  <c r="P146" i="1"/>
  <c r="I149" i="5"/>
  <c r="P121" i="1"/>
  <c r="I124" i="5"/>
  <c r="P109" i="1"/>
  <c r="I112" i="5"/>
  <c r="P97" i="1"/>
  <c r="I100" i="5"/>
  <c r="P85" i="1"/>
  <c r="I86" i="5"/>
  <c r="P73" i="1"/>
  <c r="I74" i="5"/>
  <c r="P61" i="1"/>
  <c r="I61" i="5"/>
  <c r="P49" i="1"/>
  <c r="I49" i="5"/>
  <c r="P37" i="1"/>
  <c r="I37" i="5"/>
  <c r="P25" i="1"/>
  <c r="I25" i="5"/>
  <c r="P12" i="1"/>
  <c r="I12" i="5"/>
  <c r="P365" i="1"/>
  <c r="I375" i="5"/>
  <c r="P352" i="1"/>
  <c r="I362" i="5"/>
  <c r="P434" i="1"/>
  <c r="I444" i="5"/>
  <c r="P96" i="1"/>
  <c r="I99" i="5"/>
  <c r="P84" i="1"/>
  <c r="I85" i="5"/>
  <c r="P72" i="1"/>
  <c r="I73" i="5"/>
  <c r="P60" i="1"/>
  <c r="I60" i="5"/>
  <c r="P48" i="1"/>
  <c r="I48" i="5"/>
  <c r="P24" i="1"/>
  <c r="I24" i="5"/>
  <c r="P11" i="1"/>
  <c r="I11" i="5"/>
  <c r="P329" i="1"/>
  <c r="I339" i="5"/>
  <c r="P317" i="1"/>
  <c r="I327" i="5"/>
  <c r="P305" i="1"/>
  <c r="I315" i="5"/>
  <c r="P15" i="1"/>
  <c r="I15" i="5"/>
  <c r="P385" i="1"/>
  <c r="I395" i="5"/>
  <c r="P373" i="1"/>
  <c r="I383" i="5"/>
  <c r="P361" i="1"/>
  <c r="I371" i="5"/>
  <c r="P325" i="1"/>
  <c r="I335" i="5"/>
  <c r="P277" i="1"/>
  <c r="I287" i="5"/>
  <c r="P265" i="1"/>
  <c r="I275" i="5"/>
  <c r="P253" i="1"/>
  <c r="I263" i="5"/>
  <c r="P241" i="1"/>
  <c r="I251" i="5"/>
  <c r="P229" i="1"/>
  <c r="I236" i="5"/>
  <c r="P217" i="1"/>
  <c r="I224" i="5"/>
  <c r="P205" i="1"/>
  <c r="I208" i="5"/>
  <c r="P193" i="1"/>
  <c r="I196" i="5"/>
  <c r="P181" i="1"/>
  <c r="I184" i="5"/>
  <c r="P145" i="1"/>
  <c r="I148" i="5"/>
  <c r="P133" i="1"/>
  <c r="I136" i="5"/>
  <c r="P432" i="1"/>
  <c r="I442" i="5"/>
  <c r="P420" i="1"/>
  <c r="I430" i="5"/>
  <c r="P336" i="1"/>
  <c r="I346" i="5"/>
  <c r="P300" i="1"/>
  <c r="I310" i="5"/>
  <c r="P288" i="1"/>
  <c r="I298" i="5"/>
  <c r="P276" i="1"/>
  <c r="I286" i="5"/>
  <c r="P264" i="1"/>
  <c r="I274" i="5"/>
  <c r="P228" i="1"/>
  <c r="I235" i="5"/>
  <c r="P216" i="1"/>
  <c r="I223" i="5"/>
  <c r="P204" i="1"/>
  <c r="I207" i="5"/>
  <c r="P192" i="1"/>
  <c r="I195" i="5"/>
  <c r="P180" i="1"/>
  <c r="I183" i="5"/>
  <c r="P168" i="1"/>
  <c r="I171" i="5"/>
  <c r="P156" i="1"/>
  <c r="I159" i="5"/>
  <c r="P144" i="1"/>
  <c r="I147" i="5"/>
  <c r="P132" i="1"/>
  <c r="I135" i="5"/>
  <c r="P119" i="1"/>
  <c r="I122" i="5"/>
  <c r="P107" i="1"/>
  <c r="I110" i="5"/>
  <c r="P95" i="1"/>
  <c r="I97" i="5"/>
  <c r="P83" i="1"/>
  <c r="I84" i="5"/>
  <c r="P71" i="1"/>
  <c r="I72" i="5"/>
  <c r="P47" i="1"/>
  <c r="I47" i="5"/>
  <c r="P35" i="1"/>
  <c r="I35" i="5"/>
  <c r="P23" i="1"/>
  <c r="I23" i="5"/>
  <c r="P10" i="1"/>
  <c r="I10" i="5"/>
  <c r="P359" i="1"/>
  <c r="I369" i="5"/>
  <c r="P323" i="1"/>
  <c r="I333" i="5"/>
  <c r="P311" i="1"/>
  <c r="I321" i="5"/>
  <c r="P287" i="1"/>
  <c r="I297" i="5"/>
  <c r="P263" i="1"/>
  <c r="I273" i="5"/>
  <c r="P251" i="1"/>
  <c r="I261" i="5"/>
  <c r="P239" i="1"/>
  <c r="I249" i="5"/>
  <c r="P203" i="1"/>
  <c r="I206" i="5"/>
  <c r="P191" i="1"/>
  <c r="I194" i="5"/>
  <c r="P179" i="1"/>
  <c r="I182" i="5"/>
  <c r="P155" i="1"/>
  <c r="I158" i="5"/>
  <c r="P143" i="1"/>
  <c r="I146" i="5"/>
  <c r="P118" i="1"/>
  <c r="I121" i="5"/>
  <c r="P106" i="1"/>
  <c r="I109" i="5"/>
  <c r="P82" i="1"/>
  <c r="I83" i="5"/>
  <c r="P70" i="1"/>
  <c r="I71" i="5"/>
  <c r="P58" i="1"/>
  <c r="I58" i="5"/>
  <c r="P46" i="1"/>
  <c r="I46" i="5"/>
  <c r="P34" i="1"/>
  <c r="I34" i="5"/>
  <c r="P22" i="1"/>
  <c r="I22" i="5"/>
  <c r="P9" i="1"/>
  <c r="I9" i="5"/>
  <c r="P358" i="1"/>
  <c r="I368" i="5"/>
  <c r="P334" i="1"/>
  <c r="I344" i="5"/>
  <c r="P298" i="1"/>
  <c r="I308" i="5"/>
  <c r="P286" i="1"/>
  <c r="I296" i="5"/>
  <c r="P274" i="1"/>
  <c r="I284" i="5"/>
  <c r="P250" i="1"/>
  <c r="I260" i="5"/>
  <c r="P226" i="1"/>
  <c r="I233" i="5"/>
  <c r="P214" i="1"/>
  <c r="I221" i="5"/>
  <c r="P178" i="1"/>
  <c r="I181" i="5"/>
  <c r="P154" i="1"/>
  <c r="I157" i="5"/>
  <c r="P117" i="1"/>
  <c r="I120" i="5"/>
  <c r="P105" i="1"/>
  <c r="I108" i="5"/>
  <c r="P81" i="1"/>
  <c r="I82" i="5"/>
  <c r="P69" i="1"/>
  <c r="I70" i="5"/>
  <c r="P57" i="1"/>
  <c r="I57" i="5"/>
  <c r="P45" i="1"/>
  <c r="I45" i="5"/>
  <c r="P33" i="1"/>
  <c r="I33" i="5"/>
  <c r="P8" i="1"/>
  <c r="I8" i="5"/>
  <c r="P381" i="1"/>
  <c r="I391" i="5"/>
  <c r="P369" i="1"/>
  <c r="I379" i="5"/>
  <c r="P357" i="1"/>
  <c r="I367" i="5"/>
  <c r="P345" i="1"/>
  <c r="I355" i="5"/>
  <c r="P333" i="1"/>
  <c r="I343" i="5"/>
  <c r="P309" i="1"/>
  <c r="I319" i="5"/>
  <c r="P285" i="1"/>
  <c r="I295" i="5"/>
  <c r="P261" i="1"/>
  <c r="I271" i="5"/>
  <c r="P237" i="1"/>
  <c r="I247" i="5"/>
  <c r="P201" i="1"/>
  <c r="I204" i="5"/>
  <c r="P177" i="1"/>
  <c r="I180" i="5"/>
  <c r="P153" i="1"/>
  <c r="I156" i="5"/>
  <c r="P141" i="1"/>
  <c r="I144" i="5"/>
  <c r="P116" i="1"/>
  <c r="I119" i="5"/>
  <c r="P104" i="1"/>
  <c r="I107" i="5"/>
  <c r="P92" i="1"/>
  <c r="I93" i="5"/>
  <c r="P80" i="1"/>
  <c r="I81" i="5"/>
  <c r="P68" i="1"/>
  <c r="I69" i="5"/>
  <c r="P44" i="1"/>
  <c r="I44" i="5"/>
  <c r="P32" i="1"/>
  <c r="I32" i="5"/>
  <c r="P20" i="1"/>
  <c r="I20" i="5"/>
  <c r="P7" i="1"/>
  <c r="I7" i="5"/>
  <c r="P454" i="1"/>
  <c r="I464" i="5"/>
  <c r="P416" i="1"/>
  <c r="I426" i="5"/>
  <c r="P356" i="1"/>
  <c r="I366" i="5"/>
  <c r="P344" i="1"/>
  <c r="I354" i="5"/>
  <c r="P332" i="1"/>
  <c r="I342" i="5"/>
  <c r="P296" i="1"/>
  <c r="I306" i="5"/>
  <c r="P272" i="1"/>
  <c r="I282" i="5"/>
  <c r="P260" i="1"/>
  <c r="I270" i="5"/>
  <c r="P248" i="1"/>
  <c r="I258" i="5"/>
  <c r="P236" i="1"/>
  <c r="I246" i="5"/>
  <c r="P224" i="1"/>
  <c r="I231" i="5"/>
  <c r="P212" i="1"/>
  <c r="I219" i="5"/>
  <c r="P200" i="1"/>
  <c r="I203" i="5"/>
  <c r="P176" i="1"/>
  <c r="I179" i="5"/>
  <c r="P140" i="1"/>
  <c r="I143" i="5"/>
  <c r="P127" i="1"/>
  <c r="I130" i="5"/>
  <c r="P115" i="1"/>
  <c r="I118" i="5"/>
  <c r="P103" i="1"/>
  <c r="I106" i="5"/>
  <c r="P91" i="1"/>
  <c r="I92" i="5"/>
  <c r="P79" i="1"/>
  <c r="I80" i="5"/>
  <c r="P67" i="1"/>
  <c r="I68" i="5"/>
  <c r="P43" i="1"/>
  <c r="I43" i="5"/>
  <c r="P31" i="1"/>
  <c r="I31" i="5"/>
  <c r="P18" i="1"/>
  <c r="I18" i="5"/>
  <c r="P6" i="1"/>
  <c r="I6" i="5"/>
  <c r="P430" i="1"/>
  <c r="I440" i="5"/>
  <c r="P319" i="1"/>
  <c r="I329" i="5"/>
  <c r="P307" i="1"/>
  <c r="I317" i="5"/>
  <c r="P283" i="1"/>
  <c r="I293" i="5"/>
  <c r="P271" i="1"/>
  <c r="I281" i="5"/>
  <c r="P259" i="1"/>
  <c r="I269" i="5"/>
  <c r="P247" i="1"/>
  <c r="I257" i="5"/>
  <c r="P199" i="1"/>
  <c r="I202" i="5"/>
  <c r="P187" i="1"/>
  <c r="I190" i="5"/>
  <c r="P175" i="1"/>
  <c r="I178" i="5"/>
  <c r="P163" i="1"/>
  <c r="I166" i="5"/>
  <c r="P151" i="1"/>
  <c r="I154" i="5"/>
  <c r="P139" i="1"/>
  <c r="I142" i="5"/>
  <c r="P114" i="1"/>
  <c r="I117" i="5"/>
  <c r="P102" i="1"/>
  <c r="I105" i="5"/>
  <c r="P90" i="1"/>
  <c r="I91" i="5"/>
  <c r="P78" i="1"/>
  <c r="I79" i="5"/>
  <c r="P66" i="1"/>
  <c r="I67" i="5"/>
  <c r="P54" i="1"/>
  <c r="I54" i="5"/>
  <c r="P42" i="1"/>
  <c r="I42" i="5"/>
  <c r="P30" i="1"/>
  <c r="I30" i="5"/>
  <c r="P17" i="1"/>
  <c r="I17" i="5"/>
  <c r="P5" i="1"/>
  <c r="I5" i="5"/>
  <c r="P462" i="1"/>
  <c r="I472" i="5"/>
  <c r="P426" i="1"/>
  <c r="I436" i="5"/>
  <c r="P402" i="1"/>
  <c r="I412" i="5"/>
  <c r="P354" i="1"/>
  <c r="I364" i="5"/>
  <c r="P342" i="1"/>
  <c r="I352" i="5"/>
  <c r="P294" i="1"/>
  <c r="I304" i="5"/>
  <c r="P258" i="1"/>
  <c r="I268" i="5"/>
  <c r="P234" i="1"/>
  <c r="I244" i="5"/>
  <c r="P222" i="1"/>
  <c r="I229" i="5"/>
  <c r="P210" i="1"/>
  <c r="I217" i="5"/>
  <c r="P198" i="1"/>
  <c r="I201" i="5"/>
  <c r="P174" i="1"/>
  <c r="I177" i="5"/>
  <c r="P162" i="1"/>
  <c r="I165" i="5"/>
  <c r="P150" i="1"/>
  <c r="I153" i="5"/>
  <c r="P138" i="1"/>
  <c r="I141" i="5"/>
  <c r="P125" i="1"/>
  <c r="I128" i="5"/>
  <c r="P113" i="1"/>
  <c r="I116" i="5"/>
  <c r="P101" i="1"/>
  <c r="I104" i="5"/>
  <c r="P89" i="1"/>
  <c r="I90" i="5"/>
  <c r="P77" i="1"/>
  <c r="I78" i="5"/>
  <c r="P65" i="1"/>
  <c r="I66" i="5"/>
  <c r="P53" i="1"/>
  <c r="I53" i="5"/>
  <c r="P41" i="1"/>
  <c r="I41" i="5"/>
  <c r="P29" i="1"/>
  <c r="I29" i="5"/>
  <c r="P16" i="1"/>
  <c r="I16" i="5"/>
  <c r="M411" i="1"/>
  <c r="P411" i="1"/>
  <c r="M458" i="1"/>
  <c r="P458" i="1"/>
  <c r="M457" i="1"/>
  <c r="P457" i="1"/>
  <c r="M409" i="1"/>
  <c r="P409" i="1"/>
  <c r="M377" i="1"/>
  <c r="P377" i="1"/>
  <c r="M456" i="1"/>
  <c r="P456" i="1"/>
  <c r="M440" i="1"/>
  <c r="P440" i="1"/>
  <c r="M408" i="1"/>
  <c r="P408" i="1"/>
  <c r="M384" i="1"/>
  <c r="P384" i="1"/>
  <c r="M439" i="1"/>
  <c r="P439" i="1"/>
  <c r="M407" i="1"/>
  <c r="P407" i="1"/>
  <c r="M391" i="1"/>
  <c r="P391" i="1"/>
  <c r="M343" i="1"/>
  <c r="P343" i="1"/>
  <c r="M215" i="1"/>
  <c r="P215" i="1"/>
  <c r="M207" i="1"/>
  <c r="P207" i="1"/>
  <c r="M167" i="1"/>
  <c r="P167" i="1"/>
  <c r="M94" i="1"/>
  <c r="P94" i="1"/>
  <c r="M438" i="1"/>
  <c r="P438" i="1"/>
  <c r="M422" i="1"/>
  <c r="P422" i="1"/>
  <c r="M406" i="1"/>
  <c r="P406" i="1"/>
  <c r="M390" i="1"/>
  <c r="P390" i="1"/>
  <c r="M382" i="1"/>
  <c r="P382" i="1"/>
  <c r="M326" i="1"/>
  <c r="P326" i="1"/>
  <c r="M270" i="1"/>
  <c r="P270" i="1"/>
  <c r="M238" i="1"/>
  <c r="P238" i="1"/>
  <c r="M230" i="1"/>
  <c r="P230" i="1"/>
  <c r="M142" i="1"/>
  <c r="P142" i="1"/>
  <c r="M21" i="1"/>
  <c r="P21" i="1"/>
  <c r="M4" i="1"/>
  <c r="P4" i="1"/>
  <c r="M461" i="1"/>
  <c r="P461" i="1"/>
  <c r="M453" i="1"/>
  <c r="P453" i="1"/>
  <c r="M445" i="1"/>
  <c r="P445" i="1"/>
  <c r="M437" i="1"/>
  <c r="P437" i="1"/>
  <c r="M429" i="1"/>
  <c r="P429" i="1"/>
  <c r="M421" i="1"/>
  <c r="P421" i="1"/>
  <c r="M413" i="1"/>
  <c r="P413" i="1"/>
  <c r="M405" i="1"/>
  <c r="P405" i="1"/>
  <c r="M397" i="1"/>
  <c r="P397" i="1"/>
  <c r="M389" i="1"/>
  <c r="P389" i="1"/>
  <c r="M349" i="1"/>
  <c r="P349" i="1"/>
  <c r="M341" i="1"/>
  <c r="P341" i="1"/>
  <c r="M301" i="1"/>
  <c r="P301" i="1"/>
  <c r="M293" i="1"/>
  <c r="P293" i="1"/>
  <c r="M213" i="1"/>
  <c r="P213" i="1"/>
  <c r="M189" i="1"/>
  <c r="P189" i="1"/>
  <c r="M165" i="1"/>
  <c r="P165" i="1"/>
  <c r="M157" i="1"/>
  <c r="P157" i="1"/>
  <c r="M149" i="1"/>
  <c r="P149" i="1"/>
  <c r="M108" i="1"/>
  <c r="P108" i="1"/>
  <c r="M36" i="1"/>
  <c r="P36" i="1"/>
  <c r="M443" i="1"/>
  <c r="P443" i="1"/>
  <c r="M418" i="1"/>
  <c r="P418" i="1"/>
  <c r="M362" i="1"/>
  <c r="P362" i="1"/>
  <c r="M433" i="1"/>
  <c r="P433" i="1"/>
  <c r="M393" i="1"/>
  <c r="P393" i="1"/>
  <c r="M376" i="1"/>
  <c r="P376" i="1"/>
  <c r="M455" i="1"/>
  <c r="P455" i="1"/>
  <c r="M431" i="1"/>
  <c r="P431" i="1"/>
  <c r="M415" i="1"/>
  <c r="P415" i="1"/>
  <c r="M399" i="1"/>
  <c r="P399" i="1"/>
  <c r="M367" i="1"/>
  <c r="P367" i="1"/>
  <c r="M351" i="1"/>
  <c r="P351" i="1"/>
  <c r="M303" i="1"/>
  <c r="P303" i="1"/>
  <c r="M295" i="1"/>
  <c r="P295" i="1"/>
  <c r="M159" i="1"/>
  <c r="P159" i="1"/>
  <c r="M446" i="1"/>
  <c r="P446" i="1"/>
  <c r="M414" i="1"/>
  <c r="P414" i="1"/>
  <c r="M398" i="1"/>
  <c r="P398" i="1"/>
  <c r="M374" i="1"/>
  <c r="P374" i="1"/>
  <c r="M366" i="1"/>
  <c r="P366" i="1"/>
  <c r="M310" i="1"/>
  <c r="P310" i="1"/>
  <c r="M278" i="1"/>
  <c r="P278" i="1"/>
  <c r="M262" i="1"/>
  <c r="P262" i="1"/>
  <c r="M246" i="1"/>
  <c r="P246" i="1"/>
  <c r="M190" i="1"/>
  <c r="P190" i="1"/>
  <c r="M166" i="1"/>
  <c r="P166" i="1"/>
  <c r="M93" i="1"/>
  <c r="P93" i="1"/>
  <c r="M460" i="1"/>
  <c r="P460" i="1"/>
  <c r="M452" i="1"/>
  <c r="P452" i="1"/>
  <c r="M444" i="1"/>
  <c r="P444" i="1"/>
  <c r="M436" i="1"/>
  <c r="P436" i="1"/>
  <c r="M428" i="1"/>
  <c r="P428" i="1"/>
  <c r="M412" i="1"/>
  <c r="P412" i="1"/>
  <c r="M404" i="1"/>
  <c r="P404" i="1"/>
  <c r="M396" i="1"/>
  <c r="P396" i="1"/>
  <c r="M388" i="1"/>
  <c r="P388" i="1"/>
  <c r="M380" i="1"/>
  <c r="P380" i="1"/>
  <c r="M372" i="1"/>
  <c r="P372" i="1"/>
  <c r="M364" i="1"/>
  <c r="P364" i="1"/>
  <c r="M348" i="1"/>
  <c r="P348" i="1"/>
  <c r="M340" i="1"/>
  <c r="P340" i="1"/>
  <c r="M324" i="1"/>
  <c r="P324" i="1"/>
  <c r="M316" i="1"/>
  <c r="P316" i="1"/>
  <c r="M308" i="1"/>
  <c r="P308" i="1"/>
  <c r="M284" i="1"/>
  <c r="P284" i="1"/>
  <c r="M268" i="1"/>
  <c r="P268" i="1"/>
  <c r="M252" i="1"/>
  <c r="P252" i="1"/>
  <c r="M244" i="1"/>
  <c r="P244" i="1"/>
  <c r="M220" i="1"/>
  <c r="P220" i="1"/>
  <c r="M196" i="1"/>
  <c r="P196" i="1"/>
  <c r="M188" i="1"/>
  <c r="P188" i="1"/>
  <c r="M172" i="1"/>
  <c r="P172" i="1"/>
  <c r="M164" i="1"/>
  <c r="P164" i="1"/>
  <c r="M75" i="1"/>
  <c r="P75" i="1"/>
  <c r="M59" i="1"/>
  <c r="P59" i="1"/>
  <c r="M459" i="1"/>
  <c r="P459" i="1"/>
  <c r="M403" i="1"/>
  <c r="P403" i="1"/>
  <c r="M387" i="1"/>
  <c r="P387" i="1"/>
  <c r="M379" i="1"/>
  <c r="P379" i="1"/>
  <c r="M371" i="1"/>
  <c r="P371" i="1"/>
  <c r="M355" i="1"/>
  <c r="P355" i="1"/>
  <c r="M347" i="1"/>
  <c r="P347" i="1"/>
  <c r="M339" i="1"/>
  <c r="P339" i="1"/>
  <c r="M331" i="1"/>
  <c r="P331" i="1"/>
  <c r="M299" i="1"/>
  <c r="P299" i="1"/>
  <c r="M291" i="1"/>
  <c r="P291" i="1"/>
  <c r="M275" i="1"/>
  <c r="P275" i="1"/>
  <c r="M235" i="1"/>
  <c r="P235" i="1"/>
  <c r="M227" i="1"/>
  <c r="P227" i="1"/>
  <c r="M211" i="1"/>
  <c r="P211" i="1"/>
  <c r="M171" i="1"/>
  <c r="P171" i="1"/>
  <c r="M131" i="1"/>
  <c r="P131" i="1"/>
  <c r="M122" i="1"/>
  <c r="P122" i="1"/>
  <c r="M74" i="1"/>
  <c r="P74" i="1"/>
  <c r="M395" i="1"/>
  <c r="P395" i="1"/>
  <c r="M410" i="1"/>
  <c r="P410" i="1"/>
  <c r="M346" i="1"/>
  <c r="P346" i="1"/>
  <c r="M330" i="1"/>
  <c r="P330" i="1"/>
  <c r="M322" i="1"/>
  <c r="P322" i="1"/>
  <c r="M314" i="1"/>
  <c r="P314" i="1"/>
  <c r="M306" i="1"/>
  <c r="P306" i="1"/>
  <c r="M282" i="1"/>
  <c r="P282" i="1"/>
  <c r="M266" i="1"/>
  <c r="P266" i="1"/>
  <c r="M218" i="1"/>
  <c r="P218" i="1"/>
  <c r="M202" i="1"/>
  <c r="P202" i="1"/>
  <c r="M194" i="1"/>
  <c r="P194" i="1"/>
  <c r="M186" i="1"/>
  <c r="P186" i="1"/>
  <c r="M130" i="1"/>
  <c r="P130" i="1"/>
  <c r="M419" i="1"/>
  <c r="P419" i="1"/>
  <c r="M450" i="1"/>
  <c r="P450" i="1"/>
  <c r="M386" i="1"/>
  <c r="P386" i="1"/>
  <c r="M449" i="1"/>
  <c r="P449" i="1"/>
  <c r="M353" i="1"/>
  <c r="P353" i="1"/>
  <c r="M321" i="1"/>
  <c r="P321" i="1"/>
  <c r="M313" i="1"/>
  <c r="P313" i="1"/>
  <c r="M297" i="1"/>
  <c r="P297" i="1"/>
  <c r="M289" i="1"/>
  <c r="P289" i="1"/>
  <c r="M273" i="1"/>
  <c r="P273" i="1"/>
  <c r="M249" i="1"/>
  <c r="P249" i="1"/>
  <c r="M225" i="1"/>
  <c r="P225" i="1"/>
  <c r="M209" i="1"/>
  <c r="P209" i="1"/>
  <c r="M169" i="1"/>
  <c r="P169" i="1"/>
  <c r="M161" i="1"/>
  <c r="P161" i="1"/>
  <c r="M129" i="1"/>
  <c r="P129" i="1"/>
  <c r="M120" i="1"/>
  <c r="P120" i="1"/>
  <c r="M56" i="1"/>
  <c r="P56" i="1"/>
  <c r="M427" i="1"/>
  <c r="P427" i="1"/>
  <c r="M394" i="1"/>
  <c r="P394" i="1"/>
  <c r="M441" i="1"/>
  <c r="P441" i="1"/>
  <c r="M401" i="1"/>
  <c r="P401" i="1"/>
  <c r="M368" i="1"/>
  <c r="P368" i="1"/>
  <c r="M312" i="1"/>
  <c r="P312" i="1"/>
  <c r="M280" i="1"/>
  <c r="P280" i="1"/>
  <c r="M240" i="1"/>
  <c r="P240" i="1"/>
  <c r="M152" i="1"/>
  <c r="P152" i="1"/>
  <c r="M87" i="1"/>
  <c r="P87" i="1"/>
  <c r="M55" i="1"/>
  <c r="P55" i="1"/>
  <c r="M435" i="1"/>
  <c r="P435" i="1"/>
  <c r="M378" i="1"/>
  <c r="P378" i="1"/>
  <c r="M425" i="1"/>
  <c r="P425" i="1"/>
  <c r="M392" i="1"/>
  <c r="P392" i="1"/>
  <c r="M360" i="1"/>
  <c r="P360" i="1"/>
  <c r="M320" i="1"/>
  <c r="P320" i="1"/>
  <c r="M3" i="1"/>
  <c r="P3" i="1"/>
  <c r="M383" i="1"/>
  <c r="P383" i="1"/>
  <c r="M126" i="1"/>
  <c r="P126" i="1"/>
  <c r="M451" i="1"/>
  <c r="P451" i="1"/>
  <c r="M442" i="1"/>
  <c r="P442" i="1"/>
  <c r="M370" i="1"/>
  <c r="P370" i="1"/>
  <c r="M417" i="1"/>
  <c r="P417" i="1"/>
  <c r="M337" i="1"/>
  <c r="P337" i="1"/>
  <c r="M448" i="1"/>
  <c r="P448" i="1"/>
  <c r="M400" i="1"/>
  <c r="P400" i="1"/>
  <c r="M447" i="1"/>
  <c r="P447" i="1"/>
  <c r="M423" i="1"/>
  <c r="P423" i="1"/>
  <c r="M375" i="1"/>
  <c r="P375" i="1"/>
  <c r="M335" i="1"/>
  <c r="P335" i="1"/>
  <c r="M223" i="1"/>
  <c r="P223" i="1"/>
  <c r="M318" i="1"/>
  <c r="P318" i="1"/>
  <c r="M134" i="1"/>
  <c r="P134" i="1"/>
  <c r="M256" i="1"/>
  <c r="M319" i="1"/>
  <c r="M279" i="1"/>
  <c r="M263" i="1"/>
  <c r="M239" i="1"/>
  <c r="M191" i="1"/>
  <c r="M102" i="1"/>
  <c r="M86" i="1"/>
  <c r="M62" i="1"/>
  <c r="M46" i="1"/>
  <c r="M22" i="1"/>
  <c r="M462" i="1"/>
  <c r="M454" i="1"/>
  <c r="M430" i="1"/>
  <c r="M350" i="1"/>
  <c r="M334" i="1"/>
  <c r="M302" i="1"/>
  <c r="M286" i="1"/>
  <c r="M222" i="1"/>
  <c r="Q222" i="1" s="1"/>
  <c r="M206" i="1"/>
  <c r="Q206" i="1" s="1"/>
  <c r="M158" i="1"/>
  <c r="M101" i="1"/>
  <c r="M381" i="1"/>
  <c r="M373" i="1"/>
  <c r="M365" i="1"/>
  <c r="Q365" i="1" s="1"/>
  <c r="M357" i="1"/>
  <c r="M333" i="1"/>
  <c r="Q333" i="1" s="1"/>
  <c r="M325" i="1"/>
  <c r="M317" i="1"/>
  <c r="M309" i="1"/>
  <c r="M285" i="1"/>
  <c r="Q285" i="1" s="1"/>
  <c r="M277" i="1"/>
  <c r="M269" i="1"/>
  <c r="M261" i="1"/>
  <c r="M253" i="1"/>
  <c r="M245" i="1"/>
  <c r="M237" i="1"/>
  <c r="M229" i="1"/>
  <c r="M221" i="1"/>
  <c r="Q221" i="1" s="1"/>
  <c r="M205" i="1"/>
  <c r="M197" i="1"/>
  <c r="M181" i="1"/>
  <c r="M173" i="1"/>
  <c r="M141" i="1"/>
  <c r="Q141" i="1" s="1"/>
  <c r="M133" i="1"/>
  <c r="Q133" i="1" s="1"/>
  <c r="M124" i="1"/>
  <c r="M116" i="1"/>
  <c r="M100" i="1"/>
  <c r="M92" i="1"/>
  <c r="Q92" i="1" s="1"/>
  <c r="M84" i="1"/>
  <c r="M76" i="1"/>
  <c r="Q76" i="1" s="1"/>
  <c r="M68" i="1"/>
  <c r="M60" i="1"/>
  <c r="M52" i="1"/>
  <c r="M44" i="1"/>
  <c r="Q44" i="1" s="1"/>
  <c r="M28" i="1"/>
  <c r="M20" i="1"/>
  <c r="M11" i="1"/>
  <c r="M432" i="1"/>
  <c r="Q432" i="1" s="1"/>
  <c r="M328" i="1"/>
  <c r="M356" i="1"/>
  <c r="M332" i="1"/>
  <c r="M292" i="1"/>
  <c r="Q292" i="1" s="1"/>
  <c r="M276" i="1"/>
  <c r="M260" i="1"/>
  <c r="Q260" i="1" s="1"/>
  <c r="M228" i="1"/>
  <c r="M212" i="1"/>
  <c r="M204" i="1"/>
  <c r="M180" i="1"/>
  <c r="Q180" i="1" s="1"/>
  <c r="M156" i="1"/>
  <c r="M132" i="1"/>
  <c r="M107" i="1"/>
  <c r="M83" i="1"/>
  <c r="Q83" i="1" s="1"/>
  <c r="M67" i="1"/>
  <c r="M43" i="1"/>
  <c r="M35" i="1"/>
  <c r="M27" i="1"/>
  <c r="M315" i="1"/>
  <c r="M155" i="1"/>
  <c r="M139" i="1"/>
  <c r="M114" i="1"/>
  <c r="M98" i="1"/>
  <c r="M82" i="1"/>
  <c r="M66" i="1"/>
  <c r="M58" i="1"/>
  <c r="M50" i="1"/>
  <c r="M42" i="1"/>
  <c r="M34" i="1"/>
  <c r="M26" i="1"/>
  <c r="M17" i="1"/>
  <c r="M9" i="1"/>
  <c r="M264" i="1"/>
  <c r="M420" i="1"/>
  <c r="M140" i="1"/>
  <c r="M115" i="1"/>
  <c r="Q115" i="1" s="1"/>
  <c r="M99" i="1"/>
  <c r="M51" i="1"/>
  <c r="M18" i="1"/>
  <c r="M323" i="1"/>
  <c r="Q323" i="1" s="1"/>
  <c r="M283" i="1"/>
  <c r="M259" i="1"/>
  <c r="M243" i="1"/>
  <c r="M195" i="1"/>
  <c r="M187" i="1"/>
  <c r="M179" i="1"/>
  <c r="M163" i="1"/>
  <c r="M147" i="1"/>
  <c r="M90" i="1"/>
  <c r="M434" i="1"/>
  <c r="M426" i="1"/>
  <c r="M402" i="1"/>
  <c r="M354" i="1"/>
  <c r="M338" i="1"/>
  <c r="M298" i="1"/>
  <c r="M290" i="1"/>
  <c r="M274" i="1"/>
  <c r="M258" i="1"/>
  <c r="M250" i="1"/>
  <c r="M242" i="1"/>
  <c r="M234" i="1"/>
  <c r="M226" i="1"/>
  <c r="M210" i="1"/>
  <c r="M178" i="1"/>
  <c r="M170" i="1"/>
  <c r="M162" i="1"/>
  <c r="M154" i="1"/>
  <c r="M146" i="1"/>
  <c r="M138" i="1"/>
  <c r="Q138" i="1" s="1"/>
  <c r="M121" i="1"/>
  <c r="M113" i="1"/>
  <c r="M105" i="1"/>
  <c r="M97" i="1"/>
  <c r="M89" i="1"/>
  <c r="M81" i="1"/>
  <c r="M73" i="1"/>
  <c r="M65" i="1"/>
  <c r="M57" i="1"/>
  <c r="M49" i="1"/>
  <c r="M41" i="1"/>
  <c r="M33" i="1"/>
  <c r="M25" i="1"/>
  <c r="Q25" i="1" s="1"/>
  <c r="M16" i="1"/>
  <c r="M8" i="1"/>
  <c r="M424" i="1"/>
  <c r="M344" i="1"/>
  <c r="M272" i="1"/>
  <c r="M300" i="1"/>
  <c r="M236" i="1"/>
  <c r="M148" i="1"/>
  <c r="M123" i="1"/>
  <c r="M91" i="1"/>
  <c r="M10" i="1"/>
  <c r="M363" i="1"/>
  <c r="M307" i="1"/>
  <c r="M267" i="1"/>
  <c r="M251" i="1"/>
  <c r="M219" i="1"/>
  <c r="M203" i="1"/>
  <c r="M106" i="1"/>
  <c r="Q106" i="1" s="1"/>
  <c r="M385" i="1"/>
  <c r="M369" i="1"/>
  <c r="M361" i="1"/>
  <c r="M345" i="1"/>
  <c r="M329" i="1"/>
  <c r="Q329" i="1" s="1"/>
  <c r="M305" i="1"/>
  <c r="M281" i="1"/>
  <c r="M265" i="1"/>
  <c r="M257" i="1"/>
  <c r="M241" i="1"/>
  <c r="M233" i="1"/>
  <c r="M217" i="1"/>
  <c r="M201" i="1"/>
  <c r="M193" i="1"/>
  <c r="M185" i="1"/>
  <c r="M177" i="1"/>
  <c r="M153" i="1"/>
  <c r="M145" i="1"/>
  <c r="M137" i="1"/>
  <c r="M112" i="1"/>
  <c r="M104" i="1"/>
  <c r="M96" i="1"/>
  <c r="M88" i="1"/>
  <c r="M80" i="1"/>
  <c r="Q80" i="1" s="1"/>
  <c r="M72" i="1"/>
  <c r="M64" i="1"/>
  <c r="Q64" i="1" s="1"/>
  <c r="M48" i="1"/>
  <c r="M40" i="1"/>
  <c r="M32" i="1"/>
  <c r="M24" i="1"/>
  <c r="M15" i="1"/>
  <c r="M7" i="1"/>
  <c r="M352" i="1"/>
  <c r="M304" i="1"/>
  <c r="Q304" i="1" s="1"/>
  <c r="M248" i="1"/>
  <c r="M232" i="1"/>
  <c r="M224" i="1"/>
  <c r="M216" i="1"/>
  <c r="M208" i="1"/>
  <c r="M200" i="1"/>
  <c r="M192" i="1"/>
  <c r="Q192" i="1" s="1"/>
  <c r="M184" i="1"/>
  <c r="M176" i="1"/>
  <c r="M168" i="1"/>
  <c r="Q168" i="1" s="1"/>
  <c r="M160" i="1"/>
  <c r="M144" i="1"/>
  <c r="M136" i="1"/>
  <c r="M127" i="1"/>
  <c r="M119" i="1"/>
  <c r="M111" i="1"/>
  <c r="M103" i="1"/>
  <c r="M95" i="1"/>
  <c r="M79" i="1"/>
  <c r="M71" i="1"/>
  <c r="M63" i="1"/>
  <c r="M47" i="1"/>
  <c r="M39" i="1"/>
  <c r="M31" i="1"/>
  <c r="M23" i="1"/>
  <c r="Q23" i="1" s="1"/>
  <c r="M14" i="1"/>
  <c r="Q14" i="1" s="1"/>
  <c r="M6" i="1"/>
  <c r="M296" i="1"/>
  <c r="M247" i="1"/>
  <c r="M175" i="1"/>
  <c r="M143" i="1"/>
  <c r="M110" i="1"/>
  <c r="M70" i="1"/>
  <c r="M30" i="1"/>
  <c r="M5" i="1"/>
  <c r="M416" i="1"/>
  <c r="M336" i="1"/>
  <c r="M288" i="1"/>
  <c r="M359" i="1"/>
  <c r="M327" i="1"/>
  <c r="M311" i="1"/>
  <c r="M287" i="1"/>
  <c r="Q287" i="1" s="1"/>
  <c r="M271" i="1"/>
  <c r="M255" i="1"/>
  <c r="M231" i="1"/>
  <c r="M199" i="1"/>
  <c r="M183" i="1"/>
  <c r="M151" i="1"/>
  <c r="M135" i="1"/>
  <c r="M118" i="1"/>
  <c r="M78" i="1"/>
  <c r="M54" i="1"/>
  <c r="Q54" i="1" s="1"/>
  <c r="M38" i="1"/>
  <c r="M13" i="1"/>
  <c r="M358" i="1"/>
  <c r="Q358" i="1" s="1"/>
  <c r="M342" i="1"/>
  <c r="M294" i="1"/>
  <c r="M254" i="1"/>
  <c r="M214" i="1"/>
  <c r="M198" i="1"/>
  <c r="M182" i="1"/>
  <c r="Q182" i="1" s="1"/>
  <c r="M174" i="1"/>
  <c r="M150" i="1"/>
  <c r="M125" i="1"/>
  <c r="M117" i="1"/>
  <c r="M109" i="1"/>
  <c r="Q109" i="1" s="1"/>
  <c r="M85" i="1"/>
  <c r="M77" i="1"/>
  <c r="M69" i="1"/>
  <c r="M61" i="1"/>
  <c r="M53" i="1"/>
  <c r="M45" i="1"/>
  <c r="Q45" i="1" s="1"/>
  <c r="M37" i="1"/>
  <c r="M29" i="1"/>
  <c r="M12" i="1"/>
  <c r="Q2" i="1"/>
  <c r="Q12" i="1" l="1"/>
  <c r="Q6" i="1"/>
  <c r="Q224" i="1"/>
  <c r="Q72" i="1"/>
  <c r="Q170" i="1"/>
  <c r="Q28" i="1"/>
  <c r="Q274" i="1"/>
  <c r="Q33" i="1"/>
  <c r="Q325" i="1"/>
  <c r="Q357" i="1"/>
  <c r="Q332" i="1"/>
  <c r="Q136" i="1"/>
  <c r="Q277" i="1"/>
  <c r="Q425" i="1"/>
  <c r="Q218" i="1"/>
  <c r="Q131" i="1"/>
  <c r="Q244" i="1"/>
  <c r="Q246" i="1"/>
  <c r="Q351" i="1"/>
  <c r="Q397" i="1"/>
  <c r="Q230" i="1"/>
  <c r="Q215" i="1"/>
  <c r="Q117" i="1"/>
  <c r="Q208" i="1"/>
  <c r="Q48" i="1"/>
  <c r="Q336" i="1"/>
  <c r="Q203" i="1"/>
  <c r="Q210" i="1"/>
  <c r="Q50" i="1"/>
  <c r="Q84" i="1"/>
  <c r="Q229" i="1"/>
  <c r="Q219" i="1"/>
  <c r="Q344" i="1"/>
  <c r="Q51" i="1"/>
  <c r="Q58" i="1"/>
  <c r="Q15" i="1"/>
  <c r="Q16" i="1"/>
  <c r="Q283" i="1"/>
  <c r="Q85" i="1"/>
  <c r="Q143" i="1"/>
  <c r="Q264" i="1"/>
  <c r="Q204" i="1"/>
  <c r="Q86" i="1"/>
  <c r="Q175" i="1"/>
  <c r="Q41" i="1"/>
  <c r="Q195" i="1"/>
  <c r="Q135" i="1"/>
  <c r="Q79" i="1"/>
  <c r="Q153" i="1"/>
  <c r="Q10" i="1"/>
  <c r="Q139" i="1"/>
  <c r="Q95" i="1"/>
  <c r="Q38" i="1"/>
  <c r="Q311" i="1"/>
  <c r="Q247" i="1"/>
  <c r="Q49" i="1"/>
  <c r="Q298" i="1"/>
  <c r="Q243" i="1"/>
  <c r="Q17" i="1"/>
  <c r="Q181" i="1"/>
  <c r="Q309" i="1"/>
  <c r="Q191" i="1"/>
  <c r="Q176" i="1"/>
  <c r="Q137" i="1"/>
  <c r="Q281" i="1"/>
  <c r="Q113" i="1"/>
  <c r="Q250" i="1"/>
  <c r="Q46" i="1"/>
  <c r="Q430" i="1"/>
  <c r="Q272" i="1"/>
  <c r="Q39" i="1"/>
  <c r="Q352" i="1"/>
  <c r="Q104" i="1"/>
  <c r="Q251" i="1"/>
  <c r="Q424" i="1"/>
  <c r="Q234" i="1"/>
  <c r="Q90" i="1"/>
  <c r="Q99" i="1"/>
  <c r="Q66" i="1"/>
  <c r="Q100" i="1"/>
  <c r="Q245" i="1"/>
  <c r="Q462" i="1"/>
  <c r="Q134" i="1"/>
  <c r="Q360" i="1"/>
  <c r="Q87" i="1"/>
  <c r="Q314" i="1"/>
  <c r="Q235" i="1"/>
  <c r="Q459" i="1"/>
  <c r="Q308" i="1"/>
  <c r="Q426" i="1"/>
  <c r="Q88" i="1"/>
  <c r="Q233" i="1"/>
  <c r="Q18" i="1"/>
  <c r="Q32" i="1"/>
  <c r="Q13" i="1"/>
  <c r="Q185" i="1"/>
  <c r="Q361" i="1"/>
  <c r="Q123" i="1"/>
  <c r="Q154" i="1"/>
  <c r="Q315" i="1"/>
  <c r="Q228" i="1"/>
  <c r="Q286" i="1"/>
  <c r="Q271" i="1"/>
  <c r="Q155" i="1"/>
  <c r="Q103" i="1"/>
  <c r="Q148" i="1"/>
  <c r="Q338" i="1"/>
  <c r="Q102" i="1"/>
  <c r="Q78" i="1"/>
  <c r="Q359" i="1"/>
  <c r="Q201" i="1"/>
  <c r="Q236" i="1"/>
  <c r="Q354" i="1"/>
  <c r="Q34" i="1"/>
  <c r="Q276" i="1"/>
  <c r="Q205" i="1"/>
  <c r="Q334" i="1"/>
  <c r="Q263" i="1"/>
  <c r="Q187" i="1"/>
  <c r="Q53" i="1"/>
  <c r="Q183" i="1"/>
  <c r="Q107" i="1"/>
  <c r="Q214" i="1"/>
  <c r="Q5" i="1"/>
  <c r="Q257" i="1"/>
  <c r="Q97" i="1"/>
  <c r="Q328" i="1"/>
  <c r="Q69" i="1"/>
  <c r="Q294" i="1"/>
  <c r="Q307" i="1"/>
  <c r="Q163" i="1"/>
  <c r="Q98" i="1"/>
  <c r="Q156" i="1"/>
  <c r="Q261" i="1"/>
  <c r="Q101" i="1"/>
  <c r="Q441" i="1"/>
  <c r="Q289" i="1"/>
  <c r="Q202" i="1"/>
  <c r="Q122" i="1"/>
  <c r="Q355" i="1"/>
  <c r="Q220" i="1"/>
  <c r="Q380" i="1"/>
  <c r="Q190" i="1"/>
  <c r="Q303" i="1"/>
  <c r="Q443" i="1"/>
  <c r="Q142" i="1"/>
  <c r="Q335" i="1"/>
  <c r="Q280" i="1"/>
  <c r="Q209" i="1"/>
  <c r="Q419" i="1"/>
  <c r="Q299" i="1"/>
  <c r="Q164" i="1"/>
  <c r="Q393" i="1"/>
  <c r="Q293" i="1"/>
  <c r="Q453" i="1"/>
  <c r="Q3" i="1"/>
  <c r="Q312" i="1"/>
  <c r="Q225" i="1"/>
  <c r="Q331" i="1"/>
  <c r="Q172" i="1"/>
  <c r="Q433" i="1"/>
  <c r="Q301" i="1"/>
  <c r="Q461" i="1"/>
  <c r="Q370" i="1"/>
  <c r="Q120" i="1"/>
  <c r="Q353" i="1"/>
  <c r="Q306" i="1"/>
  <c r="Q227" i="1"/>
  <c r="Q403" i="1"/>
  <c r="Q284" i="1"/>
  <c r="Q310" i="1"/>
  <c r="Q415" i="1"/>
  <c r="Q157" i="1"/>
  <c r="Q421" i="1"/>
  <c r="Q326" i="1"/>
  <c r="Q366" i="1"/>
  <c r="Q295" i="1"/>
  <c r="Q431" i="1"/>
  <c r="Q349" i="1"/>
  <c r="Q429" i="1"/>
  <c r="Q382" i="1"/>
  <c r="Q439" i="1"/>
  <c r="Q457" i="1"/>
  <c r="Q290" i="1"/>
  <c r="Q111" i="1"/>
  <c r="Q216" i="1"/>
  <c r="Q193" i="1"/>
  <c r="Q162" i="1"/>
  <c r="Q259" i="1"/>
  <c r="Q200" i="1"/>
  <c r="Q40" i="1"/>
  <c r="Q177" i="1"/>
  <c r="Q91" i="1"/>
  <c r="Q146" i="1"/>
  <c r="Q9" i="1"/>
  <c r="Q173" i="1"/>
  <c r="Q151" i="1"/>
  <c r="Q144" i="1"/>
  <c r="Q89" i="1"/>
  <c r="Q454" i="1"/>
  <c r="Q255" i="1"/>
  <c r="Q71" i="1"/>
  <c r="Q150" i="1"/>
  <c r="Q385" i="1"/>
  <c r="Q68" i="1"/>
  <c r="Q300" i="1"/>
  <c r="Q198" i="1"/>
  <c r="Q416" i="1"/>
  <c r="Q31" i="1"/>
  <c r="Q434" i="1"/>
  <c r="Q237" i="1"/>
  <c r="Q256" i="1"/>
  <c r="Q67" i="1"/>
  <c r="Q373" i="1"/>
  <c r="Q61" i="1"/>
  <c r="Q254" i="1"/>
  <c r="Q30" i="1"/>
  <c r="Q47" i="1"/>
  <c r="Q112" i="1"/>
  <c r="Q265" i="1"/>
  <c r="Q8" i="1"/>
  <c r="Q105" i="1"/>
  <c r="Q242" i="1"/>
  <c r="Q147" i="1"/>
  <c r="Q82" i="1"/>
  <c r="Q132" i="1"/>
  <c r="Q116" i="1"/>
  <c r="Q253" i="1"/>
  <c r="Q22" i="1"/>
  <c r="Q37" i="1"/>
  <c r="Q248" i="1"/>
  <c r="Q81" i="1"/>
  <c r="Q319" i="1"/>
  <c r="Q160" i="1"/>
  <c r="Q70" i="1"/>
  <c r="Q63" i="1"/>
  <c r="Q140" i="1"/>
  <c r="Q11" i="1"/>
  <c r="Q231" i="1"/>
  <c r="Q124" i="1"/>
  <c r="Q184" i="1"/>
  <c r="Q363" i="1"/>
  <c r="Q345" i="1"/>
  <c r="Q212" i="1"/>
  <c r="Q77" i="1"/>
  <c r="Q342" i="1"/>
  <c r="Q24" i="1"/>
  <c r="Q121" i="1"/>
  <c r="Q258" i="1"/>
  <c r="Q20" i="1"/>
  <c r="Q52" i="1"/>
  <c r="Q125" i="1"/>
  <c r="Q327" i="1"/>
  <c r="Q296" i="1"/>
  <c r="Q369" i="1"/>
  <c r="Q57" i="1"/>
  <c r="Q26" i="1"/>
  <c r="Q27" i="1"/>
  <c r="Q60" i="1"/>
  <c r="Q197" i="1"/>
  <c r="Q317" i="1"/>
  <c r="Q302" i="1"/>
  <c r="Q239" i="1"/>
  <c r="Q65" i="1"/>
  <c r="Q119" i="1"/>
  <c r="Q35" i="1"/>
  <c r="Q29" i="1"/>
  <c r="Q174" i="1"/>
  <c r="Q118" i="1"/>
  <c r="Q288" i="1"/>
  <c r="Q127" i="1"/>
  <c r="Q232" i="1"/>
  <c r="Q217" i="1"/>
  <c r="Q73" i="1"/>
  <c r="Q178" i="1"/>
  <c r="Q402" i="1"/>
  <c r="Q42" i="1"/>
  <c r="Q43" i="1"/>
  <c r="Q350" i="1"/>
  <c r="Q279" i="1"/>
  <c r="Q96" i="1"/>
  <c r="Q241" i="1"/>
  <c r="Q226" i="1"/>
  <c r="Q356" i="1"/>
  <c r="Q199" i="1"/>
  <c r="Q7" i="1"/>
  <c r="Q267" i="1"/>
  <c r="Q381" i="1"/>
  <c r="Q110" i="1"/>
  <c r="Q145" i="1"/>
  <c r="Q305" i="1"/>
  <c r="Q179" i="1"/>
  <c r="Q420" i="1"/>
  <c r="Q114" i="1"/>
  <c r="Q269" i="1"/>
  <c r="Q158" i="1"/>
  <c r="Q62" i="1"/>
  <c r="Q435" i="1"/>
  <c r="Q240" i="1"/>
  <c r="Q291" i="1"/>
  <c r="Q324" i="1"/>
  <c r="Q372" i="1"/>
  <c r="Q278" i="1"/>
  <c r="Q406" i="1"/>
  <c r="Q391" i="1"/>
  <c r="Q207" i="1"/>
  <c r="Q94" i="1"/>
  <c r="Q59" i="1"/>
  <c r="Q448" i="1"/>
  <c r="Q223" i="1"/>
  <c r="Q417" i="1"/>
  <c r="Q401" i="1"/>
  <c r="Q169" i="1"/>
  <c r="Q273" i="1"/>
  <c r="Q450" i="1"/>
  <c r="Q194" i="1"/>
  <c r="Q282" i="1"/>
  <c r="Q211" i="1"/>
  <c r="Q75" i="1"/>
  <c r="Q196" i="1"/>
  <c r="Q268" i="1"/>
  <c r="Q399" i="1"/>
  <c r="Q149" i="1"/>
  <c r="Q213" i="1"/>
  <c r="Q413" i="1"/>
  <c r="Q445" i="1"/>
  <c r="Q21" i="1"/>
  <c r="Q270" i="1"/>
  <c r="Q167" i="1"/>
  <c r="Q408" i="1"/>
  <c r="Q320" i="1"/>
  <c r="Q266" i="1"/>
  <c r="Q252" i="1"/>
  <c r="Q152" i="1"/>
  <c r="Q427" i="1"/>
  <c r="Q386" i="1"/>
  <c r="Q395" i="1"/>
  <c r="Q275" i="1"/>
  <c r="Q262" i="1"/>
  <c r="Q455" i="1"/>
  <c r="Q362" i="1"/>
  <c r="Q437" i="1"/>
  <c r="Q4" i="1"/>
  <c r="Q384" i="1"/>
  <c r="Q297" i="1"/>
  <c r="Q318" i="1"/>
  <c r="Q423" i="1"/>
  <c r="Q337" i="1"/>
  <c r="Q378" i="1"/>
  <c r="Q368" i="1"/>
  <c r="Q161" i="1"/>
  <c r="Q249" i="1"/>
  <c r="Q186" i="1"/>
  <c r="Q322" i="1"/>
  <c r="Q339" i="1"/>
  <c r="Q316" i="1"/>
  <c r="Q364" i="1"/>
  <c r="Q374" i="1"/>
  <c r="Q159" i="1"/>
  <c r="Q108" i="1"/>
  <c r="Q341" i="1"/>
  <c r="Q238" i="1"/>
  <c r="Q343" i="1"/>
  <c r="Q411" i="1"/>
  <c r="P2" i="5" l="1"/>
  <c r="L2" i="5"/>
  <c r="K2" i="5" s="1"/>
</calcChain>
</file>

<file path=xl/sharedStrings.xml><?xml version="1.0" encoding="utf-8"?>
<sst xmlns="http://schemas.openxmlformats.org/spreadsheetml/2006/main" count="5055" uniqueCount="580">
  <si>
    <t/>
  </si>
  <si>
    <t>Pilsner Urquell</t>
  </si>
  <si>
    <t>Coors Edge</t>
  </si>
  <si>
    <t>Amstel</t>
  </si>
  <si>
    <t>Dogfish Head Spirits</t>
  </si>
  <si>
    <t>Colt 45</t>
  </si>
  <si>
    <t>Jack Daniels Country Cocktails</t>
  </si>
  <si>
    <t>Voodoo Hardcharged</t>
  </si>
  <si>
    <t>FX Matt</t>
  </si>
  <si>
    <t>Monkey Family</t>
  </si>
  <si>
    <t>Estrella</t>
  </si>
  <si>
    <t>Doc's</t>
  </si>
  <si>
    <t>FIFCO</t>
  </si>
  <si>
    <t>Athletic Brewing Company</t>
  </si>
  <si>
    <t>Hofbrauhaus USA</t>
  </si>
  <si>
    <t>1911 Hard Cider</t>
  </si>
  <si>
    <t>Del's Shandy</t>
  </si>
  <si>
    <t>Great Lakes</t>
  </si>
  <si>
    <t>Stiegl</t>
  </si>
  <si>
    <t>Citizen Cider</t>
  </si>
  <si>
    <t>Forged Irish Stout</t>
  </si>
  <si>
    <t>Hygrade Beverage</t>
  </si>
  <si>
    <t>Little Water Distillery</t>
  </si>
  <si>
    <t>Trusted Friend Cocktails</t>
  </si>
  <si>
    <t>Viva Beverages Inc</t>
  </si>
  <si>
    <t>Source Brewing</t>
  </si>
  <si>
    <t>Flagship Brewery</t>
  </si>
  <si>
    <t>Ballast Point</t>
  </si>
  <si>
    <t>Corona Refresca</t>
  </si>
  <si>
    <t>The Drop</t>
  </si>
  <si>
    <t>Arnold Palmer</t>
  </si>
  <si>
    <t>Lech</t>
  </si>
  <si>
    <t>Heineken Silver</t>
  </si>
  <si>
    <t>Tecate Light</t>
  </si>
  <si>
    <t>Mark Anthony</t>
  </si>
  <si>
    <t>Dillon's Cocktails</t>
  </si>
  <si>
    <t>Schlitz Malt</t>
  </si>
  <si>
    <t>Mckenzie's</t>
  </si>
  <si>
    <t>Sixpoint Brewing</t>
  </si>
  <si>
    <t>Stone Brewing</t>
  </si>
  <si>
    <t>Tagus</t>
  </si>
  <si>
    <t>Warwick Gin</t>
  </si>
  <si>
    <t>Mamita's</t>
  </si>
  <si>
    <t>Fuller's</t>
  </si>
  <si>
    <t>Quilmes</t>
  </si>
  <si>
    <t>Bold Rock Hard Cider</t>
  </si>
  <si>
    <t>HOP WTR</t>
  </si>
  <si>
    <t>Barn Brew</t>
  </si>
  <si>
    <t>Lark Infused D9</t>
  </si>
  <si>
    <t>Savorian INC</t>
  </si>
  <si>
    <t>Paradisse Spirits LLC</t>
  </si>
  <si>
    <t>MolsonCoors Beverage Company</t>
  </si>
  <si>
    <t>Coors</t>
  </si>
  <si>
    <t>Milwaukee's Best Light</t>
  </si>
  <si>
    <t>Sol</t>
  </si>
  <si>
    <t>Newcastle</t>
  </si>
  <si>
    <t>Coney Island</t>
  </si>
  <si>
    <t>Schaefer</t>
  </si>
  <si>
    <t>Weihenstephaner</t>
  </si>
  <si>
    <t>Shipyard</t>
  </si>
  <si>
    <t>Saranac</t>
  </si>
  <si>
    <t>Schofferhofer</t>
  </si>
  <si>
    <t>Athletic</t>
  </si>
  <si>
    <t>Phusion Projects</t>
  </si>
  <si>
    <t>Four Loko</t>
  </si>
  <si>
    <t>Red Bull</t>
  </si>
  <si>
    <t>Tona</t>
  </si>
  <si>
    <t>Palma</t>
  </si>
  <si>
    <t>Otter Creek</t>
  </si>
  <si>
    <t>Flying Fish</t>
  </si>
  <si>
    <t>Big Mans Brew</t>
  </si>
  <si>
    <t>Sullivan's</t>
  </si>
  <si>
    <t>Baptist Wit</t>
  </si>
  <si>
    <t>The Garden State Experience</t>
  </si>
  <si>
    <t>Global Village Imp.</t>
  </si>
  <si>
    <t>Cricket Hill</t>
  </si>
  <si>
    <t>Crook&amp;Marker</t>
  </si>
  <si>
    <t>Southern Tier Distilling</t>
  </si>
  <si>
    <t>Poca Loca</t>
  </si>
  <si>
    <t>Beckett's D9</t>
  </si>
  <si>
    <t>Trinity Flavors</t>
  </si>
  <si>
    <t>Tilray Alternative Beverage</t>
  </si>
  <si>
    <t>Pop Sips</t>
  </si>
  <si>
    <t>Gigli</t>
  </si>
  <si>
    <t>Corona Premier</t>
  </si>
  <si>
    <t>Vizzy</t>
  </si>
  <si>
    <t>Happy Thursday Spiked Refresher</t>
  </si>
  <si>
    <t>Strongbow</t>
  </si>
  <si>
    <t>Boston Beer Company</t>
  </si>
  <si>
    <t>White Claw</t>
  </si>
  <si>
    <t>St Ides</t>
  </si>
  <si>
    <t>Ballantine Ale</t>
  </si>
  <si>
    <t>Mackeson</t>
  </si>
  <si>
    <t>Montauk Brewing Co</t>
  </si>
  <si>
    <t>Czechvar</t>
  </si>
  <si>
    <t>Food &amp; Bev Enterprise LLC</t>
  </si>
  <si>
    <t>Poker Import</t>
  </si>
  <si>
    <t>GUSH INC</t>
  </si>
  <si>
    <t>Caravella Inc</t>
  </si>
  <si>
    <t>Trinity</t>
  </si>
  <si>
    <t>Park Street Imports</t>
  </si>
  <si>
    <t>Licores Artesanales</t>
  </si>
  <si>
    <t>Five O'Clock</t>
  </si>
  <si>
    <t>Dreamz Invenstments LLC</t>
  </si>
  <si>
    <t>American Fruit</t>
  </si>
  <si>
    <t>Modelo Especial</t>
  </si>
  <si>
    <t>Lite</t>
  </si>
  <si>
    <t>Cristal</t>
  </si>
  <si>
    <t>Leinenkugel</t>
  </si>
  <si>
    <t>Carta Blanca</t>
  </si>
  <si>
    <t>Samuel Adams</t>
  </si>
  <si>
    <t>Cayman Jack</t>
  </si>
  <si>
    <t>Mxd Cocktails</t>
  </si>
  <si>
    <t>Cape May</t>
  </si>
  <si>
    <t>Genesee</t>
  </si>
  <si>
    <t>Earthquake</t>
  </si>
  <si>
    <t>Basic</t>
  </si>
  <si>
    <t>Piraat</t>
  </si>
  <si>
    <t>Wyder's</t>
  </si>
  <si>
    <t>Oranjeboom</t>
  </si>
  <si>
    <t>Mythos</t>
  </si>
  <si>
    <t>Fix Hellas</t>
  </si>
  <si>
    <t>Point Brewing</t>
  </si>
  <si>
    <t>Happy Flower</t>
  </si>
  <si>
    <t>Les Domaniales Rose D' Anjou Loire</t>
  </si>
  <si>
    <t>Modern Infusions</t>
  </si>
  <si>
    <t>Lodo Brands</t>
  </si>
  <si>
    <t>Flagship</t>
  </si>
  <si>
    <t>Bardstown Bourbon</t>
  </si>
  <si>
    <t>Miller High Life</t>
  </si>
  <si>
    <t>Hamm's</t>
  </si>
  <si>
    <t>Aguila</t>
  </si>
  <si>
    <t>Sauza</t>
  </si>
  <si>
    <t>Old Milwaukee</t>
  </si>
  <si>
    <t>EL Jimador</t>
  </si>
  <si>
    <t>DG Yuengling Inc</t>
  </si>
  <si>
    <t>Yuengling Premium</t>
  </si>
  <si>
    <t>Yuengling Bongo Fizz</t>
  </si>
  <si>
    <t>Voodoo Family</t>
  </si>
  <si>
    <t>Total Beverage Solutions</t>
  </si>
  <si>
    <t>Sagres Cerveja</t>
  </si>
  <si>
    <t>Pride &amp; Clarke</t>
  </si>
  <si>
    <t>Hofbrau Usa</t>
  </si>
  <si>
    <t>Narragansett</t>
  </si>
  <si>
    <t>Aguila Import</t>
  </si>
  <si>
    <t>Jersey Girl</t>
  </si>
  <si>
    <t>Bold Rock</t>
  </si>
  <si>
    <t>Duclaw Brewing</t>
  </si>
  <si>
    <t>Dancing Vines</t>
  </si>
  <si>
    <t>Rusted Revolver</t>
  </si>
  <si>
    <t>Molly's</t>
  </si>
  <si>
    <t>Boldt Infused D9</t>
  </si>
  <si>
    <t>Eleven20</t>
  </si>
  <si>
    <t>Passion Tree Co</t>
  </si>
  <si>
    <t>LoDo</t>
  </si>
  <si>
    <t>Coastal Cocktails</t>
  </si>
  <si>
    <t>Berczy</t>
  </si>
  <si>
    <t>Corona Sunbrew</t>
  </si>
  <si>
    <t>Old English</t>
  </si>
  <si>
    <t>Redd's</t>
  </si>
  <si>
    <t>Steel Reserve Alloy Series</t>
  </si>
  <si>
    <t>Hard Mountain Dew</t>
  </si>
  <si>
    <t>Country Club</t>
  </si>
  <si>
    <t>Yuengling Golden Pilsner</t>
  </si>
  <si>
    <t>Banks</t>
  </si>
  <si>
    <t>Dab</t>
  </si>
  <si>
    <t>US Beverage</t>
  </si>
  <si>
    <t>Superior Cerveza</t>
  </si>
  <si>
    <t>Gin Pig</t>
  </si>
  <si>
    <t>Imperial</t>
  </si>
  <si>
    <t>1911 Spirits</t>
  </si>
  <si>
    <t>Van Steenberge</t>
  </si>
  <si>
    <t>Day Chaser</t>
  </si>
  <si>
    <t>Brewt's</t>
  </si>
  <si>
    <t>Emergent Beverage Partners</t>
  </si>
  <si>
    <t>Hectare's</t>
  </si>
  <si>
    <t>Island Brands USA</t>
  </si>
  <si>
    <t>Source of Hoppiness</t>
  </si>
  <si>
    <t>Castellani Etichetta Gialla</t>
  </si>
  <si>
    <t>Riviera Imports</t>
  </si>
  <si>
    <t>Delta Beverage LLC</t>
  </si>
  <si>
    <t>Mota'Lada</t>
  </si>
  <si>
    <t>Supplier</t>
  </si>
  <si>
    <t>Corona NA</t>
  </si>
  <si>
    <t>Modelo Oro</t>
  </si>
  <si>
    <t>Blue Moon</t>
  </si>
  <si>
    <t>Keystone</t>
  </si>
  <si>
    <t>Miller Genuine Draft</t>
  </si>
  <si>
    <t>Yuengling Premium Light</t>
  </si>
  <si>
    <t>New Belgium Brewing Company</t>
  </si>
  <si>
    <t>Carib</t>
  </si>
  <si>
    <t>Flying Dog Brewing Co</t>
  </si>
  <si>
    <t>Daura</t>
  </si>
  <si>
    <t>Honey Brown</t>
  </si>
  <si>
    <t>Hacker-Pschorr</t>
  </si>
  <si>
    <t>Yard House</t>
  </si>
  <si>
    <t>Augustiner</t>
  </si>
  <si>
    <t>Newburgh</t>
  </si>
  <si>
    <t>Talkhouse Encore</t>
  </si>
  <si>
    <t>Efes</t>
  </si>
  <si>
    <t>Defiant</t>
  </si>
  <si>
    <t>Brewt's LLC</t>
  </si>
  <si>
    <t>Rompe Corazon</t>
  </si>
  <si>
    <t>Oceano</t>
  </si>
  <si>
    <t>Island Brands</t>
  </si>
  <si>
    <t>Eleven20 Tequila</t>
  </si>
  <si>
    <t>Herb &amp; Bloom</t>
  </si>
  <si>
    <t>Stewart's</t>
  </si>
  <si>
    <t>Seafarer</t>
  </si>
  <si>
    <t>Calise</t>
  </si>
  <si>
    <t>Desquite</t>
  </si>
  <si>
    <t>Sabrasol</t>
  </si>
  <si>
    <t>Hornell Brewing Company</t>
  </si>
  <si>
    <t>Arizona Hard</t>
  </si>
  <si>
    <t>Victoria</t>
  </si>
  <si>
    <t>Simply Spiked</t>
  </si>
  <si>
    <t>Prestige Lager</t>
  </si>
  <si>
    <t>Yuengling Light Lager</t>
  </si>
  <si>
    <t>Lightstrike</t>
  </si>
  <si>
    <t>Victory Brewing Company</t>
  </si>
  <si>
    <t>Victory</t>
  </si>
  <si>
    <t>Stone Premium &amp; Smooth Beer Co</t>
  </si>
  <si>
    <t>Tsingtao</t>
  </si>
  <si>
    <t>Beak &amp; Skiff</t>
  </si>
  <si>
    <t>Southern Tier Brewing Company</t>
  </si>
  <si>
    <t>Cerveza Republica LA Tuya</t>
  </si>
  <si>
    <t>Food &amp; Bev</t>
  </si>
  <si>
    <t>Gambrinus Imports</t>
  </si>
  <si>
    <t>Shiner</t>
  </si>
  <si>
    <t>Prestige</t>
  </si>
  <si>
    <t>Soda Birch</t>
  </si>
  <si>
    <t>Ever Grand Group LLC</t>
  </si>
  <si>
    <t>Snow Beer</t>
  </si>
  <si>
    <t>Montucky Cold Snacks</t>
  </si>
  <si>
    <t>Jerzey Jungle</t>
  </si>
  <si>
    <t>Total</t>
  </si>
  <si>
    <t>Fresca Mixed</t>
  </si>
  <si>
    <t>Coors Light</t>
  </si>
  <si>
    <t>Milwaukee's Best Ice</t>
  </si>
  <si>
    <t>Redd's Wicked</t>
  </si>
  <si>
    <t>Fever Tree</t>
  </si>
  <si>
    <t>Heineken Light</t>
  </si>
  <si>
    <t>Tecate</t>
  </si>
  <si>
    <t>Truly</t>
  </si>
  <si>
    <t>Jim Beam Kentucky</t>
  </si>
  <si>
    <t>Mike's Harder</t>
  </si>
  <si>
    <t>Kingfisher Premium</t>
  </si>
  <si>
    <t>Lagunitas NA</t>
  </si>
  <si>
    <t>Dewey Crush</t>
  </si>
  <si>
    <t>Garage Beer</t>
  </si>
  <si>
    <t>Vinaio Imports LTD</t>
  </si>
  <si>
    <t>Bell's</t>
  </si>
  <si>
    <t>Woodchuck</t>
  </si>
  <si>
    <t>Greek Spirits</t>
  </si>
  <si>
    <t>Unibroue</t>
  </si>
  <si>
    <t>Guaname Rompope</t>
  </si>
  <si>
    <t>Paradisse</t>
  </si>
  <si>
    <t>Capriccio</t>
  </si>
  <si>
    <t>Alte Beverage</t>
  </si>
  <si>
    <t>Corona Extra</t>
  </si>
  <si>
    <t>Pabst Brewing Company</t>
  </si>
  <si>
    <t>Yuengling Lager</t>
  </si>
  <si>
    <t>Friday Beers</t>
  </si>
  <si>
    <t>Dragon Stout</t>
  </si>
  <si>
    <t>Birra Moretti</t>
  </si>
  <si>
    <t>Malibu Splash</t>
  </si>
  <si>
    <t>Paulaner</t>
  </si>
  <si>
    <t>Artisanal Imports</t>
  </si>
  <si>
    <t>Shed</t>
  </si>
  <si>
    <t>Global Beer</t>
  </si>
  <si>
    <t>BJ'S Private Label Brewa</t>
  </si>
  <si>
    <t>Press</t>
  </si>
  <si>
    <t>Gush</t>
  </si>
  <si>
    <t>48 Blocks</t>
  </si>
  <si>
    <t>Whitecap</t>
  </si>
  <si>
    <t>OVO Vodka</t>
  </si>
  <si>
    <t>Buzbee's</t>
  </si>
  <si>
    <t>Craftwell</t>
  </si>
  <si>
    <t>Waterloo Gin</t>
  </si>
  <si>
    <t>Fizzy Jane</t>
  </si>
  <si>
    <t>Heavy Seas</t>
  </si>
  <si>
    <t>Good Supply</t>
  </si>
  <si>
    <t>Peroni</t>
  </si>
  <si>
    <t>Steel Reserve</t>
  </si>
  <si>
    <t>Miller Extra Light</t>
  </si>
  <si>
    <t>Grolsch</t>
  </si>
  <si>
    <t>Cusquena</t>
  </si>
  <si>
    <t>Milwaukee's Best</t>
  </si>
  <si>
    <t>Murphy's</t>
  </si>
  <si>
    <t>Lone Star</t>
  </si>
  <si>
    <t>Yuengling Flight</t>
  </si>
  <si>
    <t>Fat Tire Family</t>
  </si>
  <si>
    <t>Kirin Light</t>
  </si>
  <si>
    <t>Sierra Nevada</t>
  </si>
  <si>
    <t>Strainge Beast</t>
  </si>
  <si>
    <t>Innis &amp; Gunn</t>
  </si>
  <si>
    <t>Bell's Hearted Family</t>
  </si>
  <si>
    <t>River Horse Brewing Co</t>
  </si>
  <si>
    <t>Kimo Spirits</t>
  </si>
  <si>
    <t>Radix Labs</t>
  </si>
  <si>
    <t>Montucky</t>
  </si>
  <si>
    <t>Mike's Hard Seltzer</t>
  </si>
  <si>
    <t>Iron Horse</t>
  </si>
  <si>
    <t>Florida Caribbean Distillers LLC</t>
  </si>
  <si>
    <t>Brio</t>
  </si>
  <si>
    <t>Cavalier Ventures, LLC</t>
  </si>
  <si>
    <t>Bella Ray Beverage</t>
  </si>
  <si>
    <t>Bella Ray</t>
  </si>
  <si>
    <t>Corona Familiar</t>
  </si>
  <si>
    <t>Modelo Negra</t>
  </si>
  <si>
    <t>Corona Seltzer</t>
  </si>
  <si>
    <t>George Killian's</t>
  </si>
  <si>
    <t>Red Stripe</t>
  </si>
  <si>
    <t>Buckler</t>
  </si>
  <si>
    <t>Twisted Tea</t>
  </si>
  <si>
    <t>Dg Yuengling Inc</t>
  </si>
  <si>
    <t>Sapporo</t>
  </si>
  <si>
    <t>Monte Carlo</t>
  </si>
  <si>
    <t>Lagunitas Brewing Co</t>
  </si>
  <si>
    <t>Warwick Valley</t>
  </si>
  <si>
    <t>Pirate Water</t>
  </si>
  <si>
    <t>Saratoga</t>
  </si>
  <si>
    <t>Costenita</t>
  </si>
  <si>
    <t>Long Trail</t>
  </si>
  <si>
    <t>Vermont Hard Cider</t>
  </si>
  <si>
    <t>BJ'S Private Label Brew</t>
  </si>
  <si>
    <t>Duclaw</t>
  </si>
  <si>
    <t>Crook &amp; Marker</t>
  </si>
  <si>
    <t>Crooked Tea</t>
  </si>
  <si>
    <t>Cerveceria La Tropical</t>
  </si>
  <si>
    <t>Caravella</t>
  </si>
  <si>
    <t>2 Towns Ciderhouse</t>
  </si>
  <si>
    <t>Monte Xanic</t>
  </si>
  <si>
    <t>The Old G LLC</t>
  </si>
  <si>
    <t>Mike's Lemonade</t>
  </si>
  <si>
    <t>Jerzey Jungle LLC</t>
  </si>
  <si>
    <t>Funky Buddha</t>
  </si>
  <si>
    <t>Bodega Chiller</t>
  </si>
  <si>
    <t>Berczy LLC</t>
  </si>
  <si>
    <t>Modelo Chelada</t>
  </si>
  <si>
    <t>Pacifico</t>
  </si>
  <si>
    <t>Modelo Aquas Frescas</t>
  </si>
  <si>
    <t>Dogfish Head Beer</t>
  </si>
  <si>
    <t>Yuengling Black &amp; Tan</t>
  </si>
  <si>
    <t>Yuengling Hershey's Chocolate Porter</t>
  </si>
  <si>
    <t>Sierra Nevada Brewing Company</t>
  </si>
  <si>
    <t>Famosa</t>
  </si>
  <si>
    <t>Montauk</t>
  </si>
  <si>
    <t>Lagunitas</t>
  </si>
  <si>
    <t>Krusovice</t>
  </si>
  <si>
    <t>Southern Tier</t>
  </si>
  <si>
    <t>Evil Genius</t>
  </si>
  <si>
    <t>Bavik</t>
  </si>
  <si>
    <t>Gulden Draak</t>
  </si>
  <si>
    <t>Barn Brew Co</t>
  </si>
  <si>
    <t>XYZ Beverage</t>
  </si>
  <si>
    <t>Defiant Brewing Co.</t>
  </si>
  <si>
    <t>2 Canos</t>
  </si>
  <si>
    <t>Buzbee's Beverages USA LLC</t>
  </si>
  <si>
    <t>Crooked Beverage</t>
  </si>
  <si>
    <t>Primos Imports LLC</t>
  </si>
  <si>
    <t>Stoney River</t>
  </si>
  <si>
    <t>Ecaana</t>
  </si>
  <si>
    <t>Plaid Duck</t>
  </si>
  <si>
    <t>Fiveislands</t>
  </si>
  <si>
    <t>DELTA</t>
  </si>
  <si>
    <t>Dad Grass</t>
  </si>
  <si>
    <t>Crescent 9</t>
  </si>
  <si>
    <t>Bardstown Bourbon Co</t>
  </si>
  <si>
    <t>Bardstown Green River</t>
  </si>
  <si>
    <t>American Fruits</t>
  </si>
  <si>
    <t>Corona Light</t>
  </si>
  <si>
    <t>Molson</t>
  </si>
  <si>
    <t>Heineken 0.0</t>
  </si>
  <si>
    <t>Angry Orchard</t>
  </si>
  <si>
    <t>Mike's Hard Lemonade</t>
  </si>
  <si>
    <t>New Holland Brewing Co</t>
  </si>
  <si>
    <t>Yuengling Oktoberfest</t>
  </si>
  <si>
    <t>Rekorderlig</t>
  </si>
  <si>
    <t>Radeberger USA</t>
  </si>
  <si>
    <t>Moosehead</t>
  </si>
  <si>
    <t>Travelers Club</t>
  </si>
  <si>
    <t>Newburgh Brewing</t>
  </si>
  <si>
    <t>Greek Wines</t>
  </si>
  <si>
    <t>Waterbird Spirits</t>
  </si>
  <si>
    <t>Find Wunder</t>
  </si>
  <si>
    <t>Hi5</t>
  </si>
  <si>
    <t>Blaze Life LLC</t>
  </si>
  <si>
    <t>Alias Brew Works</t>
  </si>
  <si>
    <t>Supplier / Brand Family</t>
  </si>
  <si>
    <t>Constellation Brands</t>
  </si>
  <si>
    <t>Fosters</t>
  </si>
  <si>
    <t>Tyskie Gronie</t>
  </si>
  <si>
    <t>Topo Chico</t>
  </si>
  <si>
    <t>Heineken USA</t>
  </si>
  <si>
    <t>Dos Equis</t>
  </si>
  <si>
    <t>Sun Cruiser</t>
  </si>
  <si>
    <t>Small Town</t>
  </si>
  <si>
    <t>Kirin Ichiban</t>
  </si>
  <si>
    <t>Magners</t>
  </si>
  <si>
    <t>Right Coast</t>
  </si>
  <si>
    <t>Radeberger</t>
  </si>
  <si>
    <t>Clausthaler</t>
  </si>
  <si>
    <t>Sixpoint</t>
  </si>
  <si>
    <t>Cerveza Republica La Tuya 5.0 La Dura</t>
  </si>
  <si>
    <t>Harpoon Brewery</t>
  </si>
  <si>
    <t>Petrus</t>
  </si>
  <si>
    <t>Pampa Beverages</t>
  </si>
  <si>
    <t>Ithaca</t>
  </si>
  <si>
    <t>Southern Tier Distilling Company</t>
  </si>
  <si>
    <t>La Tropical</t>
  </si>
  <si>
    <t>OVO Vodka LLC</t>
  </si>
  <si>
    <t>Whole Hog</t>
  </si>
  <si>
    <t>Charro</t>
  </si>
  <si>
    <t>Viva Tequila Seltzer</t>
  </si>
  <si>
    <t>The Old G</t>
  </si>
  <si>
    <t>Misc</t>
  </si>
  <si>
    <t>Rey Azul</t>
  </si>
  <si>
    <t>Laird &amp; Company</t>
  </si>
  <si>
    <t>Crescent Canna</t>
  </si>
  <si>
    <t>Estimated 2024 Finish</t>
  </si>
  <si>
    <t>Estimated % +/-</t>
  </si>
  <si>
    <t>Estimated 2025 Finish</t>
  </si>
  <si>
    <t>2025 Brewery Goal</t>
  </si>
  <si>
    <t>2025 Brewery Goal % Change</t>
  </si>
  <si>
    <t>2025 Brewery Goal +/- %</t>
  </si>
  <si>
    <t>2025 Brewery CE Change</t>
  </si>
  <si>
    <t>Miller 64</t>
  </si>
  <si>
    <t>Bevy Long Drink</t>
  </si>
  <si>
    <t>Dillons</t>
  </si>
  <si>
    <t>Pabst Light</t>
  </si>
  <si>
    <t>Yuengling Raging Eagle</t>
  </si>
  <si>
    <t>Allgauer</t>
  </si>
  <si>
    <t>Sea Dog</t>
  </si>
  <si>
    <t>Lagunitas IPA</t>
  </si>
  <si>
    <t>Lagunitas Little Sumpin' IPA</t>
  </si>
  <si>
    <t>Lagunitas Maximus</t>
  </si>
  <si>
    <t>Lagunitas Variety</t>
  </si>
  <si>
    <t>Lagunitas Daytime IPA</t>
  </si>
  <si>
    <t>Lagunitas Hazy Wonder</t>
  </si>
  <si>
    <t>Lagunitas Hazy IPA</t>
  </si>
  <si>
    <t>Lagunitas Uncensored</t>
  </si>
  <si>
    <t>Lagunitas IPNA NA</t>
  </si>
  <si>
    <t>Lagunitas Hoppy Refresher NA</t>
  </si>
  <si>
    <t>Lagunitas Island Beats</t>
  </si>
  <si>
    <t>Lagunitas Hoppy Variety NA</t>
  </si>
  <si>
    <t>Lagunitas Tiki Fusion Zombie</t>
  </si>
  <si>
    <t>Lagunitas Willettized Woodshop</t>
  </si>
  <si>
    <t>Lagunitas Waldo</t>
  </si>
  <si>
    <t>Lagunitas Tri-Pack</t>
  </si>
  <si>
    <t>Lagunitas Beast of Both Worlds</t>
  </si>
  <si>
    <t>Moskato</t>
  </si>
  <si>
    <t>Hard Rock</t>
  </si>
  <si>
    <t>Ralph's</t>
  </si>
  <si>
    <t>Truss USA</t>
  </si>
  <si>
    <t>Veryvell</t>
  </si>
  <si>
    <t>Sterling</t>
  </si>
  <si>
    <t>Rocky Mtn</t>
  </si>
  <si>
    <t>Lifted Libations</t>
  </si>
  <si>
    <t>Luneau Usa Inc</t>
  </si>
  <si>
    <t>Rodia</t>
  </si>
  <si>
    <t>Ennoble Beverages</t>
  </si>
  <si>
    <t>Tgi Fridays</t>
  </si>
  <si>
    <t>Franks</t>
  </si>
  <si>
    <t>Boldt</t>
  </si>
  <si>
    <t>Lark</t>
  </si>
  <si>
    <t>Brewts</t>
  </si>
  <si>
    <t>Buzbees</t>
  </si>
  <si>
    <t>Bardstown</t>
  </si>
  <si>
    <t>Coastal Spritz</t>
  </si>
  <si>
    <t>Ceria</t>
  </si>
  <si>
    <t>Anchor Brewing</t>
  </si>
  <si>
    <t>Anchor</t>
  </si>
  <si>
    <t>Ciderboys</t>
  </si>
  <si>
    <t>Unique ID</t>
  </si>
  <si>
    <t>-</t>
  </si>
  <si>
    <t>2025 Kohler Goal +/- %</t>
  </si>
  <si>
    <t>2025 Kohler Goal CE Change</t>
  </si>
  <si>
    <t>2025 Kohler Goal</t>
  </si>
  <si>
    <t>Kohler v. Brewery</t>
  </si>
  <si>
    <t>CE 11/1/2024 - 12/31/2024</t>
  </si>
  <si>
    <t>CE 1/1/2024 - 10/31/2024</t>
  </si>
  <si>
    <t>CE 1/1/2025 - 10/31/2025</t>
  </si>
  <si>
    <t>CE % ±</t>
  </si>
  <si>
    <t>Actual vs. Brewery</t>
  </si>
  <si>
    <t>Actual vs. Kohler</t>
  </si>
  <si>
    <t>2024 Finish</t>
  </si>
  <si>
    <t>2026 Brewery Goal +/-%</t>
  </si>
  <si>
    <t>2026 Brewery CE Change</t>
  </si>
  <si>
    <t>2026 Brewery Goal CE</t>
  </si>
  <si>
    <t>2026 Kohler Goal +/-%</t>
  </si>
  <si>
    <t>2026 Kohler CE Change</t>
  </si>
  <si>
    <t>2026 Kohler Goal CE</t>
  </si>
  <si>
    <t>Pabst Brand</t>
  </si>
  <si>
    <t>Kirin</t>
  </si>
  <si>
    <t>0</t>
  </si>
  <si>
    <t>Notes</t>
  </si>
  <si>
    <t>&lt;- Suggested Estimated 2025 # from Sean</t>
  </si>
  <si>
    <t>Sinless</t>
  </si>
  <si>
    <t>Ole Tequila Cocktail</t>
  </si>
  <si>
    <t>Columbian Roots</t>
  </si>
  <si>
    <t>Goal totals need to be adjusted</t>
  </si>
  <si>
    <t>Heineken Ultimate 0.0</t>
  </si>
  <si>
    <t>Suntory</t>
  </si>
  <si>
    <t>Carbliss</t>
  </si>
  <si>
    <t>adjust later</t>
  </si>
  <si>
    <t>Aguila Light</t>
  </si>
  <si>
    <t>Club Colombia Dorada</t>
  </si>
  <si>
    <t>Club Colombia Roja</t>
  </si>
  <si>
    <t>Pilsen Import</t>
  </si>
  <si>
    <t>RTD</t>
  </si>
  <si>
    <t>Beer - Craft</t>
  </si>
  <si>
    <t>Beer</t>
  </si>
  <si>
    <t>Non-Alc - Soda</t>
  </si>
  <si>
    <t>Non-Alc</t>
  </si>
  <si>
    <t>Beer - Import</t>
  </si>
  <si>
    <t>Non-Inventory</t>
  </si>
  <si>
    <t>Spirits - Vodka</t>
  </si>
  <si>
    <t>Spirits</t>
  </si>
  <si>
    <t>Spirits - Whiskey</t>
  </si>
  <si>
    <t>Spirits - Gin</t>
  </si>
  <si>
    <t>Spirits - Tequila</t>
  </si>
  <si>
    <t>Wine - Rose</t>
  </si>
  <si>
    <t>Wine</t>
  </si>
  <si>
    <t>Chateau Diana</t>
  </si>
  <si>
    <t>Chateau Diana Winery</t>
  </si>
  <si>
    <t>Wine - White</t>
  </si>
  <si>
    <t>Spirits - Other</t>
  </si>
  <si>
    <t>FMB</t>
  </si>
  <si>
    <t>Beer - Non-Alc</t>
  </si>
  <si>
    <t>Wine - Red</t>
  </si>
  <si>
    <t>THC</t>
  </si>
  <si>
    <t>Belize Breeze</t>
  </si>
  <si>
    <t>Power Distribution LLC</t>
  </si>
  <si>
    <t>Beer - Economy</t>
  </si>
  <si>
    <t>Spirits - Brandy</t>
  </si>
  <si>
    <t>Bodega Quarters</t>
  </si>
  <si>
    <t>Wine - Other</t>
  </si>
  <si>
    <t>Jade</t>
  </si>
  <si>
    <t>Superbloom</t>
  </si>
  <si>
    <t>Non-Alc – Mixer</t>
  </si>
  <si>
    <t>Cider</t>
  </si>
  <si>
    <t>Seltzer</t>
  </si>
  <si>
    <t>Beer - Premium</t>
  </si>
  <si>
    <t>Non-Alc - Water</t>
  </si>
  <si>
    <t>Non-Alc - Energy</t>
  </si>
  <si>
    <t>Beer - Super Premium</t>
  </si>
  <si>
    <t>Sub-Segments</t>
  </si>
  <si>
    <t>Segment</t>
  </si>
  <si>
    <t>UNIQUE ID</t>
  </si>
  <si>
    <t>Brand Family</t>
  </si>
  <si>
    <t>Sub-Segment</t>
  </si>
  <si>
    <t>Spirits - Rum</t>
  </si>
  <si>
    <t>Unique ID 2</t>
  </si>
  <si>
    <t>UNIQUE ID 2</t>
  </si>
  <si>
    <t>Brewery - Kohler % Diff</t>
  </si>
  <si>
    <t>2026 Brewery % Goal +/-</t>
  </si>
  <si>
    <t>2026 Kohler % Goal +/-</t>
  </si>
  <si>
    <t>2025 Est Finish</t>
  </si>
  <si>
    <t>Totals</t>
  </si>
  <si>
    <t>Brewery - Kohler CE Diff</t>
  </si>
  <si>
    <t>Key</t>
  </si>
  <si>
    <t>Brewery has a more aggressive goal</t>
  </si>
  <si>
    <t>Kohler has a more aggressive goal</t>
  </si>
  <si>
    <t>We have big % discrepancy for: Doc's</t>
  </si>
  <si>
    <t>7100 is og Brewery goal  (K98)</t>
  </si>
  <si>
    <t>158148.32 was Estimated 2025 finish 1.5.2026</t>
  </si>
  <si>
    <t>Case Equiv 1/1/2025 - 12/31/2025</t>
  </si>
  <si>
    <t>2025 Finish</t>
  </si>
  <si>
    <t>N/A</t>
  </si>
  <si>
    <t>Brand Manager</t>
  </si>
  <si>
    <t>Steve Halloran</t>
  </si>
  <si>
    <t>Jason Koo</t>
  </si>
  <si>
    <t>Tom Gibbons</t>
  </si>
  <si>
    <t>Chris Politano</t>
  </si>
  <si>
    <t>Denise Montes</t>
  </si>
  <si>
    <t>Sean Donahue</t>
  </si>
  <si>
    <t>Dan Downing</t>
  </si>
  <si>
    <t>Chris McCrohan</t>
  </si>
  <si>
    <t>Perry Calderone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</si>
</sst>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#,##0.00;[Red]\ \(#,##0.00\)"/>
    <numFmt numFmtId="165" formatCode="#,##0.00%;[Red]\(#,##0.00%\)"/>
    <numFmt numFmtId="166" formatCode="0.0%"/>
    <numFmt numFmtId="167" formatCode="0.00%;[Red]\-0.00%"/>
    <numFmt numFmtId="168" formatCode="_(* #,##0_);_(* \(#,##0\);_(* &quot;-&quot;??_);_(@_)"/>
    <numFmt numFmtId="169" formatCode="#,##0;[Red]\ \(#,##0\)"/>
    <numFmt numFmtId="170" formatCode="0.00%;[Red]\(0.00%\)"/>
  </numFmts>
  <fonts count="20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trike/>
      <sz val="11"/>
      <color rgb="FFFF0000"/>
      <name val="Calibri"/>
      <family val="2"/>
      <scheme val="minor"/>
    </font>
    <font>
      <strike/>
      <sz val="1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trike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FFFF00"/>
      <name val="Calibri"/>
      <family val="2"/>
      <scheme val="minor"/>
    </font>
    <font>
      <sz val="11"/>
      <color rgb="FFFFFFFF"/>
      <name val="Calibri"/>
      <family val="2"/>
      <scheme val="minor"/>
    </font>
    <font>
      <i/>
      <sz val="11"/>
      <name val="Calibri"/>
      <family val="2"/>
      <scheme val="minor"/>
    </font>
    <font>
      <sz val="11"/>
      <color rgb="FF06090E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rgb="FF041E42"/>
        <bgColor indexed="64"/>
      </patternFill>
    </fill>
    <fill>
      <patternFill patternType="solid">
        <fgColor rgb="FFCFD8DF"/>
        <bgColor indexed="64"/>
      </patternFill>
    </fill>
    <fill>
      <patternFill patternType="solid">
        <fgColor rgb="FFF1F5F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1F2C40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0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8">
    <xf numFmtId="0" fontId="0" fillId="0" borderId="0"/>
    <xf numFmtId="0" fontId="1" fillId="2" borderId="0">
      <alignment vertical="center"/>
    </xf>
    <xf numFmtId="0" fontId="2" fillId="3" borderId="0"/>
    <xf numFmtId="0" fontId="2" fillId="4" borderId="0" applyNumberFormat="0" applyFill="0" applyAlignment="0" applyProtection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9" fontId="5" fillId="0" borderId="0">
      <alignment horizontal="left"/>
    </xf>
    <xf numFmtId="49" fontId="1" fillId="23" borderId="0">
      <alignment horizontal="left"/>
    </xf>
  </cellStyleXfs>
  <cellXfs count="307">
    <xf numFmtId="0" fontId="0" fillId="0" borderId="0" xfId="0"/>
    <xf numFmtId="164" fontId="0" fillId="0" borderId="0" xfId="0" applyNumberFormat="1" applyAlignment="1">
      <alignment horizontal="right"/>
    </xf>
    <xf numFmtId="49" fontId="0" fillId="0" borderId="0" xfId="0" applyNumberFormat="1" applyAlignment="1">
      <alignment horizontal="left"/>
    </xf>
    <xf numFmtId="165" fontId="0" fillId="0" borderId="0" xfId="0" applyNumberFormat="1" applyAlignment="1">
      <alignment horizontal="right"/>
    </xf>
    <xf numFmtId="49" fontId="2" fillId="0" borderId="0" xfId="3" applyNumberFormat="1" applyFill="1" applyAlignment="1">
      <alignment horizontal="left"/>
    </xf>
    <xf numFmtId="49" fontId="5" fillId="0" borderId="0" xfId="0" applyNumberFormat="1" applyFont="1" applyAlignment="1">
      <alignment horizontal="left"/>
    </xf>
    <xf numFmtId="0" fontId="5" fillId="0" borderId="0" xfId="0" applyFont="1"/>
    <xf numFmtId="49" fontId="0" fillId="5" borderId="0" xfId="0" applyNumberFormat="1" applyFill="1" applyAlignment="1">
      <alignment horizontal="left"/>
    </xf>
    <xf numFmtId="43" fontId="0" fillId="0" borderId="0" xfId="4" applyFont="1" applyAlignment="1">
      <alignment horizontal="right"/>
    </xf>
    <xf numFmtId="0" fontId="0" fillId="0" borderId="0" xfId="0" applyAlignment="1">
      <alignment horizontal="right"/>
    </xf>
    <xf numFmtId="168" fontId="2" fillId="7" borderId="0" xfId="4" applyNumberFormat="1" applyFont="1" applyFill="1"/>
    <xf numFmtId="169" fontId="0" fillId="0" borderId="0" xfId="4" applyNumberFormat="1" applyFont="1"/>
    <xf numFmtId="49" fontId="1" fillId="2" borderId="0" xfId="1" applyNumberFormat="1" applyAlignment="1">
      <alignment horizontal="left" vertical="center" wrapText="1"/>
    </xf>
    <xf numFmtId="49" fontId="1" fillId="2" borderId="0" xfId="1" applyNumberFormat="1" applyAlignment="1">
      <alignment horizontal="right" vertical="center" wrapText="1"/>
    </xf>
    <xf numFmtId="167" fontId="1" fillId="2" borderId="0" xfId="1" applyNumberFormat="1" applyAlignment="1">
      <alignment horizontal="right" vertical="center" wrapText="1"/>
    </xf>
    <xf numFmtId="38" fontId="1" fillId="8" borderId="0" xfId="1" applyNumberFormat="1" applyFill="1" applyAlignment="1">
      <alignment horizontal="right" vertical="center" wrapText="1"/>
    </xf>
    <xf numFmtId="169" fontId="1" fillId="8" borderId="0" xfId="4" applyNumberFormat="1" applyFont="1" applyFill="1" applyAlignment="1">
      <alignment horizontal="right" vertical="center" wrapText="1"/>
    </xf>
    <xf numFmtId="168" fontId="2" fillId="0" borderId="0" xfId="4" applyNumberFormat="1" applyFont="1"/>
    <xf numFmtId="167" fontId="0" fillId="0" borderId="0" xfId="0" applyNumberFormat="1"/>
    <xf numFmtId="169" fontId="2" fillId="0" borderId="0" xfId="4" applyNumberFormat="1" applyFont="1"/>
    <xf numFmtId="49" fontId="2" fillId="7" borderId="0" xfId="2" applyNumberFormat="1" applyFill="1" applyAlignment="1">
      <alignment horizontal="left"/>
    </xf>
    <xf numFmtId="0" fontId="2" fillId="7" borderId="0" xfId="2" applyFill="1"/>
    <xf numFmtId="167" fontId="2" fillId="7" borderId="0" xfId="5" applyNumberFormat="1" applyFont="1" applyFill="1"/>
    <xf numFmtId="167" fontId="2" fillId="7" borderId="0" xfId="0" applyNumberFormat="1" applyFont="1" applyFill="1"/>
    <xf numFmtId="38" fontId="2" fillId="7" borderId="0" xfId="0" applyNumberFormat="1" applyFont="1" applyFill="1"/>
    <xf numFmtId="169" fontId="2" fillId="7" borderId="0" xfId="4" applyNumberFormat="1" applyFont="1" applyFill="1"/>
    <xf numFmtId="168" fontId="5" fillId="0" borderId="0" xfId="4" applyNumberFormat="1" applyFont="1"/>
    <xf numFmtId="167" fontId="0" fillId="0" borderId="0" xfId="5" applyNumberFormat="1" applyFont="1"/>
    <xf numFmtId="38" fontId="0" fillId="0" borderId="0" xfId="0" applyNumberFormat="1"/>
    <xf numFmtId="168" fontId="5" fillId="0" borderId="0" xfId="4" applyNumberFormat="1" applyFont="1" applyFill="1"/>
    <xf numFmtId="167" fontId="0" fillId="0" borderId="0" xfId="5" applyNumberFormat="1" applyFont="1" applyFill="1"/>
    <xf numFmtId="166" fontId="0" fillId="0" borderId="0" xfId="5" applyNumberFormat="1" applyFont="1" applyFill="1"/>
    <xf numFmtId="169" fontId="0" fillId="0" borderId="0" xfId="4" applyNumberFormat="1" applyFont="1" applyFill="1"/>
    <xf numFmtId="166" fontId="0" fillId="0" borderId="0" xfId="5" applyNumberFormat="1" applyFont="1"/>
    <xf numFmtId="168" fontId="5" fillId="5" borderId="0" xfId="4" applyNumberFormat="1" applyFont="1" applyFill="1"/>
    <xf numFmtId="167" fontId="0" fillId="5" borderId="0" xfId="5" applyNumberFormat="1" applyFont="1" applyFill="1"/>
    <xf numFmtId="166" fontId="0" fillId="5" borderId="0" xfId="5" applyNumberFormat="1" applyFont="1" applyFill="1"/>
    <xf numFmtId="38" fontId="0" fillId="5" borderId="0" xfId="0" applyNumberFormat="1" applyFill="1"/>
    <xf numFmtId="169" fontId="0" fillId="5" borderId="0" xfId="4" applyNumberFormat="1" applyFont="1" applyFill="1"/>
    <xf numFmtId="167" fontId="0" fillId="5" borderId="0" xfId="0" applyNumberFormat="1" applyFill="1"/>
    <xf numFmtId="167" fontId="0" fillId="7" borderId="0" xfId="5" applyNumberFormat="1" applyFont="1" applyFill="1"/>
    <xf numFmtId="167" fontId="2" fillId="9" borderId="0" xfId="1" applyNumberFormat="1" applyFont="1" applyFill="1" applyAlignment="1">
      <alignment horizontal="right" vertical="center" wrapText="1"/>
    </xf>
    <xf numFmtId="0" fontId="0" fillId="0" borderId="0" xfId="0" applyAlignment="1">
      <alignment horizontal="left"/>
    </xf>
    <xf numFmtId="49" fontId="5" fillId="0" borderId="0" xfId="2" applyNumberFormat="1" applyFont="1" applyFill="1" applyAlignment="1">
      <alignment horizontal="left"/>
    </xf>
    <xf numFmtId="167" fontId="1" fillId="12" borderId="0" xfId="1" applyNumberFormat="1" applyFill="1" applyAlignment="1">
      <alignment horizontal="right" vertical="center" wrapText="1"/>
    </xf>
    <xf numFmtId="38" fontId="1" fillId="12" borderId="0" xfId="1" applyNumberFormat="1" applyFill="1" applyAlignment="1">
      <alignment horizontal="right" vertical="center" wrapText="1"/>
    </xf>
    <xf numFmtId="38" fontId="1" fillId="12" borderId="0" xfId="1" applyNumberFormat="1" applyFill="1" applyAlignment="1">
      <alignment horizontal="left" vertical="center" wrapText="1"/>
    </xf>
    <xf numFmtId="38" fontId="2" fillId="0" borderId="0" xfId="4" applyNumberFormat="1" applyFont="1"/>
    <xf numFmtId="38" fontId="2" fillId="7" borderId="0" xfId="4" applyNumberFormat="1" applyFont="1" applyFill="1"/>
    <xf numFmtId="38" fontId="0" fillId="7" borderId="0" xfId="0" applyNumberFormat="1" applyFill="1"/>
    <xf numFmtId="38" fontId="0" fillId="0" borderId="0" xfId="4" applyNumberFormat="1" applyFont="1"/>
    <xf numFmtId="38" fontId="0" fillId="0" borderId="0" xfId="4" applyNumberFormat="1" applyFont="1" applyFill="1"/>
    <xf numFmtId="38" fontId="0" fillId="5" borderId="0" xfId="4" applyNumberFormat="1" applyFont="1" applyFill="1"/>
    <xf numFmtId="40" fontId="0" fillId="0" borderId="0" xfId="4" applyNumberFormat="1" applyFont="1"/>
    <xf numFmtId="40" fontId="0" fillId="0" borderId="0" xfId="4" applyNumberFormat="1" applyFont="1" applyAlignment="1">
      <alignment horizontal="right"/>
    </xf>
    <xf numFmtId="49" fontId="2" fillId="11" borderId="0" xfId="3" applyNumberFormat="1" applyFill="1" applyAlignment="1">
      <alignment horizontal="left"/>
    </xf>
    <xf numFmtId="43" fontId="1" fillId="2" borderId="1" xfId="4" applyFont="1" applyFill="1" applyBorder="1" applyAlignment="1">
      <alignment horizontal="center" vertical="center"/>
    </xf>
    <xf numFmtId="43" fontId="3" fillId="6" borderId="3" xfId="4" applyFont="1" applyFill="1" applyBorder="1" applyAlignment="1">
      <alignment horizontal="right"/>
    </xf>
    <xf numFmtId="43" fontId="0" fillId="0" borderId="3" xfId="4" applyFont="1" applyBorder="1" applyAlignment="1">
      <alignment horizontal="right"/>
    </xf>
    <xf numFmtId="165" fontId="0" fillId="0" borderId="0" xfId="5" applyNumberFormat="1" applyFont="1" applyBorder="1" applyAlignment="1">
      <alignment horizontal="right"/>
    </xf>
    <xf numFmtId="43" fontId="5" fillId="0" borderId="3" xfId="4" applyFont="1" applyBorder="1" applyAlignment="1">
      <alignment horizontal="right"/>
    </xf>
    <xf numFmtId="43" fontId="0" fillId="0" borderId="5" xfId="4" applyFont="1" applyBorder="1" applyAlignment="1">
      <alignment horizontal="right"/>
    </xf>
    <xf numFmtId="165" fontId="0" fillId="0" borderId="8" xfId="5" applyNumberFormat="1" applyFont="1" applyBorder="1" applyAlignment="1">
      <alignment horizontal="right"/>
    </xf>
    <xf numFmtId="165" fontId="0" fillId="0" borderId="8" xfId="0" applyNumberFormat="1" applyBorder="1" applyAlignment="1">
      <alignment horizontal="right"/>
    </xf>
    <xf numFmtId="164" fontId="0" fillId="0" borderId="8" xfId="0" applyNumberFormat="1" applyBorder="1" applyAlignment="1">
      <alignment horizontal="right"/>
    </xf>
    <xf numFmtId="165" fontId="1" fillId="12" borderId="1" xfId="5" applyNumberFormat="1" applyFont="1" applyFill="1" applyBorder="1" applyAlignment="1">
      <alignment horizontal="center" vertical="center" wrapText="1"/>
    </xf>
    <xf numFmtId="40" fontId="1" fillId="12" borderId="2" xfId="4" applyNumberFormat="1" applyFont="1" applyFill="1" applyBorder="1" applyAlignment="1">
      <alignment horizontal="center" vertical="center" wrapText="1"/>
    </xf>
    <xf numFmtId="40" fontId="3" fillId="6" borderId="4" xfId="4" applyNumberFormat="1" applyFont="1" applyFill="1" applyBorder="1"/>
    <xf numFmtId="165" fontId="0" fillId="0" borderId="3" xfId="5" applyNumberFormat="1" applyFont="1" applyBorder="1"/>
    <xf numFmtId="40" fontId="0" fillId="0" borderId="4" xfId="4" applyNumberFormat="1" applyFont="1" applyBorder="1"/>
    <xf numFmtId="165" fontId="0" fillId="0" borderId="5" xfId="5" applyNumberFormat="1" applyFont="1" applyBorder="1"/>
    <xf numFmtId="40" fontId="0" fillId="0" borderId="6" xfId="4" applyNumberFormat="1" applyFont="1" applyBorder="1"/>
    <xf numFmtId="164" fontId="2" fillId="11" borderId="3" xfId="3" applyNumberFormat="1" applyFill="1" applyBorder="1" applyAlignment="1">
      <alignment horizontal="right"/>
    </xf>
    <xf numFmtId="164" fontId="3" fillId="6" borderId="3" xfId="2" applyNumberFormat="1" applyFont="1" applyFill="1" applyBorder="1" applyAlignment="1">
      <alignment horizontal="right"/>
    </xf>
    <xf numFmtId="164" fontId="0" fillId="0" borderId="3" xfId="0" applyNumberFormat="1" applyBorder="1" applyAlignment="1">
      <alignment horizontal="right"/>
    </xf>
    <xf numFmtId="164" fontId="0" fillId="0" borderId="5" xfId="0" applyNumberFormat="1" applyBorder="1" applyAlignment="1">
      <alignment horizontal="right"/>
    </xf>
    <xf numFmtId="43" fontId="2" fillId="11" borderId="3" xfId="4" applyFont="1" applyFill="1" applyBorder="1" applyAlignment="1">
      <alignment horizontal="right"/>
    </xf>
    <xf numFmtId="165" fontId="2" fillId="11" borderId="0" xfId="0" applyNumberFormat="1" applyFont="1" applyFill="1" applyAlignment="1">
      <alignment horizontal="right"/>
    </xf>
    <xf numFmtId="165" fontId="2" fillId="11" borderId="3" xfId="5" applyNumberFormat="1" applyFont="1" applyFill="1" applyBorder="1"/>
    <xf numFmtId="40" fontId="2" fillId="11" borderId="4" xfId="4" applyNumberFormat="1" applyFont="1" applyFill="1" applyBorder="1"/>
    <xf numFmtId="164" fontId="2" fillId="11" borderId="0" xfId="3" applyNumberFormat="1" applyFill="1" applyAlignment="1">
      <alignment horizontal="right"/>
    </xf>
    <xf numFmtId="165" fontId="2" fillId="11" borderId="0" xfId="3" applyNumberFormat="1" applyFill="1" applyAlignment="1">
      <alignment horizontal="right"/>
    </xf>
    <xf numFmtId="164" fontId="3" fillId="6" borderId="0" xfId="2" applyNumberFormat="1" applyFont="1" applyFill="1" applyAlignment="1">
      <alignment horizontal="right"/>
    </xf>
    <xf numFmtId="165" fontId="3" fillId="6" borderId="0" xfId="2" applyNumberFormat="1" applyFont="1" applyFill="1" applyAlignment="1">
      <alignment horizontal="right"/>
    </xf>
    <xf numFmtId="170" fontId="0" fillId="0" borderId="0" xfId="0" applyNumberFormat="1" applyAlignment="1">
      <alignment horizontal="right"/>
    </xf>
    <xf numFmtId="170" fontId="1" fillId="8" borderId="2" xfId="4" applyNumberFormat="1" applyFont="1" applyFill="1" applyBorder="1" applyAlignment="1">
      <alignment horizontal="center" vertical="center" wrapText="1"/>
    </xf>
    <xf numFmtId="170" fontId="2" fillId="11" borderId="4" xfId="0" applyNumberFormat="1" applyFont="1" applyFill="1" applyBorder="1" applyAlignment="1">
      <alignment horizontal="right"/>
    </xf>
    <xf numFmtId="170" fontId="0" fillId="0" borderId="4" xfId="5" applyNumberFormat="1" applyFont="1" applyBorder="1" applyAlignment="1">
      <alignment horizontal="right"/>
    </xf>
    <xf numFmtId="165" fontId="0" fillId="0" borderId="0" xfId="4" applyNumberFormat="1" applyFont="1"/>
    <xf numFmtId="165" fontId="1" fillId="12" borderId="7" xfId="4" applyNumberFormat="1" applyFont="1" applyFill="1" applyBorder="1" applyAlignment="1">
      <alignment horizontal="center" vertical="center" wrapText="1"/>
    </xf>
    <xf numFmtId="165" fontId="2" fillId="11" borderId="0" xfId="5" applyNumberFormat="1" applyFont="1" applyFill="1" applyBorder="1"/>
    <xf numFmtId="165" fontId="0" fillId="0" borderId="0" xfId="5" applyNumberFormat="1" applyFont="1" applyBorder="1"/>
    <xf numFmtId="37" fontId="0" fillId="0" borderId="0" xfId="4" applyNumberFormat="1" applyFont="1" applyAlignment="1">
      <alignment horizontal="right"/>
    </xf>
    <xf numFmtId="37" fontId="2" fillId="11" borderId="4" xfId="4" applyNumberFormat="1" applyFont="1" applyFill="1" applyBorder="1" applyAlignment="1">
      <alignment horizontal="right"/>
    </xf>
    <xf numFmtId="37" fontId="0" fillId="0" borderId="4" xfId="4" applyNumberFormat="1" applyFont="1" applyBorder="1" applyAlignment="1">
      <alignment horizontal="right"/>
    </xf>
    <xf numFmtId="37" fontId="0" fillId="0" borderId="6" xfId="4" applyNumberFormat="1" applyFont="1" applyBorder="1" applyAlignment="1">
      <alignment horizontal="right"/>
    </xf>
    <xf numFmtId="170" fontId="2" fillId="11" borderId="4" xfId="5" applyNumberFormat="1" applyFont="1" applyFill="1" applyBorder="1" applyAlignment="1">
      <alignment horizontal="right"/>
    </xf>
    <xf numFmtId="0" fontId="5" fillId="13" borderId="0" xfId="0" applyFont="1" applyFill="1"/>
    <xf numFmtId="49" fontId="2" fillId="13" borderId="0" xfId="2" applyNumberFormat="1" applyFill="1" applyAlignment="1">
      <alignment horizontal="left"/>
    </xf>
    <xf numFmtId="0" fontId="2" fillId="13" borderId="0" xfId="2" applyFill="1"/>
    <xf numFmtId="37" fontId="2" fillId="13" borderId="4" xfId="4" applyNumberFormat="1" applyFont="1" applyFill="1" applyBorder="1" applyAlignment="1">
      <alignment horizontal="right"/>
    </xf>
    <xf numFmtId="165" fontId="2" fillId="13" borderId="0" xfId="5" applyNumberFormat="1" applyFont="1" applyFill="1" applyBorder="1" applyAlignment="1">
      <alignment horizontal="right"/>
    </xf>
    <xf numFmtId="170" fontId="5" fillId="13" borderId="4" xfId="5" applyNumberFormat="1" applyFont="1" applyFill="1" applyBorder="1" applyAlignment="1">
      <alignment horizontal="right"/>
    </xf>
    <xf numFmtId="165" fontId="2" fillId="13" borderId="3" xfId="5" applyNumberFormat="1" applyFont="1" applyFill="1" applyBorder="1"/>
    <xf numFmtId="165" fontId="5" fillId="13" borderId="0" xfId="5" applyNumberFormat="1" applyFont="1" applyFill="1" applyBorder="1"/>
    <xf numFmtId="37" fontId="5" fillId="13" borderId="0" xfId="4" applyNumberFormat="1" applyFont="1" applyFill="1" applyAlignment="1">
      <alignment horizontal="right"/>
    </xf>
    <xf numFmtId="170" fontId="5" fillId="13" borderId="0" xfId="0" applyNumberFormat="1" applyFont="1" applyFill="1" applyAlignment="1">
      <alignment horizontal="right"/>
    </xf>
    <xf numFmtId="43" fontId="5" fillId="13" borderId="0" xfId="4" applyFont="1" applyFill="1" applyAlignment="1">
      <alignment horizontal="right"/>
    </xf>
    <xf numFmtId="164" fontId="5" fillId="13" borderId="0" xfId="0" applyNumberFormat="1" applyFont="1" applyFill="1" applyAlignment="1">
      <alignment horizontal="right"/>
    </xf>
    <xf numFmtId="165" fontId="5" fillId="13" borderId="0" xfId="4" applyNumberFormat="1" applyFont="1" applyFill="1"/>
    <xf numFmtId="40" fontId="1" fillId="8" borderId="7" xfId="4" applyNumberFormat="1" applyFont="1" applyFill="1" applyBorder="1" applyAlignment="1">
      <alignment horizontal="center" vertical="center" wrapText="1"/>
    </xf>
    <xf numFmtId="40" fontId="2" fillId="11" borderId="0" xfId="4" applyNumberFormat="1" applyFont="1" applyFill="1" applyAlignment="1">
      <alignment horizontal="right"/>
    </xf>
    <xf numFmtId="40" fontId="5" fillId="13" borderId="0" xfId="4" applyNumberFormat="1" applyFont="1" applyFill="1" applyAlignment="1">
      <alignment horizontal="right"/>
    </xf>
    <xf numFmtId="164" fontId="0" fillId="0" borderId="0" xfId="4" applyNumberFormat="1" applyFont="1"/>
    <xf numFmtId="164" fontId="1" fillId="12" borderId="7" xfId="4" applyNumberFormat="1" applyFont="1" applyFill="1" applyBorder="1" applyAlignment="1">
      <alignment horizontal="center" vertical="center" wrapText="1"/>
    </xf>
    <xf numFmtId="164" fontId="2" fillId="11" borderId="0" xfId="4" applyNumberFormat="1" applyFont="1" applyFill="1" applyBorder="1"/>
    <xf numFmtId="164" fontId="5" fillId="13" borderId="0" xfId="4" applyNumberFormat="1" applyFont="1" applyFill="1" applyBorder="1"/>
    <xf numFmtId="164" fontId="0" fillId="0" borderId="0" xfId="4" applyNumberFormat="1" applyFont="1" applyBorder="1"/>
    <xf numFmtId="164" fontId="5" fillId="13" borderId="0" xfId="4" applyNumberFormat="1" applyFont="1" applyFill="1"/>
    <xf numFmtId="49" fontId="6" fillId="14" borderId="0" xfId="1" applyNumberFormat="1" applyFont="1" applyFill="1" applyAlignment="1">
      <alignment horizontal="center" vertical="center"/>
    </xf>
    <xf numFmtId="49" fontId="6" fillId="10" borderId="0" xfId="1" applyNumberFormat="1" applyFont="1" applyFill="1" applyAlignment="1">
      <alignment horizontal="center" vertical="center"/>
    </xf>
    <xf numFmtId="49" fontId="6" fillId="2" borderId="1" xfId="1" applyNumberFormat="1" applyFont="1" applyBorder="1" applyAlignment="1">
      <alignment horizontal="center" vertical="center"/>
    </xf>
    <xf numFmtId="49" fontId="6" fillId="2" borderId="7" xfId="1" applyNumberFormat="1" applyFont="1" applyBorder="1" applyAlignment="1">
      <alignment horizontal="center" vertical="center"/>
    </xf>
    <xf numFmtId="37" fontId="6" fillId="14" borderId="2" xfId="4" applyNumberFormat="1" applyFont="1" applyFill="1" applyBorder="1" applyAlignment="1">
      <alignment horizontal="center" vertical="center"/>
    </xf>
    <xf numFmtId="168" fontId="1" fillId="14" borderId="10" xfId="4" applyNumberFormat="1" applyFont="1" applyFill="1" applyBorder="1" applyAlignment="1">
      <alignment horizontal="center" vertical="center" wrapText="1"/>
    </xf>
    <xf numFmtId="170" fontId="1" fillId="14" borderId="9" xfId="1" applyNumberFormat="1" applyFill="1" applyBorder="1" applyAlignment="1">
      <alignment horizontal="center" vertical="center" wrapText="1"/>
    </xf>
    <xf numFmtId="165" fontId="6" fillId="8" borderId="7" xfId="1" applyNumberFormat="1" applyFont="1" applyFill="1" applyBorder="1" applyAlignment="1">
      <alignment horizontal="center" vertical="center"/>
    </xf>
    <xf numFmtId="43" fontId="0" fillId="0" borderId="0" xfId="4" applyFont="1"/>
    <xf numFmtId="49" fontId="7" fillId="0" borderId="0" xfId="0" applyNumberFormat="1" applyFont="1" applyAlignment="1">
      <alignment horizontal="left"/>
    </xf>
    <xf numFmtId="49" fontId="4" fillId="0" borderId="0" xfId="0" applyNumberFormat="1" applyFont="1" applyAlignment="1">
      <alignment horizontal="left"/>
    </xf>
    <xf numFmtId="165" fontId="0" fillId="0" borderId="0" xfId="0" applyNumberFormat="1" applyAlignment="1">
      <alignment horizontal="center"/>
    </xf>
    <xf numFmtId="49" fontId="3" fillId="6" borderId="0" xfId="2" applyNumberFormat="1" applyFont="1" applyFill="1" applyAlignment="1">
      <alignment horizontal="right"/>
    </xf>
    <xf numFmtId="9" fontId="3" fillId="6" borderId="0" xfId="5" applyFont="1" applyFill="1" applyAlignment="1">
      <alignment horizontal="right"/>
    </xf>
    <xf numFmtId="49" fontId="2" fillId="13" borderId="0" xfId="2" applyNumberFormat="1" applyFill="1" applyAlignment="1">
      <alignment horizontal="right"/>
    </xf>
    <xf numFmtId="43" fontId="0" fillId="5" borderId="0" xfId="4" applyFont="1" applyFill="1"/>
    <xf numFmtId="49" fontId="1" fillId="14" borderId="1" xfId="1" applyNumberFormat="1" applyFill="1" applyBorder="1" applyAlignment="1">
      <alignment horizontal="center" vertical="center"/>
    </xf>
    <xf numFmtId="49" fontId="3" fillId="14" borderId="7" xfId="1" applyNumberFormat="1" applyFont="1" applyFill="1" applyBorder="1" applyAlignment="1">
      <alignment horizontal="center" vertical="center"/>
    </xf>
    <xf numFmtId="49" fontId="3" fillId="17" borderId="7" xfId="1" applyNumberFormat="1" applyFont="1" applyFill="1" applyBorder="1" applyAlignment="1">
      <alignment horizontal="center" vertical="center"/>
    </xf>
    <xf numFmtId="43" fontId="1" fillId="14" borderId="7" xfId="4" applyFont="1" applyFill="1" applyBorder="1" applyAlignment="1">
      <alignment horizontal="center" vertical="center" wrapText="1"/>
    </xf>
    <xf numFmtId="165" fontId="1" fillId="14" borderId="7" xfId="1" applyNumberFormat="1" applyFill="1" applyBorder="1" applyAlignment="1">
      <alignment horizontal="center" vertical="center" wrapText="1"/>
    </xf>
    <xf numFmtId="40" fontId="6" fillId="8" borderId="7" xfId="4" applyNumberFormat="1" applyFont="1" applyFill="1" applyBorder="1" applyAlignment="1">
      <alignment horizontal="center" vertical="center" wrapText="1"/>
    </xf>
    <xf numFmtId="40" fontId="6" fillId="15" borderId="7" xfId="4" applyNumberFormat="1" applyFont="1" applyFill="1" applyBorder="1" applyAlignment="1">
      <alignment horizontal="center" vertical="center" wrapText="1"/>
    </xf>
    <xf numFmtId="40" fontId="6" fillId="15" borderId="2" xfId="4" applyNumberFormat="1" applyFont="1" applyFill="1" applyBorder="1" applyAlignment="1">
      <alignment horizontal="center" vertical="center" wrapText="1"/>
    </xf>
    <xf numFmtId="49" fontId="2" fillId="18" borderId="3" xfId="2" applyNumberFormat="1" applyFill="1" applyBorder="1" applyAlignment="1">
      <alignment horizontal="left"/>
    </xf>
    <xf numFmtId="43" fontId="2" fillId="18" borderId="0" xfId="4" applyFont="1" applyFill="1" applyBorder="1"/>
    <xf numFmtId="165" fontId="2" fillId="18" borderId="0" xfId="5" applyNumberFormat="1" applyFont="1" applyFill="1" applyBorder="1" applyAlignment="1">
      <alignment horizontal="center"/>
    </xf>
    <xf numFmtId="165" fontId="0" fillId="16" borderId="0" xfId="5" applyNumberFormat="1" applyFont="1" applyFill="1" applyBorder="1" applyAlignment="1">
      <alignment horizontal="center"/>
    </xf>
    <xf numFmtId="40" fontId="2" fillId="18" borderId="0" xfId="4" applyNumberFormat="1" applyFont="1" applyFill="1" applyBorder="1"/>
    <xf numFmtId="40" fontId="2" fillId="18" borderId="4" xfId="4" applyNumberFormat="1" applyFont="1" applyFill="1" applyBorder="1"/>
    <xf numFmtId="49" fontId="0" fillId="0" borderId="3" xfId="0" applyNumberFormat="1" applyBorder="1" applyAlignment="1">
      <alignment horizontal="left"/>
    </xf>
    <xf numFmtId="43" fontId="0" fillId="0" borderId="0" xfId="4" applyFont="1" applyBorder="1"/>
    <xf numFmtId="165" fontId="0" fillId="0" borderId="0" xfId="5" applyNumberFormat="1" applyFont="1" applyBorder="1" applyAlignment="1">
      <alignment horizontal="center"/>
    </xf>
    <xf numFmtId="40" fontId="0" fillId="0" borderId="0" xfId="4" applyNumberFormat="1" applyFont="1" applyBorder="1"/>
    <xf numFmtId="49" fontId="7" fillId="0" borderId="3" xfId="0" applyNumberFormat="1" applyFont="1" applyBorder="1" applyAlignment="1">
      <alignment horizontal="left"/>
    </xf>
    <xf numFmtId="43" fontId="2" fillId="18" borderId="0" xfId="4" applyFont="1" applyFill="1" applyBorder="1" applyAlignment="1">
      <alignment horizontal="right"/>
    </xf>
    <xf numFmtId="43" fontId="2" fillId="18" borderId="4" xfId="4" applyFont="1" applyFill="1" applyBorder="1" applyAlignment="1">
      <alignment horizontal="right"/>
    </xf>
    <xf numFmtId="49" fontId="9" fillId="0" borderId="3" xfId="0" applyNumberFormat="1" applyFont="1" applyBorder="1" applyAlignment="1">
      <alignment horizontal="left"/>
    </xf>
    <xf numFmtId="49" fontId="4" fillId="0" borderId="3" xfId="0" applyNumberFormat="1" applyFont="1" applyBorder="1" applyAlignment="1">
      <alignment horizontal="left"/>
    </xf>
    <xf numFmtId="49" fontId="0" fillId="0" borderId="5" xfId="0" applyNumberFormat="1" applyBorder="1" applyAlignment="1">
      <alignment horizontal="left"/>
    </xf>
    <xf numFmtId="49" fontId="0" fillId="0" borderId="8" xfId="0" applyNumberFormat="1" applyBorder="1" applyAlignment="1">
      <alignment horizontal="left"/>
    </xf>
    <xf numFmtId="0" fontId="5" fillId="0" borderId="8" xfId="2" applyFont="1" applyFill="1" applyBorder="1"/>
    <xf numFmtId="43" fontId="0" fillId="0" borderId="8" xfId="4" applyFont="1" applyBorder="1"/>
    <xf numFmtId="165" fontId="0" fillId="0" borderId="8" xfId="5" applyNumberFormat="1" applyFont="1" applyBorder="1" applyAlignment="1">
      <alignment horizontal="center"/>
    </xf>
    <xf numFmtId="165" fontId="0" fillId="16" borderId="8" xfId="5" applyNumberFormat="1" applyFont="1" applyFill="1" applyBorder="1" applyAlignment="1">
      <alignment horizontal="center"/>
    </xf>
    <xf numFmtId="40" fontId="0" fillId="0" borderId="8" xfId="4" applyNumberFormat="1" applyFont="1" applyBorder="1"/>
    <xf numFmtId="49" fontId="8" fillId="19" borderId="11" xfId="3" applyNumberFormat="1" applyFont="1" applyFill="1" applyBorder="1" applyAlignment="1">
      <alignment horizontal="left"/>
    </xf>
    <xf numFmtId="49" fontId="8" fillId="19" borderId="12" xfId="3" applyNumberFormat="1" applyFont="1" applyFill="1" applyBorder="1" applyAlignment="1">
      <alignment horizontal="left"/>
    </xf>
    <xf numFmtId="0" fontId="8" fillId="18" borderId="12" xfId="3" applyNumberFormat="1" applyFont="1" applyFill="1" applyBorder="1" applyAlignment="1">
      <alignment horizontal="left"/>
    </xf>
    <xf numFmtId="43" fontId="8" fillId="19" borderId="12" xfId="4" applyFont="1" applyFill="1" applyBorder="1"/>
    <xf numFmtId="165" fontId="8" fillId="19" borderId="12" xfId="0" applyNumberFormat="1" applyFont="1" applyFill="1" applyBorder="1" applyAlignment="1">
      <alignment horizontal="center"/>
    </xf>
    <xf numFmtId="165" fontId="7" fillId="19" borderId="12" xfId="5" applyNumberFormat="1" applyFont="1" applyFill="1" applyBorder="1" applyAlignment="1">
      <alignment horizontal="center"/>
    </xf>
    <xf numFmtId="40" fontId="7" fillId="19" borderId="12" xfId="4" applyNumberFormat="1" applyFont="1" applyFill="1" applyBorder="1"/>
    <xf numFmtId="40" fontId="8" fillId="19" borderId="12" xfId="4" applyNumberFormat="1" applyFont="1" applyFill="1" applyBorder="1"/>
    <xf numFmtId="40" fontId="8" fillId="19" borderId="13" xfId="4" applyNumberFormat="1" applyFont="1" applyFill="1" applyBorder="1"/>
    <xf numFmtId="49" fontId="10" fillId="0" borderId="3" xfId="0" applyNumberFormat="1" applyFont="1" applyBorder="1" applyAlignment="1">
      <alignment horizontal="left"/>
    </xf>
    <xf numFmtId="165" fontId="0" fillId="0" borderId="0" xfId="5" applyNumberFormat="1" applyFont="1" applyFill="1" applyAlignment="1">
      <alignment horizontal="center"/>
    </xf>
    <xf numFmtId="40" fontId="0" fillId="0" borderId="0" xfId="4" applyNumberFormat="1" applyFont="1" applyFill="1"/>
    <xf numFmtId="168" fontId="2" fillId="20" borderId="3" xfId="4" applyNumberFormat="1" applyFont="1" applyFill="1" applyBorder="1" applyAlignment="1"/>
    <xf numFmtId="168" fontId="0" fillId="20" borderId="3" xfId="4" applyNumberFormat="1" applyFont="1" applyFill="1" applyBorder="1" applyAlignment="1"/>
    <xf numFmtId="43" fontId="2" fillId="20" borderId="0" xfId="4" applyFont="1" applyFill="1" applyAlignment="1">
      <alignment horizontal="right"/>
    </xf>
    <xf numFmtId="168" fontId="0" fillId="20" borderId="5" xfId="4" applyNumberFormat="1" applyFont="1" applyFill="1" applyBorder="1" applyAlignment="1"/>
    <xf numFmtId="168" fontId="5" fillId="20" borderId="0" xfId="4" applyNumberFormat="1" applyFont="1" applyFill="1"/>
    <xf numFmtId="168" fontId="0" fillId="20" borderId="0" xfId="4" applyNumberFormat="1" applyFont="1" applyFill="1"/>
    <xf numFmtId="40" fontId="12" fillId="18" borderId="0" xfId="4" applyNumberFormat="1" applyFont="1" applyFill="1" applyBorder="1"/>
    <xf numFmtId="40" fontId="12" fillId="18" borderId="4" xfId="4" applyNumberFormat="1" applyFont="1" applyFill="1" applyBorder="1"/>
    <xf numFmtId="49" fontId="13" fillId="0" borderId="3" xfId="0" applyNumberFormat="1" applyFont="1" applyBorder="1" applyAlignment="1">
      <alignment horizontal="left"/>
    </xf>
    <xf numFmtId="43" fontId="11" fillId="0" borderId="0" xfId="4" applyFont="1" applyBorder="1"/>
    <xf numFmtId="165" fontId="11" fillId="0" borderId="0" xfId="5" applyNumberFormat="1" applyFont="1" applyBorder="1" applyAlignment="1">
      <alignment horizontal="center"/>
    </xf>
    <xf numFmtId="165" fontId="11" fillId="16" borderId="0" xfId="5" applyNumberFormat="1" applyFont="1" applyFill="1" applyBorder="1" applyAlignment="1">
      <alignment horizontal="center"/>
    </xf>
    <xf numFmtId="49" fontId="14" fillId="18" borderId="3" xfId="2" applyNumberFormat="1" applyFont="1" applyFill="1" applyBorder="1" applyAlignment="1">
      <alignment horizontal="left"/>
    </xf>
    <xf numFmtId="43" fontId="14" fillId="18" borderId="0" xfId="4" applyFont="1" applyFill="1" applyBorder="1"/>
    <xf numFmtId="165" fontId="14" fillId="18" borderId="0" xfId="5" applyNumberFormat="1" applyFont="1" applyFill="1" applyBorder="1" applyAlignment="1">
      <alignment horizontal="center"/>
    </xf>
    <xf numFmtId="40" fontId="14" fillId="18" borderId="0" xfId="4" applyNumberFormat="1" applyFont="1" applyFill="1" applyBorder="1"/>
    <xf numFmtId="40" fontId="14" fillId="18" borderId="4" xfId="4" applyNumberFormat="1" applyFont="1" applyFill="1" applyBorder="1"/>
    <xf numFmtId="49" fontId="11" fillId="0" borderId="3" xfId="0" applyNumberFormat="1" applyFont="1" applyBorder="1" applyAlignment="1">
      <alignment horizontal="left"/>
    </xf>
    <xf numFmtId="43" fontId="0" fillId="21" borderId="0" xfId="4" applyFont="1" applyFill="1" applyBorder="1"/>
    <xf numFmtId="165" fontId="0" fillId="21" borderId="0" xfId="5" applyNumberFormat="1" applyFont="1" applyFill="1" applyBorder="1" applyAlignment="1">
      <alignment horizontal="center"/>
    </xf>
    <xf numFmtId="43" fontId="0" fillId="21" borderId="0" xfId="4" applyFont="1" applyFill="1" applyBorder="1" applyAlignment="1">
      <alignment horizontal="right"/>
    </xf>
    <xf numFmtId="165" fontId="0" fillId="21" borderId="0" xfId="5" applyNumberFormat="1" applyFont="1" applyFill="1" applyBorder="1" applyAlignment="1">
      <alignment horizontal="right"/>
    </xf>
    <xf numFmtId="40" fontId="0" fillId="21" borderId="0" xfId="4" applyNumberFormat="1" applyFont="1" applyFill="1" applyBorder="1" applyAlignment="1">
      <alignment horizontal="right"/>
    </xf>
    <xf numFmtId="40" fontId="0" fillId="21" borderId="0" xfId="4" applyNumberFormat="1" applyFont="1" applyFill="1" applyBorder="1"/>
    <xf numFmtId="49" fontId="2" fillId="18" borderId="0" xfId="2" applyNumberFormat="1" applyFill="1" applyAlignment="1">
      <alignment horizontal="left"/>
    </xf>
    <xf numFmtId="0" fontId="2" fillId="18" borderId="0" xfId="2" applyFill="1"/>
    <xf numFmtId="0" fontId="5" fillId="0" borderId="0" xfId="2" applyFont="1" applyFill="1"/>
    <xf numFmtId="49" fontId="11" fillId="0" borderId="0" xfId="0" applyNumberFormat="1" applyFont="1" applyAlignment="1">
      <alignment horizontal="left"/>
    </xf>
    <xf numFmtId="0" fontId="11" fillId="0" borderId="0" xfId="2" applyFont="1" applyFill="1"/>
    <xf numFmtId="165" fontId="7" fillId="21" borderId="0" xfId="5" applyNumberFormat="1" applyFont="1" applyFill="1" applyBorder="1" applyAlignment="1">
      <alignment horizontal="center"/>
    </xf>
    <xf numFmtId="40" fontId="2" fillId="18" borderId="0" xfId="2" applyNumberFormat="1" applyFill="1" applyAlignment="1">
      <alignment horizontal="right"/>
    </xf>
    <xf numFmtId="0" fontId="14" fillId="18" borderId="0" xfId="2" applyFont="1" applyFill="1"/>
    <xf numFmtId="40" fontId="0" fillId="0" borderId="0" xfId="0" applyNumberFormat="1"/>
    <xf numFmtId="165" fontId="12" fillId="16" borderId="0" xfId="5" applyNumberFormat="1" applyFont="1" applyFill="1" applyBorder="1" applyAlignment="1">
      <alignment horizontal="center"/>
    </xf>
    <xf numFmtId="43" fontId="5" fillId="0" borderId="0" xfId="4" applyFont="1" applyBorder="1"/>
    <xf numFmtId="43" fontId="13" fillId="0" borderId="0" xfId="4" applyFont="1" applyBorder="1"/>
    <xf numFmtId="43" fontId="12" fillId="18" borderId="0" xfId="4" applyFont="1" applyFill="1" applyBorder="1"/>
    <xf numFmtId="49" fontId="13" fillId="18" borderId="3" xfId="0" applyNumberFormat="1" applyFont="1" applyFill="1" applyBorder="1" applyAlignment="1">
      <alignment horizontal="left"/>
    </xf>
    <xf numFmtId="43" fontId="0" fillId="0" borderId="0" xfId="4" applyFont="1" applyFill="1" applyBorder="1"/>
    <xf numFmtId="49" fontId="12" fillId="18" borderId="3" xfId="0" applyNumberFormat="1" applyFont="1" applyFill="1" applyBorder="1" applyAlignment="1">
      <alignment horizontal="left"/>
    </xf>
    <xf numFmtId="49" fontId="1" fillId="2" borderId="0" xfId="1" applyNumberFormat="1" applyAlignment="1">
      <alignment horizontal="left" vertical="center"/>
    </xf>
    <xf numFmtId="49" fontId="15" fillId="5" borderId="0" xfId="1" applyNumberFormat="1" applyFont="1" applyFill="1" applyAlignment="1">
      <alignment horizontal="left" vertical="center"/>
    </xf>
    <xf numFmtId="165" fontId="0" fillId="0" borderId="0" xfId="0" applyNumberFormat="1"/>
    <xf numFmtId="10" fontId="0" fillId="0" borderId="0" xfId="0" applyNumberFormat="1"/>
    <xf numFmtId="0" fontId="0" fillId="0" borderId="14" xfId="0" applyBorder="1"/>
    <xf numFmtId="165" fontId="0" fillId="0" borderId="14" xfId="5" applyNumberFormat="1" applyFont="1" applyBorder="1" applyAlignment="1">
      <alignment horizontal="center"/>
    </xf>
    <xf numFmtId="0" fontId="0" fillId="0" borderId="18" xfId="0" applyBorder="1"/>
    <xf numFmtId="0" fontId="0" fillId="0" borderId="20" xfId="0" applyBorder="1"/>
    <xf numFmtId="0" fontId="0" fillId="0" borderId="21" xfId="0" applyBorder="1"/>
    <xf numFmtId="165" fontId="0" fillId="0" borderId="21" xfId="5" applyNumberFormat="1" applyFont="1" applyBorder="1" applyAlignment="1">
      <alignment horizontal="center"/>
    </xf>
    <xf numFmtId="38" fontId="0" fillId="0" borderId="14" xfId="4" applyNumberFormat="1" applyFont="1" applyBorder="1" applyAlignment="1">
      <alignment horizontal="center"/>
    </xf>
    <xf numFmtId="38" fontId="0" fillId="0" borderId="21" xfId="4" applyNumberFormat="1" applyFont="1" applyBorder="1" applyAlignment="1">
      <alignment horizontal="center"/>
    </xf>
    <xf numFmtId="38" fontId="2" fillId="0" borderId="14" xfId="0" applyNumberFormat="1" applyFont="1" applyBorder="1" applyAlignment="1">
      <alignment horizontal="center"/>
    </xf>
    <xf numFmtId="165" fontId="6" fillId="0" borderId="14" xfId="5" applyNumberFormat="1" applyFont="1" applyFill="1" applyBorder="1" applyAlignment="1">
      <alignment horizontal="center" vertical="center"/>
    </xf>
    <xf numFmtId="38" fontId="6" fillId="0" borderId="14" xfId="4" applyNumberFormat="1" applyFont="1" applyFill="1" applyBorder="1" applyAlignment="1">
      <alignment horizontal="center" vertical="center" wrapText="1"/>
    </xf>
    <xf numFmtId="165" fontId="2" fillId="5" borderId="14" xfId="5" applyNumberFormat="1" applyFont="1" applyFill="1" applyBorder="1" applyAlignment="1">
      <alignment horizontal="center"/>
    </xf>
    <xf numFmtId="40" fontId="6" fillId="8" borderId="16" xfId="4" applyNumberFormat="1" applyFont="1" applyFill="1" applyBorder="1" applyAlignment="1">
      <alignment horizontal="center" vertical="center"/>
    </xf>
    <xf numFmtId="40" fontId="6" fillId="15" borderId="16" xfId="4" applyNumberFormat="1" applyFont="1" applyFill="1" applyBorder="1" applyAlignment="1">
      <alignment horizontal="center" vertical="center"/>
    </xf>
    <xf numFmtId="38" fontId="6" fillId="8" borderId="16" xfId="4" applyNumberFormat="1" applyFont="1" applyFill="1" applyBorder="1" applyAlignment="1">
      <alignment horizontal="center" vertical="center" wrapText="1"/>
    </xf>
    <xf numFmtId="38" fontId="6" fillId="15" borderId="16" xfId="4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6" fillId="6" borderId="17" xfId="0" applyFont="1" applyFill="1" applyBorder="1" applyAlignment="1">
      <alignment horizontal="center"/>
    </xf>
    <xf numFmtId="38" fontId="0" fillId="0" borderId="19" xfId="0" applyNumberFormat="1" applyBorder="1" applyAlignment="1">
      <alignment horizontal="center"/>
    </xf>
    <xf numFmtId="38" fontId="0" fillId="0" borderId="22" xfId="0" applyNumberFormat="1" applyBorder="1" applyAlignment="1">
      <alignment horizontal="center"/>
    </xf>
    <xf numFmtId="38" fontId="2" fillId="5" borderId="19" xfId="0" applyNumberFormat="1" applyFont="1" applyFill="1" applyBorder="1" applyAlignment="1">
      <alignment horizontal="center"/>
    </xf>
    <xf numFmtId="0" fontId="0" fillId="0" borderId="24" xfId="0" applyBorder="1"/>
    <xf numFmtId="0" fontId="4" fillId="0" borderId="25" xfId="0" applyFont="1" applyBorder="1"/>
    <xf numFmtId="0" fontId="2" fillId="0" borderId="23" xfId="0" applyFont="1" applyBorder="1" applyAlignment="1">
      <alignment horizontal="center"/>
    </xf>
    <xf numFmtId="0" fontId="2" fillId="5" borderId="14" xfId="0" applyFont="1" applyFill="1" applyBorder="1"/>
    <xf numFmtId="0" fontId="3" fillId="22" borderId="15" xfId="0" applyFont="1" applyFill="1" applyBorder="1" applyAlignment="1">
      <alignment horizontal="center"/>
    </xf>
    <xf numFmtId="0" fontId="3" fillId="22" borderId="16" xfId="0" applyFont="1" applyFill="1" applyBorder="1" applyAlignment="1">
      <alignment horizontal="center"/>
    </xf>
    <xf numFmtId="165" fontId="16" fillId="6" borderId="16" xfId="0" applyNumberFormat="1" applyFont="1" applyFill="1" applyBorder="1" applyAlignment="1">
      <alignment horizontal="center"/>
    </xf>
    <xf numFmtId="165" fontId="16" fillId="6" borderId="14" xfId="0" applyNumberFormat="1" applyFont="1" applyFill="1" applyBorder="1" applyAlignment="1">
      <alignment horizontal="center"/>
    </xf>
    <xf numFmtId="38" fontId="16" fillId="6" borderId="19" xfId="0" applyNumberFormat="1" applyFont="1" applyFill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164" fontId="2" fillId="3" borderId="0" xfId="2" applyNumberFormat="1" applyAlignment="1">
      <alignment horizontal="right"/>
    </xf>
    <xf numFmtId="0" fontId="2" fillId="3" borderId="0" xfId="2"/>
    <xf numFmtId="49" fontId="2" fillId="3" borderId="0" xfId="2" applyNumberFormat="1" applyAlignment="1">
      <alignment horizontal="left"/>
    </xf>
    <xf numFmtId="164" fontId="2" fillId="0" borderId="0" xfId="3" applyNumberFormat="1" applyFill="1" applyAlignment="1">
      <alignment horizontal="right"/>
    </xf>
    <xf numFmtId="49" fontId="1" fillId="2" borderId="0" xfId="1" applyNumberFormat="1" applyAlignment="1">
      <alignment horizontal="right" vertical="center"/>
    </xf>
    <xf numFmtId="49" fontId="17" fillId="2" borderId="0" xfId="1" applyNumberFormat="1" applyFont="1" applyAlignment="1">
      <alignment horizontal="left" vertical="center"/>
    </xf>
    <xf numFmtId="0" fontId="5" fillId="0" borderId="0" xfId="3" applyNumberFormat="1" applyFont="1" applyFill="1" applyAlignment="1">
      <alignment horizontal="left"/>
    </xf>
    <xf numFmtId="0" fontId="0" fillId="0" borderId="0" xfId="0" applyFont="1"/>
    <xf numFmtId="164" fontId="0" fillId="0" borderId="0" xfId="0" applyNumberFormat="1" applyFill="1" applyAlignment="1">
      <alignment horizontal="right"/>
    </xf>
    <xf numFmtId="43" fontId="2" fillId="5" borderId="7" xfId="4" applyFont="1" applyFill="1" applyBorder="1" applyAlignment="1">
      <alignment horizontal="center" vertical="center" wrapText="1"/>
    </xf>
    <xf numFmtId="49" fontId="2" fillId="3" borderId="1" xfId="2" applyNumberFormat="1" applyBorder="1" applyAlignment="1">
      <alignment horizontal="left"/>
    </xf>
    <xf numFmtId="0" fontId="2" fillId="3" borderId="7" xfId="2" applyBorder="1"/>
    <xf numFmtId="0" fontId="5" fillId="0" borderId="7" xfId="3" applyNumberFormat="1" applyFont="1" applyFill="1" applyBorder="1" applyAlignment="1">
      <alignment horizontal="left"/>
    </xf>
    <xf numFmtId="164" fontId="2" fillId="3" borderId="7" xfId="2" applyNumberFormat="1" applyBorder="1" applyAlignment="1">
      <alignment horizontal="right"/>
    </xf>
    <xf numFmtId="49" fontId="0" fillId="0" borderId="0" xfId="0" applyNumberFormat="1" applyBorder="1" applyAlignment="1">
      <alignment horizontal="left"/>
    </xf>
    <xf numFmtId="0" fontId="5" fillId="0" borderId="0" xfId="3" applyNumberFormat="1" applyFont="1" applyFill="1" applyBorder="1" applyAlignment="1">
      <alignment horizontal="left"/>
    </xf>
    <xf numFmtId="0" fontId="5" fillId="0" borderId="8" xfId="3" applyNumberFormat="1" applyFont="1" applyFill="1" applyBorder="1" applyAlignment="1">
      <alignment horizontal="left"/>
    </xf>
    <xf numFmtId="49" fontId="13" fillId="0" borderId="3" xfId="2" applyNumberFormat="1" applyFont="1" applyFill="1" applyBorder="1" applyAlignment="1">
      <alignment horizontal="left"/>
    </xf>
    <xf numFmtId="43" fontId="11" fillId="6" borderId="0" xfId="4" applyFont="1" applyFill="1" applyBorder="1"/>
    <xf numFmtId="165" fontId="11" fillId="6" borderId="0" xfId="5" applyNumberFormat="1" applyFont="1" applyFill="1" applyBorder="1" applyAlignment="1">
      <alignment horizontal="center"/>
    </xf>
    <xf numFmtId="43" fontId="0" fillId="6" borderId="0" xfId="4" applyFont="1" applyFill="1" applyBorder="1"/>
    <xf numFmtId="40" fontId="0" fillId="6" borderId="0" xfId="4" applyNumberFormat="1" applyFont="1" applyFill="1" applyBorder="1"/>
    <xf numFmtId="40" fontId="0" fillId="6" borderId="4" xfId="4" applyNumberFormat="1" applyFont="1" applyFill="1" applyBorder="1"/>
    <xf numFmtId="43" fontId="10" fillId="6" borderId="0" xfId="4" applyFont="1" applyFill="1" applyBorder="1"/>
    <xf numFmtId="165" fontId="10" fillId="6" borderId="0" xfId="5" applyNumberFormat="1" applyFont="1" applyFill="1" applyBorder="1" applyAlignment="1">
      <alignment horizontal="center"/>
    </xf>
    <xf numFmtId="43" fontId="7" fillId="6" borderId="0" xfId="4" applyFont="1" applyFill="1" applyBorder="1"/>
    <xf numFmtId="40" fontId="7" fillId="6" borderId="0" xfId="4" applyNumberFormat="1" applyFont="1" applyFill="1" applyBorder="1"/>
    <xf numFmtId="40" fontId="7" fillId="6" borderId="4" xfId="4" applyNumberFormat="1" applyFont="1" applyFill="1" applyBorder="1"/>
    <xf numFmtId="165" fontId="0" fillId="6" borderId="0" xfId="5" applyNumberFormat="1" applyFont="1" applyFill="1" applyBorder="1" applyAlignment="1">
      <alignment horizontal="center"/>
    </xf>
    <xf numFmtId="49" fontId="12" fillId="0" borderId="3" xfId="0" applyNumberFormat="1" applyFont="1" applyBorder="1" applyAlignment="1">
      <alignment horizontal="left"/>
    </xf>
    <xf numFmtId="49" fontId="0" fillId="6" borderId="0" xfId="0" applyNumberFormat="1" applyFill="1" applyAlignment="1">
      <alignment horizontal="left"/>
    </xf>
    <xf numFmtId="49" fontId="5" fillId="6" borderId="0" xfId="0" applyNumberFormat="1" applyFont="1" applyFill="1" applyAlignment="1">
      <alignment horizontal="left"/>
    </xf>
    <xf numFmtId="49" fontId="11" fillId="6" borderId="0" xfId="0" applyNumberFormat="1" applyFont="1" applyFill="1" applyAlignment="1">
      <alignment horizontal="left"/>
    </xf>
    <xf numFmtId="0" fontId="0" fillId="6" borderId="0" xfId="0" applyFill="1" applyAlignment="1">
      <alignment horizontal="left"/>
    </xf>
    <xf numFmtId="0" fontId="5" fillId="6" borderId="0" xfId="2" applyFont="1" applyFill="1"/>
    <xf numFmtId="165" fontId="2" fillId="6" borderId="0" xfId="5" applyNumberFormat="1" applyFont="1" applyFill="1" applyBorder="1" applyAlignment="1">
      <alignment horizontal="center"/>
    </xf>
    <xf numFmtId="40" fontId="5" fillId="6" borderId="0" xfId="4" applyNumberFormat="1" applyFont="1" applyFill="1" applyBorder="1"/>
    <xf numFmtId="165" fontId="5" fillId="6" borderId="0" xfId="5" applyNumberFormat="1" applyFont="1" applyFill="1" applyBorder="1" applyAlignment="1">
      <alignment horizontal="center"/>
    </xf>
    <xf numFmtId="40" fontId="5" fillId="6" borderId="4" xfId="4" applyNumberFormat="1" applyFont="1" applyFill="1" applyBorder="1"/>
    <xf numFmtId="0" fontId="11" fillId="6" borderId="0" xfId="2" applyFont="1" applyFill="1"/>
    <xf numFmtId="49" fontId="9" fillId="0" borderId="3" xfId="0" applyNumberFormat="1" applyFont="1" applyFill="1" applyBorder="1" applyAlignment="1">
      <alignment horizontal="left"/>
    </xf>
    <xf numFmtId="49" fontId="18" fillId="0" borderId="3" xfId="0" applyNumberFormat="1" applyFont="1" applyBorder="1" applyAlignment="1">
      <alignment horizontal="left"/>
    </xf>
    <xf numFmtId="49" fontId="5" fillId="0" borderId="0" xfId="6">
      <alignment horizontal="left"/>
    </xf>
    <xf numFmtId="49" fontId="1" fillId="23" borderId="0" xfId="7">
      <alignment horizontal="left"/>
    </xf>
    <xf numFmtId="0" fontId="0" fillId="0" borderId="8" xfId="0" applyBorder="1" applyAlignment="1">
      <alignment horizontal="left"/>
    </xf>
    <xf numFmtId="0" fontId="5" fillId="0" borderId="0" xfId="0" applyFont="1" applyFill="1"/>
    <xf numFmtId="0" fontId="0" fillId="0" borderId="0" xfId="0" applyNumberFormat="1" applyAlignment="1">
      <alignment horizontal="left"/>
    </xf>
    <xf numFmtId="0" fontId="0" fillId="0" borderId="8" xfId="0" applyNumberFormat="1" applyBorder="1" applyAlignment="1">
      <alignment horizontal="left"/>
    </xf>
    <xf numFmtId="49" fontId="2" fillId="5" borderId="7" xfId="1" applyNumberFormat="1" applyFont="1" applyFill="1" applyBorder="1" applyAlignment="1">
      <alignment horizontal="center" vertical="center"/>
    </xf>
    <xf numFmtId="164" fontId="0" fillId="0" borderId="0" xfId="0" applyNumberFormat="1" applyFont="1" applyBorder="1" applyAlignment="1">
      <alignment horizontal="right"/>
    </xf>
    <xf numFmtId="164" fontId="0" fillId="0" borderId="8" xfId="0" applyNumberFormat="1" applyFont="1" applyBorder="1" applyAlignment="1">
      <alignment horizontal="right"/>
    </xf>
    <xf numFmtId="0" fontId="19" fillId="0" borderId="0" xfId="0" applyFont="1"/>
    <xf numFmtId="4" fontId="19" fillId="0" borderId="0" xfId="0" applyNumberFormat="1" applyFont="1"/>
    <xf numFmtId="0" fontId="0" fillId="0" borderId="0" xfId="0" applyBorder="1" applyAlignment="1">
      <alignment vertical="center"/>
    </xf>
  </cellXfs>
  <cellStyles count="8">
    <cellStyle name="Comma" xfId="4" builtinId="3"/>
    <cellStyle name="Fusion Header Dark" xfId="7" xr:uid="{159C8853-9AD5-4791-9133-C8D7D1DCF09F}"/>
    <cellStyle name="Header" xfId="1" xr:uid="{00000000-0005-0000-0000-000000000000}"/>
    <cellStyle name="Normal" xfId="0" builtinId="0"/>
    <cellStyle name="Parent" xfId="2" xr:uid="{00000000-0005-0000-0000-000002000000}"/>
    <cellStyle name="Percent" xfId="5" builtinId="5"/>
    <cellStyle name="Report Detail" xfId="6" xr:uid="{E196118B-B2D4-4956-A7F2-D055A318AFD2}"/>
    <cellStyle name="Total" xfId="3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gsharkey\AppData\Local\Microsoft\Windows\INetCache\Content.Outlook\3R0AS06Q\Planning%20Document%202025-%201.13.25.xlsx" TargetMode="External"/><Relationship Id="rId1" Type="http://schemas.openxmlformats.org/officeDocument/2006/relationships/externalLinkPath" Target="/Users/gsharkey/AppData/Local/Microsoft/Windows/INetCache/Content.Outlook/3R0AS06Q/Planning%20Document%202025-%201.13.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24 Finish"/>
      <sheetName val="Sheet1"/>
    </sheetNames>
    <sheetDataSet>
      <sheetData sheetId="0">
        <row r="3">
          <cell r="H3">
            <v>2780450</v>
          </cell>
          <cell r="I3">
            <v>4.2774056649858672E-2</v>
          </cell>
        </row>
        <row r="4">
          <cell r="I4">
            <v>1.4999999999999999E-2</v>
          </cell>
        </row>
        <row r="5">
          <cell r="I5">
            <v>7.062533040942176E-2</v>
          </cell>
        </row>
        <row r="6">
          <cell r="I6">
            <v>0.27759968597690632</v>
          </cell>
        </row>
        <row r="7">
          <cell r="I7">
            <v>-0.10432939939057395</v>
          </cell>
        </row>
        <row r="8">
          <cell r="I8">
            <v>0.2214458498309626</v>
          </cell>
        </row>
        <row r="9">
          <cell r="I9">
            <v>-0.12786381376343292</v>
          </cell>
        </row>
        <row r="10">
          <cell r="I10">
            <v>6.0467414503553973E-2</v>
          </cell>
        </row>
        <row r="11">
          <cell r="I11">
            <v>7.834295515379619E-3</v>
          </cell>
        </row>
        <row r="12">
          <cell r="I12">
            <v>0.29244723691882424</v>
          </cell>
        </row>
        <row r="13">
          <cell r="I13">
            <v>-0.36656608328304163</v>
          </cell>
        </row>
        <row r="14">
          <cell r="I14">
            <v>0.39051180182285572</v>
          </cell>
        </row>
        <row r="15">
          <cell r="I15">
            <v>-0.11744266851980545</v>
          </cell>
        </row>
        <row r="16">
          <cell r="I16">
            <v>-0.67123996893606008</v>
          </cell>
        </row>
        <row r="17">
          <cell r="I17">
            <v>-0.17677514792899407</v>
          </cell>
        </row>
        <row r="18">
          <cell r="I18" t="e">
            <v>#DIV/0!</v>
          </cell>
        </row>
        <row r="19">
          <cell r="I19" t="e">
            <v>#DIV/0!</v>
          </cell>
        </row>
        <row r="20">
          <cell r="I20">
            <v>-2.1664252593859956E-2</v>
          </cell>
        </row>
        <row r="22">
          <cell r="I22">
            <v>3.2166428089160926E-2</v>
          </cell>
        </row>
        <row r="30">
          <cell r="I30">
            <v>-1.175039419234003E-2</v>
          </cell>
        </row>
        <row r="34">
          <cell r="I34">
            <v>-0.246057854540495</v>
          </cell>
        </row>
        <row r="35">
          <cell r="I35">
            <v>-0.28643754259565768</v>
          </cell>
        </row>
        <row r="39">
          <cell r="I39">
            <v>-8.6812795773700269E-2</v>
          </cell>
        </row>
        <row r="40">
          <cell r="I40">
            <v>-0.87298732242088228</v>
          </cell>
        </row>
        <row r="46">
          <cell r="I46">
            <v>5.5817947617002872E-3</v>
          </cell>
        </row>
        <row r="48">
          <cell r="I48">
            <v>-0.34385382059800662</v>
          </cell>
        </row>
        <row r="55">
          <cell r="I55" t="e">
            <v>#DIV/0!</v>
          </cell>
        </row>
        <row r="56">
          <cell r="H56">
            <v>605298</v>
          </cell>
          <cell r="I56">
            <v>-2.306327436841471E-2</v>
          </cell>
        </row>
        <row r="57">
          <cell r="I57">
            <v>-1.1835005222026518E-2</v>
          </cell>
        </row>
        <row r="58">
          <cell r="I58">
            <v>-6.4388429160804117E-2</v>
          </cell>
        </row>
        <row r="59">
          <cell r="I59">
            <v>5.2191507432263862E-2</v>
          </cell>
        </row>
        <row r="60">
          <cell r="I60">
            <v>-0.10533266925516171</v>
          </cell>
        </row>
        <row r="61">
          <cell r="I61">
            <v>-6.0952706163564963E-2</v>
          </cell>
        </row>
        <row r="62">
          <cell r="I62">
            <v>-8.6884878117886144E-2</v>
          </cell>
        </row>
        <row r="63">
          <cell r="I63">
            <v>-8.0925315612957349E-2</v>
          </cell>
        </row>
        <row r="64">
          <cell r="I64">
            <v>-0.35636856368563685</v>
          </cell>
        </row>
        <row r="65">
          <cell r="I65">
            <v>9.9312643222423391E-2</v>
          </cell>
        </row>
        <row r="66">
          <cell r="I66">
            <v>0.21193336327334089</v>
          </cell>
        </row>
        <row r="67">
          <cell r="I67">
            <v>-0.15189873417721522</v>
          </cell>
        </row>
        <row r="68">
          <cell r="I68">
            <v>-0.17464098048919452</v>
          </cell>
        </row>
        <row r="69">
          <cell r="H69">
            <v>-1</v>
          </cell>
          <cell r="I69">
            <v>-1.0285714285714285</v>
          </cell>
        </row>
        <row r="70">
          <cell r="I70" t="e">
            <v>#DIV/0!</v>
          </cell>
        </row>
        <row r="71">
          <cell r="H71">
            <v>397802.21716900001</v>
          </cell>
          <cell r="I71">
            <v>-3.6639345511060628E-2</v>
          </cell>
        </row>
        <row r="72">
          <cell r="I72">
            <v>-7.5514220677593391E-2</v>
          </cell>
        </row>
        <row r="73">
          <cell r="I73">
            <v>-2.1599993907464032E-3</v>
          </cell>
        </row>
        <row r="74">
          <cell r="I74">
            <v>-1.1572005827324983E-2</v>
          </cell>
        </row>
        <row r="75">
          <cell r="I75">
            <v>-0.24473717867813005</v>
          </cell>
        </row>
        <row r="76">
          <cell r="I76">
            <v>-9.2048936496421874E-2</v>
          </cell>
        </row>
        <row r="77">
          <cell r="I77">
            <v>-9.673520262818236E-2</v>
          </cell>
        </row>
        <row r="78">
          <cell r="I78" t="e">
            <v>#DIV/0!</v>
          </cell>
        </row>
        <row r="79">
          <cell r="H79">
            <v>0</v>
          </cell>
          <cell r="I79">
            <v>-1</v>
          </cell>
        </row>
        <row r="80">
          <cell r="H80">
            <v>6.8888889999999998</v>
          </cell>
          <cell r="I80">
            <v>-0.8</v>
          </cell>
        </row>
        <row r="81">
          <cell r="H81">
            <v>0</v>
          </cell>
          <cell r="I81">
            <v>-1</v>
          </cell>
        </row>
        <row r="82">
          <cell r="H82">
            <v>-12.671719999999999</v>
          </cell>
          <cell r="I82">
            <v>-1.0328282901554404</v>
          </cell>
        </row>
        <row r="83">
          <cell r="H83">
            <v>427967.06956600002</v>
          </cell>
          <cell r="I83">
            <v>-8.7677871833191423E-2</v>
          </cell>
        </row>
        <row r="84">
          <cell r="I84">
            <v>-9.7602642630736591E-2</v>
          </cell>
        </row>
        <row r="85">
          <cell r="I85">
            <v>-0.16286633011549689</v>
          </cell>
        </row>
        <row r="86">
          <cell r="I86">
            <v>0.1796020005346477</v>
          </cell>
        </row>
        <row r="87">
          <cell r="I87">
            <v>8.6801049025754695E-2</v>
          </cell>
        </row>
        <row r="88">
          <cell r="I88">
            <v>0.10359062316075174</v>
          </cell>
        </row>
        <row r="89">
          <cell r="I89">
            <v>-0.95065312046444117</v>
          </cell>
        </row>
        <row r="90">
          <cell r="H90">
            <v>-3.930434</v>
          </cell>
          <cell r="I90">
            <v>-1.0347826017699115</v>
          </cell>
        </row>
        <row r="91">
          <cell r="H91">
            <v>290453</v>
          </cell>
          <cell r="I91">
            <v>-7.08934305485176E-3</v>
          </cell>
        </row>
        <row r="92">
          <cell r="I92">
            <v>-6.1775434719794076E-3</v>
          </cell>
        </row>
        <row r="93">
          <cell r="I93">
            <v>-2.2392981532476486E-2</v>
          </cell>
        </row>
        <row r="94">
          <cell r="I94">
            <v>-0.1065347201862078</v>
          </cell>
        </row>
        <row r="95">
          <cell r="I95">
            <v>-5.088595943880081E-2</v>
          </cell>
        </row>
        <row r="96">
          <cell r="I96">
            <v>-5.2924355628669484E-2</v>
          </cell>
        </row>
        <row r="97">
          <cell r="I97">
            <v>2.1404762140742495E-2</v>
          </cell>
        </row>
        <row r="98">
          <cell r="I98">
            <v>6.1977516415629985E-3</v>
          </cell>
        </row>
        <row r="99">
          <cell r="I99">
            <v>-0.27378138039484601</v>
          </cell>
        </row>
        <row r="100">
          <cell r="I100">
            <v>1.3199999999999998</v>
          </cell>
        </row>
        <row r="101">
          <cell r="I101">
            <v>-0.14534883720930236</v>
          </cell>
        </row>
        <row r="102">
          <cell r="I102">
            <v>-0.11172741679873222</v>
          </cell>
        </row>
        <row r="103">
          <cell r="I103">
            <v>3.3571385664930933</v>
          </cell>
        </row>
        <row r="104">
          <cell r="I104" t="e">
            <v>#DIV/0!</v>
          </cell>
        </row>
        <row r="105">
          <cell r="H105">
            <v>236907.087336</v>
          </cell>
          <cell r="I105">
            <v>-5.3705710220438463E-2</v>
          </cell>
        </row>
        <row r="106">
          <cell r="I106">
            <v>-4.4063514967104034E-2</v>
          </cell>
        </row>
        <row r="107">
          <cell r="I107">
            <v>1.7656522672968578E-2</v>
          </cell>
        </row>
        <row r="108">
          <cell r="I108">
            <v>-0.12988250238170851</v>
          </cell>
        </row>
        <row r="109">
          <cell r="I109">
            <v>-1.0172816833049605</v>
          </cell>
        </row>
        <row r="110">
          <cell r="I110">
            <v>-9.1750009307759117E-2</v>
          </cell>
        </row>
        <row r="111">
          <cell r="I111">
            <v>-5.4031587697423111E-2</v>
          </cell>
        </row>
        <row r="112">
          <cell r="I112">
            <v>-0.16797752808988764</v>
          </cell>
        </row>
        <row r="113">
          <cell r="I113">
            <v>-0.12863070539419086</v>
          </cell>
        </row>
        <row r="114">
          <cell r="H114">
            <v>0</v>
          </cell>
          <cell r="I114" t="e">
            <v>#DIV/0!</v>
          </cell>
        </row>
        <row r="115">
          <cell r="H115">
            <v>290</v>
          </cell>
          <cell r="I115" t="e">
            <v>#DIV/0!</v>
          </cell>
        </row>
        <row r="116">
          <cell r="H116">
            <v>-4.9126640000000004</v>
          </cell>
          <cell r="I116">
            <v>-1.0218340622222222</v>
          </cell>
        </row>
        <row r="117">
          <cell r="I117">
            <v>-1.2583559614891215E-2</v>
          </cell>
        </row>
        <row r="118">
          <cell r="H118">
            <v>64347</v>
          </cell>
          <cell r="I118">
            <v>5.3026963844667874E-2</v>
          </cell>
        </row>
        <row r="119">
          <cell r="I119">
            <v>-1.7226713096160751E-2</v>
          </cell>
        </row>
        <row r="120">
          <cell r="I120">
            <v>-0.30084562763138778</v>
          </cell>
        </row>
        <row r="121">
          <cell r="I121">
            <v>3.5299286176021152</v>
          </cell>
        </row>
        <row r="122">
          <cell r="H122">
            <v>75672</v>
          </cell>
          <cell r="I122">
            <v>0.15418588349029227</v>
          </cell>
        </row>
        <row r="123">
          <cell r="I123">
            <v>0.15418588349029227</v>
          </cell>
        </row>
        <row r="124">
          <cell r="H124">
            <v>46122.430147999999</v>
          </cell>
          <cell r="I124">
            <v>8.363343779928778E-2</v>
          </cell>
        </row>
        <row r="125">
          <cell r="H125">
            <v>46109</v>
          </cell>
          <cell r="I125">
            <v>8.4909586920884017E-2</v>
          </cell>
        </row>
        <row r="126">
          <cell r="H126">
            <v>13.430147999999999</v>
          </cell>
          <cell r="I126">
            <v>-0.78492645742947997</v>
          </cell>
        </row>
        <row r="127">
          <cell r="H127">
            <v>37337</v>
          </cell>
          <cell r="I127">
            <v>0.17889409750706498</v>
          </cell>
        </row>
        <row r="128">
          <cell r="H128">
            <v>36796</v>
          </cell>
          <cell r="I128">
            <v>0.19369835798934298</v>
          </cell>
        </row>
        <row r="129">
          <cell r="H129">
            <v>541</v>
          </cell>
          <cell r="I129">
            <v>-0.36052009456264777</v>
          </cell>
        </row>
        <row r="130">
          <cell r="H130">
            <v>37984</v>
          </cell>
          <cell r="I130">
            <v>-3.7332849721499972E-2</v>
          </cell>
        </row>
        <row r="131">
          <cell r="H131">
            <v>16458</v>
          </cell>
          <cell r="I131">
            <v>1.705364734602588E-3</v>
          </cell>
        </row>
        <row r="132">
          <cell r="H132">
            <v>11700</v>
          </cell>
          <cell r="I132">
            <v>-0.15554101090829398</v>
          </cell>
        </row>
        <row r="133">
          <cell r="H133">
            <v>6709</v>
          </cell>
          <cell r="I133">
            <v>0.12128142575039691</v>
          </cell>
        </row>
        <row r="134">
          <cell r="H134">
            <v>3117</v>
          </cell>
          <cell r="I134">
            <v>-2.2793833871101898E-2</v>
          </cell>
        </row>
        <row r="135">
          <cell r="H135">
            <v>0</v>
          </cell>
          <cell r="I135">
            <v>-1</v>
          </cell>
        </row>
        <row r="136">
          <cell r="H136">
            <v>28809</v>
          </cell>
          <cell r="I136">
            <v>-0.18440183143121658</v>
          </cell>
        </row>
        <row r="137">
          <cell r="H137">
            <v>12575</v>
          </cell>
          <cell r="I137">
            <v>1.7312515168675713E-2</v>
          </cell>
        </row>
        <row r="138">
          <cell r="H138">
            <v>8669</v>
          </cell>
          <cell r="I138">
            <v>5.4261764331966278E-2</v>
          </cell>
        </row>
        <row r="139">
          <cell r="H139">
            <v>3949</v>
          </cell>
          <cell r="I139">
            <v>-0.60898570142487451</v>
          </cell>
        </row>
        <row r="140">
          <cell r="H140">
            <v>634</v>
          </cell>
          <cell r="I140">
            <v>-0.31227912092124188</v>
          </cell>
        </row>
        <row r="141">
          <cell r="H141">
            <v>434</v>
          </cell>
          <cell r="I141">
            <v>-0.2332155477031802</v>
          </cell>
        </row>
        <row r="142">
          <cell r="H142">
            <v>416</v>
          </cell>
          <cell r="I142">
            <v>1.7114914425427896E-2</v>
          </cell>
        </row>
        <row r="143">
          <cell r="H143">
            <v>0</v>
          </cell>
          <cell r="I143">
            <v>-1</v>
          </cell>
        </row>
        <row r="144">
          <cell r="H144">
            <v>2132</v>
          </cell>
          <cell r="I144">
            <v>-0.21270914498807691</v>
          </cell>
        </row>
        <row r="145">
          <cell r="H145">
            <v>31671</v>
          </cell>
          <cell r="I145">
            <v>-8.8085630701446704E-2</v>
          </cell>
        </row>
        <row r="146">
          <cell r="H146">
            <v>16194</v>
          </cell>
          <cell r="I146">
            <v>-0.18249045108524176</v>
          </cell>
        </row>
        <row r="147">
          <cell r="H147">
            <v>11857</v>
          </cell>
          <cell r="I147">
            <v>-7.8874198507227877E-2</v>
          </cell>
        </row>
        <row r="148">
          <cell r="H148">
            <v>1884</v>
          </cell>
          <cell r="I148">
            <v>0.15511955855303494</v>
          </cell>
        </row>
        <row r="149">
          <cell r="H149">
            <v>341</v>
          </cell>
          <cell r="I149">
            <v>-0.18421052631578949</v>
          </cell>
        </row>
        <row r="150">
          <cell r="H150">
            <v>1395</v>
          </cell>
          <cell r="I150" t="e">
            <v>#DIV/0!</v>
          </cell>
        </row>
        <row r="151">
          <cell r="H151">
            <v>23186</v>
          </cell>
          <cell r="I151">
            <v>-0.13838855267413086</v>
          </cell>
        </row>
        <row r="152">
          <cell r="H152">
            <v>16591</v>
          </cell>
          <cell r="I152">
            <v>-5.5341006498331069E-2</v>
          </cell>
        </row>
        <row r="153">
          <cell r="H153">
            <v>6595</v>
          </cell>
          <cell r="I153">
            <v>-0.29443283685895028</v>
          </cell>
        </row>
        <row r="154">
          <cell r="H154">
            <v>32579</v>
          </cell>
          <cell r="I154">
            <v>-8.5646838196483888E-2</v>
          </cell>
        </row>
        <row r="155">
          <cell r="H155">
            <v>32579</v>
          </cell>
          <cell r="I155">
            <v>-8.5646838196483888E-2</v>
          </cell>
        </row>
        <row r="156">
          <cell r="H156">
            <v>29427</v>
          </cell>
          <cell r="I156">
            <v>8.4652658361157096E-2</v>
          </cell>
        </row>
        <row r="157">
          <cell r="H157">
            <v>29427</v>
          </cell>
          <cell r="I157">
            <v>8.4652658361157096E-2</v>
          </cell>
        </row>
        <row r="158">
          <cell r="H158">
            <v>22998.85940485332</v>
          </cell>
          <cell r="I158">
            <v>-6.1617628836498683E-2</v>
          </cell>
        </row>
        <row r="159">
          <cell r="H159">
            <v>12368.174875095576</v>
          </cell>
          <cell r="I159">
            <v>-5.7345256578212656E-2</v>
          </cell>
        </row>
        <row r="160">
          <cell r="H160">
            <v>4109.5926659577417</v>
          </cell>
          <cell r="I160">
            <v>0.18032199557370121</v>
          </cell>
        </row>
        <row r="161">
          <cell r="H161">
            <v>1994.4095447999998</v>
          </cell>
          <cell r="I161">
            <v>-7.7345695410806825E-2</v>
          </cell>
        </row>
        <row r="162">
          <cell r="H162">
            <v>1270.411247</v>
          </cell>
          <cell r="I162">
            <v>-2.816917582417533E-3</v>
          </cell>
        </row>
        <row r="163">
          <cell r="H163">
            <v>1440.290475</v>
          </cell>
          <cell r="I163">
            <v>0.10451723542944791</v>
          </cell>
        </row>
        <row r="164">
          <cell r="H164">
            <v>611.83950000000004</v>
          </cell>
          <cell r="I164">
            <v>-0.22528426357374387</v>
          </cell>
        </row>
        <row r="165">
          <cell r="H165">
            <v>0</v>
          </cell>
          <cell r="I165">
            <v>-1</v>
          </cell>
        </row>
        <row r="166">
          <cell r="H166">
            <v>262.01041500000002</v>
          </cell>
          <cell r="I166">
            <v>-0.41775463333333329</v>
          </cell>
        </row>
        <row r="167">
          <cell r="H167">
            <v>271.69328000000002</v>
          </cell>
          <cell r="I167">
            <v>-0.50511242258652089</v>
          </cell>
        </row>
        <row r="168">
          <cell r="H168">
            <v>272.44633099999999</v>
          </cell>
          <cell r="I168">
            <v>-0.43773973928174081</v>
          </cell>
        </row>
        <row r="169">
          <cell r="H169">
            <v>183.82549399999999</v>
          </cell>
          <cell r="I169">
            <v>-0.4463087530120482</v>
          </cell>
        </row>
        <row r="170">
          <cell r="H170">
            <v>8.7211320000000008</v>
          </cell>
          <cell r="I170">
            <v>-0.8732393604651163</v>
          </cell>
        </row>
        <row r="171">
          <cell r="H171">
            <v>0</v>
          </cell>
          <cell r="I171">
            <v>-1</v>
          </cell>
        </row>
        <row r="172">
          <cell r="H172">
            <v>20</v>
          </cell>
          <cell r="I172">
            <v>-0.56521739130434789</v>
          </cell>
        </row>
        <row r="173">
          <cell r="H173">
            <v>0</v>
          </cell>
          <cell r="I173">
            <v>-1</v>
          </cell>
        </row>
        <row r="174">
          <cell r="H174">
            <v>185.444445</v>
          </cell>
          <cell r="I174" t="e">
            <v>#DIV/0!</v>
          </cell>
        </row>
        <row r="175">
          <cell r="H175">
            <v>22925</v>
          </cell>
          <cell r="I175">
            <v>-0.14255404253174031</v>
          </cell>
        </row>
        <row r="176">
          <cell r="H176">
            <v>7715</v>
          </cell>
          <cell r="I176">
            <v>-4.4647638132593759E-2</v>
          </cell>
        </row>
        <row r="177">
          <cell r="H177">
            <v>3060</v>
          </cell>
          <cell r="I177">
            <v>-0.14710925237539763</v>
          </cell>
        </row>
        <row r="178">
          <cell r="H178">
            <v>2808</v>
          </cell>
          <cell r="I178">
            <v>-0.52049180327868849</v>
          </cell>
        </row>
        <row r="179">
          <cell r="H179">
            <v>1979</v>
          </cell>
          <cell r="I179">
            <v>7.8065900528793364E-2</v>
          </cell>
        </row>
        <row r="180">
          <cell r="H180">
            <v>1730</v>
          </cell>
          <cell r="I180">
            <v>0.28624535315985122</v>
          </cell>
        </row>
        <row r="181">
          <cell r="H181">
            <v>782</v>
          </cell>
          <cell r="I181">
            <v>-0.34024113353012231</v>
          </cell>
        </row>
        <row r="182">
          <cell r="H182">
            <v>1460</v>
          </cell>
          <cell r="I182">
            <v>0.18150924628338339</v>
          </cell>
        </row>
        <row r="183">
          <cell r="H183">
            <v>1515</v>
          </cell>
          <cell r="I183">
            <v>0.28019498740269544</v>
          </cell>
        </row>
        <row r="184">
          <cell r="H184">
            <v>945</v>
          </cell>
          <cell r="I184">
            <v>-0.26658103582456882</v>
          </cell>
        </row>
        <row r="185">
          <cell r="H185">
            <v>-6</v>
          </cell>
          <cell r="I185">
            <v>-1.0054754151487142</v>
          </cell>
        </row>
        <row r="186">
          <cell r="H186">
            <v>152</v>
          </cell>
          <cell r="I186">
            <v>2.1909023678762791</v>
          </cell>
        </row>
        <row r="187">
          <cell r="H187">
            <v>86</v>
          </cell>
          <cell r="I187" t="e">
            <v>#DIV/0!</v>
          </cell>
        </row>
        <row r="188">
          <cell r="H188">
            <v>632</v>
          </cell>
          <cell r="I188" t="e">
            <v>#DIV/0!</v>
          </cell>
        </row>
        <row r="189">
          <cell r="H189">
            <v>67</v>
          </cell>
          <cell r="I189" t="e">
            <v>#DIV/0!</v>
          </cell>
        </row>
        <row r="190">
          <cell r="H190">
            <v>22918</v>
          </cell>
          <cell r="I190">
            <v>3.2181316411463712E-3</v>
          </cell>
        </row>
        <row r="191">
          <cell r="H191">
            <v>22918</v>
          </cell>
          <cell r="I191">
            <v>3.2181316411463712E-3</v>
          </cell>
        </row>
        <row r="192">
          <cell r="H192">
            <v>20374</v>
          </cell>
          <cell r="I192">
            <v>-3.5913542094554884E-2</v>
          </cell>
        </row>
        <row r="193">
          <cell r="H193">
            <v>20374</v>
          </cell>
          <cell r="I193">
            <v>-3.5913542094554884E-2</v>
          </cell>
        </row>
        <row r="194">
          <cell r="H194">
            <v>18881</v>
          </cell>
          <cell r="I194">
            <v>-6.2842015991774414E-2</v>
          </cell>
        </row>
        <row r="195">
          <cell r="H195">
            <v>16115</v>
          </cell>
          <cell r="I195">
            <v>-8.1613753455353155E-2</v>
          </cell>
        </row>
        <row r="196">
          <cell r="H196">
            <v>2065</v>
          </cell>
          <cell r="I196">
            <v>1.8746916625554944E-2</v>
          </cell>
        </row>
        <row r="197">
          <cell r="H197">
            <v>701</v>
          </cell>
          <cell r="I197">
            <v>0.22338568935427583</v>
          </cell>
        </row>
        <row r="198">
          <cell r="H198">
            <v>17213</v>
          </cell>
          <cell r="I198">
            <v>0.29203424695083835</v>
          </cell>
        </row>
        <row r="199">
          <cell r="H199">
            <v>17213</v>
          </cell>
          <cell r="I199">
            <v>0.29203424695083835</v>
          </cell>
        </row>
        <row r="200">
          <cell r="H200">
            <v>18594</v>
          </cell>
          <cell r="I200">
            <v>0.64330534688466634</v>
          </cell>
        </row>
        <row r="201">
          <cell r="H201">
            <v>18594</v>
          </cell>
          <cell r="I201">
            <v>0.64330534688466634</v>
          </cell>
        </row>
        <row r="202">
          <cell r="H202">
            <v>16372.777711999999</v>
          </cell>
          <cell r="I202">
            <v>-3.6979450832590577E-2</v>
          </cell>
        </row>
        <row r="203">
          <cell r="H203">
            <v>13020</v>
          </cell>
          <cell r="I203">
            <v>4.2477067898720522E-2</v>
          </cell>
        </row>
        <row r="204">
          <cell r="H204">
            <v>1549</v>
          </cell>
          <cell r="I204">
            <v>-8.6135693215339204E-2</v>
          </cell>
        </row>
        <row r="205">
          <cell r="H205">
            <v>1640</v>
          </cell>
          <cell r="I205">
            <v>-0.23256902199344875</v>
          </cell>
        </row>
        <row r="206">
          <cell r="H206">
            <v>112</v>
          </cell>
          <cell r="I206">
            <v>-0.80281685211266374</v>
          </cell>
        </row>
        <row r="207">
          <cell r="H207">
            <v>0</v>
          </cell>
          <cell r="I207">
            <v>-1</v>
          </cell>
        </row>
        <row r="208">
          <cell r="H208">
            <v>51.777712000000001</v>
          </cell>
          <cell r="I208" t="e">
            <v>#DIV/0!</v>
          </cell>
        </row>
        <row r="209">
          <cell r="H209">
            <v>16969</v>
          </cell>
          <cell r="I209">
            <v>2.9443732496484687E-2</v>
          </cell>
        </row>
        <row r="210">
          <cell r="H210">
            <v>8580</v>
          </cell>
          <cell r="I210">
            <v>0.1498466460919361</v>
          </cell>
        </row>
        <row r="211">
          <cell r="H211">
            <v>4598</v>
          </cell>
          <cell r="I211">
            <v>-0.16876018367527656</v>
          </cell>
        </row>
        <row r="212">
          <cell r="H212">
            <v>3724</v>
          </cell>
          <cell r="I212">
            <v>6.6957427349454868E-2</v>
          </cell>
        </row>
        <row r="213">
          <cell r="H213">
            <v>67</v>
          </cell>
          <cell r="I213" t="e">
            <v>#DIV/0!</v>
          </cell>
        </row>
        <row r="214">
          <cell r="H214">
            <v>13978</v>
          </cell>
          <cell r="I214">
            <v>0.15824127991868098</v>
          </cell>
        </row>
        <row r="215">
          <cell r="H215">
            <v>13978</v>
          </cell>
          <cell r="I215">
            <v>0.15824127991868098</v>
          </cell>
        </row>
        <row r="216">
          <cell r="H216">
            <v>16645</v>
          </cell>
          <cell r="I216">
            <v>0.12325112332390353</v>
          </cell>
        </row>
        <row r="217">
          <cell r="H217">
            <v>16645</v>
          </cell>
          <cell r="I217">
            <v>0.12325112332390353</v>
          </cell>
        </row>
        <row r="218">
          <cell r="H218">
            <v>5634</v>
          </cell>
          <cell r="I218">
            <v>-9.9646426117610654E-2</v>
          </cell>
        </row>
        <row r="219">
          <cell r="H219">
            <v>5634</v>
          </cell>
          <cell r="I219">
            <v>-9.9646426117610654E-2</v>
          </cell>
        </row>
        <row r="220">
          <cell r="H220">
            <v>7484</v>
          </cell>
          <cell r="I220">
            <v>-0.17718570825069158</v>
          </cell>
        </row>
        <row r="221">
          <cell r="H221">
            <v>7484</v>
          </cell>
          <cell r="I221">
            <v>-0.17718570825069158</v>
          </cell>
        </row>
        <row r="222">
          <cell r="H222">
            <v>7463</v>
          </cell>
          <cell r="I222">
            <v>-0.18748634089335525</v>
          </cell>
        </row>
        <row r="223">
          <cell r="H223">
            <v>7463</v>
          </cell>
          <cell r="I223">
            <v>-0.18748634089335525</v>
          </cell>
        </row>
        <row r="224">
          <cell r="H224">
            <v>9298</v>
          </cell>
          <cell r="I224">
            <v>-7.2255096905324834E-2</v>
          </cell>
        </row>
        <row r="225">
          <cell r="H225">
            <v>8462</v>
          </cell>
          <cell r="I225">
            <v>-6.021130324338031E-2</v>
          </cell>
        </row>
        <row r="226">
          <cell r="H226">
            <v>836</v>
          </cell>
          <cell r="I226">
            <v>-0.17878178094493002</v>
          </cell>
        </row>
        <row r="227">
          <cell r="H227">
            <v>4536</v>
          </cell>
          <cell r="I227">
            <v>-0.29919263314262345</v>
          </cell>
        </row>
        <row r="228">
          <cell r="H228">
            <v>4442</v>
          </cell>
          <cell r="I228">
            <v>-0.28441481325504026</v>
          </cell>
        </row>
        <row r="229">
          <cell r="H229">
            <v>94</v>
          </cell>
          <cell r="I229">
            <v>-0.6453201973417293</v>
          </cell>
        </row>
        <row r="230">
          <cell r="H230">
            <v>6407</v>
          </cell>
          <cell r="I230">
            <v>4.0623216669928075E-2</v>
          </cell>
        </row>
        <row r="231">
          <cell r="H231">
            <v>6314</v>
          </cell>
          <cell r="I231">
            <v>3.4253305153655544E-2</v>
          </cell>
        </row>
        <row r="232">
          <cell r="H232">
            <v>93</v>
          </cell>
          <cell r="I232">
            <v>0.78846153846153855</v>
          </cell>
        </row>
        <row r="233">
          <cell r="H233">
            <v>5035</v>
          </cell>
          <cell r="I233">
            <v>-0.28144423336139779</v>
          </cell>
        </row>
        <row r="234">
          <cell r="H234">
            <v>3403</v>
          </cell>
          <cell r="I234">
            <v>-0.26970764758642696</v>
          </cell>
        </row>
        <row r="235">
          <cell r="H235">
            <v>1632</v>
          </cell>
          <cell r="I235">
            <v>-0.30474296146632185</v>
          </cell>
        </row>
        <row r="236">
          <cell r="H236">
            <v>5937</v>
          </cell>
          <cell r="I236">
            <v>-1.6781005480105859E-2</v>
          </cell>
        </row>
        <row r="237">
          <cell r="H237">
            <v>5937</v>
          </cell>
          <cell r="I237">
            <v>-1.6781005480105859E-2</v>
          </cell>
        </row>
        <row r="238">
          <cell r="H238">
            <v>2491</v>
          </cell>
          <cell r="I238">
            <v>0.96439214880830604</v>
          </cell>
        </row>
        <row r="239">
          <cell r="H239">
            <v>2491</v>
          </cell>
          <cell r="I239">
            <v>0.96439214880830604</v>
          </cell>
        </row>
        <row r="240">
          <cell r="H240">
            <v>6065</v>
          </cell>
          <cell r="I240">
            <v>0.14914553464843427</v>
          </cell>
        </row>
        <row r="241">
          <cell r="H241">
            <v>6065</v>
          </cell>
          <cell r="I241">
            <v>0.14914553464843427</v>
          </cell>
        </row>
        <row r="242">
          <cell r="H242">
            <v>4840.4137920000003</v>
          </cell>
          <cell r="I242">
            <v>-0.14277859008865701</v>
          </cell>
        </row>
        <row r="243">
          <cell r="H243">
            <v>4824</v>
          </cell>
          <cell r="I243">
            <v>-0.1173075625767328</v>
          </cell>
        </row>
        <row r="244">
          <cell r="H244">
            <v>3.4137919999999999</v>
          </cell>
          <cell r="I244">
            <v>-0.89655175757575756</v>
          </cell>
        </row>
        <row r="245">
          <cell r="H245">
            <v>13</v>
          </cell>
          <cell r="I245">
            <v>-0.91247836540932792</v>
          </cell>
        </row>
        <row r="246">
          <cell r="H246">
            <v>4234</v>
          </cell>
          <cell r="I246">
            <v>-0.22868689432031519</v>
          </cell>
        </row>
        <row r="247">
          <cell r="H247">
            <v>4234</v>
          </cell>
          <cell r="I247">
            <v>-0.22868689432031519</v>
          </cell>
        </row>
        <row r="248">
          <cell r="H248">
            <v>2725</v>
          </cell>
          <cell r="I248">
            <v>3.32841901476566E-2</v>
          </cell>
        </row>
        <row r="249">
          <cell r="H249">
            <v>2725</v>
          </cell>
          <cell r="I249">
            <v>3.32841901476566E-2</v>
          </cell>
        </row>
        <row r="250">
          <cell r="H250">
            <v>3883</v>
          </cell>
          <cell r="I250">
            <v>-0.35028927632082485</v>
          </cell>
        </row>
        <row r="251">
          <cell r="H251">
            <v>3883</v>
          </cell>
          <cell r="I251">
            <v>-0.35028927632082485</v>
          </cell>
        </row>
        <row r="252">
          <cell r="H252">
            <v>4134</v>
          </cell>
          <cell r="I252">
            <v>-0.25149375366594462</v>
          </cell>
        </row>
        <row r="253">
          <cell r="H253">
            <v>3099</v>
          </cell>
          <cell r="I253">
            <v>-6.0624431645953325E-2</v>
          </cell>
        </row>
        <row r="254">
          <cell r="H254">
            <v>905</v>
          </cell>
          <cell r="I254">
            <v>-0.56904761904761902</v>
          </cell>
        </row>
        <row r="255">
          <cell r="H255">
            <v>130</v>
          </cell>
          <cell r="I255">
            <v>4.8387079864724569E-2</v>
          </cell>
        </row>
        <row r="256">
          <cell r="H256">
            <v>4462.8020839999999</v>
          </cell>
          <cell r="I256">
            <v>-4.950068533474683E-3</v>
          </cell>
        </row>
        <row r="257">
          <cell r="H257">
            <v>1957</v>
          </cell>
          <cell r="I257">
            <v>0.17116533494236408</v>
          </cell>
        </row>
        <row r="258">
          <cell r="H258">
            <v>1488</v>
          </cell>
          <cell r="I258">
            <v>-0.12858970881171561</v>
          </cell>
        </row>
        <row r="259">
          <cell r="H259">
            <v>388</v>
          </cell>
          <cell r="I259">
            <v>-0.14184347547907317</v>
          </cell>
        </row>
        <row r="260">
          <cell r="H260">
            <v>150</v>
          </cell>
          <cell r="I260">
            <v>-6.0379499690670579E-2</v>
          </cell>
        </row>
        <row r="261">
          <cell r="H261">
            <v>171</v>
          </cell>
          <cell r="I261">
            <v>-1.6554600954693188E-2</v>
          </cell>
        </row>
        <row r="262">
          <cell r="H262">
            <v>172</v>
          </cell>
          <cell r="I262">
            <v>-0.10829494525791561</v>
          </cell>
        </row>
        <row r="263">
          <cell r="H263">
            <v>52</v>
          </cell>
          <cell r="I263">
            <v>-0.20268347303596634</v>
          </cell>
        </row>
        <row r="264">
          <cell r="H264">
            <v>82</v>
          </cell>
          <cell r="I264">
            <v>0.39681696076477424</v>
          </cell>
        </row>
        <row r="265">
          <cell r="H265">
            <v>2.8020839999999998</v>
          </cell>
          <cell r="I265">
            <v>-0.29581158674376162</v>
          </cell>
        </row>
        <row r="266">
          <cell r="H266">
            <v>2892</v>
          </cell>
          <cell r="I266">
            <v>-0.10770196627976414</v>
          </cell>
        </row>
        <row r="267">
          <cell r="H267">
            <v>2892</v>
          </cell>
          <cell r="I267">
            <v>-0.10770196627976414</v>
          </cell>
        </row>
        <row r="268">
          <cell r="H268">
            <v>1535</v>
          </cell>
          <cell r="I268">
            <v>0.25281265623175742</v>
          </cell>
        </row>
        <row r="269">
          <cell r="H269">
            <v>1524</v>
          </cell>
          <cell r="I269">
            <v>0.28067226890756292</v>
          </cell>
        </row>
        <row r="270">
          <cell r="H270">
            <v>11</v>
          </cell>
          <cell r="I270">
            <v>-0.68788172419810434</v>
          </cell>
        </row>
        <row r="271">
          <cell r="H271">
            <v>1614</v>
          </cell>
          <cell r="I271">
            <v>-0.12148317324386282</v>
          </cell>
        </row>
        <row r="272">
          <cell r="H272">
            <v>1614</v>
          </cell>
          <cell r="I272">
            <v>-0.12148317324386282</v>
          </cell>
        </row>
        <row r="273">
          <cell r="H273">
            <v>1418</v>
          </cell>
          <cell r="I273">
            <v>1.2616296410825845E-2</v>
          </cell>
        </row>
        <row r="274">
          <cell r="H274">
            <v>1418</v>
          </cell>
          <cell r="I274">
            <v>1.2616296410825845E-2</v>
          </cell>
        </row>
        <row r="275">
          <cell r="H275">
            <v>5405</v>
          </cell>
          <cell r="I275">
            <v>2.4625240230621395</v>
          </cell>
        </row>
        <row r="276">
          <cell r="H276">
            <v>2966</v>
          </cell>
          <cell r="I276">
            <v>0.90006406149903917</v>
          </cell>
        </row>
        <row r="277">
          <cell r="H277">
            <v>2439</v>
          </cell>
          <cell r="I277" t="e">
            <v>#DIV/0!</v>
          </cell>
        </row>
        <row r="278">
          <cell r="H278">
            <v>2174</v>
          </cell>
          <cell r="I278">
            <v>3.8597627696162373E-2</v>
          </cell>
        </row>
        <row r="279">
          <cell r="H279">
            <v>1871</v>
          </cell>
          <cell r="I279">
            <v>9.1041361530796339E-2</v>
          </cell>
        </row>
        <row r="280">
          <cell r="H280">
            <v>142</v>
          </cell>
          <cell r="I280">
            <v>-0.60097190654510269</v>
          </cell>
        </row>
        <row r="281">
          <cell r="H281">
            <v>10</v>
          </cell>
          <cell r="I281">
            <v>-5.3646866435504093E-2</v>
          </cell>
        </row>
        <row r="282">
          <cell r="H282">
            <v>151</v>
          </cell>
          <cell r="I282">
            <v>11.688848510526659</v>
          </cell>
        </row>
        <row r="283">
          <cell r="H283">
            <v>1966</v>
          </cell>
          <cell r="I283">
            <v>0.21884686918784868</v>
          </cell>
        </row>
        <row r="284">
          <cell r="H284">
            <v>1966</v>
          </cell>
          <cell r="I284">
            <v>0.21884686918784868</v>
          </cell>
        </row>
        <row r="285">
          <cell r="H285">
            <v>2766</v>
          </cell>
          <cell r="I285">
            <v>-0.42471921078154473</v>
          </cell>
        </row>
        <row r="286">
          <cell r="H286">
            <v>2681</v>
          </cell>
          <cell r="I286">
            <v>-0.40961270149712048</v>
          </cell>
        </row>
        <row r="287">
          <cell r="H287">
            <v>85</v>
          </cell>
          <cell r="I287">
            <v>-0.68164794007490637</v>
          </cell>
        </row>
        <row r="288">
          <cell r="H288">
            <v>1287</v>
          </cell>
          <cell r="I288">
            <v>-0.15672213222333176</v>
          </cell>
        </row>
        <row r="289">
          <cell r="H289">
            <v>1287</v>
          </cell>
          <cell r="I289">
            <v>-0.15672213222333176</v>
          </cell>
        </row>
        <row r="290">
          <cell r="H290">
            <v>1195</v>
          </cell>
          <cell r="I290">
            <v>-4.8477361609874703E-2</v>
          </cell>
        </row>
        <row r="291">
          <cell r="H291">
            <v>1195</v>
          </cell>
          <cell r="I291">
            <v>-4.8477361609874703E-2</v>
          </cell>
        </row>
        <row r="292">
          <cell r="H292">
            <v>1381</v>
          </cell>
          <cell r="I292">
            <v>-0.10305261364444351</v>
          </cell>
        </row>
        <row r="293">
          <cell r="H293">
            <v>1381</v>
          </cell>
          <cell r="I293">
            <v>-0.10305261364444351</v>
          </cell>
        </row>
        <row r="294">
          <cell r="H294">
            <v>712</v>
          </cell>
          <cell r="I294">
            <v>0.61196993085627049</v>
          </cell>
        </row>
        <row r="295">
          <cell r="H295">
            <v>84</v>
          </cell>
          <cell r="I295">
            <v>-0.54313986655507096</v>
          </cell>
        </row>
        <row r="296">
          <cell r="H296">
            <v>231</v>
          </cell>
          <cell r="I296">
            <v>-0.10406732027295673</v>
          </cell>
        </row>
        <row r="297">
          <cell r="H297">
            <v>397</v>
          </cell>
          <cell r="I297" t="e">
            <v>#DIV/0!</v>
          </cell>
        </row>
        <row r="298">
          <cell r="H298">
            <v>1123</v>
          </cell>
          <cell r="I298">
            <v>0.44367666842434406</v>
          </cell>
        </row>
        <row r="299">
          <cell r="H299">
            <v>1123</v>
          </cell>
          <cell r="I299">
            <v>0.44367666842434406</v>
          </cell>
        </row>
        <row r="300">
          <cell r="H300">
            <v>337</v>
          </cell>
          <cell r="I300">
            <v>-0.84376448771441814</v>
          </cell>
        </row>
        <row r="301">
          <cell r="H301">
            <v>337</v>
          </cell>
          <cell r="I301">
            <v>-0.84376448771441814</v>
          </cell>
        </row>
        <row r="302">
          <cell r="H302">
            <v>1172</v>
          </cell>
          <cell r="I302">
            <v>-0.20463614388557261</v>
          </cell>
        </row>
        <row r="303">
          <cell r="H303">
            <v>1172</v>
          </cell>
          <cell r="I303">
            <v>-0.20463614388557261</v>
          </cell>
        </row>
        <row r="304">
          <cell r="H304">
            <v>463</v>
          </cell>
          <cell r="I304">
            <v>-0.43414831057840808</v>
          </cell>
        </row>
        <row r="305">
          <cell r="H305">
            <v>463</v>
          </cell>
          <cell r="I305">
            <v>-0.43414831057840808</v>
          </cell>
        </row>
        <row r="306">
          <cell r="H306">
            <v>352</v>
          </cell>
          <cell r="I306">
            <v>-0.37506574792123293</v>
          </cell>
        </row>
        <row r="307">
          <cell r="H307">
            <v>352</v>
          </cell>
          <cell r="I307">
            <v>-0.37506574792123293</v>
          </cell>
        </row>
        <row r="308">
          <cell r="H308">
            <v>477</v>
          </cell>
          <cell r="I308">
            <v>-0.18850085638678482</v>
          </cell>
        </row>
        <row r="309">
          <cell r="H309">
            <v>477</v>
          </cell>
          <cell r="I309">
            <v>-0.18850085638678482</v>
          </cell>
        </row>
        <row r="310">
          <cell r="H310">
            <v>915</v>
          </cell>
          <cell r="I310">
            <v>0.30714285714285716</v>
          </cell>
        </row>
        <row r="311">
          <cell r="H311">
            <v>915</v>
          </cell>
          <cell r="I311">
            <v>0.30714285714285716</v>
          </cell>
        </row>
        <row r="312">
          <cell r="H312">
            <v>188</v>
          </cell>
          <cell r="I312">
            <v>-0.61554192229038862</v>
          </cell>
        </row>
        <row r="313">
          <cell r="H313">
            <v>188</v>
          </cell>
          <cell r="I313">
            <v>-0.61554192229038862</v>
          </cell>
        </row>
        <row r="314">
          <cell r="H314">
            <v>753</v>
          </cell>
          <cell r="I314">
            <v>0.45930232558139528</v>
          </cell>
        </row>
        <row r="315">
          <cell r="H315">
            <v>753</v>
          </cell>
          <cell r="I315">
            <v>0.45930232558139528</v>
          </cell>
        </row>
        <row r="316">
          <cell r="H316">
            <v>504</v>
          </cell>
          <cell r="I316">
            <v>-0.22817764165390508</v>
          </cell>
        </row>
        <row r="317">
          <cell r="H317">
            <v>504</v>
          </cell>
          <cell r="I317">
            <v>-0.22817764165390508</v>
          </cell>
        </row>
        <row r="318">
          <cell r="H318">
            <v>1076</v>
          </cell>
          <cell r="I318">
            <v>0.29299566583286474</v>
          </cell>
        </row>
        <row r="319">
          <cell r="H319">
            <v>1076</v>
          </cell>
          <cell r="I319">
            <v>0.29299566583286474</v>
          </cell>
        </row>
        <row r="320">
          <cell r="H320">
            <v>8.9227876619129951</v>
          </cell>
          <cell r="I320">
            <v>-0.98573875179226944</v>
          </cell>
        </row>
        <row r="321">
          <cell r="H321">
            <v>8.9227876619129951</v>
          </cell>
          <cell r="I321">
            <v>-0.98573875179226944</v>
          </cell>
        </row>
        <row r="322">
          <cell r="H322">
            <v>186</v>
          </cell>
          <cell r="I322">
            <v>0.23633735881675433</v>
          </cell>
        </row>
        <row r="323">
          <cell r="H323">
            <v>186</v>
          </cell>
          <cell r="I323">
            <v>0.23633735881675433</v>
          </cell>
        </row>
        <row r="324">
          <cell r="H324">
            <v>-18</v>
          </cell>
          <cell r="I324">
            <v>-1.0347490347490347</v>
          </cell>
        </row>
        <row r="325">
          <cell r="H325">
            <v>-18</v>
          </cell>
          <cell r="I325">
            <v>-1.0347490347490347</v>
          </cell>
        </row>
        <row r="326">
          <cell r="H326">
            <v>25</v>
          </cell>
          <cell r="I326">
            <v>-0.75429975188500986</v>
          </cell>
        </row>
        <row r="327">
          <cell r="H327">
            <v>25</v>
          </cell>
          <cell r="I327">
            <v>-0.75429975188500986</v>
          </cell>
        </row>
        <row r="328">
          <cell r="H328">
            <v>6</v>
          </cell>
          <cell r="I328">
            <v>-0.63316743534392628</v>
          </cell>
        </row>
        <row r="329">
          <cell r="H329">
            <v>6</v>
          </cell>
          <cell r="I329">
            <v>-0.63316743534392628</v>
          </cell>
        </row>
        <row r="330">
          <cell r="H330">
            <v>7.2804129999999994</v>
          </cell>
          <cell r="I330">
            <v>-0.97083946405831179</v>
          </cell>
        </row>
        <row r="331">
          <cell r="H331">
            <v>7.2804129999999994</v>
          </cell>
          <cell r="I331">
            <v>-0.96884273668180765</v>
          </cell>
        </row>
        <row r="332">
          <cell r="H332">
            <v>0</v>
          </cell>
          <cell r="I332">
            <v>-1</v>
          </cell>
        </row>
        <row r="333">
          <cell r="H333">
            <v>55</v>
          </cell>
          <cell r="I333">
            <v>-0.36781610648698604</v>
          </cell>
        </row>
        <row r="334">
          <cell r="H334">
            <v>55</v>
          </cell>
          <cell r="I334">
            <v>-0.36781610648698604</v>
          </cell>
        </row>
        <row r="335">
          <cell r="H335">
            <v>36</v>
          </cell>
          <cell r="I335">
            <v>1.3775483355576621</v>
          </cell>
        </row>
        <row r="336">
          <cell r="H336">
            <v>36</v>
          </cell>
          <cell r="I336">
            <v>1.3775483355576621</v>
          </cell>
        </row>
        <row r="337">
          <cell r="H337">
            <v>32</v>
          </cell>
          <cell r="I337">
            <v>-0.92469111862263853</v>
          </cell>
        </row>
        <row r="338">
          <cell r="H338">
            <v>32</v>
          </cell>
          <cell r="I338">
            <v>-0.91395922380271177</v>
          </cell>
        </row>
        <row r="339">
          <cell r="H339">
            <v>0</v>
          </cell>
          <cell r="I339">
            <v>-1</v>
          </cell>
        </row>
        <row r="340">
          <cell r="H340">
            <v>37.220462611907998</v>
          </cell>
          <cell r="I340">
            <v>-0.57967736865055053</v>
          </cell>
        </row>
        <row r="341">
          <cell r="H341">
            <v>12.95763075</v>
          </cell>
          <cell r="I341">
            <v>-0.28125</v>
          </cell>
        </row>
        <row r="342">
          <cell r="H342">
            <v>6.4237728619080006</v>
          </cell>
          <cell r="I342">
            <v>-0.58620690322580637</v>
          </cell>
        </row>
        <row r="343">
          <cell r="H343">
            <v>15</v>
          </cell>
          <cell r="I343">
            <v>-0.72727272727272729</v>
          </cell>
        </row>
        <row r="344">
          <cell r="H344">
            <v>2.8390590000000002</v>
          </cell>
          <cell r="I344" t="e">
            <v>#DIV/0!</v>
          </cell>
        </row>
        <row r="345">
          <cell r="H345">
            <v>7</v>
          </cell>
          <cell r="I345">
            <v>-0.66366366366366369</v>
          </cell>
        </row>
        <row r="346">
          <cell r="H346">
            <v>7</v>
          </cell>
          <cell r="I346">
            <v>-0.66366366366366369</v>
          </cell>
        </row>
        <row r="347">
          <cell r="H347">
            <v>7278</v>
          </cell>
          <cell r="I347" t="e">
            <v>#DIV/0!</v>
          </cell>
        </row>
        <row r="348">
          <cell r="H348">
            <v>1077</v>
          </cell>
          <cell r="I348" t="e">
            <v>#DIV/0!</v>
          </cell>
        </row>
        <row r="349">
          <cell r="I349" t="e">
            <v>#DIV/0!</v>
          </cell>
        </row>
        <row r="350">
          <cell r="H350">
            <v>0</v>
          </cell>
          <cell r="I350">
            <v>-1</v>
          </cell>
        </row>
        <row r="351">
          <cell r="H351">
            <v>0</v>
          </cell>
          <cell r="I351">
            <v>-1</v>
          </cell>
        </row>
        <row r="352">
          <cell r="H352">
            <v>27</v>
          </cell>
          <cell r="I352">
            <v>-0.30769230769230771</v>
          </cell>
        </row>
        <row r="353">
          <cell r="H353">
            <v>27</v>
          </cell>
          <cell r="I353">
            <v>-0.30769230769230771</v>
          </cell>
        </row>
        <row r="354">
          <cell r="H354">
            <v>673</v>
          </cell>
          <cell r="I354" t="e">
            <v>#DIV/0!</v>
          </cell>
        </row>
        <row r="355">
          <cell r="H355">
            <v>673</v>
          </cell>
          <cell r="I355" t="e">
            <v>#DIV/0!</v>
          </cell>
        </row>
        <row r="356">
          <cell r="H356">
            <v>0</v>
          </cell>
          <cell r="I356">
            <v>-1</v>
          </cell>
        </row>
        <row r="357">
          <cell r="H357">
            <v>0</v>
          </cell>
          <cell r="I357">
            <v>-1</v>
          </cell>
        </row>
        <row r="358">
          <cell r="H358">
            <v>0</v>
          </cell>
          <cell r="I358">
            <v>-1</v>
          </cell>
        </row>
        <row r="359">
          <cell r="H359">
            <v>0</v>
          </cell>
          <cell r="I359">
            <v>-1</v>
          </cell>
        </row>
        <row r="360">
          <cell r="H360">
            <v>17</v>
          </cell>
          <cell r="I360" t="e">
            <v>#DIV/0!</v>
          </cell>
        </row>
        <row r="361">
          <cell r="H361">
            <v>17</v>
          </cell>
          <cell r="I361" t="e">
            <v>#DIV/0!</v>
          </cell>
        </row>
        <row r="362">
          <cell r="H362">
            <v>0</v>
          </cell>
          <cell r="I362">
            <v>-1</v>
          </cell>
        </row>
        <row r="363">
          <cell r="H363">
            <v>0</v>
          </cell>
          <cell r="I363">
            <v>-1</v>
          </cell>
        </row>
        <row r="364">
          <cell r="H364">
            <v>70</v>
          </cell>
          <cell r="I364" t="e">
            <v>#DIV/0!</v>
          </cell>
        </row>
        <row r="365">
          <cell r="H365">
            <v>7</v>
          </cell>
          <cell r="I365" t="e">
            <v>#DIV/0!</v>
          </cell>
        </row>
        <row r="366">
          <cell r="H366">
            <v>6</v>
          </cell>
          <cell r="I366" t="e">
            <v>#DIV/0!</v>
          </cell>
        </row>
        <row r="367">
          <cell r="H367">
            <v>57</v>
          </cell>
          <cell r="I367" t="e">
            <v>#DIV/0!</v>
          </cell>
        </row>
        <row r="368">
          <cell r="H368">
            <v>62</v>
          </cell>
          <cell r="I368" t="e">
            <v>#DIV/0!</v>
          </cell>
        </row>
        <row r="369">
          <cell r="H369">
            <v>62</v>
          </cell>
          <cell r="I369" t="e">
            <v>#DIV/0!</v>
          </cell>
        </row>
        <row r="370">
          <cell r="H370">
            <v>103</v>
          </cell>
          <cell r="I370" t="e">
            <v>#DIV/0!</v>
          </cell>
        </row>
        <row r="371">
          <cell r="H371">
            <v>103</v>
          </cell>
          <cell r="I371" t="e">
            <v>#DIV/0!</v>
          </cell>
        </row>
        <row r="372">
          <cell r="H372">
            <v>136</v>
          </cell>
          <cell r="I372" t="e">
            <v>#DIV/0!</v>
          </cell>
        </row>
        <row r="373">
          <cell r="H373">
            <v>136</v>
          </cell>
          <cell r="I373" t="e">
            <v>#DIV/0!</v>
          </cell>
        </row>
        <row r="374">
          <cell r="H374">
            <v>4068</v>
          </cell>
          <cell r="I374" t="e">
            <v>#DIV/0!</v>
          </cell>
        </row>
        <row r="375">
          <cell r="H375">
            <v>4068</v>
          </cell>
          <cell r="I375" t="e">
            <v>#DIV/0!</v>
          </cell>
        </row>
        <row r="376">
          <cell r="H376">
            <v>5104</v>
          </cell>
          <cell r="I376" t="e">
            <v>#DIV/0!</v>
          </cell>
        </row>
        <row r="377">
          <cell r="H377">
            <v>1827</v>
          </cell>
          <cell r="I377" t="e">
            <v>#DIV/0!</v>
          </cell>
        </row>
        <row r="378">
          <cell r="H378">
            <v>1399</v>
          </cell>
          <cell r="I378" t="e">
            <v>#DIV/0!</v>
          </cell>
        </row>
        <row r="379">
          <cell r="H379">
            <v>275</v>
          </cell>
          <cell r="I379" t="e">
            <v>#DIV/0!</v>
          </cell>
        </row>
        <row r="380">
          <cell r="H380">
            <v>1603</v>
          </cell>
          <cell r="I380" t="e">
            <v>#DIV/0!</v>
          </cell>
        </row>
        <row r="381">
          <cell r="H381">
            <v>0</v>
          </cell>
          <cell r="I381">
            <v>-1</v>
          </cell>
        </row>
        <row r="382">
          <cell r="H382">
            <v>0</v>
          </cell>
          <cell r="I382">
            <v>-1</v>
          </cell>
        </row>
        <row r="383">
          <cell r="H383">
            <v>442</v>
          </cell>
          <cell r="I383" t="e">
            <v>#DIV/0!</v>
          </cell>
        </row>
        <row r="384">
          <cell r="H384">
            <v>442</v>
          </cell>
          <cell r="I384" t="e">
            <v>#DIV/0!</v>
          </cell>
        </row>
        <row r="385">
          <cell r="H385">
            <v>0</v>
          </cell>
          <cell r="I385">
            <v>-1</v>
          </cell>
        </row>
        <row r="386">
          <cell r="H386">
            <v>0</v>
          </cell>
          <cell r="I386">
            <v>-1</v>
          </cell>
        </row>
        <row r="387">
          <cell r="H387">
            <v>0</v>
          </cell>
          <cell r="I387">
            <v>-1</v>
          </cell>
        </row>
        <row r="388">
          <cell r="H388">
            <v>135</v>
          </cell>
          <cell r="I388" t="e">
            <v>#DIV/0!</v>
          </cell>
        </row>
        <row r="389">
          <cell r="H389">
            <v>76</v>
          </cell>
          <cell r="I389" t="e">
            <v>#DIV/0!</v>
          </cell>
        </row>
        <row r="390">
          <cell r="H390">
            <v>59</v>
          </cell>
          <cell r="I390" t="e">
            <v>#DIV/0!</v>
          </cell>
        </row>
        <row r="391">
          <cell r="H391">
            <v>396</v>
          </cell>
          <cell r="I391">
            <v>1.1967365769576399</v>
          </cell>
        </row>
        <row r="392">
          <cell r="H392">
            <v>396</v>
          </cell>
          <cell r="I392">
            <v>1.1967365769576399</v>
          </cell>
        </row>
        <row r="393">
          <cell r="H393">
            <v>0</v>
          </cell>
          <cell r="I393">
            <v>-1</v>
          </cell>
        </row>
        <row r="394">
          <cell r="H394">
            <v>0</v>
          </cell>
          <cell r="I394">
            <v>-1</v>
          </cell>
        </row>
        <row r="395">
          <cell r="H395">
            <v>0</v>
          </cell>
          <cell r="I395">
            <v>-1</v>
          </cell>
        </row>
        <row r="396">
          <cell r="H396">
            <v>0</v>
          </cell>
          <cell r="I396">
            <v>-1</v>
          </cell>
        </row>
        <row r="397">
          <cell r="H397">
            <v>491</v>
          </cell>
          <cell r="I397" t="e">
            <v>#DIV/0!</v>
          </cell>
        </row>
        <row r="398">
          <cell r="H398">
            <v>491</v>
          </cell>
          <cell r="I398" t="e">
            <v>#DIV/0!</v>
          </cell>
        </row>
        <row r="399">
          <cell r="H399">
            <v>329</v>
          </cell>
          <cell r="I399" t="e">
            <v>#DIV/0!</v>
          </cell>
        </row>
        <row r="400">
          <cell r="H400">
            <v>329</v>
          </cell>
          <cell r="I400" t="e">
            <v>#DIV/0!</v>
          </cell>
        </row>
        <row r="401">
          <cell r="H401">
            <v>0</v>
          </cell>
          <cell r="I401">
            <v>-1</v>
          </cell>
        </row>
        <row r="402">
          <cell r="H402">
            <v>0</v>
          </cell>
          <cell r="I402">
            <v>-1</v>
          </cell>
        </row>
        <row r="403">
          <cell r="H403">
            <v>-12.444442222222001</v>
          </cell>
          <cell r="I403">
            <v>-1.2222222380952381</v>
          </cell>
        </row>
        <row r="404">
          <cell r="H404">
            <v>-12.444442222222001</v>
          </cell>
          <cell r="I404">
            <v>-1.2222222380952381</v>
          </cell>
        </row>
        <row r="405">
          <cell r="H405">
            <v>136</v>
          </cell>
          <cell r="I405">
            <v>-0.49836062407685899</v>
          </cell>
        </row>
        <row r="406">
          <cell r="H406">
            <v>136</v>
          </cell>
          <cell r="I406">
            <v>-0.49836062407685899</v>
          </cell>
        </row>
        <row r="407">
          <cell r="H407">
            <v>2617</v>
          </cell>
          <cell r="I407">
            <v>-2.3669345595117131E-2</v>
          </cell>
        </row>
        <row r="408">
          <cell r="H408">
            <v>0</v>
          </cell>
          <cell r="I408">
            <v>-1</v>
          </cell>
        </row>
        <row r="409">
          <cell r="H409">
            <v>2617</v>
          </cell>
          <cell r="I409">
            <v>-1.8543182324579743E-2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9D3B5-6C8E-452F-AADC-FDC07EB5E632}">
  <sheetPr>
    <tabColor theme="9" tint="0.39997558519241921"/>
  </sheetPr>
  <dimension ref="A1:U473"/>
  <sheetViews>
    <sheetView tabSelected="1" zoomScale="111" workbookViewId="0">
      <pane ySplit="2" topLeftCell="A224" activePane="bottomLeft" state="frozen"/>
      <selection pane="bottomLeft" activeCell="K238" sqref="K238"/>
    </sheetView>
  </sheetViews>
  <sheetFormatPr defaultRowHeight="15" x14ac:dyDescent="0.25"/>
  <cols>
    <col min="1" max="1" width="40.7109375" customWidth="1"/>
    <col min="2" max="3" width="42.7109375" customWidth="1"/>
    <col min="4" max="7" width="42.7109375" hidden="1" customWidth="1"/>
    <col min="8" max="8" width="21.85546875" style="127" hidden="1" customWidth="1"/>
    <col min="9" max="9" width="21.85546875" style="130" hidden="1" customWidth="1"/>
    <col min="10" max="10" width="21.85546875" style="127" customWidth="1"/>
    <col min="11" max="11" width="16.140625" style="175" customWidth="1"/>
    <col min="12" max="12" width="17.7109375" style="176" customWidth="1"/>
    <col min="13" max="13" width="14.140625" style="176" customWidth="1"/>
    <col min="14" max="14" width="16.140625" style="175" customWidth="1"/>
    <col min="15" max="15" width="14.5703125" style="53" customWidth="1"/>
    <col min="16" max="16" width="16.5703125" style="53" customWidth="1"/>
    <col min="17" max="17" width="10.5703125" hidden="1" customWidth="1"/>
    <col min="18" max="18" width="0" hidden="1" customWidth="1"/>
    <col min="19" max="19" width="11" bestFit="1" customWidth="1"/>
    <col min="20" max="20" width="11.5703125" bestFit="1" customWidth="1"/>
    <col min="21" max="21" width="13.28515625" bestFit="1" customWidth="1"/>
  </cols>
  <sheetData>
    <row r="1" spans="1:21" ht="39.75" customHeight="1" thickBot="1" x14ac:dyDescent="0.3">
      <c r="A1" s="135" t="s">
        <v>389</v>
      </c>
      <c r="B1" s="136" t="s">
        <v>182</v>
      </c>
      <c r="C1" s="301" t="s">
        <v>570</v>
      </c>
      <c r="D1" s="136" t="s">
        <v>548</v>
      </c>
      <c r="E1" s="136" t="s">
        <v>551</v>
      </c>
      <c r="F1" s="137" t="s">
        <v>474</v>
      </c>
      <c r="G1" s="137" t="s">
        <v>553</v>
      </c>
      <c r="H1" s="138" t="s">
        <v>422</v>
      </c>
      <c r="I1" s="139" t="s">
        <v>421</v>
      </c>
      <c r="J1" s="262" t="s">
        <v>568</v>
      </c>
      <c r="K1" s="140" t="s">
        <v>487</v>
      </c>
      <c r="L1" s="140" t="s">
        <v>488</v>
      </c>
      <c r="M1" s="140" t="s">
        <v>489</v>
      </c>
      <c r="N1" s="141" t="s">
        <v>490</v>
      </c>
      <c r="O1" s="141" t="s">
        <v>491</v>
      </c>
      <c r="P1" s="142" t="s">
        <v>492</v>
      </c>
      <c r="R1" t="s">
        <v>496</v>
      </c>
    </row>
    <row r="2" spans="1:21" ht="15.75" thickBot="1" x14ac:dyDescent="0.3">
      <c r="A2" s="165" t="s">
        <v>235</v>
      </c>
      <c r="B2" s="166"/>
      <c r="C2" s="166"/>
      <c r="D2" s="166"/>
      <c r="E2" s="166"/>
      <c r="F2" s="167" t="str">
        <f t="shared" ref="F2:F33" si="0">A2&amp;"|"&amp;B2</f>
        <v>Total|</v>
      </c>
      <c r="G2" s="167"/>
      <c r="H2" s="168">
        <f>_xlfn.XLOOKUP(F2,'DATA - 2025 Review'!C:C,'DATA - 2025 Review'!I:I,"")</f>
        <v>7085209.6206939789</v>
      </c>
      <c r="I2" s="169">
        <f>_xlfn.XLOOKUP(F2,'DATA - 2025 Review'!C:C,'DATA - 2025 Review'!J:J,"")</f>
        <v>-5.8847929700271417E-2</v>
      </c>
      <c r="J2" s="168">
        <f>_xlfn.XLOOKUP(F2,'2025 Finish (ACTUAL)'!C:C,'2025 Finish (ACTUAL)'!D:D)</f>
        <v>7067012.3481649999</v>
      </c>
      <c r="K2" s="170">
        <f>L2/H2</f>
        <v>-6.2418651305516165E-3</v>
      </c>
      <c r="L2" s="171">
        <f>SUMIFS(L3:L472,A3:A472,"&lt;&gt;",B3:B472,"")</f>
        <v>-44224.92287405859</v>
      </c>
      <c r="M2" s="172">
        <f>SUMIFS(M3:M472,A3:A472,"&lt;&gt;",B3:B472,"")</f>
        <v>7055675.3213415239</v>
      </c>
      <c r="N2" s="170">
        <f>O2/H2</f>
        <v>-2.4569206991953446E-2</v>
      </c>
      <c r="O2" s="171">
        <f>SUMIFS(O3:O472,A3:A472,"&lt;&gt;",B3:B472,"")</f>
        <v>-174077.98175221033</v>
      </c>
      <c r="P2" s="173">
        <f>SUMIFS(P3:P472,A3:A472,"&lt;&gt;",B3:B472,"")</f>
        <v>6908383.0165057881</v>
      </c>
    </row>
    <row r="3" spans="1:21" x14ac:dyDescent="0.25">
      <c r="A3" s="143" t="s">
        <v>390</v>
      </c>
      <c r="B3" s="202"/>
      <c r="C3" s="202" t="str">
        <f>_xlfn.XLOOKUP(A3,'Brand Managers'!A:A,'Brand Managers'!B:B)</f>
        <v>Steve Halloran</v>
      </c>
      <c r="D3" s="202"/>
      <c r="E3" s="202"/>
      <c r="F3" s="203" t="str">
        <f t="shared" si="0"/>
        <v>Constellation Brands|</v>
      </c>
      <c r="G3" s="203" t="str">
        <f>A3&amp;"|"&amp;B3&amp;"|"&amp;D3&amp;"|"&amp;E3</f>
        <v>Constellation Brands|||</v>
      </c>
      <c r="H3" s="144">
        <f>_xlfn.XLOOKUP(F3,'DATA - 2025 Review'!C:C,'DATA - 2025 Review'!I:I,"")</f>
        <v>2620051.8673006049</v>
      </c>
      <c r="I3" s="145">
        <f>_xlfn.XLOOKUP(F3,'DATA - 2025 Review'!C:C,'DATA - 2025 Review'!J:J)</f>
        <v>-5.7688778227672932E-2</v>
      </c>
      <c r="J3" s="144">
        <f>_xlfn.XLOOKUP(F3,'2025 Finish (ACTUAL)'!C:C,'2025 Finish (ACTUAL)'!D:D)</f>
        <v>2631932.732669</v>
      </c>
      <c r="K3" s="145">
        <f>L3/J3</f>
        <v>6.1581932051978398E-4</v>
      </c>
      <c r="L3" s="147">
        <f>SUMIF(B:B,A3,L:L)</f>
        <v>1620.7950270860019</v>
      </c>
      <c r="M3" s="147">
        <f>SUMIF(B:B,A3,M:M)</f>
        <v>2633553.5276960861</v>
      </c>
      <c r="N3" s="145">
        <f>O3/J3</f>
        <v>-1.9964200816724353E-2</v>
      </c>
      <c r="O3" s="147">
        <f>SUMIF(B:B,A3,O:O)</f>
        <v>-52544.433611114007</v>
      </c>
      <c r="P3" s="148">
        <f>SUMIF(B:B,A3,P:P)</f>
        <v>2579388.299057886</v>
      </c>
    </row>
    <row r="4" spans="1:21" x14ac:dyDescent="0.25">
      <c r="A4" s="149" t="s">
        <v>259</v>
      </c>
      <c r="B4" s="2" t="s">
        <v>390</v>
      </c>
      <c r="C4" s="2" t="s">
        <v>571</v>
      </c>
      <c r="D4" s="42" t="str">
        <f>_xlfn.XLOOKUP(F4,'DATA - Segments'!C:C,'DATA - Segments'!D:D)</f>
        <v>Beer</v>
      </c>
      <c r="E4" s="42" t="str">
        <f>_xlfn.XLOOKUP(F4,'DATA - Segments'!C:C,'DATA - Segments'!E:E)</f>
        <v>Beer - Import</v>
      </c>
      <c r="F4" s="203" t="str">
        <f t="shared" si="0"/>
        <v>Corona Extra|Constellation Brands</v>
      </c>
      <c r="G4" s="203" t="str">
        <f t="shared" ref="G4:G67" si="1">A4&amp;"|"&amp;B4&amp;"|"&amp;D4&amp;"|"&amp;E4</f>
        <v>Corona Extra|Constellation Brands|Beer|Beer - Import</v>
      </c>
      <c r="H4" s="150">
        <f>_xlfn.XLOOKUP(F4,'DATA - 2025 Review'!C:C,'DATA - 2025 Review'!I:I,"")</f>
        <v>1218179.5350174096</v>
      </c>
      <c r="I4" s="151">
        <f>_xlfn.XLOOKUP(F4,'DATA - 2025 Review'!C:C,'DATA - 2025 Review'!J:J)</f>
        <v>-7.3932645635105376E-2</v>
      </c>
      <c r="J4" s="150">
        <f>_xlfn.XLOOKUP(F4,'2025 Finish (ACTUAL)'!$C:$C,'2025 Finish (ACTUAL)'!$D:$D)</f>
        <v>1217068.0857869999</v>
      </c>
      <c r="K4" s="146">
        <v>-4.2000000000000003E-2</v>
      </c>
      <c r="L4" s="152">
        <f>K4*J4</f>
        <v>-51116.859603053999</v>
      </c>
      <c r="M4" s="152">
        <f>L4+J4</f>
        <v>1165951.226183946</v>
      </c>
      <c r="N4" s="146">
        <v>-4.2000000000000003E-2</v>
      </c>
      <c r="O4" s="152">
        <f>N4*J4</f>
        <v>-51116.859603053999</v>
      </c>
      <c r="P4" s="69">
        <f>O4+J4</f>
        <v>1165951.226183946</v>
      </c>
      <c r="U4" s="209"/>
    </row>
    <row r="5" spans="1:21" x14ac:dyDescent="0.25">
      <c r="A5" s="149" t="s">
        <v>105</v>
      </c>
      <c r="B5" s="2" t="s">
        <v>390</v>
      </c>
      <c r="C5" s="2" t="s">
        <v>571</v>
      </c>
      <c r="D5" s="42" t="str">
        <f>_xlfn.XLOOKUP(F5,'DATA - Segments'!C:C,'DATA - Segments'!D:D)</f>
        <v>Beer</v>
      </c>
      <c r="E5" s="42" t="str">
        <f>_xlfn.XLOOKUP(F5,'DATA - Segments'!C:C,'DATA - Segments'!E:E)</f>
        <v>Beer - Import</v>
      </c>
      <c r="F5" s="203" t="str">
        <f t="shared" si="0"/>
        <v>Modelo Especial|Constellation Brands</v>
      </c>
      <c r="G5" s="203" t="str">
        <f t="shared" si="1"/>
        <v>Modelo Especial|Constellation Brands|Beer|Beer - Import</v>
      </c>
      <c r="H5" s="150">
        <f>_xlfn.XLOOKUP(F5,'DATA - 2025 Review'!C:C,'DATA - 2025 Review'!I:I,"")</f>
        <v>1053905.8380474104</v>
      </c>
      <c r="I5" s="151">
        <f>_xlfn.XLOOKUP(F5,'DATA - 2025 Review'!C:C,'DATA - 2025 Review'!J:J)</f>
        <v>-5.7997952513389128E-2</v>
      </c>
      <c r="J5" s="150">
        <f>_xlfn.XLOOKUP(F5,'2025 Finish (ACTUAL)'!$C:$C,'2025 Finish (ACTUAL)'!$D:$D)</f>
        <v>1061492.5727639999</v>
      </c>
      <c r="K5" s="146">
        <v>0.04</v>
      </c>
      <c r="L5" s="152">
        <f t="shared" ref="L5:L20" si="2">K5*J5</f>
        <v>42459.702910560001</v>
      </c>
      <c r="M5" s="152">
        <f t="shared" ref="M5:M20" si="3">L5+J5</f>
        <v>1103952.2756745599</v>
      </c>
      <c r="N5" s="146">
        <v>-0.01</v>
      </c>
      <c r="O5" s="152">
        <f t="shared" ref="O5:O20" si="4">N5*J5</f>
        <v>-10614.92572764</v>
      </c>
      <c r="P5" s="69">
        <f t="shared" ref="P5:P20" si="5">O5+J5</f>
        <v>1050877.6470363599</v>
      </c>
    </row>
    <row r="6" spans="1:21" x14ac:dyDescent="0.25">
      <c r="A6" s="149" t="s">
        <v>339</v>
      </c>
      <c r="B6" s="2" t="s">
        <v>390</v>
      </c>
      <c r="C6" s="2" t="s">
        <v>571</v>
      </c>
      <c r="D6" s="42" t="str">
        <f>_xlfn.XLOOKUP(F6,'DATA - Segments'!C:C,'DATA - Segments'!D:D)</f>
        <v>Beer</v>
      </c>
      <c r="E6" s="42" t="str">
        <f>_xlfn.XLOOKUP(F6,'DATA - Segments'!C:C,'DATA - Segments'!E:E)</f>
        <v>Beer - Import</v>
      </c>
      <c r="F6" s="203" t="str">
        <f t="shared" si="0"/>
        <v>Modelo Chelada|Constellation Brands</v>
      </c>
      <c r="G6" s="203" t="str">
        <f t="shared" si="1"/>
        <v>Modelo Chelada|Constellation Brands|Beer|Beer - Import</v>
      </c>
      <c r="H6" s="150">
        <f>_xlfn.XLOOKUP(F6,'DATA - 2025 Review'!C:C,'DATA - 2025 Review'!I:I,"")</f>
        <v>84035.676032000003</v>
      </c>
      <c r="I6" s="151">
        <f>_xlfn.XLOOKUP(F6,'DATA - 2025 Review'!C:C,'DATA - 2025 Review'!J:J)</f>
        <v>7.5794354887025683E-2</v>
      </c>
      <c r="J6" s="150">
        <f>_xlfn.XLOOKUP(F6,'2025 Finish (ACTUAL)'!$C:$C,'2025 Finish (ACTUAL)'!$D:$D)</f>
        <v>86203.666566</v>
      </c>
      <c r="K6" s="146">
        <v>0.06</v>
      </c>
      <c r="L6" s="152">
        <f t="shared" si="2"/>
        <v>5172.2199939599996</v>
      </c>
      <c r="M6" s="152">
        <f t="shared" si="3"/>
        <v>91375.886559959996</v>
      </c>
      <c r="N6" s="146">
        <v>0.06</v>
      </c>
      <c r="O6" s="152">
        <f t="shared" si="4"/>
        <v>5172.2199939599996</v>
      </c>
      <c r="P6" s="69">
        <f t="shared" si="5"/>
        <v>91375.886559959996</v>
      </c>
    </row>
    <row r="7" spans="1:21" x14ac:dyDescent="0.25">
      <c r="A7" s="149" t="s">
        <v>214</v>
      </c>
      <c r="B7" s="2" t="s">
        <v>390</v>
      </c>
      <c r="C7" s="2" t="s">
        <v>571</v>
      </c>
      <c r="D7" s="42" t="str">
        <f>_xlfn.XLOOKUP(F7,'DATA - Segments'!C:C,'DATA - Segments'!D:D)</f>
        <v>Beer</v>
      </c>
      <c r="E7" s="42" t="str">
        <f>_xlfn.XLOOKUP(F7,'DATA - Segments'!C:C,'DATA - Segments'!E:E)</f>
        <v>Beer - Import</v>
      </c>
      <c r="F7" s="203" t="str">
        <f t="shared" si="0"/>
        <v>Victoria|Constellation Brands</v>
      </c>
      <c r="G7" s="203" t="str">
        <f t="shared" si="1"/>
        <v>Victoria|Constellation Brands|Beer|Beer - Import</v>
      </c>
      <c r="H7" s="150">
        <f>_xlfn.XLOOKUP(F7,'DATA - 2025 Review'!C:C,'DATA - 2025 Review'!I:I,"")</f>
        <v>61653.514578050555</v>
      </c>
      <c r="I7" s="151">
        <f>_xlfn.XLOOKUP(F7,'DATA - 2025 Review'!C:C,'DATA - 2025 Review'!J:J)</f>
        <v>9.65238824379826E-2</v>
      </c>
      <c r="J7" s="150">
        <f>_xlfn.XLOOKUP(F7,'2025 Finish (ACTUAL)'!$C:$C,'2025 Finish (ACTUAL)'!$D:$D)</f>
        <v>62550.663756000002</v>
      </c>
      <c r="K7" s="146">
        <v>0.1</v>
      </c>
      <c r="L7" s="152">
        <f t="shared" si="2"/>
        <v>6255.0663756000004</v>
      </c>
      <c r="M7" s="152">
        <f t="shared" si="3"/>
        <v>68805.730131600008</v>
      </c>
      <c r="N7" s="146">
        <v>0.1</v>
      </c>
      <c r="O7" s="152">
        <f t="shared" si="4"/>
        <v>6255.0663756000004</v>
      </c>
      <c r="P7" s="69">
        <f t="shared" si="5"/>
        <v>68805.730131600008</v>
      </c>
    </row>
    <row r="8" spans="1:21" x14ac:dyDescent="0.25">
      <c r="A8" s="149" t="s">
        <v>371</v>
      </c>
      <c r="B8" s="2" t="s">
        <v>390</v>
      </c>
      <c r="C8" s="2" t="s">
        <v>571</v>
      </c>
      <c r="D8" s="42" t="str">
        <f>_xlfn.XLOOKUP(F8,'DATA - Segments'!C:C,'DATA - Segments'!D:D)</f>
        <v>Beer</v>
      </c>
      <c r="E8" s="42" t="str">
        <f>_xlfn.XLOOKUP(F8,'DATA - Segments'!C:C,'DATA - Segments'!E:E)</f>
        <v>Beer - Import</v>
      </c>
      <c r="F8" s="203" t="str">
        <f t="shared" si="0"/>
        <v>Corona Light|Constellation Brands</v>
      </c>
      <c r="G8" s="203" t="str">
        <f t="shared" si="1"/>
        <v>Corona Light|Constellation Brands|Beer|Beer - Import</v>
      </c>
      <c r="H8" s="150">
        <f>_xlfn.XLOOKUP(F8,'DATA - 2025 Review'!C:C,'DATA - 2025 Review'!I:I,"")</f>
        <v>48789.669396999998</v>
      </c>
      <c r="I8" s="151">
        <f>_xlfn.XLOOKUP(F8,'DATA - 2025 Review'!C:C,'DATA - 2025 Review'!J:J)</f>
        <v>-0.15743326430767113</v>
      </c>
      <c r="J8" s="150">
        <f>_xlfn.XLOOKUP(F8,'2025 Finish (ACTUAL)'!$C:$C,'2025 Finish (ACTUAL)'!$D:$D)</f>
        <v>49496</v>
      </c>
      <c r="K8" s="146">
        <v>-0.08</v>
      </c>
      <c r="L8" s="152">
        <f t="shared" si="2"/>
        <v>-3959.6800000000003</v>
      </c>
      <c r="M8" s="152">
        <f t="shared" si="3"/>
        <v>45536.32</v>
      </c>
      <c r="N8" s="146">
        <v>-0.08</v>
      </c>
      <c r="O8" s="152">
        <f t="shared" si="4"/>
        <v>-3959.6800000000003</v>
      </c>
      <c r="P8" s="69">
        <f t="shared" si="5"/>
        <v>45536.32</v>
      </c>
    </row>
    <row r="9" spans="1:21" x14ac:dyDescent="0.25">
      <c r="A9" s="149" t="s">
        <v>308</v>
      </c>
      <c r="B9" s="2" t="s">
        <v>390</v>
      </c>
      <c r="C9" s="2" t="s">
        <v>571</v>
      </c>
      <c r="D9" s="42" t="str">
        <f>_xlfn.XLOOKUP(F9,'DATA - Segments'!C:C,'DATA - Segments'!D:D)</f>
        <v>Beer</v>
      </c>
      <c r="E9" s="42" t="str">
        <f>_xlfn.XLOOKUP(F9,'DATA - Segments'!C:C,'DATA - Segments'!E:E)</f>
        <v>Beer - Import</v>
      </c>
      <c r="F9" s="203" t="str">
        <f t="shared" si="0"/>
        <v>Corona Familiar|Constellation Brands</v>
      </c>
      <c r="G9" s="203" t="str">
        <f t="shared" si="1"/>
        <v>Corona Familiar|Constellation Brands|Beer|Beer - Import</v>
      </c>
      <c r="H9" s="150">
        <f>_xlfn.XLOOKUP(F9,'DATA - 2025 Review'!C:C,'DATA - 2025 Review'!I:I,"")</f>
        <v>35524.507448214186</v>
      </c>
      <c r="I9" s="151">
        <f>_xlfn.XLOOKUP(F9,'DATA - 2025 Review'!C:C,'DATA - 2025 Review'!J:J)</f>
        <v>9.6086015796743141E-2</v>
      </c>
      <c r="J9" s="150">
        <f>_xlfn.XLOOKUP(F9,'2025 Finish (ACTUAL)'!$C:$C,'2025 Finish (ACTUAL)'!$D:$D)</f>
        <v>35513.660724000001</v>
      </c>
      <c r="K9" s="146">
        <v>0.08</v>
      </c>
      <c r="L9" s="152">
        <f t="shared" si="2"/>
        <v>2841.0928579200004</v>
      </c>
      <c r="M9" s="152">
        <f t="shared" si="3"/>
        <v>38354.753581919998</v>
      </c>
      <c r="N9" s="146">
        <v>0.08</v>
      </c>
      <c r="O9" s="152">
        <f t="shared" si="4"/>
        <v>2841.0928579200004</v>
      </c>
      <c r="P9" s="69">
        <f t="shared" si="5"/>
        <v>38354.753581919998</v>
      </c>
    </row>
    <row r="10" spans="1:21" x14ac:dyDescent="0.25">
      <c r="A10" s="149" t="s">
        <v>84</v>
      </c>
      <c r="B10" s="2" t="s">
        <v>390</v>
      </c>
      <c r="C10" s="2" t="s">
        <v>571</v>
      </c>
      <c r="D10" s="42" t="str">
        <f>_xlfn.XLOOKUP(F10,'DATA - Segments'!C:C,'DATA - Segments'!D:D)</f>
        <v>Beer</v>
      </c>
      <c r="E10" s="42" t="str">
        <f>_xlfn.XLOOKUP(F10,'DATA - Segments'!C:C,'DATA - Segments'!E:E)</f>
        <v>Beer - Import</v>
      </c>
      <c r="F10" s="203" t="str">
        <f t="shared" si="0"/>
        <v>Corona Premier|Constellation Brands</v>
      </c>
      <c r="G10" s="203" t="str">
        <f t="shared" si="1"/>
        <v>Corona Premier|Constellation Brands|Beer|Beer - Import</v>
      </c>
      <c r="H10" s="150">
        <f>_xlfn.XLOOKUP(F10,'DATA - 2025 Review'!C:C,'DATA - 2025 Review'!I:I,"")</f>
        <v>32988.861161120061</v>
      </c>
      <c r="I10" s="151">
        <f>_xlfn.XLOOKUP(F10,'DATA - 2025 Review'!C:C,'DATA - 2025 Review'!J:J)</f>
        <v>-0.13464840990511917</v>
      </c>
      <c r="J10" s="150">
        <f>_xlfn.XLOOKUP(F10,'2025 Finish (ACTUAL)'!$C:$C,'2025 Finish (ACTUAL)'!$D:$D)</f>
        <v>33624.305502000003</v>
      </c>
      <c r="K10" s="146">
        <v>-0.09</v>
      </c>
      <c r="L10" s="152">
        <f t="shared" si="2"/>
        <v>-3026.18749518</v>
      </c>
      <c r="M10" s="152">
        <f t="shared" si="3"/>
        <v>30598.118006820005</v>
      </c>
      <c r="N10" s="210">
        <v>-0.09</v>
      </c>
      <c r="O10" s="152">
        <f t="shared" si="4"/>
        <v>-3026.18749518</v>
      </c>
      <c r="P10" s="69">
        <f t="shared" si="5"/>
        <v>30598.118006820005</v>
      </c>
    </row>
    <row r="11" spans="1:21" x14ac:dyDescent="0.25">
      <c r="A11" s="149" t="s">
        <v>340</v>
      </c>
      <c r="B11" s="2" t="s">
        <v>390</v>
      </c>
      <c r="C11" s="2" t="s">
        <v>571</v>
      </c>
      <c r="D11" s="42" t="str">
        <f>_xlfn.XLOOKUP(F11,'DATA - Segments'!C:C,'DATA - Segments'!D:D)</f>
        <v>Beer</v>
      </c>
      <c r="E11" s="42" t="str">
        <f>_xlfn.XLOOKUP(F11,'DATA - Segments'!C:C,'DATA - Segments'!E:E)</f>
        <v>Beer - Import</v>
      </c>
      <c r="F11" s="203" t="str">
        <f t="shared" si="0"/>
        <v>Pacifico|Constellation Brands</v>
      </c>
      <c r="G11" s="203" t="str">
        <f t="shared" si="1"/>
        <v>Pacifico|Constellation Brands|Beer|Beer - Import</v>
      </c>
      <c r="H11" s="150">
        <f>_xlfn.XLOOKUP(F11,'DATA - 2025 Review'!C:C,'DATA - 2025 Review'!I:I,"")</f>
        <v>33073.875387304477</v>
      </c>
      <c r="I11" s="151">
        <f>_xlfn.XLOOKUP(F11,'DATA - 2025 Review'!C:C,'DATA - 2025 Review'!J:J)</f>
        <v>0.18824026161832652</v>
      </c>
      <c r="J11" s="150">
        <f>_xlfn.XLOOKUP(F11,'2025 Finish (ACTUAL)'!$C:$C,'2025 Finish (ACTUAL)'!$D:$D)</f>
        <v>33530.222071999997</v>
      </c>
      <c r="K11" s="146">
        <v>0.1</v>
      </c>
      <c r="L11" s="152">
        <f t="shared" si="2"/>
        <v>3353.0222071999997</v>
      </c>
      <c r="M11" s="152">
        <f t="shared" si="3"/>
        <v>36883.244279199993</v>
      </c>
      <c r="N11" s="146">
        <v>0.1</v>
      </c>
      <c r="O11" s="152">
        <f t="shared" si="4"/>
        <v>3353.0222071999997</v>
      </c>
      <c r="P11" s="69">
        <f t="shared" si="5"/>
        <v>36883.244279199993</v>
      </c>
    </row>
    <row r="12" spans="1:21" x14ac:dyDescent="0.25">
      <c r="A12" s="149" t="s">
        <v>309</v>
      </c>
      <c r="B12" s="2" t="s">
        <v>390</v>
      </c>
      <c r="C12" s="2" t="s">
        <v>571</v>
      </c>
      <c r="D12" s="42" t="str">
        <f>_xlfn.XLOOKUP(F12,'DATA - Segments'!C:C,'DATA - Segments'!D:D)</f>
        <v>Beer</v>
      </c>
      <c r="E12" s="42" t="str">
        <f>_xlfn.XLOOKUP(F12,'DATA - Segments'!C:C,'DATA - Segments'!E:E)</f>
        <v>Beer - Import</v>
      </c>
      <c r="F12" s="203" t="str">
        <f t="shared" si="0"/>
        <v>Modelo Negra|Constellation Brands</v>
      </c>
      <c r="G12" s="203" t="str">
        <f t="shared" si="1"/>
        <v>Modelo Negra|Constellation Brands|Beer|Beer - Import</v>
      </c>
      <c r="H12" s="150">
        <f>_xlfn.XLOOKUP(F12,'DATA - 2025 Review'!C:C,'DATA - 2025 Review'!I:I,"")</f>
        <v>24998.02290857023</v>
      </c>
      <c r="I12" s="151">
        <f>_xlfn.XLOOKUP(F12,'DATA - 2025 Review'!C:C,'DATA - 2025 Review'!J:J)</f>
        <v>-6.0766114030985863E-2</v>
      </c>
      <c r="J12" s="150">
        <f>_xlfn.XLOOKUP(F12,'2025 Finish (ACTUAL)'!$C:$C,'2025 Finish (ACTUAL)'!$D:$D)</f>
        <v>25034.555498000002</v>
      </c>
      <c r="K12" s="146">
        <v>-0.04</v>
      </c>
      <c r="L12" s="152">
        <f t="shared" si="2"/>
        <v>-1001.3822199200001</v>
      </c>
      <c r="M12" s="152">
        <f t="shared" si="3"/>
        <v>24033.173278080001</v>
      </c>
      <c r="N12" s="146">
        <v>-0.04</v>
      </c>
      <c r="O12" s="152">
        <f t="shared" si="4"/>
        <v>-1001.3822199200001</v>
      </c>
      <c r="P12" s="69">
        <f t="shared" si="5"/>
        <v>24033.173278080001</v>
      </c>
    </row>
    <row r="13" spans="1:21" x14ac:dyDescent="0.25">
      <c r="A13" s="149" t="s">
        <v>183</v>
      </c>
      <c r="B13" s="2" t="s">
        <v>390</v>
      </c>
      <c r="C13" s="2" t="s">
        <v>571</v>
      </c>
      <c r="D13" s="42" t="str">
        <f>_xlfn.XLOOKUP(F13,'DATA - Segments'!C:C,'DATA - Segments'!D:D)</f>
        <v>Beer</v>
      </c>
      <c r="E13" s="42" t="str">
        <f>_xlfn.XLOOKUP(F13,'DATA - Segments'!C:C,'DATA - Segments'!E:E)</f>
        <v>Beer - Non-Alc</v>
      </c>
      <c r="F13" s="203" t="str">
        <f t="shared" si="0"/>
        <v>Corona NA|Constellation Brands</v>
      </c>
      <c r="G13" s="203" t="str">
        <f t="shared" si="1"/>
        <v>Corona NA|Constellation Brands|Beer|Beer - Non-Alc</v>
      </c>
      <c r="H13" s="150">
        <f>_xlfn.XLOOKUP(F13,'DATA - 2025 Review'!C:C,'DATA - 2025 Review'!I:I,"")</f>
        <v>8547.5698140000004</v>
      </c>
      <c r="I13" s="151">
        <f>_xlfn.XLOOKUP(F13,'DATA - 2025 Review'!C:C,'DATA - 2025 Review'!J:J)</f>
        <v>0.43656635529411769</v>
      </c>
      <c r="J13" s="150">
        <f>_xlfn.XLOOKUP(F13,'2025 Finish (ACTUAL)'!$C:$C,'2025 Finish (ACTUAL)'!$D:$D)</f>
        <v>8481</v>
      </c>
      <c r="K13" s="146">
        <v>0.25</v>
      </c>
      <c r="L13" s="152">
        <f t="shared" si="2"/>
        <v>2120.25</v>
      </c>
      <c r="M13" s="152">
        <f t="shared" si="3"/>
        <v>10601.25</v>
      </c>
      <c r="N13" s="146">
        <v>0.25</v>
      </c>
      <c r="O13" s="152">
        <f t="shared" si="4"/>
        <v>2120.25</v>
      </c>
      <c r="P13" s="69">
        <f t="shared" si="5"/>
        <v>10601.25</v>
      </c>
    </row>
    <row r="14" spans="1:21" x14ac:dyDescent="0.25">
      <c r="A14" s="149" t="s">
        <v>184</v>
      </c>
      <c r="B14" s="2" t="s">
        <v>390</v>
      </c>
      <c r="C14" s="2" t="s">
        <v>571</v>
      </c>
      <c r="D14" s="42" t="str">
        <f>_xlfn.XLOOKUP(F14,'DATA - Segments'!C:C,'DATA - Segments'!D:D)</f>
        <v>Beer</v>
      </c>
      <c r="E14" s="42" t="str">
        <f>_xlfn.XLOOKUP(F14,'DATA - Segments'!C:C,'DATA - Segments'!E:E)</f>
        <v>Beer - Import</v>
      </c>
      <c r="F14" s="203" t="str">
        <f t="shared" si="0"/>
        <v>Modelo Oro|Constellation Brands</v>
      </c>
      <c r="G14" s="203" t="str">
        <f t="shared" si="1"/>
        <v>Modelo Oro|Constellation Brands|Beer|Beer - Import</v>
      </c>
      <c r="H14" s="150">
        <f>_xlfn.XLOOKUP(F14,'DATA - 2025 Review'!C:C,'DATA - 2025 Review'!I:I,"")</f>
        <v>5403.0100240000002</v>
      </c>
      <c r="I14" s="151">
        <f>_xlfn.XLOOKUP(F14,'DATA - 2025 Review'!C:C,'DATA - 2025 Review'!J:J)</f>
        <v>-0.14913227968503939</v>
      </c>
      <c r="J14" s="150">
        <f>_xlfn.XLOOKUP(F14,'2025 Finish (ACTUAL)'!$C:$C,'2025 Finish (ACTUAL)'!$D:$D)</f>
        <v>5453</v>
      </c>
      <c r="K14" s="146">
        <v>-0.05</v>
      </c>
      <c r="L14" s="152">
        <f t="shared" si="2"/>
        <v>-272.65000000000003</v>
      </c>
      <c r="M14" s="152">
        <f t="shared" si="3"/>
        <v>5180.3500000000004</v>
      </c>
      <c r="N14" s="210">
        <v>-0.25</v>
      </c>
      <c r="O14" s="152">
        <f t="shared" si="4"/>
        <v>-1363.25</v>
      </c>
      <c r="P14" s="69">
        <f t="shared" si="5"/>
        <v>4089.75</v>
      </c>
    </row>
    <row r="15" spans="1:21" x14ac:dyDescent="0.25">
      <c r="A15" s="149" t="s">
        <v>157</v>
      </c>
      <c r="B15" s="2" t="s">
        <v>390</v>
      </c>
      <c r="C15" s="2" t="s">
        <v>571</v>
      </c>
      <c r="D15" s="42" t="str">
        <f>_xlfn.XLOOKUP(F15,'DATA - Segments'!C:C,'DATA - Segments'!D:D)</f>
        <v>Beer</v>
      </c>
      <c r="E15" s="42" t="str">
        <f>_xlfn.XLOOKUP(F15,'DATA - Segments'!C:C,'DATA - Segments'!E:E)</f>
        <v>Beer - Import</v>
      </c>
      <c r="F15" s="203" t="str">
        <f t="shared" si="0"/>
        <v>Corona Sunbrew|Constellation Brands</v>
      </c>
      <c r="G15" s="203" t="str">
        <f t="shared" si="1"/>
        <v>Corona Sunbrew|Constellation Brands|Beer|Beer - Import</v>
      </c>
      <c r="H15" s="150">
        <f>_xlfn.XLOOKUP(F15,'DATA - 2025 Review'!C:C,'DATA - 2025 Review'!I:I,"")</f>
        <v>9752.1199770000003</v>
      </c>
      <c r="I15" s="151">
        <f>_xlfn.XLOOKUP(F15,'DATA - 2025 Review'!C:C,'DATA - 2025 Review'!J:J)</f>
        <v>0.86607730137772676</v>
      </c>
      <c r="J15" s="150">
        <f>_xlfn.XLOOKUP(F15,'2025 Finish (ACTUAL)'!$C:$C,'2025 Finish (ACTUAL)'!$D:$D)</f>
        <v>9386</v>
      </c>
      <c r="K15" s="146">
        <v>0.2</v>
      </c>
      <c r="L15" s="152">
        <f t="shared" si="2"/>
        <v>1877.2</v>
      </c>
      <c r="M15" s="152">
        <f t="shared" si="3"/>
        <v>11263.2</v>
      </c>
      <c r="N15" s="146">
        <v>0.2</v>
      </c>
      <c r="O15" s="152">
        <f t="shared" si="4"/>
        <v>1877.2</v>
      </c>
      <c r="P15" s="69">
        <f t="shared" si="5"/>
        <v>11263.2</v>
      </c>
    </row>
    <row r="16" spans="1:21" x14ac:dyDescent="0.25">
      <c r="A16" s="156" t="s">
        <v>28</v>
      </c>
      <c r="B16" s="283" t="s">
        <v>390</v>
      </c>
      <c r="C16" s="283"/>
      <c r="D16" s="42" t="str">
        <f>_xlfn.XLOOKUP(F16,'DATA - Segments'!C:C,'DATA - Segments'!D:D)</f>
        <v>FMB</v>
      </c>
      <c r="E16" s="42" t="str">
        <f>_xlfn.XLOOKUP(F16,'DATA - Segments'!C:C,'DATA - Segments'!E:E)</f>
        <v>FMB</v>
      </c>
      <c r="F16" s="203" t="str">
        <f t="shared" si="0"/>
        <v>Corona Refresca|Constellation Brands</v>
      </c>
      <c r="G16" s="203" t="str">
        <f t="shared" si="1"/>
        <v>Corona Refresca|Constellation Brands|FMB|FMB</v>
      </c>
      <c r="H16" s="276">
        <f>_xlfn.XLOOKUP(F16,'DATA - 2025 Review'!C:C,'DATA - 2025 Review'!I:I,"")</f>
        <v>1195.0131839999999</v>
      </c>
      <c r="I16" s="277">
        <f>_xlfn.XLOOKUP(F16,'DATA - 2025 Review'!C:C,'DATA - 2025 Review'!J:J)</f>
        <v>-0.77229169512195117</v>
      </c>
      <c r="J16" s="278">
        <f>_xlfn.XLOOKUP(F16,'2025 Finish (ACTUAL)'!$C:$C,'2025 Finish (ACTUAL)'!$D:$D)</f>
        <v>1093</v>
      </c>
      <c r="K16" s="277">
        <v>-1</v>
      </c>
      <c r="L16" s="279">
        <f t="shared" si="2"/>
        <v>-1093</v>
      </c>
      <c r="M16" s="279">
        <f t="shared" si="3"/>
        <v>0</v>
      </c>
      <c r="N16" s="277">
        <v>-1</v>
      </c>
      <c r="O16" s="279">
        <f t="shared" si="4"/>
        <v>-1093</v>
      </c>
      <c r="P16" s="280">
        <f t="shared" si="5"/>
        <v>0</v>
      </c>
    </row>
    <row r="17" spans="1:16" x14ac:dyDescent="0.25">
      <c r="A17" s="149" t="s">
        <v>341</v>
      </c>
      <c r="B17" s="2" t="s">
        <v>390</v>
      </c>
      <c r="C17" s="2" t="s">
        <v>571</v>
      </c>
      <c r="D17" s="42" t="str">
        <f>_xlfn.XLOOKUP(F17,'DATA - Segments'!C:C,'DATA - Segments'!D:D)</f>
        <v>FMB</v>
      </c>
      <c r="E17" s="42" t="str">
        <f>_xlfn.XLOOKUP(F17,'DATA - Segments'!C:C,'DATA - Segments'!E:E)</f>
        <v>FMB</v>
      </c>
      <c r="F17" s="203" t="str">
        <f t="shared" si="0"/>
        <v>Modelo Aquas Frescas|Constellation Brands</v>
      </c>
      <c r="G17" s="203" t="str">
        <f t="shared" si="1"/>
        <v>Modelo Aquas Frescas|Constellation Brands|FMB|FMB</v>
      </c>
      <c r="H17" s="150">
        <f>_xlfn.XLOOKUP(F17,'DATA - 2025 Review'!C:C,'DATA - 2025 Review'!I:I,"")</f>
        <v>1856.656432</v>
      </c>
      <c r="I17" s="151">
        <f>_xlfn.XLOOKUP(F17,'DATA - 2025 Review'!C:C,'DATA - 2025 Review'!J:J)</f>
        <v>-0.51649572083333339</v>
      </c>
      <c r="J17" s="150">
        <f>_xlfn.XLOOKUP(F17,'2025 Finish (ACTUAL)'!$C:$C,'2025 Finish (ACTUAL)'!$D:$D)</f>
        <v>2036</v>
      </c>
      <c r="K17" s="146">
        <v>-0.5</v>
      </c>
      <c r="L17" s="152">
        <f t="shared" si="2"/>
        <v>-1018</v>
      </c>
      <c r="M17" s="152">
        <f t="shared" si="3"/>
        <v>1018</v>
      </c>
      <c r="N17" s="146">
        <v>-0.5</v>
      </c>
      <c r="O17" s="152">
        <f t="shared" si="4"/>
        <v>-1018</v>
      </c>
      <c r="P17" s="69">
        <f t="shared" si="5"/>
        <v>1018</v>
      </c>
    </row>
    <row r="18" spans="1:16" x14ac:dyDescent="0.25">
      <c r="A18" s="156" t="s">
        <v>236</v>
      </c>
      <c r="B18" s="283" t="s">
        <v>390</v>
      </c>
      <c r="C18" s="283"/>
      <c r="D18" s="42" t="str">
        <f>_xlfn.XLOOKUP(F18,'DATA - Segments'!C:C,'DATA - Segments'!D:D)</f>
        <v>RTD</v>
      </c>
      <c r="E18" s="42" t="str">
        <f>_xlfn.XLOOKUP(F18,'DATA - Segments'!C:C,'DATA - Segments'!E:E)</f>
        <v>RTD</v>
      </c>
      <c r="F18" s="203" t="str">
        <f t="shared" si="0"/>
        <v>Fresca Mixed|Constellation Brands</v>
      </c>
      <c r="G18" s="203" t="str">
        <f t="shared" si="1"/>
        <v>Fresca Mixed|Constellation Brands|RTD|RTD</v>
      </c>
      <c r="H18" s="276">
        <f>_xlfn.XLOOKUP(F18,'DATA - 2025 Review'!C:C,'DATA - 2025 Review'!I:I,"")</f>
        <v>546.83110099999999</v>
      </c>
      <c r="I18" s="277">
        <f>_xlfn.XLOOKUP(F18,'DATA - 2025 Review'!C:C,'DATA - 2025 Review'!J:J)</f>
        <v>-0.50868724079065597</v>
      </c>
      <c r="J18" s="278">
        <f>_xlfn.XLOOKUP(F18,'2025 Finish (ACTUAL)'!$C:$C,'2025 Finish (ACTUAL)'!$D:$D)</f>
        <v>605</v>
      </c>
      <c r="K18" s="277">
        <v>-1</v>
      </c>
      <c r="L18" s="279">
        <f t="shared" si="2"/>
        <v>-605</v>
      </c>
      <c r="M18" s="279">
        <f t="shared" si="3"/>
        <v>0</v>
      </c>
      <c r="N18" s="277">
        <v>-1</v>
      </c>
      <c r="O18" s="279">
        <f t="shared" si="4"/>
        <v>-605</v>
      </c>
      <c r="P18" s="280">
        <f t="shared" si="5"/>
        <v>0</v>
      </c>
    </row>
    <row r="19" spans="1:16" x14ac:dyDescent="0.25">
      <c r="A19" s="156" t="s">
        <v>29</v>
      </c>
      <c r="B19" s="284" t="s">
        <v>390</v>
      </c>
      <c r="C19" s="284"/>
      <c r="D19" s="42" t="str">
        <f>_xlfn.XLOOKUP(F19,'DATA - Segments'!C:C,'DATA - Segments'!D:D)</f>
        <v>FMB</v>
      </c>
      <c r="E19" s="42" t="str">
        <f>_xlfn.XLOOKUP(F19,'DATA - Segments'!C:C,'DATA - Segments'!E:E)</f>
        <v>FMB</v>
      </c>
      <c r="F19" s="203" t="str">
        <f t="shared" si="0"/>
        <v>The Drop|Constellation Brands</v>
      </c>
      <c r="G19" s="203" t="str">
        <f t="shared" si="1"/>
        <v>The Drop|Constellation Brands|FMB|FMB</v>
      </c>
      <c r="H19" s="273">
        <f>_xlfn.XLOOKUP(F19,'DATA - 2025 Review'!C:C,'DATA - 2025 Review'!I:I,"")</f>
        <v>351</v>
      </c>
      <c r="I19" s="281">
        <f>_xlfn.XLOOKUP(F19,'DATA - 2025 Review'!C:C,'DATA - 2025 Review'!J:J)</f>
        <v>0</v>
      </c>
      <c r="J19" s="273">
        <f>_xlfn.XLOOKUP(F19,'2025 Finish (ACTUAL)'!$C:$C,'2025 Finish (ACTUAL)'!$D:$D)</f>
        <v>365</v>
      </c>
      <c r="K19" s="281">
        <v>-1</v>
      </c>
      <c r="L19" s="274">
        <f t="shared" si="2"/>
        <v>-365</v>
      </c>
      <c r="M19" s="274">
        <f t="shared" si="3"/>
        <v>0</v>
      </c>
      <c r="N19" s="281">
        <v>-1</v>
      </c>
      <c r="O19" s="274">
        <f t="shared" si="4"/>
        <v>-365</v>
      </c>
      <c r="P19" s="275">
        <f t="shared" si="5"/>
        <v>0</v>
      </c>
    </row>
    <row r="20" spans="1:16" x14ac:dyDescent="0.25">
      <c r="A20" s="156" t="s">
        <v>310</v>
      </c>
      <c r="B20" s="285" t="s">
        <v>390</v>
      </c>
      <c r="C20" s="285"/>
      <c r="D20" s="42"/>
      <c r="E20" s="42"/>
      <c r="F20" s="205" t="str">
        <f t="shared" si="0"/>
        <v>Corona Seltzer|Constellation Brands</v>
      </c>
      <c r="G20" s="203" t="str">
        <f t="shared" si="1"/>
        <v>Corona Seltzer|Constellation Brands||</v>
      </c>
      <c r="H20" s="276">
        <f>_xlfn.XLOOKUP(F20,'DATA - 2025 Review'!C:C,'DATA - 2025 Review'!I:I,"")</f>
        <v>0</v>
      </c>
      <c r="I20" s="277">
        <f>_xlfn.XLOOKUP(F20,'DATA - 2025 Review'!C:C,'DATA - 2025 Review'!J:J)</f>
        <v>-1</v>
      </c>
      <c r="J20" s="278"/>
      <c r="K20" s="277">
        <v>-1</v>
      </c>
      <c r="L20" s="279"/>
      <c r="M20" s="279">
        <f t="shared" si="3"/>
        <v>0</v>
      </c>
      <c r="N20" s="277">
        <v>-1</v>
      </c>
      <c r="O20" s="279">
        <f t="shared" si="4"/>
        <v>0</v>
      </c>
      <c r="P20" s="280">
        <f t="shared" si="5"/>
        <v>0</v>
      </c>
    </row>
    <row r="21" spans="1:16" x14ac:dyDescent="0.25">
      <c r="A21" s="143" t="s">
        <v>51</v>
      </c>
      <c r="B21" s="202"/>
      <c r="C21" s="202" t="str">
        <f>_xlfn.XLOOKUP(A21,'Brand Managers'!A:A,'Brand Managers'!B:B)</f>
        <v>Dan Downing</v>
      </c>
      <c r="D21" s="202"/>
      <c r="E21" s="202"/>
      <c r="F21" s="203" t="str">
        <f t="shared" si="0"/>
        <v>MolsonCoors Beverage Company|</v>
      </c>
      <c r="G21" s="203" t="str">
        <f t="shared" si="1"/>
        <v>MolsonCoors Beverage Company|||</v>
      </c>
      <c r="H21" s="144">
        <f>_xlfn.XLOOKUP(F21,'DATA - 2025 Review'!C:C,'DATA - 2025 Review'!I:I,"")</f>
        <v>1873956.7315724019</v>
      </c>
      <c r="I21" s="145">
        <f>_xlfn.XLOOKUP(F21,'DATA - 2025 Review'!C:C,'DATA - 2025 Review'!J:J)</f>
        <v>-7.8339709462916796E-2</v>
      </c>
      <c r="J21" s="144">
        <f>_xlfn.XLOOKUP(F21,'2025 Finish (ACTUAL)'!$C:$C,'2025 Finish (ACTUAL)'!$D:$D)</f>
        <v>1864356.0604590001</v>
      </c>
      <c r="K21" s="145">
        <f>L21/J21</f>
        <v>-2.7720046801189193E-2</v>
      </c>
      <c r="L21" s="147">
        <f>SUMIF(B:B,A21,L:L)</f>
        <v>-51680.037250004192</v>
      </c>
      <c r="M21" s="147">
        <f>SUMIF(B:B,A21,M:M)</f>
        <v>1812676.0232089953</v>
      </c>
      <c r="N21" s="145">
        <f>O21/J21</f>
        <v>-4.0256919238285442E-2</v>
      </c>
      <c r="O21" s="147">
        <f>SUMIF(B:B,A21,O:O)</f>
        <v>-75053.23135730598</v>
      </c>
      <c r="P21" s="148">
        <f>SUMIF(B:B,A21,P:P)</f>
        <v>1789302.8291016938</v>
      </c>
    </row>
    <row r="22" spans="1:16" x14ac:dyDescent="0.25">
      <c r="A22" s="149" t="s">
        <v>237</v>
      </c>
      <c r="B22" s="2" t="s">
        <v>51</v>
      </c>
      <c r="C22" s="2" t="s">
        <v>577</v>
      </c>
      <c r="D22" s="42" t="str">
        <f>_xlfn.XLOOKUP(F22,'DATA - Segments'!C:C,'DATA - Segments'!D:D)</f>
        <v>Beer</v>
      </c>
      <c r="E22" s="42" t="str">
        <f>_xlfn.XLOOKUP(F22,'DATA - Segments'!C:C,'DATA - Segments'!E:E)</f>
        <v>Beer - Premium</v>
      </c>
      <c r="F22" s="203" t="str">
        <f t="shared" si="0"/>
        <v>Coors Light|MolsonCoors Beverage Company</v>
      </c>
      <c r="G22" s="203" t="str">
        <f t="shared" si="1"/>
        <v>Coors Light|MolsonCoors Beverage Company|Beer|Beer - Premium</v>
      </c>
      <c r="H22" s="150">
        <f>_xlfn.XLOOKUP(F22,'DATA - 2025 Review'!C:C,'DATA - 2025 Review'!I:I,"")</f>
        <v>798103.68502835382</v>
      </c>
      <c r="I22" s="151">
        <f>_xlfn.XLOOKUP(F22,'DATA - 2025 Review'!C:C,'DATA - 2025 Review'!J:J)</f>
        <v>-9.8448145598845072E-2</v>
      </c>
      <c r="J22" s="150">
        <f>_xlfn.XLOOKUP(F22,'2025 Finish (ACTUAL)'!$C:$C,'2025 Finish (ACTUAL)'!$D:$D)</f>
        <v>792237.30462800001</v>
      </c>
      <c r="K22" s="146">
        <v>-0.06</v>
      </c>
      <c r="L22" s="152">
        <f>K22*J22</f>
        <v>-47534.23827768</v>
      </c>
      <c r="M22" s="152">
        <f t="shared" ref="M22:M58" si="6">L22+J22</f>
        <v>744703.06635032</v>
      </c>
      <c r="N22" s="146">
        <v>-0.06</v>
      </c>
      <c r="O22" s="152">
        <f t="shared" ref="O22:O58" si="7">N22*J22</f>
        <v>-47534.23827768</v>
      </c>
      <c r="P22" s="69">
        <f t="shared" ref="P22:P58" si="8">O22+J22</f>
        <v>744703.06635032</v>
      </c>
    </row>
    <row r="23" spans="1:16" x14ac:dyDescent="0.25">
      <c r="A23" s="149" t="s">
        <v>106</v>
      </c>
      <c r="B23" s="2" t="s">
        <v>51</v>
      </c>
      <c r="C23" s="2" t="s">
        <v>577</v>
      </c>
      <c r="D23" s="42" t="str">
        <f>_xlfn.XLOOKUP(F23,'DATA - Segments'!C:C,'DATA - Segments'!D:D)</f>
        <v>Beer</v>
      </c>
      <c r="E23" s="42" t="str">
        <f>_xlfn.XLOOKUP(F23,'DATA - Segments'!C:C,'DATA - Segments'!E:E)</f>
        <v>Beer - Premium</v>
      </c>
      <c r="F23" s="203" t="str">
        <f t="shared" si="0"/>
        <v>Lite|MolsonCoors Beverage Company</v>
      </c>
      <c r="G23" s="203" t="str">
        <f t="shared" si="1"/>
        <v>Lite|MolsonCoors Beverage Company|Beer|Beer - Premium</v>
      </c>
      <c r="H23" s="150">
        <f>_xlfn.XLOOKUP(F23,'DATA - 2025 Review'!C:C,'DATA - 2025 Review'!I:I,"")</f>
        <v>517515.29029975727</v>
      </c>
      <c r="I23" s="151">
        <f>_xlfn.XLOOKUP(F23,'DATA - 2025 Review'!C:C,'DATA - 2025 Review'!J:J)</f>
        <v>-6.8860275093249768E-2</v>
      </c>
      <c r="J23" s="150">
        <f>_xlfn.XLOOKUP(F23,'2025 Finish (ACTUAL)'!$C:$C,'2025 Finish (ACTUAL)'!$D:$D)</f>
        <v>514391.59883700003</v>
      </c>
      <c r="K23" s="146">
        <v>-0.04</v>
      </c>
      <c r="L23" s="152">
        <f t="shared" ref="L23:L86" si="9">K23*J23</f>
        <v>-20575.663953480002</v>
      </c>
      <c r="M23" s="152">
        <f t="shared" si="6"/>
        <v>493815.93488352001</v>
      </c>
      <c r="N23" s="146">
        <v>-0.04</v>
      </c>
      <c r="O23" s="152">
        <f t="shared" si="7"/>
        <v>-20575.663953480002</v>
      </c>
      <c r="P23" s="69">
        <f t="shared" si="8"/>
        <v>493815.93488352001</v>
      </c>
    </row>
    <row r="24" spans="1:16" x14ac:dyDescent="0.25">
      <c r="A24" s="149" t="s">
        <v>185</v>
      </c>
      <c r="B24" s="2" t="s">
        <v>51</v>
      </c>
      <c r="C24" s="2" t="s">
        <v>577</v>
      </c>
      <c r="D24" s="42" t="str">
        <f>_xlfn.XLOOKUP(F24,'DATA - Segments'!C:C,'DATA - Segments'!D:D)</f>
        <v>Beer</v>
      </c>
      <c r="E24" s="42" t="str">
        <f>_xlfn.XLOOKUP(F24,'DATA - Segments'!C:C,'DATA - Segments'!E:E)</f>
        <v>Beer - Craft</v>
      </c>
      <c r="F24" s="203" t="str">
        <f t="shared" si="0"/>
        <v>Blue Moon|MolsonCoors Beverage Company</v>
      </c>
      <c r="G24" s="203" t="str">
        <f t="shared" si="1"/>
        <v>Blue Moon|MolsonCoors Beverage Company|Beer|Beer - Craft</v>
      </c>
      <c r="H24" s="150">
        <f>_xlfn.XLOOKUP(F24,'DATA - 2025 Review'!C:C,'DATA - 2025 Review'!I:I,"")</f>
        <v>123830.60015910793</v>
      </c>
      <c r="I24" s="151">
        <f>_xlfn.XLOOKUP(F24,'DATA - 2025 Review'!C:C,'DATA - 2025 Review'!J:J)</f>
        <v>-7.2981963875872968E-2</v>
      </c>
      <c r="J24" s="150">
        <f>_xlfn.XLOOKUP(F24,'2025 Finish (ACTUAL)'!$C:$C,'2025 Finish (ACTUAL)'!$D:$D)</f>
        <v>123103.89820700001</v>
      </c>
      <c r="K24" s="146">
        <v>-4.4999999999999998E-2</v>
      </c>
      <c r="L24" s="152">
        <f t="shared" si="9"/>
        <v>-5539.675419315</v>
      </c>
      <c r="M24" s="152">
        <f t="shared" si="6"/>
        <v>117564.22278768501</v>
      </c>
      <c r="N24" s="146">
        <v>-4.4999999999999998E-2</v>
      </c>
      <c r="O24" s="152">
        <f t="shared" si="7"/>
        <v>-5539.675419315</v>
      </c>
      <c r="P24" s="69">
        <f t="shared" si="8"/>
        <v>117564.22278768501</v>
      </c>
    </row>
    <row r="25" spans="1:16" x14ac:dyDescent="0.25">
      <c r="A25" s="149" t="s">
        <v>52</v>
      </c>
      <c r="B25" s="2" t="s">
        <v>51</v>
      </c>
      <c r="C25" s="2" t="s">
        <v>577</v>
      </c>
      <c r="D25" s="42" t="str">
        <f>_xlfn.XLOOKUP(F25,'DATA - Segments'!C:C,'DATA - Segments'!D:D)</f>
        <v>Beer</v>
      </c>
      <c r="E25" s="42" t="str">
        <f>_xlfn.XLOOKUP(F25,'DATA - Segments'!C:C,'DATA - Segments'!E:E)</f>
        <v>Beer - Premium</v>
      </c>
      <c r="F25" s="203" t="str">
        <f t="shared" si="0"/>
        <v>Coors|MolsonCoors Beverage Company</v>
      </c>
      <c r="G25" s="203" t="str">
        <f t="shared" si="1"/>
        <v>Coors|MolsonCoors Beverage Company|Beer|Beer - Premium</v>
      </c>
      <c r="H25" s="150">
        <f>_xlfn.XLOOKUP(F25,'DATA - 2025 Review'!C:C,'DATA - 2025 Review'!I:I,"")</f>
        <v>114505.23661438764</v>
      </c>
      <c r="I25" s="151">
        <f>_xlfn.XLOOKUP(F25,'DATA - 2025 Review'!C:C,'DATA - 2025 Review'!J:J)</f>
        <v>6.0734030399548722E-2</v>
      </c>
      <c r="J25" s="150">
        <f>_xlfn.XLOOKUP(F25,'2025 Finish (ACTUAL)'!$C:$C,'2025 Finish (ACTUAL)'!$D:$D)</f>
        <v>112534.69416899999</v>
      </c>
      <c r="K25" s="146">
        <v>8.5000000000000006E-2</v>
      </c>
      <c r="L25" s="152">
        <f t="shared" si="9"/>
        <v>9565.4490043650003</v>
      </c>
      <c r="M25" s="152">
        <f t="shared" si="6"/>
        <v>122100.143173365</v>
      </c>
      <c r="N25" s="146">
        <v>8.5000000000000006E-2</v>
      </c>
      <c r="O25" s="152">
        <f t="shared" si="7"/>
        <v>9565.4490043650003</v>
      </c>
      <c r="P25" s="69">
        <f t="shared" si="8"/>
        <v>122100.143173365</v>
      </c>
    </row>
    <row r="26" spans="1:16" x14ac:dyDescent="0.25">
      <c r="A26" s="149" t="s">
        <v>129</v>
      </c>
      <c r="B26" s="2" t="s">
        <v>51</v>
      </c>
      <c r="C26" s="2" t="s">
        <v>577</v>
      </c>
      <c r="D26" s="42" t="str">
        <f>_xlfn.XLOOKUP(F26,'DATA - Segments'!C:C,'DATA - Segments'!D:D)</f>
        <v>Beer</v>
      </c>
      <c r="E26" s="42" t="str">
        <f>_xlfn.XLOOKUP(F26,'DATA - Segments'!C:C,'DATA - Segments'!E:E)</f>
        <v>Beer - Economy</v>
      </c>
      <c r="F26" s="203" t="str">
        <f t="shared" si="0"/>
        <v>Miller High Life|MolsonCoors Beverage Company</v>
      </c>
      <c r="G26" s="203" t="str">
        <f t="shared" si="1"/>
        <v>Miller High Life|MolsonCoors Beverage Company|Beer|Beer - Economy</v>
      </c>
      <c r="H26" s="150">
        <f>_xlfn.XLOOKUP(F26,'DATA - 2025 Review'!C:C,'DATA - 2025 Review'!I:I,"")</f>
        <v>66853.720742495847</v>
      </c>
      <c r="I26" s="151">
        <f>_xlfn.XLOOKUP(F26,'DATA - 2025 Review'!C:C,'DATA - 2025 Review'!J:J)</f>
        <v>-4.1370959463958412E-2</v>
      </c>
      <c r="J26" s="150">
        <f>_xlfn.XLOOKUP(F26,'2025 Finish (ACTUAL)'!$C:$C,'2025 Finish (ACTUAL)'!$D:$D)</f>
        <v>66734.691133</v>
      </c>
      <c r="K26" s="146">
        <v>-0.01</v>
      </c>
      <c r="L26" s="152">
        <f t="shared" si="9"/>
        <v>-667.34691133000001</v>
      </c>
      <c r="M26" s="152">
        <f t="shared" si="6"/>
        <v>66067.344221670006</v>
      </c>
      <c r="N26" s="146">
        <v>-0.03</v>
      </c>
      <c r="O26" s="152">
        <f t="shared" si="7"/>
        <v>-2002.04073399</v>
      </c>
      <c r="P26" s="69">
        <f t="shared" si="8"/>
        <v>64732.650399010003</v>
      </c>
    </row>
    <row r="27" spans="1:16" x14ac:dyDescent="0.25">
      <c r="A27" s="149" t="s">
        <v>282</v>
      </c>
      <c r="B27" s="2" t="s">
        <v>51</v>
      </c>
      <c r="C27" s="2" t="s">
        <v>577</v>
      </c>
      <c r="D27" s="42" t="str">
        <f>_xlfn.XLOOKUP(F27,'DATA - Segments'!C:C,'DATA - Segments'!D:D)</f>
        <v>Beer</v>
      </c>
      <c r="E27" s="42" t="str">
        <f>_xlfn.XLOOKUP(F27,'DATA - Segments'!C:C,'DATA - Segments'!E:E)</f>
        <v>Beer - Import</v>
      </c>
      <c r="F27" s="203" t="str">
        <f t="shared" si="0"/>
        <v>Peroni|MolsonCoors Beverage Company</v>
      </c>
      <c r="G27" s="203" t="str">
        <f t="shared" si="1"/>
        <v>Peroni|MolsonCoors Beverage Company|Beer|Beer - Import</v>
      </c>
      <c r="H27" s="150">
        <f>_xlfn.XLOOKUP(F27,'DATA - 2025 Review'!C:C,'DATA - 2025 Review'!I:I,"")</f>
        <v>57815.760815013979</v>
      </c>
      <c r="I27" s="151">
        <f>_xlfn.XLOOKUP(F27,'DATA - 2025 Review'!C:C,'DATA - 2025 Review'!J:J)</f>
        <v>0.12607868821670998</v>
      </c>
      <c r="J27" s="150">
        <f>_xlfn.XLOOKUP(F27,'2025 Finish (ACTUAL)'!$C:$C,'2025 Finish (ACTUAL)'!$D:$D)</f>
        <v>57382.712374000002</v>
      </c>
      <c r="K27" s="146">
        <v>0.126</v>
      </c>
      <c r="L27" s="152">
        <f t="shared" si="9"/>
        <v>7230.2217591240005</v>
      </c>
      <c r="M27" s="152">
        <f t="shared" si="6"/>
        <v>64612.934133123999</v>
      </c>
      <c r="N27" s="146">
        <v>0.126</v>
      </c>
      <c r="O27" s="152">
        <f t="shared" si="7"/>
        <v>7230.2217591240005</v>
      </c>
      <c r="P27" s="69">
        <f t="shared" si="8"/>
        <v>64612.934133123999</v>
      </c>
    </row>
    <row r="28" spans="1:16" x14ac:dyDescent="0.25">
      <c r="A28" s="149" t="s">
        <v>391</v>
      </c>
      <c r="B28" s="2" t="s">
        <v>51</v>
      </c>
      <c r="C28" s="2" t="s">
        <v>577</v>
      </c>
      <c r="D28" s="42" t="str">
        <f>_xlfn.XLOOKUP(F28,'DATA - Segments'!C:C,'DATA - Segments'!D:D)</f>
        <v>Beer</v>
      </c>
      <c r="E28" s="42" t="str">
        <f>_xlfn.XLOOKUP(F28,'DATA - Segments'!C:C,'DATA - Segments'!E:E)</f>
        <v>Beer - Import</v>
      </c>
      <c r="F28" s="203" t="str">
        <f t="shared" si="0"/>
        <v>Fosters|MolsonCoors Beverage Company</v>
      </c>
      <c r="G28" s="203" t="str">
        <f t="shared" si="1"/>
        <v>Fosters|MolsonCoors Beverage Company|Beer|Beer - Import</v>
      </c>
      <c r="H28" s="150">
        <f>_xlfn.XLOOKUP(F28,'DATA - 2025 Review'!C:C,'DATA - 2025 Review'!I:I,"")</f>
        <v>22754.153003607345</v>
      </c>
      <c r="I28" s="151">
        <f>_xlfn.XLOOKUP(F28,'DATA - 2025 Review'!C:C,'DATA - 2025 Review'!J:J)</f>
        <v>-9.6091368787812992E-2</v>
      </c>
      <c r="J28" s="150">
        <f>_xlfn.XLOOKUP(F28,'2025 Finish (ACTUAL)'!$C:$C,'2025 Finish (ACTUAL)'!$D:$D)</f>
        <v>22845.126108</v>
      </c>
      <c r="K28" s="146">
        <v>-0.114</v>
      </c>
      <c r="L28" s="152">
        <f t="shared" si="9"/>
        <v>-2604.3443763120003</v>
      </c>
      <c r="M28" s="152">
        <f t="shared" si="6"/>
        <v>20240.781731687999</v>
      </c>
      <c r="N28" s="146">
        <v>-0.114</v>
      </c>
      <c r="O28" s="152">
        <f t="shared" si="7"/>
        <v>-2604.3443763120003</v>
      </c>
      <c r="P28" s="69">
        <f t="shared" si="8"/>
        <v>20240.781731687999</v>
      </c>
    </row>
    <row r="29" spans="1:16" x14ac:dyDescent="0.25">
      <c r="A29" s="149" t="s">
        <v>392</v>
      </c>
      <c r="B29" s="2" t="s">
        <v>51</v>
      </c>
      <c r="C29" s="2" t="s">
        <v>577</v>
      </c>
      <c r="D29" s="42" t="str">
        <f>_xlfn.XLOOKUP(F29,'DATA - Segments'!C:C,'DATA - Segments'!D:D)</f>
        <v>Beer</v>
      </c>
      <c r="E29" s="42" t="str">
        <f>_xlfn.XLOOKUP(F29,'DATA - Segments'!C:C,'DATA - Segments'!E:E)</f>
        <v>Beer - Import</v>
      </c>
      <c r="F29" s="203" t="str">
        <f t="shared" si="0"/>
        <v>Tyskie Gronie|MolsonCoors Beverage Company</v>
      </c>
      <c r="G29" s="203" t="str">
        <f t="shared" si="1"/>
        <v>Tyskie Gronie|MolsonCoors Beverage Company|Beer|Beer - Import</v>
      </c>
      <c r="H29" s="150">
        <f>_xlfn.XLOOKUP(F29,'DATA - 2025 Review'!C:C,'DATA - 2025 Review'!I:I,"")</f>
        <v>20010.670894754323</v>
      </c>
      <c r="I29" s="151">
        <f>_xlfn.XLOOKUP(F29,'DATA - 2025 Review'!C:C,'DATA - 2025 Review'!J:J)</f>
        <v>1.0298070282935834E-2</v>
      </c>
      <c r="J29" s="150">
        <f>_xlfn.XLOOKUP(F29,'2025 Finish (ACTUAL)'!$C:$C,'2025 Finish (ACTUAL)'!$D:$D)</f>
        <v>19094.720860000001</v>
      </c>
      <c r="K29" s="146">
        <v>-0.114</v>
      </c>
      <c r="L29" s="152">
        <f t="shared" si="9"/>
        <v>-2176.79817804</v>
      </c>
      <c r="M29" s="152">
        <f t="shared" si="6"/>
        <v>16917.922681960001</v>
      </c>
      <c r="N29" s="146">
        <v>-0.114</v>
      </c>
      <c r="O29" s="152">
        <f t="shared" si="7"/>
        <v>-2176.79817804</v>
      </c>
      <c r="P29" s="69">
        <f t="shared" si="8"/>
        <v>16917.922681960001</v>
      </c>
    </row>
    <row r="30" spans="1:16" x14ac:dyDescent="0.25">
      <c r="A30" s="149" t="s">
        <v>30</v>
      </c>
      <c r="B30" s="2" t="s">
        <v>51</v>
      </c>
      <c r="C30" s="2" t="s">
        <v>577</v>
      </c>
      <c r="D30" s="42" t="str">
        <f>_xlfn.XLOOKUP(F30,'DATA - Segments'!C:C,'DATA - Segments'!D:D)</f>
        <v>FMB</v>
      </c>
      <c r="E30" s="42" t="str">
        <f>_xlfn.XLOOKUP(F30,'DATA - Segments'!C:C,'DATA - Segments'!E:E)</f>
        <v>FMB</v>
      </c>
      <c r="F30" s="203" t="str">
        <f t="shared" si="0"/>
        <v>Arnold Palmer|MolsonCoors Beverage Company</v>
      </c>
      <c r="G30" s="203" t="str">
        <f t="shared" si="1"/>
        <v>Arnold Palmer|MolsonCoors Beverage Company|FMB|FMB</v>
      </c>
      <c r="H30" s="150">
        <f>_xlfn.XLOOKUP(F30,'DATA - 2025 Review'!C:C,'DATA - 2025 Review'!I:I,"")</f>
        <v>18022.647663</v>
      </c>
      <c r="I30" s="151">
        <f>_xlfn.XLOOKUP(F30,'DATA - 2025 Review'!C:C,'DATA - 2025 Review'!J:J)</f>
        <v>-0.16769891645885293</v>
      </c>
      <c r="J30" s="150">
        <f>_xlfn.XLOOKUP(F30,'2025 Finish (ACTUAL)'!$C:$C,'2025 Finish (ACTUAL)'!$D:$D)</f>
        <v>17932</v>
      </c>
      <c r="K30" s="146">
        <v>-0.05</v>
      </c>
      <c r="L30" s="152">
        <f t="shared" si="9"/>
        <v>-896.6</v>
      </c>
      <c r="M30" s="152">
        <f t="shared" si="6"/>
        <v>17035.400000000001</v>
      </c>
      <c r="N30" s="146">
        <v>-0.2</v>
      </c>
      <c r="O30" s="152">
        <f t="shared" si="7"/>
        <v>-3586.4</v>
      </c>
      <c r="P30" s="69">
        <f t="shared" si="8"/>
        <v>14345.6</v>
      </c>
    </row>
    <row r="31" spans="1:16" x14ac:dyDescent="0.25">
      <c r="A31" s="149" t="s">
        <v>186</v>
      </c>
      <c r="B31" s="2" t="s">
        <v>51</v>
      </c>
      <c r="C31" s="2" t="s">
        <v>577</v>
      </c>
      <c r="D31" s="42" t="str">
        <f>_xlfn.XLOOKUP(F31,'DATA - Segments'!C:C,'DATA - Segments'!D:D)</f>
        <v>Beer</v>
      </c>
      <c r="E31" s="42" t="str">
        <f>_xlfn.XLOOKUP(F31,'DATA - Segments'!C:C,'DATA - Segments'!E:E)</f>
        <v>Beer - Economy</v>
      </c>
      <c r="F31" s="203" t="str">
        <f t="shared" si="0"/>
        <v>Keystone|MolsonCoors Beverage Company</v>
      </c>
      <c r="G31" s="203" t="str">
        <f t="shared" si="1"/>
        <v>Keystone|MolsonCoors Beverage Company|Beer|Beer - Economy</v>
      </c>
      <c r="H31" s="150">
        <f>_xlfn.XLOOKUP(F31,'DATA - 2025 Review'!C:C,'DATA - 2025 Review'!I:I,"")</f>
        <v>14500.068037999999</v>
      </c>
      <c r="I31" s="151">
        <f>_xlfn.XLOOKUP(F31,'DATA - 2025 Review'!C:C,'DATA - 2025 Review'!J:J)</f>
        <v>-0.17723108134025589</v>
      </c>
      <c r="J31" s="150">
        <f>_xlfn.XLOOKUP(F31,'2025 Finish (ACTUAL)'!$C:$C,'2025 Finish (ACTUAL)'!$D:$D)</f>
        <v>14746.5</v>
      </c>
      <c r="K31" s="146">
        <v>-0.157</v>
      </c>
      <c r="L31" s="152">
        <f t="shared" si="9"/>
        <v>-2315.2004999999999</v>
      </c>
      <c r="M31" s="152">
        <f t="shared" si="6"/>
        <v>12431.299500000001</v>
      </c>
      <c r="N31" s="146">
        <v>-0.157</v>
      </c>
      <c r="O31" s="152">
        <f t="shared" si="7"/>
        <v>-2315.2004999999999</v>
      </c>
      <c r="P31" s="69">
        <f t="shared" si="8"/>
        <v>12431.299500000001</v>
      </c>
    </row>
    <row r="32" spans="1:16" x14ac:dyDescent="0.25">
      <c r="A32" s="149" t="s">
        <v>283</v>
      </c>
      <c r="B32" s="2" t="s">
        <v>51</v>
      </c>
      <c r="C32" s="2" t="s">
        <v>577</v>
      </c>
      <c r="D32" s="42" t="str">
        <f>_xlfn.XLOOKUP(F32,'DATA - Segments'!C:C,'DATA - Segments'!D:D)</f>
        <v>Beer</v>
      </c>
      <c r="E32" s="42" t="str">
        <f>_xlfn.XLOOKUP(F32,'DATA - Segments'!C:C,'DATA - Segments'!E:E)</f>
        <v>Beer - Economy</v>
      </c>
      <c r="F32" s="203" t="str">
        <f t="shared" si="0"/>
        <v>Steel Reserve|MolsonCoors Beverage Company</v>
      </c>
      <c r="G32" s="203" t="str">
        <f t="shared" si="1"/>
        <v>Steel Reserve|MolsonCoors Beverage Company|Beer|Beer - Economy</v>
      </c>
      <c r="H32" s="150">
        <f>_xlfn.XLOOKUP(F32,'DATA - 2025 Review'!C:C,'DATA - 2025 Review'!I:I,"")</f>
        <v>13279.784026443785</v>
      </c>
      <c r="I32" s="151">
        <f>_xlfn.XLOOKUP(F32,'DATA - 2025 Review'!C:C,'DATA - 2025 Review'!J:J)</f>
        <v>-6.9288139008544469E-2</v>
      </c>
      <c r="J32" s="150">
        <f>_xlfn.XLOOKUP(F32,'2025 Finish (ACTUAL)'!$C:$C,'2025 Finish (ACTUAL)'!$D:$D)</f>
        <v>13417.249475000001</v>
      </c>
      <c r="K32" s="146">
        <v>-3.4000000000000002E-2</v>
      </c>
      <c r="L32" s="152">
        <f t="shared" si="9"/>
        <v>-456.18648215000007</v>
      </c>
      <c r="M32" s="152">
        <f t="shared" si="6"/>
        <v>12961.06299285</v>
      </c>
      <c r="N32" s="146">
        <v>-3.4000000000000002E-2</v>
      </c>
      <c r="O32" s="152">
        <f t="shared" si="7"/>
        <v>-456.18648215000007</v>
      </c>
      <c r="P32" s="69">
        <f t="shared" si="8"/>
        <v>12961.06299285</v>
      </c>
    </row>
    <row r="33" spans="1:16" x14ac:dyDescent="0.25">
      <c r="A33" s="149" t="s">
        <v>372</v>
      </c>
      <c r="B33" s="2" t="s">
        <v>51</v>
      </c>
      <c r="C33" s="2" t="s">
        <v>577</v>
      </c>
      <c r="D33" s="42" t="str">
        <f>_xlfn.XLOOKUP(F33,'DATA - Segments'!C:C,'DATA - Segments'!D:D)</f>
        <v>Beer</v>
      </c>
      <c r="E33" s="42" t="str">
        <f>_xlfn.XLOOKUP(F33,'DATA - Segments'!C:C,'DATA - Segments'!E:E)</f>
        <v>Beer - Import</v>
      </c>
      <c r="F33" s="203" t="str">
        <f t="shared" si="0"/>
        <v>Molson|MolsonCoors Beverage Company</v>
      </c>
      <c r="G33" s="203" t="str">
        <f t="shared" si="1"/>
        <v>Molson|MolsonCoors Beverage Company|Beer|Beer - Import</v>
      </c>
      <c r="H33" s="150">
        <f>_xlfn.XLOOKUP(F33,'DATA - 2025 Review'!C:C,'DATA - 2025 Review'!I:I,"")</f>
        <v>10160.468078930988</v>
      </c>
      <c r="I33" s="151">
        <f>_xlfn.XLOOKUP(F33,'DATA - 2025 Review'!C:C,'DATA - 2025 Review'!J:J)</f>
        <v>-0.2002438528870093</v>
      </c>
      <c r="J33" s="150">
        <f>_xlfn.XLOOKUP(F33,'2025 Finish (ACTUAL)'!$C:$C,'2025 Finish (ACTUAL)'!$D:$D)</f>
        <v>10193.957741</v>
      </c>
      <c r="K33" s="146">
        <v>0.03</v>
      </c>
      <c r="L33" s="152">
        <f t="shared" si="9"/>
        <v>305.81873222999997</v>
      </c>
      <c r="M33" s="152">
        <f t="shared" si="6"/>
        <v>10499.77647323</v>
      </c>
      <c r="N33" s="146">
        <v>-0.2</v>
      </c>
      <c r="O33" s="152">
        <f t="shared" si="7"/>
        <v>-2038.7915482000001</v>
      </c>
      <c r="P33" s="69">
        <f t="shared" si="8"/>
        <v>8155.1661928000003</v>
      </c>
    </row>
    <row r="34" spans="1:16" x14ac:dyDescent="0.25">
      <c r="A34" s="149" t="s">
        <v>1</v>
      </c>
      <c r="B34" s="2" t="s">
        <v>51</v>
      </c>
      <c r="C34" s="2" t="s">
        <v>577</v>
      </c>
      <c r="D34" s="42" t="str">
        <f>_xlfn.XLOOKUP(F34,'DATA - Segments'!C:C,'DATA - Segments'!D:D)</f>
        <v>Beer</v>
      </c>
      <c r="E34" s="42" t="str">
        <f>_xlfn.XLOOKUP(F34,'DATA - Segments'!C:C,'DATA - Segments'!E:E)</f>
        <v>Beer - Import</v>
      </c>
      <c r="F34" s="203" t="str">
        <f t="shared" ref="F34:F62" si="10">A34&amp;"|"&amp;B34</f>
        <v>Pilsner Urquell|MolsonCoors Beverage Company</v>
      </c>
      <c r="G34" s="203" t="str">
        <f t="shared" si="1"/>
        <v>Pilsner Urquell|MolsonCoors Beverage Company|Beer|Beer - Import</v>
      </c>
      <c r="H34" s="150">
        <f>_xlfn.XLOOKUP(F34,'DATA - 2025 Review'!C:C,'DATA - 2025 Review'!I:I,"")</f>
        <v>10025.385688810993</v>
      </c>
      <c r="I34" s="151">
        <f>_xlfn.XLOOKUP(F34,'DATA - 2025 Review'!C:C,'DATA - 2025 Review'!J:J)</f>
        <v>-1.4007093137018312E-2</v>
      </c>
      <c r="J34" s="150">
        <f>_xlfn.XLOOKUP(F34,'2025 Finish (ACTUAL)'!$C:$C,'2025 Finish (ACTUAL)'!$D:$D)</f>
        <v>9983.8717199999992</v>
      </c>
      <c r="K34" s="146">
        <v>-0.03</v>
      </c>
      <c r="L34" s="152">
        <f t="shared" si="9"/>
        <v>-299.51615159999994</v>
      </c>
      <c r="M34" s="152">
        <f t="shared" si="6"/>
        <v>9684.3555683999984</v>
      </c>
      <c r="N34" s="146">
        <v>-0.03</v>
      </c>
      <c r="O34" s="152">
        <f t="shared" si="7"/>
        <v>-299.51615159999994</v>
      </c>
      <c r="P34" s="69">
        <f t="shared" si="8"/>
        <v>9684.3555683999984</v>
      </c>
    </row>
    <row r="35" spans="1:16" x14ac:dyDescent="0.25">
      <c r="A35" s="149" t="s">
        <v>187</v>
      </c>
      <c r="B35" s="2" t="s">
        <v>51</v>
      </c>
      <c r="C35" s="2" t="s">
        <v>577</v>
      </c>
      <c r="D35" s="42" t="str">
        <f>_xlfn.XLOOKUP(F35,'DATA - Segments'!C:C,'DATA - Segments'!D:D)</f>
        <v>Beer</v>
      </c>
      <c r="E35" s="42" t="str">
        <f>_xlfn.XLOOKUP(F35,'DATA - Segments'!C:C,'DATA - Segments'!E:E)</f>
        <v>Beer - Economy</v>
      </c>
      <c r="F35" s="203" t="str">
        <f t="shared" si="10"/>
        <v>Miller Genuine Draft|MolsonCoors Beverage Company</v>
      </c>
      <c r="G35" s="203" t="str">
        <f t="shared" si="1"/>
        <v>Miller Genuine Draft|MolsonCoors Beverage Company|Beer|Beer - Economy</v>
      </c>
      <c r="H35" s="150">
        <f>_xlfn.XLOOKUP(F35,'DATA - 2025 Review'!C:C,'DATA - 2025 Review'!I:I,"")</f>
        <v>9020.5650860000005</v>
      </c>
      <c r="I35" s="151">
        <f>_xlfn.XLOOKUP(F35,'DATA - 2025 Review'!C:C,'DATA - 2025 Review'!J:J)</f>
        <v>-0.16146269244712985</v>
      </c>
      <c r="J35" s="150">
        <f>_xlfn.XLOOKUP(F35,'2025 Finish (ACTUAL)'!$C:$C,'2025 Finish (ACTUAL)'!$D:$D)</f>
        <v>9073.75</v>
      </c>
      <c r="K35" s="146">
        <v>-0.15</v>
      </c>
      <c r="L35" s="152">
        <f t="shared" si="9"/>
        <v>-1361.0625</v>
      </c>
      <c r="M35" s="152">
        <f t="shared" si="6"/>
        <v>7712.6875</v>
      </c>
      <c r="N35" s="146">
        <v>-0.15</v>
      </c>
      <c r="O35" s="152">
        <f t="shared" si="7"/>
        <v>-1361.0625</v>
      </c>
      <c r="P35" s="69">
        <f t="shared" si="8"/>
        <v>7712.6875</v>
      </c>
    </row>
    <row r="36" spans="1:16" x14ac:dyDescent="0.25">
      <c r="A36" s="149" t="s">
        <v>284</v>
      </c>
      <c r="B36" s="2" t="s">
        <v>51</v>
      </c>
      <c r="C36" s="2" t="s">
        <v>577</v>
      </c>
      <c r="D36" s="42" t="str">
        <f>_xlfn.XLOOKUP(F36,'DATA - Segments'!C:C,'DATA - Segments'!D:D)</f>
        <v>Beer</v>
      </c>
      <c r="E36" s="42" t="str">
        <f>_xlfn.XLOOKUP(F36,'DATA - Segments'!C:C,'DATA - Segments'!E:E)</f>
        <v>Beer - Super Premium</v>
      </c>
      <c r="F36" s="203" t="str">
        <f t="shared" si="10"/>
        <v>Miller Extra Light|MolsonCoors Beverage Company</v>
      </c>
      <c r="G36" s="203" t="str">
        <f t="shared" si="1"/>
        <v>Miller Extra Light|MolsonCoors Beverage Company|Beer|Beer - Super Premium</v>
      </c>
      <c r="H36" s="150">
        <f>_xlfn.XLOOKUP(F36,'DATA - 2025 Review'!C:C,'DATA - 2025 Review'!I:I,"")</f>
        <v>10440.149675000001</v>
      </c>
      <c r="I36" s="151">
        <f>_xlfn.XLOOKUP(F36,'DATA - 2025 Review'!C:C,'DATA - 2025 Review'!J:J)</f>
        <v>-3.8500381661179528E-3</v>
      </c>
      <c r="J36" s="150">
        <f>_xlfn.XLOOKUP(F36,'2025 Finish (ACTUAL)'!$C:$C,'2025 Finish (ACTUAL)'!$D:$D)</f>
        <v>10565.5</v>
      </c>
      <c r="K36" s="146">
        <v>-2.5999999999999999E-2</v>
      </c>
      <c r="L36" s="152">
        <f t="shared" si="9"/>
        <v>-274.70299999999997</v>
      </c>
      <c r="M36" s="152">
        <f t="shared" si="6"/>
        <v>10290.797</v>
      </c>
      <c r="N36" s="146">
        <v>-2.5999999999999999E-2</v>
      </c>
      <c r="O36" s="152">
        <f t="shared" si="7"/>
        <v>-274.70299999999997</v>
      </c>
      <c r="P36" s="69">
        <f t="shared" si="8"/>
        <v>10290.797</v>
      </c>
    </row>
    <row r="37" spans="1:16" x14ac:dyDescent="0.25">
      <c r="A37" s="149" t="s">
        <v>238</v>
      </c>
      <c r="B37" s="2" t="s">
        <v>51</v>
      </c>
      <c r="C37" s="2" t="s">
        <v>577</v>
      </c>
      <c r="D37" s="42" t="str">
        <f>_xlfn.XLOOKUP(F37,'DATA - Segments'!C:C,'DATA - Segments'!D:D)</f>
        <v>Beer</v>
      </c>
      <c r="E37" s="42" t="str">
        <f>_xlfn.XLOOKUP(F37,'DATA - Segments'!C:C,'DATA - Segments'!E:E)</f>
        <v>Beer - Economy</v>
      </c>
      <c r="F37" s="203" t="str">
        <f t="shared" si="10"/>
        <v>Milwaukee's Best Ice|MolsonCoors Beverage Company</v>
      </c>
      <c r="G37" s="203" t="str">
        <f t="shared" si="1"/>
        <v>Milwaukee's Best Ice|MolsonCoors Beverage Company|Beer|Beer - Economy</v>
      </c>
      <c r="H37" s="150">
        <f>_xlfn.XLOOKUP(F37,'DATA - 2025 Review'!C:C,'DATA - 2025 Review'!I:I,"")</f>
        <v>7490.1863916973762</v>
      </c>
      <c r="I37" s="151">
        <f>_xlfn.XLOOKUP(F37,'DATA - 2025 Review'!C:C,'DATA - 2025 Review'!J:J)</f>
        <v>-0.26973691161861568</v>
      </c>
      <c r="J37" s="150">
        <f>_xlfn.XLOOKUP(F37,'2025 Finish (ACTUAL)'!$C:$C,'2025 Finish (ACTUAL)'!$D:$D)</f>
        <v>7621.1662919999999</v>
      </c>
      <c r="K37" s="146">
        <v>-0.1</v>
      </c>
      <c r="L37" s="152">
        <f t="shared" si="9"/>
        <v>-762.11662920000003</v>
      </c>
      <c r="M37" s="152">
        <f t="shared" si="6"/>
        <v>6859.0496628000001</v>
      </c>
      <c r="N37" s="146">
        <v>-0.26</v>
      </c>
      <c r="O37" s="152">
        <f t="shared" si="7"/>
        <v>-1981.50323592</v>
      </c>
      <c r="P37" s="69">
        <f t="shared" si="8"/>
        <v>5639.6630560800004</v>
      </c>
    </row>
    <row r="38" spans="1:16" x14ac:dyDescent="0.25">
      <c r="A38" s="149" t="s">
        <v>285</v>
      </c>
      <c r="B38" s="2" t="s">
        <v>51</v>
      </c>
      <c r="C38" s="2" t="s">
        <v>577</v>
      </c>
      <c r="D38" s="42" t="str">
        <f>_xlfn.XLOOKUP(F38,'DATA - Segments'!C:C,'DATA - Segments'!D:D)</f>
        <v>Beer</v>
      </c>
      <c r="E38" s="42" t="str">
        <f>_xlfn.XLOOKUP(F38,'DATA - Segments'!C:C,'DATA - Segments'!E:E)</f>
        <v>Beer - Import</v>
      </c>
      <c r="F38" s="203" t="str">
        <f t="shared" si="10"/>
        <v>Grolsch|MolsonCoors Beverage Company</v>
      </c>
      <c r="G38" s="203" t="str">
        <f t="shared" si="1"/>
        <v>Grolsch|MolsonCoors Beverage Company|Beer|Beer - Import</v>
      </c>
      <c r="H38" s="150">
        <f>_xlfn.XLOOKUP(F38,'DATA - 2025 Review'!C:C,'DATA - 2025 Review'!I:I,"")</f>
        <v>5689.8736270807603</v>
      </c>
      <c r="I38" s="151">
        <f>_xlfn.XLOOKUP(F38,'DATA - 2025 Review'!C:C,'DATA - 2025 Review'!J:J)</f>
        <v>-0.42218781346187195</v>
      </c>
      <c r="J38" s="150">
        <f>_xlfn.XLOOKUP(F38,'2025 Finish (ACTUAL)'!$C:$C,'2025 Finish (ACTUAL)'!$D:$D)</f>
        <v>5930.1437720000004</v>
      </c>
      <c r="K38" s="146">
        <v>-0.114</v>
      </c>
      <c r="L38" s="152">
        <f t="shared" si="9"/>
        <v>-676.03639000800001</v>
      </c>
      <c r="M38" s="152">
        <f t="shared" si="6"/>
        <v>5254.1073819920002</v>
      </c>
      <c r="N38" s="146">
        <v>-0.114</v>
      </c>
      <c r="O38" s="152">
        <f t="shared" si="7"/>
        <v>-676.03639000800001</v>
      </c>
      <c r="P38" s="69">
        <f t="shared" si="8"/>
        <v>5254.1073819920002</v>
      </c>
    </row>
    <row r="39" spans="1:16" x14ac:dyDescent="0.25">
      <c r="A39" s="149" t="s">
        <v>286</v>
      </c>
      <c r="B39" s="2" t="s">
        <v>51</v>
      </c>
      <c r="C39" s="2" t="s">
        <v>577</v>
      </c>
      <c r="D39" s="42" t="str">
        <f>_xlfn.XLOOKUP(F39,'DATA - Segments'!C:C,'DATA - Segments'!D:D)</f>
        <v>Beer</v>
      </c>
      <c r="E39" s="42" t="str">
        <f>_xlfn.XLOOKUP(F39,'DATA - Segments'!C:C,'DATA - Segments'!E:E)</f>
        <v>Beer - Import</v>
      </c>
      <c r="F39" s="203" t="str">
        <f t="shared" si="10"/>
        <v>Cusquena|MolsonCoors Beverage Company</v>
      </c>
      <c r="G39" s="203" t="str">
        <f t="shared" si="1"/>
        <v>Cusquena|MolsonCoors Beverage Company|Beer|Beer - Import</v>
      </c>
      <c r="H39" s="150">
        <f>_xlfn.XLOOKUP(F39,'DATA - 2025 Review'!C:C,'DATA - 2025 Review'!I:I,"")</f>
        <v>5965.4379499999995</v>
      </c>
      <c r="I39" s="151">
        <f>_xlfn.XLOOKUP(F39,'DATA - 2025 Review'!C:C,'DATA - 2025 Review'!J:J)</f>
        <v>-0.18605021831082014</v>
      </c>
      <c r="J39" s="150">
        <f>_xlfn.XLOOKUP(F39,'2025 Finish (ACTUAL)'!$C:$C,'2025 Finish (ACTUAL)'!$D:$D)</f>
        <v>5885</v>
      </c>
      <c r="K39" s="146">
        <v>-0.114</v>
      </c>
      <c r="L39" s="152">
        <f t="shared" si="9"/>
        <v>-670.89</v>
      </c>
      <c r="M39" s="152">
        <f t="shared" si="6"/>
        <v>5214.1099999999997</v>
      </c>
      <c r="N39" s="146">
        <v>-0.2</v>
      </c>
      <c r="O39" s="152">
        <f t="shared" si="7"/>
        <v>-1177</v>
      </c>
      <c r="P39" s="69">
        <f t="shared" si="8"/>
        <v>4708</v>
      </c>
    </row>
    <row r="40" spans="1:16" x14ac:dyDescent="0.25">
      <c r="A40" s="149" t="s">
        <v>158</v>
      </c>
      <c r="B40" s="2" t="s">
        <v>51</v>
      </c>
      <c r="C40" s="2" t="s">
        <v>577</v>
      </c>
      <c r="D40" s="42" t="str">
        <f>_xlfn.XLOOKUP(F40,'DATA - Segments'!C:C,'DATA - Segments'!D:D)</f>
        <v>Beer</v>
      </c>
      <c r="E40" s="42" t="str">
        <f>_xlfn.XLOOKUP(F40,'DATA - Segments'!C:C,'DATA - Segments'!E:E)</f>
        <v>Beer - Economy</v>
      </c>
      <c r="F40" s="203" t="str">
        <f t="shared" si="10"/>
        <v>Old English|MolsonCoors Beverage Company</v>
      </c>
      <c r="G40" s="203" t="str">
        <f t="shared" si="1"/>
        <v>Old English|MolsonCoors Beverage Company|Beer|Beer - Economy</v>
      </c>
      <c r="H40" s="150">
        <f>_xlfn.XLOOKUP(F40,'DATA - 2025 Review'!C:C,'DATA - 2025 Review'!I:I,"")</f>
        <v>5972.1416444368078</v>
      </c>
      <c r="I40" s="151">
        <f>_xlfn.XLOOKUP(F40,'DATA - 2025 Review'!C:C,'DATA - 2025 Review'!J:J)</f>
        <v>-0.13505725491644449</v>
      </c>
      <c r="J40" s="150">
        <f>_xlfn.XLOOKUP(F40,'2025 Finish (ACTUAL)'!$C:$C,'2025 Finish (ACTUAL)'!$D:$D)</f>
        <v>6158.3337170000004</v>
      </c>
      <c r="K40" s="146">
        <v>-2.1000000000000001E-2</v>
      </c>
      <c r="L40" s="152">
        <f t="shared" si="9"/>
        <v>-129.32500805700002</v>
      </c>
      <c r="M40" s="152">
        <f t="shared" si="6"/>
        <v>6029.0087089430008</v>
      </c>
      <c r="N40" s="146">
        <v>-0.1</v>
      </c>
      <c r="O40" s="152">
        <f t="shared" si="7"/>
        <v>-615.83337170000004</v>
      </c>
      <c r="P40" s="69">
        <f t="shared" si="8"/>
        <v>5542.5003453000008</v>
      </c>
    </row>
    <row r="41" spans="1:16" x14ac:dyDescent="0.25">
      <c r="A41" s="149" t="s">
        <v>107</v>
      </c>
      <c r="B41" s="2" t="s">
        <v>51</v>
      </c>
      <c r="C41" s="2" t="s">
        <v>577</v>
      </c>
      <c r="D41" s="42" t="str">
        <f>_xlfn.XLOOKUP(F41,'DATA - Segments'!C:C,'DATA - Segments'!D:D)</f>
        <v>Beer</v>
      </c>
      <c r="E41" s="42" t="str">
        <f>_xlfn.XLOOKUP(F41,'DATA - Segments'!C:C,'DATA - Segments'!E:E)</f>
        <v>Beer - Import</v>
      </c>
      <c r="F41" s="203" t="str">
        <f t="shared" si="10"/>
        <v>Cristal|MolsonCoors Beverage Company</v>
      </c>
      <c r="G41" s="203" t="str">
        <f t="shared" si="1"/>
        <v>Cristal|MolsonCoors Beverage Company|Beer|Beer - Import</v>
      </c>
      <c r="H41" s="150">
        <f>_xlfn.XLOOKUP(F41,'DATA - 2025 Review'!C:C,'DATA - 2025 Review'!I:I,"")</f>
        <v>653.120991</v>
      </c>
      <c r="I41" s="151">
        <f>_xlfn.XLOOKUP(F41,'DATA - 2025 Review'!C:C,'DATA - 2025 Review'!J:J)</f>
        <v>-0.72112681853116989</v>
      </c>
      <c r="J41" s="150">
        <f>_xlfn.XLOOKUP(F41,'2025 Finish (ACTUAL)'!$C:$C,'2025 Finish (ACTUAL)'!$D:$D)</f>
        <v>492</v>
      </c>
      <c r="K41" s="146">
        <v>-0.114</v>
      </c>
      <c r="L41" s="152">
        <f t="shared" si="9"/>
        <v>-56.088000000000001</v>
      </c>
      <c r="M41" s="152">
        <f t="shared" si="6"/>
        <v>435.91199999999998</v>
      </c>
      <c r="N41" s="146">
        <v>-0.5</v>
      </c>
      <c r="O41" s="152">
        <f t="shared" si="7"/>
        <v>-246</v>
      </c>
      <c r="P41" s="69">
        <f t="shared" si="8"/>
        <v>246</v>
      </c>
    </row>
    <row r="42" spans="1:16" x14ac:dyDescent="0.25">
      <c r="A42" s="149" t="s">
        <v>311</v>
      </c>
      <c r="B42" s="2" t="s">
        <v>51</v>
      </c>
      <c r="C42" s="2" t="s">
        <v>577</v>
      </c>
      <c r="D42" s="42" t="str">
        <f>_xlfn.XLOOKUP(F42,'DATA - Segments'!C:C,'DATA - Segments'!D:D)</f>
        <v>Beer</v>
      </c>
      <c r="E42" s="42" t="str">
        <f>_xlfn.XLOOKUP(F42,'DATA - Segments'!C:C,'DATA - Segments'!E:E)</f>
        <v>Beer - Premium</v>
      </c>
      <c r="F42" s="203" t="str">
        <f t="shared" si="10"/>
        <v>George Killian's|MolsonCoors Beverage Company</v>
      </c>
      <c r="G42" s="203" t="str">
        <f t="shared" si="1"/>
        <v>George Killian's|MolsonCoors Beverage Company|Beer|Beer - Premium</v>
      </c>
      <c r="H42" s="150">
        <f>_xlfn.XLOOKUP(F42,'DATA - 2025 Review'!C:C,'DATA - 2025 Review'!I:I,"")</f>
        <v>3042.7565588552798</v>
      </c>
      <c r="I42" s="151">
        <f>_xlfn.XLOOKUP(F42,'DATA - 2025 Review'!C:C,'DATA - 2025 Review'!J:J)</f>
        <v>-0.12292832611924664</v>
      </c>
      <c r="J42" s="150">
        <f>_xlfn.XLOOKUP(F42,'2025 Finish (ACTUAL)'!$C:$C,'2025 Finish (ACTUAL)'!$D:$D)</f>
        <v>3012.7777930000002</v>
      </c>
      <c r="K42" s="146">
        <v>-0.114</v>
      </c>
      <c r="L42" s="152">
        <f t="shared" si="9"/>
        <v>-343.45666840200005</v>
      </c>
      <c r="M42" s="152">
        <f t="shared" si="6"/>
        <v>2669.3211245980001</v>
      </c>
      <c r="N42" s="146">
        <v>-0.1</v>
      </c>
      <c r="O42" s="152">
        <f t="shared" si="7"/>
        <v>-301.27777930000002</v>
      </c>
      <c r="P42" s="69">
        <f t="shared" si="8"/>
        <v>2711.5000137000002</v>
      </c>
    </row>
    <row r="43" spans="1:16" x14ac:dyDescent="0.25">
      <c r="A43" s="149" t="s">
        <v>130</v>
      </c>
      <c r="B43" s="2" t="s">
        <v>51</v>
      </c>
      <c r="C43" s="2" t="s">
        <v>577</v>
      </c>
      <c r="D43" s="42" t="str">
        <f>_xlfn.XLOOKUP(F43,'DATA - Segments'!C:C,'DATA - Segments'!D:D)</f>
        <v>Beer</v>
      </c>
      <c r="E43" s="42" t="str">
        <f>_xlfn.XLOOKUP(F43,'DATA - Segments'!C:C,'DATA - Segments'!E:E)</f>
        <v>Beer - Economy</v>
      </c>
      <c r="F43" s="203" t="str">
        <f t="shared" si="10"/>
        <v>Hamm's|MolsonCoors Beverage Company</v>
      </c>
      <c r="G43" s="203" t="str">
        <f t="shared" si="1"/>
        <v>Hamm's|MolsonCoors Beverage Company|Beer|Beer - Economy</v>
      </c>
      <c r="H43" s="150">
        <f>_xlfn.XLOOKUP(F43,'DATA - 2025 Review'!C:C,'DATA - 2025 Review'!I:I,"")</f>
        <v>2164.6701849999999</v>
      </c>
      <c r="I43" s="151">
        <f>_xlfn.XLOOKUP(F43,'DATA - 2025 Review'!C:C,'DATA - 2025 Review'!J:J)</f>
        <v>-0.22655821884769989</v>
      </c>
      <c r="J43" s="150">
        <f>_xlfn.XLOOKUP(F43,'2025 Finish (ACTUAL)'!$C:$C,'2025 Finish (ACTUAL)'!$D:$D)</f>
        <v>2126.25</v>
      </c>
      <c r="K43" s="146">
        <v>-9.4E-2</v>
      </c>
      <c r="L43" s="152">
        <f t="shared" si="9"/>
        <v>-199.86750000000001</v>
      </c>
      <c r="M43" s="152">
        <f t="shared" si="6"/>
        <v>1926.3824999999999</v>
      </c>
      <c r="N43" s="146">
        <v>-0.15</v>
      </c>
      <c r="O43" s="152">
        <f t="shared" si="7"/>
        <v>-318.9375</v>
      </c>
      <c r="P43" s="69">
        <f t="shared" si="8"/>
        <v>1807.3125</v>
      </c>
    </row>
    <row r="44" spans="1:16" x14ac:dyDescent="0.25">
      <c r="A44" s="149" t="s">
        <v>239</v>
      </c>
      <c r="B44" s="2" t="s">
        <v>51</v>
      </c>
      <c r="C44" s="2" t="s">
        <v>577</v>
      </c>
      <c r="D44" s="42" t="str">
        <f>_xlfn.XLOOKUP(F44,'DATA - Segments'!C:C,'DATA - Segments'!D:D)</f>
        <v>FMB</v>
      </c>
      <c r="E44" s="42" t="str">
        <f>_xlfn.XLOOKUP(F44,'DATA - Segments'!C:C,'DATA - Segments'!E:E)</f>
        <v>FMB</v>
      </c>
      <c r="F44" s="203" t="str">
        <f t="shared" si="10"/>
        <v>Redd's Wicked|MolsonCoors Beverage Company</v>
      </c>
      <c r="G44" s="203" t="str">
        <f t="shared" si="1"/>
        <v>Redd's Wicked|MolsonCoors Beverage Company|FMB|FMB</v>
      </c>
      <c r="H44" s="150">
        <f>_xlfn.XLOOKUP(F44,'DATA - 2025 Review'!C:C,'DATA - 2025 Review'!I:I,"")</f>
        <v>2304.6193819999999</v>
      </c>
      <c r="I44" s="151">
        <f>_xlfn.XLOOKUP(F44,'DATA - 2025 Review'!C:C,'DATA - 2025 Review'!J:J)</f>
        <v>-0.18851430211267606</v>
      </c>
      <c r="J44" s="150">
        <f>_xlfn.XLOOKUP(F44,'2025 Finish (ACTUAL)'!$C:$C,'2025 Finish (ACTUAL)'!$D:$D)</f>
        <v>2341</v>
      </c>
      <c r="K44" s="146">
        <v>-6.7000000000000004E-2</v>
      </c>
      <c r="L44" s="152">
        <f t="shared" si="9"/>
        <v>-156.84700000000001</v>
      </c>
      <c r="M44" s="152">
        <f t="shared" si="6"/>
        <v>2184.1529999999998</v>
      </c>
      <c r="N44" s="146">
        <v>-0.1</v>
      </c>
      <c r="O44" s="152">
        <f t="shared" si="7"/>
        <v>-234.10000000000002</v>
      </c>
      <c r="P44" s="69">
        <f t="shared" si="8"/>
        <v>2106.9</v>
      </c>
    </row>
    <row r="45" spans="1:16" x14ac:dyDescent="0.25">
      <c r="A45" s="149" t="s">
        <v>215</v>
      </c>
      <c r="B45" s="2" t="s">
        <v>51</v>
      </c>
      <c r="C45" s="2" t="s">
        <v>577</v>
      </c>
      <c r="D45" s="42" t="str">
        <f>_xlfn.XLOOKUP(F45,'DATA - Segments'!C:C,'DATA - Segments'!D:D)</f>
        <v>FMB</v>
      </c>
      <c r="E45" s="42" t="str">
        <f>_xlfn.XLOOKUP(F45,'DATA - Segments'!C:C,'DATA - Segments'!E:E)</f>
        <v>FMB</v>
      </c>
      <c r="F45" s="203" t="str">
        <f t="shared" si="10"/>
        <v>Simply Spiked|MolsonCoors Beverage Company</v>
      </c>
      <c r="G45" s="203" t="str">
        <f t="shared" si="1"/>
        <v>Simply Spiked|MolsonCoors Beverage Company|FMB|FMB</v>
      </c>
      <c r="H45" s="150">
        <f>_xlfn.XLOOKUP(F45,'DATA - 2025 Review'!C:C,'DATA - 2025 Review'!I:I,"")</f>
        <v>3884.7744240000002</v>
      </c>
      <c r="I45" s="151">
        <f>_xlfn.XLOOKUP(F45,'DATA - 2025 Review'!C:C,'DATA - 2025 Review'!J:J)</f>
        <v>-0.36084659032576505</v>
      </c>
      <c r="J45" s="150">
        <f>_xlfn.XLOOKUP(F45,'2025 Finish (ACTUAL)'!$C:$C,'2025 Finish (ACTUAL)'!$D:$D)</f>
        <v>3918</v>
      </c>
      <c r="K45" s="146">
        <v>-0.13300000000000001</v>
      </c>
      <c r="L45" s="152">
        <f t="shared" si="9"/>
        <v>-521.09400000000005</v>
      </c>
      <c r="M45" s="152">
        <f t="shared" si="6"/>
        <v>3396.9059999999999</v>
      </c>
      <c r="N45" s="146">
        <v>-0.2</v>
      </c>
      <c r="O45" s="152">
        <f t="shared" si="7"/>
        <v>-783.6</v>
      </c>
      <c r="P45" s="69">
        <f t="shared" si="8"/>
        <v>3134.4</v>
      </c>
    </row>
    <row r="46" spans="1:16" x14ac:dyDescent="0.25">
      <c r="A46" s="149" t="s">
        <v>393</v>
      </c>
      <c r="B46" s="2" t="s">
        <v>51</v>
      </c>
      <c r="C46" s="2" t="s">
        <v>577</v>
      </c>
      <c r="D46" s="42" t="str">
        <f>_xlfn.XLOOKUP(F46,'DATA - Segments'!C:C,'DATA - Segments'!D:D)</f>
        <v>FMB</v>
      </c>
      <c r="E46" s="42" t="str">
        <f>_xlfn.XLOOKUP(F46,'DATA - Segments'!C:C,'DATA - Segments'!E:E)</f>
        <v>FMB</v>
      </c>
      <c r="F46" s="203" t="str">
        <f t="shared" si="10"/>
        <v>Topo Chico|MolsonCoors Beverage Company</v>
      </c>
      <c r="G46" s="203" t="str">
        <f t="shared" si="1"/>
        <v>Topo Chico|MolsonCoors Beverage Company|FMB|FMB</v>
      </c>
      <c r="H46" s="150">
        <f>_xlfn.XLOOKUP(F46,'DATA - 2025 Review'!C:C,'DATA - 2025 Review'!I:I,"")</f>
        <v>2382.1250380000001</v>
      </c>
      <c r="I46" s="151">
        <f>_xlfn.XLOOKUP(F46,'DATA - 2025 Review'!C:C,'DATA - 2025 Review'!J:J)</f>
        <v>-7.1658208106001542E-2</v>
      </c>
      <c r="J46" s="150">
        <f>_xlfn.XLOOKUP(F46,'2025 Finish (ACTUAL)'!$C:$C,'2025 Finish (ACTUAL)'!$D:$D)</f>
        <v>2231</v>
      </c>
      <c r="K46" s="146">
        <v>-3.4000000000000002E-2</v>
      </c>
      <c r="L46" s="152">
        <f t="shared" si="9"/>
        <v>-75.853999999999999</v>
      </c>
      <c r="M46" s="152">
        <f t="shared" si="6"/>
        <v>2155.1460000000002</v>
      </c>
      <c r="N46" s="146">
        <v>-0.12</v>
      </c>
      <c r="O46" s="152">
        <f t="shared" si="7"/>
        <v>-267.71999999999997</v>
      </c>
      <c r="P46" s="69">
        <f t="shared" si="8"/>
        <v>1963.28</v>
      </c>
    </row>
    <row r="47" spans="1:16" x14ac:dyDescent="0.25">
      <c r="A47" s="149" t="s">
        <v>2</v>
      </c>
      <c r="B47" s="2" t="s">
        <v>51</v>
      </c>
      <c r="C47" s="2" t="s">
        <v>577</v>
      </c>
      <c r="D47" s="42" t="str">
        <f>_xlfn.XLOOKUP(F47,'DATA - Segments'!C:C,'DATA - Segments'!D:D)</f>
        <v>Beer</v>
      </c>
      <c r="E47" s="42" t="str">
        <f>_xlfn.XLOOKUP(F47,'DATA - Segments'!C:C,'DATA - Segments'!E:E)</f>
        <v>Beer - Non-Alc</v>
      </c>
      <c r="F47" s="203" t="str">
        <f t="shared" si="10"/>
        <v>Coors Edge|MolsonCoors Beverage Company</v>
      </c>
      <c r="G47" s="203" t="str">
        <f t="shared" si="1"/>
        <v>Coors Edge|MolsonCoors Beverage Company|Beer|Beer - Non-Alc</v>
      </c>
      <c r="H47" s="150">
        <f>_xlfn.XLOOKUP(F47,'DATA - 2025 Review'!C:C,'DATA - 2025 Review'!I:I,"")</f>
        <v>2503.9613899999999</v>
      </c>
      <c r="I47" s="151">
        <f>_xlfn.XLOOKUP(F47,'DATA - 2025 Review'!C:C,'DATA - 2025 Review'!J:J)</f>
        <v>0.15124661609195389</v>
      </c>
      <c r="J47" s="150">
        <f>_xlfn.XLOOKUP(F47,'2025 Finish (ACTUAL)'!$C:$C,'2025 Finish (ACTUAL)'!$D:$D)</f>
        <v>2535</v>
      </c>
      <c r="K47" s="146">
        <v>8.5000000000000006E-2</v>
      </c>
      <c r="L47" s="152">
        <f t="shared" si="9"/>
        <v>215.47500000000002</v>
      </c>
      <c r="M47" s="152">
        <f t="shared" si="6"/>
        <v>2750.4749999999999</v>
      </c>
      <c r="N47" s="146">
        <v>8.5000000000000006E-2</v>
      </c>
      <c r="O47" s="152">
        <f t="shared" si="7"/>
        <v>215.47500000000002</v>
      </c>
      <c r="P47" s="69">
        <f t="shared" si="8"/>
        <v>2750.4749999999999</v>
      </c>
    </row>
    <row r="48" spans="1:16" x14ac:dyDescent="0.25">
      <c r="A48" s="149" t="s">
        <v>131</v>
      </c>
      <c r="B48" s="2" t="s">
        <v>51</v>
      </c>
      <c r="C48" s="2" t="s">
        <v>577</v>
      </c>
      <c r="D48" s="42" t="str">
        <f>_xlfn.XLOOKUP(F48,'DATA - Segments'!C:C,'DATA - Segments'!D:D)</f>
        <v>Beer</v>
      </c>
      <c r="E48" s="42" t="str">
        <f>_xlfn.XLOOKUP(F48,'DATA - Segments'!C:C,'DATA - Segments'!E:E)</f>
        <v>Beer - Import</v>
      </c>
      <c r="F48" s="203" t="str">
        <f t="shared" si="10"/>
        <v>Aguila|MolsonCoors Beverage Company</v>
      </c>
      <c r="G48" s="203" t="str">
        <f t="shared" si="1"/>
        <v>Aguila|MolsonCoors Beverage Company|Beer|Beer - Import</v>
      </c>
      <c r="H48" s="150">
        <f>_xlfn.XLOOKUP(F48,'DATA - 2025 Review'!C:C,'DATA - 2025 Review'!I:I,"")</f>
        <v>2132.2587320000002</v>
      </c>
      <c r="I48" s="151">
        <f>_xlfn.XLOOKUP(F48,'DATA - 2025 Review'!C:C,'DATA - 2025 Review'!J:J)</f>
        <v>-2.3243824095281584E-2</v>
      </c>
      <c r="J48" s="150">
        <f>_xlfn.XLOOKUP(F48,'2025 Finish (ACTUAL)'!$C:$C,'2025 Finish (ACTUAL)'!$D:$D)</f>
        <v>2274</v>
      </c>
      <c r="K48" s="146">
        <v>0.03</v>
      </c>
      <c r="L48" s="152">
        <f t="shared" si="9"/>
        <v>68.22</v>
      </c>
      <c r="M48" s="152">
        <f t="shared" si="6"/>
        <v>2342.2199999999998</v>
      </c>
      <c r="N48" s="146">
        <v>0.09</v>
      </c>
      <c r="O48" s="152">
        <f t="shared" si="7"/>
        <v>204.66</v>
      </c>
      <c r="P48" s="69">
        <f t="shared" si="8"/>
        <v>2478.66</v>
      </c>
    </row>
    <row r="49" spans="1:16" x14ac:dyDescent="0.25">
      <c r="A49" s="149" t="s">
        <v>85</v>
      </c>
      <c r="B49" s="2" t="s">
        <v>51</v>
      </c>
      <c r="C49" s="2" t="s">
        <v>577</v>
      </c>
      <c r="D49" s="42" t="str">
        <f>_xlfn.XLOOKUP(F49,'DATA - Segments'!C:C,'DATA - Segments'!D:D)</f>
        <v>FMB</v>
      </c>
      <c r="E49" s="42" t="str">
        <f>_xlfn.XLOOKUP(F49,'DATA - Segments'!C:C,'DATA - Segments'!E:E)</f>
        <v>FMB</v>
      </c>
      <c r="F49" s="203" t="str">
        <f t="shared" si="10"/>
        <v>Vizzy|MolsonCoors Beverage Company</v>
      </c>
      <c r="G49" s="203" t="str">
        <f t="shared" si="1"/>
        <v>Vizzy|MolsonCoors Beverage Company|FMB|FMB</v>
      </c>
      <c r="H49" s="150">
        <f>_xlfn.XLOOKUP(F49,'DATA - 2025 Review'!C:C,'DATA - 2025 Review'!I:I,"")</f>
        <v>1579.44415</v>
      </c>
      <c r="I49" s="151">
        <f>_xlfn.XLOOKUP(F49,'DATA - 2025 Review'!C:C,'DATA - 2025 Review'!J:J)</f>
        <v>-0.25533043375766151</v>
      </c>
      <c r="J49" s="150">
        <f>_xlfn.XLOOKUP(F49,'2025 Finish (ACTUAL)'!$C:$C,'2025 Finish (ACTUAL)'!$D:$D)</f>
        <v>1533</v>
      </c>
      <c r="K49" s="146">
        <v>0.14399999999999999</v>
      </c>
      <c r="L49" s="152">
        <f t="shared" si="9"/>
        <v>220.75199999999998</v>
      </c>
      <c r="M49" s="152">
        <f t="shared" si="6"/>
        <v>1753.752</v>
      </c>
      <c r="N49" s="146">
        <v>-0.25</v>
      </c>
      <c r="O49" s="152">
        <f t="shared" si="7"/>
        <v>-383.25</v>
      </c>
      <c r="P49" s="69">
        <f t="shared" si="8"/>
        <v>1149.75</v>
      </c>
    </row>
    <row r="50" spans="1:16" x14ac:dyDescent="0.25">
      <c r="A50" s="149" t="s">
        <v>53</v>
      </c>
      <c r="B50" s="2" t="s">
        <v>51</v>
      </c>
      <c r="C50" s="2" t="s">
        <v>577</v>
      </c>
      <c r="D50" s="42" t="str">
        <f>_xlfn.XLOOKUP(F50,'DATA - Segments'!C:C,'DATA - Segments'!D:D)</f>
        <v>Beer</v>
      </c>
      <c r="E50" s="42" t="str">
        <f>_xlfn.XLOOKUP(F50,'DATA - Segments'!C:C,'DATA - Segments'!E:E)</f>
        <v>Beer - Economy</v>
      </c>
      <c r="F50" s="203" t="str">
        <f t="shared" si="10"/>
        <v>Milwaukee's Best Light|MolsonCoors Beverage Company</v>
      </c>
      <c r="G50" s="203" t="str">
        <f t="shared" si="1"/>
        <v>Milwaukee's Best Light|MolsonCoors Beverage Company|Beer|Beer - Economy</v>
      </c>
      <c r="H50" s="150">
        <f>_xlfn.XLOOKUP(F50,'DATA - 2025 Review'!C:C,'DATA - 2025 Review'!I:I,"")</f>
        <v>773.28525500000001</v>
      </c>
      <c r="I50" s="151">
        <f>_xlfn.XLOOKUP(F50,'DATA - 2025 Review'!C:C,'DATA - 2025 Review'!J:J)</f>
        <v>-7.9422315476190497E-2</v>
      </c>
      <c r="J50" s="150">
        <f>_xlfn.XLOOKUP(F50,'2025 Finish (ACTUAL)'!$C:$C,'2025 Finish (ACTUAL)'!$D:$D)</f>
        <v>738.75</v>
      </c>
      <c r="K50" s="146">
        <v>-0.1</v>
      </c>
      <c r="L50" s="152">
        <f t="shared" si="9"/>
        <v>-73.875</v>
      </c>
      <c r="M50" s="152">
        <f t="shared" si="6"/>
        <v>664.875</v>
      </c>
      <c r="N50" s="146">
        <v>-0.1</v>
      </c>
      <c r="O50" s="152">
        <f t="shared" si="7"/>
        <v>-73.875</v>
      </c>
      <c r="P50" s="69">
        <f t="shared" si="8"/>
        <v>664.875</v>
      </c>
    </row>
    <row r="51" spans="1:16" x14ac:dyDescent="0.25">
      <c r="A51" s="149" t="s">
        <v>54</v>
      </c>
      <c r="B51" s="2" t="s">
        <v>51</v>
      </c>
      <c r="C51" s="2" t="s">
        <v>577</v>
      </c>
      <c r="D51" s="42" t="str">
        <f>_xlfn.XLOOKUP(F51,'DATA - Segments'!C:C,'DATA - Segments'!D:D)</f>
        <v>Beer</v>
      </c>
      <c r="E51" s="42" t="str">
        <f>_xlfn.XLOOKUP(F51,'DATA - Segments'!C:C,'DATA - Segments'!E:E)</f>
        <v>Beer - Import</v>
      </c>
      <c r="F51" s="203" t="str">
        <f t="shared" si="10"/>
        <v>Sol|MolsonCoors Beverage Company</v>
      </c>
      <c r="G51" s="203" t="str">
        <f t="shared" si="1"/>
        <v>Sol|MolsonCoors Beverage Company|Beer|Beer - Import</v>
      </c>
      <c r="H51" s="150">
        <f>_xlfn.XLOOKUP(F51,'DATA - 2025 Review'!C:C,'DATA - 2025 Review'!I:I,"")</f>
        <v>945.00801799999999</v>
      </c>
      <c r="I51" s="151">
        <f>_xlfn.XLOOKUP(F51,'DATA - 2025 Review'!C:C,'DATA - 2025 Review'!J:J)</f>
        <v>-6.9873998031496076E-2</v>
      </c>
      <c r="J51" s="150">
        <f>_xlfn.XLOOKUP(F51,'2025 Finish (ACTUAL)'!$C:$C,'2025 Finish (ACTUAL)'!$D:$D)</f>
        <v>926</v>
      </c>
      <c r="K51" s="146">
        <v>-0.114</v>
      </c>
      <c r="L51" s="152">
        <f t="shared" si="9"/>
        <v>-105.56400000000001</v>
      </c>
      <c r="M51" s="152">
        <f t="shared" si="6"/>
        <v>820.43600000000004</v>
      </c>
      <c r="N51" s="146">
        <v>-0.08</v>
      </c>
      <c r="O51" s="152">
        <f t="shared" si="7"/>
        <v>-74.08</v>
      </c>
      <c r="P51" s="69">
        <f t="shared" si="8"/>
        <v>851.92</v>
      </c>
    </row>
    <row r="52" spans="1:16" x14ac:dyDescent="0.25">
      <c r="A52" s="149" t="s">
        <v>159</v>
      </c>
      <c r="B52" s="2" t="s">
        <v>51</v>
      </c>
      <c r="C52" s="2" t="s">
        <v>577</v>
      </c>
      <c r="D52" s="42" t="str">
        <f>_xlfn.XLOOKUP(F52,'DATA - Segments'!C:C,'DATA - Segments'!D:D)</f>
        <v>FMB</v>
      </c>
      <c r="E52" s="42" t="str">
        <f>_xlfn.XLOOKUP(F52,'DATA - Segments'!C:C,'DATA - Segments'!E:E)</f>
        <v>FMB</v>
      </c>
      <c r="F52" s="203" t="str">
        <f t="shared" si="10"/>
        <v>Redd's|MolsonCoors Beverage Company</v>
      </c>
      <c r="G52" s="203" t="str">
        <f t="shared" si="1"/>
        <v>Redd's|MolsonCoors Beverage Company|FMB|FMB</v>
      </c>
      <c r="H52" s="150">
        <f>_xlfn.XLOOKUP(F52,'DATA - 2025 Review'!C:C,'DATA - 2025 Review'!I:I,"")</f>
        <v>885.91778999999997</v>
      </c>
      <c r="I52" s="151">
        <f>_xlfn.XLOOKUP(F52,'DATA - 2025 Review'!C:C,'DATA - 2025 Review'!J:J)</f>
        <v>-0.25239005063291142</v>
      </c>
      <c r="J52" s="150">
        <f>_xlfn.XLOOKUP(F52,'2025 Finish (ACTUAL)'!$C:$C,'2025 Finish (ACTUAL)'!$D:$D)</f>
        <v>952</v>
      </c>
      <c r="K52" s="146">
        <v>-6.8000000000000005E-2</v>
      </c>
      <c r="L52" s="152">
        <f t="shared" si="9"/>
        <v>-64.736000000000004</v>
      </c>
      <c r="M52" s="152">
        <f t="shared" si="6"/>
        <v>887.26400000000001</v>
      </c>
      <c r="N52" s="146">
        <v>-0.23</v>
      </c>
      <c r="O52" s="152">
        <f t="shared" si="7"/>
        <v>-218.96</v>
      </c>
      <c r="P52" s="69">
        <f t="shared" si="8"/>
        <v>733.04</v>
      </c>
    </row>
    <row r="53" spans="1:16" x14ac:dyDescent="0.25">
      <c r="A53" s="149" t="s">
        <v>160</v>
      </c>
      <c r="B53" s="2" t="s">
        <v>51</v>
      </c>
      <c r="C53" s="2" t="s">
        <v>577</v>
      </c>
      <c r="D53" s="42" t="str">
        <f>_xlfn.XLOOKUP(F53,'DATA - Segments'!C:C,'DATA - Segments'!D:D)</f>
        <v>Beer</v>
      </c>
      <c r="E53" s="42" t="str">
        <f>_xlfn.XLOOKUP(F53,'DATA - Segments'!C:C,'DATA - Segments'!E:E)</f>
        <v>Beer - Economy</v>
      </c>
      <c r="F53" s="203" t="str">
        <f t="shared" si="10"/>
        <v>Steel Reserve Alloy Series|MolsonCoors Beverage Company</v>
      </c>
      <c r="G53" s="203" t="str">
        <f t="shared" si="1"/>
        <v>Steel Reserve Alloy Series|MolsonCoors Beverage Company|Beer|Beer - Economy</v>
      </c>
      <c r="H53" s="150">
        <f>_xlfn.XLOOKUP(F53,'DATA - 2025 Review'!C:C,'DATA - 2025 Review'!I:I,"")</f>
        <v>10</v>
      </c>
      <c r="I53" s="151">
        <f>_xlfn.XLOOKUP(F53,'DATA - 2025 Review'!C:C,'DATA - 2025 Review'!J:J)</f>
        <v>-0.85074626865671643</v>
      </c>
      <c r="J53" s="150">
        <f>_xlfn.XLOOKUP(F53,'2025 Finish (ACTUAL)'!$C:$C,'2025 Finish (ACTUAL)'!$D:$D)</f>
        <v>10</v>
      </c>
      <c r="K53" s="146">
        <v>-0.06</v>
      </c>
      <c r="L53" s="152">
        <f t="shared" si="9"/>
        <v>-0.6</v>
      </c>
      <c r="M53" s="152">
        <f t="shared" si="6"/>
        <v>9.4</v>
      </c>
      <c r="N53" s="146">
        <v>0</v>
      </c>
      <c r="O53" s="152">
        <f t="shared" si="7"/>
        <v>0</v>
      </c>
      <c r="P53" s="69">
        <f t="shared" si="8"/>
        <v>10</v>
      </c>
    </row>
    <row r="54" spans="1:16" x14ac:dyDescent="0.25">
      <c r="A54" s="156" t="s">
        <v>31</v>
      </c>
      <c r="B54" s="285" t="s">
        <v>51</v>
      </c>
      <c r="C54" s="285"/>
      <c r="D54" s="42"/>
      <c r="E54" s="42"/>
      <c r="F54" s="205" t="str">
        <f t="shared" si="10"/>
        <v>Lech|MolsonCoors Beverage Company</v>
      </c>
      <c r="G54" s="203" t="str">
        <f t="shared" si="1"/>
        <v>Lech|MolsonCoors Beverage Company||</v>
      </c>
      <c r="H54" s="276">
        <f>_xlfn.XLOOKUP(F54,'DATA - 2025 Review'!C:C,'DATA - 2025 Review'!I:I,"")</f>
        <v>0</v>
      </c>
      <c r="I54" s="277">
        <f>_xlfn.XLOOKUP(F54,'DATA - 2025 Review'!C:C,'DATA - 2025 Review'!J:J)</f>
        <v>-1</v>
      </c>
      <c r="J54" s="278"/>
      <c r="K54" s="277">
        <v>0</v>
      </c>
      <c r="L54" s="279"/>
      <c r="M54" s="279">
        <f t="shared" si="6"/>
        <v>0</v>
      </c>
      <c r="N54" s="277">
        <v>0</v>
      </c>
      <c r="O54" s="279">
        <f t="shared" si="7"/>
        <v>0</v>
      </c>
      <c r="P54" s="280">
        <f t="shared" si="8"/>
        <v>0</v>
      </c>
    </row>
    <row r="55" spans="1:16" x14ac:dyDescent="0.25">
      <c r="A55" s="149" t="s">
        <v>240</v>
      </c>
      <c r="B55" s="5" t="s">
        <v>51</v>
      </c>
      <c r="C55" s="2" t="s">
        <v>577</v>
      </c>
      <c r="D55" s="42" t="str">
        <f>_xlfn.XLOOKUP(F55,'DATA - Segments'!C:C,'DATA - Segments'!D:D)</f>
        <v>Non-Alc</v>
      </c>
      <c r="E55" s="42" t="str">
        <f>_xlfn.XLOOKUP(F55,'DATA - Segments'!C:C,'DATA - Segments'!E:E)</f>
        <v>Non-Alc - Soda</v>
      </c>
      <c r="F55" s="203" t="str">
        <f t="shared" si="10"/>
        <v>Fever Tree|MolsonCoors Beverage Company</v>
      </c>
      <c r="G55" s="203" t="str">
        <f t="shared" si="1"/>
        <v>Fever Tree|MolsonCoors Beverage Company|Non-Alc|Non-Alc - Soda</v>
      </c>
      <c r="H55" s="150">
        <f>_xlfn.XLOOKUP(F55,'DATA - 2025 Review'!C:C,'DATA - 2025 Review'!I:I,"")</f>
        <v>2400.8188530000002</v>
      </c>
      <c r="I55" s="151">
        <f>_xlfn.XLOOKUP(F55,'DATA - 2025 Review'!C:C,'DATA - 2025 Review'!J:J)</f>
        <v>0</v>
      </c>
      <c r="J55" s="150">
        <f>_xlfn.XLOOKUP(F55,'2025 Finish (ACTUAL)'!$C:$C,'2025 Finish (ACTUAL)'!$D:$D)</f>
        <v>3470.7233289999999</v>
      </c>
      <c r="K55" s="146">
        <v>6.27</v>
      </c>
      <c r="L55" s="152">
        <f t="shared" si="9"/>
        <v>21761.435272829996</v>
      </c>
      <c r="M55" s="152">
        <f t="shared" si="6"/>
        <v>25232.158601829997</v>
      </c>
      <c r="N55" s="146">
        <v>2.5</v>
      </c>
      <c r="O55" s="152">
        <f t="shared" si="7"/>
        <v>8676.8083224999991</v>
      </c>
      <c r="P55" s="69">
        <f t="shared" si="8"/>
        <v>12147.531651499999</v>
      </c>
    </row>
    <row r="56" spans="1:16" x14ac:dyDescent="0.25">
      <c r="A56" s="156" t="s">
        <v>287</v>
      </c>
      <c r="B56" s="285" t="s">
        <v>51</v>
      </c>
      <c r="C56" s="285"/>
      <c r="D56" s="42"/>
      <c r="E56" s="42"/>
      <c r="F56" s="205" t="str">
        <f t="shared" si="10"/>
        <v>Milwaukee's Best|MolsonCoors Beverage Company</v>
      </c>
      <c r="G56" s="203" t="str">
        <f t="shared" si="1"/>
        <v>Milwaukee's Best|MolsonCoors Beverage Company||</v>
      </c>
      <c r="H56" s="276">
        <f>_xlfn.XLOOKUP(F56,'DATA - 2025 Review'!C:C,'DATA - 2025 Review'!I:I,"")</f>
        <v>-5</v>
      </c>
      <c r="I56" s="277">
        <f>_xlfn.XLOOKUP(F56,'DATA - 2025 Review'!C:C,'DATA - 2025 Review'!J:J)</f>
        <v>1</v>
      </c>
      <c r="J56" s="278"/>
      <c r="K56" s="277">
        <v>-0.1</v>
      </c>
      <c r="L56" s="279"/>
      <c r="M56" s="279">
        <f t="shared" si="6"/>
        <v>0</v>
      </c>
      <c r="N56" s="277">
        <v>-0.1</v>
      </c>
      <c r="O56" s="279">
        <f t="shared" si="7"/>
        <v>0</v>
      </c>
      <c r="P56" s="280">
        <f t="shared" si="8"/>
        <v>0</v>
      </c>
    </row>
    <row r="57" spans="1:16" x14ac:dyDescent="0.25">
      <c r="A57" s="149" t="s">
        <v>108</v>
      </c>
      <c r="B57" s="2" t="s">
        <v>51</v>
      </c>
      <c r="C57" s="2" t="s">
        <v>577</v>
      </c>
      <c r="D57" s="42" t="str">
        <f>_xlfn.XLOOKUP(F57,'DATA - Segments'!C:C,'DATA - Segments'!D:D)</f>
        <v>Beer</v>
      </c>
      <c r="E57" s="42" t="str">
        <f>_xlfn.XLOOKUP(F57,'DATA - Segments'!C:C,'DATA - Segments'!E:E)</f>
        <v>Beer - Craft</v>
      </c>
      <c r="F57" s="203" t="str">
        <f t="shared" si="10"/>
        <v>Leinenkugel|MolsonCoors Beverage Company</v>
      </c>
      <c r="G57" s="203" t="str">
        <f t="shared" si="1"/>
        <v>Leinenkugel|MolsonCoors Beverage Company|Beer|Beer - Craft</v>
      </c>
      <c r="H57" s="150">
        <f>_xlfn.XLOOKUP(F57,'DATA - 2025 Review'!C:C,'DATA - 2025 Review'!I:I,"")</f>
        <v>17424.431125882787</v>
      </c>
      <c r="I57" s="151">
        <f>_xlfn.XLOOKUP(F57,'DATA - 2025 Review'!C:C,'DATA - 2025 Review'!J:J)</f>
        <v>-0.19509170896474626</v>
      </c>
      <c r="J57" s="150">
        <f>_xlfn.XLOOKUP(F57,'2025 Finish (ACTUAL)'!$C:$C,'2025 Finish (ACTUAL)'!$D:$D)</f>
        <v>17664.340304000001</v>
      </c>
      <c r="K57" s="146">
        <v>-0.1348</v>
      </c>
      <c r="L57" s="152">
        <f t="shared" si="9"/>
        <v>-2381.1530729792003</v>
      </c>
      <c r="M57" s="152">
        <f t="shared" si="6"/>
        <v>15283.187231020802</v>
      </c>
      <c r="N57" s="146">
        <v>-0.15</v>
      </c>
      <c r="O57" s="152">
        <f t="shared" si="7"/>
        <v>-2649.6510456000001</v>
      </c>
      <c r="P57" s="69">
        <f t="shared" si="8"/>
        <v>15014.689258400002</v>
      </c>
    </row>
    <row r="58" spans="1:16" x14ac:dyDescent="0.25">
      <c r="A58" s="149" t="s">
        <v>86</v>
      </c>
      <c r="B58" s="2" t="s">
        <v>51</v>
      </c>
      <c r="C58" s="2" t="s">
        <v>577</v>
      </c>
      <c r="D58" s="42" t="str">
        <f>_xlfn.XLOOKUP(F58,'DATA - Segments'!C:C,'DATA - Segments'!D:D)</f>
        <v>FMB</v>
      </c>
      <c r="E58" s="42" t="str">
        <f>_xlfn.XLOOKUP(F58,'DATA - Segments'!C:C,'DATA - Segments'!E:E)</f>
        <v>FMB</v>
      </c>
      <c r="F58" s="203" t="str">
        <f t="shared" si="10"/>
        <v>Happy Thursday Spiked Refresher|MolsonCoors Beverage Company</v>
      </c>
      <c r="G58" s="203" t="str">
        <f t="shared" si="1"/>
        <v>Happy Thursday Spiked Refresher|MolsonCoors Beverage Company|FMB|FMB</v>
      </c>
      <c r="H58" s="150">
        <f>_xlfn.XLOOKUP(F58,'DATA - 2025 Review'!C:C,'DATA - 2025 Review'!I:I,"")</f>
        <v>279.10909600000002</v>
      </c>
      <c r="I58" s="151">
        <f>_xlfn.XLOOKUP(F58,'DATA - 2025 Review'!C:C,'DATA - 2025 Review'!J:J)</f>
        <v>-0.6090909019607843</v>
      </c>
      <c r="J58" s="150">
        <f>_xlfn.XLOOKUP(F58,'2025 Finish (ACTUAL)'!$C:$C,'2025 Finish (ACTUAL)'!$D:$D)</f>
        <v>299</v>
      </c>
      <c r="K58" s="146">
        <v>-0.43</v>
      </c>
      <c r="L58" s="152">
        <f t="shared" si="9"/>
        <v>-128.57</v>
      </c>
      <c r="M58" s="152">
        <f t="shared" si="6"/>
        <v>170.43</v>
      </c>
      <c r="N58" s="146">
        <v>-0.6</v>
      </c>
      <c r="O58" s="152">
        <f t="shared" si="7"/>
        <v>-179.4</v>
      </c>
      <c r="P58" s="69">
        <f t="shared" si="8"/>
        <v>119.6</v>
      </c>
    </row>
    <row r="59" spans="1:16" x14ac:dyDescent="0.25">
      <c r="A59" s="143" t="s">
        <v>394</v>
      </c>
      <c r="B59" s="202"/>
      <c r="C59" s="202" t="str">
        <f>_xlfn.XLOOKUP(A59,'Brand Managers'!A:A,'Brand Managers'!B:B)</f>
        <v>Perry Calderone</v>
      </c>
      <c r="D59" s="202"/>
      <c r="E59" s="202"/>
      <c r="F59" s="203" t="str">
        <f t="shared" si="10"/>
        <v>Heineken USA|</v>
      </c>
      <c r="G59" s="203" t="str">
        <f t="shared" si="1"/>
        <v>Heineken USA|||</v>
      </c>
      <c r="H59" s="144">
        <f>_xlfn.XLOOKUP(F59,'DATA - 2025 Review'!C:C,'DATA - 2025 Review'!I:I,"")</f>
        <v>541821.30017811502</v>
      </c>
      <c r="I59" s="145">
        <f>_xlfn.XLOOKUP(F59,'DATA - 2025 Review'!C:C,'DATA - 2025 Review'!J:J)</f>
        <v>-0.10487381970155407</v>
      </c>
      <c r="J59" s="144">
        <f>_xlfn.XLOOKUP(F59,'2025 Finish (ACTUAL)'!$C:$C,'2025 Finish (ACTUAL)'!$D:$D)</f>
        <v>538278.17747200001</v>
      </c>
      <c r="K59" s="145">
        <f>L59/J59</f>
        <v>-4.0452484185834699E-2</v>
      </c>
      <c r="L59" s="147">
        <f>SUMIF(B:B,A59,L:L)</f>
        <v>-21774.689461766004</v>
      </c>
      <c r="M59" s="147">
        <f>SUMIF(B:B,A59,M:M)</f>
        <v>516503.48801023391</v>
      </c>
      <c r="N59" s="145">
        <f>O59/J59</f>
        <v>-5.3569376880681634E-2</v>
      </c>
      <c r="O59" s="147">
        <f>SUMIF(B:B,A59,O:O)</f>
        <v>-28835.226555644003</v>
      </c>
      <c r="P59" s="148">
        <f>SUMIF(B:B,A59,P:P)</f>
        <v>509442.95091635594</v>
      </c>
    </row>
    <row r="60" spans="1:16" x14ac:dyDescent="0.25">
      <c r="A60" s="149" t="s">
        <v>394</v>
      </c>
      <c r="B60" s="2" t="s">
        <v>394</v>
      </c>
      <c r="C60" s="299" t="str">
        <f>_xlfn.XLOOKUP(B60,'Brand Managers'!A:A,'Brand Managers'!B:B)</f>
        <v>Perry Calderone</v>
      </c>
      <c r="D60" s="42" t="str">
        <f>_xlfn.XLOOKUP(F60,'DATA - Segments'!C:C,'DATA - Segments'!D:D)</f>
        <v>Beer</v>
      </c>
      <c r="E60" s="42" t="str">
        <f>_xlfn.XLOOKUP(F60,'DATA - Segments'!C:C,'DATA - Segments'!E:E)</f>
        <v>Beer - Import</v>
      </c>
      <c r="F60" s="203" t="str">
        <f t="shared" si="10"/>
        <v>Heineken USA|Heineken USA</v>
      </c>
      <c r="G60" s="203" t="str">
        <f t="shared" si="1"/>
        <v>Heineken USA|Heineken USA|Beer|Beer - Import</v>
      </c>
      <c r="H60" s="150">
        <f>_xlfn.XLOOKUP(F60,'DATA - 2025 Review'!C:C,'DATA - 2025 Review'!I:I,"")</f>
        <v>431510.30309007451</v>
      </c>
      <c r="I60" s="151">
        <f>_xlfn.XLOOKUP(F60,'DATA - 2025 Review'!C:C,'DATA - 2025 Review'!J:J)</f>
        <v>-0.11329014283713024</v>
      </c>
      <c r="J60" s="150">
        <f>_xlfn.XLOOKUP(F60,'2025 Finish (ACTUAL)'!$C:$C,'2025 Finish (ACTUAL)'!$D:$D)</f>
        <v>427765.62028799998</v>
      </c>
      <c r="K60" s="146">
        <v>-3.4000000000000002E-2</v>
      </c>
      <c r="L60" s="152">
        <f t="shared" si="9"/>
        <v>-14544.031089792001</v>
      </c>
      <c r="M60" s="152">
        <f t="shared" ref="M60:M75" si="11">L60+J60</f>
        <v>413221.58919820795</v>
      </c>
      <c r="N60" s="146">
        <v>-0.05</v>
      </c>
      <c r="O60" s="152">
        <f t="shared" ref="O60:O75" si="12">N60*J60</f>
        <v>-21388.2810144</v>
      </c>
      <c r="P60" s="69">
        <f t="shared" ref="P60:P75" si="13">O60+J60</f>
        <v>406377.33927359997</v>
      </c>
    </row>
    <row r="61" spans="1:16" x14ac:dyDescent="0.25">
      <c r="A61" s="149" t="s">
        <v>241</v>
      </c>
      <c r="B61" s="2" t="s">
        <v>394</v>
      </c>
      <c r="C61" s="299" t="str">
        <f>_xlfn.XLOOKUP(B61,'Brand Managers'!A:A,'Brand Managers'!B:B)</f>
        <v>Perry Calderone</v>
      </c>
      <c r="D61" s="42" t="str">
        <f>_xlfn.XLOOKUP(F61,'DATA - Segments'!C:C,'DATA - Segments'!D:D)</f>
        <v>Beer</v>
      </c>
      <c r="E61" s="42" t="str">
        <f>_xlfn.XLOOKUP(F61,'DATA - Segments'!C:C,'DATA - Segments'!E:E)</f>
        <v>Beer - Import</v>
      </c>
      <c r="F61" s="203" t="str">
        <f t="shared" si="10"/>
        <v>Heineken Light|Heineken USA</v>
      </c>
      <c r="G61" s="203" t="str">
        <f t="shared" si="1"/>
        <v>Heineken Light|Heineken USA|Beer|Beer - Import</v>
      </c>
      <c r="H61" s="150">
        <f>_xlfn.XLOOKUP(F61,'DATA - 2025 Review'!C:C,'DATA - 2025 Review'!I:I,"")</f>
        <v>35647.770390999998</v>
      </c>
      <c r="I61" s="151">
        <f>_xlfn.XLOOKUP(F61,'DATA - 2025 Review'!C:C,'DATA - 2025 Review'!J:J)</f>
        <v>-9.1383009430836326E-2</v>
      </c>
      <c r="J61" s="150">
        <f>_xlfn.XLOOKUP(F61,'2025 Finish (ACTUAL)'!$C:$C,'2025 Finish (ACTUAL)'!$D:$D)</f>
        <v>35718</v>
      </c>
      <c r="K61" s="146">
        <v>-0.10100000000000001</v>
      </c>
      <c r="L61" s="152">
        <f t="shared" si="9"/>
        <v>-3607.518</v>
      </c>
      <c r="M61" s="152">
        <f t="shared" si="11"/>
        <v>32110.482</v>
      </c>
      <c r="N61" s="146">
        <v>-0.1</v>
      </c>
      <c r="O61" s="152">
        <f t="shared" si="12"/>
        <v>-3571.8</v>
      </c>
      <c r="P61" s="69">
        <f t="shared" si="13"/>
        <v>32146.2</v>
      </c>
    </row>
    <row r="62" spans="1:16" x14ac:dyDescent="0.25">
      <c r="A62" s="149" t="s">
        <v>373</v>
      </c>
      <c r="B62" s="2" t="s">
        <v>394</v>
      </c>
      <c r="C62" s="299" t="str">
        <f>_xlfn.XLOOKUP(B62,'Brand Managers'!A:A,'Brand Managers'!B:B)</f>
        <v>Perry Calderone</v>
      </c>
      <c r="D62" s="42" t="str">
        <f>_xlfn.XLOOKUP(F62,'DATA - Segments'!C:C,'DATA - Segments'!D:D)</f>
        <v>Beer</v>
      </c>
      <c r="E62" s="42" t="str">
        <f>_xlfn.XLOOKUP(F62,'DATA - Segments'!C:C,'DATA - Segments'!E:E)</f>
        <v>Beer - Non-Alc</v>
      </c>
      <c r="F62" s="203" t="str">
        <f t="shared" si="10"/>
        <v>Heineken 0.0|Heineken USA</v>
      </c>
      <c r="G62" s="203" t="str">
        <f t="shared" si="1"/>
        <v>Heineken 0.0|Heineken USA|Beer|Beer - Non-Alc</v>
      </c>
      <c r="H62" s="150">
        <f>_xlfn.XLOOKUP(F62,'DATA - 2025 Review'!C:C,'DATA - 2025 Review'!I:I,"")</f>
        <v>26910.813910960191</v>
      </c>
      <c r="I62" s="151">
        <f>_xlfn.XLOOKUP(F62,'DATA - 2025 Review'!C:C,'DATA - 2025 Review'!J:J)</f>
        <v>8.167783691244912E-2</v>
      </c>
      <c r="J62" s="150">
        <f>_xlfn.XLOOKUP(F62,'2025 Finish (ACTUAL)'!$C:$C,'2025 Finish (ACTUAL)'!$D:$D)</f>
        <v>26535.735479999999</v>
      </c>
      <c r="K62" s="146">
        <v>2.9000000000000001E-2</v>
      </c>
      <c r="L62" s="152">
        <f t="shared" si="9"/>
        <v>769.53632892000007</v>
      </c>
      <c r="M62" s="152">
        <f t="shared" si="11"/>
        <v>27305.271808919999</v>
      </c>
      <c r="N62" s="146">
        <v>2.9000000000000001E-2</v>
      </c>
      <c r="O62" s="152">
        <f t="shared" si="12"/>
        <v>769.53632892000007</v>
      </c>
      <c r="P62" s="69">
        <f t="shared" si="13"/>
        <v>27305.271808919999</v>
      </c>
    </row>
    <row r="63" spans="1:16" x14ac:dyDescent="0.25">
      <c r="A63" s="185" t="s">
        <v>502</v>
      </c>
      <c r="B63" s="283" t="s">
        <v>394</v>
      </c>
      <c r="C63" s="283"/>
      <c r="D63" s="42" t="s">
        <v>512</v>
      </c>
      <c r="E63" s="42" t="s">
        <v>515</v>
      </c>
      <c r="F63" s="203"/>
      <c r="G63" s="203" t="str">
        <f t="shared" si="1"/>
        <v>Heineken Ultimate 0.0|Heineken USA|Beer|Beer - Import</v>
      </c>
      <c r="H63" s="197" t="s">
        <v>475</v>
      </c>
      <c r="I63" s="198" t="s">
        <v>475</v>
      </c>
      <c r="J63" s="197"/>
      <c r="K63" s="206"/>
      <c r="L63" s="199" t="s">
        <v>475</v>
      </c>
      <c r="M63" s="274"/>
      <c r="N63" s="196"/>
      <c r="O63" s="274">
        <f t="shared" si="12"/>
        <v>0</v>
      </c>
      <c r="P63" s="275">
        <f t="shared" si="13"/>
        <v>0</v>
      </c>
    </row>
    <row r="64" spans="1:16" x14ac:dyDescent="0.25">
      <c r="A64" s="149" t="s">
        <v>3</v>
      </c>
      <c r="B64" s="2" t="s">
        <v>394</v>
      </c>
      <c r="C64" s="299" t="str">
        <f>_xlfn.XLOOKUP(B64,'Brand Managers'!A:A,'Brand Managers'!B:B)</f>
        <v>Perry Calderone</v>
      </c>
      <c r="D64" s="42" t="str">
        <f>_xlfn.XLOOKUP(F64,'DATA - Segments'!C:C,'DATA - Segments'!D:D)</f>
        <v>Beer</v>
      </c>
      <c r="E64" s="42" t="str">
        <f>_xlfn.XLOOKUP(F64,'DATA - Segments'!C:C,'DATA - Segments'!E:E)</f>
        <v>Beer - Import</v>
      </c>
      <c r="F64" s="203" t="str">
        <f t="shared" ref="F64:F94" si="14">A64&amp;"|"&amp;B64</f>
        <v>Amstel|Heineken USA</v>
      </c>
      <c r="G64" s="203" t="str">
        <f t="shared" si="1"/>
        <v>Amstel|Heineken USA|Beer|Beer - Import</v>
      </c>
      <c r="H64" s="150">
        <f>_xlfn.XLOOKUP(F64,'DATA - 2025 Review'!C:C,'DATA - 2025 Review'!I:I,"")</f>
        <v>13542.46696</v>
      </c>
      <c r="I64" s="151">
        <f>_xlfn.XLOOKUP(F64,'DATA - 2025 Review'!C:C,'DATA - 2025 Review'!J:J)</f>
        <v>-0.16363222826086954</v>
      </c>
      <c r="J64" s="150">
        <f>_xlfn.XLOOKUP(F64,'2025 Finish (ACTUAL)'!$C:$C,'2025 Finish (ACTUAL)'!$D:$D)</f>
        <v>13528</v>
      </c>
      <c r="K64" s="146">
        <v>-0.155</v>
      </c>
      <c r="L64" s="152">
        <f t="shared" si="9"/>
        <v>-2096.84</v>
      </c>
      <c r="M64" s="152">
        <f t="shared" si="11"/>
        <v>11431.16</v>
      </c>
      <c r="N64" s="146">
        <v>-0.155</v>
      </c>
      <c r="O64" s="152">
        <f t="shared" si="12"/>
        <v>-2096.84</v>
      </c>
      <c r="P64" s="69">
        <f t="shared" si="13"/>
        <v>11431.16</v>
      </c>
    </row>
    <row r="65" spans="1:16" x14ac:dyDescent="0.25">
      <c r="A65" s="149" t="s">
        <v>242</v>
      </c>
      <c r="B65" s="2" t="s">
        <v>394</v>
      </c>
      <c r="C65" s="299" t="str">
        <f>_xlfn.XLOOKUP(B65,'Brand Managers'!A:A,'Brand Managers'!B:B)</f>
        <v>Perry Calderone</v>
      </c>
      <c r="D65" s="42" t="str">
        <f>_xlfn.XLOOKUP(F65,'DATA - Segments'!C:C,'DATA - Segments'!D:D)</f>
        <v>Beer</v>
      </c>
      <c r="E65" s="42" t="str">
        <f>_xlfn.XLOOKUP(F65,'DATA - Segments'!C:C,'DATA - Segments'!E:E)</f>
        <v>Beer - Import</v>
      </c>
      <c r="F65" s="203" t="str">
        <f t="shared" si="14"/>
        <v>Tecate|Heineken USA</v>
      </c>
      <c r="G65" s="203" t="str">
        <f t="shared" si="1"/>
        <v>Tecate|Heineken USA|Beer|Beer - Import</v>
      </c>
      <c r="H65" s="150">
        <f>_xlfn.XLOOKUP(F65,'DATA - 2025 Review'!C:C,'DATA - 2025 Review'!I:I,"")</f>
        <v>10767.745022999999</v>
      </c>
      <c r="I65" s="151">
        <f>_xlfn.XLOOKUP(F65,'DATA - 2025 Review'!C:C,'DATA - 2025 Review'!J:J)</f>
        <v>-0.12993192145930554</v>
      </c>
      <c r="J65" s="150">
        <f>_xlfn.XLOOKUP(F65,'2025 Finish (ACTUAL)'!$C:$C,'2025 Finish (ACTUAL)'!$D:$D)</f>
        <v>11132</v>
      </c>
      <c r="K65" s="146">
        <v>-0.13200000000000001</v>
      </c>
      <c r="L65" s="152">
        <f t="shared" si="9"/>
        <v>-1469.424</v>
      </c>
      <c r="M65" s="152">
        <f t="shared" si="11"/>
        <v>9662.5760000000009</v>
      </c>
      <c r="N65" s="146">
        <v>-0.13200000000000001</v>
      </c>
      <c r="O65" s="152">
        <f t="shared" si="12"/>
        <v>-1469.424</v>
      </c>
      <c r="P65" s="69">
        <f t="shared" si="13"/>
        <v>9662.5760000000009</v>
      </c>
    </row>
    <row r="66" spans="1:16" x14ac:dyDescent="0.25">
      <c r="A66" s="149" t="s">
        <v>395</v>
      </c>
      <c r="B66" s="2" t="s">
        <v>394</v>
      </c>
      <c r="C66" s="299" t="str">
        <f>_xlfn.XLOOKUP(B66,'Brand Managers'!A:A,'Brand Managers'!B:B)</f>
        <v>Perry Calderone</v>
      </c>
      <c r="D66" s="42" t="str">
        <f>_xlfn.XLOOKUP(F66,'DATA - Segments'!C:C,'DATA - Segments'!D:D)</f>
        <v>Beer</v>
      </c>
      <c r="E66" s="42" t="str">
        <f>_xlfn.XLOOKUP(F66,'DATA - Segments'!C:C,'DATA - Segments'!E:E)</f>
        <v>Beer - Import</v>
      </c>
      <c r="F66" s="203" t="str">
        <f t="shared" si="14"/>
        <v>Dos Equis|Heineken USA</v>
      </c>
      <c r="G66" s="203" t="str">
        <f t="shared" si="1"/>
        <v>Dos Equis|Heineken USA|Beer|Beer - Import</v>
      </c>
      <c r="H66" s="150">
        <f>_xlfn.XLOOKUP(F66,'DATA - 2025 Review'!C:C,'DATA - 2025 Review'!I:I,"")</f>
        <v>8312.7525045921611</v>
      </c>
      <c r="I66" s="151">
        <f>_xlfn.XLOOKUP(F66,'DATA - 2025 Review'!C:C,'DATA - 2025 Review'!J:J)</f>
        <v>-5.0640211726230899E-2</v>
      </c>
      <c r="J66" s="150">
        <f>_xlfn.XLOOKUP(F66,'2025 Finish (ACTUAL)'!$C:$C,'2025 Finish (ACTUAL)'!$D:$D)</f>
        <v>8335.8888979999992</v>
      </c>
      <c r="K66" s="146">
        <v>-8.0000000000000002E-3</v>
      </c>
      <c r="L66" s="152">
        <f t="shared" si="9"/>
        <v>-66.687111183999988</v>
      </c>
      <c r="M66" s="152">
        <f t="shared" si="11"/>
        <v>8269.2017868160001</v>
      </c>
      <c r="N66" s="146">
        <v>-8.0000000000000002E-3</v>
      </c>
      <c r="O66" s="152">
        <f t="shared" si="12"/>
        <v>-66.687111183999988</v>
      </c>
      <c r="P66" s="69">
        <f t="shared" si="13"/>
        <v>8269.2017868160001</v>
      </c>
    </row>
    <row r="67" spans="1:16" x14ac:dyDescent="0.25">
      <c r="A67" s="149" t="s">
        <v>312</v>
      </c>
      <c r="B67" s="2" t="s">
        <v>394</v>
      </c>
      <c r="C67" s="299" t="str">
        <f>_xlfn.XLOOKUP(B67,'Brand Managers'!A:A,'Brand Managers'!B:B)</f>
        <v>Perry Calderone</v>
      </c>
      <c r="D67" s="42" t="str">
        <f>_xlfn.XLOOKUP(F67,'DATA - Segments'!C:C,'DATA - Segments'!D:D)</f>
        <v>Beer</v>
      </c>
      <c r="E67" s="42" t="str">
        <f>_xlfn.XLOOKUP(F67,'DATA - Segments'!C:C,'DATA - Segments'!E:E)</f>
        <v>Beer - Import</v>
      </c>
      <c r="F67" s="203" t="str">
        <f t="shared" si="14"/>
        <v>Red Stripe|Heineken USA</v>
      </c>
      <c r="G67" s="203" t="str">
        <f t="shared" si="1"/>
        <v>Red Stripe|Heineken USA|Beer|Beer - Import</v>
      </c>
      <c r="H67" s="150">
        <f>_xlfn.XLOOKUP(F67,'DATA - 2025 Review'!C:C,'DATA - 2025 Review'!I:I,"")</f>
        <v>7332.7771008013597</v>
      </c>
      <c r="I67" s="151">
        <f>_xlfn.XLOOKUP(F67,'DATA - 2025 Review'!C:C,'DATA - 2025 Review'!J:J)</f>
        <v>-4.4379840351007838E-2</v>
      </c>
      <c r="J67" s="150">
        <f>_xlfn.XLOOKUP(F67,'2025 Finish (ACTUAL)'!$C:$C,'2025 Finish (ACTUAL)'!$D:$D)</f>
        <v>7300.5711199999996</v>
      </c>
      <c r="K67" s="146">
        <v>-7.9000000000000001E-2</v>
      </c>
      <c r="L67" s="152">
        <f t="shared" si="9"/>
        <v>-576.74511847999997</v>
      </c>
      <c r="M67" s="152">
        <f t="shared" si="11"/>
        <v>6723.8260015199994</v>
      </c>
      <c r="N67" s="146">
        <v>-7.9000000000000001E-2</v>
      </c>
      <c r="O67" s="152">
        <f t="shared" si="12"/>
        <v>-576.74511847999997</v>
      </c>
      <c r="P67" s="69">
        <f t="shared" si="13"/>
        <v>6723.8260015199994</v>
      </c>
    </row>
    <row r="68" spans="1:16" x14ac:dyDescent="0.25">
      <c r="A68" s="149" t="s">
        <v>32</v>
      </c>
      <c r="B68" s="2" t="s">
        <v>394</v>
      </c>
      <c r="C68" s="299" t="str">
        <f>_xlfn.XLOOKUP(B68,'Brand Managers'!A:A,'Brand Managers'!B:B)</f>
        <v>Perry Calderone</v>
      </c>
      <c r="D68" s="42" t="str">
        <f>_xlfn.XLOOKUP(F68,'DATA - Segments'!C:C,'DATA - Segments'!D:D)</f>
        <v>Beer</v>
      </c>
      <c r="E68" s="42" t="str">
        <f>_xlfn.XLOOKUP(F68,'DATA - Segments'!C:C,'DATA - Segments'!E:E)</f>
        <v>Beer - Import</v>
      </c>
      <c r="F68" s="203" t="str">
        <f t="shared" si="14"/>
        <v>Heineken Silver|Heineken USA</v>
      </c>
      <c r="G68" s="203" t="str">
        <f t="shared" ref="G68:G131" si="15">A68&amp;"|"&amp;B68&amp;"|"&amp;D68&amp;"|"&amp;E68</f>
        <v>Heineken Silver|Heineken USA|Beer|Beer - Import</v>
      </c>
      <c r="H68" s="150">
        <f>_xlfn.XLOOKUP(F68,'DATA - 2025 Review'!C:C,'DATA - 2025 Review'!I:I,"")</f>
        <v>3602.6980159999998</v>
      </c>
      <c r="I68" s="151">
        <f>_xlfn.XLOOKUP(F68,'DATA - 2025 Review'!C:C,'DATA - 2025 Review'!J:J)</f>
        <v>-0.36794771649122815</v>
      </c>
      <c r="J68" s="150">
        <f>_xlfn.XLOOKUP(F68,'2025 Finish (ACTUAL)'!$C:$C,'2025 Finish (ACTUAL)'!$D:$D)</f>
        <v>3651</v>
      </c>
      <c r="K68" s="146">
        <v>-0.26100000000000001</v>
      </c>
      <c r="L68" s="152">
        <f t="shared" si="9"/>
        <v>-952.91100000000006</v>
      </c>
      <c r="M68" s="152">
        <f t="shared" si="11"/>
        <v>2698.0889999999999</v>
      </c>
      <c r="N68" s="146">
        <v>-0.26100000000000001</v>
      </c>
      <c r="O68" s="152">
        <f t="shared" si="12"/>
        <v>-952.91100000000006</v>
      </c>
      <c r="P68" s="69">
        <f t="shared" si="13"/>
        <v>2698.0889999999999</v>
      </c>
    </row>
    <row r="69" spans="1:16" x14ac:dyDescent="0.25">
      <c r="A69" s="149" t="s">
        <v>288</v>
      </c>
      <c r="B69" s="2" t="s">
        <v>394</v>
      </c>
      <c r="C69" s="299" t="str">
        <f>_xlfn.XLOOKUP(B69,'Brand Managers'!A:A,'Brand Managers'!B:B)</f>
        <v>Perry Calderone</v>
      </c>
      <c r="D69" s="42" t="str">
        <f>_xlfn.XLOOKUP(F69,'DATA - Segments'!C:C,'DATA - Segments'!D:D)</f>
        <v>Beer</v>
      </c>
      <c r="E69" s="42" t="str">
        <f>_xlfn.XLOOKUP(F69,'DATA - Segments'!C:C,'DATA - Segments'!E:E)</f>
        <v>Beer - Import</v>
      </c>
      <c r="F69" s="203" t="str">
        <f t="shared" si="14"/>
        <v>Murphy's|Heineken USA</v>
      </c>
      <c r="G69" s="203" t="str">
        <f t="shared" si="15"/>
        <v>Murphy's|Heineken USA|Beer|Beer - Import</v>
      </c>
      <c r="H69" s="150">
        <f>_xlfn.XLOOKUP(F69,'DATA - 2025 Review'!C:C,'DATA - 2025 Review'!I:I,"")</f>
        <v>1650.033339900288</v>
      </c>
      <c r="I69" s="151">
        <f>_xlfn.XLOOKUP(F69,'DATA - 2025 Review'!C:C,'DATA - 2025 Review'!J:J)</f>
        <v>0.1552660121845082</v>
      </c>
      <c r="J69" s="150">
        <f>_xlfn.XLOOKUP(F69,'2025 Finish (ACTUAL)'!$C:$C,'2025 Finish (ACTUAL)'!$D:$D)</f>
        <v>1656.9936479999999</v>
      </c>
      <c r="K69" s="146">
        <v>0.19500000000000001</v>
      </c>
      <c r="L69" s="152">
        <f t="shared" si="9"/>
        <v>323.11376136000001</v>
      </c>
      <c r="M69" s="152">
        <f t="shared" si="11"/>
        <v>1980.10740936</v>
      </c>
      <c r="N69" s="146">
        <v>0.15</v>
      </c>
      <c r="O69" s="152">
        <f t="shared" si="12"/>
        <v>248.54904719999996</v>
      </c>
      <c r="P69" s="69">
        <f t="shared" si="13"/>
        <v>1905.5426951999998</v>
      </c>
    </row>
    <row r="70" spans="1:16" x14ac:dyDescent="0.25">
      <c r="A70" s="149" t="s">
        <v>87</v>
      </c>
      <c r="B70" s="2" t="s">
        <v>394</v>
      </c>
      <c r="C70" s="299" t="str">
        <f>_xlfn.XLOOKUP(B70,'Brand Managers'!A:A,'Brand Managers'!B:B)</f>
        <v>Perry Calderone</v>
      </c>
      <c r="D70" s="42" t="str">
        <f>_xlfn.XLOOKUP(F70,'DATA - Segments'!C:C,'DATA - Segments'!D:D)</f>
        <v>Cider</v>
      </c>
      <c r="E70" s="42" t="str">
        <f>_xlfn.XLOOKUP(F70,'DATA - Segments'!C:C,'DATA - Segments'!E:E)</f>
        <v>Cider</v>
      </c>
      <c r="F70" s="203" t="str">
        <f t="shared" si="14"/>
        <v>Strongbow|Heineken USA</v>
      </c>
      <c r="G70" s="203" t="str">
        <f t="shared" si="15"/>
        <v>Strongbow|Heineken USA|Cider|Cider</v>
      </c>
      <c r="H70" s="150">
        <f>_xlfn.XLOOKUP(F70,'DATA - 2025 Review'!C:C,'DATA - 2025 Review'!I:I,"")</f>
        <v>641.759373488292</v>
      </c>
      <c r="I70" s="151">
        <f>_xlfn.XLOOKUP(F70,'DATA - 2025 Review'!C:C,'DATA - 2025 Review'!J:J)</f>
        <v>-0.28128876673640157</v>
      </c>
      <c r="J70" s="150">
        <f>_xlfn.XLOOKUP(F70,'2025 Finish (ACTUAL)'!$C:$C,'2025 Finish (ACTUAL)'!$D:$D)</f>
        <v>674.36821599999996</v>
      </c>
      <c r="K70" s="146">
        <v>0.19500000000000001</v>
      </c>
      <c r="L70" s="152">
        <f t="shared" si="9"/>
        <v>131.50180212000001</v>
      </c>
      <c r="M70" s="152">
        <f t="shared" si="11"/>
        <v>805.87001811999994</v>
      </c>
      <c r="N70" s="146">
        <v>-0.2</v>
      </c>
      <c r="O70" s="152">
        <f t="shared" si="12"/>
        <v>-134.8736432</v>
      </c>
      <c r="P70" s="69">
        <f t="shared" si="13"/>
        <v>539.49457280000001</v>
      </c>
    </row>
    <row r="71" spans="1:16" x14ac:dyDescent="0.25">
      <c r="A71" s="149" t="s">
        <v>216</v>
      </c>
      <c r="B71" s="2" t="s">
        <v>394</v>
      </c>
      <c r="C71" s="299" t="str">
        <f>_xlfn.XLOOKUP(B71,'Brand Managers'!A:A,'Brand Managers'!B:B)</f>
        <v>Perry Calderone</v>
      </c>
      <c r="D71" s="42" t="str">
        <f>_xlfn.XLOOKUP(F71,'DATA - Segments'!C:C,'DATA - Segments'!D:D)</f>
        <v>Beer</v>
      </c>
      <c r="E71" s="42" t="str">
        <f>_xlfn.XLOOKUP(F71,'DATA - Segments'!C:C,'DATA - Segments'!E:E)</f>
        <v>Beer - Import</v>
      </c>
      <c r="F71" s="203" t="str">
        <f t="shared" si="14"/>
        <v>Prestige Lager|Heineken USA</v>
      </c>
      <c r="G71" s="203" t="str">
        <f t="shared" si="15"/>
        <v>Prestige Lager|Heineken USA|Beer|Beer - Import</v>
      </c>
      <c r="H71" s="150">
        <f>_xlfn.XLOOKUP(F71,'DATA - 2025 Review'!C:C,'DATA - 2025 Review'!I:I,"")</f>
        <v>811.55560000000003</v>
      </c>
      <c r="I71" s="151">
        <f>_xlfn.XLOOKUP(F71,'DATA - 2025 Review'!C:C,'DATA - 2025 Review'!J:J)</f>
        <v>1.3055556818181819</v>
      </c>
      <c r="J71" s="150">
        <f>_xlfn.XLOOKUP(F71,'2025 Finish (ACTUAL)'!$C:$C,'2025 Finish (ACTUAL)'!$D:$D)</f>
        <v>690</v>
      </c>
      <c r="K71" s="146">
        <v>0.19500000000000001</v>
      </c>
      <c r="L71" s="152">
        <f t="shared" si="9"/>
        <v>134.55000000000001</v>
      </c>
      <c r="M71" s="152">
        <f t="shared" si="11"/>
        <v>824.55</v>
      </c>
      <c r="N71" s="146">
        <v>0.25</v>
      </c>
      <c r="O71" s="152">
        <f t="shared" si="12"/>
        <v>172.5</v>
      </c>
      <c r="P71" s="69">
        <f t="shared" si="13"/>
        <v>862.5</v>
      </c>
    </row>
    <row r="72" spans="1:16" x14ac:dyDescent="0.25">
      <c r="A72" s="149" t="s">
        <v>313</v>
      </c>
      <c r="B72" s="2" t="s">
        <v>394</v>
      </c>
      <c r="C72" s="299" t="str">
        <f>_xlfn.XLOOKUP(B72,'Brand Managers'!A:A,'Brand Managers'!B:B)</f>
        <v>Perry Calderone</v>
      </c>
      <c r="D72" s="42" t="str">
        <f>_xlfn.XLOOKUP(F72,'DATA - Segments'!C:C,'DATA - Segments'!D:D)</f>
        <v>Beer</v>
      </c>
      <c r="E72" s="42" t="str">
        <f>_xlfn.XLOOKUP(F72,'DATA - Segments'!C:C,'DATA - Segments'!E:E)</f>
        <v>Beer - Non-Alc</v>
      </c>
      <c r="F72" s="203" t="str">
        <f t="shared" si="14"/>
        <v>Buckler|Heineken USA</v>
      </c>
      <c r="G72" s="203" t="str">
        <f t="shared" si="15"/>
        <v>Buckler|Heineken USA|Beer|Beer - Non-Alc</v>
      </c>
      <c r="H72" s="150">
        <f>_xlfn.XLOOKUP(F72,'DATA - 2025 Review'!C:C,'DATA - 2025 Review'!I:I,"")</f>
        <v>351.262112</v>
      </c>
      <c r="I72" s="151">
        <f>_xlfn.XLOOKUP(F72,'DATA - 2025 Review'!C:C,'DATA - 2025 Review'!J:J)</f>
        <v>-0.41747576782752904</v>
      </c>
      <c r="J72" s="150">
        <f>_xlfn.XLOOKUP(F72,'2025 Finish (ACTUAL)'!$C:$C,'2025 Finish (ACTUAL)'!$D:$D)</f>
        <v>301</v>
      </c>
      <c r="K72" s="146">
        <v>0</v>
      </c>
      <c r="L72" s="152">
        <f t="shared" si="9"/>
        <v>0</v>
      </c>
      <c r="M72" s="152">
        <f t="shared" si="11"/>
        <v>301</v>
      </c>
      <c r="N72" s="146">
        <v>0</v>
      </c>
      <c r="O72" s="152">
        <f t="shared" si="12"/>
        <v>0</v>
      </c>
      <c r="P72" s="69">
        <f t="shared" si="13"/>
        <v>301</v>
      </c>
    </row>
    <row r="73" spans="1:16" x14ac:dyDescent="0.25">
      <c r="A73" s="149" t="s">
        <v>109</v>
      </c>
      <c r="B73" s="2" t="s">
        <v>394</v>
      </c>
      <c r="C73" s="299" t="str">
        <f>_xlfn.XLOOKUP(B73,'Brand Managers'!A:A,'Brand Managers'!B:B)</f>
        <v>Perry Calderone</v>
      </c>
      <c r="D73" s="42" t="str">
        <f>_xlfn.XLOOKUP(F73,'DATA - Segments'!C:C,'DATA - Segments'!D:D)</f>
        <v>Beer</v>
      </c>
      <c r="E73" s="42" t="str">
        <f>_xlfn.XLOOKUP(F73,'DATA - Segments'!C:C,'DATA - Segments'!E:E)</f>
        <v>Beer - Import</v>
      </c>
      <c r="F73" s="203" t="str">
        <f t="shared" si="14"/>
        <v>Carta Blanca|Heineken USA</v>
      </c>
      <c r="G73" s="203" t="str">
        <f t="shared" si="15"/>
        <v>Carta Blanca|Heineken USA|Beer|Beer - Import</v>
      </c>
      <c r="H73" s="150">
        <f>_xlfn.XLOOKUP(F73,'DATA - 2025 Review'!C:C,'DATA - 2025 Review'!I:I,"")</f>
        <v>853.14323513705608</v>
      </c>
      <c r="I73" s="151">
        <f>_xlfn.XLOOKUP(F73,'DATA - 2025 Review'!C:C,'DATA - 2025 Review'!J:J)</f>
        <v>0.48286803182625215</v>
      </c>
      <c r="J73" s="150">
        <f>_xlfn.XLOOKUP(F73,'2025 Finish (ACTUAL)'!$C:$C,'2025 Finish (ACTUAL)'!$D:$D)</f>
        <v>926.99982199999999</v>
      </c>
      <c r="K73" s="146">
        <v>0.19500000000000001</v>
      </c>
      <c r="L73" s="152">
        <f t="shared" si="9"/>
        <v>180.76496528999999</v>
      </c>
      <c r="M73" s="152">
        <f t="shared" si="11"/>
        <v>1107.76478729</v>
      </c>
      <c r="N73" s="146">
        <v>0.25</v>
      </c>
      <c r="O73" s="152">
        <f t="shared" si="12"/>
        <v>231.7499555</v>
      </c>
      <c r="P73" s="69">
        <f t="shared" si="13"/>
        <v>1158.7497774999999</v>
      </c>
    </row>
    <row r="74" spans="1:16" x14ac:dyDescent="0.25">
      <c r="A74" s="156" t="s">
        <v>33</v>
      </c>
      <c r="B74" s="283" t="s">
        <v>394</v>
      </c>
      <c r="C74" s="283"/>
      <c r="D74" s="42" t="s">
        <v>512</v>
      </c>
      <c r="E74" s="42" t="s">
        <v>515</v>
      </c>
      <c r="F74" s="203" t="str">
        <f t="shared" si="14"/>
        <v>Tecate Light|Heineken USA</v>
      </c>
      <c r="G74" s="203" t="str">
        <f t="shared" si="15"/>
        <v>Tecate Light|Heineken USA|Beer|Beer - Import</v>
      </c>
      <c r="H74" s="273">
        <f>_xlfn.XLOOKUP(F74,'DATA - 2025 Review'!C:C,'DATA - 2025 Review'!I:I,"")</f>
        <v>0</v>
      </c>
      <c r="I74" s="281">
        <f>_xlfn.XLOOKUP(F74,'DATA - 2025 Review'!C:C,'DATA - 2025 Review'!J:J)</f>
        <v>-1</v>
      </c>
      <c r="J74" s="273"/>
      <c r="K74" s="281">
        <v>0</v>
      </c>
      <c r="L74" s="274"/>
      <c r="M74" s="274">
        <f t="shared" si="11"/>
        <v>0</v>
      </c>
      <c r="N74" s="281">
        <v>0</v>
      </c>
      <c r="O74" s="274">
        <f t="shared" si="12"/>
        <v>0</v>
      </c>
      <c r="P74" s="275">
        <f t="shared" si="13"/>
        <v>0</v>
      </c>
    </row>
    <row r="75" spans="1:16" x14ac:dyDescent="0.25">
      <c r="A75" s="149" t="s">
        <v>55</v>
      </c>
      <c r="B75" s="5" t="s">
        <v>394</v>
      </c>
      <c r="C75" s="299" t="str">
        <f>_xlfn.XLOOKUP(B75,'Brand Managers'!A:A,'Brand Managers'!B:B)</f>
        <v>Perry Calderone</v>
      </c>
      <c r="D75" s="42" t="str">
        <f>_xlfn.XLOOKUP(F75,'DATA - Segments'!C:C,'DATA - Segments'!D:D)</f>
        <v>Beer</v>
      </c>
      <c r="E75" s="42" t="str">
        <f>_xlfn.XLOOKUP(F75,'DATA - Segments'!C:C,'DATA - Segments'!E:E)</f>
        <v>Beer - Import</v>
      </c>
      <c r="F75" s="203" t="str">
        <f t="shared" si="14"/>
        <v>Newcastle|Heineken USA</v>
      </c>
      <c r="G75" s="203" t="str">
        <f t="shared" si="15"/>
        <v>Newcastle|Heineken USA|Beer|Beer - Import</v>
      </c>
      <c r="H75" s="150">
        <f>_xlfn.XLOOKUP(F75,'DATA - 2025 Review'!C:C,'DATA - 2025 Review'!I:I,"")</f>
        <v>1</v>
      </c>
      <c r="I75" s="151">
        <f>_xlfn.XLOOKUP(F75,'DATA - 2025 Review'!C:C,'DATA - 2025 Review'!J:J)</f>
        <v>0</v>
      </c>
      <c r="J75" s="150">
        <f>_xlfn.XLOOKUP(F75,'2025 Finish (ACTUAL)'!$C:$C,'2025 Finish (ACTUAL)'!$D:$D)</f>
        <v>62</v>
      </c>
      <c r="K75" s="146">
        <v>0</v>
      </c>
      <c r="L75" s="152">
        <f t="shared" si="9"/>
        <v>0</v>
      </c>
      <c r="M75" s="152">
        <f t="shared" si="11"/>
        <v>62</v>
      </c>
      <c r="N75" s="146">
        <v>0</v>
      </c>
      <c r="O75" s="152">
        <f t="shared" si="12"/>
        <v>0</v>
      </c>
      <c r="P75" s="69">
        <f t="shared" si="13"/>
        <v>62</v>
      </c>
    </row>
    <row r="76" spans="1:16" x14ac:dyDescent="0.25">
      <c r="A76" s="143" t="s">
        <v>88</v>
      </c>
      <c r="B76" s="202"/>
      <c r="C76" s="202" t="str">
        <f>_xlfn.XLOOKUP(A76,'Brand Managers'!A:A,'Brand Managers'!B:B)</f>
        <v>Chris Politano</v>
      </c>
      <c r="D76" s="202"/>
      <c r="E76" s="202"/>
      <c r="F76" s="203" t="str">
        <f t="shared" si="14"/>
        <v>Boston Beer Company|</v>
      </c>
      <c r="G76" s="203" t="str">
        <f t="shared" si="15"/>
        <v>Boston Beer Company|||</v>
      </c>
      <c r="H76" s="144">
        <f>_xlfn.XLOOKUP(F76,'DATA - 2025 Review'!C:C,'DATA - 2025 Review'!I:I,"")</f>
        <v>416346.53016499465</v>
      </c>
      <c r="I76" s="145">
        <f>_xlfn.XLOOKUP(F76,'DATA - 2025 Review'!C:C,'DATA - 2025 Review'!J:J)</f>
        <v>4.297917134623952E-2</v>
      </c>
      <c r="J76" s="144">
        <f>_xlfn.XLOOKUP(F76,'2025 Finish (ACTUAL)'!$C:$C,'2025 Finish (ACTUAL)'!$D:$D)</f>
        <v>413391.58324100001</v>
      </c>
      <c r="K76" s="145">
        <f>L76/J76</f>
        <v>8.2194368479459712E-2</v>
      </c>
      <c r="L76" s="147">
        <f>SUMIF(B:B,A76,L:L)</f>
        <v>33978.460119217998</v>
      </c>
      <c r="M76" s="147">
        <f>SUMIF(B:B,A76,M:M)</f>
        <v>447370.043360218</v>
      </c>
      <c r="N76" s="145">
        <f>O76/J76</f>
        <v>2.5871359289456088E-2</v>
      </c>
      <c r="O76" s="147">
        <f>SUMIF(B:B,A76,O:O)</f>
        <v>10695.002177265005</v>
      </c>
      <c r="P76" s="148">
        <f>SUMIF(B:B,A76,P:P)</f>
        <v>424086.58541826502</v>
      </c>
    </row>
    <row r="77" spans="1:16" x14ac:dyDescent="0.25">
      <c r="A77" s="149" t="s">
        <v>110</v>
      </c>
      <c r="B77" s="2" t="s">
        <v>88</v>
      </c>
      <c r="C77" s="299" t="str">
        <f>_xlfn.XLOOKUP(B77,'Brand Managers'!A:A,'Brand Managers'!B:B)</f>
        <v>Chris Politano</v>
      </c>
      <c r="D77" s="42" t="str">
        <f>_xlfn.XLOOKUP(F77,'DATA - Segments'!C:C,'DATA - Segments'!D:D)</f>
        <v>Beer</v>
      </c>
      <c r="E77" s="42" t="str">
        <f>_xlfn.XLOOKUP(F77,'DATA - Segments'!C:C,'DATA - Segments'!E:E)</f>
        <v>Beer - Craft</v>
      </c>
      <c r="F77" s="203" t="str">
        <f t="shared" si="14"/>
        <v>Samuel Adams|Boston Beer Company</v>
      </c>
      <c r="G77" s="203" t="str">
        <f t="shared" si="15"/>
        <v>Samuel Adams|Boston Beer Company|Beer|Beer - Craft</v>
      </c>
      <c r="H77" s="150">
        <f>_xlfn.XLOOKUP(F77,'DATA - 2025 Review'!C:C,'DATA - 2025 Review'!I:I,"")</f>
        <v>121895.971059509</v>
      </c>
      <c r="I77" s="151">
        <f>_xlfn.XLOOKUP(F77,'DATA - 2025 Review'!C:C,'DATA - 2025 Review'!J:J)</f>
        <v>-4.889194527927998E-2</v>
      </c>
      <c r="J77" s="150">
        <f>_xlfn.XLOOKUP(F77,'2025 Finish (ACTUAL)'!$C:$C,'2025 Finish (ACTUAL)'!$D:$D)</f>
        <v>120172.400116</v>
      </c>
      <c r="K77" s="146">
        <v>-8.4000000000000005E-2</v>
      </c>
      <c r="L77" s="152">
        <f t="shared" si="9"/>
        <v>-10094.481609744002</v>
      </c>
      <c r="M77" s="152">
        <f t="shared" ref="M77:M87" si="16">L77+J77</f>
        <v>110077.918506256</v>
      </c>
      <c r="N77" s="146">
        <v>-8.4000000000000005E-2</v>
      </c>
      <c r="O77" s="152">
        <f t="shared" ref="O77:O87" si="17">N77*J77</f>
        <v>-10094.481609744002</v>
      </c>
      <c r="P77" s="69">
        <f t="shared" ref="P77:P87" si="18">O77+J77</f>
        <v>110077.918506256</v>
      </c>
    </row>
    <row r="78" spans="1:16" x14ac:dyDescent="0.25">
      <c r="A78" s="149" t="s">
        <v>314</v>
      </c>
      <c r="B78" s="2" t="s">
        <v>88</v>
      </c>
      <c r="C78" s="299" t="str">
        <f>_xlfn.XLOOKUP(B78,'Brand Managers'!A:A,'Brand Managers'!B:B)</f>
        <v>Chris Politano</v>
      </c>
      <c r="D78" s="42" t="str">
        <f>_xlfn.XLOOKUP(F78,'DATA - Segments'!C:C,'DATA - Segments'!D:D)</f>
        <v>FMB</v>
      </c>
      <c r="E78" s="42" t="str">
        <f>_xlfn.XLOOKUP(F78,'DATA - Segments'!C:C,'DATA - Segments'!E:E)</f>
        <v>FMB</v>
      </c>
      <c r="F78" s="203" t="str">
        <f t="shared" si="14"/>
        <v>Twisted Tea|Boston Beer Company</v>
      </c>
      <c r="G78" s="203" t="str">
        <f t="shared" si="15"/>
        <v>Twisted Tea|Boston Beer Company|FMB|FMB</v>
      </c>
      <c r="H78" s="150">
        <f>_xlfn.XLOOKUP(F78,'DATA - 2025 Review'!C:C,'DATA - 2025 Review'!I:I,"")</f>
        <v>106892.0882838254</v>
      </c>
      <c r="I78" s="151">
        <f>_xlfn.XLOOKUP(F78,'DATA - 2025 Review'!C:C,'DATA - 2025 Review'!J:J)</f>
        <v>-0.13282234051005104</v>
      </c>
      <c r="J78" s="150">
        <f>_xlfn.XLOOKUP(F78,'2025 Finish (ACTUAL)'!$C:$C,'2025 Finish (ACTUAL)'!$D:$D)</f>
        <v>106786.27784</v>
      </c>
      <c r="K78" s="146">
        <v>-7.5999999999999998E-2</v>
      </c>
      <c r="L78" s="152">
        <f t="shared" si="9"/>
        <v>-8115.7571158399996</v>
      </c>
      <c r="M78" s="152">
        <f t="shared" si="16"/>
        <v>98670.52072416</v>
      </c>
      <c r="N78" s="146">
        <v>-0.1</v>
      </c>
      <c r="O78" s="152">
        <f t="shared" si="17"/>
        <v>-10678.627784</v>
      </c>
      <c r="P78" s="69">
        <f t="shared" si="18"/>
        <v>96107.650055999999</v>
      </c>
    </row>
    <row r="79" spans="1:16" x14ac:dyDescent="0.25">
      <c r="A79" s="149" t="s">
        <v>374</v>
      </c>
      <c r="B79" s="2" t="s">
        <v>88</v>
      </c>
      <c r="C79" s="299" t="str">
        <f>_xlfn.XLOOKUP(B79,'Brand Managers'!A:A,'Brand Managers'!B:B)</f>
        <v>Chris Politano</v>
      </c>
      <c r="D79" s="42" t="str">
        <f>_xlfn.XLOOKUP(F79,'DATA - Segments'!C:C,'DATA - Segments'!D:D)</f>
        <v>Cider</v>
      </c>
      <c r="E79" s="42" t="str">
        <f>_xlfn.XLOOKUP(F79,'DATA - Segments'!C:C,'DATA - Segments'!E:E)</f>
        <v>Cider</v>
      </c>
      <c r="F79" s="203" t="str">
        <f t="shared" si="14"/>
        <v>Angry Orchard|Boston Beer Company</v>
      </c>
      <c r="G79" s="203" t="str">
        <f t="shared" si="15"/>
        <v>Angry Orchard|Boston Beer Company|Cider|Cider</v>
      </c>
      <c r="H79" s="150">
        <f>_xlfn.XLOOKUP(F79,'DATA - 2025 Review'!C:C,'DATA - 2025 Review'!I:I,"")</f>
        <v>42035.734054375913</v>
      </c>
      <c r="I79" s="151">
        <f>_xlfn.XLOOKUP(F79,'DATA - 2025 Review'!C:C,'DATA - 2025 Review'!J:J)</f>
        <v>3.1340846302283731E-2</v>
      </c>
      <c r="J79" s="150">
        <f>_xlfn.XLOOKUP(F79,'2025 Finish (ACTUAL)'!$C:$C,'2025 Finish (ACTUAL)'!$D:$D)</f>
        <v>41571.356999000003</v>
      </c>
      <c r="K79" s="146">
        <v>-2.5999999999999999E-2</v>
      </c>
      <c r="L79" s="152">
        <f t="shared" si="9"/>
        <v>-1080.855281974</v>
      </c>
      <c r="M79" s="152">
        <f t="shared" si="16"/>
        <v>40490.501717026003</v>
      </c>
      <c r="N79" s="146">
        <v>0</v>
      </c>
      <c r="O79" s="152">
        <f t="shared" si="17"/>
        <v>0</v>
      </c>
      <c r="P79" s="69">
        <f t="shared" si="18"/>
        <v>41571.356999000003</v>
      </c>
    </row>
    <row r="80" spans="1:16" x14ac:dyDescent="0.25">
      <c r="A80" s="149" t="s">
        <v>243</v>
      </c>
      <c r="B80" s="2" t="s">
        <v>88</v>
      </c>
      <c r="C80" s="299" t="str">
        <f>_xlfn.XLOOKUP(B80,'Brand Managers'!A:A,'Brand Managers'!B:B)</f>
        <v>Chris Politano</v>
      </c>
      <c r="D80" s="42" t="str">
        <f>_xlfn.XLOOKUP(F80,'DATA - Segments'!C:C,'DATA - Segments'!D:D)</f>
        <v>Seltzer</v>
      </c>
      <c r="E80" s="42" t="str">
        <f>_xlfn.XLOOKUP(F80,'DATA - Segments'!C:C,'DATA - Segments'!E:E)</f>
        <v>Seltzer</v>
      </c>
      <c r="F80" s="203" t="str">
        <f t="shared" si="14"/>
        <v>Truly|Boston Beer Company</v>
      </c>
      <c r="G80" s="203" t="str">
        <f t="shared" si="15"/>
        <v>Truly|Boston Beer Company|Seltzer|Seltzer</v>
      </c>
      <c r="H80" s="150">
        <f>_xlfn.XLOOKUP(F80,'DATA - 2025 Review'!C:C,'DATA - 2025 Review'!I:I,"")</f>
        <v>36449.920467925534</v>
      </c>
      <c r="I80" s="151">
        <f>_xlfn.XLOOKUP(F80,'DATA - 2025 Review'!C:C,'DATA - 2025 Review'!J:J)</f>
        <v>-0.23521963847585559</v>
      </c>
      <c r="J80" s="150">
        <f>_xlfn.XLOOKUP(F80,'2025 Finish (ACTUAL)'!$C:$C,'2025 Finish (ACTUAL)'!$D:$D)</f>
        <v>36610.722052999998</v>
      </c>
      <c r="K80" s="146">
        <v>-0.189</v>
      </c>
      <c r="L80" s="152">
        <f t="shared" si="9"/>
        <v>-6919.4264680169999</v>
      </c>
      <c r="M80" s="152">
        <f t="shared" si="16"/>
        <v>29691.295584982996</v>
      </c>
      <c r="N80" s="146">
        <v>-0.2</v>
      </c>
      <c r="O80" s="152">
        <f t="shared" si="17"/>
        <v>-7322.1444105999999</v>
      </c>
      <c r="P80" s="69">
        <f t="shared" si="18"/>
        <v>29288.5776424</v>
      </c>
    </row>
    <row r="81" spans="1:16" x14ac:dyDescent="0.25">
      <c r="A81" s="149" t="s">
        <v>342</v>
      </c>
      <c r="B81" s="2" t="s">
        <v>88</v>
      </c>
      <c r="C81" s="299" t="str">
        <f>_xlfn.XLOOKUP(B81,'Brand Managers'!A:A,'Brand Managers'!B:B)</f>
        <v>Chris Politano</v>
      </c>
      <c r="D81" s="42" t="str">
        <f>_xlfn.XLOOKUP(F81,'DATA - Segments'!C:C,'DATA - Segments'!D:D)</f>
        <v>Beer</v>
      </c>
      <c r="E81" s="42" t="str">
        <f>_xlfn.XLOOKUP(F81,'DATA - Segments'!C:C,'DATA - Segments'!E:E)</f>
        <v>Beer - Craft</v>
      </c>
      <c r="F81" s="203" t="str">
        <f t="shared" si="14"/>
        <v>Dogfish Head Beer|Boston Beer Company</v>
      </c>
      <c r="G81" s="203" t="str">
        <f t="shared" si="15"/>
        <v>Dogfish Head Beer|Boston Beer Company|Beer|Beer - Craft</v>
      </c>
      <c r="H81" s="150">
        <f>_xlfn.XLOOKUP(F81,'DATA - 2025 Review'!C:C,'DATA - 2025 Review'!I:I,"")</f>
        <v>38138.022278150587</v>
      </c>
      <c r="I81" s="151">
        <f>_xlfn.XLOOKUP(F81,'DATA - 2025 Review'!C:C,'DATA - 2025 Review'!J:J)</f>
        <v>0.1021098691724649</v>
      </c>
      <c r="J81" s="150">
        <f>_xlfn.XLOOKUP(F81,'2025 Finish (ACTUAL)'!$C:$C,'2025 Finish (ACTUAL)'!$D:$D)</f>
        <v>38432.645977</v>
      </c>
      <c r="K81" s="146">
        <v>1.7000000000000001E-2</v>
      </c>
      <c r="L81" s="152">
        <f t="shared" si="9"/>
        <v>653.35498160900011</v>
      </c>
      <c r="M81" s="152">
        <f t="shared" si="16"/>
        <v>39086.000958609002</v>
      </c>
      <c r="N81" s="146">
        <v>1.7000000000000001E-2</v>
      </c>
      <c r="O81" s="152">
        <f t="shared" si="17"/>
        <v>653.35498160900011</v>
      </c>
      <c r="P81" s="69">
        <f t="shared" si="18"/>
        <v>39086.000958609002</v>
      </c>
    </row>
    <row r="82" spans="1:16" x14ac:dyDescent="0.25">
      <c r="A82" s="149" t="s">
        <v>396</v>
      </c>
      <c r="B82" s="2" t="s">
        <v>88</v>
      </c>
      <c r="C82" s="299" t="str">
        <f>_xlfn.XLOOKUP(B82,'Brand Managers'!A:A,'Brand Managers'!B:B)</f>
        <v>Chris Politano</v>
      </c>
      <c r="D82" s="42" t="str">
        <f>_xlfn.XLOOKUP(F82,'DATA - Segments'!C:C,'DATA - Segments'!D:D)</f>
        <v>RTD</v>
      </c>
      <c r="E82" s="42" t="str">
        <f>_xlfn.XLOOKUP(F82,'DATA - Segments'!C:C,'DATA - Segments'!E:E)</f>
        <v>RTD</v>
      </c>
      <c r="F82" s="203" t="str">
        <f t="shared" si="14"/>
        <v>Sun Cruiser|Boston Beer Company</v>
      </c>
      <c r="G82" s="203" t="str">
        <f t="shared" si="15"/>
        <v>Sun Cruiser|Boston Beer Company|RTD|RTD</v>
      </c>
      <c r="H82" s="150">
        <f>_xlfn.XLOOKUP(F82,'DATA - 2025 Review'!C:C,'DATA - 2025 Review'!I:I,"")</f>
        <v>59972.951916999999</v>
      </c>
      <c r="I82" s="151">
        <f>_xlfn.XLOOKUP(F82,'DATA - 2025 Review'!C:C,'DATA - 2025 Review'!J:J)</f>
        <v>2.6954188130507117</v>
      </c>
      <c r="J82" s="150">
        <f>_xlfn.XLOOKUP(F82,'2025 Finish (ACTUAL)'!$C:$C,'2025 Finish (ACTUAL)'!$D:$D)</f>
        <v>57902.5</v>
      </c>
      <c r="K82" s="146">
        <v>1</v>
      </c>
      <c r="L82" s="152">
        <f t="shared" si="9"/>
        <v>57902.5</v>
      </c>
      <c r="M82" s="152">
        <f t="shared" si="16"/>
        <v>115805</v>
      </c>
      <c r="N82" s="146">
        <v>0.67</v>
      </c>
      <c r="O82" s="152">
        <f t="shared" si="17"/>
        <v>38794.675000000003</v>
      </c>
      <c r="P82" s="69">
        <f t="shared" si="18"/>
        <v>96697.175000000003</v>
      </c>
    </row>
    <row r="83" spans="1:16" x14ac:dyDescent="0.25">
      <c r="A83" s="149" t="s">
        <v>161</v>
      </c>
      <c r="B83" s="2" t="s">
        <v>88</v>
      </c>
      <c r="C83" s="299" t="str">
        <f>_xlfn.XLOOKUP(B83,'Brand Managers'!A:A,'Brand Managers'!B:B)</f>
        <v>Chris Politano</v>
      </c>
      <c r="D83" s="42" t="str">
        <f>_xlfn.XLOOKUP(F83,'DATA - Segments'!C:C,'DATA - Segments'!D:D)</f>
        <v>FMB</v>
      </c>
      <c r="E83" s="42" t="str">
        <f>_xlfn.XLOOKUP(F83,'DATA - Segments'!C:C,'DATA - Segments'!E:E)</f>
        <v>FMB</v>
      </c>
      <c r="F83" s="203" t="str">
        <f t="shared" si="14"/>
        <v>Hard Mountain Dew|Boston Beer Company</v>
      </c>
      <c r="G83" s="203" t="str">
        <f t="shared" si="15"/>
        <v>Hard Mountain Dew|Boston Beer Company|FMB|FMB</v>
      </c>
      <c r="H83" s="150">
        <f>_xlfn.XLOOKUP(F83,'DATA - 2025 Review'!C:C,'DATA - 2025 Review'!I:I,"")</f>
        <v>7646</v>
      </c>
      <c r="I83" s="151">
        <f>_xlfn.XLOOKUP(F83,'DATA - 2025 Review'!C:C,'DATA - 2025 Review'!J:J)</f>
        <v>4.5205776173285201</v>
      </c>
      <c r="J83" s="150">
        <f>_xlfn.XLOOKUP(F83,'2025 Finish (ACTUAL)'!$C:$C,'2025 Finish (ACTUAL)'!$D:$D)</f>
        <v>5622</v>
      </c>
      <c r="K83" s="146">
        <v>-0.11700000000000001</v>
      </c>
      <c r="L83" s="152">
        <f t="shared" si="9"/>
        <v>-657.774</v>
      </c>
      <c r="M83" s="152">
        <f t="shared" si="16"/>
        <v>4964.2259999999997</v>
      </c>
      <c r="N83" s="146">
        <v>-0.11700000000000001</v>
      </c>
      <c r="O83" s="152">
        <f t="shared" si="17"/>
        <v>-657.774</v>
      </c>
      <c r="P83" s="69">
        <f t="shared" si="18"/>
        <v>4964.2259999999997</v>
      </c>
    </row>
    <row r="84" spans="1:16" x14ac:dyDescent="0.25">
      <c r="A84" s="149" t="s">
        <v>4</v>
      </c>
      <c r="B84" s="2" t="s">
        <v>88</v>
      </c>
      <c r="C84" s="299" t="str">
        <f>_xlfn.XLOOKUP(B84,'Brand Managers'!A:A,'Brand Managers'!B:B)</f>
        <v>Chris Politano</v>
      </c>
      <c r="D84" s="42" t="str">
        <f>_xlfn.XLOOKUP(F84,'DATA - Segments'!C:C,'DATA - Segments'!D:D)</f>
        <v>RTD</v>
      </c>
      <c r="E84" s="42" t="str">
        <f>_xlfn.XLOOKUP(F84,'DATA - Segments'!C:C,'DATA - Segments'!E:E)</f>
        <v>RTD</v>
      </c>
      <c r="F84" s="203" t="str">
        <f t="shared" si="14"/>
        <v>Dogfish Head Spirits|Boston Beer Company</v>
      </c>
      <c r="G84" s="203" t="str">
        <f t="shared" si="15"/>
        <v>Dogfish Head Spirits|Boston Beer Company|RTD|RTD</v>
      </c>
      <c r="H84" s="150">
        <f>_xlfn.XLOOKUP(F84,'DATA - 2025 Review'!C:C,'DATA - 2025 Review'!I:I,"")</f>
        <v>6150.9384643031681</v>
      </c>
      <c r="I84" s="151">
        <f>_xlfn.XLOOKUP(F84,'DATA - 2025 Review'!C:C,'DATA - 2025 Review'!J:J)</f>
        <v>-0.13754083468771472</v>
      </c>
      <c r="J84" s="150">
        <f>_xlfn.XLOOKUP(F84,'2025 Finish (ACTUAL)'!$C:$C,'2025 Finish (ACTUAL)'!$D:$D)</f>
        <v>6293.6802559999996</v>
      </c>
      <c r="K84" s="146">
        <v>0.36399999999999999</v>
      </c>
      <c r="L84" s="152">
        <f t="shared" si="9"/>
        <v>2290.8996131839999</v>
      </c>
      <c r="M84" s="152">
        <f t="shared" si="16"/>
        <v>8584.5798691839991</v>
      </c>
      <c r="N84" s="146">
        <v>0</v>
      </c>
      <c r="O84" s="152">
        <f t="shared" si="17"/>
        <v>0</v>
      </c>
      <c r="P84" s="69">
        <f t="shared" si="18"/>
        <v>6293.6802559999996</v>
      </c>
    </row>
    <row r="85" spans="1:16" x14ac:dyDescent="0.25">
      <c r="A85" s="294" t="s">
        <v>498</v>
      </c>
      <c r="B85" s="284" t="s">
        <v>88</v>
      </c>
      <c r="C85" s="284"/>
      <c r="D85" s="42" t="s">
        <v>510</v>
      </c>
      <c r="E85" s="42" t="s">
        <v>510</v>
      </c>
      <c r="F85" s="203" t="str">
        <f t="shared" si="14"/>
        <v>Sinless|Boston Beer Company</v>
      </c>
      <c r="G85" s="203" t="str">
        <f t="shared" si="15"/>
        <v>Sinless|Boston Beer Company|RTD|RTD</v>
      </c>
      <c r="H85" s="273">
        <f>_xlfn.XLOOKUP(F85,'DATA - 2025 Review'!C:C,'DATA - 2025 Review'!I:I,"")</f>
        <v>0</v>
      </c>
      <c r="I85" s="281">
        <f>_xlfn.XLOOKUP(F85,'DATA - 2025 Review'!C:C,'DATA - 2025 Review'!J:J)</f>
        <v>0</v>
      </c>
      <c r="J85" s="273"/>
      <c r="K85" s="281"/>
      <c r="L85" s="274"/>
      <c r="M85" s="274">
        <f t="shared" si="16"/>
        <v>0</v>
      </c>
      <c r="N85" s="281"/>
      <c r="O85" s="274">
        <f t="shared" si="17"/>
        <v>0</v>
      </c>
      <c r="P85" s="275">
        <f t="shared" si="18"/>
        <v>0</v>
      </c>
    </row>
    <row r="86" spans="1:16" x14ac:dyDescent="0.25">
      <c r="A86" s="156" t="s">
        <v>244</v>
      </c>
      <c r="B86" s="283" t="s">
        <v>88</v>
      </c>
      <c r="C86" s="283"/>
      <c r="D86" s="42"/>
      <c r="E86" s="42"/>
      <c r="F86" s="203" t="str">
        <f t="shared" si="14"/>
        <v>Jim Beam Kentucky|Boston Beer Company</v>
      </c>
      <c r="G86" s="203" t="str">
        <f t="shared" si="15"/>
        <v>Jim Beam Kentucky|Boston Beer Company||</v>
      </c>
      <c r="H86" s="273">
        <f>_xlfn.XLOOKUP(F86,'DATA - 2025 Review'!C:C,'DATA - 2025 Review'!I:I,"")</f>
        <v>0</v>
      </c>
      <c r="I86" s="272">
        <f>_xlfn.XLOOKUP(F86,'DATA - 2025 Review'!C:C,'DATA - 2025 Review'!J:J)</f>
        <v>-1</v>
      </c>
      <c r="J86" s="273"/>
      <c r="K86" s="281"/>
      <c r="L86" s="274"/>
      <c r="M86" s="274">
        <f t="shared" si="16"/>
        <v>0</v>
      </c>
      <c r="N86" s="281"/>
      <c r="O86" s="274">
        <f t="shared" si="17"/>
        <v>0</v>
      </c>
      <c r="P86" s="275">
        <f t="shared" si="18"/>
        <v>0</v>
      </c>
    </row>
    <row r="87" spans="1:16" x14ac:dyDescent="0.25">
      <c r="A87" s="156" t="s">
        <v>56</v>
      </c>
      <c r="B87" s="283" t="s">
        <v>88</v>
      </c>
      <c r="C87" s="283"/>
      <c r="D87" s="42" t="str">
        <f>_xlfn.XLOOKUP(F87,'DATA - Segments'!C:C,'DATA - Segments'!D:D)</f>
        <v>Beer</v>
      </c>
      <c r="E87" s="42" t="str">
        <f>_xlfn.XLOOKUP(F87,'DATA - Segments'!C:C,'DATA - Segments'!E:E)</f>
        <v>Beer - Craft</v>
      </c>
      <c r="F87" s="203" t="str">
        <f t="shared" si="14"/>
        <v>Coney Island|Boston Beer Company</v>
      </c>
      <c r="G87" s="203" t="str">
        <f t="shared" si="15"/>
        <v>Coney Island|Boston Beer Company|Beer|Beer - Craft</v>
      </c>
      <c r="H87" s="273">
        <f>_xlfn.XLOOKUP(F87,'DATA - 2025 Review'!C:C,'DATA - 2025 Review'!I:I,"")</f>
        <v>0</v>
      </c>
      <c r="I87" s="272">
        <f>_xlfn.XLOOKUP(F87,'DATA - 2025 Review'!C:C,'DATA - 2025 Review'!J:J)</f>
        <v>-1</v>
      </c>
      <c r="J87" s="273">
        <f>_xlfn.XLOOKUP(F87,'2025 Finish (ACTUAL)'!$C:$C,'2025 Finish (ACTUAL)'!$D:$D)</f>
        <v>0</v>
      </c>
      <c r="K87" s="281"/>
      <c r="L87" s="274">
        <f t="shared" ref="L87" si="19">K87*J87</f>
        <v>0</v>
      </c>
      <c r="M87" s="274">
        <f t="shared" si="16"/>
        <v>0</v>
      </c>
      <c r="N87" s="281"/>
      <c r="O87" s="274">
        <f t="shared" si="17"/>
        <v>0</v>
      </c>
      <c r="P87" s="275">
        <f t="shared" si="18"/>
        <v>0</v>
      </c>
    </row>
    <row r="88" spans="1:16" x14ac:dyDescent="0.25">
      <c r="A88" s="143" t="s">
        <v>34</v>
      </c>
      <c r="B88" s="202"/>
      <c r="C88" s="202" t="str">
        <f>_xlfn.XLOOKUP(A88,'Brand Managers'!A:A,'Brand Managers'!B:B)</f>
        <v>Steve Halloran</v>
      </c>
      <c r="D88" s="202"/>
      <c r="E88" s="202"/>
      <c r="F88" s="203" t="str">
        <f t="shared" si="14"/>
        <v>Mark Anthony|</v>
      </c>
      <c r="G88" s="203" t="str">
        <f t="shared" si="15"/>
        <v>Mark Anthony|||</v>
      </c>
      <c r="H88" s="144">
        <f>_xlfn.XLOOKUP(F88,'DATA - 2025 Review'!C:C,'DATA - 2025 Review'!I:I,"")</f>
        <v>378028.01355730626</v>
      </c>
      <c r="I88" s="145">
        <f>_xlfn.XLOOKUP(F88,'DATA - 2025 Review'!C:C,'DATA - 2025 Review'!J:J)</f>
        <v>-0.11663308260112115</v>
      </c>
      <c r="J88" s="144">
        <f>_xlfn.XLOOKUP(F88,'2025 Finish (ACTUAL)'!$C:$C,'2025 Finish (ACTUAL)'!$D:$D)</f>
        <v>379751.78432600002</v>
      </c>
      <c r="K88" s="145">
        <f>L88/J88</f>
        <v>-7.7417193558706215E-2</v>
      </c>
      <c r="L88" s="147">
        <f>SUMIF(B:B,A88,L:L)</f>
        <v>-29399.317391429999</v>
      </c>
      <c r="M88" s="147">
        <f>SUMIF(B:B,A88,M:M)</f>
        <v>350352.46693457005</v>
      </c>
      <c r="N88" s="145">
        <f>O88/J88</f>
        <v>-0.10026123170874646</v>
      </c>
      <c r="O88" s="147">
        <f>SUMIF(B:B,A88,O:O)</f>
        <v>-38074.381640118998</v>
      </c>
      <c r="P88" s="148">
        <f>SUMIF(B:B,A88,P:P)</f>
        <v>341677.40268588101</v>
      </c>
    </row>
    <row r="89" spans="1:16" x14ac:dyDescent="0.25">
      <c r="A89" s="149" t="s">
        <v>89</v>
      </c>
      <c r="B89" s="2" t="s">
        <v>34</v>
      </c>
      <c r="C89" s="299" t="str">
        <f>_xlfn.XLOOKUP(B89,'Brand Managers'!A:A,'Brand Managers'!B:B)</f>
        <v>Steve Halloran</v>
      </c>
      <c r="D89" s="42" t="str">
        <f>_xlfn.XLOOKUP(F89,'DATA - Segments'!C:C,'DATA - Segments'!D:D)</f>
        <v>Seltzer</v>
      </c>
      <c r="E89" s="42" t="str">
        <f>_xlfn.XLOOKUP(F89,'DATA - Segments'!C:C,'DATA - Segments'!E:E)</f>
        <v>Seltzer</v>
      </c>
      <c r="F89" s="203" t="str">
        <f t="shared" si="14"/>
        <v>White Claw|Mark Anthony</v>
      </c>
      <c r="G89" s="203" t="str">
        <f t="shared" si="15"/>
        <v>White Claw|Mark Anthony|Seltzer|Seltzer</v>
      </c>
      <c r="H89" s="150">
        <f>_xlfn.XLOOKUP(F89,'DATA - 2025 Review'!C:C,'DATA - 2025 Review'!I:I,"")</f>
        <v>298163.29299859173</v>
      </c>
      <c r="I89" s="151">
        <f>_xlfn.XLOOKUP(F89,'DATA - 2025 Review'!C:C,'DATA - 2025 Review'!J:J)</f>
        <v>-0.11919084113415201</v>
      </c>
      <c r="J89" s="150">
        <f>_xlfn.XLOOKUP(F89,'2025 Finish (ACTUAL)'!$C:$C,'2025 Finish (ACTUAL)'!$D:$D)</f>
        <v>299633.19794300001</v>
      </c>
      <c r="K89" s="146">
        <v>-9.5000000000000001E-2</v>
      </c>
      <c r="L89" s="152">
        <f t="shared" ref="L89:L94" si="20">K89*J89</f>
        <v>-28465.153804584999</v>
      </c>
      <c r="M89" s="152">
        <f t="shared" ref="M89:M95" si="21">L89+J89</f>
        <v>271168.04413841502</v>
      </c>
      <c r="N89" s="146">
        <v>-0.11799999999999999</v>
      </c>
      <c r="O89" s="152">
        <f t="shared" ref="O89:O95" si="22">N89*J89</f>
        <v>-35356.717357273999</v>
      </c>
      <c r="P89" s="69">
        <f t="shared" ref="P89:P95" si="23">O89+J89</f>
        <v>264276.48058572598</v>
      </c>
    </row>
    <row r="90" spans="1:16" x14ac:dyDescent="0.25">
      <c r="A90" s="149" t="s">
        <v>375</v>
      </c>
      <c r="B90" s="2" t="s">
        <v>34</v>
      </c>
      <c r="C90" s="299" t="str">
        <f>_xlfn.XLOOKUP(B90,'Brand Managers'!A:A,'Brand Managers'!B:B)</f>
        <v>Steve Halloran</v>
      </c>
      <c r="D90" s="42" t="str">
        <f>_xlfn.XLOOKUP(F90,'DATA - Segments'!C:C,'DATA - Segments'!D:D)</f>
        <v>FMB</v>
      </c>
      <c r="E90" s="42" t="str">
        <f>_xlfn.XLOOKUP(F90,'DATA - Segments'!C:C,'DATA - Segments'!E:E)</f>
        <v>FMB</v>
      </c>
      <c r="F90" s="203" t="str">
        <f t="shared" si="14"/>
        <v>Mike's Hard Lemonade|Mark Anthony</v>
      </c>
      <c r="G90" s="203" t="str">
        <f t="shared" si="15"/>
        <v>Mike's Hard Lemonade|Mark Anthony|FMB|FMB</v>
      </c>
      <c r="H90" s="150">
        <f>_xlfn.XLOOKUP(F90,'DATA - 2025 Review'!C:C,'DATA - 2025 Review'!I:I,"")</f>
        <v>35467.814271111616</v>
      </c>
      <c r="I90" s="151">
        <f>_xlfn.XLOOKUP(F90,'DATA - 2025 Review'!C:C,'DATA - 2025 Review'!J:J)</f>
        <v>-0.2507488811518267</v>
      </c>
      <c r="J90" s="150">
        <f>_xlfn.XLOOKUP(F90,'2025 Finish (ACTUAL)'!$C:$C,'2025 Finish (ACTUAL)'!$D:$D)</f>
        <v>35553.322187999998</v>
      </c>
      <c r="K90" s="146">
        <v>-0.2</v>
      </c>
      <c r="L90" s="152">
        <f t="shared" si="20"/>
        <v>-7110.6644376000004</v>
      </c>
      <c r="M90" s="152">
        <f t="shared" si="21"/>
        <v>28442.657750399998</v>
      </c>
      <c r="N90" s="146">
        <v>-0.2</v>
      </c>
      <c r="O90" s="152">
        <f t="shared" si="22"/>
        <v>-7110.6644376000004</v>
      </c>
      <c r="P90" s="69">
        <f t="shared" si="23"/>
        <v>28442.657750399998</v>
      </c>
    </row>
    <row r="91" spans="1:16" x14ac:dyDescent="0.25">
      <c r="A91" s="149" t="s">
        <v>111</v>
      </c>
      <c r="B91" s="2" t="s">
        <v>34</v>
      </c>
      <c r="C91" s="299" t="str">
        <f>_xlfn.XLOOKUP(B91,'Brand Managers'!A:A,'Brand Managers'!B:B)</f>
        <v>Steve Halloran</v>
      </c>
      <c r="D91" s="42" t="str">
        <f>_xlfn.XLOOKUP(F91,'DATA - Segments'!C:C,'DATA - Segments'!D:D)</f>
        <v>RTD</v>
      </c>
      <c r="E91" s="42" t="str">
        <f>_xlfn.XLOOKUP(F91,'DATA - Segments'!C:C,'DATA - Segments'!E:E)</f>
        <v>RTD</v>
      </c>
      <c r="F91" s="203" t="str">
        <f t="shared" si="14"/>
        <v>Cayman Jack|Mark Anthony</v>
      </c>
      <c r="G91" s="203" t="str">
        <f t="shared" si="15"/>
        <v>Cayman Jack|Mark Anthony|RTD|RTD</v>
      </c>
      <c r="H91" s="150">
        <f>_xlfn.XLOOKUP(F91,'DATA - 2025 Review'!C:C,'DATA - 2025 Review'!I:I,"")</f>
        <v>29428.068722830983</v>
      </c>
      <c r="I91" s="151">
        <f>_xlfn.XLOOKUP(F91,'DATA - 2025 Review'!C:C,'DATA - 2025 Review'!J:J)</f>
        <v>2.9862144156465487E-2</v>
      </c>
      <c r="J91" s="150">
        <f>_xlfn.XLOOKUP(F91,'2025 Finish (ACTUAL)'!$C:$C,'2025 Finish (ACTUAL)'!$D:$D)</f>
        <v>29725.011600000002</v>
      </c>
      <c r="K91" s="146">
        <v>0.14000000000000001</v>
      </c>
      <c r="L91" s="152">
        <f t="shared" si="20"/>
        <v>4161.5016240000004</v>
      </c>
      <c r="M91" s="152">
        <f t="shared" si="21"/>
        <v>33886.513224000002</v>
      </c>
      <c r="N91" s="146">
        <v>0.08</v>
      </c>
      <c r="O91" s="152">
        <f t="shared" si="22"/>
        <v>2378.0009280000004</v>
      </c>
      <c r="P91" s="69">
        <f t="shared" si="23"/>
        <v>32103.012528000003</v>
      </c>
    </row>
    <row r="92" spans="1:16" x14ac:dyDescent="0.25">
      <c r="A92" s="149" t="s">
        <v>245</v>
      </c>
      <c r="B92" s="2" t="s">
        <v>34</v>
      </c>
      <c r="C92" s="299" t="str">
        <f>_xlfn.XLOOKUP(B92,'Brand Managers'!A:A,'Brand Managers'!B:B)</f>
        <v>Steve Halloran</v>
      </c>
      <c r="D92" s="42" t="str">
        <f>_xlfn.XLOOKUP(F92,'DATA - Segments'!C:C,'DATA - Segments'!D:D)</f>
        <v>FMB</v>
      </c>
      <c r="E92" s="42" t="str">
        <f>_xlfn.XLOOKUP(F92,'DATA - Segments'!C:C,'DATA - Segments'!E:E)</f>
        <v>FMB</v>
      </c>
      <c r="F92" s="203" t="str">
        <f t="shared" si="14"/>
        <v>Mike's Harder|Mark Anthony</v>
      </c>
      <c r="G92" s="203" t="str">
        <f t="shared" si="15"/>
        <v>Mike's Harder|Mark Anthony|FMB|FMB</v>
      </c>
      <c r="H92" s="150">
        <f>_xlfn.XLOOKUP(F92,'DATA - 2025 Review'!C:C,'DATA - 2025 Review'!I:I,"")</f>
        <v>11446.775469385151</v>
      </c>
      <c r="I92" s="151">
        <f>_xlfn.XLOOKUP(F92,'DATA - 2025 Review'!C:C,'DATA - 2025 Review'!J:J)</f>
        <v>3.9023654717856848E-2</v>
      </c>
      <c r="J92" s="150">
        <f>_xlfn.XLOOKUP(F92,'2025 Finish (ACTUAL)'!$C:$C,'2025 Finish (ACTUAL)'!$D:$D)</f>
        <v>11123.5867</v>
      </c>
      <c r="K92" s="146">
        <v>6.3E-2</v>
      </c>
      <c r="L92" s="152">
        <f t="shared" si="20"/>
        <v>700.78596210000001</v>
      </c>
      <c r="M92" s="152">
        <f t="shared" si="21"/>
        <v>11824.372662100001</v>
      </c>
      <c r="N92" s="146">
        <v>6.3E-2</v>
      </c>
      <c r="O92" s="152">
        <f t="shared" si="22"/>
        <v>700.78596210000001</v>
      </c>
      <c r="P92" s="69">
        <f t="shared" si="23"/>
        <v>11824.372662100001</v>
      </c>
    </row>
    <row r="93" spans="1:16" x14ac:dyDescent="0.25">
      <c r="A93" s="149" t="s">
        <v>112</v>
      </c>
      <c r="B93" s="2" t="s">
        <v>34</v>
      </c>
      <c r="C93" s="299" t="str">
        <f>_xlfn.XLOOKUP(B93,'Brand Managers'!A:A,'Brand Managers'!B:B)</f>
        <v>Steve Halloran</v>
      </c>
      <c r="D93" s="42" t="str">
        <f>_xlfn.XLOOKUP(F93,'DATA - Segments'!C:C,'DATA - Segments'!D:D)</f>
        <v>FMB</v>
      </c>
      <c r="E93" s="42" t="str">
        <f>_xlfn.XLOOKUP(F93,'DATA - Segments'!C:C,'DATA - Segments'!E:E)</f>
        <v>FMB</v>
      </c>
      <c r="F93" s="203" t="str">
        <f t="shared" si="14"/>
        <v>Mxd Cocktails|Mark Anthony</v>
      </c>
      <c r="G93" s="203" t="str">
        <f t="shared" si="15"/>
        <v>Mxd Cocktails|Mark Anthony|FMB|FMB</v>
      </c>
      <c r="H93" s="150">
        <f>_xlfn.XLOOKUP(F93,'DATA - 2025 Review'!C:C,'DATA - 2025 Review'!I:I,"")</f>
        <v>3063.7402260647518</v>
      </c>
      <c r="I93" s="151">
        <f>_xlfn.XLOOKUP(F93,'DATA - 2025 Review'!C:C,'DATA - 2025 Review'!J:J)</f>
        <v>0.22549639679999989</v>
      </c>
      <c r="J93" s="150">
        <f>_xlfn.XLOOKUP(F93,'2025 Finish (ACTUAL)'!$C:$C,'2025 Finish (ACTUAL)'!$D:$D)</f>
        <v>3086.6658950000001</v>
      </c>
      <c r="K93" s="146">
        <v>8.8999999999999996E-2</v>
      </c>
      <c r="L93" s="152">
        <f t="shared" si="20"/>
        <v>274.71326465499999</v>
      </c>
      <c r="M93" s="152">
        <f t="shared" si="21"/>
        <v>3361.379159655</v>
      </c>
      <c r="N93" s="146">
        <v>8.8999999999999996E-2</v>
      </c>
      <c r="O93" s="152">
        <f t="shared" si="22"/>
        <v>274.71326465499999</v>
      </c>
      <c r="P93" s="69">
        <f t="shared" si="23"/>
        <v>3361.379159655</v>
      </c>
    </row>
    <row r="94" spans="1:16" x14ac:dyDescent="0.25">
      <c r="A94" s="149" t="s">
        <v>35</v>
      </c>
      <c r="B94" s="5" t="s">
        <v>34</v>
      </c>
      <c r="C94" s="299" t="str">
        <f>_xlfn.XLOOKUP(B94,'Brand Managers'!A:A,'Brand Managers'!B:B)</f>
        <v>Steve Halloran</v>
      </c>
      <c r="D94" s="42" t="str">
        <f>_xlfn.XLOOKUP(F94,'DATA - Segments'!C:C,'DATA - Segments'!D:D)</f>
        <v>RTD</v>
      </c>
      <c r="E94" s="42" t="str">
        <f>_xlfn.XLOOKUP(F94,'DATA - Segments'!C:C,'DATA - Segments'!E:E)</f>
        <v>RTD</v>
      </c>
      <c r="F94" s="203" t="str">
        <f t="shared" si="14"/>
        <v>Dillon's Cocktails|Mark Anthony</v>
      </c>
      <c r="G94" s="203" t="str">
        <f t="shared" si="15"/>
        <v>Dillon's Cocktails|Mark Anthony|RTD|RTD</v>
      </c>
      <c r="H94" s="150">
        <f>_xlfn.XLOOKUP(F94,'DATA - 2025 Review'!C:C,'DATA - 2025 Review'!I:I,"")</f>
        <v>550</v>
      </c>
      <c r="I94" s="151">
        <f>_xlfn.XLOOKUP(F94,'DATA - 2025 Review'!C:C,'DATA - 2025 Review'!J:J)</f>
        <v>0</v>
      </c>
      <c r="J94" s="150">
        <f>_xlfn.XLOOKUP(F94,'2025 Finish (ACTUAL)'!$C:$C,'2025 Finish (ACTUAL)'!$D:$D)</f>
        <v>630</v>
      </c>
      <c r="K94" s="146">
        <v>1.65</v>
      </c>
      <c r="L94" s="152">
        <f t="shared" si="20"/>
        <v>1039.5</v>
      </c>
      <c r="M94" s="152">
        <f t="shared" si="21"/>
        <v>1669.5</v>
      </c>
      <c r="N94" s="146">
        <v>1.65</v>
      </c>
      <c r="O94" s="152">
        <f t="shared" si="22"/>
        <v>1039.5</v>
      </c>
      <c r="P94" s="69">
        <f t="shared" si="23"/>
        <v>1669.5</v>
      </c>
    </row>
    <row r="95" spans="1:16" x14ac:dyDescent="0.25">
      <c r="A95" s="185" t="s">
        <v>499</v>
      </c>
      <c r="B95" s="284" t="s">
        <v>34</v>
      </c>
      <c r="C95" s="284"/>
      <c r="D95" s="42">
        <f>_xlfn.XLOOKUP(F95,'DATA - Segments'!C:C,'DATA - Segments'!D:D)</f>
        <v>0</v>
      </c>
      <c r="E95" s="42">
        <f>_xlfn.XLOOKUP(F95,'DATA - Segments'!C:C,'DATA - Segments'!E:E)</f>
        <v>0</v>
      </c>
      <c r="F95" s="203"/>
      <c r="G95" s="203" t="str">
        <f t="shared" si="15"/>
        <v>Ole Tequila Cocktail|Mark Anthony|0|0</v>
      </c>
      <c r="H95" s="195"/>
      <c r="I95" s="196"/>
      <c r="J95" s="195"/>
      <c r="K95" s="196"/>
      <c r="L95" s="200"/>
      <c r="M95" s="274">
        <f t="shared" si="21"/>
        <v>0</v>
      </c>
      <c r="N95" s="281"/>
      <c r="O95" s="274">
        <f t="shared" si="22"/>
        <v>0</v>
      </c>
      <c r="P95" s="275">
        <f t="shared" si="23"/>
        <v>0</v>
      </c>
    </row>
    <row r="96" spans="1:16" x14ac:dyDescent="0.25">
      <c r="A96" s="143" t="s">
        <v>260</v>
      </c>
      <c r="B96" s="202"/>
      <c r="C96" s="202" t="str">
        <f>_xlfn.XLOOKUP(A96,'Brand Managers'!A:A,'Brand Managers'!B:B)</f>
        <v>Tom Gibbons</v>
      </c>
      <c r="D96" s="202"/>
      <c r="E96" s="202"/>
      <c r="F96" s="203" t="str">
        <f>A96&amp;"|"&amp;B96</f>
        <v>Pabst Brewing Company|</v>
      </c>
      <c r="G96" s="203" t="str">
        <f t="shared" si="15"/>
        <v>Pabst Brewing Company|||</v>
      </c>
      <c r="H96" s="144">
        <f>_xlfn.XLOOKUP(F96,'DATA - 2025 Review'!C:C,'DATA - 2025 Review'!I:I,"")</f>
        <v>257082.57880865296</v>
      </c>
      <c r="I96" s="145">
        <f>_xlfn.XLOOKUP(F96,'DATA - 2025 Review'!C:C,'DATA - 2025 Review'!J:J)</f>
        <v>-0.11491161841127517</v>
      </c>
      <c r="J96" s="144">
        <f>_xlfn.XLOOKUP(F96,'2025 Finish (ACTUAL)'!$C:$C,'2025 Finish (ACTUAL)'!$D:$D)</f>
        <v>259515.93958899999</v>
      </c>
      <c r="K96" s="145">
        <f>L96/J96</f>
        <v>-2.6168593734794451E-2</v>
      </c>
      <c r="L96" s="147">
        <f>SUMIF(B:B,A96,L:L)</f>
        <v>-6791.1671908080007</v>
      </c>
      <c r="M96" s="147">
        <f>SUMIF(B:B,A96,M:M)</f>
        <v>252724.77611719197</v>
      </c>
      <c r="N96" s="145">
        <f>O96/J96</f>
        <v>-5.2094625559851511E-2</v>
      </c>
      <c r="O96" s="147">
        <f>SUMIF(B:B,A96,O:O)</f>
        <v>-13519.385699701999</v>
      </c>
      <c r="P96" s="148">
        <f>SUMIF(B:B,A96,P:P)</f>
        <v>245996.557608298</v>
      </c>
    </row>
    <row r="97" spans="1:20" x14ac:dyDescent="0.25">
      <c r="A97" s="185" t="s">
        <v>493</v>
      </c>
      <c r="B97" s="2" t="s">
        <v>260</v>
      </c>
      <c r="C97" s="299" t="str">
        <f>_xlfn.XLOOKUP(B97,'Brand Managers'!A:A,'Brand Managers'!B:B)</f>
        <v>Tom Gibbons</v>
      </c>
      <c r="D97" s="42" t="s">
        <v>512</v>
      </c>
      <c r="E97" s="42" t="s">
        <v>511</v>
      </c>
      <c r="F97" s="203" t="str">
        <f>A97&amp;"|"&amp;B97</f>
        <v>Pabst Brand|Pabst Brewing Company</v>
      </c>
      <c r="G97" s="203" t="str">
        <f t="shared" si="15"/>
        <v>Pabst Brand|Pabst Brewing Company|Beer|Beer - Craft</v>
      </c>
      <c r="H97" s="150">
        <v>152594.92000000001</v>
      </c>
      <c r="I97" s="151">
        <f>_xlfn.XLOOKUP(F97,'DATA - 2025 Review'!C:C,'DATA - 2025 Review'!J:J)</f>
        <v>-3.5732274453944335E-2</v>
      </c>
      <c r="J97" s="150">
        <f>_xlfn.XLOOKUP(F97,'2025 Finish (ACTUAL)'!$C:$C,'2025 Finish (ACTUAL)'!$D:$D)</f>
        <v>152594.91696199999</v>
      </c>
      <c r="K97" s="146">
        <v>-7.0000000000000001E-3</v>
      </c>
      <c r="L97" s="152">
        <f t="shared" ref="L97:L165" si="24">K97*J97</f>
        <v>-1068.164418734</v>
      </c>
      <c r="M97" s="152">
        <f t="shared" ref="M97:M110" si="25">L97+J97</f>
        <v>151526.75254326599</v>
      </c>
      <c r="N97" s="146">
        <v>-0.04</v>
      </c>
      <c r="O97" s="152">
        <f t="shared" ref="O97:O110" si="26">N97*J97</f>
        <v>-6103.7966784800001</v>
      </c>
      <c r="P97" s="69">
        <f t="shared" ref="P97:P110" si="27">O97+J97</f>
        <v>146491.12028351999</v>
      </c>
      <c r="S97" t="s">
        <v>505</v>
      </c>
      <c r="T97" s="150" t="s">
        <v>566</v>
      </c>
    </row>
    <row r="98" spans="1:20" x14ac:dyDescent="0.25">
      <c r="A98" s="282" t="s">
        <v>430</v>
      </c>
      <c r="B98" s="2" t="s">
        <v>260</v>
      </c>
      <c r="C98" s="299" t="str">
        <f>_xlfn.XLOOKUP(B98,'Brand Managers'!A:A,'Brand Managers'!B:B)</f>
        <v>Tom Gibbons</v>
      </c>
      <c r="D98" s="42" t="s">
        <v>512</v>
      </c>
      <c r="E98" s="42" t="e">
        <f>_xlfn.XLOOKUP(F98,'DATA - Segments'!C:C,'DATA - Segments'!E:E)</f>
        <v>#N/A</v>
      </c>
      <c r="F98" s="203" t="str">
        <f>A98&amp;"|"&amp;B98</f>
        <v>Pabst Light|Pabst Brewing Company</v>
      </c>
      <c r="G98" s="203" t="e">
        <f t="shared" si="15"/>
        <v>#N/A</v>
      </c>
      <c r="H98" s="150">
        <v>5774.67</v>
      </c>
      <c r="I98" s="151" t="s">
        <v>475</v>
      </c>
      <c r="J98" s="150">
        <v>5774.67</v>
      </c>
      <c r="K98" s="146">
        <v>0.38500000000000001</v>
      </c>
      <c r="L98" s="152">
        <f t="shared" si="24"/>
        <v>2223.2479499999999</v>
      </c>
      <c r="M98" s="152">
        <f t="shared" si="25"/>
        <v>7997.91795</v>
      </c>
      <c r="N98" s="146">
        <v>3.95E-2</v>
      </c>
      <c r="O98" s="152">
        <f t="shared" si="26"/>
        <v>228.09946500000001</v>
      </c>
      <c r="P98" s="69">
        <f t="shared" si="27"/>
        <v>6002.7694650000003</v>
      </c>
      <c r="S98" t="s">
        <v>505</v>
      </c>
      <c r="T98" t="s">
        <v>565</v>
      </c>
    </row>
    <row r="99" spans="1:20" x14ac:dyDescent="0.25">
      <c r="A99" s="149" t="s">
        <v>5</v>
      </c>
      <c r="B99" s="2" t="s">
        <v>260</v>
      </c>
      <c r="C99" s="299" t="str">
        <f>_xlfn.XLOOKUP(B99,'Brand Managers'!A:A,'Brand Managers'!B:B)</f>
        <v>Tom Gibbons</v>
      </c>
      <c r="D99" s="42" t="str">
        <f>_xlfn.XLOOKUP(F99,'DATA - Segments'!C:C,'DATA - Segments'!D:D)</f>
        <v>Beer</v>
      </c>
      <c r="E99" s="42" t="str">
        <f>_xlfn.XLOOKUP(F99,'DATA - Segments'!C:C,'DATA - Segments'!E:E)</f>
        <v>Beer - Economy</v>
      </c>
      <c r="F99" s="203" t="str">
        <f t="shared" ref="F99:F131" si="28">A99&amp;"|"&amp;B99</f>
        <v>Colt 45|Pabst Brewing Company</v>
      </c>
      <c r="G99" s="203" t="str">
        <f t="shared" si="15"/>
        <v>Colt 45|Pabst Brewing Company|Beer|Beer - Economy</v>
      </c>
      <c r="H99" s="150">
        <f>_xlfn.XLOOKUP(F99,'DATA - 2025 Review'!C:C,'DATA - 2025 Review'!I:I,"")</f>
        <v>32881.887008924255</v>
      </c>
      <c r="I99" s="151">
        <f>_xlfn.XLOOKUP(F99,'DATA - 2025 Review'!C:C,'DATA - 2025 Review'!J:J)</f>
        <v>-0.23606295508565189</v>
      </c>
      <c r="J99" s="150">
        <f>_xlfn.XLOOKUP(F99,'2025 Finish (ACTUAL)'!$C:$C,'2025 Finish (ACTUAL)'!$D:$D)</f>
        <v>32732.236077000001</v>
      </c>
      <c r="K99" s="146">
        <v>-4.9000000000000002E-2</v>
      </c>
      <c r="L99" s="152">
        <f t="shared" si="24"/>
        <v>-1603.8795677730002</v>
      </c>
      <c r="M99" s="152">
        <f t="shared" si="25"/>
        <v>31128.356509227</v>
      </c>
      <c r="N99" s="146">
        <v>-0.125</v>
      </c>
      <c r="O99" s="152">
        <f t="shared" si="26"/>
        <v>-4091.5295096250002</v>
      </c>
      <c r="P99" s="69">
        <f t="shared" si="27"/>
        <v>28640.706567375</v>
      </c>
    </row>
    <row r="100" spans="1:20" x14ac:dyDescent="0.25">
      <c r="A100" s="149" t="s">
        <v>90</v>
      </c>
      <c r="B100" s="2" t="s">
        <v>260</v>
      </c>
      <c r="C100" s="299" t="str">
        <f>_xlfn.XLOOKUP(B100,'Brand Managers'!A:A,'Brand Managers'!B:B)</f>
        <v>Tom Gibbons</v>
      </c>
      <c r="D100" s="42" t="str">
        <f>_xlfn.XLOOKUP(F100,'DATA - Segments'!C:C,'DATA - Segments'!D:D)</f>
        <v>Beer</v>
      </c>
      <c r="E100" s="42" t="str">
        <f>_xlfn.XLOOKUP(F100,'DATA - Segments'!C:C,'DATA - Segments'!E:E)</f>
        <v>Beer - Economy</v>
      </c>
      <c r="F100" s="203" t="str">
        <f t="shared" si="28"/>
        <v>St Ides|Pabst Brewing Company</v>
      </c>
      <c r="G100" s="203" t="str">
        <f t="shared" si="15"/>
        <v>St Ides|Pabst Brewing Company|Beer|Beer - Economy</v>
      </c>
      <c r="H100" s="150">
        <f>_xlfn.XLOOKUP(F100,'DATA - 2025 Review'!C:C,'DATA - 2025 Review'!I:I,"")</f>
        <v>14191.03739187575</v>
      </c>
      <c r="I100" s="151">
        <f>_xlfn.XLOOKUP(F100,'DATA - 2025 Review'!C:C,'DATA - 2025 Review'!J:J)</f>
        <v>-0.1966579525069676</v>
      </c>
      <c r="J100" s="150">
        <f>_xlfn.XLOOKUP(F100,'2025 Finish (ACTUAL)'!$C:$C,'2025 Finish (ACTUAL)'!$D:$D)</f>
        <v>16196.976226000001</v>
      </c>
      <c r="K100" s="146">
        <v>-0.14299999999999999</v>
      </c>
      <c r="L100" s="152">
        <f t="shared" si="24"/>
        <v>-2316.167600318</v>
      </c>
      <c r="M100" s="152">
        <f t="shared" si="25"/>
        <v>13880.808625682001</v>
      </c>
      <c r="N100" s="146">
        <v>-0.14299999999999999</v>
      </c>
      <c r="O100" s="152">
        <f t="shared" si="26"/>
        <v>-2316.167600318</v>
      </c>
      <c r="P100" s="69">
        <f t="shared" si="27"/>
        <v>13880.808625682001</v>
      </c>
    </row>
    <row r="101" spans="1:20" x14ac:dyDescent="0.25">
      <c r="A101" s="149" t="s">
        <v>133</v>
      </c>
      <c r="B101" s="2" t="s">
        <v>260</v>
      </c>
      <c r="C101" s="299" t="str">
        <f>_xlfn.XLOOKUP(B101,'Brand Managers'!A:A,'Brand Managers'!B:B)</f>
        <v>Tom Gibbons</v>
      </c>
      <c r="D101" s="42" t="str">
        <f>_xlfn.XLOOKUP(F101,'DATA - Segments'!C:C,'DATA - Segments'!D:D)</f>
        <v>Beer</v>
      </c>
      <c r="E101" s="42" t="str">
        <f>_xlfn.XLOOKUP(F101,'DATA - Segments'!C:C,'DATA - Segments'!E:E)</f>
        <v>Beer - Economy</v>
      </c>
      <c r="F101" s="203" t="str">
        <f t="shared" si="28"/>
        <v>Old Milwaukee|Pabst Brewing Company</v>
      </c>
      <c r="G101" s="203" t="str">
        <f t="shared" si="15"/>
        <v>Old Milwaukee|Pabst Brewing Company|Beer|Beer - Economy</v>
      </c>
      <c r="H101" s="150">
        <f>_xlfn.XLOOKUP(F101,'DATA - 2025 Review'!C:C,'DATA - 2025 Review'!I:I,"")</f>
        <v>15655.690484374929</v>
      </c>
      <c r="I101" s="151">
        <f>_xlfn.XLOOKUP(F101,'DATA - 2025 Review'!C:C,'DATA - 2025 Review'!J:J)</f>
        <v>-5.1955364720350561E-2</v>
      </c>
      <c r="J101" s="150">
        <f>_xlfn.XLOOKUP(F101,'2025 Finish (ACTUAL)'!$C:$C,'2025 Finish (ACTUAL)'!$D:$D)</f>
        <v>15879.246754</v>
      </c>
      <c r="K101" s="146">
        <v>-0.05</v>
      </c>
      <c r="L101" s="152">
        <f t="shared" si="24"/>
        <v>-793.96233770000003</v>
      </c>
      <c r="M101" s="152">
        <f t="shared" si="25"/>
        <v>15085.284416299999</v>
      </c>
      <c r="N101" s="146">
        <v>-0.05</v>
      </c>
      <c r="O101" s="152">
        <f t="shared" si="26"/>
        <v>-793.96233770000003</v>
      </c>
      <c r="P101" s="69">
        <f t="shared" si="27"/>
        <v>15085.284416299999</v>
      </c>
    </row>
    <row r="102" spans="1:20" x14ac:dyDescent="0.25">
      <c r="A102" s="149" t="s">
        <v>6</v>
      </c>
      <c r="B102" s="2" t="s">
        <v>260</v>
      </c>
      <c r="C102" s="299" t="str">
        <f>_xlfn.XLOOKUP(B102,'Brand Managers'!A:A,'Brand Managers'!B:B)</f>
        <v>Tom Gibbons</v>
      </c>
      <c r="D102" s="42" t="str">
        <f>_xlfn.XLOOKUP(F102,'DATA - Segments'!C:C,'DATA - Segments'!D:D)</f>
        <v>FMB</v>
      </c>
      <c r="E102" s="42" t="str">
        <f>_xlfn.XLOOKUP(F102,'DATA - Segments'!C:C,'DATA - Segments'!E:E)</f>
        <v>FMB</v>
      </c>
      <c r="F102" s="203" t="str">
        <f t="shared" si="28"/>
        <v>Jack Daniels Country Cocktails|Pabst Brewing Company</v>
      </c>
      <c r="G102" s="203" t="str">
        <f t="shared" si="15"/>
        <v>Jack Daniels Country Cocktails|Pabst Brewing Company|FMB|FMB</v>
      </c>
      <c r="H102" s="150">
        <f>_xlfn.XLOOKUP(F102,'DATA - 2025 Review'!C:C,'DATA - 2025 Review'!I:I,"")</f>
        <v>13158.073762935095</v>
      </c>
      <c r="I102" s="151">
        <f>_xlfn.XLOOKUP(F102,'DATA - 2025 Review'!C:C,'DATA - 2025 Review'!J:J)</f>
        <v>-0.10060479904540298</v>
      </c>
      <c r="J102" s="150">
        <f>_xlfn.XLOOKUP(F102,'2025 Finish (ACTUAL)'!$C:$C,'2025 Finish (ACTUAL)'!$D:$D)</f>
        <v>13310.684135</v>
      </c>
      <c r="K102" s="146">
        <v>-8.3000000000000004E-2</v>
      </c>
      <c r="L102" s="152">
        <f t="shared" si="24"/>
        <v>-1104.7867832050001</v>
      </c>
      <c r="M102" s="152">
        <f t="shared" si="25"/>
        <v>12205.897351795</v>
      </c>
      <c r="N102" s="146">
        <v>1.7999999999999999E-2</v>
      </c>
      <c r="O102" s="152">
        <f t="shared" si="26"/>
        <v>239.59231442999996</v>
      </c>
      <c r="P102" s="69">
        <f t="shared" si="27"/>
        <v>13550.276449429999</v>
      </c>
    </row>
    <row r="103" spans="1:20" x14ac:dyDescent="0.25">
      <c r="A103" s="149" t="s">
        <v>36</v>
      </c>
      <c r="B103" s="2" t="s">
        <v>260</v>
      </c>
      <c r="C103" s="299" t="str">
        <f>_xlfn.XLOOKUP(B103,'Brand Managers'!A:A,'Brand Managers'!B:B)</f>
        <v>Tom Gibbons</v>
      </c>
      <c r="D103" s="42" t="str">
        <f>_xlfn.XLOOKUP(F103,'DATA - Segments'!C:C,'DATA - Segments'!D:D)</f>
        <v>Beer</v>
      </c>
      <c r="E103" s="42" t="str">
        <f>_xlfn.XLOOKUP(F103,'DATA - Segments'!C:C,'DATA - Segments'!E:E)</f>
        <v>Beer - Economy</v>
      </c>
      <c r="F103" s="203" t="str">
        <f t="shared" si="28"/>
        <v>Schlitz Malt|Pabst Brewing Company</v>
      </c>
      <c r="G103" s="203" t="str">
        <f t="shared" si="15"/>
        <v>Schlitz Malt|Pabst Brewing Company|Beer|Beer - Economy</v>
      </c>
      <c r="H103" s="150">
        <f>_xlfn.XLOOKUP(F103,'DATA - 2025 Review'!C:C,'DATA - 2025 Review'!I:I,"")</f>
        <v>9664.7188179118475</v>
      </c>
      <c r="I103" s="151">
        <f>_xlfn.XLOOKUP(F103,'DATA - 2025 Review'!C:C,'DATA - 2025 Review'!J:J)</f>
        <v>-9.3507639950434096E-2</v>
      </c>
      <c r="J103" s="150">
        <f>_xlfn.XLOOKUP(F103,'2025 Finish (ACTUAL)'!$C:$C,'2025 Finish (ACTUAL)'!$D:$D)</f>
        <v>9554.2068600000002</v>
      </c>
      <c r="K103" s="146">
        <v>8.0000000000000002E-3</v>
      </c>
      <c r="L103" s="152">
        <f t="shared" si="24"/>
        <v>76.433654880000006</v>
      </c>
      <c r="M103" s="152">
        <f t="shared" si="25"/>
        <v>9630.6405148800004</v>
      </c>
      <c r="N103" s="146">
        <v>-4.4999999999999998E-2</v>
      </c>
      <c r="O103" s="152">
        <f t="shared" si="26"/>
        <v>-429.93930869999997</v>
      </c>
      <c r="P103" s="69">
        <f t="shared" si="27"/>
        <v>9124.2675512999995</v>
      </c>
    </row>
    <row r="104" spans="1:20" x14ac:dyDescent="0.25">
      <c r="A104" s="156" t="s">
        <v>91</v>
      </c>
      <c r="B104" s="283" t="s">
        <v>260</v>
      </c>
      <c r="C104" s="283"/>
      <c r="D104" s="42" t="str">
        <f>_xlfn.XLOOKUP(F104,'DATA - Segments'!C:C,'DATA - Segments'!D:D)</f>
        <v>Beer</v>
      </c>
      <c r="E104" s="42" t="str">
        <f>_xlfn.XLOOKUP(F104,'DATA - Segments'!C:C,'DATA - Segments'!E:E)</f>
        <v>Beer - Economy</v>
      </c>
      <c r="F104" s="203" t="str">
        <f t="shared" si="28"/>
        <v>Ballantine Ale|Pabst Brewing Company</v>
      </c>
      <c r="G104" s="203" t="str">
        <f t="shared" si="15"/>
        <v>Ballantine Ale|Pabst Brewing Company|Beer|Beer - Economy</v>
      </c>
      <c r="H104" s="273">
        <f>_xlfn.XLOOKUP(F104,'DATA - 2025 Review'!C:C,'DATA - 2025 Review'!I:I,"")</f>
        <v>573.81942813548585</v>
      </c>
      <c r="I104" s="281">
        <f>_xlfn.XLOOKUP(F104,'DATA - 2025 Review'!C:C,'DATA - 2025 Review'!J:J)</f>
        <v>-0.94454600528676347</v>
      </c>
      <c r="J104" s="273">
        <f>_xlfn.XLOOKUP(F104,'2025 Finish (ACTUAL)'!$C:$C,'2025 Finish (ACTUAL)'!$D:$D)</f>
        <v>485.33333199999998</v>
      </c>
      <c r="K104" s="281">
        <v>-1</v>
      </c>
      <c r="L104" s="274">
        <f t="shared" si="24"/>
        <v>-485.33333199999998</v>
      </c>
      <c r="M104" s="274">
        <f t="shared" si="25"/>
        <v>0</v>
      </c>
      <c r="N104" s="281">
        <v>-1</v>
      </c>
      <c r="O104" s="274">
        <f t="shared" si="26"/>
        <v>-485.33333199999998</v>
      </c>
      <c r="P104" s="275">
        <f t="shared" si="27"/>
        <v>0</v>
      </c>
    </row>
    <row r="105" spans="1:20" x14ac:dyDescent="0.25">
      <c r="A105" s="149" t="s">
        <v>57</v>
      </c>
      <c r="B105" s="2" t="s">
        <v>260</v>
      </c>
      <c r="C105" s="299" t="str">
        <f>_xlfn.XLOOKUP(B105,'Brand Managers'!A:A,'Brand Managers'!B:B)</f>
        <v>Tom Gibbons</v>
      </c>
      <c r="D105" s="42" t="str">
        <f>_xlfn.XLOOKUP(F105,'DATA - Segments'!C:C,'DATA - Segments'!D:D)</f>
        <v>Beer</v>
      </c>
      <c r="E105" s="42" t="str">
        <f>_xlfn.XLOOKUP(F105,'DATA - Segments'!C:C,'DATA - Segments'!E:E)</f>
        <v>Beer - Economy</v>
      </c>
      <c r="F105" s="203" t="str">
        <f t="shared" si="28"/>
        <v>Schaefer|Pabst Brewing Company</v>
      </c>
      <c r="G105" s="203" t="str">
        <f t="shared" si="15"/>
        <v>Schaefer|Pabst Brewing Company|Beer|Beer - Economy</v>
      </c>
      <c r="H105" s="150">
        <f>_xlfn.XLOOKUP(F105,'DATA - 2025 Review'!C:C,'DATA - 2025 Review'!I:I,"")</f>
        <v>4712.59149875</v>
      </c>
      <c r="I105" s="151">
        <f>_xlfn.XLOOKUP(F105,'DATA - 2025 Review'!C:C,'DATA - 2025 Review'!J:J)</f>
        <v>0.13624870373719111</v>
      </c>
      <c r="J105" s="150">
        <f>_xlfn.XLOOKUP(F105,'2025 Finish (ACTUAL)'!$C:$C,'2025 Finish (ACTUAL)'!$D:$D)</f>
        <v>4813.75</v>
      </c>
      <c r="K105" s="146">
        <v>-0.22700000000000001</v>
      </c>
      <c r="L105" s="152">
        <f t="shared" si="24"/>
        <v>-1092.7212500000001</v>
      </c>
      <c r="M105" s="152">
        <f t="shared" si="25"/>
        <v>3721.0287499999999</v>
      </c>
      <c r="N105" s="146">
        <v>5.5E-2</v>
      </c>
      <c r="O105" s="152">
        <f t="shared" si="26"/>
        <v>264.75625000000002</v>
      </c>
      <c r="P105" s="69">
        <f t="shared" si="27"/>
        <v>5078.5062500000004</v>
      </c>
    </row>
    <row r="106" spans="1:20" x14ac:dyDescent="0.25">
      <c r="A106" s="149" t="s">
        <v>162</v>
      </c>
      <c r="B106" s="2" t="s">
        <v>260</v>
      </c>
      <c r="C106" s="299" t="str">
        <f>_xlfn.XLOOKUP(B106,'Brand Managers'!A:A,'Brand Managers'!B:B)</f>
        <v>Tom Gibbons</v>
      </c>
      <c r="D106" s="42" t="str">
        <f>_xlfn.XLOOKUP(F106,'DATA - Segments'!C:C,'DATA - Segments'!D:D)</f>
        <v>Beer</v>
      </c>
      <c r="E106" s="42" t="str">
        <f>_xlfn.XLOOKUP(F106,'DATA - Segments'!C:C,'DATA - Segments'!E:E)</f>
        <v>Beer - Economy</v>
      </c>
      <c r="F106" s="203" t="str">
        <f t="shared" si="28"/>
        <v>Country Club|Pabst Brewing Company</v>
      </c>
      <c r="G106" s="203" t="str">
        <f t="shared" si="15"/>
        <v>Country Club|Pabst Brewing Company|Beer|Beer - Economy</v>
      </c>
      <c r="H106" s="150">
        <f>_xlfn.XLOOKUP(F106,'DATA - 2025 Review'!C:C,'DATA - 2025 Review'!I:I,"")</f>
        <v>3325.1174700537581</v>
      </c>
      <c r="I106" s="151">
        <f>_xlfn.XLOOKUP(F106,'DATA - 2025 Review'!C:C,'DATA - 2025 Review'!J:J)</f>
        <v>8.0188868229589261E-3</v>
      </c>
      <c r="J106" s="150">
        <f>_xlfn.XLOOKUP(F106,'2025 Finish (ACTUAL)'!$C:$C,'2025 Finish (ACTUAL)'!$D:$D)</f>
        <v>3375.9991559999999</v>
      </c>
      <c r="K106" s="146">
        <v>-8.8999999999999996E-2</v>
      </c>
      <c r="L106" s="152">
        <f t="shared" si="24"/>
        <v>-300.46392488399999</v>
      </c>
      <c r="M106" s="152">
        <f t="shared" si="25"/>
        <v>3075.535231116</v>
      </c>
      <c r="N106" s="146">
        <v>2.1000000000000001E-2</v>
      </c>
      <c r="O106" s="152">
        <f t="shared" si="26"/>
        <v>70.895982275999998</v>
      </c>
      <c r="P106" s="69">
        <f t="shared" si="27"/>
        <v>3446.8951382759997</v>
      </c>
    </row>
    <row r="107" spans="1:20" x14ac:dyDescent="0.25">
      <c r="A107" s="149" t="s">
        <v>397</v>
      </c>
      <c r="B107" s="2" t="s">
        <v>260</v>
      </c>
      <c r="C107" s="299" t="str">
        <f>_xlfn.XLOOKUP(B107,'Brand Managers'!A:A,'Brand Managers'!B:B)</f>
        <v>Tom Gibbons</v>
      </c>
      <c r="D107" s="42" t="str">
        <f>_xlfn.XLOOKUP(F107,'DATA - Segments'!C:C,'DATA - Segments'!D:D)</f>
        <v>FMB</v>
      </c>
      <c r="E107" s="42" t="str">
        <f>_xlfn.XLOOKUP(F107,'DATA - Segments'!C:C,'DATA - Segments'!E:E)</f>
        <v>FMB</v>
      </c>
      <c r="F107" s="203" t="str">
        <f t="shared" si="28"/>
        <v>Small Town|Pabst Brewing Company</v>
      </c>
      <c r="G107" s="203" t="str">
        <f t="shared" si="15"/>
        <v>Small Town|Pabst Brewing Company|FMB|FMB</v>
      </c>
      <c r="H107" s="150">
        <f>_xlfn.XLOOKUP(F107,'DATA - 2025 Review'!C:C,'DATA - 2025 Review'!I:I,"")</f>
        <v>1873.2669550000001</v>
      </c>
      <c r="I107" s="151">
        <f>_xlfn.XLOOKUP(F107,'DATA - 2025 Review'!C:C,'DATA - 2025 Review'!J:J)</f>
        <v>-1.9745183150183143E-2</v>
      </c>
      <c r="J107" s="150">
        <f>_xlfn.XLOOKUP(F107,'2025 Finish (ACTUAL)'!$C:$C,'2025 Finish (ACTUAL)'!$D:$D)</f>
        <v>1867</v>
      </c>
      <c r="K107" s="146">
        <v>-3.2000000000000001E-2</v>
      </c>
      <c r="L107" s="152">
        <f t="shared" si="24"/>
        <v>-59.744</v>
      </c>
      <c r="M107" s="152">
        <f t="shared" si="25"/>
        <v>1807.2560000000001</v>
      </c>
      <c r="N107" s="146">
        <v>-3.2000000000000001E-2</v>
      </c>
      <c r="O107" s="152">
        <f t="shared" si="26"/>
        <v>-59.744</v>
      </c>
      <c r="P107" s="69">
        <f t="shared" si="27"/>
        <v>1807.2560000000001</v>
      </c>
    </row>
    <row r="108" spans="1:20" x14ac:dyDescent="0.25">
      <c r="A108" s="149" t="s">
        <v>376</v>
      </c>
      <c r="B108" s="2" t="s">
        <v>260</v>
      </c>
      <c r="C108" s="299" t="str">
        <f>_xlfn.XLOOKUP(B108,'Brand Managers'!A:A,'Brand Managers'!B:B)</f>
        <v>Tom Gibbons</v>
      </c>
      <c r="D108" s="42" t="str">
        <f>_xlfn.XLOOKUP(F108,'DATA - Segments'!C:C,'DATA - Segments'!D:D)</f>
        <v>Beer</v>
      </c>
      <c r="E108" s="42" t="str">
        <f>_xlfn.XLOOKUP(F108,'DATA - Segments'!C:C,'DATA - Segments'!E:E)</f>
        <v>Beer - Craft</v>
      </c>
      <c r="F108" s="203" t="str">
        <f t="shared" si="28"/>
        <v>New Holland Brewing Co|Pabst Brewing Company</v>
      </c>
      <c r="G108" s="203" t="str">
        <f t="shared" si="15"/>
        <v>New Holland Brewing Co|Pabst Brewing Company|Beer|Beer - Craft</v>
      </c>
      <c r="H108" s="150">
        <f>_xlfn.XLOOKUP(F108,'DATA - 2025 Review'!C:C,'DATA - 2025 Review'!I:I,"")</f>
        <v>1182.59029982589</v>
      </c>
      <c r="I108" s="151">
        <f>_xlfn.XLOOKUP(F108,'DATA - 2025 Review'!C:C,'DATA - 2025 Review'!J:J)</f>
        <v>-0.10446574629458238</v>
      </c>
      <c r="J108" s="150">
        <f>_xlfn.XLOOKUP(F108,'2025 Finish (ACTUAL)'!$C:$C,'2025 Finish (ACTUAL)'!$D:$D)</f>
        <v>1084.9444470000001</v>
      </c>
      <c r="K108" s="146">
        <v>5.8000000000000003E-2</v>
      </c>
      <c r="L108" s="152">
        <f t="shared" si="24"/>
        <v>62.926777926000007</v>
      </c>
      <c r="M108" s="152">
        <f t="shared" si="25"/>
        <v>1147.8712249260002</v>
      </c>
      <c r="N108" s="146">
        <v>-5.5E-2</v>
      </c>
      <c r="O108" s="152">
        <f t="shared" si="26"/>
        <v>-59.671944585000006</v>
      </c>
      <c r="P108" s="69">
        <f t="shared" si="27"/>
        <v>1025.272502415</v>
      </c>
    </row>
    <row r="109" spans="1:20" x14ac:dyDescent="0.25">
      <c r="A109" s="149" t="s">
        <v>289</v>
      </c>
      <c r="B109" s="2" t="s">
        <v>260</v>
      </c>
      <c r="C109" s="299" t="str">
        <f>_xlfn.XLOOKUP(B109,'Brand Managers'!A:A,'Brand Managers'!B:B)</f>
        <v>Tom Gibbons</v>
      </c>
      <c r="D109" s="42" t="str">
        <f>_xlfn.XLOOKUP(F109,'DATA - Segments'!C:C,'DATA - Segments'!D:D)</f>
        <v>Beer</v>
      </c>
      <c r="E109" s="42" t="str">
        <f>_xlfn.XLOOKUP(F109,'DATA - Segments'!C:C,'DATA - Segments'!E:E)</f>
        <v>Beer - Import</v>
      </c>
      <c r="F109" s="203" t="str">
        <f t="shared" si="28"/>
        <v>Lone Star|Pabst Brewing Company</v>
      </c>
      <c r="G109" s="203" t="str">
        <f t="shared" si="15"/>
        <v>Lone Star|Pabst Brewing Company|Beer|Beer - Import</v>
      </c>
      <c r="H109" s="150">
        <f>_xlfn.XLOOKUP(F109,'DATA - 2025 Review'!C:C,'DATA - 2025 Review'!I:I,"")</f>
        <v>1173.7232960000001</v>
      </c>
      <c r="I109" s="151">
        <f>_xlfn.XLOOKUP(F109,'DATA - 2025 Review'!C:C,'DATA - 2025 Review'!J:J)</f>
        <v>4.7032378233720085E-2</v>
      </c>
      <c r="J109" s="150">
        <f>_xlfn.XLOOKUP(F109,'2025 Finish (ACTUAL)'!$C:$C,'2025 Finish (ACTUAL)'!$D:$D)</f>
        <v>1161</v>
      </c>
      <c r="K109" s="146">
        <v>0.307</v>
      </c>
      <c r="L109" s="152">
        <f t="shared" si="24"/>
        <v>356.42700000000002</v>
      </c>
      <c r="M109" s="152">
        <f t="shared" si="25"/>
        <v>1517.4270000000001</v>
      </c>
      <c r="N109" s="146">
        <v>1.4999999999999999E-2</v>
      </c>
      <c r="O109" s="152">
        <f t="shared" si="26"/>
        <v>17.414999999999999</v>
      </c>
      <c r="P109" s="69">
        <f t="shared" si="27"/>
        <v>1178.415</v>
      </c>
    </row>
    <row r="110" spans="1:20" x14ac:dyDescent="0.25">
      <c r="A110" s="156" t="s">
        <v>134</v>
      </c>
      <c r="B110" s="283" t="s">
        <v>260</v>
      </c>
      <c r="C110" s="283"/>
      <c r="D110" s="42" t="str">
        <f>_xlfn.XLOOKUP(F110,'DATA - Segments'!C:C,'DATA - Segments'!D:D)</f>
        <v>RTD</v>
      </c>
      <c r="E110" s="42" t="str">
        <f>_xlfn.XLOOKUP(F110,'DATA - Segments'!C:C,'DATA - Segments'!E:E)</f>
        <v>RTD</v>
      </c>
      <c r="F110" s="203" t="str">
        <f t="shared" si="28"/>
        <v>EL Jimador|Pabst Brewing Company</v>
      </c>
      <c r="G110" s="203" t="str">
        <f t="shared" si="15"/>
        <v>EL Jimador|Pabst Brewing Company|RTD|RTD</v>
      </c>
      <c r="H110" s="271">
        <f>_xlfn.XLOOKUP(F110,'DATA - 2025 Review'!C:C,'DATA - 2025 Review'!I:I,"")</f>
        <v>741.68521422972003</v>
      </c>
      <c r="I110" s="272">
        <f>_xlfn.XLOOKUP(F110,'DATA - 2025 Review'!C:C,'DATA - 2025 Review'!J:J)</f>
        <v>-0.58606031162906203</v>
      </c>
      <c r="J110" s="273">
        <f>_xlfn.XLOOKUP(F110,'2025 Finish (ACTUAL)'!$C:$C,'2025 Finish (ACTUAL)'!$D:$D)</f>
        <v>684.97935900000004</v>
      </c>
      <c r="K110" s="290">
        <v>-1</v>
      </c>
      <c r="L110" s="274">
        <f t="shared" si="24"/>
        <v>-684.97935900000004</v>
      </c>
      <c r="M110" s="274">
        <f t="shared" si="25"/>
        <v>0</v>
      </c>
      <c r="N110" s="281"/>
      <c r="O110" s="274">
        <f t="shared" si="26"/>
        <v>0</v>
      </c>
      <c r="P110" s="275">
        <f t="shared" si="27"/>
        <v>684.97935900000004</v>
      </c>
    </row>
    <row r="111" spans="1:20" x14ac:dyDescent="0.25">
      <c r="A111" s="143" t="s">
        <v>135</v>
      </c>
      <c r="B111" s="202"/>
      <c r="C111" s="202" t="str">
        <f>_xlfn.XLOOKUP(A111,'Brand Managers'!A:A,'Brand Managers'!B:B)</f>
        <v>Perry Calderone</v>
      </c>
      <c r="D111" s="202"/>
      <c r="E111" s="202"/>
      <c r="F111" s="203" t="str">
        <f t="shared" si="28"/>
        <v>DG Yuengling Inc|</v>
      </c>
      <c r="G111" s="203" t="str">
        <f t="shared" si="15"/>
        <v>DG Yuengling Inc|||</v>
      </c>
      <c r="H111" s="144">
        <f>_xlfn.XLOOKUP(F111,'DATA - 2025 Review'!C:C,'DATA - 2025 Review'!I:I,"")</f>
        <v>221115.50117193366</v>
      </c>
      <c r="I111" s="145">
        <f>_xlfn.XLOOKUP(F111,'DATA - 2025 Review'!C:C,'DATA - 2025 Review'!J:J)</f>
        <v>-6.6663846916864777E-2</v>
      </c>
      <c r="J111" s="144">
        <f>_xlfn.XLOOKUP(F111,'2025 Finish (ACTUAL)'!$C:$C,'2025 Finish (ACTUAL)'!$D:$D)</f>
        <v>221388.91698800001</v>
      </c>
      <c r="K111" s="145">
        <f>L111/J111</f>
        <v>-1.0525847604694275E-2</v>
      </c>
      <c r="L111" s="147">
        <f>SUMIF(B:B,A111,L:L)</f>
        <v>-2330.3060015839997</v>
      </c>
      <c r="M111" s="147">
        <f>SUMIF(B:B,A111,M:M)</f>
        <v>219058.610986416</v>
      </c>
      <c r="N111" s="145">
        <f>O111/J111</f>
        <v>-2.9884642174588239E-2</v>
      </c>
      <c r="O111" s="147">
        <f>SUMIF(B:B,A111,O:O)</f>
        <v>-6616.1285656059999</v>
      </c>
      <c r="P111" s="148">
        <f>SUMIF(B:B,A111,P:P)</f>
        <v>214772.78842239393</v>
      </c>
    </row>
    <row r="112" spans="1:20" x14ac:dyDescent="0.25">
      <c r="A112" s="149" t="s">
        <v>261</v>
      </c>
      <c r="B112" s="2" t="s">
        <v>135</v>
      </c>
      <c r="C112" s="299" t="str">
        <f>_xlfn.XLOOKUP(B112,'Brand Managers'!A:A,'Brand Managers'!B:B)</f>
        <v>Perry Calderone</v>
      </c>
      <c r="D112" s="42" t="str">
        <f>_xlfn.XLOOKUP(F112,'DATA - Segments'!C:C,'DATA - Segments'!D:D)</f>
        <v>Beer</v>
      </c>
      <c r="E112" s="42" t="str">
        <f>_xlfn.XLOOKUP(F112,'DATA - Segments'!C:C,'DATA - Segments'!E:E)</f>
        <v>Beer - Economy</v>
      </c>
      <c r="F112" s="203" t="str">
        <f t="shared" si="28"/>
        <v>Yuengling Lager|DG Yuengling Inc</v>
      </c>
      <c r="G112" s="203" t="str">
        <f t="shared" si="15"/>
        <v>Yuengling Lager|DG Yuengling Inc|Beer|Beer - Economy</v>
      </c>
      <c r="H112" s="150">
        <f>_xlfn.XLOOKUP(F112,'DATA - 2025 Review'!C:C,'DATA - 2025 Review'!I:I,"")</f>
        <v>189341.46983288089</v>
      </c>
      <c r="I112" s="151">
        <f>_xlfn.XLOOKUP(F112,'DATA - 2025 Review'!C:C,'DATA - 2025 Review'!J:J)</f>
        <v>-6.3101972578400556E-2</v>
      </c>
      <c r="J112" s="150">
        <f>_xlfn.XLOOKUP(F112,'2025 Finish (ACTUAL)'!$C:$C,'2025 Finish (ACTUAL)'!$D:$D)</f>
        <v>189518.61148299999</v>
      </c>
      <c r="K112" s="146">
        <v>-8.0000000000000002E-3</v>
      </c>
      <c r="L112" s="152">
        <f t="shared" si="24"/>
        <v>-1516.148891864</v>
      </c>
      <c r="M112" s="152">
        <f t="shared" ref="M112:M122" si="29">L112+J112</f>
        <v>188002.46259113599</v>
      </c>
      <c r="N112" s="146">
        <v>-0.03</v>
      </c>
      <c r="O112" s="152">
        <f t="shared" ref="O112:O122" si="30">N112*J112</f>
        <v>-5685.5583444899994</v>
      </c>
      <c r="P112" s="69">
        <f t="shared" ref="P112:P122" si="31">O112+J112</f>
        <v>183833.05313850997</v>
      </c>
    </row>
    <row r="113" spans="1:16" x14ac:dyDescent="0.25">
      <c r="A113" s="149" t="s">
        <v>217</v>
      </c>
      <c r="B113" s="2" t="s">
        <v>135</v>
      </c>
      <c r="C113" s="299" t="str">
        <f>_xlfn.XLOOKUP(B113,'Brand Managers'!A:A,'Brand Managers'!B:B)</f>
        <v>Perry Calderone</v>
      </c>
      <c r="D113" s="42" t="str">
        <f>_xlfn.XLOOKUP(F113,'DATA - Segments'!C:C,'DATA - Segments'!D:D)</f>
        <v>Beer</v>
      </c>
      <c r="E113" s="42" t="str">
        <f>_xlfn.XLOOKUP(F113,'DATA - Segments'!C:C,'DATA - Segments'!E:E)</f>
        <v>Beer - Economy</v>
      </c>
      <c r="F113" s="203" t="str">
        <f t="shared" si="28"/>
        <v>Yuengling Light Lager|DG Yuengling Inc</v>
      </c>
      <c r="G113" s="203" t="str">
        <f t="shared" si="15"/>
        <v>Yuengling Light Lager|DG Yuengling Inc|Beer|Beer - Economy</v>
      </c>
      <c r="H113" s="150">
        <f>_xlfn.XLOOKUP(F113,'DATA - 2025 Review'!C:C,'DATA - 2025 Review'!I:I,"")</f>
        <v>7517.2008310000001</v>
      </c>
      <c r="I113" s="151">
        <f>_xlfn.XLOOKUP(F113,'DATA - 2025 Review'!C:C,'DATA - 2025 Review'!J:J)</f>
        <v>-8.5498682360097278E-2</v>
      </c>
      <c r="J113" s="150">
        <f>_xlfn.XLOOKUP(F113,'2025 Finish (ACTUAL)'!$C:$C,'2025 Finish (ACTUAL)'!$D:$D)</f>
        <v>7554</v>
      </c>
      <c r="K113" s="146">
        <v>-0.05</v>
      </c>
      <c r="L113" s="152">
        <f t="shared" si="24"/>
        <v>-377.70000000000005</v>
      </c>
      <c r="M113" s="152">
        <f t="shared" si="29"/>
        <v>7176.3</v>
      </c>
      <c r="N113" s="146">
        <v>-0.05</v>
      </c>
      <c r="O113" s="152">
        <f t="shared" si="30"/>
        <v>-377.70000000000005</v>
      </c>
      <c r="P113" s="69">
        <f t="shared" si="31"/>
        <v>7176.3</v>
      </c>
    </row>
    <row r="114" spans="1:16" x14ac:dyDescent="0.25">
      <c r="A114" s="149" t="s">
        <v>290</v>
      </c>
      <c r="B114" s="2" t="s">
        <v>135</v>
      </c>
      <c r="C114" s="299" t="str">
        <f>_xlfn.XLOOKUP(B114,'Brand Managers'!A:A,'Brand Managers'!B:B)</f>
        <v>Perry Calderone</v>
      </c>
      <c r="D114" s="42" t="str">
        <f>_xlfn.XLOOKUP(F114,'DATA - Segments'!C:C,'DATA - Segments'!D:D)</f>
        <v>Beer</v>
      </c>
      <c r="E114" s="42" t="str">
        <f>_xlfn.XLOOKUP(F114,'DATA - Segments'!C:C,'DATA - Segments'!E:E)</f>
        <v>Beer - Economy</v>
      </c>
      <c r="F114" s="203" t="str">
        <f t="shared" si="28"/>
        <v>Yuengling Flight|DG Yuengling Inc</v>
      </c>
      <c r="G114" s="203" t="str">
        <f t="shared" si="15"/>
        <v>Yuengling Flight|DG Yuengling Inc|Beer|Beer - Economy</v>
      </c>
      <c r="H114" s="150">
        <f>_xlfn.XLOOKUP(F114,'DATA - 2025 Review'!C:C,'DATA - 2025 Review'!I:I,"")</f>
        <v>8928.0330719873018</v>
      </c>
      <c r="I114" s="151">
        <f>_xlfn.XLOOKUP(F114,'DATA - 2025 Review'!C:C,'DATA - 2025 Review'!J:J)</f>
        <v>-3.0542199775141832E-2</v>
      </c>
      <c r="J114" s="150">
        <f>_xlfn.XLOOKUP(F114,'2025 Finish (ACTUAL)'!$C:$C,'2025 Finish (ACTUAL)'!$D:$D)</f>
        <v>9035.3055449999993</v>
      </c>
      <c r="K114" s="146">
        <v>1.6E-2</v>
      </c>
      <c r="L114" s="152">
        <f t="shared" si="24"/>
        <v>144.56488872</v>
      </c>
      <c r="M114" s="152">
        <f t="shared" si="29"/>
        <v>9179.8704337199997</v>
      </c>
      <c r="N114" s="146">
        <v>0.02</v>
      </c>
      <c r="O114" s="152">
        <f t="shared" si="30"/>
        <v>180.7061109</v>
      </c>
      <c r="P114" s="69">
        <f t="shared" si="31"/>
        <v>9216.0116558999998</v>
      </c>
    </row>
    <row r="115" spans="1:16" x14ac:dyDescent="0.25">
      <c r="A115" s="149" t="s">
        <v>343</v>
      </c>
      <c r="B115" s="2" t="s">
        <v>135</v>
      </c>
      <c r="C115" s="299" t="str">
        <f>_xlfn.XLOOKUP(B115,'Brand Managers'!A:A,'Brand Managers'!B:B)</f>
        <v>Perry Calderone</v>
      </c>
      <c r="D115" s="42" t="str">
        <f>_xlfn.XLOOKUP(F115,'DATA - Segments'!C:C,'DATA - Segments'!D:D)</f>
        <v>Beer</v>
      </c>
      <c r="E115" s="42" t="str">
        <f>_xlfn.XLOOKUP(F115,'DATA - Segments'!C:C,'DATA - Segments'!E:E)</f>
        <v>Beer - Economy</v>
      </c>
      <c r="F115" s="203" t="str">
        <f t="shared" si="28"/>
        <v>Yuengling Black &amp; Tan|DG Yuengling Inc</v>
      </c>
      <c r="G115" s="203" t="str">
        <f t="shared" si="15"/>
        <v>Yuengling Black &amp; Tan|DG Yuengling Inc|Beer|Beer - Economy</v>
      </c>
      <c r="H115" s="150">
        <f>_xlfn.XLOOKUP(F115,'DATA - 2025 Review'!C:C,'DATA - 2025 Review'!I:I,"")</f>
        <v>5874.1938959032796</v>
      </c>
      <c r="I115" s="151">
        <f>_xlfn.XLOOKUP(F115,'DATA - 2025 Review'!C:C,'DATA - 2025 Review'!J:J)</f>
        <v>-2.8237899496587393E-2</v>
      </c>
      <c r="J115" s="150">
        <f>_xlfn.XLOOKUP(F115,'2025 Finish (ACTUAL)'!$C:$C,'2025 Finish (ACTUAL)'!$D:$D)</f>
        <v>5799.777744</v>
      </c>
      <c r="K115" s="146">
        <v>-3.9E-2</v>
      </c>
      <c r="L115" s="152">
        <f t="shared" si="24"/>
        <v>-226.19133201599999</v>
      </c>
      <c r="M115" s="152">
        <f t="shared" si="29"/>
        <v>5573.5864119839998</v>
      </c>
      <c r="N115" s="146">
        <v>-3.9E-2</v>
      </c>
      <c r="O115" s="152">
        <f t="shared" si="30"/>
        <v>-226.19133201599999</v>
      </c>
      <c r="P115" s="69">
        <f t="shared" si="31"/>
        <v>5573.5864119839998</v>
      </c>
    </row>
    <row r="116" spans="1:16" x14ac:dyDescent="0.25">
      <c r="A116" s="149" t="s">
        <v>136</v>
      </c>
      <c r="B116" s="2" t="s">
        <v>135</v>
      </c>
      <c r="C116" s="299" t="str">
        <f>_xlfn.XLOOKUP(B116,'Brand Managers'!A:A,'Brand Managers'!B:B)</f>
        <v>Perry Calderone</v>
      </c>
      <c r="D116" s="42" t="str">
        <f>_xlfn.XLOOKUP(F116,'DATA - Segments'!C:C,'DATA - Segments'!D:D)</f>
        <v>Beer</v>
      </c>
      <c r="E116" s="42" t="str">
        <f>_xlfn.XLOOKUP(F116,'DATA - Segments'!C:C,'DATA - Segments'!E:E)</f>
        <v>Beer - Economy</v>
      </c>
      <c r="F116" s="203" t="str">
        <f t="shared" si="28"/>
        <v>Yuengling Premium|DG Yuengling Inc</v>
      </c>
      <c r="G116" s="203" t="str">
        <f t="shared" si="15"/>
        <v>Yuengling Premium|DG Yuengling Inc|Beer|Beer - Economy</v>
      </c>
      <c r="H116" s="150">
        <f>_xlfn.XLOOKUP(F116,'DATA - 2025 Review'!C:C,'DATA - 2025 Review'!I:I,"")</f>
        <v>4039.2679699999999</v>
      </c>
      <c r="I116" s="151">
        <f>_xlfn.XLOOKUP(F116,'DATA - 2025 Review'!C:C,'DATA - 2025 Review'!J:J)</f>
        <v>-0.11263884666080848</v>
      </c>
      <c r="J116" s="150">
        <f>_xlfn.XLOOKUP(F116,'2025 Finish (ACTUAL)'!$C:$C,'2025 Finish (ACTUAL)'!$D:$D)</f>
        <v>4007</v>
      </c>
      <c r="K116" s="146">
        <v>-3.9E-2</v>
      </c>
      <c r="L116" s="152">
        <f t="shared" si="24"/>
        <v>-156.273</v>
      </c>
      <c r="M116" s="152">
        <f t="shared" si="29"/>
        <v>3850.7269999999999</v>
      </c>
      <c r="N116" s="146">
        <v>-5.5E-2</v>
      </c>
      <c r="O116" s="152">
        <f t="shared" si="30"/>
        <v>-220.38499999999999</v>
      </c>
      <c r="P116" s="69">
        <f t="shared" si="31"/>
        <v>3786.6149999999998</v>
      </c>
    </row>
    <row r="117" spans="1:16" x14ac:dyDescent="0.25">
      <c r="A117" s="149" t="s">
        <v>163</v>
      </c>
      <c r="B117" s="2" t="s">
        <v>135</v>
      </c>
      <c r="C117" s="299" t="str">
        <f>_xlfn.XLOOKUP(B117,'Brand Managers'!A:A,'Brand Managers'!B:B)</f>
        <v>Perry Calderone</v>
      </c>
      <c r="D117" s="42" t="str">
        <f>_xlfn.XLOOKUP(F117,'DATA - Segments'!C:C,'DATA - Segments'!D:D)</f>
        <v>Beer</v>
      </c>
      <c r="E117" s="42" t="str">
        <f>_xlfn.XLOOKUP(F117,'DATA - Segments'!C:C,'DATA - Segments'!E:E)</f>
        <v>Beer - Economy</v>
      </c>
      <c r="F117" s="203" t="str">
        <f t="shared" si="28"/>
        <v>Yuengling Golden Pilsner|DG Yuengling Inc</v>
      </c>
      <c r="G117" s="203" t="str">
        <f t="shared" si="15"/>
        <v>Yuengling Golden Pilsner|DG Yuengling Inc|Beer|Beer - Economy</v>
      </c>
      <c r="H117" s="150">
        <f>_xlfn.XLOOKUP(F117,'DATA - 2025 Review'!C:C,'DATA - 2025 Review'!I:I,"")</f>
        <v>2514.702096</v>
      </c>
      <c r="I117" s="151">
        <f>_xlfn.XLOOKUP(F117,'DATA - 2025 Review'!C:C,'DATA - 2025 Review'!J:J)</f>
        <v>-0.15101212153950039</v>
      </c>
      <c r="J117" s="150">
        <f>_xlfn.XLOOKUP(F117,'2025 Finish (ACTUAL)'!$C:$C,'2025 Finish (ACTUAL)'!$D:$D)</f>
        <v>2495</v>
      </c>
      <c r="K117" s="146">
        <v>-3.9E-2</v>
      </c>
      <c r="L117" s="152">
        <f t="shared" si="24"/>
        <v>-97.305000000000007</v>
      </c>
      <c r="M117" s="152">
        <f t="shared" si="29"/>
        <v>2397.6950000000002</v>
      </c>
      <c r="N117" s="146">
        <v>-7.0000000000000007E-2</v>
      </c>
      <c r="O117" s="152">
        <f t="shared" si="30"/>
        <v>-174.65</v>
      </c>
      <c r="P117" s="69">
        <f t="shared" si="31"/>
        <v>2320.35</v>
      </c>
    </row>
    <row r="118" spans="1:16" x14ac:dyDescent="0.25">
      <c r="A118" s="149" t="s">
        <v>188</v>
      </c>
      <c r="B118" s="2" t="s">
        <v>135</v>
      </c>
      <c r="C118" s="299" t="str">
        <f>_xlfn.XLOOKUP(B118,'Brand Managers'!A:A,'Brand Managers'!B:B)</f>
        <v>Perry Calderone</v>
      </c>
      <c r="D118" s="42" t="str">
        <f>_xlfn.XLOOKUP(F118,'DATA - Segments'!C:C,'DATA - Segments'!D:D)</f>
        <v>Beer</v>
      </c>
      <c r="E118" s="42" t="str">
        <f>_xlfn.XLOOKUP(F118,'DATA - Segments'!C:C,'DATA - Segments'!E:E)</f>
        <v>Beer - Economy</v>
      </c>
      <c r="F118" s="203" t="str">
        <f t="shared" si="28"/>
        <v>Yuengling Premium Light|DG Yuengling Inc</v>
      </c>
      <c r="G118" s="203" t="str">
        <f t="shared" si="15"/>
        <v>Yuengling Premium Light|DG Yuengling Inc|Beer|Beer - Economy</v>
      </c>
      <c r="H118" s="150">
        <f>_xlfn.XLOOKUP(F118,'DATA - 2025 Review'!C:C,'DATA - 2025 Review'!I:I,"")</f>
        <v>1618.3485949999999</v>
      </c>
      <c r="I118" s="151">
        <f>_xlfn.XLOOKUP(F118,'DATA - 2025 Review'!C:C,'DATA - 2025 Review'!J:J)</f>
        <v>-0.14373090211640216</v>
      </c>
      <c r="J118" s="150">
        <f>_xlfn.XLOOKUP(F118,'2025 Finish (ACTUAL)'!$C:$C,'2025 Finish (ACTUAL)'!$D:$D)</f>
        <v>1605</v>
      </c>
      <c r="K118" s="146">
        <v>-3.9E-2</v>
      </c>
      <c r="L118" s="152">
        <f t="shared" si="24"/>
        <v>-62.594999999999999</v>
      </c>
      <c r="M118" s="152">
        <f t="shared" si="29"/>
        <v>1542.405</v>
      </c>
      <c r="N118" s="146">
        <v>-7.0000000000000007E-2</v>
      </c>
      <c r="O118" s="152">
        <f t="shared" si="30"/>
        <v>-112.35000000000001</v>
      </c>
      <c r="P118" s="69">
        <f t="shared" si="31"/>
        <v>1492.65</v>
      </c>
    </row>
    <row r="119" spans="1:16" x14ac:dyDescent="0.25">
      <c r="A119" s="149" t="s">
        <v>377</v>
      </c>
      <c r="B119" s="2" t="s">
        <v>135</v>
      </c>
      <c r="C119" s="299" t="str">
        <f>_xlfn.XLOOKUP(B119,'Brand Managers'!A:A,'Brand Managers'!B:B)</f>
        <v>Perry Calderone</v>
      </c>
      <c r="D119" s="42" t="str">
        <f>_xlfn.XLOOKUP(F119,'DATA - Segments'!C:C,'DATA - Segments'!D:D)</f>
        <v>Beer</v>
      </c>
      <c r="E119" s="42" t="str">
        <f>_xlfn.XLOOKUP(F119,'DATA - Segments'!C:C,'DATA - Segments'!E:E)</f>
        <v>Beer - Economy</v>
      </c>
      <c r="F119" s="203" t="str">
        <f t="shared" si="28"/>
        <v>Yuengling Oktoberfest|DG Yuengling Inc</v>
      </c>
      <c r="G119" s="203" t="str">
        <f t="shared" si="15"/>
        <v>Yuengling Oktoberfest|DG Yuengling Inc|Beer|Beer - Economy</v>
      </c>
      <c r="H119" s="150">
        <f>_xlfn.XLOOKUP(F119,'DATA - 2025 Review'!C:C,'DATA - 2025 Review'!I:I,"")</f>
        <v>993.222216</v>
      </c>
      <c r="I119" s="151">
        <f>_xlfn.XLOOKUP(F119,'DATA - 2025 Review'!C:C,'DATA - 2025 Review'!J:J)</f>
        <v>-0.40683477250142119</v>
      </c>
      <c r="J119" s="150">
        <f>_xlfn.XLOOKUP(F119,'2025 Finish (ACTUAL)'!$C:$C,'2025 Finish (ACTUAL)'!$D:$D)</f>
        <v>991.222216</v>
      </c>
      <c r="K119" s="146">
        <v>-3.9E-2</v>
      </c>
      <c r="L119" s="152">
        <f t="shared" si="24"/>
        <v>-38.657666423999999</v>
      </c>
      <c r="M119" s="152">
        <f t="shared" si="29"/>
        <v>952.56454957599999</v>
      </c>
      <c r="N119" s="146">
        <v>0</v>
      </c>
      <c r="O119" s="152">
        <f t="shared" si="30"/>
        <v>0</v>
      </c>
      <c r="P119" s="69">
        <f t="shared" si="31"/>
        <v>991.222216</v>
      </c>
    </row>
    <row r="120" spans="1:16" x14ac:dyDescent="0.25">
      <c r="A120" s="156" t="s">
        <v>344</v>
      </c>
      <c r="B120" s="283" t="s">
        <v>135</v>
      </c>
      <c r="C120" s="283"/>
      <c r="D120" s="42" t="s">
        <v>512</v>
      </c>
      <c r="E120" s="42" t="s">
        <v>534</v>
      </c>
      <c r="F120" s="203" t="str">
        <f t="shared" si="28"/>
        <v>Yuengling Hershey's Chocolate Porter|DG Yuengling Inc</v>
      </c>
      <c r="G120" s="203" t="str">
        <f t="shared" si="15"/>
        <v>Yuengling Hershey's Chocolate Porter|DG Yuengling Inc|Beer|Beer - Economy</v>
      </c>
      <c r="H120" s="273">
        <f>_xlfn.XLOOKUP(F120,'DATA - 2025 Review'!C:C,'DATA - 2025 Review'!I:I,"")</f>
        <v>0</v>
      </c>
      <c r="I120" s="281">
        <f>_xlfn.XLOOKUP(F120,'DATA - 2025 Review'!C:C,'DATA - 2025 Review'!J:J)</f>
        <v>-1</v>
      </c>
      <c r="J120" s="273"/>
      <c r="K120" s="281">
        <v>0</v>
      </c>
      <c r="L120" s="274">
        <f t="shared" si="24"/>
        <v>0</v>
      </c>
      <c r="M120" s="274">
        <f t="shared" si="29"/>
        <v>0</v>
      </c>
      <c r="N120" s="281">
        <v>0</v>
      </c>
      <c r="O120" s="274">
        <f t="shared" si="30"/>
        <v>0</v>
      </c>
      <c r="P120" s="275">
        <f t="shared" si="31"/>
        <v>0</v>
      </c>
    </row>
    <row r="121" spans="1:16" x14ac:dyDescent="0.25">
      <c r="A121" s="156" t="s">
        <v>137</v>
      </c>
      <c r="B121" s="283" t="s">
        <v>135</v>
      </c>
      <c r="C121" s="283"/>
      <c r="D121" s="42" t="s">
        <v>512</v>
      </c>
      <c r="E121" s="42" t="s">
        <v>534</v>
      </c>
      <c r="F121" s="203" t="str">
        <f t="shared" si="28"/>
        <v>Yuengling Bongo Fizz|DG Yuengling Inc</v>
      </c>
      <c r="G121" s="203" t="str">
        <f t="shared" si="15"/>
        <v>Yuengling Bongo Fizz|DG Yuengling Inc|Beer|Beer - Economy</v>
      </c>
      <c r="H121" s="273">
        <f>_xlfn.XLOOKUP(F121,'DATA - 2025 Review'!C:C,'DATA - 2025 Review'!I:I,"")</f>
        <v>0</v>
      </c>
      <c r="I121" s="281">
        <f>_xlfn.XLOOKUP(F121,'DATA - 2025 Review'!C:C,'DATA - 2025 Review'!J:J)</f>
        <v>-1</v>
      </c>
      <c r="J121" s="273"/>
      <c r="K121" s="281">
        <v>0</v>
      </c>
      <c r="L121" s="274">
        <f t="shared" si="24"/>
        <v>0</v>
      </c>
      <c r="M121" s="274">
        <f t="shared" si="29"/>
        <v>0</v>
      </c>
      <c r="N121" s="281">
        <v>0</v>
      </c>
      <c r="O121" s="274">
        <f t="shared" si="30"/>
        <v>0</v>
      </c>
      <c r="P121" s="275">
        <f t="shared" si="31"/>
        <v>0</v>
      </c>
    </row>
    <row r="122" spans="1:16" x14ac:dyDescent="0.25">
      <c r="A122" s="149" t="s">
        <v>315</v>
      </c>
      <c r="B122" s="2" t="s">
        <v>135</v>
      </c>
      <c r="C122" s="299" t="str">
        <f>_xlfn.XLOOKUP(B122,'Brand Managers'!A:A,'Brand Managers'!B:B)</f>
        <v>Perry Calderone</v>
      </c>
      <c r="D122" s="42" t="str">
        <f>_xlfn.XLOOKUP(F122,'DATA - Segments'!C:C,'DATA - Segments'!D:D)</f>
        <v>Beer</v>
      </c>
      <c r="E122" s="42" t="str">
        <f>_xlfn.XLOOKUP(F122,'DATA - Segments'!C:C,'DATA - Segments'!E:E)</f>
        <v>Beer - Economy</v>
      </c>
      <c r="F122" s="203" t="str">
        <f t="shared" si="28"/>
        <v>Dg Yuengling Inc|DG Yuengling Inc</v>
      </c>
      <c r="G122" s="203" t="str">
        <f t="shared" si="15"/>
        <v>Dg Yuengling Inc|DG Yuengling Inc|Beer|Beer - Economy</v>
      </c>
      <c r="H122" s="150">
        <f>_xlfn.XLOOKUP(F122,'DATA - 2025 Review'!C:C,'DATA - 2025 Review'!I:I,"")</f>
        <v>383</v>
      </c>
      <c r="I122" s="151">
        <f>_xlfn.XLOOKUP(F122,'DATA - 2025 Review'!C:C,'DATA - 2025 Review'!J:J)</f>
        <v>0.32068965517241388</v>
      </c>
      <c r="J122" s="150">
        <f>_xlfn.XLOOKUP(F122,'2025 Finish (ACTUAL)'!$C:$C,'2025 Finish (ACTUAL)'!$D:$D)</f>
        <v>383</v>
      </c>
      <c r="K122" s="146">
        <v>0</v>
      </c>
      <c r="L122" s="152">
        <f t="shared" si="24"/>
        <v>0</v>
      </c>
      <c r="M122" s="152">
        <f t="shared" si="29"/>
        <v>383</v>
      </c>
      <c r="N122" s="146">
        <v>0</v>
      </c>
      <c r="O122" s="152">
        <f t="shared" si="30"/>
        <v>0</v>
      </c>
      <c r="P122" s="69">
        <f t="shared" si="31"/>
        <v>383</v>
      </c>
    </row>
    <row r="123" spans="1:16" x14ac:dyDescent="0.25">
      <c r="A123" s="143" t="s">
        <v>316</v>
      </c>
      <c r="B123" s="202"/>
      <c r="C123" s="202" t="str">
        <f>_xlfn.XLOOKUP(A123,'Brand Managers'!A:A,'Brand Managers'!B:B)</f>
        <v>Sean Donahue</v>
      </c>
      <c r="D123" s="202"/>
      <c r="E123" s="202"/>
      <c r="F123" s="203" t="str">
        <f t="shared" si="28"/>
        <v>Sapporo|</v>
      </c>
      <c r="G123" s="203" t="str">
        <f t="shared" si="15"/>
        <v>Sapporo|||</v>
      </c>
      <c r="H123" s="144">
        <f>_xlfn.XLOOKUP(F123,'DATA - 2025 Review'!C:C,'DATA - 2025 Review'!I:I,"")</f>
        <v>83550.843987422268</v>
      </c>
      <c r="I123" s="145">
        <f>_xlfn.XLOOKUP(F123,'DATA - 2025 Review'!C:C,'DATA - 2025 Review'!J:J)</f>
        <v>0.10410638721006915</v>
      </c>
      <c r="J123" s="144">
        <f>_xlfn.XLOOKUP(F123,'2025 Finish (ACTUAL)'!$C:$C,'2025 Finish (ACTUAL)'!$D:$D)</f>
        <v>82349.751138000007</v>
      </c>
      <c r="K123" s="145">
        <f>L123/J123</f>
        <v>0.05</v>
      </c>
      <c r="L123" s="147">
        <f>SUMIF(B:B,A123,L:L)</f>
        <v>4117.4875569000005</v>
      </c>
      <c r="M123" s="147">
        <f>SUMIF(B:B,A123,M:M)</f>
        <v>86467.238694900007</v>
      </c>
      <c r="N123" s="145">
        <f>O123/J123</f>
        <v>0.05</v>
      </c>
      <c r="O123" s="147">
        <f>SUMIF(B:B,A123,O:O)</f>
        <v>4117.4875569000005</v>
      </c>
      <c r="P123" s="148">
        <f>SUMIF(B:B,A123,P:P)</f>
        <v>86467.238694900007</v>
      </c>
    </row>
    <row r="124" spans="1:16" x14ac:dyDescent="0.25">
      <c r="A124" s="149" t="s">
        <v>316</v>
      </c>
      <c r="B124" s="2" t="s">
        <v>316</v>
      </c>
      <c r="C124" s="299" t="str">
        <f>_xlfn.XLOOKUP(B124,'Brand Managers'!A:A,'Brand Managers'!B:B)</f>
        <v>Sean Donahue</v>
      </c>
      <c r="D124" s="42" t="str">
        <f>_xlfn.XLOOKUP(F124,'DATA - Segments'!C:C,'DATA - Segments'!D:D)</f>
        <v>Beer</v>
      </c>
      <c r="E124" s="42" t="str">
        <f>_xlfn.XLOOKUP(F124,'DATA - Segments'!C:C,'DATA - Segments'!E:E)</f>
        <v>Beer - Import</v>
      </c>
      <c r="F124" s="203" t="str">
        <f t="shared" si="28"/>
        <v>Sapporo|Sapporo</v>
      </c>
      <c r="G124" s="203" t="str">
        <f t="shared" si="15"/>
        <v>Sapporo|Sapporo|Beer|Beer - Import</v>
      </c>
      <c r="H124" s="150">
        <f>_xlfn.XLOOKUP(F124,'DATA - 2025 Review'!C:C,'DATA - 2025 Review'!I:I,"")</f>
        <v>83550.843987422268</v>
      </c>
      <c r="I124" s="151">
        <f>_xlfn.XLOOKUP(F124,'DATA - 2025 Review'!C:C,'DATA - 2025 Review'!J:J)</f>
        <v>0.10410638721006915</v>
      </c>
      <c r="J124" s="150">
        <f>_xlfn.XLOOKUP(F124,'2025 Finish (ACTUAL)'!$C:$C,'2025 Finish (ACTUAL)'!$D:$D)</f>
        <v>82349.751138000007</v>
      </c>
      <c r="K124" s="146">
        <v>0.05</v>
      </c>
      <c r="L124" s="152">
        <f t="shared" si="24"/>
        <v>4117.4875569000005</v>
      </c>
      <c r="M124" s="152">
        <f>L124+J124</f>
        <v>86467.238694900007</v>
      </c>
      <c r="N124" s="146">
        <v>0.05</v>
      </c>
      <c r="O124" s="152">
        <f>N124*J124</f>
        <v>4117.4875569000005</v>
      </c>
      <c r="P124" s="69">
        <f>O124+J124</f>
        <v>86467.238694900007</v>
      </c>
    </row>
    <row r="125" spans="1:16" x14ac:dyDescent="0.25">
      <c r="A125" s="143" t="s">
        <v>189</v>
      </c>
      <c r="B125" s="202"/>
      <c r="C125" s="202" t="str">
        <f>_xlfn.XLOOKUP(A125,'Brand Managers'!A:A,'Brand Managers'!B:B)</f>
        <v>Chris Politano</v>
      </c>
      <c r="D125" s="202"/>
      <c r="E125" s="202"/>
      <c r="F125" s="203" t="str">
        <f t="shared" si="28"/>
        <v>New Belgium Brewing Company|</v>
      </c>
      <c r="G125" s="203" t="str">
        <f t="shared" si="15"/>
        <v>New Belgium Brewing Company|||</v>
      </c>
      <c r="H125" s="144">
        <f>_xlfn.XLOOKUP(F125,'DATA - 2025 Review'!C:C,'DATA - 2025 Review'!I:I,"")</f>
        <v>57324.400040350942</v>
      </c>
      <c r="I125" s="145">
        <f>_xlfn.XLOOKUP(F125,'DATA - 2025 Review'!C:C,'DATA - 2025 Review'!J:J)</f>
        <v>-0.10915274636781136</v>
      </c>
      <c r="J125" s="144">
        <f>_xlfn.XLOOKUP(F125,'2025 Finish (ACTUAL)'!$C:$C,'2025 Finish (ACTUAL)'!$D:$D)</f>
        <v>62522.927808</v>
      </c>
      <c r="K125" s="145">
        <f>L125/J125</f>
        <v>4.52099600153133E-2</v>
      </c>
      <c r="L125" s="147">
        <f>SUMIF(B:B,A125,L:L)</f>
        <v>2826.6590662399999</v>
      </c>
      <c r="M125" s="147">
        <f>SUMIF(B:B,A125,M:M)</f>
        <v>60761.531306239987</v>
      </c>
      <c r="N125" s="145">
        <f>O125/J125</f>
        <v>2.214005511947378E-2</v>
      </c>
      <c r="O125" s="147">
        <f>SUMIF(B:B,A125,O:O)</f>
        <v>1384.2610678999999</v>
      </c>
      <c r="P125" s="148">
        <f>SUMIF(B:B,A125,P:P)</f>
        <v>59319.133307900003</v>
      </c>
    </row>
    <row r="126" spans="1:16" x14ac:dyDescent="0.25">
      <c r="A126" s="149" t="s">
        <v>138</v>
      </c>
      <c r="B126" s="2" t="s">
        <v>189</v>
      </c>
      <c r="C126" s="299" t="str">
        <f>_xlfn.XLOOKUP(B126,'Brand Managers'!A:A,'Brand Managers'!B:B)</f>
        <v>Chris Politano</v>
      </c>
      <c r="D126" s="42" t="str">
        <f>_xlfn.XLOOKUP(F126,'DATA - Segments'!C:C,'DATA - Segments'!D:D)</f>
        <v>Beer</v>
      </c>
      <c r="E126" s="42" t="str">
        <f>_xlfn.XLOOKUP(F126,'DATA - Segments'!C:C,'DATA - Segments'!E:E)</f>
        <v>Beer - Craft</v>
      </c>
      <c r="F126" s="203" t="str">
        <f t="shared" si="28"/>
        <v>Voodoo Family|New Belgium Brewing Company</v>
      </c>
      <c r="G126" s="203" t="str">
        <f t="shared" si="15"/>
        <v>Voodoo Family|New Belgium Brewing Company|Beer|Beer - Craft</v>
      </c>
      <c r="H126" s="150">
        <f>_xlfn.XLOOKUP(F126,'DATA - 2025 Review'!C:C,'DATA - 2025 Review'!I:I,"")</f>
        <v>42676.910328778795</v>
      </c>
      <c r="I126" s="151">
        <f>_xlfn.XLOOKUP(F126,'DATA - 2025 Review'!C:C,'DATA - 2025 Review'!J:J)</f>
        <v>-9.6157698288571125E-2</v>
      </c>
      <c r="J126" s="150">
        <f>_xlfn.XLOOKUP(F126,'2025 Finish (ACTUAL)'!$C:$C,'2025 Finish (ACTUAL)'!$D:$D)</f>
        <v>43686.541723000002</v>
      </c>
      <c r="K126" s="146">
        <v>0.05</v>
      </c>
      <c r="L126" s="152">
        <f t="shared" si="24"/>
        <v>2184.32708615</v>
      </c>
      <c r="M126" s="152">
        <f t="shared" ref="M126:M130" si="32">L126+J126</f>
        <v>45870.868809150001</v>
      </c>
      <c r="N126" s="146">
        <v>0.05</v>
      </c>
      <c r="O126" s="152">
        <f t="shared" ref="O126:O130" si="33">N126*J126</f>
        <v>2184.32708615</v>
      </c>
      <c r="P126" s="69">
        <f t="shared" ref="P126:P130" si="34">O126+J126</f>
        <v>45870.868809150001</v>
      </c>
    </row>
    <row r="127" spans="1:16" x14ac:dyDescent="0.25">
      <c r="A127" s="149" t="s">
        <v>291</v>
      </c>
      <c r="B127" s="2" t="s">
        <v>189</v>
      </c>
      <c r="C127" s="299" t="str">
        <f>_xlfn.XLOOKUP(B127,'Brand Managers'!A:A,'Brand Managers'!B:B)</f>
        <v>Chris Politano</v>
      </c>
      <c r="D127" s="42" t="str">
        <f>_xlfn.XLOOKUP(F127,'DATA - Segments'!C:C,'DATA - Segments'!D:D)</f>
        <v>Beer</v>
      </c>
      <c r="E127" s="42" t="str">
        <f>_xlfn.XLOOKUP(F127,'DATA - Segments'!C:C,'DATA - Segments'!E:E)</f>
        <v>Beer - Craft</v>
      </c>
      <c r="F127" s="203" t="str">
        <f t="shared" si="28"/>
        <v>Fat Tire Family|New Belgium Brewing Company</v>
      </c>
      <c r="G127" s="203" t="str">
        <f t="shared" si="15"/>
        <v>Fat Tire Family|New Belgium Brewing Company|Beer|Beer - Craft</v>
      </c>
      <c r="H127" s="150">
        <f>_xlfn.XLOOKUP(F127,'DATA - 2025 Review'!C:C,'DATA - 2025 Review'!I:I,"")</f>
        <v>7625.2575261114998</v>
      </c>
      <c r="I127" s="151">
        <f>_xlfn.XLOOKUP(F127,'DATA - 2025 Review'!C:C,'DATA - 2025 Review'!J:J)</f>
        <v>-0.21397538908800395</v>
      </c>
      <c r="J127" s="150">
        <f>_xlfn.XLOOKUP(F127,'2025 Finish (ACTUAL)'!$C:$C,'2025 Finish (ACTUAL)'!$D:$D)</f>
        <v>7843.1250239999999</v>
      </c>
      <c r="K127" s="146">
        <v>-0.09</v>
      </c>
      <c r="L127" s="152">
        <f t="shared" si="24"/>
        <v>-705.88125215999992</v>
      </c>
      <c r="M127" s="152">
        <f t="shared" si="32"/>
        <v>7137.2437718399997</v>
      </c>
      <c r="N127" s="146">
        <v>-0.15</v>
      </c>
      <c r="O127" s="152">
        <f t="shared" si="33"/>
        <v>-1176.4687535999999</v>
      </c>
      <c r="P127" s="69">
        <f t="shared" si="34"/>
        <v>6666.6562703999998</v>
      </c>
    </row>
    <row r="128" spans="1:16" x14ac:dyDescent="0.25">
      <c r="A128" s="149" t="s">
        <v>189</v>
      </c>
      <c r="B128" s="2" t="s">
        <v>189</v>
      </c>
      <c r="C128" s="299" t="str">
        <f>_xlfn.XLOOKUP(B128,'Brand Managers'!A:A,'Brand Managers'!B:B)</f>
        <v>Chris Politano</v>
      </c>
      <c r="D128" s="42" t="str">
        <f>_xlfn.XLOOKUP(F128,'DATA - Segments'!C:C,'DATA - Segments'!D:D)</f>
        <v>Beer</v>
      </c>
      <c r="E128" s="42" t="str">
        <f>_xlfn.XLOOKUP(F128,'DATA - Segments'!C:C,'DATA - Segments'!E:E)</f>
        <v>Beer - Craft</v>
      </c>
      <c r="F128" s="203" t="str">
        <f t="shared" si="28"/>
        <v>New Belgium Brewing Company|New Belgium Brewing Company</v>
      </c>
      <c r="G128" s="203" t="str">
        <f t="shared" si="15"/>
        <v>New Belgium Brewing Company|New Belgium Brewing Company|Beer|Beer - Craft</v>
      </c>
      <c r="H128" s="150">
        <f>_xlfn.XLOOKUP(F128,'DATA - 2025 Review'!C:C,'DATA - 2025 Review'!I:I,"")</f>
        <v>3911.2987981642682</v>
      </c>
      <c r="I128" s="151">
        <f>_xlfn.XLOOKUP(F128,'DATA - 2025 Review'!C:C,'DATA - 2025 Review'!J:J)</f>
        <v>0.24368366802168073</v>
      </c>
      <c r="J128" s="150">
        <f>_xlfn.XLOOKUP(F128,'2025 Finish (ACTUAL)'!$C:$C,'2025 Finish (ACTUAL)'!$D:$D)</f>
        <v>3838.2222470000002</v>
      </c>
      <c r="K128" s="146">
        <v>0.15</v>
      </c>
      <c r="L128" s="152">
        <f t="shared" si="24"/>
        <v>575.73333705000005</v>
      </c>
      <c r="M128" s="152">
        <f t="shared" si="32"/>
        <v>4413.9555840499997</v>
      </c>
      <c r="N128" s="146">
        <v>0.05</v>
      </c>
      <c r="O128" s="152">
        <f t="shared" si="33"/>
        <v>191.91111235000002</v>
      </c>
      <c r="P128" s="69">
        <f t="shared" si="34"/>
        <v>4030.1333593500003</v>
      </c>
    </row>
    <row r="129" spans="1:16" x14ac:dyDescent="0.25">
      <c r="A129" s="149" t="s">
        <v>7</v>
      </c>
      <c r="B129" s="2" t="s">
        <v>189</v>
      </c>
      <c r="C129" s="299" t="str">
        <f>_xlfn.XLOOKUP(B129,'Brand Managers'!A:A,'Brand Managers'!B:B)</f>
        <v>Chris Politano</v>
      </c>
      <c r="D129" s="42" t="str">
        <f>_xlfn.XLOOKUP(F129,'DATA - Segments'!C:C,'DATA - Segments'!D:D)</f>
        <v>Beer</v>
      </c>
      <c r="E129" s="42" t="str">
        <f>_xlfn.XLOOKUP(F129,'DATA - Segments'!C:C,'DATA - Segments'!E:E)</f>
        <v>Beer - Craft</v>
      </c>
      <c r="F129" s="203" t="str">
        <f t="shared" si="28"/>
        <v>Voodoo Hardcharged|New Belgium Brewing Company</v>
      </c>
      <c r="G129" s="203" t="str">
        <f t="shared" si="15"/>
        <v>Voodoo Hardcharged|New Belgium Brewing Company|Beer|Beer - Craft</v>
      </c>
      <c r="H129" s="150">
        <f>_xlfn.XLOOKUP(F129,'DATA - 2025 Review'!C:C,'DATA - 2025 Review'!I:I,"")</f>
        <v>2199.7443699999999</v>
      </c>
      <c r="I129" s="151">
        <f>_xlfn.XLOOKUP(F129,'DATA - 2025 Review'!C:C,'DATA - 2025 Review'!J:J)</f>
        <v>-0.48664075379229876</v>
      </c>
      <c r="J129" s="150">
        <f>_xlfn.XLOOKUP(F129,'2025 Finish (ACTUAL)'!$C:$C,'2025 Finish (ACTUAL)'!$D:$D)</f>
        <v>2198</v>
      </c>
      <c r="K129" s="146">
        <v>0.15</v>
      </c>
      <c r="L129" s="152">
        <f t="shared" si="24"/>
        <v>329.7</v>
      </c>
      <c r="M129" s="152">
        <f t="shared" si="32"/>
        <v>2527.6999999999998</v>
      </c>
      <c r="N129" s="146">
        <v>0</v>
      </c>
      <c r="O129" s="152">
        <f t="shared" si="33"/>
        <v>0</v>
      </c>
      <c r="P129" s="69">
        <f t="shared" si="34"/>
        <v>2198</v>
      </c>
    </row>
    <row r="130" spans="1:16" x14ac:dyDescent="0.25">
      <c r="A130" s="149" t="s">
        <v>218</v>
      </c>
      <c r="B130" s="5" t="s">
        <v>189</v>
      </c>
      <c r="C130" s="299" t="str">
        <f>_xlfn.XLOOKUP(B130,'Brand Managers'!A:A,'Brand Managers'!B:B)</f>
        <v>Chris Politano</v>
      </c>
      <c r="D130" s="42" t="str">
        <f>_xlfn.XLOOKUP(F130,'DATA - Segments'!C:C,'DATA - Segments'!D:D)</f>
        <v>FMB</v>
      </c>
      <c r="E130" s="42" t="str">
        <f>_xlfn.XLOOKUP(F130,'DATA - Segments'!C:C,'DATA - Segments'!E:E)</f>
        <v>FMB</v>
      </c>
      <c r="F130" s="203" t="str">
        <f t="shared" si="28"/>
        <v>Lightstrike|New Belgium Brewing Company</v>
      </c>
      <c r="G130" s="203" t="str">
        <f t="shared" si="15"/>
        <v>Lightstrike|New Belgium Brewing Company|FMB|FMB</v>
      </c>
      <c r="H130" s="150">
        <f>_xlfn.XLOOKUP(F130,'DATA - 2025 Review'!C:C,'DATA - 2025 Review'!I:I,"")</f>
        <v>364.75824699999998</v>
      </c>
      <c r="I130" s="151">
        <f>_xlfn.XLOOKUP(F130,'DATA - 2025 Review'!C:C,'DATA - 2025 Review'!J:J)</f>
        <v>0</v>
      </c>
      <c r="J130" s="150">
        <f>_xlfn.XLOOKUP(F130,'2025 Finish (ACTUAL)'!$C:$C,'2025 Finish (ACTUAL)'!$D:$D)</f>
        <v>368.98324600000001</v>
      </c>
      <c r="K130" s="146">
        <v>1.2</v>
      </c>
      <c r="L130" s="152">
        <f t="shared" si="24"/>
        <v>442.7798952</v>
      </c>
      <c r="M130" s="152">
        <f t="shared" si="32"/>
        <v>811.76314120000006</v>
      </c>
      <c r="N130" s="146">
        <v>0.5</v>
      </c>
      <c r="O130" s="152">
        <f t="shared" si="33"/>
        <v>184.491623</v>
      </c>
      <c r="P130" s="69">
        <f t="shared" si="34"/>
        <v>553.47486900000001</v>
      </c>
    </row>
    <row r="131" spans="1:16" x14ac:dyDescent="0.25">
      <c r="A131" s="143" t="s">
        <v>398</v>
      </c>
      <c r="B131" s="201"/>
      <c r="C131" s="202" t="s">
        <v>574</v>
      </c>
      <c r="D131" s="201"/>
      <c r="E131" s="201"/>
      <c r="F131" s="203" t="str">
        <f t="shared" si="28"/>
        <v>Kirin Ichiban|</v>
      </c>
      <c r="G131" s="203" t="str">
        <f t="shared" si="15"/>
        <v>Kirin Ichiban|||</v>
      </c>
      <c r="H131" s="154" t="str">
        <f>_xlfn.XLOOKUP(F131,'DATA - 2025 Review'!C:C,'DATA - 2025 Review'!I:I,"")</f>
        <v/>
      </c>
      <c r="I131" s="201"/>
      <c r="J131" s="144">
        <f>_xlfn.XLOOKUP(F131,'2025 Finish (ACTUAL)'!$C:$C,'2025 Finish (ACTUAL)'!$D:$D)</f>
        <v>4331.0555679999998</v>
      </c>
      <c r="K131" s="145">
        <f>L131/J131</f>
        <v>0.15240072301930813</v>
      </c>
      <c r="L131" s="207">
        <f>SUM(L132:L133)</f>
        <v>660.05600000000015</v>
      </c>
      <c r="M131" s="154">
        <f>SUMIF(B:B,A131,M:M)</f>
        <v>3960.3360000000002</v>
      </c>
      <c r="N131" s="145">
        <f>O131/J131</f>
        <v>0.15240072301930813</v>
      </c>
      <c r="O131" s="207">
        <f>SUM(O132:O133)</f>
        <v>660.05600000000015</v>
      </c>
      <c r="P131" s="155">
        <f>SUMIF(B:B,A131,P:P)</f>
        <v>3960.3360000000002</v>
      </c>
    </row>
    <row r="132" spans="1:16" x14ac:dyDescent="0.25">
      <c r="A132" s="149" t="s">
        <v>292</v>
      </c>
      <c r="B132" s="5" t="s">
        <v>398</v>
      </c>
      <c r="C132" s="299" t="s">
        <v>574</v>
      </c>
      <c r="D132" s="42" t="s">
        <v>512</v>
      </c>
      <c r="E132" s="42" t="s">
        <v>515</v>
      </c>
      <c r="F132" s="203" t="str">
        <f t="shared" ref="F132:F163" si="35">A132&amp;"|"&amp;B132</f>
        <v>Kirin Light|Kirin Ichiban</v>
      </c>
      <c r="G132" s="203" t="str">
        <f t="shared" ref="G132:G195" si="36">A132&amp;"|"&amp;B132&amp;"|"&amp;D132&amp;"|"&amp;E132</f>
        <v>Kirin Light|Kirin Ichiban|Beer|Beer - Import</v>
      </c>
      <c r="H132" s="150">
        <f>_xlfn.XLOOKUP(F132,'DATA - 2025 Review'!C:C,'DATA - 2025 Review'!I:I,"")</f>
        <v>226</v>
      </c>
      <c r="I132" s="151">
        <f>_xlfn.XLOOKUP(F132,'DATA - 2025 Review'!C:C,'DATA - 2025 Review'!J:J)</f>
        <v>0</v>
      </c>
      <c r="J132" s="150">
        <f>_xlfn.XLOOKUP(F132,'2025 Finish (ACTUAL)'!$C:$C,'2025 Finish (ACTUAL)'!$D:$D)</f>
        <v>226</v>
      </c>
      <c r="K132" s="146">
        <v>0.2</v>
      </c>
      <c r="L132" s="152">
        <f t="shared" si="24"/>
        <v>45.2</v>
      </c>
      <c r="M132" s="152">
        <f t="shared" ref="M132:M133" si="37">L132+J132</f>
        <v>271.2</v>
      </c>
      <c r="N132" s="146">
        <v>0.2</v>
      </c>
      <c r="O132" s="152">
        <f t="shared" ref="O132:O133" si="38">N132*J132</f>
        <v>45.2</v>
      </c>
      <c r="P132" s="69">
        <f t="shared" ref="P132:P133" si="39">O132+J132</f>
        <v>271.2</v>
      </c>
    </row>
    <row r="133" spans="1:16" x14ac:dyDescent="0.25">
      <c r="A133" s="149" t="s">
        <v>398</v>
      </c>
      <c r="B133" s="5" t="s">
        <v>398</v>
      </c>
      <c r="C133" s="299" t="s">
        <v>574</v>
      </c>
      <c r="D133" s="42" t="s">
        <v>512</v>
      </c>
      <c r="E133" s="42" t="s">
        <v>515</v>
      </c>
      <c r="F133" s="203" t="str">
        <f t="shared" si="35"/>
        <v>Kirin Ichiban|Kirin Ichiban</v>
      </c>
      <c r="G133" s="203" t="str">
        <f t="shared" si="36"/>
        <v>Kirin Ichiban|Kirin Ichiban|Beer|Beer - Import</v>
      </c>
      <c r="H133" s="150">
        <f>_xlfn.XLOOKUP(F133,'DATA - 2025 Review'!C:C,'DATA - 2025 Review'!I:I,"")</f>
        <v>3074.2777900000001</v>
      </c>
      <c r="I133" s="151">
        <f>_xlfn.XLOOKUP(F133,'DATA - 2025 Review'!C:C,'DATA - 2025 Review'!J:J)</f>
        <v>0</v>
      </c>
      <c r="J133" s="150">
        <f>_xlfn.XLOOKUP(F133,'2025 Finish (ACTUAL)'!$C:$C,'2025 Finish (ACTUAL)'!$D:$D)</f>
        <v>3074.28</v>
      </c>
      <c r="K133" s="146">
        <v>0.2</v>
      </c>
      <c r="L133" s="152">
        <f t="shared" si="24"/>
        <v>614.85600000000011</v>
      </c>
      <c r="M133" s="152">
        <f t="shared" si="37"/>
        <v>3689.1360000000004</v>
      </c>
      <c r="N133" s="146">
        <v>0.2</v>
      </c>
      <c r="O133" s="152">
        <f t="shared" si="38"/>
        <v>614.85600000000011</v>
      </c>
      <c r="P133" s="69">
        <f t="shared" si="39"/>
        <v>3689.1360000000004</v>
      </c>
    </row>
    <row r="134" spans="1:16" x14ac:dyDescent="0.25">
      <c r="A134" s="143" t="s">
        <v>345</v>
      </c>
      <c r="B134" s="202"/>
      <c r="C134" s="202" t="str">
        <f>_xlfn.XLOOKUP(A134,'Brand Managers'!A:A,'Brand Managers'!B:B)</f>
        <v>Tom Gibbons</v>
      </c>
      <c r="D134" s="202"/>
      <c r="E134" s="202"/>
      <c r="F134" s="203" t="str">
        <f t="shared" si="35"/>
        <v>Sierra Nevada Brewing Company|</v>
      </c>
      <c r="G134" s="203" t="str">
        <f t="shared" si="36"/>
        <v>Sierra Nevada Brewing Company|||</v>
      </c>
      <c r="H134" s="144">
        <f>_xlfn.XLOOKUP(F134,'DATA - 2025 Review'!C:C,'DATA - 2025 Review'!I:I,"")</f>
        <v>47714.906071758</v>
      </c>
      <c r="I134" s="145">
        <f>_xlfn.XLOOKUP(F134,'DATA - 2025 Review'!C:C,'DATA - 2025 Review'!J:J)</f>
        <v>3.4519664266410288E-2</v>
      </c>
      <c r="J134" s="144">
        <f>_xlfn.XLOOKUP(F134,'2025 Finish (ACTUAL)'!$C:$C,'2025 Finish (ACTUAL)'!$D:$D)</f>
        <v>47490.637472000002</v>
      </c>
      <c r="K134" s="145">
        <f>L134/J134</f>
        <v>3.1E-2</v>
      </c>
      <c r="L134" s="147">
        <f>SUMIF(B:B,A134,L:L)</f>
        <v>1472.209761632</v>
      </c>
      <c r="M134" s="147">
        <f>SUMIF(B:B,A134,M:M)</f>
        <v>48962.847233632005</v>
      </c>
      <c r="N134" s="145">
        <f>O134/J134</f>
        <v>3.1E-2</v>
      </c>
      <c r="O134" s="147">
        <f>SUMIF(B:B,A134,O:O)</f>
        <v>1472.209761632</v>
      </c>
      <c r="P134" s="148">
        <f>SUMIF(B:B,A134,P:P)</f>
        <v>48962.847233632005</v>
      </c>
    </row>
    <row r="135" spans="1:16" x14ac:dyDescent="0.25">
      <c r="A135" s="149" t="s">
        <v>293</v>
      </c>
      <c r="B135" s="2" t="s">
        <v>345</v>
      </c>
      <c r="C135" s="299" t="str">
        <f>_xlfn.XLOOKUP(B135,'Brand Managers'!A:A,'Brand Managers'!B:B)</f>
        <v>Tom Gibbons</v>
      </c>
      <c r="D135" s="42" t="str">
        <f>_xlfn.XLOOKUP(F135,'DATA - Segments'!C:C,'DATA - Segments'!D:D)</f>
        <v>Beer</v>
      </c>
      <c r="E135" s="42" t="str">
        <f>_xlfn.XLOOKUP(F135,'DATA - Segments'!C:C,'DATA - Segments'!E:E)</f>
        <v>Beer - Craft</v>
      </c>
      <c r="F135" s="203" t="str">
        <f t="shared" si="35"/>
        <v>Sierra Nevada|Sierra Nevada Brewing Company</v>
      </c>
      <c r="G135" s="203" t="str">
        <f t="shared" si="36"/>
        <v>Sierra Nevada|Sierra Nevada Brewing Company|Beer|Beer - Craft</v>
      </c>
      <c r="H135" s="150">
        <f>_xlfn.XLOOKUP(F135,'DATA - 2025 Review'!C:C,'DATA - 2025 Review'!I:I,"")</f>
        <v>47717.964570168704</v>
      </c>
      <c r="I135" s="151">
        <f>_xlfn.XLOOKUP(F135,'DATA - 2025 Review'!C:C,'DATA - 2025 Review'!J:J)</f>
        <v>3.4877663369050627E-2</v>
      </c>
      <c r="J135" s="150">
        <f>_xlfn.XLOOKUP(F135,'2025 Finish (ACTUAL)'!$C:$C,'2025 Finish (ACTUAL)'!$D:$D)</f>
        <v>47490.637472000002</v>
      </c>
      <c r="K135" s="146">
        <v>3.1E-2</v>
      </c>
      <c r="L135" s="152">
        <f t="shared" si="24"/>
        <v>1472.209761632</v>
      </c>
      <c r="M135" s="152">
        <f t="shared" ref="M135:M136" si="40">L135+J135</f>
        <v>48962.847233632005</v>
      </c>
      <c r="N135" s="146">
        <v>3.1E-2</v>
      </c>
      <c r="O135" s="152">
        <f t="shared" ref="O135:O136" si="41">N135*J135</f>
        <v>1472.209761632</v>
      </c>
      <c r="P135" s="69">
        <f t="shared" ref="P135:P136" si="42">O135+J135</f>
        <v>48962.847233632005</v>
      </c>
    </row>
    <row r="136" spans="1:16" x14ac:dyDescent="0.25">
      <c r="A136" s="156" t="s">
        <v>294</v>
      </c>
      <c r="B136" s="2" t="s">
        <v>345</v>
      </c>
      <c r="C136" s="299" t="str">
        <f>_xlfn.XLOOKUP(B136,'Brand Managers'!A:A,'Brand Managers'!B:B)</f>
        <v>Tom Gibbons</v>
      </c>
      <c r="D136" s="42"/>
      <c r="E136" s="42"/>
      <c r="F136" s="203" t="str">
        <f t="shared" si="35"/>
        <v>Strainge Beast|Sierra Nevada Brewing Company</v>
      </c>
      <c r="G136" s="203" t="str">
        <f t="shared" si="36"/>
        <v>Strainge Beast|Sierra Nevada Brewing Company||</v>
      </c>
      <c r="H136" s="150">
        <f>_xlfn.XLOOKUP(F136,'DATA - 2025 Review'!C:C,'DATA - 2025 Review'!I:I,"")</f>
        <v>0</v>
      </c>
      <c r="I136" s="151">
        <f>_xlfn.XLOOKUP(F136,'DATA - 2025 Review'!C:C,'DATA - 2025 Review'!J:J)</f>
        <v>-1</v>
      </c>
      <c r="J136" s="150"/>
      <c r="K136" s="146"/>
      <c r="L136" s="152">
        <f t="shared" si="24"/>
        <v>0</v>
      </c>
      <c r="M136" s="152">
        <f t="shared" si="40"/>
        <v>0</v>
      </c>
      <c r="N136" s="146"/>
      <c r="O136" s="152">
        <f t="shared" si="41"/>
        <v>0</v>
      </c>
      <c r="P136" s="69">
        <f t="shared" si="42"/>
        <v>0</v>
      </c>
    </row>
    <row r="137" spans="1:16" x14ac:dyDescent="0.25">
      <c r="A137" s="143" t="s">
        <v>139</v>
      </c>
      <c r="B137" s="202"/>
      <c r="C137" s="202" t="str">
        <f>_xlfn.XLOOKUP(A137,'Brand Managers'!A:A,'Brand Managers'!B:B)</f>
        <v>Dan Downing</v>
      </c>
      <c r="D137" s="202"/>
      <c r="E137" s="202"/>
      <c r="F137" s="203" t="str">
        <f t="shared" si="35"/>
        <v>Total Beverage Solutions|</v>
      </c>
      <c r="G137" s="203" t="str">
        <f t="shared" si="36"/>
        <v>Total Beverage Solutions|||</v>
      </c>
      <c r="H137" s="144">
        <f>_xlfn.XLOOKUP(F137,'DATA - 2025 Review'!C:C,'DATA - 2025 Review'!I:I,"")</f>
        <v>32781.832256266774</v>
      </c>
      <c r="I137" s="145">
        <f>_xlfn.XLOOKUP(F137,'DATA - 2025 Review'!C:C,'DATA - 2025 Review'!J:J)</f>
        <v>0.13783468983543923</v>
      </c>
      <c r="J137" s="144">
        <f>_xlfn.XLOOKUP(F137,'2025 Finish (ACTUAL)'!$C:$C,'2025 Finish (ACTUAL)'!$D:$D)</f>
        <v>31524.631568000001</v>
      </c>
      <c r="K137" s="145">
        <f>L137/J137</f>
        <v>0</v>
      </c>
      <c r="L137" s="147">
        <f>SUMIF(B:B,A137,L:L)</f>
        <v>0</v>
      </c>
      <c r="M137" s="147">
        <f>SUMIF(B:B,A137,M:M)</f>
        <v>31524.631567999997</v>
      </c>
      <c r="N137" s="145">
        <f>O137/J137</f>
        <v>4.4682736195078777E-4</v>
      </c>
      <c r="O137" s="147">
        <f>SUMIF(B:B,A137,O:O)</f>
        <v>14.086067959999966</v>
      </c>
      <c r="P137" s="148">
        <f>SUMIF(B:B,A137,P:P)</f>
        <v>31538.717635960005</v>
      </c>
    </row>
    <row r="138" spans="1:16" x14ac:dyDescent="0.25">
      <c r="A138" s="149" t="s">
        <v>190</v>
      </c>
      <c r="B138" s="2" t="s">
        <v>139</v>
      </c>
      <c r="C138" s="299" t="str">
        <f>_xlfn.XLOOKUP(B138,'Brand Managers'!A:A,'Brand Managers'!B:B)</f>
        <v>Dan Downing</v>
      </c>
      <c r="D138" s="42" t="str">
        <f>_xlfn.XLOOKUP(F138,'DATA - Segments'!C:C,'DATA - Segments'!D:D)</f>
        <v>Beer</v>
      </c>
      <c r="E138" s="42" t="str">
        <f>_xlfn.XLOOKUP(F138,'DATA - Segments'!C:C,'DATA - Segments'!E:E)</f>
        <v>Beer - Import</v>
      </c>
      <c r="F138" s="203" t="str">
        <f t="shared" si="35"/>
        <v>Carib|Total Beverage Solutions</v>
      </c>
      <c r="G138" s="203" t="str">
        <f t="shared" si="36"/>
        <v>Carib|Total Beverage Solutions|Beer|Beer - Import</v>
      </c>
      <c r="H138" s="150">
        <f>_xlfn.XLOOKUP(F138,'DATA - 2025 Review'!C:C,'DATA - 2025 Review'!I:I,"")</f>
        <v>11804.513019</v>
      </c>
      <c r="I138" s="151">
        <f>_xlfn.XLOOKUP(F138,'DATA - 2025 Review'!C:C,'DATA - 2025 Review'!J:J)</f>
        <v>-6.127133049701794E-2</v>
      </c>
      <c r="J138" s="150">
        <f>_xlfn.XLOOKUP(F138,'2025 Finish (ACTUAL)'!$C:$C,'2025 Finish (ACTUAL)'!$D:$D)</f>
        <v>11274</v>
      </c>
      <c r="K138" s="146"/>
      <c r="L138" s="152">
        <f t="shared" si="24"/>
        <v>0</v>
      </c>
      <c r="M138" s="152">
        <f t="shared" ref="M138:M144" si="43">L138+J138</f>
        <v>11274</v>
      </c>
      <c r="N138" s="146">
        <v>-0.04</v>
      </c>
      <c r="O138" s="152">
        <f t="shared" ref="O138:O144" si="44">N138*J138</f>
        <v>-450.96000000000004</v>
      </c>
      <c r="P138" s="69">
        <f t="shared" ref="P138:P144" si="45">O138+J138</f>
        <v>10823.04</v>
      </c>
    </row>
    <row r="139" spans="1:16" x14ac:dyDescent="0.25">
      <c r="A139" s="149" t="s">
        <v>399</v>
      </c>
      <c r="B139" s="2" t="s">
        <v>139</v>
      </c>
      <c r="C139" s="299" t="str">
        <f>_xlfn.XLOOKUP(B139,'Brand Managers'!A:A,'Brand Managers'!B:B)</f>
        <v>Dan Downing</v>
      </c>
      <c r="D139" s="42" t="str">
        <f>_xlfn.XLOOKUP(F139,'DATA - Segments'!C:C,'DATA - Segments'!D:D)</f>
        <v>Cider</v>
      </c>
      <c r="E139" s="42" t="str">
        <f>_xlfn.XLOOKUP(F139,'DATA - Segments'!C:C,'DATA - Segments'!E:E)</f>
        <v>Cider</v>
      </c>
      <c r="F139" s="203" t="str">
        <f t="shared" si="35"/>
        <v>Magners|Total Beverage Solutions</v>
      </c>
      <c r="G139" s="203" t="str">
        <f t="shared" si="36"/>
        <v>Magners|Total Beverage Solutions|Cider|Cider</v>
      </c>
      <c r="H139" s="150">
        <f>_xlfn.XLOOKUP(F139,'DATA - 2025 Review'!C:C,'DATA - 2025 Review'!I:I,"")</f>
        <v>10758.380525360277</v>
      </c>
      <c r="I139" s="151">
        <f>_xlfn.XLOOKUP(F139,'DATA - 2025 Review'!C:C,'DATA - 2025 Review'!J:J)</f>
        <v>1.7239222453094412</v>
      </c>
      <c r="J139" s="150">
        <f>_xlfn.XLOOKUP(F139,'2025 Finish (ACTUAL)'!$C:$C,'2025 Finish (ACTUAL)'!$D:$D)</f>
        <v>8542.9749580000007</v>
      </c>
      <c r="K139" s="146"/>
      <c r="L139" s="152">
        <f t="shared" si="24"/>
        <v>0</v>
      </c>
      <c r="M139" s="152">
        <f t="shared" si="43"/>
        <v>8542.9749580000007</v>
      </c>
      <c r="N139" s="146">
        <v>0.06</v>
      </c>
      <c r="O139" s="152">
        <f t="shared" si="44"/>
        <v>512.57849748000001</v>
      </c>
      <c r="P139" s="69">
        <f t="shared" si="45"/>
        <v>9055.5534554800015</v>
      </c>
    </row>
    <row r="140" spans="1:16" x14ac:dyDescent="0.25">
      <c r="A140" s="149" t="s">
        <v>58</v>
      </c>
      <c r="B140" s="2" t="s">
        <v>139</v>
      </c>
      <c r="C140" s="299" t="str">
        <f>_xlfn.XLOOKUP(B140,'Brand Managers'!A:A,'Brand Managers'!B:B)</f>
        <v>Dan Downing</v>
      </c>
      <c r="D140" s="42" t="str">
        <f>_xlfn.XLOOKUP(F140,'DATA - Segments'!C:C,'DATA - Segments'!D:D)</f>
        <v>Beer</v>
      </c>
      <c r="E140" s="42" t="str">
        <f>_xlfn.XLOOKUP(F140,'DATA - Segments'!C:C,'DATA - Segments'!E:E)</f>
        <v>Beer - Import</v>
      </c>
      <c r="F140" s="203" t="str">
        <f t="shared" si="35"/>
        <v>Weihenstephaner|Total Beverage Solutions</v>
      </c>
      <c r="G140" s="203" t="str">
        <f t="shared" si="36"/>
        <v>Weihenstephaner|Total Beverage Solutions|Beer|Beer - Import</v>
      </c>
      <c r="H140" s="150">
        <f>_xlfn.XLOOKUP(F140,'DATA - 2025 Review'!C:C,'DATA - 2025 Review'!I:I,"")</f>
        <v>8464.2429596052716</v>
      </c>
      <c r="I140" s="151">
        <f>_xlfn.XLOOKUP(F140,'DATA - 2025 Review'!C:C,'DATA - 2025 Review'!J:J)</f>
        <v>-2.3655752575234446E-2</v>
      </c>
      <c r="J140" s="150">
        <f>_xlfn.XLOOKUP(F140,'2025 Finish (ACTUAL)'!$C:$C,'2025 Finish (ACTUAL)'!$D:$D)</f>
        <v>8588.2607279999993</v>
      </c>
      <c r="K140" s="146"/>
      <c r="L140" s="152">
        <f t="shared" si="24"/>
        <v>0</v>
      </c>
      <c r="M140" s="152">
        <f t="shared" si="43"/>
        <v>8588.2607279999993</v>
      </c>
      <c r="N140" s="146">
        <v>0.01</v>
      </c>
      <c r="O140" s="152">
        <f t="shared" si="44"/>
        <v>85.882607279999988</v>
      </c>
      <c r="P140" s="69">
        <f t="shared" si="45"/>
        <v>8674.1433352799995</v>
      </c>
    </row>
    <row r="141" spans="1:16" x14ac:dyDescent="0.25">
      <c r="A141" s="149" t="s">
        <v>92</v>
      </c>
      <c r="B141" s="2" t="s">
        <v>139</v>
      </c>
      <c r="C141" s="299" t="str">
        <f>_xlfn.XLOOKUP(B141,'Brand Managers'!A:A,'Brand Managers'!B:B)</f>
        <v>Dan Downing</v>
      </c>
      <c r="D141" s="42" t="str">
        <f>_xlfn.XLOOKUP(F141,'DATA - Segments'!C:C,'DATA - Segments'!D:D)</f>
        <v>Beer</v>
      </c>
      <c r="E141" s="42" t="str">
        <f>_xlfn.XLOOKUP(F141,'DATA - Segments'!C:C,'DATA - Segments'!E:E)</f>
        <v>Beer - Import</v>
      </c>
      <c r="F141" s="203" t="str">
        <f t="shared" si="35"/>
        <v>Mackeson|Total Beverage Solutions</v>
      </c>
      <c r="G141" s="203" t="str">
        <f t="shared" si="36"/>
        <v>Mackeson|Total Beverage Solutions|Beer|Beer - Import</v>
      </c>
      <c r="H141" s="150">
        <f>_xlfn.XLOOKUP(F141,'DATA - 2025 Review'!C:C,'DATA - 2025 Review'!I:I,"")</f>
        <v>518.788048</v>
      </c>
      <c r="I141" s="151">
        <f>_xlfn.XLOOKUP(F141,'DATA - 2025 Review'!C:C,'DATA - 2025 Review'!J:J)</f>
        <v>0.1953641658986176</v>
      </c>
      <c r="J141" s="150">
        <f>_xlfn.XLOOKUP(F141,'2025 Finish (ACTUAL)'!$C:$C,'2025 Finish (ACTUAL)'!$D:$D)</f>
        <v>449</v>
      </c>
      <c r="K141" s="146"/>
      <c r="L141" s="152">
        <f t="shared" si="24"/>
        <v>0</v>
      </c>
      <c r="M141" s="152">
        <f t="shared" si="43"/>
        <v>449</v>
      </c>
      <c r="N141" s="146">
        <v>0.1</v>
      </c>
      <c r="O141" s="152">
        <f t="shared" si="44"/>
        <v>44.900000000000006</v>
      </c>
      <c r="P141" s="69">
        <f t="shared" si="45"/>
        <v>493.9</v>
      </c>
    </row>
    <row r="142" spans="1:16" x14ac:dyDescent="0.25">
      <c r="A142" s="149" t="s">
        <v>378</v>
      </c>
      <c r="B142" s="2" t="s">
        <v>139</v>
      </c>
      <c r="C142" s="299" t="str">
        <f>_xlfn.XLOOKUP(B142,'Brand Managers'!A:A,'Brand Managers'!B:B)</f>
        <v>Dan Downing</v>
      </c>
      <c r="D142" s="42" t="str">
        <f>_xlfn.XLOOKUP(F142,'DATA - Segments'!C:C,'DATA - Segments'!D:D)</f>
        <v>Cider</v>
      </c>
      <c r="E142" s="42" t="str">
        <f>_xlfn.XLOOKUP(F142,'DATA - Segments'!C:C,'DATA - Segments'!E:E)</f>
        <v>Cider</v>
      </c>
      <c r="F142" s="203" t="str">
        <f t="shared" si="35"/>
        <v>Rekorderlig|Total Beverage Solutions</v>
      </c>
      <c r="G142" s="203" t="str">
        <f t="shared" si="36"/>
        <v>Rekorderlig|Total Beverage Solutions|Cider|Cider</v>
      </c>
      <c r="H142" s="150">
        <f>_xlfn.XLOOKUP(F142,'DATA - 2025 Review'!C:C,'DATA - 2025 Review'!I:I,"")</f>
        <v>420.08805032852001</v>
      </c>
      <c r="I142" s="151">
        <f>_xlfn.XLOOKUP(F142,'DATA - 2025 Review'!C:C,'DATA - 2025 Review'!J:J)</f>
        <v>-0.33761474226804122</v>
      </c>
      <c r="J142" s="150">
        <f>_xlfn.XLOOKUP(F142,'2025 Finish (ACTUAL)'!$C:$C,'2025 Finish (ACTUAL)'!$D:$D)</f>
        <v>386.687592</v>
      </c>
      <c r="K142" s="146"/>
      <c r="L142" s="152">
        <f t="shared" si="24"/>
        <v>0</v>
      </c>
      <c r="M142" s="152">
        <f t="shared" si="43"/>
        <v>386.687592</v>
      </c>
      <c r="N142" s="146">
        <v>-0.4</v>
      </c>
      <c r="O142" s="152">
        <f t="shared" si="44"/>
        <v>-154.67503680000002</v>
      </c>
      <c r="P142" s="69">
        <f t="shared" si="45"/>
        <v>232.01255519999998</v>
      </c>
    </row>
    <row r="143" spans="1:16" x14ac:dyDescent="0.25">
      <c r="A143" s="149" t="s">
        <v>164</v>
      </c>
      <c r="B143" s="2" t="s">
        <v>139</v>
      </c>
      <c r="C143" s="299" t="str">
        <f>_xlfn.XLOOKUP(B143,'Brand Managers'!A:A,'Brand Managers'!B:B)</f>
        <v>Dan Downing</v>
      </c>
      <c r="D143" s="42" t="str">
        <f>_xlfn.XLOOKUP(F143,'DATA - Segments'!C:C,'DATA - Segments'!D:D)</f>
        <v>Beer</v>
      </c>
      <c r="E143" s="42" t="str">
        <f>_xlfn.XLOOKUP(F143,'DATA - Segments'!C:C,'DATA - Segments'!E:E)</f>
        <v>Beer - Import</v>
      </c>
      <c r="F143" s="203" t="str">
        <f t="shared" si="35"/>
        <v>Banks|Total Beverage Solutions</v>
      </c>
      <c r="G143" s="203" t="str">
        <f t="shared" si="36"/>
        <v>Banks|Total Beverage Solutions|Beer|Beer - Import</v>
      </c>
      <c r="H143" s="150">
        <f>_xlfn.XLOOKUP(F143,'DATA - 2025 Review'!C:C,'DATA - 2025 Review'!I:I,"")</f>
        <v>395.44183199999998</v>
      </c>
      <c r="I143" s="151">
        <f>_xlfn.XLOOKUP(F143,'DATA - 2025 Review'!C:C,'DATA - 2025 Review'!J:J)</f>
        <v>-4.9418673076923159E-2</v>
      </c>
      <c r="J143" s="150">
        <f>_xlfn.XLOOKUP(F143,'2025 Finish (ACTUAL)'!$C:$C,'2025 Finish (ACTUAL)'!$D:$D)</f>
        <v>394</v>
      </c>
      <c r="K143" s="146"/>
      <c r="L143" s="152">
        <f t="shared" si="24"/>
        <v>0</v>
      </c>
      <c r="M143" s="152">
        <f t="shared" si="43"/>
        <v>394</v>
      </c>
      <c r="N143" s="146">
        <v>-0.06</v>
      </c>
      <c r="O143" s="152">
        <f t="shared" si="44"/>
        <v>-23.64</v>
      </c>
      <c r="P143" s="69">
        <f t="shared" si="45"/>
        <v>370.36</v>
      </c>
    </row>
    <row r="144" spans="1:16" x14ac:dyDescent="0.25">
      <c r="A144" s="149" t="s">
        <v>59</v>
      </c>
      <c r="B144" s="2" t="s">
        <v>139</v>
      </c>
      <c r="C144" s="299" t="str">
        <f>_xlfn.XLOOKUP(B144,'Brand Managers'!A:A,'Brand Managers'!B:B)</f>
        <v>Dan Downing</v>
      </c>
      <c r="D144" s="42" t="str">
        <f>_xlfn.XLOOKUP(F144,'DATA - Segments'!C:C,'DATA - Segments'!D:D)</f>
        <v>Beer</v>
      </c>
      <c r="E144" s="42" t="str">
        <f>_xlfn.XLOOKUP(F144,'DATA - Segments'!C:C,'DATA - Segments'!E:E)</f>
        <v>Beer - Craft</v>
      </c>
      <c r="F144" s="203" t="str">
        <f t="shared" si="35"/>
        <v>Shipyard|Total Beverage Solutions</v>
      </c>
      <c r="G144" s="203" t="str">
        <f t="shared" si="36"/>
        <v>Shipyard|Total Beverage Solutions|Beer|Beer - Craft</v>
      </c>
      <c r="H144" s="150">
        <f>_xlfn.XLOOKUP(F144,'DATA - 2025 Review'!C:C,'DATA - 2025 Review'!I:I,"")</f>
        <v>1881.7188548823601</v>
      </c>
      <c r="I144" s="151">
        <f>_xlfn.XLOOKUP(F144,'DATA - 2025 Review'!C:C,'DATA - 2025 Review'!J:J)</f>
        <v>-0.11763980908839056</v>
      </c>
      <c r="J144" s="150">
        <f>_xlfn.XLOOKUP(F144,'2025 Finish (ACTUAL)'!$C:$C,'2025 Finish (ACTUAL)'!$D:$D)</f>
        <v>1889.70829</v>
      </c>
      <c r="K144" s="146"/>
      <c r="L144" s="152">
        <f t="shared" si="24"/>
        <v>0</v>
      </c>
      <c r="M144" s="152">
        <f t="shared" si="43"/>
        <v>1889.70829</v>
      </c>
      <c r="N144" s="146">
        <v>0</v>
      </c>
      <c r="O144" s="152">
        <f t="shared" si="44"/>
        <v>0</v>
      </c>
      <c r="P144" s="69">
        <f t="shared" si="45"/>
        <v>1889.70829</v>
      </c>
    </row>
    <row r="145" spans="1:16" x14ac:dyDescent="0.25">
      <c r="A145" s="143" t="s">
        <v>8</v>
      </c>
      <c r="B145" s="202"/>
      <c r="C145" s="202" t="str">
        <f>_xlfn.XLOOKUP(A145,'Brand Managers'!A:A,'Brand Managers'!B:B)</f>
        <v>Tom Gibbons</v>
      </c>
      <c r="D145" s="202"/>
      <c r="E145" s="202"/>
      <c r="F145" s="203" t="str">
        <f t="shared" si="35"/>
        <v>FX Matt|</v>
      </c>
      <c r="G145" s="203" t="str">
        <f t="shared" si="36"/>
        <v>FX Matt|||</v>
      </c>
      <c r="H145" s="144">
        <f>_xlfn.XLOOKUP(F145,'DATA - 2025 Review'!C:C,'DATA - 2025 Review'!I:I,"")</f>
        <v>29916.887129737577</v>
      </c>
      <c r="I145" s="145">
        <f>_xlfn.XLOOKUP(F145,'DATA - 2025 Review'!C:C,'DATA - 2025 Review'!J:J)</f>
        <v>-7.0623024794458811E-2</v>
      </c>
      <c r="J145" s="144">
        <f>_xlfn.XLOOKUP(F145,'2025 Finish (ACTUAL)'!$C:$C,'2025 Finish (ACTUAL)'!$D:$D)</f>
        <v>28805.339061999999</v>
      </c>
      <c r="K145" s="145">
        <f>L145/J145</f>
        <v>-5.0140954559023253E-2</v>
      </c>
      <c r="L145" s="147">
        <f>SUMIF(B:B,A145,L:L)</f>
        <v>-1444.3271969649995</v>
      </c>
      <c r="M145" s="147">
        <f>SUMIF(B:B,A145,M:M)</f>
        <v>27361.011865034998</v>
      </c>
      <c r="N145" s="145">
        <f>O145/J145</f>
        <v>-5.0140954559023253E-2</v>
      </c>
      <c r="O145" s="147">
        <f>SUMIF(B:B,A145,O:O)</f>
        <v>-1444.3271969649995</v>
      </c>
      <c r="P145" s="148">
        <f>SUMIF(B:B,A145,P:P)</f>
        <v>27361.011865034998</v>
      </c>
    </row>
    <row r="146" spans="1:16" x14ac:dyDescent="0.25">
      <c r="A146" s="149" t="s">
        <v>191</v>
      </c>
      <c r="B146" s="2" t="s">
        <v>8</v>
      </c>
      <c r="C146" s="299" t="str">
        <f>_xlfn.XLOOKUP(B146,'Brand Managers'!A:A,'Brand Managers'!B:B)</f>
        <v>Tom Gibbons</v>
      </c>
      <c r="D146" s="42" t="str">
        <f>_xlfn.XLOOKUP(F146,'DATA - Segments'!C:C,'DATA - Segments'!D:D)</f>
        <v>Beer</v>
      </c>
      <c r="E146" s="42" t="str">
        <f>_xlfn.XLOOKUP(F146,'DATA - Segments'!C:C,'DATA - Segments'!E:E)</f>
        <v>Beer - Craft</v>
      </c>
      <c r="F146" s="203" t="str">
        <f t="shared" si="35"/>
        <v>Flying Dog Brewing Co|FX Matt</v>
      </c>
      <c r="G146" s="203" t="str">
        <f t="shared" si="36"/>
        <v>Flying Dog Brewing Co|FX Matt|Beer|Beer - Craft</v>
      </c>
      <c r="H146" s="150">
        <f>_xlfn.XLOOKUP(F146,'DATA - 2025 Review'!C:C,'DATA - 2025 Review'!I:I,"")</f>
        <v>14116.887700175734</v>
      </c>
      <c r="I146" s="151">
        <f>_xlfn.XLOOKUP(F146,'DATA - 2025 Review'!C:C,'DATA - 2025 Review'!J:J)</f>
        <v>-0.12830917150649579</v>
      </c>
      <c r="J146" s="150">
        <f>_xlfn.XLOOKUP(F146,'2025 Finish (ACTUAL)'!$C:$C,'2025 Finish (ACTUAL)'!$D:$D)</f>
        <v>13644.867335999999</v>
      </c>
      <c r="K146" s="146">
        <v>-0.06</v>
      </c>
      <c r="L146" s="152">
        <f t="shared" si="24"/>
        <v>-818.69204015999992</v>
      </c>
      <c r="M146" s="152">
        <f t="shared" ref="M146:M151" si="46">L146+J146</f>
        <v>12826.175295839999</v>
      </c>
      <c r="N146" s="146">
        <v>-0.06</v>
      </c>
      <c r="O146" s="152">
        <f t="shared" ref="O146:O151" si="47">N146*J146</f>
        <v>-818.69204015999992</v>
      </c>
      <c r="P146" s="69">
        <f t="shared" ref="P146:P151" si="48">O146+J146</f>
        <v>12826.175295839999</v>
      </c>
    </row>
    <row r="147" spans="1:16" x14ac:dyDescent="0.25">
      <c r="A147" s="149" t="s">
        <v>60</v>
      </c>
      <c r="B147" s="2" t="s">
        <v>8</v>
      </c>
      <c r="C147" s="299" t="str">
        <f>_xlfn.XLOOKUP(B147,'Brand Managers'!A:A,'Brand Managers'!B:B)</f>
        <v>Tom Gibbons</v>
      </c>
      <c r="D147" s="42" t="str">
        <f>_xlfn.XLOOKUP(F147,'DATA - Segments'!C:C,'DATA - Segments'!D:D)</f>
        <v>Beer</v>
      </c>
      <c r="E147" s="42" t="str">
        <f>_xlfn.XLOOKUP(F147,'DATA - Segments'!C:C,'DATA - Segments'!E:E)</f>
        <v>Beer - Craft</v>
      </c>
      <c r="F147" s="203" t="str">
        <f t="shared" si="35"/>
        <v>Saranac|FX Matt</v>
      </c>
      <c r="G147" s="203" t="str">
        <f t="shared" si="36"/>
        <v>Saranac|FX Matt|Beer|Beer - Craft</v>
      </c>
      <c r="H147" s="150">
        <f>_xlfn.XLOOKUP(F147,'DATA - 2025 Review'!C:C,'DATA - 2025 Review'!I:I,"")</f>
        <v>10496.8368880665</v>
      </c>
      <c r="I147" s="151">
        <f>_xlfn.XLOOKUP(F147,'DATA - 2025 Review'!C:C,'DATA - 2025 Review'!J:J)</f>
        <v>-0.11475022864641959</v>
      </c>
      <c r="J147" s="150">
        <f>_xlfn.XLOOKUP(F147,'2025 Finish (ACTUAL)'!$C:$C,'2025 Finish (ACTUAL)'!$D:$D)</f>
        <v>10528.611117</v>
      </c>
      <c r="K147" s="146">
        <v>-5.5E-2</v>
      </c>
      <c r="L147" s="152">
        <f t="shared" si="24"/>
        <v>-579.07361143499998</v>
      </c>
      <c r="M147" s="152">
        <f t="shared" si="46"/>
        <v>9949.5375055650002</v>
      </c>
      <c r="N147" s="146">
        <v>-5.5E-2</v>
      </c>
      <c r="O147" s="152">
        <f t="shared" si="47"/>
        <v>-579.07361143499998</v>
      </c>
      <c r="P147" s="69">
        <f t="shared" si="48"/>
        <v>9949.5375055650002</v>
      </c>
    </row>
    <row r="148" spans="1:16" x14ac:dyDescent="0.25">
      <c r="A148" s="149" t="s">
        <v>262</v>
      </c>
      <c r="B148" s="2" t="s">
        <v>8</v>
      </c>
      <c r="C148" s="299" t="str">
        <f>_xlfn.XLOOKUP(B148,'Brand Managers'!A:A,'Brand Managers'!B:B)</f>
        <v>Tom Gibbons</v>
      </c>
      <c r="D148" s="42" t="str">
        <f>_xlfn.XLOOKUP(F148,'DATA - Segments'!C:C,'DATA - Segments'!D:D)</f>
        <v>Beer</v>
      </c>
      <c r="E148" s="42" t="str">
        <f>_xlfn.XLOOKUP(F148,'DATA - Segments'!C:C,'DATA - Segments'!E:E)</f>
        <v>Beer - Craft</v>
      </c>
      <c r="F148" s="203" t="str">
        <f t="shared" si="35"/>
        <v>Friday Beers|FX Matt</v>
      </c>
      <c r="G148" s="203" t="str">
        <f t="shared" si="36"/>
        <v>Friday Beers|FX Matt|Beer|Beer - Craft</v>
      </c>
      <c r="H148" s="212">
        <v>1100</v>
      </c>
      <c r="I148" s="151">
        <f>_xlfn.XLOOKUP(F148,'DATA - 2025 Review'!C:C,'DATA - 2025 Review'!J:J)</f>
        <v>2.8912529574468087</v>
      </c>
      <c r="J148" s="150">
        <f>_xlfn.XLOOKUP(F148,'2025 Finish (ACTUAL)'!$C:$C,'2025 Finish (ACTUAL)'!$D:$D)</f>
        <v>1044.777779</v>
      </c>
      <c r="K148" s="146">
        <v>0.02</v>
      </c>
      <c r="L148" s="152">
        <f t="shared" si="24"/>
        <v>20.89555558</v>
      </c>
      <c r="M148" s="152">
        <f t="shared" si="46"/>
        <v>1065.6733345800001</v>
      </c>
      <c r="N148" s="146">
        <v>0.02</v>
      </c>
      <c r="O148" s="152">
        <f t="shared" si="47"/>
        <v>20.89555558</v>
      </c>
      <c r="P148" s="69">
        <f t="shared" si="48"/>
        <v>1065.6733345800001</v>
      </c>
    </row>
    <row r="149" spans="1:16" x14ac:dyDescent="0.25">
      <c r="A149" s="149" t="s">
        <v>246</v>
      </c>
      <c r="B149" s="2" t="s">
        <v>8</v>
      </c>
      <c r="C149" s="299" t="str">
        <f>_xlfn.XLOOKUP(B149,'Brand Managers'!A:A,'Brand Managers'!B:B)</f>
        <v>Tom Gibbons</v>
      </c>
      <c r="D149" s="42" t="str">
        <f>_xlfn.XLOOKUP(F149,'DATA - Segments'!C:C,'DATA - Segments'!D:D)</f>
        <v>Beer</v>
      </c>
      <c r="E149" s="42" t="str">
        <f>_xlfn.XLOOKUP(F149,'DATA - Segments'!C:C,'DATA - Segments'!E:E)</f>
        <v>Beer - Import</v>
      </c>
      <c r="F149" s="203" t="str">
        <f t="shared" si="35"/>
        <v>Kingfisher Premium|FX Matt</v>
      </c>
      <c r="G149" s="203" t="str">
        <f t="shared" si="36"/>
        <v>Kingfisher Premium|FX Matt|Beer|Beer - Import</v>
      </c>
      <c r="H149" s="150">
        <f>_xlfn.XLOOKUP(F149,'DATA - 2025 Review'!C:C,'DATA - 2025 Review'!I:I,"")</f>
        <v>1675.9799399999999</v>
      </c>
      <c r="I149" s="151">
        <f>_xlfn.XLOOKUP(F149,'DATA - 2025 Review'!C:C,'DATA - 2025 Review'!J:J)</f>
        <v>-0.11041404458598725</v>
      </c>
      <c r="J149" s="150">
        <f>_xlfn.XLOOKUP(F149,'2025 Finish (ACTUAL)'!$C:$C,'2025 Finish (ACTUAL)'!$D:$D)</f>
        <v>1678</v>
      </c>
      <c r="K149" s="146">
        <v>-5.5E-2</v>
      </c>
      <c r="L149" s="152">
        <f t="shared" si="24"/>
        <v>-92.29</v>
      </c>
      <c r="M149" s="152">
        <f t="shared" si="46"/>
        <v>1585.71</v>
      </c>
      <c r="N149" s="146">
        <v>-5.5E-2</v>
      </c>
      <c r="O149" s="152">
        <f t="shared" si="47"/>
        <v>-92.29</v>
      </c>
      <c r="P149" s="69">
        <f t="shared" si="48"/>
        <v>1585.71</v>
      </c>
    </row>
    <row r="150" spans="1:16" x14ac:dyDescent="0.25">
      <c r="A150" s="149" t="s">
        <v>37</v>
      </c>
      <c r="B150" s="2" t="s">
        <v>8</v>
      </c>
      <c r="C150" s="299" t="str">
        <f>_xlfn.XLOOKUP(B150,'Brand Managers'!A:A,'Brand Managers'!B:B)</f>
        <v>Tom Gibbons</v>
      </c>
      <c r="D150" s="42" t="str">
        <f>_xlfn.XLOOKUP(F150,'DATA - Segments'!C:C,'DATA - Segments'!D:D)</f>
        <v>Cider</v>
      </c>
      <c r="E150" s="42" t="str">
        <f>_xlfn.XLOOKUP(F150,'DATA - Segments'!C:C,'DATA - Segments'!E:E)</f>
        <v>Cider</v>
      </c>
      <c r="F150" s="203" t="str">
        <f t="shared" si="35"/>
        <v>Mckenzie's|FX Matt</v>
      </c>
      <c r="G150" s="203" t="str">
        <f t="shared" si="36"/>
        <v>Mckenzie's|FX Matt|Cider|Cider</v>
      </c>
      <c r="H150" s="150">
        <f>_xlfn.XLOOKUP(F150,'DATA - 2025 Review'!C:C,'DATA - 2025 Review'!I:I,"")</f>
        <v>292.76646099999999</v>
      </c>
      <c r="I150" s="151">
        <f>_xlfn.XLOOKUP(F150,'DATA - 2025 Review'!C:C,'DATA - 2025 Review'!J:J)</f>
        <v>-0.14144732844574781</v>
      </c>
      <c r="J150" s="150">
        <f>_xlfn.XLOOKUP(F150,'2025 Finish (ACTUAL)'!$C:$C,'2025 Finish (ACTUAL)'!$D:$D)</f>
        <v>311</v>
      </c>
      <c r="K150" s="146">
        <v>-0.1</v>
      </c>
      <c r="L150" s="152">
        <f t="shared" si="24"/>
        <v>-31.1</v>
      </c>
      <c r="M150" s="152">
        <f t="shared" si="46"/>
        <v>279.89999999999998</v>
      </c>
      <c r="N150" s="146">
        <v>-0.1</v>
      </c>
      <c r="O150" s="152">
        <f t="shared" si="47"/>
        <v>-31.1</v>
      </c>
      <c r="P150" s="69">
        <f t="shared" si="48"/>
        <v>279.89999999999998</v>
      </c>
    </row>
    <row r="151" spans="1:16" x14ac:dyDescent="0.25">
      <c r="A151" s="149" t="s">
        <v>400</v>
      </c>
      <c r="B151" s="2" t="s">
        <v>8</v>
      </c>
      <c r="C151" s="299" t="str">
        <f>_xlfn.XLOOKUP(B151,'Brand Managers'!A:A,'Brand Managers'!B:B)</f>
        <v>Tom Gibbons</v>
      </c>
      <c r="D151" s="42" t="str">
        <f>_xlfn.XLOOKUP(F151,'DATA - Segments'!C:C,'DATA - Segments'!D:D)</f>
        <v>RTD</v>
      </c>
      <c r="E151" s="42" t="str">
        <f>_xlfn.XLOOKUP(F151,'DATA - Segments'!C:C,'DATA - Segments'!E:E)</f>
        <v>RTD</v>
      </c>
      <c r="F151" s="203" t="str">
        <f t="shared" si="35"/>
        <v>Right Coast|FX Matt</v>
      </c>
      <c r="G151" s="203" t="str">
        <f t="shared" si="36"/>
        <v>Right Coast|FX Matt|RTD|RTD</v>
      </c>
      <c r="H151" s="150">
        <f>_xlfn.XLOOKUP(F151,'DATA - 2025 Review'!C:C,'DATA - 2025 Review'!I:I,"")</f>
        <v>1596.7420004056419</v>
      </c>
      <c r="I151" s="151">
        <f>_xlfn.XLOOKUP(F151,'DATA - 2025 Review'!C:C,'DATA - 2025 Review'!J:J)</f>
        <v>0.14384615163002268</v>
      </c>
      <c r="J151" s="150">
        <f>_xlfn.XLOOKUP(F151,'2025 Finish (ACTUAL)'!$C:$C,'2025 Finish (ACTUAL)'!$D:$D)</f>
        <v>1598.0828300000001</v>
      </c>
      <c r="K151" s="146">
        <v>3.5000000000000003E-2</v>
      </c>
      <c r="L151" s="152">
        <f t="shared" si="24"/>
        <v>55.93289905000001</v>
      </c>
      <c r="M151" s="152">
        <f t="shared" si="46"/>
        <v>1654.0157290500001</v>
      </c>
      <c r="N151" s="146">
        <v>3.5000000000000003E-2</v>
      </c>
      <c r="O151" s="152">
        <f t="shared" si="47"/>
        <v>55.93289905000001</v>
      </c>
      <c r="P151" s="69">
        <f t="shared" si="48"/>
        <v>1654.0157290500001</v>
      </c>
    </row>
    <row r="152" spans="1:16" x14ac:dyDescent="0.25">
      <c r="A152" s="143" t="s">
        <v>346</v>
      </c>
      <c r="B152" s="202"/>
      <c r="C152" s="202" t="str">
        <f>_xlfn.XLOOKUP(A152,'Brand Managers'!A:A,'Brand Managers'!B:B)</f>
        <v>Tom Gibbons</v>
      </c>
      <c r="D152" s="202"/>
      <c r="E152" s="202"/>
      <c r="F152" s="203" t="str">
        <f t="shared" si="35"/>
        <v>Famosa|</v>
      </c>
      <c r="G152" s="203" t="str">
        <f t="shared" si="36"/>
        <v>Famosa|||</v>
      </c>
      <c r="H152" s="144">
        <f>_xlfn.XLOOKUP(F152,'DATA - 2025 Review'!C:C,'DATA - 2025 Review'!I:I,"")</f>
        <v>40300.258156176584</v>
      </c>
      <c r="I152" s="145">
        <f>_xlfn.XLOOKUP(F152,'DATA - 2025 Review'!C:C,'DATA - 2025 Review'!J:J)</f>
        <v>7.9358784469305554E-2</v>
      </c>
      <c r="J152" s="144">
        <f>_xlfn.XLOOKUP(F152,'2025 Finish (ACTUAL)'!$C:$C,'2025 Finish (ACTUAL)'!$D:$D)</f>
        <v>38245.186970000002</v>
      </c>
      <c r="K152" s="145">
        <f>L152/J152</f>
        <v>2.5160804547898385E-2</v>
      </c>
      <c r="L152" s="147">
        <f>SUMIF(B:B,A152,L:L)</f>
        <v>962.27967425000008</v>
      </c>
      <c r="M152" s="147">
        <f>SUMIF(B:B,A152,M:M)</f>
        <v>39207.466644250002</v>
      </c>
      <c r="N152" s="145">
        <f>O152/J152</f>
        <v>2.5003922062143864E-2</v>
      </c>
      <c r="O152" s="147">
        <f>SUMIF(B:B,A152,O:O)</f>
        <v>956.27967425000008</v>
      </c>
      <c r="P152" s="148">
        <f>SUMIF(B:B,A152,P:P)</f>
        <v>39201.466644250002</v>
      </c>
    </row>
    <row r="153" spans="1:16" x14ac:dyDescent="0.25">
      <c r="A153" s="149" t="s">
        <v>346</v>
      </c>
      <c r="B153" s="2" t="s">
        <v>346</v>
      </c>
      <c r="C153" s="299" t="str">
        <f>_xlfn.XLOOKUP(B153,'Brand Managers'!A:A,'Brand Managers'!B:B)</f>
        <v>Tom Gibbons</v>
      </c>
      <c r="D153" s="42" t="str">
        <f>_xlfn.XLOOKUP(F153,'DATA - Segments'!C:C,'DATA - Segments'!D:D)</f>
        <v>Beer</v>
      </c>
      <c r="E153" s="42" t="str">
        <f>_xlfn.XLOOKUP(F153,'DATA - Segments'!C:C,'DATA - Segments'!E:E)</f>
        <v>Beer - Import</v>
      </c>
      <c r="F153" s="203" t="str">
        <f t="shared" si="35"/>
        <v>Famosa|Famosa</v>
      </c>
      <c r="G153" s="203" t="str">
        <f t="shared" si="36"/>
        <v>Famosa|Famosa|Beer|Beer - Import</v>
      </c>
      <c r="H153" s="150">
        <f>_xlfn.XLOOKUP(F153,'DATA - 2025 Review'!C:C,'DATA - 2025 Review'!I:I,"")</f>
        <v>40410.928558309548</v>
      </c>
      <c r="I153" s="151">
        <f>_xlfn.XLOOKUP(F153,'DATA - 2025 Review'!C:C,'DATA - 2025 Review'!J:J)</f>
        <v>9.8235817863592922E-2</v>
      </c>
      <c r="J153" s="150">
        <f>_xlfn.XLOOKUP(F153,'2025 Finish (ACTUAL)'!$C:$C,'2025 Finish (ACTUAL)'!$D:$D)</f>
        <v>38251.186970000002</v>
      </c>
      <c r="K153" s="146">
        <v>2.5000000000000001E-2</v>
      </c>
      <c r="L153" s="152">
        <f t="shared" si="24"/>
        <v>956.27967425000008</v>
      </c>
      <c r="M153" s="152">
        <f t="shared" ref="M153:M154" si="49">L153+J153</f>
        <v>39207.466644250002</v>
      </c>
      <c r="N153" s="146">
        <v>2.5000000000000001E-2</v>
      </c>
      <c r="O153" s="152">
        <f t="shared" ref="O153:O154" si="50">N153*J153</f>
        <v>956.27967425000008</v>
      </c>
      <c r="P153" s="69">
        <f t="shared" ref="P153:P154" si="51">O153+J153</f>
        <v>39207.466644250002</v>
      </c>
    </row>
    <row r="154" spans="1:16" x14ac:dyDescent="0.25">
      <c r="A154" s="156" t="s">
        <v>317</v>
      </c>
      <c r="B154" s="283" t="s">
        <v>346</v>
      </c>
      <c r="C154" s="283"/>
      <c r="D154" s="286" t="str">
        <f>_xlfn.XLOOKUP(F154,'DATA - Segments'!C:C,'DATA - Segments'!D:D)</f>
        <v>Beer</v>
      </c>
      <c r="E154" s="286" t="str">
        <f>_xlfn.XLOOKUP(F154,'DATA - Segments'!C:C,'DATA - Segments'!E:E)</f>
        <v>Beer - Import</v>
      </c>
      <c r="F154" s="287" t="str">
        <f t="shared" si="35"/>
        <v>Monte Carlo|Famosa</v>
      </c>
      <c r="G154" s="287" t="str">
        <f t="shared" si="36"/>
        <v>Monte Carlo|Famosa|Beer|Beer - Import</v>
      </c>
      <c r="H154" s="273">
        <f>_xlfn.XLOOKUP(F154,'DATA - 2025 Review'!C:C,'DATA - 2025 Review'!I:I,"")</f>
        <v>-6.0559699999999994</v>
      </c>
      <c r="I154" s="281">
        <f>_xlfn.XLOOKUP(F154,'DATA - 2025 Review'!C:C,'DATA - 2025 Review'!J:J)</f>
        <v>-1.0111940295748614</v>
      </c>
      <c r="J154" s="273">
        <f>_xlfn.XLOOKUP(F154,'2025 Finish (ACTUAL)'!$C:$C,'2025 Finish (ACTUAL)'!$D:$D)</f>
        <v>-6</v>
      </c>
      <c r="K154" s="288">
        <v>-1</v>
      </c>
      <c r="L154" s="274">
        <f t="shared" si="24"/>
        <v>6</v>
      </c>
      <c r="M154" s="274">
        <f t="shared" si="49"/>
        <v>0</v>
      </c>
      <c r="N154" s="281"/>
      <c r="O154" s="274">
        <f t="shared" si="50"/>
        <v>0</v>
      </c>
      <c r="P154" s="275">
        <f t="shared" si="51"/>
        <v>-6</v>
      </c>
    </row>
    <row r="155" spans="1:16" x14ac:dyDescent="0.25">
      <c r="A155" s="143" t="s">
        <v>379</v>
      </c>
      <c r="B155" s="202"/>
      <c r="C155" s="202" t="str">
        <f>_xlfn.XLOOKUP(A155,'Brand Managers'!A:A,'Brand Managers'!B:B)</f>
        <v>Tom Gibbons</v>
      </c>
      <c r="D155" s="202"/>
      <c r="E155" s="202"/>
      <c r="F155" s="203" t="str">
        <f t="shared" si="35"/>
        <v>Radeberger USA|</v>
      </c>
      <c r="G155" s="203" t="str">
        <f t="shared" si="36"/>
        <v>Radeberger USA|||</v>
      </c>
      <c r="H155" s="144">
        <f>_xlfn.XLOOKUP(F155,'DATA - 2025 Review'!C:C,'DATA - 2025 Review'!I:I,"")</f>
        <v>34049.584253045854</v>
      </c>
      <c r="I155" s="145">
        <f>_xlfn.XLOOKUP(F155,'DATA - 2025 Review'!C:C,'DATA - 2025 Review'!J:J)</f>
        <v>-0.10363230614445007</v>
      </c>
      <c r="J155" s="144">
        <f>_xlfn.XLOOKUP(F155,'2025 Finish (ACTUAL)'!$C:$C,'2025 Finish (ACTUAL)'!$D:$D)</f>
        <v>34224.507486000002</v>
      </c>
      <c r="K155" s="145">
        <f>L155/J155</f>
        <v>1.8478800020736694E-2</v>
      </c>
      <c r="L155" s="147">
        <f>SUMIF(B:B,A155,L:L)</f>
        <v>632.42782964200001</v>
      </c>
      <c r="M155" s="147">
        <f>SUMIF(B:B,A155,M:M)</f>
        <v>34856.935315642004</v>
      </c>
      <c r="N155" s="145">
        <f>O155/J155</f>
        <v>-7.5772324815508676E-2</v>
      </c>
      <c r="O155" s="147">
        <f>SUMIF(B:B,A155,O:O)</f>
        <v>-2593.2704978800002</v>
      </c>
      <c r="P155" s="148">
        <f>SUMIF(B:B,A155,P:P)</f>
        <v>31631.236988119999</v>
      </c>
    </row>
    <row r="156" spans="1:16" x14ac:dyDescent="0.25">
      <c r="A156" s="149" t="s">
        <v>165</v>
      </c>
      <c r="B156" s="2" t="s">
        <v>379</v>
      </c>
      <c r="C156" s="299" t="str">
        <f>_xlfn.XLOOKUP(B156,'Brand Managers'!A:A,'Brand Managers'!B:B)</f>
        <v>Tom Gibbons</v>
      </c>
      <c r="D156" s="42" t="str">
        <f>_xlfn.XLOOKUP(F156,'DATA - Segments'!C:C,'DATA - Segments'!D:D)</f>
        <v>Beer</v>
      </c>
      <c r="E156" s="42" t="str">
        <f>_xlfn.XLOOKUP(F156,'DATA - Segments'!C:C,'DATA - Segments'!E:E)</f>
        <v>Beer - Import</v>
      </c>
      <c r="F156" s="203" t="str">
        <f t="shared" si="35"/>
        <v>Dab|Radeberger USA</v>
      </c>
      <c r="G156" s="203" t="str">
        <f t="shared" si="36"/>
        <v>Dab|Radeberger USA|Beer|Beer - Import</v>
      </c>
      <c r="H156" s="150">
        <f>_xlfn.XLOOKUP(F156,'DATA - 2025 Review'!C:C,'DATA - 2025 Review'!I:I,"")</f>
        <v>16032.093408441313</v>
      </c>
      <c r="I156" s="151">
        <f>_xlfn.XLOOKUP(F156,'DATA - 2025 Review'!C:C,'DATA - 2025 Review'!J:J)</f>
        <v>-2.5931834384803953E-2</v>
      </c>
      <c r="J156" s="150">
        <f>_xlfn.XLOOKUP(F156,'2025 Finish (ACTUAL)'!$C:$C,'2025 Finish (ACTUAL)'!$D:$D)</f>
        <v>16176.259998</v>
      </c>
      <c r="K156" s="146">
        <v>2.7E-2</v>
      </c>
      <c r="L156" s="152">
        <f t="shared" si="24"/>
        <v>436.75901994599997</v>
      </c>
      <c r="M156" s="152">
        <f t="shared" ref="M156:M159" si="52">L156+J156</f>
        <v>16613.019017946001</v>
      </c>
      <c r="N156" s="146">
        <v>-2.5000000000000001E-2</v>
      </c>
      <c r="O156" s="152">
        <f t="shared" ref="O156:O159" si="53">N156*J156</f>
        <v>-404.40649995000001</v>
      </c>
      <c r="P156" s="69">
        <f t="shared" ref="P156:P159" si="54">O156+J156</f>
        <v>15771.853498049999</v>
      </c>
    </row>
    <row r="157" spans="1:16" x14ac:dyDescent="0.25">
      <c r="A157" s="149" t="s">
        <v>61</v>
      </c>
      <c r="B157" s="2" t="s">
        <v>379</v>
      </c>
      <c r="C157" s="299" t="str">
        <f>_xlfn.XLOOKUP(B157,'Brand Managers'!A:A,'Brand Managers'!B:B)</f>
        <v>Tom Gibbons</v>
      </c>
      <c r="D157" s="42" t="str">
        <f>_xlfn.XLOOKUP(F157,'DATA - Segments'!C:C,'DATA - Segments'!D:D)</f>
        <v>Beer</v>
      </c>
      <c r="E157" s="42" t="str">
        <f>_xlfn.XLOOKUP(F157,'DATA - Segments'!C:C,'DATA - Segments'!E:E)</f>
        <v>Beer - Import</v>
      </c>
      <c r="F157" s="203" t="str">
        <f t="shared" si="35"/>
        <v>Schofferhofer|Radeberger USA</v>
      </c>
      <c r="G157" s="203" t="str">
        <f t="shared" si="36"/>
        <v>Schofferhofer|Radeberger USA|Beer|Beer - Import</v>
      </c>
      <c r="H157" s="150">
        <f>_xlfn.XLOOKUP(F157,'DATA - 2025 Review'!C:C,'DATA - 2025 Review'!I:I,"")</f>
        <v>9467.4186111078579</v>
      </c>
      <c r="I157" s="151">
        <f>_xlfn.XLOOKUP(F157,'DATA - 2025 Review'!C:C,'DATA - 2025 Review'!J:J)</f>
        <v>-0.19085884667350073</v>
      </c>
      <c r="J157" s="150">
        <f>_xlfn.XLOOKUP(F157,'2025 Finish (ACTUAL)'!$C:$C,'2025 Finish (ACTUAL)'!$D:$D)</f>
        <v>9457.3883779999996</v>
      </c>
      <c r="K157" s="146">
        <v>5.0000000000000001E-3</v>
      </c>
      <c r="L157" s="152">
        <f t="shared" si="24"/>
        <v>47.286941890000001</v>
      </c>
      <c r="M157" s="152">
        <f t="shared" si="52"/>
        <v>9504.6753198900005</v>
      </c>
      <c r="N157" s="146">
        <v>-0.15</v>
      </c>
      <c r="O157" s="152">
        <f t="shared" si="53"/>
        <v>-1418.6082566999999</v>
      </c>
      <c r="P157" s="69">
        <f t="shared" si="54"/>
        <v>8038.7801213000002</v>
      </c>
    </row>
    <row r="158" spans="1:16" x14ac:dyDescent="0.25">
      <c r="A158" s="149" t="s">
        <v>401</v>
      </c>
      <c r="B158" s="2" t="s">
        <v>379</v>
      </c>
      <c r="C158" s="299" t="str">
        <f>_xlfn.XLOOKUP(B158,'Brand Managers'!A:A,'Brand Managers'!B:B)</f>
        <v>Tom Gibbons</v>
      </c>
      <c r="D158" s="42" t="str">
        <f>_xlfn.XLOOKUP(F158,'DATA - Segments'!C:C,'DATA - Segments'!D:D)</f>
        <v>Beer</v>
      </c>
      <c r="E158" s="42" t="str">
        <f>_xlfn.XLOOKUP(F158,'DATA - Segments'!C:C,'DATA - Segments'!E:E)</f>
        <v>Beer - Import</v>
      </c>
      <c r="F158" s="203" t="str">
        <f t="shared" si="35"/>
        <v>Radeberger|Radeberger USA</v>
      </c>
      <c r="G158" s="203" t="str">
        <f t="shared" si="36"/>
        <v>Radeberger|Radeberger USA|Beer|Beer - Import</v>
      </c>
      <c r="H158" s="150">
        <f>_xlfn.XLOOKUP(F158,'DATA - 2025 Review'!C:C,'DATA - 2025 Review'!I:I,"")</f>
        <v>5974.8657273663684</v>
      </c>
      <c r="I158" s="151">
        <f>_xlfn.XLOOKUP(F158,'DATA - 2025 Review'!C:C,'DATA - 2025 Review'!J:J)</f>
        <v>-0.10949176025770058</v>
      </c>
      <c r="J158" s="150">
        <f>_xlfn.XLOOKUP(F158,'2025 Finish (ACTUAL)'!$C:$C,'2025 Finish (ACTUAL)'!$D:$D)</f>
        <v>5922.0113179999998</v>
      </c>
      <c r="K158" s="146">
        <v>2.1000000000000001E-2</v>
      </c>
      <c r="L158" s="152">
        <f t="shared" si="24"/>
        <v>124.362237678</v>
      </c>
      <c r="M158" s="152">
        <f t="shared" si="52"/>
        <v>6046.3735556780002</v>
      </c>
      <c r="N158" s="146">
        <v>-8.5000000000000006E-2</v>
      </c>
      <c r="O158" s="152">
        <f t="shared" si="53"/>
        <v>-503.37096203000004</v>
      </c>
      <c r="P158" s="69">
        <f t="shared" si="54"/>
        <v>5418.6403559700002</v>
      </c>
    </row>
    <row r="159" spans="1:16" x14ac:dyDescent="0.25">
      <c r="A159" s="149" t="s">
        <v>402</v>
      </c>
      <c r="B159" s="2" t="s">
        <v>379</v>
      </c>
      <c r="C159" s="299" t="str">
        <f>_xlfn.XLOOKUP(B159,'Brand Managers'!A:A,'Brand Managers'!B:B)</f>
        <v>Tom Gibbons</v>
      </c>
      <c r="D159" s="42" t="str">
        <f>_xlfn.XLOOKUP(F159,'DATA - Segments'!C:C,'DATA - Segments'!D:D)</f>
        <v>Beer</v>
      </c>
      <c r="E159" s="42" t="str">
        <f>_xlfn.XLOOKUP(F159,'DATA - Segments'!C:C,'DATA - Segments'!E:E)</f>
        <v>Beer - Non-Alc</v>
      </c>
      <c r="F159" s="203" t="str">
        <f t="shared" si="35"/>
        <v>Clausthaler|Radeberger USA</v>
      </c>
      <c r="G159" s="203" t="str">
        <f t="shared" si="36"/>
        <v>Clausthaler|Radeberger USA|Beer|Beer - Non-Alc</v>
      </c>
      <c r="H159" s="150">
        <f>_xlfn.XLOOKUP(F159,'DATA - 2025 Review'!C:C,'DATA - 2025 Review'!I:I,"")</f>
        <v>2619.7922302087677</v>
      </c>
      <c r="I159" s="151">
        <f>_xlfn.XLOOKUP(F159,'DATA - 2025 Review'!C:C,'DATA - 2025 Review'!J:J)</f>
        <v>-0.1595683979198067</v>
      </c>
      <c r="J159" s="150">
        <f>_xlfn.XLOOKUP(F159,'2025 Finish (ACTUAL)'!$C:$C,'2025 Finish (ACTUAL)'!$D:$D)</f>
        <v>2668.847792</v>
      </c>
      <c r="K159" s="146">
        <v>8.9999999999999993E-3</v>
      </c>
      <c r="L159" s="152">
        <f t="shared" si="24"/>
        <v>24.019630127999999</v>
      </c>
      <c r="M159" s="152">
        <f t="shared" si="52"/>
        <v>2692.8674221279998</v>
      </c>
      <c r="N159" s="146">
        <v>-0.1</v>
      </c>
      <c r="O159" s="152">
        <f t="shared" si="53"/>
        <v>-266.88477920000003</v>
      </c>
      <c r="P159" s="69">
        <f t="shared" si="54"/>
        <v>2401.9630127999999</v>
      </c>
    </row>
    <row r="160" spans="1:16" x14ac:dyDescent="0.25">
      <c r="A160" s="143" t="s">
        <v>93</v>
      </c>
      <c r="B160" s="202"/>
      <c r="C160" s="202" t="str">
        <f>_xlfn.XLOOKUP(A160,'Brand Managers'!A:A,'Brand Managers'!B:B)</f>
        <v>Chris Politano</v>
      </c>
      <c r="D160" s="202"/>
      <c r="E160" s="202"/>
      <c r="F160" s="203" t="str">
        <f t="shared" si="35"/>
        <v>Montauk Brewing Co|</v>
      </c>
      <c r="G160" s="203" t="str">
        <f t="shared" si="36"/>
        <v>Montauk Brewing Co|||</v>
      </c>
      <c r="H160" s="144">
        <f>_xlfn.XLOOKUP(F160,'DATA - 2025 Review'!C:C,'DATA - 2025 Review'!I:I,"")</f>
        <v>28763.732276443232</v>
      </c>
      <c r="I160" s="145">
        <f>_xlfn.XLOOKUP(F160,'DATA - 2025 Review'!C:C,'DATA - 2025 Review'!J:J)</f>
        <v>-0.11710969913705338</v>
      </c>
      <c r="J160" s="144">
        <f>_xlfn.XLOOKUP(F160,'2025 Finish (ACTUAL)'!$C:$C,'2025 Finish (ACTUAL)'!$D:$D)</f>
        <v>29129.403114000001</v>
      </c>
      <c r="K160" s="145">
        <f>L160/J160</f>
        <v>6.5000000000000002E-2</v>
      </c>
      <c r="L160" s="147">
        <f>SUMIF(B:B,A160,L:L)</f>
        <v>1893.4112024100002</v>
      </c>
      <c r="M160" s="147">
        <f>SUMIF(B:B,A160,M:M)</f>
        <v>31022.81431641</v>
      </c>
      <c r="N160" s="145">
        <f>O160/J160</f>
        <v>0.1</v>
      </c>
      <c r="O160" s="147">
        <f>SUMIF(B:B,A160,O:O)</f>
        <v>2912.9403114000002</v>
      </c>
      <c r="P160" s="148">
        <f>SUMIF(B:B,A160,P:P)</f>
        <v>32042.343425400002</v>
      </c>
    </row>
    <row r="161" spans="1:16" x14ac:dyDescent="0.25">
      <c r="A161" s="149" t="s">
        <v>347</v>
      </c>
      <c r="B161" s="2" t="s">
        <v>93</v>
      </c>
      <c r="C161" s="299" t="str">
        <f>_xlfn.XLOOKUP(B161,'Brand Managers'!A:A,'Brand Managers'!B:B)</f>
        <v>Chris Politano</v>
      </c>
      <c r="D161" s="42" t="str">
        <f>_xlfn.XLOOKUP(F161,'DATA - Segments'!C:C,'DATA - Segments'!D:D)</f>
        <v>Beer</v>
      </c>
      <c r="E161" s="42" t="str">
        <f>_xlfn.XLOOKUP(F161,'DATA - Segments'!C:C,'DATA - Segments'!E:E)</f>
        <v>Beer - Craft</v>
      </c>
      <c r="F161" s="203" t="str">
        <f t="shared" si="35"/>
        <v>Montauk|Montauk Brewing Co</v>
      </c>
      <c r="G161" s="203" t="str">
        <f t="shared" si="36"/>
        <v>Montauk|Montauk Brewing Co|Beer|Beer - Craft</v>
      </c>
      <c r="H161" s="150">
        <f>_xlfn.XLOOKUP(F161,'DATA - 2025 Review'!C:C,'DATA - 2025 Review'!I:I,"")</f>
        <v>28763.732276443232</v>
      </c>
      <c r="I161" s="151">
        <f>_xlfn.XLOOKUP(F161,'DATA - 2025 Review'!C:C,'DATA - 2025 Review'!J:J)</f>
        <v>-0.11710969913705338</v>
      </c>
      <c r="J161" s="150">
        <f>_xlfn.XLOOKUP(F161,'2025 Finish (ACTUAL)'!$C:$C,'2025 Finish (ACTUAL)'!$D:$D)</f>
        <v>29129.403114000001</v>
      </c>
      <c r="K161" s="146">
        <v>6.5000000000000002E-2</v>
      </c>
      <c r="L161" s="152">
        <f t="shared" si="24"/>
        <v>1893.4112024100002</v>
      </c>
      <c r="M161" s="152">
        <f>L161+J161</f>
        <v>31022.81431641</v>
      </c>
      <c r="N161" s="146">
        <v>0.1</v>
      </c>
      <c r="O161" s="152">
        <f>N161*J161</f>
        <v>2912.9403114000002</v>
      </c>
      <c r="P161" s="69">
        <f>O161+J161</f>
        <v>32042.343425400002</v>
      </c>
    </row>
    <row r="162" spans="1:16" x14ac:dyDescent="0.25">
      <c r="A162" s="143" t="s">
        <v>113</v>
      </c>
      <c r="B162" s="202"/>
      <c r="C162" s="202" t="str">
        <f>_xlfn.XLOOKUP(A162,'Brand Managers'!A:A,'Brand Managers'!B:B)</f>
        <v>Sean Donahue</v>
      </c>
      <c r="D162" s="202"/>
      <c r="E162" s="202"/>
      <c r="F162" s="203" t="str">
        <f t="shared" si="35"/>
        <v>Cape May|</v>
      </c>
      <c r="G162" s="203" t="str">
        <f t="shared" si="36"/>
        <v>Cape May|||</v>
      </c>
      <c r="H162" s="144">
        <f>_xlfn.XLOOKUP(F162,'DATA - 2025 Review'!C:C,'DATA - 2025 Review'!I:I,"")</f>
        <v>27463.833199360532</v>
      </c>
      <c r="I162" s="145">
        <f>_xlfn.XLOOKUP(F162,'DATA - 2025 Review'!C:C,'DATA - 2025 Review'!J:J)</f>
        <v>-6.6718577142214075E-2</v>
      </c>
      <c r="J162" s="144">
        <f>_xlfn.XLOOKUP(F162,'2025 Finish (ACTUAL)'!$C:$C,'2025 Finish (ACTUAL)'!$D:$D)</f>
        <v>28056.722299000001</v>
      </c>
      <c r="K162" s="145">
        <f>L162/J162</f>
        <v>1.2999999999999999E-2</v>
      </c>
      <c r="L162" s="147">
        <f>SUMIF(B:B,A162,L:L)</f>
        <v>364.73738988700001</v>
      </c>
      <c r="M162" s="147">
        <f>SUMIF(B:B,A162,M:M)</f>
        <v>28421.459688887</v>
      </c>
      <c r="N162" s="145">
        <f>O162/J162</f>
        <v>-0.03</v>
      </c>
      <c r="O162" s="147">
        <f>SUMIF(B:B,A162,O:O)</f>
        <v>-841.70166897000001</v>
      </c>
      <c r="P162" s="148">
        <f>SUMIF(B:B,A162,P:P)</f>
        <v>27215.020630030001</v>
      </c>
    </row>
    <row r="163" spans="1:16" x14ac:dyDescent="0.25">
      <c r="A163" s="149" t="s">
        <v>113</v>
      </c>
      <c r="B163" s="2" t="s">
        <v>113</v>
      </c>
      <c r="C163" s="299" t="str">
        <f>_xlfn.XLOOKUP(B163,'Brand Managers'!A:A,'Brand Managers'!B:B)</f>
        <v>Sean Donahue</v>
      </c>
      <c r="D163" s="42" t="str">
        <f>_xlfn.XLOOKUP(F163,'DATA - Segments'!C:C,'DATA - Segments'!D:D)</f>
        <v>Beer</v>
      </c>
      <c r="E163" s="42" t="str">
        <f>_xlfn.XLOOKUP(F163,'DATA - Segments'!C:C,'DATA - Segments'!E:E)</f>
        <v>Beer - Craft</v>
      </c>
      <c r="F163" s="203" t="str">
        <f t="shared" si="35"/>
        <v>Cape May|Cape May</v>
      </c>
      <c r="G163" s="203" t="str">
        <f t="shared" si="36"/>
        <v>Cape May|Cape May|Beer|Beer - Craft</v>
      </c>
      <c r="H163" s="150">
        <f>_xlfn.XLOOKUP(F163,'DATA - 2025 Review'!C:C,'DATA - 2025 Review'!I:I,"")</f>
        <v>27463.833199360532</v>
      </c>
      <c r="I163" s="151">
        <f>_xlfn.XLOOKUP(F163,'DATA - 2025 Review'!C:C,'DATA - 2025 Review'!J:J)</f>
        <v>-6.6718577142214075E-2</v>
      </c>
      <c r="J163" s="150">
        <f>_xlfn.XLOOKUP(F163,'2025 Finish (ACTUAL)'!$C:$C,'2025 Finish (ACTUAL)'!$D:$D)</f>
        <v>28056.722299000001</v>
      </c>
      <c r="K163" s="146">
        <v>1.2999999999999999E-2</v>
      </c>
      <c r="L163" s="152">
        <f t="shared" si="24"/>
        <v>364.73738988700001</v>
      </c>
      <c r="M163" s="152">
        <f>L163+J163</f>
        <v>28421.459688887</v>
      </c>
      <c r="N163" s="146">
        <v>-0.03</v>
      </c>
      <c r="O163" s="152">
        <f>N163*J163</f>
        <v>-841.70166897000001</v>
      </c>
      <c r="P163" s="69">
        <f>O163+J163</f>
        <v>27215.020630030001</v>
      </c>
    </row>
    <row r="164" spans="1:16" x14ac:dyDescent="0.25">
      <c r="A164" s="143" t="s">
        <v>219</v>
      </c>
      <c r="B164" s="202"/>
      <c r="C164" s="202" t="str">
        <f>_xlfn.XLOOKUP(A164,'Brand Managers'!A:A,'Brand Managers'!B:B)</f>
        <v>Sean Donahue</v>
      </c>
      <c r="D164" s="202"/>
      <c r="E164" s="202"/>
      <c r="F164" s="203" t="str">
        <f t="shared" ref="F164:F195" si="55">A164&amp;"|"&amp;B164</f>
        <v>Victory Brewing Company|</v>
      </c>
      <c r="G164" s="203" t="str">
        <f t="shared" si="36"/>
        <v>Victory Brewing Company|||</v>
      </c>
      <c r="H164" s="144">
        <f>_xlfn.XLOOKUP(F164,'DATA - 2025 Review'!C:C,'DATA - 2025 Review'!I:I,"")</f>
        <v>21744.470978154779</v>
      </c>
      <c r="I164" s="145">
        <f>_xlfn.XLOOKUP(F164,'DATA - 2025 Review'!C:C,'DATA - 2025 Review'!J:J)</f>
        <v>-6.218868195232552E-2</v>
      </c>
      <c r="J164" s="144">
        <f>_xlfn.XLOOKUP(F164,'2025 Finish (ACTUAL)'!$C:$C,'2025 Finish (ACTUAL)'!$D:$D)</f>
        <v>21274.951422999999</v>
      </c>
      <c r="K164" s="145">
        <f>L164/J164</f>
        <v>2.3912982171841832E-2</v>
      </c>
      <c r="L164" s="147">
        <f>SUMIF(B:B,A164,L:L)</f>
        <v>508.74753408499998</v>
      </c>
      <c r="M164" s="147">
        <f>SUMIF(B:B,A164,M:M)</f>
        <v>21783.698957084998</v>
      </c>
      <c r="N164" s="145">
        <f>O164/J164</f>
        <v>-1.5780227857632379E-2</v>
      </c>
      <c r="O164" s="147">
        <f>SUMIF(B:B,A164,O:O)</f>
        <v>-335.72358111500023</v>
      </c>
      <c r="P164" s="148">
        <f>SUMIF(B:B,A164,P:P)</f>
        <v>20939.227841884996</v>
      </c>
    </row>
    <row r="165" spans="1:16" x14ac:dyDescent="0.25">
      <c r="A165" s="149" t="s">
        <v>9</v>
      </c>
      <c r="B165" s="2" t="s">
        <v>219</v>
      </c>
      <c r="C165" s="299" t="str">
        <f>_xlfn.XLOOKUP(B165,'Brand Managers'!A:A,'Brand Managers'!B:B)</f>
        <v>Sean Donahue</v>
      </c>
      <c r="D165" s="42" t="str">
        <f>_xlfn.XLOOKUP(F165,'DATA - Segments'!C:C,'DATA - Segments'!D:D)</f>
        <v>Beer</v>
      </c>
      <c r="E165" s="42" t="str">
        <f>_xlfn.XLOOKUP(F165,'DATA - Segments'!C:C,'DATA - Segments'!E:E)</f>
        <v>Beer - Craft</v>
      </c>
      <c r="F165" s="203" t="str">
        <f t="shared" si="55"/>
        <v>Monkey Family|Victory Brewing Company</v>
      </c>
      <c r="G165" s="203" t="str">
        <f t="shared" si="36"/>
        <v>Monkey Family|Victory Brewing Company|Beer|Beer - Craft</v>
      </c>
      <c r="H165" s="150">
        <f>_xlfn.XLOOKUP(F165,'DATA - 2025 Review'!C:C,'DATA - 2025 Review'!I:I,"")</f>
        <v>16695.426335801676</v>
      </c>
      <c r="I165" s="151">
        <f>_xlfn.XLOOKUP(F165,'DATA - 2025 Review'!C:C,'DATA - 2025 Review'!J:J)</f>
        <v>5.2981576918653683E-3</v>
      </c>
      <c r="J165" s="150">
        <f>_xlfn.XLOOKUP(F165,'2025 Finish (ACTUAL)'!$C:$C,'2025 Finish (ACTUAL)'!$D:$D)</f>
        <v>15997.006953</v>
      </c>
      <c r="K165" s="146">
        <v>4.4999999999999998E-2</v>
      </c>
      <c r="L165" s="152">
        <f t="shared" si="24"/>
        <v>719.86531288499998</v>
      </c>
      <c r="M165" s="152">
        <f t="shared" ref="M165:M166" si="56">L165+J165</f>
        <v>16716.872265884998</v>
      </c>
      <c r="N165" s="146">
        <v>4.4999999999999998E-2</v>
      </c>
      <c r="O165" s="152">
        <f t="shared" ref="O165:O166" si="57">N165*J165</f>
        <v>719.86531288499998</v>
      </c>
      <c r="P165" s="69">
        <f t="shared" ref="P165:P166" si="58">O165+J165</f>
        <v>16716.872265884998</v>
      </c>
    </row>
    <row r="166" spans="1:16" x14ac:dyDescent="0.25">
      <c r="A166" s="149" t="s">
        <v>220</v>
      </c>
      <c r="B166" s="2" t="s">
        <v>219</v>
      </c>
      <c r="C166" s="299" t="str">
        <f>_xlfn.XLOOKUP(B166,'Brand Managers'!A:A,'Brand Managers'!B:B)</f>
        <v>Sean Donahue</v>
      </c>
      <c r="D166" s="42" t="str">
        <f>_xlfn.XLOOKUP(F166,'DATA - Segments'!C:C,'DATA - Segments'!D:D)</f>
        <v>Beer</v>
      </c>
      <c r="E166" s="42" t="str">
        <f>_xlfn.XLOOKUP(F166,'DATA - Segments'!C:C,'DATA - Segments'!E:E)</f>
        <v>Beer - Craft</v>
      </c>
      <c r="F166" s="203" t="str">
        <f t="shared" si="55"/>
        <v>Victory|Victory Brewing Company</v>
      </c>
      <c r="G166" s="203" t="str">
        <f t="shared" si="36"/>
        <v>Victory|Victory Brewing Company|Beer|Beer - Craft</v>
      </c>
      <c r="H166" s="150">
        <f>_xlfn.XLOOKUP(F166,'DATA - 2025 Review'!C:C,'DATA - 2025 Review'!I:I,"")</f>
        <v>5142.2061198037372</v>
      </c>
      <c r="I166" s="151">
        <f>_xlfn.XLOOKUP(F166,'DATA - 2025 Review'!C:C,'DATA - 2025 Review'!J:J)</f>
        <v>-0.21838679956074503</v>
      </c>
      <c r="J166" s="150">
        <f>_xlfn.XLOOKUP(F166,'2025 Finish (ACTUAL)'!$C:$C,'2025 Finish (ACTUAL)'!$D:$D)</f>
        <v>5277.9444700000004</v>
      </c>
      <c r="K166" s="146">
        <v>-0.04</v>
      </c>
      <c r="L166" s="152">
        <f t="shared" ref="L166" si="59">K166*J166</f>
        <v>-211.11777880000002</v>
      </c>
      <c r="M166" s="152">
        <f t="shared" si="56"/>
        <v>5066.8266911999999</v>
      </c>
      <c r="N166" s="146">
        <v>-0.2</v>
      </c>
      <c r="O166" s="152">
        <f t="shared" si="57"/>
        <v>-1055.5888940000002</v>
      </c>
      <c r="P166" s="69">
        <f t="shared" si="58"/>
        <v>4222.3555759999999</v>
      </c>
    </row>
    <row r="167" spans="1:16" x14ac:dyDescent="0.25">
      <c r="A167" s="143" t="s">
        <v>318</v>
      </c>
      <c r="B167" s="202"/>
      <c r="C167" s="202" t="str">
        <f>_xlfn.XLOOKUP(A167,'Brand Managers'!A:A,'Brand Managers'!B:B)</f>
        <v>Perry Calderone</v>
      </c>
      <c r="D167" s="202"/>
      <c r="E167" s="202"/>
      <c r="F167" s="203" t="str">
        <f t="shared" si="55"/>
        <v>Lagunitas Brewing Co|</v>
      </c>
      <c r="G167" s="203" t="str">
        <f t="shared" si="36"/>
        <v>Lagunitas Brewing Co|||</v>
      </c>
      <c r="H167" s="144">
        <f>_xlfn.XLOOKUP(F167,'DATA - 2025 Review'!C:C,'DATA - 2025 Review'!I:I,"")</f>
        <v>21432.132154512448</v>
      </c>
      <c r="I167" s="145">
        <f>_xlfn.XLOOKUP(F167,'DATA - 2025 Review'!C:C,'DATA - 2025 Review'!J:J)</f>
        <v>-7.9264144857183139E-2</v>
      </c>
      <c r="J167" s="144">
        <f>_xlfn.XLOOKUP(F167,'2025 Finish (ACTUAL)'!$C:$C,'2025 Finish (ACTUAL)'!$D:$D)</f>
        <v>21602.911078000001</v>
      </c>
      <c r="K167" s="145">
        <f>L167/J167</f>
        <v>-4.1267047342794232E-2</v>
      </c>
      <c r="L167" s="147">
        <f>SUMIF(B:B,A167,L:L)</f>
        <v>-891.48835419800002</v>
      </c>
      <c r="M167" s="147">
        <f>SUMIF(B:B,A167,M:M)</f>
        <v>20711.422723802003</v>
      </c>
      <c r="N167" s="145">
        <f>O167/J167</f>
        <v>-4.1267047342794232E-2</v>
      </c>
      <c r="O167" s="147">
        <f>SUMIF(B:B,A167,O:O)</f>
        <v>-891.48835419800002</v>
      </c>
      <c r="P167" s="148">
        <f>SUMIF(B:B,A167,P:P)</f>
        <v>20711.422723802003</v>
      </c>
    </row>
    <row r="168" spans="1:16" x14ac:dyDescent="0.25">
      <c r="A168" s="149" t="s">
        <v>348</v>
      </c>
      <c r="B168" s="2" t="s">
        <v>318</v>
      </c>
      <c r="C168" s="299" t="str">
        <f>_xlfn.XLOOKUP(B168,'Brand Managers'!A:A,'Brand Managers'!B:B)</f>
        <v>Perry Calderone</v>
      </c>
      <c r="D168" s="42" t="str">
        <f>_xlfn.XLOOKUP(F168,'DATA - Segments'!C:C,'DATA - Segments'!D:D)</f>
        <v>Beer</v>
      </c>
      <c r="E168" s="42" t="str">
        <f>_xlfn.XLOOKUP(F168,'DATA - Segments'!C:C,'DATA - Segments'!E:E)</f>
        <v>Beer - Craft</v>
      </c>
      <c r="F168" s="203" t="str">
        <f t="shared" si="55"/>
        <v>Lagunitas|Lagunitas Brewing Co</v>
      </c>
      <c r="G168" s="203" t="str">
        <f t="shared" si="36"/>
        <v>Lagunitas|Lagunitas Brewing Co|Beer|Beer - Craft</v>
      </c>
      <c r="H168" s="150">
        <f>_xlfn.XLOOKUP(F168,'DATA - 2025 Review'!C:C,'DATA - 2025 Review'!I:I,"")</f>
        <v>20786.513903308343</v>
      </c>
      <c r="I168" s="151">
        <f>_xlfn.XLOOKUP(F168,'DATA - 2025 Review'!C:C,'DATA - 2025 Review'!J:J)</f>
        <v>-7.8292387538480779E-2</v>
      </c>
      <c r="J168" s="150">
        <f>_xlfn.XLOOKUP(F168,'2025 Finish (ACTUAL)'!$C:$C,'2025 Finish (ACTUAL)'!$D:$D)</f>
        <v>20961.911078000001</v>
      </c>
      <c r="K168" s="146">
        <v>-4.1000000000000002E-2</v>
      </c>
      <c r="L168" s="152">
        <f t="shared" ref="L168:L169" si="60">K168*J168</f>
        <v>-859.43835419800007</v>
      </c>
      <c r="M168" s="152">
        <f t="shared" ref="M168:M169" si="61">L168+J168</f>
        <v>20102.472723802002</v>
      </c>
      <c r="N168" s="146">
        <v>-4.1000000000000002E-2</v>
      </c>
      <c r="O168" s="152">
        <f t="shared" ref="O168:O169" si="62">N168*J168</f>
        <v>-859.43835419800007</v>
      </c>
      <c r="P168" s="69">
        <f t="shared" ref="P168:P169" si="63">O168+J168</f>
        <v>20102.472723802002</v>
      </c>
    </row>
    <row r="169" spans="1:16" x14ac:dyDescent="0.25">
      <c r="A169" s="149" t="s">
        <v>247</v>
      </c>
      <c r="B169" s="2" t="s">
        <v>318</v>
      </c>
      <c r="C169" s="299" t="str">
        <f>_xlfn.XLOOKUP(B169,'Brand Managers'!A:A,'Brand Managers'!B:B)</f>
        <v>Perry Calderone</v>
      </c>
      <c r="D169" s="42" t="str">
        <f>_xlfn.XLOOKUP(F169,'DATA - Segments'!C:C,'DATA - Segments'!D:D)</f>
        <v>Beer</v>
      </c>
      <c r="E169" s="42" t="str">
        <f>_xlfn.XLOOKUP(F169,'DATA - Segments'!C:C,'DATA - Segments'!E:E)</f>
        <v>Beer - Non-Alc</v>
      </c>
      <c r="F169" s="203" t="str">
        <f t="shared" si="55"/>
        <v>Lagunitas NA|Lagunitas Brewing Co</v>
      </c>
      <c r="G169" s="203" t="str">
        <f t="shared" si="36"/>
        <v>Lagunitas NA|Lagunitas Brewing Co|Beer|Beer - Non-Alc</v>
      </c>
      <c r="H169" s="150">
        <f>_xlfn.XLOOKUP(F169,'DATA - 2025 Review'!C:C,'DATA - 2025 Review'!I:I,"")</f>
        <v>646.74598500000002</v>
      </c>
      <c r="I169" s="151">
        <f>_xlfn.XLOOKUP(F169,'DATA - 2025 Review'!C:C,'DATA - 2025 Review'!J:J)</f>
        <v>-0.10793657241379306</v>
      </c>
      <c r="J169" s="150">
        <f>_xlfn.XLOOKUP(F169,'2025 Finish (ACTUAL)'!$C:$C,'2025 Finish (ACTUAL)'!$D:$D)</f>
        <v>641</v>
      </c>
      <c r="K169" s="146">
        <v>-0.05</v>
      </c>
      <c r="L169" s="152">
        <f t="shared" si="60"/>
        <v>-32.050000000000004</v>
      </c>
      <c r="M169" s="152">
        <f t="shared" si="61"/>
        <v>608.95000000000005</v>
      </c>
      <c r="N169" s="146">
        <v>-0.05</v>
      </c>
      <c r="O169" s="152">
        <f t="shared" si="62"/>
        <v>-32.050000000000004</v>
      </c>
      <c r="P169" s="69">
        <f t="shared" si="63"/>
        <v>608.95000000000005</v>
      </c>
    </row>
    <row r="170" spans="1:16" x14ac:dyDescent="0.25">
      <c r="A170" s="143" t="s">
        <v>38</v>
      </c>
      <c r="B170" s="202"/>
      <c r="C170" s="202" t="str">
        <f>_xlfn.XLOOKUP(A170,'Brand Managers'!A:A,'Brand Managers'!B:B)</f>
        <v>Sean Donahue</v>
      </c>
      <c r="D170" s="202"/>
      <c r="E170" s="202"/>
      <c r="F170" s="203" t="str">
        <f t="shared" si="55"/>
        <v>Sixpoint Brewing|</v>
      </c>
      <c r="G170" s="203" t="str">
        <f t="shared" si="36"/>
        <v>Sixpoint Brewing|||</v>
      </c>
      <c r="H170" s="144">
        <f>_xlfn.XLOOKUP(F170,'DATA - 2025 Review'!C:C,'DATA - 2025 Review'!I:I,"")</f>
        <v>20117.121995957739</v>
      </c>
      <c r="I170" s="145">
        <f>_xlfn.XLOOKUP(F170,'DATA - 2025 Review'!C:C,'DATA - 2025 Review'!J:J)</f>
        <v>-0.12224175190643671</v>
      </c>
      <c r="J170" s="144">
        <f>_xlfn.XLOOKUP(F170,'2025 Finish (ACTUAL)'!$C:$C,'2025 Finish (ACTUAL)'!$D:$D)</f>
        <v>20096.902955000001</v>
      </c>
      <c r="K170" s="145">
        <f>L170/J170</f>
        <v>2.5000000000000001E-2</v>
      </c>
      <c r="L170" s="147">
        <f>SUMIF(B:B,A170,L:L)</f>
        <v>502.42257387500007</v>
      </c>
      <c r="M170" s="147">
        <f>SUMIF(B:B,A170,M:M)</f>
        <v>20599.325528875001</v>
      </c>
      <c r="N170" s="145">
        <f>O170/J170</f>
        <v>-0.06</v>
      </c>
      <c r="O170" s="147">
        <f>SUMIF(B:B,A170,O:O)</f>
        <v>-1205.8141773</v>
      </c>
      <c r="P170" s="148">
        <f>SUMIF(B:B,A170,P:P)</f>
        <v>18891.088777700003</v>
      </c>
    </row>
    <row r="171" spans="1:16" x14ac:dyDescent="0.25">
      <c r="A171" s="149" t="s">
        <v>403</v>
      </c>
      <c r="B171" s="2" t="s">
        <v>38</v>
      </c>
      <c r="C171" s="299" t="str">
        <f>_xlfn.XLOOKUP(B171,'Brand Managers'!A:A,'Brand Managers'!B:B)</f>
        <v>Sean Donahue</v>
      </c>
      <c r="D171" s="42" t="str">
        <f>_xlfn.XLOOKUP(F171,'DATA - Segments'!C:C,'DATA - Segments'!D:D)</f>
        <v>Beer</v>
      </c>
      <c r="E171" s="42" t="str">
        <f>_xlfn.XLOOKUP(F171,'DATA - Segments'!C:C,'DATA - Segments'!E:E)</f>
        <v>Beer - Craft</v>
      </c>
      <c r="F171" s="203" t="str">
        <f t="shared" si="55"/>
        <v>Sixpoint|Sixpoint Brewing</v>
      </c>
      <c r="G171" s="203" t="str">
        <f t="shared" si="36"/>
        <v>Sixpoint|Sixpoint Brewing|Beer|Beer - Craft</v>
      </c>
      <c r="H171" s="150">
        <f>_xlfn.XLOOKUP(F171,'DATA - 2025 Review'!C:C,'DATA - 2025 Review'!I:I,"")</f>
        <v>20117.121995957739</v>
      </c>
      <c r="I171" s="151">
        <f>_xlfn.XLOOKUP(F171,'DATA - 2025 Review'!C:C,'DATA - 2025 Review'!J:J)</f>
        <v>-0.12224175190643671</v>
      </c>
      <c r="J171" s="150">
        <f>_xlfn.XLOOKUP(F171,'2025 Finish (ACTUAL)'!$C:$C,'2025 Finish (ACTUAL)'!$D:$D)</f>
        <v>20096.902955000001</v>
      </c>
      <c r="K171" s="146">
        <v>2.5000000000000001E-2</v>
      </c>
      <c r="L171" s="152">
        <f t="shared" ref="L171" si="64">K171*J171</f>
        <v>502.42257387500007</v>
      </c>
      <c r="M171" s="152">
        <f>L171+J171</f>
        <v>20599.325528875001</v>
      </c>
      <c r="N171" s="146">
        <v>-0.06</v>
      </c>
      <c r="O171" s="152">
        <f>N171*J171</f>
        <v>-1205.8141773</v>
      </c>
      <c r="P171" s="69">
        <f>O171+J171</f>
        <v>18891.088777700003</v>
      </c>
    </row>
    <row r="172" spans="1:16" x14ac:dyDescent="0.25">
      <c r="A172" s="143" t="s">
        <v>39</v>
      </c>
      <c r="B172" s="202"/>
      <c r="C172" s="202" t="str">
        <f>_xlfn.XLOOKUP(A172,'Brand Managers'!A:A,'Brand Managers'!B:B)</f>
        <v>Sean Donahue</v>
      </c>
      <c r="D172" s="202"/>
      <c r="E172" s="202"/>
      <c r="F172" s="203" t="str">
        <f t="shared" si="55"/>
        <v>Stone Brewing|</v>
      </c>
      <c r="G172" s="203" t="str">
        <f t="shared" si="36"/>
        <v>Stone Brewing|||</v>
      </c>
      <c r="H172" s="144">
        <f>_xlfn.XLOOKUP(F172,'DATA - 2025 Review'!C:C,'DATA - 2025 Review'!I:I,"")</f>
        <v>18981.954791184864</v>
      </c>
      <c r="I172" s="145">
        <f>_xlfn.XLOOKUP(F172,'DATA - 2025 Review'!C:C,'DATA - 2025 Review'!J:J)</f>
        <v>-6.8327358680432604E-2</v>
      </c>
      <c r="J172" s="144">
        <f>_xlfn.XLOOKUP(F172,'2025 Finish (ACTUAL)'!$C:$C,'2025 Finish (ACTUAL)'!$D:$D)</f>
        <v>18473.573054</v>
      </c>
      <c r="K172" s="145">
        <f>L172/J172</f>
        <v>0</v>
      </c>
      <c r="L172" s="147">
        <f>SUMIF(B:B,A172,L:L)</f>
        <v>0</v>
      </c>
      <c r="M172" s="147">
        <f>SUMIF(B:B,A172,M:M)</f>
        <v>18473.573054</v>
      </c>
      <c r="N172" s="145">
        <f>O172/J172</f>
        <v>0</v>
      </c>
      <c r="O172" s="147">
        <f>SUMIF(B:B,A172,O:O)</f>
        <v>0</v>
      </c>
      <c r="P172" s="148">
        <f>SUMIF(B:B,A172,P:P)</f>
        <v>18473.573054</v>
      </c>
    </row>
    <row r="173" spans="1:16" x14ac:dyDescent="0.25">
      <c r="A173" s="149" t="s">
        <v>39</v>
      </c>
      <c r="B173" s="2" t="s">
        <v>39</v>
      </c>
      <c r="C173" s="299" t="str">
        <f>_xlfn.XLOOKUP(B173,'Brand Managers'!A:A,'Brand Managers'!B:B)</f>
        <v>Sean Donahue</v>
      </c>
      <c r="D173" s="42" t="str">
        <f>_xlfn.XLOOKUP(F173,'DATA - Segments'!C:C,'DATA - Segments'!D:D)</f>
        <v>Beer</v>
      </c>
      <c r="E173" s="42" t="str">
        <f>_xlfn.XLOOKUP(F173,'DATA - Segments'!C:C,'DATA - Segments'!E:E)</f>
        <v>Beer - Craft</v>
      </c>
      <c r="F173" s="203" t="str">
        <f t="shared" si="55"/>
        <v>Stone Brewing|Stone Brewing</v>
      </c>
      <c r="G173" s="203" t="str">
        <f t="shared" si="36"/>
        <v>Stone Brewing|Stone Brewing|Beer|Beer - Craft</v>
      </c>
      <c r="H173" s="150">
        <f>_xlfn.XLOOKUP(F173,'DATA - 2025 Review'!C:C,'DATA - 2025 Review'!I:I,"")</f>
        <v>17107.476568048904</v>
      </c>
      <c r="I173" s="151">
        <f>_xlfn.XLOOKUP(F173,'DATA - 2025 Review'!C:C,'DATA - 2025 Review'!J:J)</f>
        <v>-5.8813747602319277E-2</v>
      </c>
      <c r="J173" s="150">
        <f>_xlfn.XLOOKUP(F173,'2025 Finish (ACTUAL)'!$C:$C,'2025 Finish (ACTUAL)'!$D:$D)</f>
        <v>16468.906354999999</v>
      </c>
      <c r="K173" s="146">
        <v>0</v>
      </c>
      <c r="L173" s="152">
        <f t="shared" ref="L173:L174" si="65">K173*J173</f>
        <v>0</v>
      </c>
      <c r="M173" s="152">
        <f t="shared" ref="M173:M174" si="66">L173+J173</f>
        <v>16468.906354999999</v>
      </c>
      <c r="N173" s="146">
        <v>0</v>
      </c>
      <c r="O173" s="152">
        <f t="shared" ref="O173:O174" si="67">N173*J173</f>
        <v>0</v>
      </c>
      <c r="P173" s="69">
        <f t="shared" ref="P173:P174" si="68">O173+J173</f>
        <v>16468.906354999999</v>
      </c>
    </row>
    <row r="174" spans="1:16" x14ac:dyDescent="0.25">
      <c r="A174" s="149" t="s">
        <v>221</v>
      </c>
      <c r="B174" s="2" t="s">
        <v>39</v>
      </c>
      <c r="C174" s="299" t="str">
        <f>_xlfn.XLOOKUP(B174,'Brand Managers'!A:A,'Brand Managers'!B:B)</f>
        <v>Sean Donahue</v>
      </c>
      <c r="D174" s="42" t="str">
        <f>_xlfn.XLOOKUP(F174,'DATA - Segments'!C:C,'DATA - Segments'!D:D)</f>
        <v>Beer</v>
      </c>
      <c r="E174" s="42" t="str">
        <f>_xlfn.XLOOKUP(F174,'DATA - Segments'!C:C,'DATA - Segments'!E:E)</f>
        <v>Beer - Craft</v>
      </c>
      <c r="F174" s="203" t="str">
        <f t="shared" si="55"/>
        <v>Stone Premium &amp; Smooth Beer Co|Stone Brewing</v>
      </c>
      <c r="G174" s="203" t="str">
        <f t="shared" si="36"/>
        <v>Stone Premium &amp; Smooth Beer Co|Stone Brewing|Beer|Beer - Craft</v>
      </c>
      <c r="H174" s="150">
        <f>_xlfn.XLOOKUP(F174,'DATA - 2025 Review'!C:C,'DATA - 2025 Review'!I:I,"")</f>
        <v>1878.9510191945499</v>
      </c>
      <c r="I174" s="151">
        <f>_xlfn.XLOOKUP(F174,'DATA - 2025 Review'!C:C,'DATA - 2025 Review'!J:J)</f>
        <v>-0.14498134796238249</v>
      </c>
      <c r="J174" s="150">
        <f>_xlfn.XLOOKUP(F174,'2025 Finish (ACTUAL)'!$C:$C,'2025 Finish (ACTUAL)'!$D:$D)</f>
        <v>2004.6666990000001</v>
      </c>
      <c r="K174" s="146">
        <v>0</v>
      </c>
      <c r="L174" s="152">
        <f t="shared" si="65"/>
        <v>0</v>
      </c>
      <c r="M174" s="152">
        <f t="shared" si="66"/>
        <v>2004.6666990000001</v>
      </c>
      <c r="N174" s="146">
        <v>0</v>
      </c>
      <c r="O174" s="152">
        <f t="shared" si="67"/>
        <v>0</v>
      </c>
      <c r="P174" s="69">
        <f t="shared" si="68"/>
        <v>2004.6666990000001</v>
      </c>
    </row>
    <row r="175" spans="1:16" x14ac:dyDescent="0.25">
      <c r="A175" s="143" t="s">
        <v>166</v>
      </c>
      <c r="B175" s="202"/>
      <c r="C175" s="202" t="str">
        <f>_xlfn.XLOOKUP(A175,'Brand Managers'!A:A,'Brand Managers'!B:B)</f>
        <v>Steve Halloran</v>
      </c>
      <c r="D175" s="202"/>
      <c r="E175" s="202"/>
      <c r="F175" s="203" t="str">
        <f t="shared" si="55"/>
        <v>US Beverage|</v>
      </c>
      <c r="G175" s="203" t="str">
        <f t="shared" si="36"/>
        <v>US Beverage|||</v>
      </c>
      <c r="H175" s="144">
        <f>_xlfn.XLOOKUP(F175,'DATA - 2025 Review'!C:C,'DATA - 2025 Review'!I:I,"")</f>
        <v>21945.226542861219</v>
      </c>
      <c r="I175" s="145">
        <f>_xlfn.XLOOKUP(F175,'DATA - 2025 Review'!C:C,'DATA - 2025 Review'!J:J)</f>
        <v>-1.5782126122334872E-2</v>
      </c>
      <c r="J175" s="144">
        <f>_xlfn.XLOOKUP(F175,'2025 Finish (ACTUAL)'!$C:$C,'2025 Finish (ACTUAL)'!$D:$D)</f>
        <v>21771.097009000001</v>
      </c>
      <c r="K175" s="145">
        <f>L175/J175</f>
        <v>-0.14618344455974583</v>
      </c>
      <c r="L175" s="147">
        <f>SUMIF(B:B,A175,L:L)</f>
        <v>-3182.57395262</v>
      </c>
      <c r="M175" s="147">
        <f>SUMIF(B:B,A175,M:M)</f>
        <v>18588.523056380003</v>
      </c>
      <c r="N175" s="145">
        <f>O175/J175</f>
        <v>-0.14991593612718535</v>
      </c>
      <c r="O175" s="147">
        <f>SUMIF(B:B,A175,O:O)</f>
        <v>-3263.83438862</v>
      </c>
      <c r="P175" s="148">
        <f>SUMIF(B:B,A175,P:P)</f>
        <v>18507.262620380003</v>
      </c>
    </row>
    <row r="176" spans="1:16" x14ac:dyDescent="0.25">
      <c r="A176" s="149" t="s">
        <v>263</v>
      </c>
      <c r="B176" s="2" t="s">
        <v>166</v>
      </c>
      <c r="C176" s="299" t="str">
        <f>_xlfn.XLOOKUP(B176,'Brand Managers'!A:A,'Brand Managers'!B:B)</f>
        <v>Steve Halloran</v>
      </c>
      <c r="D176" s="42" t="str">
        <f>_xlfn.XLOOKUP(F176,'DATA - Segments'!C:C,'DATA - Segments'!D:D)</f>
        <v>Beer</v>
      </c>
      <c r="E176" s="42" t="str">
        <f>_xlfn.XLOOKUP(F176,'DATA - Segments'!C:C,'DATA - Segments'!E:E)</f>
        <v>Beer - Import</v>
      </c>
      <c r="F176" s="203" t="str">
        <f t="shared" si="55"/>
        <v>Dragon Stout|US Beverage</v>
      </c>
      <c r="G176" s="203" t="str">
        <f t="shared" si="36"/>
        <v>Dragon Stout|US Beverage|Beer|Beer - Import</v>
      </c>
      <c r="H176" s="150">
        <f>_xlfn.XLOOKUP(F176,'DATA - 2025 Review'!C:C,'DATA - 2025 Review'!I:I,"")</f>
        <v>8538.4058900338223</v>
      </c>
      <c r="I176" s="151">
        <f>_xlfn.XLOOKUP(F176,'DATA - 2025 Review'!C:C,'DATA - 2025 Review'!J:J)</f>
        <v>0.10667328454611313</v>
      </c>
      <c r="J176" s="150">
        <f>_xlfn.XLOOKUP(F176,'2025 Finish (ACTUAL)'!$C:$C,'2025 Finish (ACTUAL)'!$D:$D)</f>
        <v>8391.0057770000003</v>
      </c>
      <c r="K176" s="146">
        <v>0.1</v>
      </c>
      <c r="L176" s="152">
        <f t="shared" ref="L176:L188" si="69">K176*J176</f>
        <v>839.10057770000003</v>
      </c>
      <c r="M176" s="152">
        <f t="shared" ref="M176:M188" si="70">L176+J176</f>
        <v>9230.1063547000012</v>
      </c>
      <c r="N176" s="146">
        <v>0.1</v>
      </c>
      <c r="O176" s="152">
        <f t="shared" ref="O176:O188" si="71">N176*J176</f>
        <v>839.10057770000003</v>
      </c>
      <c r="P176" s="69">
        <f t="shared" ref="P176:P188" si="72">O176+J176</f>
        <v>9230.1063547000012</v>
      </c>
    </row>
    <row r="177" spans="1:16" x14ac:dyDescent="0.25">
      <c r="A177" s="149" t="s">
        <v>380</v>
      </c>
      <c r="B177" s="2" t="s">
        <v>166</v>
      </c>
      <c r="C177" s="299" t="str">
        <f>_xlfn.XLOOKUP(B177,'Brand Managers'!A:A,'Brand Managers'!B:B)</f>
        <v>Steve Halloran</v>
      </c>
      <c r="D177" s="42" t="str">
        <f>_xlfn.XLOOKUP(F177,'DATA - Segments'!C:C,'DATA - Segments'!D:D)</f>
        <v>Beer</v>
      </c>
      <c r="E177" s="42" t="str">
        <f>_xlfn.XLOOKUP(F177,'DATA - Segments'!C:C,'DATA - Segments'!E:E)</f>
        <v>Beer - Import</v>
      </c>
      <c r="F177" s="203" t="str">
        <f t="shared" si="55"/>
        <v>Moosehead|US Beverage</v>
      </c>
      <c r="G177" s="203" t="str">
        <f t="shared" si="36"/>
        <v>Moosehead|US Beverage|Beer|Beer - Import</v>
      </c>
      <c r="H177" s="150">
        <f>_xlfn.XLOOKUP(F177,'DATA - 2025 Review'!C:C,'DATA - 2025 Review'!I:I,"")</f>
        <v>2383.69850868412</v>
      </c>
      <c r="I177" s="151">
        <f>_xlfn.XLOOKUP(F177,'DATA - 2025 Review'!C:C,'DATA - 2025 Review'!J:J)</f>
        <v>-0.22100437423323605</v>
      </c>
      <c r="J177" s="150">
        <f>_xlfn.XLOOKUP(F177,'2025 Finish (ACTUAL)'!$C:$C,'2025 Finish (ACTUAL)'!$D:$D)</f>
        <v>2320</v>
      </c>
      <c r="K177" s="146">
        <v>0</v>
      </c>
      <c r="L177" s="152">
        <f t="shared" si="69"/>
        <v>0</v>
      </c>
      <c r="M177" s="152">
        <f t="shared" si="70"/>
        <v>2320</v>
      </c>
      <c r="N177" s="146">
        <v>0</v>
      </c>
      <c r="O177" s="152">
        <f t="shared" si="71"/>
        <v>0</v>
      </c>
      <c r="P177" s="69">
        <f t="shared" si="72"/>
        <v>2320</v>
      </c>
    </row>
    <row r="178" spans="1:16" x14ac:dyDescent="0.25">
      <c r="A178" s="149" t="s">
        <v>264</v>
      </c>
      <c r="B178" s="2" t="s">
        <v>166</v>
      </c>
      <c r="C178" s="299" t="str">
        <f>_xlfn.XLOOKUP(B178,'Brand Managers'!A:A,'Brand Managers'!B:B)</f>
        <v>Steve Halloran</v>
      </c>
      <c r="D178" s="42" t="str">
        <f>_xlfn.XLOOKUP(F178,'DATA - Segments'!C:C,'DATA - Segments'!D:D)</f>
        <v>Beer</v>
      </c>
      <c r="E178" s="42" t="str">
        <f>_xlfn.XLOOKUP(F178,'DATA - Segments'!C:C,'DATA - Segments'!E:E)</f>
        <v>Beer - Import</v>
      </c>
      <c r="F178" s="203" t="str">
        <f t="shared" si="55"/>
        <v>Birra Moretti|US Beverage</v>
      </c>
      <c r="G178" s="203" t="str">
        <f t="shared" si="36"/>
        <v>Birra Moretti|US Beverage|Beer|Beer - Import</v>
      </c>
      <c r="H178" s="150">
        <f>_xlfn.XLOOKUP(F178,'DATA - 2025 Review'!C:C,'DATA - 2025 Review'!I:I,"")</f>
        <v>1932.487335</v>
      </c>
      <c r="I178" s="151">
        <f>_xlfn.XLOOKUP(F178,'DATA - 2025 Review'!C:C,'DATA - 2025 Review'!J:J)</f>
        <v>0.11704470231213882</v>
      </c>
      <c r="J178" s="150">
        <f>_xlfn.XLOOKUP(F178,'2025 Finish (ACTUAL)'!$C:$C,'2025 Finish (ACTUAL)'!$D:$D)</f>
        <v>1892</v>
      </c>
      <c r="K178" s="146">
        <v>0.12</v>
      </c>
      <c r="L178" s="152">
        <f t="shared" si="69"/>
        <v>227.04</v>
      </c>
      <c r="M178" s="152">
        <f t="shared" si="70"/>
        <v>2119.04</v>
      </c>
      <c r="N178" s="146">
        <v>0.12</v>
      </c>
      <c r="O178" s="152">
        <f t="shared" si="71"/>
        <v>227.04</v>
      </c>
      <c r="P178" s="69">
        <f t="shared" si="72"/>
        <v>2119.04</v>
      </c>
    </row>
    <row r="179" spans="1:16" x14ac:dyDescent="0.25">
      <c r="A179" s="149" t="s">
        <v>10</v>
      </c>
      <c r="B179" s="2" t="s">
        <v>166</v>
      </c>
      <c r="C179" s="299" t="str">
        <f>_xlfn.XLOOKUP(B179,'Brand Managers'!A:A,'Brand Managers'!B:B)</f>
        <v>Steve Halloran</v>
      </c>
      <c r="D179" s="42" t="str">
        <f>_xlfn.XLOOKUP(F179,'DATA - Segments'!C:C,'DATA - Segments'!D:D)</f>
        <v>Beer</v>
      </c>
      <c r="E179" s="42" t="str">
        <f>_xlfn.XLOOKUP(F179,'DATA - Segments'!C:C,'DATA - Segments'!E:E)</f>
        <v>Beer - Import</v>
      </c>
      <c r="F179" s="203" t="str">
        <f t="shared" si="55"/>
        <v>Estrella|US Beverage</v>
      </c>
      <c r="G179" s="203" t="str">
        <f t="shared" si="36"/>
        <v>Estrella|US Beverage|Beer|Beer - Import</v>
      </c>
      <c r="H179" s="150">
        <f>_xlfn.XLOOKUP(F179,'DATA - 2025 Review'!C:C,'DATA - 2025 Review'!I:I,"")</f>
        <v>2004.052661157928</v>
      </c>
      <c r="I179" s="151">
        <f>_xlfn.XLOOKUP(F179,'DATA - 2025 Review'!C:C,'DATA - 2025 Review'!J:J)</f>
        <v>1.2174224879292206E-2</v>
      </c>
      <c r="J179" s="150">
        <f>_xlfn.XLOOKUP(F179,'2025 Finish (ACTUAL)'!$C:$C,'2025 Finish (ACTUAL)'!$D:$D)</f>
        <v>2086.6532120000002</v>
      </c>
      <c r="K179" s="146">
        <v>0.02</v>
      </c>
      <c r="L179" s="152">
        <f t="shared" si="69"/>
        <v>41.733064240000004</v>
      </c>
      <c r="M179" s="152">
        <f t="shared" si="70"/>
        <v>2128.3862762400004</v>
      </c>
      <c r="N179" s="146">
        <v>0.02</v>
      </c>
      <c r="O179" s="152">
        <f t="shared" si="71"/>
        <v>41.733064240000004</v>
      </c>
      <c r="P179" s="69">
        <f t="shared" si="72"/>
        <v>2128.3862762400004</v>
      </c>
    </row>
    <row r="180" spans="1:16" x14ac:dyDescent="0.25">
      <c r="A180" s="149" t="s">
        <v>192</v>
      </c>
      <c r="B180" s="2" t="s">
        <v>166</v>
      </c>
      <c r="C180" s="299" t="str">
        <f>_xlfn.XLOOKUP(B180,'Brand Managers'!A:A,'Brand Managers'!B:B)</f>
        <v>Steve Halloran</v>
      </c>
      <c r="D180" s="42" t="str">
        <f>_xlfn.XLOOKUP(F180,'DATA - Segments'!C:C,'DATA - Segments'!D:D)</f>
        <v>Beer</v>
      </c>
      <c r="E180" s="42" t="str">
        <f>_xlfn.XLOOKUP(F180,'DATA - Segments'!C:C,'DATA - Segments'!E:E)</f>
        <v>Beer - Import</v>
      </c>
      <c r="F180" s="203" t="str">
        <f t="shared" si="55"/>
        <v>Daura|US Beverage</v>
      </c>
      <c r="G180" s="203" t="str">
        <f t="shared" si="36"/>
        <v>Daura|US Beverage|Beer|Beer - Import</v>
      </c>
      <c r="H180" s="150">
        <f>_xlfn.XLOOKUP(F180,'DATA - 2025 Review'!C:C,'DATA - 2025 Review'!I:I,"")</f>
        <v>1767.117129582032</v>
      </c>
      <c r="I180" s="151">
        <f>_xlfn.XLOOKUP(F180,'DATA - 2025 Review'!C:C,'DATA - 2025 Review'!J:J)</f>
        <v>0.16641901602959308</v>
      </c>
      <c r="J180" s="150">
        <f>_xlfn.XLOOKUP(F180,'2025 Finish (ACTUAL)'!$C:$C,'2025 Finish (ACTUAL)'!$D:$D)</f>
        <v>1824.156684</v>
      </c>
      <c r="K180" s="146">
        <v>0.16</v>
      </c>
      <c r="L180" s="152">
        <f t="shared" si="69"/>
        <v>291.86506944000001</v>
      </c>
      <c r="M180" s="152">
        <f t="shared" si="70"/>
        <v>2116.0217534399999</v>
      </c>
      <c r="N180" s="146">
        <v>0.16</v>
      </c>
      <c r="O180" s="152">
        <f t="shared" si="71"/>
        <v>291.86506944000001</v>
      </c>
      <c r="P180" s="69">
        <f t="shared" si="72"/>
        <v>2116.0217534399999</v>
      </c>
    </row>
    <row r="181" spans="1:16" x14ac:dyDescent="0.25">
      <c r="A181" s="156" t="s">
        <v>94</v>
      </c>
      <c r="B181" s="283" t="s">
        <v>166</v>
      </c>
      <c r="C181" s="283"/>
      <c r="D181" s="42" t="str">
        <f>_xlfn.XLOOKUP(F181,'DATA - Segments'!C:C,'DATA - Segments'!D:D)</f>
        <v>Beer</v>
      </c>
      <c r="E181" s="42" t="str">
        <f>_xlfn.XLOOKUP(F181,'DATA - Segments'!C:C,'DATA - Segments'!E:E)</f>
        <v>Beer - Import</v>
      </c>
      <c r="F181" s="203" t="str">
        <f t="shared" si="55"/>
        <v>Czechvar|US Beverage</v>
      </c>
      <c r="G181" s="203" t="str">
        <f t="shared" si="36"/>
        <v>Czechvar|US Beverage|Beer|Beer - Import</v>
      </c>
      <c r="H181" s="273">
        <f>_xlfn.XLOOKUP(F181,'DATA - 2025 Review'!C:C,'DATA - 2025 Review'!I:I,"")</f>
        <v>1153.6959099645601</v>
      </c>
      <c r="I181" s="281">
        <f>_xlfn.XLOOKUP(F181,'DATA - 2025 Review'!C:C,'DATA - 2025 Review'!J:J)</f>
        <v>-0.21016158027367382</v>
      </c>
      <c r="J181" s="273">
        <f>_xlfn.XLOOKUP(F181,'2025 Finish (ACTUAL)'!$C:$C,'2025 Finish (ACTUAL)'!$D:$D)</f>
        <v>1161.653104</v>
      </c>
      <c r="K181" s="281">
        <v>-1</v>
      </c>
      <c r="L181" s="274">
        <f t="shared" si="69"/>
        <v>-1161.653104</v>
      </c>
      <c r="M181" s="274">
        <f t="shared" si="70"/>
        <v>0</v>
      </c>
      <c r="N181" s="281">
        <v>-1</v>
      </c>
      <c r="O181" s="274">
        <f t="shared" si="71"/>
        <v>-1161.653104</v>
      </c>
      <c r="P181" s="275">
        <f t="shared" si="72"/>
        <v>0</v>
      </c>
    </row>
    <row r="182" spans="1:16" x14ac:dyDescent="0.25">
      <c r="A182" s="156" t="s">
        <v>265</v>
      </c>
      <c r="B182" s="283" t="s">
        <v>166</v>
      </c>
      <c r="C182" s="283"/>
      <c r="D182" s="42" t="str">
        <f>_xlfn.XLOOKUP(F182,'DATA - Segments'!C:C,'DATA - Segments'!D:D)</f>
        <v>FMB</v>
      </c>
      <c r="E182" s="42" t="str">
        <f>_xlfn.XLOOKUP(F182,'DATA - Segments'!C:C,'DATA - Segments'!E:E)</f>
        <v>FMB</v>
      </c>
      <c r="F182" s="203" t="str">
        <f t="shared" si="55"/>
        <v>Malibu Splash|US Beverage</v>
      </c>
      <c r="G182" s="203" t="str">
        <f t="shared" si="36"/>
        <v>Malibu Splash|US Beverage|FMB|FMB</v>
      </c>
      <c r="H182" s="273">
        <f>_xlfn.XLOOKUP(F182,'DATA - 2025 Review'!C:C,'DATA - 2025 Review'!I:I,"")</f>
        <v>2479.553688</v>
      </c>
      <c r="I182" s="281">
        <f>_xlfn.XLOOKUP(F182,'DATA - 2025 Review'!C:C,'DATA - 2025 Review'!J:J)</f>
        <v>-0.11696805982905989</v>
      </c>
      <c r="J182" s="273">
        <f>_xlfn.XLOOKUP(F182,'2025 Finish (ACTUAL)'!$C:$C,'2025 Finish (ACTUAL)'!$D:$D)</f>
        <v>2455</v>
      </c>
      <c r="K182" s="281">
        <v>-1</v>
      </c>
      <c r="L182" s="274">
        <f t="shared" si="69"/>
        <v>-2455</v>
      </c>
      <c r="M182" s="274">
        <f t="shared" si="70"/>
        <v>0</v>
      </c>
      <c r="N182" s="281">
        <v>-1</v>
      </c>
      <c r="O182" s="274">
        <f t="shared" si="71"/>
        <v>-2455</v>
      </c>
      <c r="P182" s="275">
        <f t="shared" si="72"/>
        <v>0</v>
      </c>
    </row>
    <row r="183" spans="1:16" x14ac:dyDescent="0.25">
      <c r="A183" s="157" t="s">
        <v>349</v>
      </c>
      <c r="B183" s="283" t="s">
        <v>166</v>
      </c>
      <c r="C183" s="283"/>
      <c r="D183" s="42" t="str">
        <f>_xlfn.XLOOKUP(F183,'DATA - Segments'!C:C,'DATA - Segments'!D:D)</f>
        <v>Beer</v>
      </c>
      <c r="E183" s="42" t="str">
        <f>_xlfn.XLOOKUP(F183,'DATA - Segments'!C:C,'DATA - Segments'!E:E)</f>
        <v>Beer - Import</v>
      </c>
      <c r="F183" s="203" t="str">
        <f t="shared" si="55"/>
        <v>Krusovice|US Beverage</v>
      </c>
      <c r="G183" s="203" t="str">
        <f t="shared" si="36"/>
        <v>Krusovice|US Beverage|Beer|Beer - Import</v>
      </c>
      <c r="H183" s="273">
        <f>_xlfn.XLOOKUP(F183,'DATA - 2025 Review'!C:C,'DATA - 2025 Review'!I:I,"")</f>
        <v>954.02216545946806</v>
      </c>
      <c r="I183" s="281">
        <f>_xlfn.XLOOKUP(F183,'DATA - 2025 Review'!C:C,'DATA - 2025 Review'!J:J)</f>
        <v>8.561690014903256E-3</v>
      </c>
      <c r="J183" s="273">
        <f>_xlfn.XLOOKUP(F183,'2025 Finish (ACTUAL)'!$C:$C,'2025 Finish (ACTUAL)'!$D:$D)</f>
        <v>830.32625800000005</v>
      </c>
      <c r="K183" s="281">
        <v>-1</v>
      </c>
      <c r="L183" s="274">
        <f t="shared" si="69"/>
        <v>-830.32625800000005</v>
      </c>
      <c r="M183" s="274">
        <f t="shared" si="70"/>
        <v>0</v>
      </c>
      <c r="N183" s="281">
        <v>-1</v>
      </c>
      <c r="O183" s="274">
        <f t="shared" si="71"/>
        <v>-830.32625800000005</v>
      </c>
      <c r="P183" s="275">
        <f t="shared" si="72"/>
        <v>0</v>
      </c>
    </row>
    <row r="184" spans="1:16" x14ac:dyDescent="0.25">
      <c r="A184" s="149" t="s">
        <v>295</v>
      </c>
      <c r="B184" s="2" t="s">
        <v>166</v>
      </c>
      <c r="C184" s="299" t="str">
        <f>_xlfn.XLOOKUP(B184,'Brand Managers'!A:A,'Brand Managers'!B:B)</f>
        <v>Steve Halloran</v>
      </c>
      <c r="D184" s="42" t="str">
        <f>_xlfn.XLOOKUP(F184,'DATA - Segments'!C:C,'DATA - Segments'!D:D)</f>
        <v>Beer</v>
      </c>
      <c r="E184" s="42" t="str">
        <f>_xlfn.XLOOKUP(F184,'DATA - Segments'!C:C,'DATA - Segments'!E:E)</f>
        <v>Beer - Craft</v>
      </c>
      <c r="F184" s="203" t="str">
        <f t="shared" si="55"/>
        <v>Innis &amp; Gunn|US Beverage</v>
      </c>
      <c r="G184" s="203" t="str">
        <f t="shared" si="36"/>
        <v>Innis &amp; Gunn|US Beverage|Beer|Beer - Craft</v>
      </c>
      <c r="H184" s="150">
        <f>_xlfn.XLOOKUP(F184,'DATA - 2025 Review'!C:C,'DATA - 2025 Review'!I:I,"")</f>
        <v>613.79815588375595</v>
      </c>
      <c r="I184" s="151">
        <f>_xlfn.XLOOKUP(F184,'DATA - 2025 Review'!C:C,'DATA - 2025 Review'!J:J)</f>
        <v>-0.21594820722269104</v>
      </c>
      <c r="J184" s="150">
        <f>_xlfn.XLOOKUP(F184,'2025 Finish (ACTUAL)'!$C:$C,'2025 Finish (ACTUAL)'!$D:$D)</f>
        <v>626.66651000000002</v>
      </c>
      <c r="K184" s="146">
        <v>-0.2</v>
      </c>
      <c r="L184" s="152">
        <f t="shared" si="69"/>
        <v>-125.333302</v>
      </c>
      <c r="M184" s="152">
        <f t="shared" si="70"/>
        <v>501.33320800000001</v>
      </c>
      <c r="N184" s="146">
        <v>-0.2</v>
      </c>
      <c r="O184" s="152">
        <f t="shared" si="71"/>
        <v>-125.333302</v>
      </c>
      <c r="P184" s="69">
        <f t="shared" si="72"/>
        <v>501.33320800000001</v>
      </c>
    </row>
    <row r="185" spans="1:16" x14ac:dyDescent="0.25">
      <c r="A185" s="149" t="s">
        <v>40</v>
      </c>
      <c r="B185" s="2" t="s">
        <v>166</v>
      </c>
      <c r="C185" s="299" t="str">
        <f>_xlfn.XLOOKUP(B185,'Brand Managers'!A:A,'Brand Managers'!B:B)</f>
        <v>Steve Halloran</v>
      </c>
      <c r="D185" s="42" t="str">
        <f>_xlfn.XLOOKUP(F185,'DATA - Segments'!C:C,'DATA - Segments'!D:D)</f>
        <v>Beer</v>
      </c>
      <c r="E185" s="42" t="str">
        <f>_xlfn.XLOOKUP(F185,'DATA - Segments'!C:C,'DATA - Segments'!E:E)</f>
        <v>Beer - Import</v>
      </c>
      <c r="F185" s="203" t="str">
        <f t="shared" si="55"/>
        <v>Tagus|US Beverage</v>
      </c>
      <c r="G185" s="203" t="str">
        <f t="shared" si="36"/>
        <v>Tagus|US Beverage|Beer|Beer - Import</v>
      </c>
      <c r="H185" s="150">
        <f>_xlfn.XLOOKUP(F185,'DATA - 2025 Review'!C:C,'DATA - 2025 Review'!I:I,"")</f>
        <v>107.724248428973</v>
      </c>
      <c r="I185" s="151">
        <f>_xlfn.XLOOKUP(F185,'DATA - 2025 Review'!C:C,'DATA - 2025 Review'!J:J)</f>
        <v>0.25184899216444556</v>
      </c>
      <c r="J185" s="150">
        <f>_xlfn.XLOOKUP(F185,'2025 Finish (ACTUAL)'!$C:$C,'2025 Finish (ACTUAL)'!$D:$D)</f>
        <v>92.375028</v>
      </c>
      <c r="K185" s="146">
        <v>0</v>
      </c>
      <c r="L185" s="152">
        <f t="shared" si="69"/>
        <v>0</v>
      </c>
      <c r="M185" s="152">
        <f t="shared" si="70"/>
        <v>92.375028</v>
      </c>
      <c r="N185" s="146">
        <v>0</v>
      </c>
      <c r="O185" s="152">
        <f t="shared" si="71"/>
        <v>0</v>
      </c>
      <c r="P185" s="69">
        <f t="shared" si="72"/>
        <v>92.375028</v>
      </c>
    </row>
    <row r="186" spans="1:16" x14ac:dyDescent="0.25">
      <c r="A186" s="149" t="s">
        <v>140</v>
      </c>
      <c r="B186" s="2" t="s">
        <v>166</v>
      </c>
      <c r="C186" s="299" t="str">
        <f>_xlfn.XLOOKUP(B186,'Brand Managers'!A:A,'Brand Managers'!B:B)</f>
        <v>Steve Halloran</v>
      </c>
      <c r="D186" s="42" t="str">
        <f>_xlfn.XLOOKUP(F186,'DATA - Segments'!C:C,'DATA - Segments'!D:D)</f>
        <v>Beer</v>
      </c>
      <c r="E186" s="42" t="str">
        <f>_xlfn.XLOOKUP(F186,'DATA - Segments'!C:C,'DATA - Segments'!E:E)</f>
        <v>Beer - Import</v>
      </c>
      <c r="F186" s="203" t="str">
        <f t="shared" si="55"/>
        <v>Sagres Cerveja|US Beverage</v>
      </c>
      <c r="G186" s="203" t="str">
        <f t="shared" si="36"/>
        <v>Sagres Cerveja|US Beverage|Beer|Beer - Import</v>
      </c>
      <c r="H186" s="150">
        <f>_xlfn.XLOOKUP(F186,'DATA - 2025 Review'!C:C,'DATA - 2025 Review'!I:I,"")</f>
        <v>83.786705267711994</v>
      </c>
      <c r="I186" s="151">
        <f>_xlfn.XLOOKUP(F186,'DATA - 2025 Review'!C:C,'DATA - 2025 Review'!J:J)</f>
        <v>-0.44966439263803692</v>
      </c>
      <c r="J186" s="150">
        <f>_xlfn.XLOOKUP(F186,'2025 Finish (ACTUAL)'!$C:$C,'2025 Finish (ACTUAL)'!$D:$D)</f>
        <v>81.260435999999999</v>
      </c>
      <c r="K186" s="146">
        <v>0</v>
      </c>
      <c r="L186" s="152">
        <f t="shared" si="69"/>
        <v>0</v>
      </c>
      <c r="M186" s="152">
        <f t="shared" si="70"/>
        <v>81.260435999999999</v>
      </c>
      <c r="N186" s="146">
        <v>-1</v>
      </c>
      <c r="O186" s="152">
        <f t="shared" si="71"/>
        <v>-81.260435999999999</v>
      </c>
      <c r="P186" s="69">
        <f t="shared" si="72"/>
        <v>0</v>
      </c>
    </row>
    <row r="187" spans="1:16" x14ac:dyDescent="0.25">
      <c r="A187" s="157" t="s">
        <v>248</v>
      </c>
      <c r="B187" s="283" t="s">
        <v>166</v>
      </c>
      <c r="C187" s="283"/>
      <c r="D187" s="42" t="str">
        <f>_xlfn.XLOOKUP(F187,'DATA - Segments'!C:C,'DATA - Segments'!D:D)</f>
        <v>RTD</v>
      </c>
      <c r="E187" s="42" t="str">
        <f>_xlfn.XLOOKUP(F187,'DATA - Segments'!C:C,'DATA - Segments'!E:E)</f>
        <v>RTD</v>
      </c>
      <c r="F187" s="203" t="str">
        <f t="shared" si="55"/>
        <v>Dewey Crush|US Beverage</v>
      </c>
      <c r="G187" s="203" t="str">
        <f t="shared" si="36"/>
        <v>Dewey Crush|US Beverage|RTD|RTD</v>
      </c>
      <c r="H187" s="273">
        <f>_xlfn.XLOOKUP(F187,'DATA - 2025 Review'!C:C,'DATA - 2025 Review'!I:I,"")</f>
        <v>10.151515</v>
      </c>
      <c r="I187" s="281">
        <f>_xlfn.XLOOKUP(F187,'DATA - 2025 Review'!C:C,'DATA - 2025 Review'!J:J)</f>
        <v>-0.84848485074626867</v>
      </c>
      <c r="J187" s="273">
        <f>_xlfn.XLOOKUP(F187,'2025 Finish (ACTUAL)'!$C:$C,'2025 Finish (ACTUAL)'!$D:$D)</f>
        <v>10</v>
      </c>
      <c r="K187" s="281">
        <v>-1</v>
      </c>
      <c r="L187" s="274">
        <f t="shared" si="69"/>
        <v>-10</v>
      </c>
      <c r="M187" s="274">
        <f t="shared" si="70"/>
        <v>0</v>
      </c>
      <c r="N187" s="281">
        <v>-1</v>
      </c>
      <c r="O187" s="274">
        <f t="shared" si="71"/>
        <v>-10</v>
      </c>
      <c r="P187" s="275">
        <f t="shared" si="72"/>
        <v>0</v>
      </c>
    </row>
    <row r="188" spans="1:16" x14ac:dyDescent="0.25">
      <c r="A188" s="156" t="s">
        <v>167</v>
      </c>
      <c r="B188" s="283" t="s">
        <v>166</v>
      </c>
      <c r="C188" s="283"/>
      <c r="D188" s="286" t="str">
        <f>_xlfn.XLOOKUP(F188,'DATA - Segments'!C:C,'DATA - Segments'!D:D)</f>
        <v>Beer</v>
      </c>
      <c r="E188" s="286" t="str">
        <f>_xlfn.XLOOKUP(F188,'DATA - Segments'!C:C,'DATA - Segments'!E:E)</f>
        <v>Beer - Import</v>
      </c>
      <c r="F188" s="287" t="str">
        <f t="shared" si="55"/>
        <v>Superior Cerveza|US Beverage</v>
      </c>
      <c r="G188" s="287" t="str">
        <f t="shared" si="36"/>
        <v>Superior Cerveza|US Beverage|Beer|Beer - Import</v>
      </c>
      <c r="H188" s="273">
        <f>_xlfn.XLOOKUP(F188,'DATA - 2025 Review'!C:C,'DATA - 2025 Review'!I:I,"")</f>
        <v>0</v>
      </c>
      <c r="I188" s="281">
        <f>_xlfn.XLOOKUP(F188,'DATA - 2025 Review'!C:C,'DATA - 2025 Review'!J:J)</f>
        <v>-1</v>
      </c>
      <c r="J188" s="273">
        <f>_xlfn.XLOOKUP(F188,'2025 Finish (ACTUAL)'!$C:$C,'2025 Finish (ACTUAL)'!$D:$D)</f>
        <v>0</v>
      </c>
      <c r="K188" s="281">
        <v>-1</v>
      </c>
      <c r="L188" s="274">
        <f t="shared" si="69"/>
        <v>0</v>
      </c>
      <c r="M188" s="274">
        <f t="shared" si="70"/>
        <v>0</v>
      </c>
      <c r="N188" s="281">
        <v>-1</v>
      </c>
      <c r="O188" s="274">
        <f t="shared" si="71"/>
        <v>0</v>
      </c>
      <c r="P188" s="275">
        <f t="shared" si="72"/>
        <v>0</v>
      </c>
    </row>
    <row r="189" spans="1:16" x14ac:dyDescent="0.25">
      <c r="A189" s="143" t="s">
        <v>319</v>
      </c>
      <c r="B189" s="202"/>
      <c r="C189" s="202" t="str">
        <f>_xlfn.XLOOKUP(A189,'Brand Managers'!A:A,'Brand Managers'!B:B)</f>
        <v>Tom Gibbons</v>
      </c>
      <c r="D189" s="202"/>
      <c r="E189" s="202"/>
      <c r="F189" s="203" t="str">
        <f t="shared" si="55"/>
        <v>Warwick Valley|</v>
      </c>
      <c r="G189" s="203" t="str">
        <f t="shared" si="36"/>
        <v>Warwick Valley|||</v>
      </c>
      <c r="H189" s="144">
        <f>_xlfn.XLOOKUP(F189,'DATA - 2025 Review'!C:C,'DATA - 2025 Review'!I:I,"")</f>
        <v>13998.782320431001</v>
      </c>
      <c r="I189" s="145">
        <f>_xlfn.XLOOKUP(F189,'DATA - 2025 Review'!C:C,'DATA - 2025 Review'!J:J)</f>
        <v>-0.18674999271472303</v>
      </c>
      <c r="J189" s="144">
        <f>_xlfn.XLOOKUP(F189,'2025 Finish (ACTUAL)'!$C:$C,'2025 Finish (ACTUAL)'!$D:$D)</f>
        <v>14543.804704</v>
      </c>
      <c r="K189" s="145">
        <f>L189/J189</f>
        <v>-6.4964245944539062E-2</v>
      </c>
      <c r="L189" s="147">
        <f>SUMIF(B:B,A189,L:L)</f>
        <v>-944.82730576000006</v>
      </c>
      <c r="M189" s="147">
        <f>SUMIF(B:B,A189,M:M)</f>
        <v>13598.97739824</v>
      </c>
      <c r="N189" s="145">
        <f>O189/J189</f>
        <v>9.9944993760829309E-3</v>
      </c>
      <c r="O189" s="147">
        <f>SUMIF(B:B,A189,O:O)</f>
        <v>145.35804704</v>
      </c>
      <c r="P189" s="148">
        <f>SUMIF(B:B,A189,P:P)</f>
        <v>14689.162751039999</v>
      </c>
    </row>
    <row r="190" spans="1:16" x14ac:dyDescent="0.25">
      <c r="A190" s="149" t="s">
        <v>11</v>
      </c>
      <c r="B190" s="2" t="s">
        <v>319</v>
      </c>
      <c r="C190" s="299" t="str">
        <f>_xlfn.XLOOKUP(B190,'Brand Managers'!A:A,'Brand Managers'!B:B)</f>
        <v>Tom Gibbons</v>
      </c>
      <c r="D190" s="42" t="str">
        <f>_xlfn.XLOOKUP(F190,'DATA - Segments'!C:C,'DATA - Segments'!D:D)</f>
        <v>Cider</v>
      </c>
      <c r="E190" s="42" t="str">
        <f>_xlfn.XLOOKUP(F190,'DATA - Segments'!C:C,'DATA - Segments'!E:E)</f>
        <v>Cider</v>
      </c>
      <c r="F190" s="203" t="str">
        <f t="shared" si="55"/>
        <v>Doc's|Warwick Valley</v>
      </c>
      <c r="G190" s="203" t="str">
        <f t="shared" si="36"/>
        <v>Doc's|Warwick Valley|Cider|Cider</v>
      </c>
      <c r="H190" s="150">
        <f>_xlfn.XLOOKUP(F190,'DATA - 2025 Review'!C:C,'DATA - 2025 Review'!I:I,"")</f>
        <v>13990.857243693321</v>
      </c>
      <c r="I190" s="151">
        <f>_xlfn.XLOOKUP(F190,'DATA - 2025 Review'!C:C,'DATA - 2025 Review'!J:J)</f>
        <v>-0.1872103948102144</v>
      </c>
      <c r="J190" s="150">
        <f>_xlfn.XLOOKUP(F190,'2025 Finish (ACTUAL)'!$C:$C,'2025 Finish (ACTUAL)'!$D:$D)</f>
        <v>14535.804704</v>
      </c>
      <c r="K190" s="146">
        <v>-6.5000000000000002E-2</v>
      </c>
      <c r="L190" s="152">
        <f t="shared" ref="L190:L192" si="73">K190*J190</f>
        <v>-944.82730576000006</v>
      </c>
      <c r="M190" s="152">
        <f t="shared" ref="M190:M192" si="74">L190+J190</f>
        <v>13590.97739824</v>
      </c>
      <c r="N190" s="146">
        <v>0.01</v>
      </c>
      <c r="O190" s="152">
        <f t="shared" ref="O190:O192" si="75">N190*J190</f>
        <v>145.35804704</v>
      </c>
      <c r="P190" s="69">
        <f t="shared" ref="P190:P192" si="76">O190+J190</f>
        <v>14681.162751039999</v>
      </c>
    </row>
    <row r="191" spans="1:16" x14ac:dyDescent="0.25">
      <c r="A191" s="149" t="s">
        <v>41</v>
      </c>
      <c r="B191" s="5" t="s">
        <v>319</v>
      </c>
      <c r="C191" s="299" t="str">
        <f>_xlfn.XLOOKUP(B191,'Brand Managers'!A:A,'Brand Managers'!B:B)</f>
        <v>Tom Gibbons</v>
      </c>
      <c r="D191" s="42" t="str">
        <f>_xlfn.XLOOKUP(F191,'DATA - Segments'!C:C,'DATA - Segments'!D:D)</f>
        <v>Spirits</v>
      </c>
      <c r="E191" s="42" t="str">
        <f>_xlfn.XLOOKUP(F191,'DATA - Segments'!C:C,'DATA - Segments'!E:E)</f>
        <v>Spirits - Gin</v>
      </c>
      <c r="F191" s="203" t="str">
        <f t="shared" si="55"/>
        <v>Warwick Gin|Warwick Valley</v>
      </c>
      <c r="G191" s="203" t="str">
        <f t="shared" si="36"/>
        <v>Warwick Gin|Warwick Valley|Spirits|Spirits - Gin</v>
      </c>
      <c r="H191" s="150">
        <f>_xlfn.XLOOKUP(F191,'DATA - 2025 Review'!C:C,'DATA - 2025 Review'!I:I,"")</f>
        <v>4</v>
      </c>
      <c r="I191" s="151">
        <f>_xlfn.XLOOKUP(F191,'DATA - 2025 Review'!C:C,'DATA - 2025 Review'!J:J)</f>
        <v>0</v>
      </c>
      <c r="J191" s="150">
        <f>_xlfn.XLOOKUP(F191,'2025 Finish (ACTUAL)'!$C:$C,'2025 Finish (ACTUAL)'!$D:$D)</f>
        <v>5</v>
      </c>
      <c r="K191" s="146"/>
      <c r="L191" s="152">
        <f t="shared" si="73"/>
        <v>0</v>
      </c>
      <c r="M191" s="152">
        <f t="shared" si="74"/>
        <v>5</v>
      </c>
      <c r="N191" s="146"/>
      <c r="O191" s="152">
        <f t="shared" si="75"/>
        <v>0</v>
      </c>
      <c r="P191" s="69">
        <f t="shared" si="76"/>
        <v>5</v>
      </c>
    </row>
    <row r="192" spans="1:16" x14ac:dyDescent="0.25">
      <c r="A192" s="149" t="s">
        <v>168</v>
      </c>
      <c r="B192" s="5" t="s">
        <v>319</v>
      </c>
      <c r="C192" s="299" t="str">
        <f>_xlfn.XLOOKUP(B192,'Brand Managers'!A:A,'Brand Managers'!B:B)</f>
        <v>Tom Gibbons</v>
      </c>
      <c r="D192" s="42" t="str">
        <f>_xlfn.XLOOKUP(F192,'DATA - Segments'!C:C,'DATA - Segments'!D:D)</f>
        <v>Spirits</v>
      </c>
      <c r="E192" s="42" t="str">
        <f>_xlfn.XLOOKUP(F192,'DATA - Segments'!C:C,'DATA - Segments'!E:E)</f>
        <v>Spirits - Gin</v>
      </c>
      <c r="F192" s="203" t="str">
        <f t="shared" si="55"/>
        <v>Gin Pig|Warwick Valley</v>
      </c>
      <c r="G192" s="203" t="str">
        <f t="shared" si="36"/>
        <v>Gin Pig|Warwick Valley|Spirits|Spirits - Gin</v>
      </c>
      <c r="H192" s="150">
        <f>_xlfn.XLOOKUP(F192,'DATA - 2025 Review'!C:C,'DATA - 2025 Review'!I:I,"")</f>
        <v>2.5</v>
      </c>
      <c r="I192" s="151">
        <f>_xlfn.XLOOKUP(F192,'DATA - 2025 Review'!C:C,'DATA - 2025 Review'!J:J)</f>
        <v>0</v>
      </c>
      <c r="J192" s="150">
        <f>_xlfn.XLOOKUP(F192,'2025 Finish (ACTUAL)'!$C:$C,'2025 Finish (ACTUAL)'!$D:$D)</f>
        <v>3</v>
      </c>
      <c r="K192" s="146"/>
      <c r="L192" s="152">
        <f t="shared" si="73"/>
        <v>0</v>
      </c>
      <c r="M192" s="152">
        <f t="shared" si="74"/>
        <v>3</v>
      </c>
      <c r="N192" s="146"/>
      <c r="O192" s="152">
        <f t="shared" si="75"/>
        <v>0</v>
      </c>
      <c r="P192" s="69">
        <f t="shared" si="76"/>
        <v>3</v>
      </c>
    </row>
    <row r="193" spans="1:16" x14ac:dyDescent="0.25">
      <c r="A193" s="143" t="s">
        <v>12</v>
      </c>
      <c r="B193" s="202"/>
      <c r="C193" s="202" t="str">
        <f>_xlfn.XLOOKUP(A193,'Brand Managers'!A:A,'Brand Managers'!B:B)</f>
        <v>Dan Downing</v>
      </c>
      <c r="D193" s="202"/>
      <c r="E193" s="202"/>
      <c r="F193" s="203" t="str">
        <f t="shared" si="55"/>
        <v>FIFCO|</v>
      </c>
      <c r="G193" s="203" t="str">
        <f t="shared" si="36"/>
        <v>FIFCO|||</v>
      </c>
      <c r="H193" s="144">
        <f>_xlfn.XLOOKUP(F193,'DATA - 2025 Review'!C:C,'DATA - 2025 Review'!I:I,"")</f>
        <v>16400.895795500001</v>
      </c>
      <c r="I193" s="145">
        <f>_xlfn.XLOOKUP(F193,'DATA - 2025 Review'!C:C,'DATA - 2025 Review'!J:J)</f>
        <v>-0.13139666456464594</v>
      </c>
      <c r="J193" s="144">
        <f>_xlfn.XLOOKUP(F193,'2025 Finish (ACTUAL)'!$C:$C,'2025 Finish (ACTUAL)'!$D:$D)</f>
        <v>16759.25</v>
      </c>
      <c r="K193" s="145">
        <f>L193/J193</f>
        <v>-2.546275937169026E-2</v>
      </c>
      <c r="L193" s="147">
        <f>SUMIF(B:B,A193,L:L)</f>
        <v>-426.73674999999997</v>
      </c>
      <c r="M193" s="147">
        <f>SUMIF(B:B,A193,M:M)</f>
        <v>16332.51325</v>
      </c>
      <c r="N193" s="145">
        <f>O193/J193</f>
        <v>-7.6035622119128246E-2</v>
      </c>
      <c r="O193" s="147">
        <f>SUMIF(B:B,A193,O:O)</f>
        <v>-1274.3</v>
      </c>
      <c r="P193" s="148">
        <f>SUMIF(B:B,A193,P:P)</f>
        <v>15484.95</v>
      </c>
    </row>
    <row r="194" spans="1:16" x14ac:dyDescent="0.25">
      <c r="A194" s="149" t="s">
        <v>114</v>
      </c>
      <c r="B194" s="2" t="s">
        <v>12</v>
      </c>
      <c r="C194" s="299" t="str">
        <f>_xlfn.XLOOKUP(B194,'Brand Managers'!A:A,'Brand Managers'!B:B)</f>
        <v>Dan Downing</v>
      </c>
      <c r="D194" s="42" t="str">
        <f>_xlfn.XLOOKUP(F194,'DATA - Segments'!C:C,'DATA - Segments'!D:D)</f>
        <v>Beer</v>
      </c>
      <c r="E194" s="42" t="str">
        <f>_xlfn.XLOOKUP(F194,'DATA - Segments'!C:C,'DATA - Segments'!E:E)</f>
        <v>Beer - Economy</v>
      </c>
      <c r="F194" s="203" t="str">
        <f t="shared" si="55"/>
        <v>Genesee|FIFCO</v>
      </c>
      <c r="G194" s="203" t="str">
        <f t="shared" si="36"/>
        <v>Genesee|FIFCO|Beer|Beer - Economy</v>
      </c>
      <c r="H194" s="150">
        <f>_xlfn.XLOOKUP(F194,'DATA - 2025 Review'!C:C,'DATA - 2025 Review'!I:I,"")</f>
        <v>14228.7543265</v>
      </c>
      <c r="I194" s="151">
        <f>_xlfn.XLOOKUP(F194,'DATA - 2025 Review'!C:C,'DATA - 2025 Review'!J:J)</f>
        <v>-0.11709928629014166</v>
      </c>
      <c r="J194" s="150">
        <f>_xlfn.XLOOKUP(F194,'2025 Finish (ACTUAL)'!$C:$C,'2025 Finish (ACTUAL)'!$D:$D)</f>
        <v>14616.25</v>
      </c>
      <c r="K194" s="146">
        <v>-4.2999999999999997E-2</v>
      </c>
      <c r="L194" s="152">
        <f t="shared" ref="L194:L196" si="77">K194*J194</f>
        <v>-628.49874999999997</v>
      </c>
      <c r="M194" s="152">
        <f t="shared" ref="M194:M196" si="78">L194+J194</f>
        <v>13987.751249999999</v>
      </c>
      <c r="N194" s="146">
        <v>-0.08</v>
      </c>
      <c r="O194" s="152">
        <f t="shared" ref="O194:O196" si="79">N194*J194</f>
        <v>-1169.3</v>
      </c>
      <c r="P194" s="69">
        <f t="shared" ref="P194:P196" si="80">O194+J194</f>
        <v>13446.95</v>
      </c>
    </row>
    <row r="195" spans="1:16" x14ac:dyDescent="0.25">
      <c r="A195" s="149" t="s">
        <v>169</v>
      </c>
      <c r="B195" s="2" t="s">
        <v>12</v>
      </c>
      <c r="C195" s="299" t="str">
        <f>_xlfn.XLOOKUP(B195,'Brand Managers'!A:A,'Brand Managers'!B:B)</f>
        <v>Dan Downing</v>
      </c>
      <c r="D195" s="42" t="str">
        <f>_xlfn.XLOOKUP(F195,'DATA - Segments'!C:C,'DATA - Segments'!D:D)</f>
        <v>Beer</v>
      </c>
      <c r="E195" s="42" t="str">
        <f>_xlfn.XLOOKUP(F195,'DATA - Segments'!C:C,'DATA - Segments'!E:E)</f>
        <v>Beer - Craft</v>
      </c>
      <c r="F195" s="203" t="str">
        <f t="shared" si="55"/>
        <v>Imperial|FIFCO</v>
      </c>
      <c r="G195" s="203" t="str">
        <f t="shared" si="36"/>
        <v>Imperial|FIFCO|Beer|Beer - Craft</v>
      </c>
      <c r="H195" s="150">
        <f>_xlfn.XLOOKUP(F195,'DATA - 2025 Review'!C:C,'DATA - 2025 Review'!I:I,"")</f>
        <v>2024.189678</v>
      </c>
      <c r="I195" s="151">
        <f>_xlfn.XLOOKUP(F195,'DATA - 2025 Review'!C:C,'DATA - 2025 Review'!J:J)</f>
        <v>-1.9762867796610184E-2</v>
      </c>
      <c r="J195" s="150">
        <f>_xlfn.XLOOKUP(F195,'2025 Finish (ACTUAL)'!$C:$C,'2025 Finish (ACTUAL)'!$D:$D)</f>
        <v>2038</v>
      </c>
      <c r="K195" s="146">
        <v>9.9000000000000005E-2</v>
      </c>
      <c r="L195" s="152">
        <f t="shared" si="77"/>
        <v>201.762</v>
      </c>
      <c r="M195" s="152">
        <f t="shared" si="78"/>
        <v>2239.7620000000002</v>
      </c>
      <c r="N195" s="146">
        <v>0</v>
      </c>
      <c r="O195" s="152">
        <f t="shared" si="79"/>
        <v>0</v>
      </c>
      <c r="P195" s="69">
        <f t="shared" si="80"/>
        <v>2038</v>
      </c>
    </row>
    <row r="196" spans="1:16" x14ac:dyDescent="0.25">
      <c r="A196" s="293" t="s">
        <v>193</v>
      </c>
      <c r="B196" s="283" t="s">
        <v>12</v>
      </c>
      <c r="C196" s="283"/>
      <c r="D196" s="286" t="str">
        <f>_xlfn.XLOOKUP(F196,'DATA - Segments'!C:C,'DATA - Segments'!D:D)</f>
        <v>Beer</v>
      </c>
      <c r="E196" s="286" t="str">
        <f>_xlfn.XLOOKUP(F196,'DATA - Segments'!C:C,'DATA - Segments'!E:E)</f>
        <v>Beer - Craft</v>
      </c>
      <c r="F196" s="287" t="str">
        <f t="shared" ref="F196:F210" si="81">A196&amp;"|"&amp;B196</f>
        <v>Honey Brown|FIFCO</v>
      </c>
      <c r="G196" s="287" t="str">
        <f t="shared" ref="G196:G259" si="82">A196&amp;"|"&amp;B196&amp;"|"&amp;D196&amp;"|"&amp;E196</f>
        <v>Honey Brown|FIFCO|Beer|Beer - Craft</v>
      </c>
      <c r="H196" s="273">
        <f>_xlfn.XLOOKUP(F196,'DATA - 2025 Review'!C:C,'DATA - 2025 Review'!I:I,"")</f>
        <v>128.455488</v>
      </c>
      <c r="I196" s="281">
        <f>_xlfn.XLOOKUP(F196,'DATA - 2025 Review'!C:C,'DATA - 2025 Review'!J:J)</f>
        <v>-0.81675394008559199</v>
      </c>
      <c r="J196" s="273">
        <f>_xlfn.XLOOKUP(F196,'2025 Finish (ACTUAL)'!$C:$C,'2025 Finish (ACTUAL)'!$D:$D)</f>
        <v>105</v>
      </c>
      <c r="K196" s="281"/>
      <c r="L196" s="274">
        <f t="shared" si="77"/>
        <v>0</v>
      </c>
      <c r="M196" s="274">
        <f t="shared" si="78"/>
        <v>105</v>
      </c>
      <c r="N196" s="281">
        <v>-1</v>
      </c>
      <c r="O196" s="274">
        <f t="shared" si="79"/>
        <v>-105</v>
      </c>
      <c r="P196" s="275">
        <f t="shared" si="80"/>
        <v>0</v>
      </c>
    </row>
    <row r="197" spans="1:16" x14ac:dyDescent="0.25">
      <c r="A197" s="143" t="s">
        <v>13</v>
      </c>
      <c r="B197" s="202"/>
      <c r="C197" s="202" t="str">
        <f>_xlfn.XLOOKUP(A197,'Brand Managers'!A:A,'Brand Managers'!B:B)</f>
        <v>Dan Downing</v>
      </c>
      <c r="D197" s="202"/>
      <c r="E197" s="202"/>
      <c r="F197" s="203" t="str">
        <f t="shared" si="81"/>
        <v>Athletic Brewing Company|</v>
      </c>
      <c r="G197" s="203" t="str">
        <f t="shared" si="82"/>
        <v>Athletic Brewing Company|||</v>
      </c>
      <c r="H197" s="144">
        <f>_xlfn.XLOOKUP(F197,'DATA - 2025 Review'!C:C,'DATA - 2025 Review'!I:I,"")</f>
        <v>23070.135829999999</v>
      </c>
      <c r="I197" s="145">
        <f>_xlfn.XLOOKUP(F197,'DATA - 2025 Review'!C:C,'DATA - 2025 Review'!J:J)</f>
        <v>0.24073011885554485</v>
      </c>
      <c r="J197" s="144">
        <f>_xlfn.XLOOKUP(F197,'2025 Finish (ACTUAL)'!$C:$C,'2025 Finish (ACTUAL)'!$D:$D)</f>
        <v>23154</v>
      </c>
      <c r="K197" s="145">
        <f>L197/J197</f>
        <v>0.16</v>
      </c>
      <c r="L197" s="147">
        <f>SUMIF(B:B,A197,L:L)</f>
        <v>3704.64</v>
      </c>
      <c r="M197" s="147">
        <f>SUMIF(B:B,A197,M:M)</f>
        <v>26858.639999999999</v>
      </c>
      <c r="N197" s="145">
        <f>O197/J197</f>
        <v>0.16</v>
      </c>
      <c r="O197" s="147">
        <f>SUMIF(B:B,A197,O:O)</f>
        <v>3704.64</v>
      </c>
      <c r="P197" s="148">
        <f>SUMIF(B:B,A197,P:P)</f>
        <v>26858.639999999999</v>
      </c>
    </row>
    <row r="198" spans="1:16" x14ac:dyDescent="0.25">
      <c r="A198" s="149" t="s">
        <v>62</v>
      </c>
      <c r="B198" s="2" t="s">
        <v>13</v>
      </c>
      <c r="C198" s="299" t="str">
        <f>_xlfn.XLOOKUP(B198,'Brand Managers'!A:A,'Brand Managers'!B:B)</f>
        <v>Dan Downing</v>
      </c>
      <c r="D198" s="42" t="str">
        <f>_xlfn.XLOOKUP(F198,'DATA - Segments'!C:C,'DATA - Segments'!D:D)</f>
        <v>Beer</v>
      </c>
      <c r="E198" s="42" t="str">
        <f>_xlfn.XLOOKUP(F198,'DATA - Segments'!C:C,'DATA - Segments'!E:E)</f>
        <v>Beer - Non-Alc</v>
      </c>
      <c r="F198" s="203" t="str">
        <f t="shared" si="81"/>
        <v>Athletic|Athletic Brewing Company</v>
      </c>
      <c r="G198" s="203" t="str">
        <f t="shared" si="82"/>
        <v>Athletic|Athletic Brewing Company|Beer|Beer - Non-Alc</v>
      </c>
      <c r="H198" s="150">
        <f>_xlfn.XLOOKUP(F198,'DATA - 2025 Review'!C:C,'DATA - 2025 Review'!I:I,"")</f>
        <v>23070.135829999999</v>
      </c>
      <c r="I198" s="151">
        <f>_xlfn.XLOOKUP(F198,'DATA - 2025 Review'!C:C,'DATA - 2025 Review'!J:J)</f>
        <v>0.24073011885554485</v>
      </c>
      <c r="J198" s="150">
        <f>_xlfn.XLOOKUP(F198,'2025 Finish (ACTUAL)'!$C:$C,'2025 Finish (ACTUAL)'!$D:$D)</f>
        <v>23154</v>
      </c>
      <c r="K198" s="146">
        <v>0.16</v>
      </c>
      <c r="L198" s="152">
        <f t="shared" ref="L198" si="83">K198*J198</f>
        <v>3704.64</v>
      </c>
      <c r="M198" s="152">
        <f>L198+J198</f>
        <v>26858.639999999999</v>
      </c>
      <c r="N198" s="146">
        <v>0.16</v>
      </c>
      <c r="O198" s="152">
        <f>N198*J198</f>
        <v>3704.64</v>
      </c>
      <c r="P198" s="69">
        <f>O198+J198</f>
        <v>26858.639999999999</v>
      </c>
    </row>
    <row r="199" spans="1:16" x14ac:dyDescent="0.25">
      <c r="A199" s="143" t="s">
        <v>63</v>
      </c>
      <c r="B199" s="202"/>
      <c r="C199" s="202" t="str">
        <f>_xlfn.XLOOKUP(A199,'Brand Managers'!A:A,'Brand Managers'!B:B)</f>
        <v>Steve Halloran</v>
      </c>
      <c r="D199" s="202"/>
      <c r="E199" s="202"/>
      <c r="F199" s="203" t="str">
        <f t="shared" si="81"/>
        <v>Phusion Projects|</v>
      </c>
      <c r="G199" s="203" t="str">
        <f t="shared" si="82"/>
        <v>Phusion Projects|||</v>
      </c>
      <c r="H199" s="144">
        <f>_xlfn.XLOOKUP(F199,'DATA - 2025 Review'!C:C,'DATA - 2025 Review'!I:I,"")</f>
        <v>22101.106192864303</v>
      </c>
      <c r="I199" s="145">
        <f>_xlfn.XLOOKUP(F199,'DATA - 2025 Review'!C:C,'DATA - 2025 Review'!J:J)</f>
        <v>0.34987042263983303</v>
      </c>
      <c r="J199" s="144">
        <f>_xlfn.XLOOKUP(F199,'2025 Finish (ACTUAL)'!$C:$C,'2025 Finish (ACTUAL)'!$D:$D)</f>
        <v>22089.735699000001</v>
      </c>
      <c r="K199" s="145">
        <f>L199/J199</f>
        <v>1.3742009462057168E-2</v>
      </c>
      <c r="L199" s="147">
        <f>SUMIF(B:B,A199,L:L)</f>
        <v>303.55735699000002</v>
      </c>
      <c r="M199" s="147">
        <f>SUMIF(B:B,A199,M:M)</f>
        <v>22393.293055989998</v>
      </c>
      <c r="N199" s="145">
        <f>O199/J199</f>
        <v>1.3742009462057168E-2</v>
      </c>
      <c r="O199" s="147">
        <f>SUMIF(B:B,A199,O:O)</f>
        <v>303.55735699000002</v>
      </c>
      <c r="P199" s="148">
        <f>SUMIF(B:B,A199,P:P)</f>
        <v>22393.293055989998</v>
      </c>
    </row>
    <row r="200" spans="1:16" x14ac:dyDescent="0.25">
      <c r="A200" s="149" t="s">
        <v>64</v>
      </c>
      <c r="B200" s="2" t="s">
        <v>63</v>
      </c>
      <c r="C200" s="299" t="str">
        <f>_xlfn.XLOOKUP(B200,'Brand Managers'!A:A,'Brand Managers'!B:B)</f>
        <v>Steve Halloran</v>
      </c>
      <c r="D200" s="42" t="str">
        <f>_xlfn.XLOOKUP(F200,'DATA - Segments'!C:C,'DATA - Segments'!D:D)</f>
        <v>FMB</v>
      </c>
      <c r="E200" s="42" t="str">
        <f>_xlfn.XLOOKUP(F200,'DATA - Segments'!C:C,'DATA - Segments'!E:E)</f>
        <v>FMB</v>
      </c>
      <c r="F200" s="203" t="str">
        <f t="shared" si="81"/>
        <v>Four Loko|Phusion Projects</v>
      </c>
      <c r="G200" s="203" t="str">
        <f t="shared" si="82"/>
        <v>Four Loko|Phusion Projects|FMB|FMB</v>
      </c>
      <c r="H200" s="150">
        <f>_xlfn.XLOOKUP(F200,'DATA - 2025 Review'!C:C,'DATA - 2025 Review'!I:I,"")</f>
        <v>19256.141093113176</v>
      </c>
      <c r="I200" s="151">
        <f>_xlfn.XLOOKUP(F200,'DATA - 2025 Review'!C:C,'DATA - 2025 Review'!J:J)</f>
        <v>0.47896815281642491</v>
      </c>
      <c r="J200" s="150">
        <f>_xlfn.XLOOKUP(F200,'2025 Finish (ACTUAL)'!$C:$C,'2025 Finish (ACTUAL)'!$D:$D)</f>
        <v>19188.735699000001</v>
      </c>
      <c r="K200" s="146">
        <v>0.01</v>
      </c>
      <c r="L200" s="152">
        <f t="shared" ref="L200:L204" si="84">K200*J200</f>
        <v>191.88735699</v>
      </c>
      <c r="M200" s="152">
        <f t="shared" ref="M200:M204" si="85">L200+J200</f>
        <v>19380.62305599</v>
      </c>
      <c r="N200" s="146">
        <v>0.01</v>
      </c>
      <c r="O200" s="152">
        <f t="shared" ref="O200:O204" si="86">N200*J200</f>
        <v>191.88735699</v>
      </c>
      <c r="P200" s="69">
        <f t="shared" ref="P200:P204" si="87">O200+J200</f>
        <v>19380.62305599</v>
      </c>
    </row>
    <row r="201" spans="1:16" x14ac:dyDescent="0.25">
      <c r="A201" s="149" t="s">
        <v>115</v>
      </c>
      <c r="B201" s="2" t="s">
        <v>63</v>
      </c>
      <c r="C201" s="299" t="str">
        <f>_xlfn.XLOOKUP(B201,'Brand Managers'!A:A,'Brand Managers'!B:B)</f>
        <v>Steve Halloran</v>
      </c>
      <c r="D201" s="42" t="str">
        <f>_xlfn.XLOOKUP(F201,'DATA - Segments'!C:C,'DATA - Segments'!D:D)</f>
        <v>Beer</v>
      </c>
      <c r="E201" s="42" t="str">
        <f>_xlfn.XLOOKUP(F201,'DATA - Segments'!C:C,'DATA - Segments'!E:E)</f>
        <v>Beer - Economy</v>
      </c>
      <c r="F201" s="203" t="str">
        <f t="shared" si="81"/>
        <v>Earthquake|Phusion Projects</v>
      </c>
      <c r="G201" s="203" t="str">
        <f t="shared" si="82"/>
        <v>Earthquake|Phusion Projects|Beer|Beer - Economy</v>
      </c>
      <c r="H201" s="150">
        <f>_xlfn.XLOOKUP(F201,'DATA - 2025 Review'!C:C,'DATA - 2025 Review'!I:I,"")</f>
        <v>1724.104212</v>
      </c>
      <c r="I201" s="151">
        <f>_xlfn.XLOOKUP(F201,'DATA - 2025 Review'!C:C,'DATA - 2025 Review'!J:J)</f>
        <v>0.11304339057456425</v>
      </c>
      <c r="J201" s="150">
        <f>_xlfn.XLOOKUP(F201,'2025 Finish (ACTUAL)'!$C:$C,'2025 Finish (ACTUAL)'!$D:$D)</f>
        <v>1669</v>
      </c>
      <c r="K201" s="146">
        <v>0.03</v>
      </c>
      <c r="L201" s="152">
        <f t="shared" si="84"/>
        <v>50.07</v>
      </c>
      <c r="M201" s="152">
        <f t="shared" si="85"/>
        <v>1719.07</v>
      </c>
      <c r="N201" s="146">
        <v>0.03</v>
      </c>
      <c r="O201" s="152">
        <f t="shared" si="86"/>
        <v>50.07</v>
      </c>
      <c r="P201" s="69">
        <f t="shared" si="87"/>
        <v>1719.07</v>
      </c>
    </row>
    <row r="202" spans="1:16" x14ac:dyDescent="0.25">
      <c r="A202" s="149" t="s">
        <v>42</v>
      </c>
      <c r="B202" s="2" t="s">
        <v>63</v>
      </c>
      <c r="C202" s="299" t="str">
        <f>_xlfn.XLOOKUP(B202,'Brand Managers'!A:A,'Brand Managers'!B:B)</f>
        <v>Steve Halloran</v>
      </c>
      <c r="D202" s="42" t="str">
        <f>_xlfn.XLOOKUP(F202,'DATA - Segments'!C:C,'DATA - Segments'!D:D)</f>
        <v>Seltzer</v>
      </c>
      <c r="E202" s="42" t="str">
        <f>_xlfn.XLOOKUP(F202,'DATA - Segments'!C:C,'DATA - Segments'!E:E)</f>
        <v>Seltzer</v>
      </c>
      <c r="F202" s="203" t="str">
        <f t="shared" si="81"/>
        <v>Mamita's|Phusion Projects</v>
      </c>
      <c r="G202" s="203" t="str">
        <f t="shared" si="82"/>
        <v>Mamita's|Phusion Projects|Seltzer|Seltzer</v>
      </c>
      <c r="H202" s="150">
        <f>_xlfn.XLOOKUP(F202,'DATA - 2025 Review'!C:C,'DATA - 2025 Review'!I:I,"")</f>
        <v>1259.3049350000001</v>
      </c>
      <c r="I202" s="151">
        <f>_xlfn.XLOOKUP(F202,'DATA - 2025 Review'!C:C,'DATA - 2025 Review'!J:J)</f>
        <v>-0.23213113719512191</v>
      </c>
      <c r="J202" s="150">
        <f>_xlfn.XLOOKUP(F202,'2025 Finish (ACTUAL)'!$C:$C,'2025 Finish (ACTUAL)'!$D:$D)</f>
        <v>1232</v>
      </c>
      <c r="K202" s="146">
        <v>0.05</v>
      </c>
      <c r="L202" s="152">
        <f t="shared" si="84"/>
        <v>61.6</v>
      </c>
      <c r="M202" s="152">
        <f t="shared" si="85"/>
        <v>1293.5999999999999</v>
      </c>
      <c r="N202" s="146">
        <v>0.05</v>
      </c>
      <c r="O202" s="152">
        <f t="shared" si="86"/>
        <v>61.6</v>
      </c>
      <c r="P202" s="69">
        <f t="shared" si="87"/>
        <v>1293.5999999999999</v>
      </c>
    </row>
    <row r="203" spans="1:16" x14ac:dyDescent="0.25">
      <c r="A203" s="156" t="s">
        <v>320</v>
      </c>
      <c r="B203" s="283" t="s">
        <v>63</v>
      </c>
      <c r="C203" s="283"/>
      <c r="D203" s="286" t="s">
        <v>528</v>
      </c>
      <c r="E203" s="286" t="s">
        <v>528</v>
      </c>
      <c r="F203" s="287" t="str">
        <f t="shared" si="81"/>
        <v>Pirate Water|Phusion Projects</v>
      </c>
      <c r="G203" s="287" t="str">
        <f t="shared" si="82"/>
        <v>Pirate Water|Phusion Projects|FMB|FMB</v>
      </c>
      <c r="H203" s="273">
        <f>_xlfn.XLOOKUP(F203,'DATA - 2025 Review'!C:C,'DATA - 2025 Review'!I:I,"")</f>
        <v>0</v>
      </c>
      <c r="I203" s="281">
        <f>_xlfn.XLOOKUP(F203,'DATA - 2025 Review'!C:C,'DATA - 2025 Review'!J:J)</f>
        <v>-1</v>
      </c>
      <c r="J203" s="273"/>
      <c r="K203" s="281">
        <v>-1</v>
      </c>
      <c r="L203" s="274">
        <f t="shared" si="84"/>
        <v>0</v>
      </c>
      <c r="M203" s="274">
        <f t="shared" si="85"/>
        <v>0</v>
      </c>
      <c r="N203" s="281">
        <v>-1</v>
      </c>
      <c r="O203" s="274">
        <f t="shared" si="86"/>
        <v>0</v>
      </c>
      <c r="P203" s="275">
        <f t="shared" si="87"/>
        <v>0</v>
      </c>
    </row>
    <row r="204" spans="1:16" x14ac:dyDescent="0.25">
      <c r="A204" s="156" t="s">
        <v>116</v>
      </c>
      <c r="B204" s="283" t="s">
        <v>63</v>
      </c>
      <c r="C204" s="283"/>
      <c r="D204" s="286"/>
      <c r="E204" s="286"/>
      <c r="F204" s="287" t="str">
        <f t="shared" si="81"/>
        <v>Basic|Phusion Projects</v>
      </c>
      <c r="G204" s="287" t="str">
        <f t="shared" si="82"/>
        <v>Basic|Phusion Projects||</v>
      </c>
      <c r="H204" s="273">
        <f>_xlfn.XLOOKUP(F204,'DATA - 2025 Review'!C:C,'DATA - 2025 Review'!I:I,"")</f>
        <v>0</v>
      </c>
      <c r="I204" s="281">
        <f>_xlfn.XLOOKUP(F204,'DATA - 2025 Review'!C:C,'DATA - 2025 Review'!J:J)</f>
        <v>-1</v>
      </c>
      <c r="J204" s="273"/>
      <c r="K204" s="281">
        <v>-1</v>
      </c>
      <c r="L204" s="274">
        <f t="shared" si="84"/>
        <v>0</v>
      </c>
      <c r="M204" s="274">
        <f t="shared" si="85"/>
        <v>0</v>
      </c>
      <c r="N204" s="281">
        <v>-1</v>
      </c>
      <c r="O204" s="274">
        <f t="shared" si="86"/>
        <v>0</v>
      </c>
      <c r="P204" s="275">
        <f t="shared" si="87"/>
        <v>0</v>
      </c>
    </row>
    <row r="205" spans="1:16" x14ac:dyDescent="0.25">
      <c r="A205" s="143" t="s">
        <v>266</v>
      </c>
      <c r="B205" s="202"/>
      <c r="C205" s="202" t="str">
        <f>_xlfn.XLOOKUP(A205,'Brand Managers'!A:A,'Brand Managers'!B:B)</f>
        <v>Perry Calderone</v>
      </c>
      <c r="D205" s="202"/>
      <c r="E205" s="202"/>
      <c r="F205" s="203" t="str">
        <f t="shared" si="81"/>
        <v>Paulaner|</v>
      </c>
      <c r="G205" s="203" t="str">
        <f t="shared" si="82"/>
        <v>Paulaner|||</v>
      </c>
      <c r="H205" s="144">
        <f>_xlfn.XLOOKUP(F205,'DATA - 2025 Review'!C:C,'DATA - 2025 Review'!I:I,"")</f>
        <v>16311.988003778253</v>
      </c>
      <c r="I205" s="145">
        <f>_xlfn.XLOOKUP(F205,'DATA - 2025 Review'!C:C,'DATA - 2025 Review'!J:J)</f>
        <v>-3.882094255589208E-2</v>
      </c>
      <c r="J205" s="144">
        <f>_xlfn.XLOOKUP(F205,'2025 Finish (ACTUAL)'!$C:$C,'2025 Finish (ACTUAL)'!$D:$D)</f>
        <v>16172.69808</v>
      </c>
      <c r="K205" s="145">
        <f>L205/J205</f>
        <v>0.10447060209139822</v>
      </c>
      <c r="L205" s="147">
        <f>SUMIF(B:B,A205,L:L)</f>
        <v>1689.5715058599999</v>
      </c>
      <c r="M205" s="147">
        <f>SUMIF(B:B,A205,M:M)</f>
        <v>17862.269585859998</v>
      </c>
      <c r="N205" s="145">
        <f>O205/J205</f>
        <v>8.1087154854003182E-2</v>
      </c>
      <c r="O205" s="147">
        <f>SUMIF(B:B,A205,O:O)</f>
        <v>1311.3980736199999</v>
      </c>
      <c r="P205" s="148">
        <f>SUMIF(B:B,A205,P:P)</f>
        <v>17484.096153620001</v>
      </c>
    </row>
    <row r="206" spans="1:16" x14ac:dyDescent="0.25">
      <c r="A206" s="149" t="s">
        <v>266</v>
      </c>
      <c r="B206" s="2" t="s">
        <v>266</v>
      </c>
      <c r="C206" s="299" t="str">
        <f>_xlfn.XLOOKUP(B206,'Brand Managers'!A:A,'Brand Managers'!B:B)</f>
        <v>Perry Calderone</v>
      </c>
      <c r="D206" s="42" t="str">
        <f>_xlfn.XLOOKUP(F206,'DATA - Segments'!C:C,'DATA - Segments'!D:D)</f>
        <v>Beer</v>
      </c>
      <c r="E206" s="42" t="str">
        <f>_xlfn.XLOOKUP(F206,'DATA - Segments'!C:C,'DATA - Segments'!E:E)</f>
        <v>Beer - Import</v>
      </c>
      <c r="F206" s="203" t="str">
        <f t="shared" si="81"/>
        <v>Paulaner|Paulaner</v>
      </c>
      <c r="G206" s="203" t="str">
        <f t="shared" si="82"/>
        <v>Paulaner|Paulaner|Beer|Beer - Import</v>
      </c>
      <c r="H206" s="150">
        <f>_xlfn.XLOOKUP(F206,'DATA - 2025 Review'!C:C,'DATA - 2025 Review'!I:I,"")</f>
        <v>9345.9937734404957</v>
      </c>
      <c r="I206" s="151">
        <f>_xlfn.XLOOKUP(F206,'DATA - 2025 Review'!C:C,'DATA - 2025 Review'!J:J)</f>
        <v>8.9223886230644478E-2</v>
      </c>
      <c r="J206" s="150">
        <f>_xlfn.XLOOKUP(F206,'2025 Finish (ACTUAL)'!$C:$C,'2025 Finish (ACTUAL)'!$D:$D)</f>
        <v>9454.3358059999991</v>
      </c>
      <c r="K206" s="146">
        <v>0.16</v>
      </c>
      <c r="L206" s="152">
        <f t="shared" ref="L206:L209" si="88">K206*J206</f>
        <v>1512.6937289599998</v>
      </c>
      <c r="M206" s="152">
        <f t="shared" ref="M206:M209" si="89">L206+J206</f>
        <v>10967.029534959998</v>
      </c>
      <c r="N206" s="146">
        <v>0.12</v>
      </c>
      <c r="O206" s="152">
        <f t="shared" ref="O206:O209" si="90">N206*J206</f>
        <v>1134.5202967199998</v>
      </c>
      <c r="P206" s="69">
        <f t="shared" ref="P206:P209" si="91">O206+J206</f>
        <v>10588.856102719999</v>
      </c>
    </row>
    <row r="207" spans="1:16" x14ac:dyDescent="0.25">
      <c r="A207" s="149" t="s">
        <v>222</v>
      </c>
      <c r="B207" s="2" t="s">
        <v>266</v>
      </c>
      <c r="C207" s="299" t="str">
        <f>_xlfn.XLOOKUP(B207,'Brand Managers'!A:A,'Brand Managers'!B:B)</f>
        <v>Perry Calderone</v>
      </c>
      <c r="D207" s="42" t="str">
        <f>_xlfn.XLOOKUP(F207,'DATA - Segments'!C:C,'DATA - Segments'!D:D)</f>
        <v>Beer</v>
      </c>
      <c r="E207" s="42" t="str">
        <f>_xlfn.XLOOKUP(F207,'DATA - Segments'!C:C,'DATA - Segments'!E:E)</f>
        <v>Beer - Import</v>
      </c>
      <c r="F207" s="203" t="str">
        <f t="shared" si="81"/>
        <v>Tsingtao|Paulaner</v>
      </c>
      <c r="G207" s="203" t="str">
        <f t="shared" si="82"/>
        <v>Tsingtao|Paulaner|Beer|Beer - Import</v>
      </c>
      <c r="H207" s="150">
        <f>_xlfn.XLOOKUP(F207,'DATA - 2025 Review'!C:C,'DATA - 2025 Review'!I:I,"")</f>
        <v>3985.2343750175496</v>
      </c>
      <c r="I207" s="151">
        <f>_xlfn.XLOOKUP(F207,'DATA - 2025 Review'!C:C,'DATA - 2025 Review'!J:J)</f>
        <v>7.0065059033950661E-2</v>
      </c>
      <c r="J207" s="150">
        <f>_xlfn.XLOOKUP(F207,'2025 Finish (ACTUAL)'!$C:$C,'2025 Finish (ACTUAL)'!$D:$D)</f>
        <v>3537.5555380000001</v>
      </c>
      <c r="K207" s="146">
        <v>0.05</v>
      </c>
      <c r="L207" s="152">
        <f t="shared" si="88"/>
        <v>176.87777690000001</v>
      </c>
      <c r="M207" s="152">
        <f t="shared" si="89"/>
        <v>3714.4333148999999</v>
      </c>
      <c r="N207" s="146">
        <v>0.05</v>
      </c>
      <c r="O207" s="152">
        <f t="shared" si="90"/>
        <v>176.87777690000001</v>
      </c>
      <c r="P207" s="69">
        <f t="shared" si="91"/>
        <v>3714.4333148999999</v>
      </c>
    </row>
    <row r="208" spans="1:16" x14ac:dyDescent="0.25">
      <c r="A208" s="149" t="s">
        <v>194</v>
      </c>
      <c r="B208" s="2" t="s">
        <v>266</v>
      </c>
      <c r="C208" s="299" t="str">
        <f>_xlfn.XLOOKUP(B208,'Brand Managers'!A:A,'Brand Managers'!B:B)</f>
        <v>Perry Calderone</v>
      </c>
      <c r="D208" s="42" t="str">
        <f>_xlfn.XLOOKUP(F208,'DATA - Segments'!C:C,'DATA - Segments'!D:D)</f>
        <v>Beer</v>
      </c>
      <c r="E208" s="42" t="str">
        <f>_xlfn.XLOOKUP(F208,'DATA - Segments'!C:C,'DATA - Segments'!E:E)</f>
        <v>Beer - Import</v>
      </c>
      <c r="F208" s="203" t="str">
        <f t="shared" si="81"/>
        <v>Hacker-Pschorr|Paulaner</v>
      </c>
      <c r="G208" s="203" t="str">
        <f t="shared" si="82"/>
        <v>Hacker-Pschorr|Paulaner|Beer|Beer - Import</v>
      </c>
      <c r="H208" s="150">
        <f>_xlfn.XLOOKUP(F208,'DATA - 2025 Review'!C:C,'DATA - 2025 Review'!I:I,"")</f>
        <v>2986.850387007742</v>
      </c>
      <c r="I208" s="151">
        <f>_xlfn.XLOOKUP(F208,'DATA - 2025 Review'!C:C,'DATA - 2025 Review'!J:J)</f>
        <v>-0.35052281854815193</v>
      </c>
      <c r="J208" s="150">
        <f>_xlfn.XLOOKUP(F208,'2025 Finish (ACTUAL)'!$C:$C,'2025 Finish (ACTUAL)'!$D:$D)</f>
        <v>3050.0428160000001</v>
      </c>
      <c r="K208" s="146">
        <v>0</v>
      </c>
      <c r="L208" s="152">
        <f t="shared" si="88"/>
        <v>0</v>
      </c>
      <c r="M208" s="152">
        <f t="shared" si="89"/>
        <v>3050.0428160000001</v>
      </c>
      <c r="N208" s="146">
        <v>0</v>
      </c>
      <c r="O208" s="152">
        <f t="shared" si="90"/>
        <v>0</v>
      </c>
      <c r="P208" s="69">
        <f t="shared" si="91"/>
        <v>3050.0428160000001</v>
      </c>
    </row>
    <row r="209" spans="1:18" x14ac:dyDescent="0.25">
      <c r="A209" s="149" t="s">
        <v>43</v>
      </c>
      <c r="B209" s="2" t="s">
        <v>266</v>
      </c>
      <c r="C209" s="299" t="str">
        <f>_xlfn.XLOOKUP(B209,'Brand Managers'!A:A,'Brand Managers'!B:B)</f>
        <v>Perry Calderone</v>
      </c>
      <c r="D209" s="42" t="str">
        <f>_xlfn.XLOOKUP(F209,'DATA - Segments'!C:C,'DATA - Segments'!D:D)</f>
        <v>Beer</v>
      </c>
      <c r="E209" s="42" t="str">
        <f>_xlfn.XLOOKUP(F209,'DATA - Segments'!C:C,'DATA - Segments'!E:E)</f>
        <v>Beer - Import</v>
      </c>
      <c r="F209" s="203" t="str">
        <f t="shared" si="81"/>
        <v>Fuller's|Paulaner</v>
      </c>
      <c r="G209" s="203" t="str">
        <f t="shared" si="82"/>
        <v>Fuller's|Paulaner|Beer|Beer - Import</v>
      </c>
      <c r="H209" s="150">
        <f>_xlfn.XLOOKUP(F209,'DATA - 2025 Review'!C:C,'DATA - 2025 Review'!I:I,"")</f>
        <v>120.08931375198401</v>
      </c>
      <c r="I209" s="151">
        <f>_xlfn.XLOOKUP(F209,'DATA - 2025 Review'!C:C,'DATA - 2025 Review'!J:J)</f>
        <v>0.78571427777777791</v>
      </c>
      <c r="J209" s="150">
        <f>_xlfn.XLOOKUP(F209,'2025 Finish (ACTUAL)'!$C:$C,'2025 Finish (ACTUAL)'!$D:$D)</f>
        <v>130.76392000000001</v>
      </c>
      <c r="K209" s="146">
        <v>0</v>
      </c>
      <c r="L209" s="152">
        <f t="shared" si="88"/>
        <v>0</v>
      </c>
      <c r="M209" s="152">
        <f t="shared" si="89"/>
        <v>130.76392000000001</v>
      </c>
      <c r="N209" s="146">
        <v>0</v>
      </c>
      <c r="O209" s="152">
        <f t="shared" si="90"/>
        <v>0</v>
      </c>
      <c r="P209" s="69">
        <f t="shared" si="91"/>
        <v>130.76392000000001</v>
      </c>
    </row>
    <row r="210" spans="1:18" x14ac:dyDescent="0.25">
      <c r="A210" s="143" t="s">
        <v>503</v>
      </c>
      <c r="B210" s="202"/>
      <c r="C210" s="202" t="s">
        <v>574</v>
      </c>
      <c r="D210" s="202"/>
      <c r="E210" s="202"/>
      <c r="F210" s="203" t="str">
        <f t="shared" si="81"/>
        <v>Suntory|</v>
      </c>
      <c r="G210" s="203" t="str">
        <f t="shared" si="82"/>
        <v>Suntory|||</v>
      </c>
      <c r="H210" s="144"/>
      <c r="I210" s="145"/>
      <c r="J210" s="144" t="e">
        <f>_xlfn.XLOOKUP(F210,'2025 Finish (ACTUAL)'!$C:$C,'2025 Finish (ACTUAL)'!$D:$D)</f>
        <v>#N/A</v>
      </c>
      <c r="K210" s="145"/>
      <c r="L210" s="147"/>
      <c r="M210" s="147">
        <v>16500</v>
      </c>
      <c r="N210" s="145"/>
      <c r="O210" s="147"/>
      <c r="P210" s="148">
        <v>5000</v>
      </c>
    </row>
    <row r="211" spans="1:18" x14ac:dyDescent="0.25">
      <c r="A211" s="270" t="s">
        <v>503</v>
      </c>
      <c r="B211" s="283" t="s">
        <v>503</v>
      </c>
      <c r="C211" s="283"/>
      <c r="D211" s="42">
        <f>_xlfn.XLOOKUP(F211,'DATA - Segments'!C:C,'DATA - Segments'!D:D)</f>
        <v>0</v>
      </c>
      <c r="E211" s="42">
        <f>_xlfn.XLOOKUP(F211,'DATA - Segments'!C:C,'DATA - Segments'!E:E)</f>
        <v>0</v>
      </c>
      <c r="F211" s="203"/>
      <c r="G211" s="203" t="str">
        <f t="shared" si="82"/>
        <v>Suntory|Suntory|0|0</v>
      </c>
      <c r="H211" s="195"/>
      <c r="I211" s="196"/>
      <c r="J211" s="195"/>
      <c r="K211" s="196"/>
      <c r="L211" s="200"/>
      <c r="M211" s="274">
        <f>L211+J211</f>
        <v>0</v>
      </c>
      <c r="N211" s="281"/>
      <c r="O211" s="274">
        <f>N211*J211</f>
        <v>0</v>
      </c>
      <c r="P211" s="275">
        <f>O211+J211</f>
        <v>0</v>
      </c>
    </row>
    <row r="212" spans="1:18" x14ac:dyDescent="0.25">
      <c r="A212" s="143" t="s">
        <v>504</v>
      </c>
      <c r="B212" s="201"/>
      <c r="C212" s="202" t="s">
        <v>574</v>
      </c>
      <c r="D212" s="201"/>
      <c r="E212" s="201"/>
      <c r="F212" s="203" t="str">
        <f>A212&amp;"|"&amp;B212</f>
        <v>Carbliss|</v>
      </c>
      <c r="G212" s="203" t="str">
        <f t="shared" si="82"/>
        <v>Carbliss|||</v>
      </c>
      <c r="H212" s="144"/>
      <c r="I212" s="145"/>
      <c r="J212" s="144" t="e">
        <f>_xlfn.XLOOKUP(F212,'2025 Finish (ACTUAL)'!$C:$C,'2025 Finish (ACTUAL)'!$D:$D)</f>
        <v>#N/A</v>
      </c>
      <c r="K212" s="145"/>
      <c r="L212" s="147"/>
      <c r="M212" s="147">
        <v>20000</v>
      </c>
      <c r="N212" s="145"/>
      <c r="O212" s="147"/>
      <c r="P212" s="148">
        <v>12000</v>
      </c>
    </row>
    <row r="213" spans="1:18" x14ac:dyDescent="0.25">
      <c r="A213" s="270" t="s">
        <v>504</v>
      </c>
      <c r="B213" s="283" t="s">
        <v>504</v>
      </c>
      <c r="C213" s="283"/>
      <c r="D213" s="42" t="s">
        <v>510</v>
      </c>
      <c r="E213" s="42">
        <f>_xlfn.XLOOKUP(F213,'DATA - Segments'!C:C,'DATA - Segments'!E:E)</f>
        <v>0</v>
      </c>
      <c r="F213" s="203"/>
      <c r="G213" s="203" t="str">
        <f t="shared" si="82"/>
        <v>Carbliss|Carbliss|RTD|0</v>
      </c>
      <c r="H213" s="195"/>
      <c r="I213" s="196"/>
      <c r="J213" s="195"/>
      <c r="K213" s="196"/>
      <c r="L213" s="200"/>
      <c r="M213" s="289">
        <f>L213+J213</f>
        <v>0</v>
      </c>
      <c r="N213" s="290"/>
      <c r="O213" s="289">
        <f>N213*J213</f>
        <v>0</v>
      </c>
      <c r="P213" s="291">
        <f>O213+J213</f>
        <v>0</v>
      </c>
    </row>
    <row r="214" spans="1:18" x14ac:dyDescent="0.25">
      <c r="A214" s="143" t="s">
        <v>141</v>
      </c>
      <c r="B214" s="202"/>
      <c r="C214" s="202" t="str">
        <f>_xlfn.XLOOKUP(A214,'Brand Managers'!A:A,'Brand Managers'!B:B)</f>
        <v>Jason Koo</v>
      </c>
      <c r="D214" s="202"/>
      <c r="E214" s="202"/>
      <c r="F214" s="203" t="str">
        <f t="shared" ref="F214:F277" si="92">A214&amp;"|"&amp;B214</f>
        <v>Pride &amp; Clarke|</v>
      </c>
      <c r="G214" s="203" t="str">
        <f t="shared" si="82"/>
        <v>Pride &amp; Clarke|||</v>
      </c>
      <c r="H214" s="144">
        <f>_xlfn.XLOOKUP(F214,'DATA - 2025 Review'!C:C,'DATA - 2025 Review'!I:I,"")</f>
        <v>12846.005703620007</v>
      </c>
      <c r="I214" s="145">
        <f>_xlfn.XLOOKUP(F214,'DATA - 2025 Review'!C:C,'DATA - 2025 Review'!J:J)</f>
        <v>-8.1009326317696972E-2</v>
      </c>
      <c r="J214" s="144">
        <f>_xlfn.XLOOKUP(F214,'2025 Finish (ACTUAL)'!$C:$C,'2025 Finish (ACTUAL)'!$D:$D)</f>
        <v>12455.869425000001</v>
      </c>
      <c r="K214" s="145">
        <f>L214/J214</f>
        <v>0</v>
      </c>
      <c r="L214" s="147">
        <f>SUMIF(B:B,A214,L:L)</f>
        <v>0</v>
      </c>
      <c r="M214" s="147">
        <f>SUMIF(B:B,A214,M:M)</f>
        <v>12455.869425000001</v>
      </c>
      <c r="N214" s="145">
        <f>O214/J214</f>
        <v>0.05</v>
      </c>
      <c r="O214" s="147">
        <f>SUMIF(B:B,A214,O:O)</f>
        <v>622.79347125000004</v>
      </c>
      <c r="P214" s="148">
        <f>SUMIF(B:B,A214,P:P)</f>
        <v>13078.66289625</v>
      </c>
    </row>
    <row r="215" spans="1:18" x14ac:dyDescent="0.25">
      <c r="A215" s="149" t="s">
        <v>141</v>
      </c>
      <c r="B215" s="2" t="s">
        <v>141</v>
      </c>
      <c r="C215" s="299" t="str">
        <f>_xlfn.XLOOKUP(B215,'Brand Managers'!A:A,'Brand Managers'!B:B)</f>
        <v>Jason Koo</v>
      </c>
      <c r="D215" s="42" t="str">
        <f>_xlfn.XLOOKUP(F215,'DATA - Segments'!C:C,'DATA - Segments'!D:D)</f>
        <v>Spirits</v>
      </c>
      <c r="E215" s="42" t="str">
        <f>_xlfn.XLOOKUP(F215,'DATA - Segments'!C:C,'DATA - Segments'!E:E)</f>
        <v>Spirits - Vodka</v>
      </c>
      <c r="F215" s="203" t="str">
        <f t="shared" si="92"/>
        <v>Pride &amp; Clarke|Pride &amp; Clarke</v>
      </c>
      <c r="G215" s="203" t="str">
        <f t="shared" si="82"/>
        <v>Pride &amp; Clarke|Pride &amp; Clarke|Spirits|Spirits - Vodka</v>
      </c>
      <c r="H215" s="150">
        <f>_xlfn.XLOOKUP(F215,'DATA - 2025 Review'!C:C,'DATA - 2025 Review'!I:I,"")</f>
        <v>12846.005703620007</v>
      </c>
      <c r="I215" s="151">
        <f>_xlfn.XLOOKUP(F215,'DATA - 2025 Review'!C:C,'DATA - 2025 Review'!J:J)</f>
        <v>-8.1009326317696972E-2</v>
      </c>
      <c r="J215" s="150">
        <f>_xlfn.XLOOKUP(F215,'2025 Finish (ACTUAL)'!$C:$C,'2025 Finish (ACTUAL)'!$D:$D)</f>
        <v>12455.869425000001</v>
      </c>
      <c r="K215" s="146"/>
      <c r="L215" s="152">
        <f t="shared" ref="L215:L281" si="93">K215*J215</f>
        <v>0</v>
      </c>
      <c r="M215" s="152">
        <f>L215+J215</f>
        <v>12455.869425000001</v>
      </c>
      <c r="N215" s="146">
        <v>0.05</v>
      </c>
      <c r="O215" s="152">
        <f>N215*J215</f>
        <v>622.79347125000004</v>
      </c>
      <c r="P215" s="69">
        <f>O215+J215</f>
        <v>13078.66289625</v>
      </c>
    </row>
    <row r="216" spans="1:18" x14ac:dyDescent="0.25">
      <c r="A216" s="143" t="s">
        <v>14</v>
      </c>
      <c r="B216" s="202"/>
      <c r="C216" s="202" t="str">
        <f>_xlfn.XLOOKUP(A216,'Brand Managers'!A:A,'Brand Managers'!B:B)</f>
        <v>Tom Gibbons</v>
      </c>
      <c r="D216" s="202"/>
      <c r="E216" s="202"/>
      <c r="F216" s="203" t="str">
        <f t="shared" si="92"/>
        <v>Hofbrauhaus USA|</v>
      </c>
      <c r="G216" s="203" t="str">
        <f t="shared" si="82"/>
        <v>Hofbrauhaus USA|||</v>
      </c>
      <c r="H216" s="144">
        <f>_xlfn.XLOOKUP(F216,'DATA - 2025 Review'!C:C,'DATA - 2025 Review'!I:I,"")</f>
        <v>16987.330275974829</v>
      </c>
      <c r="I216" s="145">
        <f>_xlfn.XLOOKUP(F216,'DATA - 2025 Review'!C:C,'DATA - 2025 Review'!J:J)</f>
        <v>2.0563147725899844E-2</v>
      </c>
      <c r="J216" s="144">
        <f>_xlfn.XLOOKUP(F216,'2025 Finish (ACTUAL)'!$C:$C,'2025 Finish (ACTUAL)'!$D:$D)</f>
        <v>16973.781594</v>
      </c>
      <c r="K216" s="145">
        <f>L216/J216</f>
        <v>0.02</v>
      </c>
      <c r="L216" s="147">
        <f>SUMIF(B:B,A216,L:L)</f>
        <v>339.47563187999998</v>
      </c>
      <c r="M216" s="147">
        <f>SUMIF(B:B,A216,M:M)</f>
        <v>17313.257225879999</v>
      </c>
      <c r="N216" s="145">
        <f>O216/J216</f>
        <v>0.02</v>
      </c>
      <c r="O216" s="147">
        <f>SUMIF(B:B,A216,O:O)</f>
        <v>339.47563187999998</v>
      </c>
      <c r="P216" s="148">
        <f>SUMIF(B:B,A216,P:P)</f>
        <v>17313.257225879999</v>
      </c>
    </row>
    <row r="217" spans="1:18" x14ac:dyDescent="0.25">
      <c r="A217" s="149" t="s">
        <v>142</v>
      </c>
      <c r="B217" s="2" t="s">
        <v>14</v>
      </c>
      <c r="C217" s="299" t="str">
        <f>_xlfn.XLOOKUP(B217,'Brand Managers'!A:A,'Brand Managers'!B:B)</f>
        <v>Tom Gibbons</v>
      </c>
      <c r="D217" s="42" t="str">
        <f>_xlfn.XLOOKUP(F217,'DATA - Segments'!C:C,'DATA - Segments'!D:D)</f>
        <v>Beer</v>
      </c>
      <c r="E217" s="42" t="str">
        <f>_xlfn.XLOOKUP(F217,'DATA - Segments'!C:C,'DATA - Segments'!E:E)</f>
        <v>Beer - Import</v>
      </c>
      <c r="F217" s="203" t="str">
        <f t="shared" si="92"/>
        <v>Hofbrau Usa|Hofbrauhaus USA</v>
      </c>
      <c r="G217" s="203" t="str">
        <f t="shared" si="82"/>
        <v>Hofbrau Usa|Hofbrauhaus USA|Beer|Beer - Import</v>
      </c>
      <c r="H217" s="150">
        <f>_xlfn.XLOOKUP(F217,'DATA - 2025 Review'!C:C,'DATA - 2025 Review'!I:I,"")</f>
        <v>16987.330275974829</v>
      </c>
      <c r="I217" s="151">
        <f>_xlfn.XLOOKUP(F217,'DATA - 2025 Review'!C:C,'DATA - 2025 Review'!J:J)</f>
        <v>2.0563147725899844E-2</v>
      </c>
      <c r="J217" s="150">
        <f>_xlfn.XLOOKUP(F217,'2025 Finish (ACTUAL)'!$C:$C,'2025 Finish (ACTUAL)'!$D:$D)</f>
        <v>16973.781594</v>
      </c>
      <c r="K217" s="146">
        <v>0.02</v>
      </c>
      <c r="L217" s="152">
        <f t="shared" si="93"/>
        <v>339.47563187999998</v>
      </c>
      <c r="M217" s="152">
        <f>L217+J217</f>
        <v>17313.257225879999</v>
      </c>
      <c r="N217" s="146">
        <v>0.02</v>
      </c>
      <c r="O217" s="152">
        <f>N217*J217</f>
        <v>339.47563187999998</v>
      </c>
      <c r="P217" s="69">
        <f>O217+J217</f>
        <v>17313.257225879999</v>
      </c>
    </row>
    <row r="218" spans="1:18" x14ac:dyDescent="0.25">
      <c r="A218" s="143" t="s">
        <v>249</v>
      </c>
      <c r="B218" s="202"/>
      <c r="C218" s="202" t="str">
        <f>_xlfn.XLOOKUP(A218,'Brand Managers'!A:A,'Brand Managers'!B:B)</f>
        <v>Sean Donahue</v>
      </c>
      <c r="D218" s="202"/>
      <c r="E218" s="202"/>
      <c r="F218" s="203" t="str">
        <f t="shared" si="92"/>
        <v>Garage Beer|</v>
      </c>
      <c r="G218" s="203" t="str">
        <f t="shared" si="82"/>
        <v>Garage Beer|||</v>
      </c>
      <c r="H218" s="144">
        <v>14385</v>
      </c>
      <c r="I218" s="145">
        <f>_xlfn.XLOOKUP(F218,'DATA - 2025 Review'!C:C,'DATA - 2025 Review'!J:J)</f>
        <v>3.7812382301126899</v>
      </c>
      <c r="J218" s="144">
        <f>_xlfn.XLOOKUP(F218,'2025 Finish (ACTUAL)'!$C:$C,'2025 Finish (ACTUAL)'!$D:$D)</f>
        <v>14173.138462999999</v>
      </c>
      <c r="K218" s="145">
        <f>L218/J218</f>
        <v>0.50600000000000001</v>
      </c>
      <c r="L218" s="147">
        <f>SUMIF(B:B,A218,L:L)</f>
        <v>7171.608062278</v>
      </c>
      <c r="M218" s="147">
        <f>SUMIF(B:B,A218,M:M)</f>
        <v>21344.746525277998</v>
      </c>
      <c r="N218" s="145">
        <f>O218/J218</f>
        <v>0.50600000000000001</v>
      </c>
      <c r="O218" s="147">
        <f>SUMIF(B:B,A218,O:O)</f>
        <v>7171.608062278</v>
      </c>
      <c r="P218" s="148">
        <f>SUMIF(B:B,A218,P:P)</f>
        <v>21344.746525277998</v>
      </c>
    </row>
    <row r="219" spans="1:18" x14ac:dyDescent="0.25">
      <c r="A219" s="149" t="s">
        <v>249</v>
      </c>
      <c r="B219" s="2" t="s">
        <v>249</v>
      </c>
      <c r="C219" s="299" t="str">
        <f>_xlfn.XLOOKUP(B219,'Brand Managers'!A:A,'Brand Managers'!B:B)</f>
        <v>Sean Donahue</v>
      </c>
      <c r="D219" s="42" t="str">
        <f>_xlfn.XLOOKUP(F219,'DATA - Segments'!C:C,'DATA - Segments'!D:D)</f>
        <v>Beer</v>
      </c>
      <c r="E219" s="42" t="str">
        <f>_xlfn.XLOOKUP(F219,'DATA - Segments'!C:C,'DATA - Segments'!E:E)</f>
        <v>Beer - Craft</v>
      </c>
      <c r="F219" s="203" t="str">
        <f t="shared" si="92"/>
        <v>Garage Beer|Garage Beer</v>
      </c>
      <c r="G219" s="203" t="str">
        <f t="shared" si="82"/>
        <v>Garage Beer|Garage Beer|Beer|Beer - Craft</v>
      </c>
      <c r="H219" s="150">
        <v>14385</v>
      </c>
      <c r="I219" s="151">
        <f>_xlfn.XLOOKUP(F219,'DATA - 2025 Review'!C:C,'DATA - 2025 Review'!J:J)</f>
        <v>3.7812382301126899</v>
      </c>
      <c r="J219" s="150">
        <f>_xlfn.XLOOKUP(F219,'2025 Finish (ACTUAL)'!$C:$C,'2025 Finish (ACTUAL)'!$D:$D)</f>
        <v>14173.138462999999</v>
      </c>
      <c r="K219" s="146">
        <v>0.50600000000000001</v>
      </c>
      <c r="L219" s="152">
        <f t="shared" si="93"/>
        <v>7171.608062278</v>
      </c>
      <c r="M219" s="152">
        <f>L219+J219</f>
        <v>21344.746525277998</v>
      </c>
      <c r="N219" s="146">
        <v>0.50600000000000001</v>
      </c>
      <c r="O219" s="152">
        <f>N219*J219</f>
        <v>7171.608062278</v>
      </c>
      <c r="P219" s="69">
        <f>O219+J219</f>
        <v>21344.746525277998</v>
      </c>
      <c r="Q219" s="134">
        <v>14385</v>
      </c>
      <c r="R219" t="s">
        <v>497</v>
      </c>
    </row>
    <row r="220" spans="1:18" x14ac:dyDescent="0.25">
      <c r="A220" s="143" t="s">
        <v>65</v>
      </c>
      <c r="B220" s="202"/>
      <c r="C220" s="202" t="str">
        <f>_xlfn.XLOOKUP(A220,'Brand Managers'!A:A,'Brand Managers'!B:B)</f>
        <v>Chris McCrohan</v>
      </c>
      <c r="D220" s="202"/>
      <c r="E220" s="202"/>
      <c r="F220" s="203" t="str">
        <f t="shared" si="92"/>
        <v>Red Bull|</v>
      </c>
      <c r="G220" s="203" t="str">
        <f t="shared" si="82"/>
        <v>Red Bull|||</v>
      </c>
      <c r="H220" s="144">
        <f>_xlfn.XLOOKUP(F220,'DATA - 2025 Review'!C:C,'DATA - 2025 Review'!I:I,"")</f>
        <v>7223.3167013501125</v>
      </c>
      <c r="I220" s="145">
        <f>_xlfn.XLOOKUP(F220,'DATA - 2025 Review'!C:C,'DATA - 2025 Review'!J:J)</f>
        <v>-3.4899398650548252E-2</v>
      </c>
      <c r="J220" s="144">
        <f>_xlfn.XLOOKUP(F220,'2025 Finish (ACTUAL)'!$C:$C,'2025 Finish (ACTUAL)'!$D:$D)</f>
        <v>7106.4733480000004</v>
      </c>
      <c r="K220" s="145">
        <f>L220/J220</f>
        <v>0.06</v>
      </c>
      <c r="L220" s="147">
        <f>SUMIF(B:B,A220,L:L)</f>
        <v>426.38840088000001</v>
      </c>
      <c r="M220" s="147">
        <f>SUMIF(B:B,A220,M:M)</f>
        <v>7532.8617488800001</v>
      </c>
      <c r="N220" s="145">
        <f>O220/J220</f>
        <v>0.06</v>
      </c>
      <c r="O220" s="147">
        <f>SUMIF(B:B,A220,O:O)</f>
        <v>426.38840088000001</v>
      </c>
      <c r="P220" s="148">
        <f>SUMIF(B:B,A220,P:P)</f>
        <v>7532.8617488800001</v>
      </c>
    </row>
    <row r="221" spans="1:18" x14ac:dyDescent="0.25">
      <c r="A221" s="149" t="s">
        <v>65</v>
      </c>
      <c r="B221" s="2" t="s">
        <v>65</v>
      </c>
      <c r="C221" s="299" t="str">
        <f>_xlfn.XLOOKUP(B221,'Brand Managers'!A:A,'Brand Managers'!B:B)</f>
        <v>Chris McCrohan</v>
      </c>
      <c r="D221" s="42" t="str">
        <f>_xlfn.XLOOKUP(F221,'DATA - Segments'!C:C,'DATA - Segments'!D:D)</f>
        <v>Non-Alc</v>
      </c>
      <c r="E221" s="42" t="str">
        <f>_xlfn.XLOOKUP(F221,'DATA - Segments'!C:C,'DATA - Segments'!E:E)</f>
        <v>Non-Alc - Energy</v>
      </c>
      <c r="F221" s="203" t="str">
        <f t="shared" si="92"/>
        <v>Red Bull|Red Bull</v>
      </c>
      <c r="G221" s="203" t="str">
        <f t="shared" si="82"/>
        <v>Red Bull|Red Bull|Non-Alc|Non-Alc - Energy</v>
      </c>
      <c r="H221" s="150">
        <f>_xlfn.XLOOKUP(F221,'DATA - 2025 Review'!C:C,'DATA - 2025 Review'!I:I,"")</f>
        <v>7223.3167013501125</v>
      </c>
      <c r="I221" s="151">
        <f>_xlfn.XLOOKUP(F221,'DATA - 2025 Review'!C:C,'DATA - 2025 Review'!J:J)</f>
        <v>-3.4899398650548252E-2</v>
      </c>
      <c r="J221" s="150">
        <f>_xlfn.XLOOKUP(F221,'2025 Finish (ACTUAL)'!$C:$C,'2025 Finish (ACTUAL)'!$D:$D)</f>
        <v>7106.4733480000004</v>
      </c>
      <c r="K221" s="146">
        <v>0.06</v>
      </c>
      <c r="L221" s="152">
        <f t="shared" si="93"/>
        <v>426.38840088000001</v>
      </c>
      <c r="M221" s="152">
        <f>L221+J221</f>
        <v>7532.8617488800001</v>
      </c>
      <c r="N221" s="146">
        <v>0.06</v>
      </c>
      <c r="O221" s="152">
        <f>N221*J221</f>
        <v>426.38840088000001</v>
      </c>
      <c r="P221" s="69">
        <f>O221+J221</f>
        <v>7532.8617488800001</v>
      </c>
    </row>
    <row r="222" spans="1:18" x14ac:dyDescent="0.25">
      <c r="A222" s="143" t="s">
        <v>223</v>
      </c>
      <c r="B222" s="202"/>
      <c r="C222" s="202" t="str">
        <f>_xlfn.XLOOKUP(A222,'Brand Managers'!A:A,'Brand Managers'!B:B)</f>
        <v>Steve Halloran</v>
      </c>
      <c r="D222" s="202"/>
      <c r="E222" s="202"/>
      <c r="F222" s="203" t="str">
        <f t="shared" si="92"/>
        <v>Beak &amp; Skiff|</v>
      </c>
      <c r="G222" s="203" t="str">
        <f t="shared" si="82"/>
        <v>Beak &amp; Skiff|||</v>
      </c>
      <c r="H222" s="144">
        <f>_xlfn.XLOOKUP(F222,'DATA - 2025 Review'!C:C,'DATA - 2025 Review'!I:I,"")</f>
        <v>7337.1664212454853</v>
      </c>
      <c r="I222" s="145">
        <f>_xlfn.XLOOKUP(F222,'DATA - 2025 Review'!C:C,'DATA - 2025 Review'!J:J)</f>
        <v>0.14504867115081765</v>
      </c>
      <c r="J222" s="144">
        <f>_xlfn.XLOOKUP(F222,'2025 Finish (ACTUAL)'!$C:$C,'2025 Finish (ACTUAL)'!$D:$D)</f>
        <v>7288.5246950000001</v>
      </c>
      <c r="K222" s="145">
        <f>L222/J222</f>
        <v>9.4415879522515636E-2</v>
      </c>
      <c r="L222" s="147">
        <f>SUMIF(B:B,A222,L:L)</f>
        <v>688.15246950000005</v>
      </c>
      <c r="M222" s="147">
        <f>SUMIF(B:B,A222,M:M)</f>
        <v>7976.6771644999999</v>
      </c>
      <c r="N222" s="145">
        <f>O222/J222</f>
        <v>9.4415879522515636E-2</v>
      </c>
      <c r="O222" s="147">
        <f>SUMIF(B:B,A222,O:O)</f>
        <v>688.15246950000005</v>
      </c>
      <c r="P222" s="148">
        <f>SUMIF(B:B,A222,P:P)</f>
        <v>7976.6771644999999</v>
      </c>
    </row>
    <row r="223" spans="1:18" x14ac:dyDescent="0.25">
      <c r="A223" s="149" t="s">
        <v>15</v>
      </c>
      <c r="B223" s="2" t="s">
        <v>223</v>
      </c>
      <c r="C223" s="299" t="str">
        <f>_xlfn.XLOOKUP(B223,'Brand Managers'!A:A,'Brand Managers'!B:B)</f>
        <v>Steve Halloran</v>
      </c>
      <c r="D223" s="42" t="str">
        <f>_xlfn.XLOOKUP(F223,'DATA - Segments'!C:C,'DATA - Segments'!D:D)</f>
        <v>Cider</v>
      </c>
      <c r="E223" s="42" t="str">
        <f>_xlfn.XLOOKUP(F223,'DATA - Segments'!C:C,'DATA - Segments'!E:E)</f>
        <v>Cider</v>
      </c>
      <c r="F223" s="203" t="str">
        <f t="shared" si="92"/>
        <v>1911 Hard Cider|Beak &amp; Skiff</v>
      </c>
      <c r="G223" s="203" t="str">
        <f t="shared" si="82"/>
        <v>1911 Hard Cider|Beak &amp; Skiff|Cider|Cider</v>
      </c>
      <c r="H223" s="150">
        <f>_xlfn.XLOOKUP(F223,'DATA - 2025 Review'!C:C,'DATA - 2025 Review'!I:I,"")</f>
        <v>7298.6307584646502</v>
      </c>
      <c r="I223" s="151">
        <f>_xlfn.XLOOKUP(F223,'DATA - 2025 Review'!C:C,'DATA - 2025 Review'!J:J)</f>
        <v>0.15580983257290182</v>
      </c>
      <c r="J223" s="150">
        <f>_xlfn.XLOOKUP(F223,'2025 Finish (ACTUAL)'!$C:$C,'2025 Finish (ACTUAL)'!$D:$D)</f>
        <v>7251.5246950000001</v>
      </c>
      <c r="K223" s="146">
        <v>0.1</v>
      </c>
      <c r="L223" s="152">
        <f t="shared" si="93"/>
        <v>725.15246950000005</v>
      </c>
      <c r="M223" s="152">
        <f t="shared" ref="M223:M224" si="94">L223+J223</f>
        <v>7976.6771644999999</v>
      </c>
      <c r="N223" s="146">
        <v>0.1</v>
      </c>
      <c r="O223" s="152">
        <f t="shared" ref="O223:O224" si="95">N223*J223</f>
        <v>725.15246950000005</v>
      </c>
      <c r="P223" s="69">
        <f t="shared" ref="P223:P224" si="96">O223+J223</f>
        <v>7976.6771644999999</v>
      </c>
    </row>
    <row r="224" spans="1:18" x14ac:dyDescent="0.25">
      <c r="A224" s="156" t="s">
        <v>170</v>
      </c>
      <c r="B224" s="283" t="s">
        <v>223</v>
      </c>
      <c r="C224" s="283"/>
      <c r="D224" s="42" t="str">
        <f>_xlfn.XLOOKUP(F224,'DATA - Segments'!C:C,'DATA - Segments'!D:D)</f>
        <v>RTD</v>
      </c>
      <c r="E224" s="42" t="str">
        <f>_xlfn.XLOOKUP(F224,'DATA - Segments'!C:C,'DATA - Segments'!E:E)</f>
        <v>RTD</v>
      </c>
      <c r="F224" s="203" t="str">
        <f t="shared" si="92"/>
        <v>1911 Spirits|Beak &amp; Skiff</v>
      </c>
      <c r="G224" s="203" t="str">
        <f t="shared" si="82"/>
        <v>1911 Spirits|Beak &amp; Skiff|RTD|RTD</v>
      </c>
      <c r="H224" s="273">
        <f>_xlfn.XLOOKUP(F224,'DATA - 2025 Review'!C:C,'DATA - 2025 Review'!I:I,"")</f>
        <v>42.379744000000002</v>
      </c>
      <c r="I224" s="281">
        <f>_xlfn.XLOOKUP(F224,'DATA - 2025 Review'!C:C,'DATA - 2025 Review'!J:J)</f>
        <v>-0.54430382795698917</v>
      </c>
      <c r="J224" s="273">
        <f>_xlfn.XLOOKUP(F224,'2025 Finish (ACTUAL)'!$C:$C,'2025 Finish (ACTUAL)'!$D:$D)</f>
        <v>37</v>
      </c>
      <c r="K224" s="281">
        <v>-1</v>
      </c>
      <c r="L224" s="274">
        <f t="shared" si="93"/>
        <v>-37</v>
      </c>
      <c r="M224" s="274">
        <f t="shared" si="94"/>
        <v>0</v>
      </c>
      <c r="N224" s="281">
        <v>-1</v>
      </c>
      <c r="O224" s="274">
        <f t="shared" si="95"/>
        <v>-37</v>
      </c>
      <c r="P224" s="275">
        <f t="shared" si="96"/>
        <v>0</v>
      </c>
    </row>
    <row r="225" spans="1:17" x14ac:dyDescent="0.25">
      <c r="A225" s="143" t="s">
        <v>224</v>
      </c>
      <c r="B225" s="202"/>
      <c r="C225" s="202" t="str">
        <f>_xlfn.XLOOKUP(A225,'Brand Managers'!A:A,'Brand Managers'!B:B)</f>
        <v>Sean Donahue</v>
      </c>
      <c r="D225" s="202"/>
      <c r="E225" s="202"/>
      <c r="F225" s="203" t="str">
        <f t="shared" si="92"/>
        <v>Southern Tier Brewing Company|</v>
      </c>
      <c r="G225" s="203" t="str">
        <f t="shared" si="82"/>
        <v>Southern Tier Brewing Company|||</v>
      </c>
      <c r="H225" s="144">
        <f>_xlfn.XLOOKUP(F225,'DATA - 2025 Review'!C:C,'DATA - 2025 Review'!I:I,"")</f>
        <v>5962.4750285214104</v>
      </c>
      <c r="I225" s="145">
        <f>_xlfn.XLOOKUP(F225,'DATA - 2025 Review'!C:C,'DATA - 2025 Review'!J:J)</f>
        <v>-0.20107707019471099</v>
      </c>
      <c r="J225" s="144">
        <f>_xlfn.XLOOKUP(F225,'2025 Finish (ACTUAL)'!$C:$C,'2025 Finish (ACTUAL)'!$D:$D)</f>
        <v>5831.5444299999999</v>
      </c>
      <c r="K225" s="145">
        <f>L225/J225</f>
        <v>0.01</v>
      </c>
      <c r="L225" s="147">
        <f>SUMIF(B:B,A225,L:L)</f>
        <v>58.315444300000003</v>
      </c>
      <c r="M225" s="147">
        <f>SUMIF(B:B,A225,M:M)</f>
        <v>5889.8598743000002</v>
      </c>
      <c r="N225" s="145">
        <f>O225/J225</f>
        <v>0.01</v>
      </c>
      <c r="O225" s="147">
        <f>SUMIF(B:B,A225,O:O)</f>
        <v>58.315444300000003</v>
      </c>
      <c r="P225" s="148">
        <f>SUMIF(B:B,A225,P:P)</f>
        <v>5889.8598743000002</v>
      </c>
    </row>
    <row r="226" spans="1:17" x14ac:dyDescent="0.25">
      <c r="A226" s="149" t="s">
        <v>350</v>
      </c>
      <c r="B226" s="2" t="s">
        <v>224</v>
      </c>
      <c r="C226" s="299" t="str">
        <f>_xlfn.XLOOKUP(B226,'Brand Managers'!A:A,'Brand Managers'!B:B)</f>
        <v>Sean Donahue</v>
      </c>
      <c r="D226" s="42" t="str">
        <f>_xlfn.XLOOKUP(F226,'DATA - Segments'!C:C,'DATA - Segments'!D:D)</f>
        <v>Beer</v>
      </c>
      <c r="E226" s="42" t="str">
        <f>_xlfn.XLOOKUP(F226,'DATA - Segments'!C:C,'DATA - Segments'!E:E)</f>
        <v>Beer - Craft</v>
      </c>
      <c r="F226" s="203" t="str">
        <f t="shared" si="92"/>
        <v>Southern Tier|Southern Tier Brewing Company</v>
      </c>
      <c r="G226" s="203" t="str">
        <f t="shared" si="82"/>
        <v>Southern Tier|Southern Tier Brewing Company|Beer|Beer - Craft</v>
      </c>
      <c r="H226" s="150">
        <f>_xlfn.XLOOKUP(F226,'DATA - 2025 Review'!C:C,'DATA - 2025 Review'!I:I,"")</f>
        <v>5962.4750285214104</v>
      </c>
      <c r="I226" s="151">
        <f>_xlfn.XLOOKUP(F226,'DATA - 2025 Review'!C:C,'DATA - 2025 Review'!J:J)</f>
        <v>-0.20107707019471099</v>
      </c>
      <c r="J226" s="150">
        <f>_xlfn.XLOOKUP(F226,'2025 Finish (ACTUAL)'!$C:$C,'2025 Finish (ACTUAL)'!$D:$D)</f>
        <v>5831.5444299999999</v>
      </c>
      <c r="K226" s="146">
        <v>0.01</v>
      </c>
      <c r="L226" s="152">
        <f t="shared" si="93"/>
        <v>58.315444300000003</v>
      </c>
      <c r="M226" s="152">
        <f>L226+J226</f>
        <v>5889.8598743000002</v>
      </c>
      <c r="N226" s="146">
        <v>0.01</v>
      </c>
      <c r="O226" s="152">
        <f>N226*J226</f>
        <v>58.315444300000003</v>
      </c>
      <c r="P226" s="69">
        <f>O226+J226</f>
        <v>5889.8598743000002</v>
      </c>
    </row>
    <row r="227" spans="1:17" x14ac:dyDescent="0.25">
      <c r="A227" s="143" t="s">
        <v>143</v>
      </c>
      <c r="B227" s="202"/>
      <c r="C227" s="202" t="str">
        <f>_xlfn.XLOOKUP(A227,'Brand Managers'!A:A,'Brand Managers'!B:B)</f>
        <v>Dan Downing</v>
      </c>
      <c r="D227" s="202"/>
      <c r="E227" s="202"/>
      <c r="F227" s="203" t="str">
        <f t="shared" si="92"/>
        <v>Narragansett|</v>
      </c>
      <c r="G227" s="203" t="str">
        <f t="shared" si="82"/>
        <v>Narragansett|||</v>
      </c>
      <c r="H227" s="144">
        <f>_xlfn.XLOOKUP(F227,'DATA - 2025 Review'!C:C,'DATA - 2025 Review'!I:I,"")</f>
        <v>8777.5402212309891</v>
      </c>
      <c r="I227" s="145">
        <f>_xlfn.XLOOKUP(F227,'DATA - 2025 Review'!C:C,'DATA - 2025 Review'!J:J)</f>
        <v>-5.6107868008385853E-2</v>
      </c>
      <c r="J227" s="144">
        <f>_xlfn.XLOOKUP(F227,'2025 Finish (ACTUAL)'!$C:$C,'2025 Finish (ACTUAL)'!$D:$D)</f>
        <v>8978.3322530000005</v>
      </c>
      <c r="K227" s="145">
        <f>L227/J227</f>
        <v>0</v>
      </c>
      <c r="L227" s="147">
        <f>SUMIF(B:B,A227,L:L)</f>
        <v>0</v>
      </c>
      <c r="M227" s="147">
        <f>SUMIF(B:B,A227,M:M)</f>
        <v>8978.3322529999987</v>
      </c>
      <c r="N227" s="145">
        <f>O227/J227</f>
        <v>1.8439948105582766E-2</v>
      </c>
      <c r="O227" s="147">
        <f>SUMIF(B:B,A227,O:O)</f>
        <v>165.55998081999999</v>
      </c>
      <c r="P227" s="148">
        <f>SUMIF(B:B,A227,P:P)</f>
        <v>9143.8922338199991</v>
      </c>
    </row>
    <row r="228" spans="1:17" x14ac:dyDescent="0.25">
      <c r="A228" s="149" t="s">
        <v>143</v>
      </c>
      <c r="B228" s="2" t="s">
        <v>143</v>
      </c>
      <c r="C228" s="299" t="str">
        <f>_xlfn.XLOOKUP(B228,'Brand Managers'!A:A,'Brand Managers'!B:B)</f>
        <v>Dan Downing</v>
      </c>
      <c r="D228" s="42" t="str">
        <f>_xlfn.XLOOKUP(F228,'DATA - Segments'!C:C,'DATA - Segments'!D:D)</f>
        <v>Beer</v>
      </c>
      <c r="E228" s="42" t="str">
        <f>_xlfn.XLOOKUP(F228,'DATA - Segments'!C:C,'DATA - Segments'!E:E)</f>
        <v>Beer - Craft</v>
      </c>
      <c r="F228" s="203" t="str">
        <f t="shared" si="92"/>
        <v>Narragansett|Narragansett</v>
      </c>
      <c r="G228" s="203" t="str">
        <f t="shared" si="82"/>
        <v>Narragansett|Narragansett|Beer|Beer - Craft</v>
      </c>
      <c r="H228" s="150">
        <f>_xlfn.XLOOKUP(F228,'DATA - 2025 Review'!C:C,'DATA - 2025 Review'!I:I,"")</f>
        <v>8099.0980760887678</v>
      </c>
      <c r="I228" s="151">
        <f>_xlfn.XLOOKUP(F228,'DATA - 2025 Review'!C:C,'DATA - 2025 Review'!J:J)</f>
        <v>-4.2958207624748335E-2</v>
      </c>
      <c r="J228" s="150">
        <f>_xlfn.XLOOKUP(F228,'2025 Finish (ACTUAL)'!$C:$C,'2025 Finish (ACTUAL)'!$D:$D)</f>
        <v>8277.9990409999991</v>
      </c>
      <c r="K228" s="146">
        <v>0</v>
      </c>
      <c r="L228" s="152">
        <f t="shared" si="93"/>
        <v>0</v>
      </c>
      <c r="M228" s="152">
        <f t="shared" ref="M228:M229" si="97">L228+J228</f>
        <v>8277.9990409999991</v>
      </c>
      <c r="N228" s="146">
        <v>0.02</v>
      </c>
      <c r="O228" s="152">
        <f t="shared" ref="O228:O229" si="98">N228*J228</f>
        <v>165.55998081999999</v>
      </c>
      <c r="P228" s="69">
        <f t="shared" ref="P228:P229" si="99">O228+J228</f>
        <v>8443.5590218199995</v>
      </c>
    </row>
    <row r="229" spans="1:17" x14ac:dyDescent="0.25">
      <c r="A229" s="149" t="s">
        <v>16</v>
      </c>
      <c r="B229" s="2" t="s">
        <v>143</v>
      </c>
      <c r="C229" s="299" t="str">
        <f>_xlfn.XLOOKUP(B229,'Brand Managers'!A:A,'Brand Managers'!B:B)</f>
        <v>Dan Downing</v>
      </c>
      <c r="D229" s="42" t="str">
        <f>_xlfn.XLOOKUP(F229,'DATA - Segments'!C:C,'DATA - Segments'!D:D)</f>
        <v>Beer</v>
      </c>
      <c r="E229" s="42" t="str">
        <f>_xlfn.XLOOKUP(F229,'DATA - Segments'!C:C,'DATA - Segments'!E:E)</f>
        <v>Beer - Craft</v>
      </c>
      <c r="F229" s="203" t="str">
        <f t="shared" si="92"/>
        <v>Del's Shandy|Narragansett</v>
      </c>
      <c r="G229" s="203" t="str">
        <f t="shared" si="82"/>
        <v>Del's Shandy|Narragansett|Beer|Beer - Craft</v>
      </c>
      <c r="H229" s="150">
        <f>_xlfn.XLOOKUP(F229,'DATA - 2025 Review'!C:C,'DATA - 2025 Review'!I:I,"")</f>
        <v>694.79698005072498</v>
      </c>
      <c r="I229" s="151">
        <f>_xlfn.XLOOKUP(F229,'DATA - 2025 Review'!C:C,'DATA - 2025 Review'!J:J)</f>
        <v>-0.16956523081067199</v>
      </c>
      <c r="J229" s="150">
        <f>_xlfn.XLOOKUP(F229,'2025 Finish (ACTUAL)'!$C:$C,'2025 Finish (ACTUAL)'!$D:$D)</f>
        <v>700.333212</v>
      </c>
      <c r="K229" s="146">
        <v>0</v>
      </c>
      <c r="L229" s="152">
        <f t="shared" si="93"/>
        <v>0</v>
      </c>
      <c r="M229" s="152">
        <f t="shared" si="97"/>
        <v>700.333212</v>
      </c>
      <c r="N229" s="146">
        <v>0</v>
      </c>
      <c r="O229" s="152">
        <f t="shared" si="98"/>
        <v>0</v>
      </c>
      <c r="P229" s="69">
        <f t="shared" si="99"/>
        <v>700.333212</v>
      </c>
    </row>
    <row r="230" spans="1:17" x14ac:dyDescent="0.25">
      <c r="A230" s="143" t="s">
        <v>17</v>
      </c>
      <c r="B230" s="202"/>
      <c r="C230" s="202" t="str">
        <f>_xlfn.XLOOKUP(A230,'Brand Managers'!A:A,'Brand Managers'!B:B)</f>
        <v>Tom Gibbons</v>
      </c>
      <c r="D230" s="202"/>
      <c r="E230" s="202"/>
      <c r="F230" s="203" t="str">
        <f t="shared" si="92"/>
        <v>Great Lakes|</v>
      </c>
      <c r="G230" s="203" t="str">
        <f t="shared" si="82"/>
        <v>Great Lakes|||</v>
      </c>
      <c r="H230" s="144">
        <f>_xlfn.XLOOKUP(F230,'DATA - 2025 Review'!C:C,'DATA - 2025 Review'!I:I,"")</f>
        <v>4375.8077319339955</v>
      </c>
      <c r="I230" s="145">
        <f>_xlfn.XLOOKUP(F230,'DATA - 2025 Review'!C:C,'DATA - 2025 Review'!J:J)</f>
        <v>-0.22335386141085756</v>
      </c>
      <c r="J230" s="144">
        <f>_xlfn.XLOOKUP(F230,'2025 Finish (ACTUAL)'!$C:$C,'2025 Finish (ACTUAL)'!$D:$D)</f>
        <v>4379.6319560000002</v>
      </c>
      <c r="K230" s="145">
        <f>L230/J230</f>
        <v>-0.03</v>
      </c>
      <c r="L230" s="147">
        <f>SUMIF(B:B,A230,L:L)</f>
        <v>-131.38895868</v>
      </c>
      <c r="M230" s="147">
        <f>SUMIF(B:B,A230,M:M)</f>
        <v>4248.2429973200005</v>
      </c>
      <c r="N230" s="145">
        <f>O230/J230</f>
        <v>-0.03</v>
      </c>
      <c r="O230" s="147">
        <f>SUMIF(B:B,A230,O:O)</f>
        <v>-131.38895868</v>
      </c>
      <c r="P230" s="148">
        <f>SUMIF(B:B,A230,P:P)</f>
        <v>4248.2429973200005</v>
      </c>
    </row>
    <row r="231" spans="1:17" x14ac:dyDescent="0.25">
      <c r="A231" s="149" t="s">
        <v>17</v>
      </c>
      <c r="B231" s="2" t="s">
        <v>17</v>
      </c>
      <c r="C231" s="299" t="str">
        <f>_xlfn.XLOOKUP(B231,'Brand Managers'!A:A,'Brand Managers'!B:B)</f>
        <v>Tom Gibbons</v>
      </c>
      <c r="D231" s="42" t="str">
        <f>_xlfn.XLOOKUP(F231,'DATA - Segments'!C:C,'DATA - Segments'!D:D)</f>
        <v>Beer</v>
      </c>
      <c r="E231" s="42" t="str">
        <f>_xlfn.XLOOKUP(F231,'DATA - Segments'!C:C,'DATA - Segments'!E:E)</f>
        <v>Beer - Craft</v>
      </c>
      <c r="F231" s="203" t="str">
        <f t="shared" si="92"/>
        <v>Great Lakes|Great Lakes</v>
      </c>
      <c r="G231" s="203" t="str">
        <f t="shared" si="82"/>
        <v>Great Lakes|Great Lakes|Beer|Beer - Craft</v>
      </c>
      <c r="H231" s="150">
        <f>_xlfn.XLOOKUP(F231,'DATA - 2025 Review'!C:C,'DATA - 2025 Review'!I:I,"")</f>
        <v>4375.8077319339955</v>
      </c>
      <c r="I231" s="151">
        <f>_xlfn.XLOOKUP(F231,'DATA - 2025 Review'!C:C,'DATA - 2025 Review'!J:J)</f>
        <v>-0.22335386141085756</v>
      </c>
      <c r="J231" s="150">
        <f>_xlfn.XLOOKUP(F231,'2025 Finish (ACTUAL)'!$C:$C,'2025 Finish (ACTUAL)'!$D:$D)</f>
        <v>4379.6319560000002</v>
      </c>
      <c r="K231" s="146">
        <v>-0.03</v>
      </c>
      <c r="L231" s="152">
        <f t="shared" si="93"/>
        <v>-131.38895868</v>
      </c>
      <c r="M231" s="152">
        <f>L231+J231</f>
        <v>4248.2429973200005</v>
      </c>
      <c r="N231" s="146">
        <v>-0.03</v>
      </c>
      <c r="O231" s="152">
        <f>N231*J231</f>
        <v>-131.38895868</v>
      </c>
      <c r="P231" s="69">
        <f>O231+J231</f>
        <v>4248.2429973200005</v>
      </c>
    </row>
    <row r="232" spans="1:17" x14ac:dyDescent="0.25">
      <c r="A232" s="143" t="s">
        <v>321</v>
      </c>
      <c r="B232" s="202"/>
      <c r="C232" s="202" t="str">
        <f>_xlfn.XLOOKUP(A232,'Brand Managers'!A:A,'Brand Managers'!B:B)</f>
        <v>Chris Politano</v>
      </c>
      <c r="D232" s="202"/>
      <c r="E232" s="202"/>
      <c r="F232" s="203" t="str">
        <f t="shared" si="92"/>
        <v>Saratoga|</v>
      </c>
      <c r="G232" s="203" t="str">
        <f t="shared" si="82"/>
        <v>Saratoga|||</v>
      </c>
      <c r="H232" s="144">
        <f>_xlfn.XLOOKUP(F232,'DATA - 2025 Review'!C:C,'DATA - 2025 Review'!I:I,"")</f>
        <v>6689.2372079660872</v>
      </c>
      <c r="I232" s="145">
        <f>_xlfn.XLOOKUP(F232,'DATA - 2025 Review'!C:C,'DATA - 2025 Review'!J:J)</f>
        <v>0.10292427026639484</v>
      </c>
      <c r="J232" s="144">
        <f>_xlfn.XLOOKUP(F232,'2025 Finish (ACTUAL)'!$C:$C,'2025 Finish (ACTUAL)'!$D:$D)</f>
        <v>6632.5014970000002</v>
      </c>
      <c r="K232" s="145">
        <f>L232/J232</f>
        <v>0</v>
      </c>
      <c r="L232" s="147">
        <f>SUMIF(B:B,A232,L:L)</f>
        <v>0</v>
      </c>
      <c r="M232" s="147">
        <f>SUMIF(B:B,A232,M:M)</f>
        <v>6632.5014970000002</v>
      </c>
      <c r="N232" s="145">
        <f>O232/J232</f>
        <v>0</v>
      </c>
      <c r="O232" s="147">
        <f>SUMIF(B:B,A232,O:O)</f>
        <v>0</v>
      </c>
      <c r="P232" s="148">
        <f>SUMIF(B:B,A232,P:P)</f>
        <v>6632.5014970000002</v>
      </c>
    </row>
    <row r="233" spans="1:17" x14ac:dyDescent="0.25">
      <c r="A233" s="149" t="s">
        <v>321</v>
      </c>
      <c r="B233" s="2" t="s">
        <v>321</v>
      </c>
      <c r="C233" s="299" t="str">
        <f>_xlfn.XLOOKUP(B233,'Brand Managers'!A:A,'Brand Managers'!B:B)</f>
        <v>Chris Politano</v>
      </c>
      <c r="D233" s="42" t="str">
        <f>_xlfn.XLOOKUP(F233,'DATA - Segments'!C:C,'DATA - Segments'!D:D)</f>
        <v>Non-Alc</v>
      </c>
      <c r="E233" s="42" t="str">
        <f>_xlfn.XLOOKUP(F233,'DATA - Segments'!C:C,'DATA - Segments'!E:E)</f>
        <v>Non-Alc - Water</v>
      </c>
      <c r="F233" s="203" t="str">
        <f t="shared" si="92"/>
        <v>Saratoga|Saratoga</v>
      </c>
      <c r="G233" s="203" t="str">
        <f t="shared" si="82"/>
        <v>Saratoga|Saratoga|Non-Alc|Non-Alc - Water</v>
      </c>
      <c r="H233" s="150">
        <f>_xlfn.XLOOKUP(F233,'DATA - 2025 Review'!C:C,'DATA - 2025 Review'!I:I,"")</f>
        <v>6689.2372079660872</v>
      </c>
      <c r="I233" s="151">
        <f>_xlfn.XLOOKUP(F233,'DATA - 2025 Review'!C:C,'DATA - 2025 Review'!J:J)</f>
        <v>0.10292427026639484</v>
      </c>
      <c r="J233" s="150">
        <f>_xlfn.XLOOKUP(F233,'2025 Finish (ACTUAL)'!$C:$C,'2025 Finish (ACTUAL)'!$D:$D)</f>
        <v>6632.5014970000002</v>
      </c>
      <c r="K233" s="146"/>
      <c r="L233" s="152">
        <f t="shared" si="93"/>
        <v>0</v>
      </c>
      <c r="M233" s="152">
        <f>L233+J233</f>
        <v>6632.5014970000002</v>
      </c>
      <c r="N233" s="146">
        <v>0</v>
      </c>
      <c r="O233" s="152">
        <f>N233*J233</f>
        <v>0</v>
      </c>
      <c r="P233" s="69">
        <f>O233+J233</f>
        <v>6632.5014970000002</v>
      </c>
    </row>
    <row r="234" spans="1:17" x14ac:dyDescent="0.25">
      <c r="A234" s="143" t="s">
        <v>250</v>
      </c>
      <c r="B234" s="202"/>
      <c r="C234" s="202" t="str">
        <f>_xlfn.XLOOKUP(A234,'Brand Managers'!A:A,'Brand Managers'!B:B)</f>
        <v>Denise Montes</v>
      </c>
      <c r="D234" s="202"/>
      <c r="E234" s="202"/>
      <c r="F234" s="203" t="str">
        <f t="shared" si="92"/>
        <v>Vinaio Imports LTD|</v>
      </c>
      <c r="G234" s="203" t="str">
        <f t="shared" si="82"/>
        <v>Vinaio Imports LTD|||</v>
      </c>
      <c r="H234" s="144">
        <f>SUM(H235,H236)</f>
        <v>6500</v>
      </c>
      <c r="I234" s="145">
        <f>_xlfn.XLOOKUP(F234,'DATA - 2025 Review'!C:C,'DATA - 2025 Review'!J:J)</f>
        <v>-0.24303809186318259</v>
      </c>
      <c r="J234" s="144">
        <f>_xlfn.XLOOKUP(F234,'2025 Finish (ACTUAL)'!$C:$C,'2025 Finish (ACTUAL)'!$D:$D)</f>
        <v>6596.3512879999998</v>
      </c>
      <c r="K234" s="145">
        <f>L234/J234</f>
        <v>0.37360089643752159</v>
      </c>
      <c r="L234" s="147">
        <f>SUMIF(B:B,A234,L:L)</f>
        <v>2464.4027544136002</v>
      </c>
      <c r="M234" s="147">
        <v>7000</v>
      </c>
      <c r="N234" s="145">
        <f>O234/J234</f>
        <v>0.37360089643752159</v>
      </c>
      <c r="O234" s="147">
        <f>SUMIF(B:B,A234,O:O)</f>
        <v>2464.4027544136002</v>
      </c>
      <c r="P234" s="148">
        <f>SUM(P235:P236)</f>
        <v>9060.7540424135987</v>
      </c>
    </row>
    <row r="235" spans="1:17" x14ac:dyDescent="0.25">
      <c r="A235" s="149" t="s">
        <v>404</v>
      </c>
      <c r="B235" s="2" t="s">
        <v>250</v>
      </c>
      <c r="C235" s="299" t="str">
        <f>_xlfn.XLOOKUP(B235,'Brand Managers'!A:A,'Brand Managers'!B:B)</f>
        <v>Denise Montes</v>
      </c>
      <c r="D235" s="42" t="str">
        <f>_xlfn.XLOOKUP(F235,'DATA - Segments'!C:C,'DATA - Segments'!D:D)</f>
        <v>Beer</v>
      </c>
      <c r="E235" s="42" t="str">
        <f>_xlfn.XLOOKUP(F235,'DATA - Segments'!C:C,'DATA - Segments'!E:E)</f>
        <v>Beer - Import</v>
      </c>
      <c r="F235" s="203" t="str">
        <f t="shared" si="92"/>
        <v>Cerveza Republica La Tuya 5.0 La Dura|Vinaio Imports LTD</v>
      </c>
      <c r="G235" s="203" t="str">
        <f t="shared" si="82"/>
        <v>Cerveza Republica La Tuya 5.0 La Dura|Vinaio Imports LTD|Beer|Beer - Import</v>
      </c>
      <c r="H235" s="215">
        <v>4600</v>
      </c>
      <c r="I235" s="151">
        <f>_xlfn.XLOOKUP(F235,'DATA - 2025 Review'!C:C,'DATA - 2025 Review'!J:J)</f>
        <v>7.7482211107169618</v>
      </c>
      <c r="J235" s="150">
        <f>_xlfn.XLOOKUP(F235,'2025 Finish (ACTUAL)'!$C:$C,'2025 Finish (ACTUAL)'!$D:$D)</f>
        <v>4590.0591439999998</v>
      </c>
      <c r="K235" s="146">
        <v>0.53690000000000004</v>
      </c>
      <c r="L235" s="152">
        <f t="shared" si="93"/>
        <v>2464.4027544136002</v>
      </c>
      <c r="M235" s="152">
        <f t="shared" ref="M235:M236" si="100">L235+J235</f>
        <v>7054.4618984135996</v>
      </c>
      <c r="N235" s="146">
        <v>0.53690000000000004</v>
      </c>
      <c r="O235" s="152">
        <f t="shared" ref="O235:O236" si="101">N235*J235</f>
        <v>2464.4027544136002</v>
      </c>
      <c r="P235" s="69">
        <f t="shared" ref="P235:P236" si="102">O235+J235</f>
        <v>7054.4618984135996</v>
      </c>
    </row>
    <row r="236" spans="1:17" x14ac:dyDescent="0.25">
      <c r="A236" s="149" t="s">
        <v>225</v>
      </c>
      <c r="B236" s="2" t="s">
        <v>250</v>
      </c>
      <c r="C236" s="299" t="str">
        <f>_xlfn.XLOOKUP(B236,'Brand Managers'!A:A,'Brand Managers'!B:B)</f>
        <v>Denise Montes</v>
      </c>
      <c r="D236" s="42" t="str">
        <f>_xlfn.XLOOKUP(F236,'DATA - Segments'!C:C,'DATA - Segments'!D:D)</f>
        <v>Beer</v>
      </c>
      <c r="E236" s="42" t="str">
        <f>_xlfn.XLOOKUP(F236,'DATA - Segments'!C:C,'DATA - Segments'!E:E)</f>
        <v>Beer - Import</v>
      </c>
      <c r="F236" s="205" t="str">
        <f t="shared" si="92"/>
        <v>Cerveza Republica LA Tuya|Vinaio Imports LTD</v>
      </c>
      <c r="G236" s="203" t="str">
        <f t="shared" si="82"/>
        <v>Cerveza Republica LA Tuya|Vinaio Imports LTD|Beer|Beer - Import</v>
      </c>
      <c r="H236" s="211">
        <v>1900</v>
      </c>
      <c r="I236" s="187">
        <f>_xlfn.XLOOKUP(F236,'DATA - 2025 Review'!C:C,'DATA - 2025 Review'!J:J)</f>
        <v>-0.7489211962349398</v>
      </c>
      <c r="J236" s="150">
        <f>_xlfn.XLOOKUP(F236,'2025 Finish (ACTUAL)'!$C:$C,'2025 Finish (ACTUAL)'!$D:$D)</f>
        <v>2006.292144</v>
      </c>
      <c r="K236" s="188"/>
      <c r="L236" s="152">
        <f t="shared" si="93"/>
        <v>0</v>
      </c>
      <c r="M236" s="152">
        <f t="shared" si="100"/>
        <v>2006.292144</v>
      </c>
      <c r="N236" s="188"/>
      <c r="O236" s="152">
        <f t="shared" si="101"/>
        <v>0</v>
      </c>
      <c r="P236" s="69">
        <f t="shared" si="102"/>
        <v>2006.292144</v>
      </c>
    </row>
    <row r="237" spans="1:17" x14ac:dyDescent="0.25">
      <c r="A237" s="216" t="s">
        <v>500</v>
      </c>
      <c r="B237" s="202"/>
      <c r="C237" s="202" t="s">
        <v>575</v>
      </c>
      <c r="D237" s="202"/>
      <c r="E237" s="202"/>
      <c r="F237" s="203" t="str">
        <f t="shared" si="92"/>
        <v>Columbian Roots|</v>
      </c>
      <c r="G237" s="203" t="str">
        <f t="shared" si="82"/>
        <v>Columbian Roots|||</v>
      </c>
      <c r="H237" s="144">
        <f>SUM(H238,H239,H240,H242,H243,H241,H244)</f>
        <v>5393</v>
      </c>
      <c r="I237" s="145">
        <f>_xlfn.XLOOKUP(F237,'DATA - 2025 Review'!C:C,'DATA - 2025 Review'!J:J)</f>
        <v>0.21278207005644534</v>
      </c>
      <c r="J237" s="144">
        <f>_xlfn.XLOOKUP(F237,'2025 Finish (ACTUAL)'!$C:$C,'2025 Finish (ACTUAL)'!$D:$D)</f>
        <v>5469.891353</v>
      </c>
      <c r="K237" s="145">
        <f>L237/J237</f>
        <v>0</v>
      </c>
      <c r="L237" s="147">
        <f>SUMIF(B:B,#REF!,L:L)</f>
        <v>0</v>
      </c>
      <c r="M237" s="183">
        <f>SUMIF(B:B,B238,M:M)</f>
        <v>5469.8871290000006</v>
      </c>
      <c r="N237" s="145">
        <f>O237/J237</f>
        <v>0.30065737751775051</v>
      </c>
      <c r="O237" s="147">
        <f>SUM(O238:O244)</f>
        <v>1644.5631895000001</v>
      </c>
      <c r="P237" s="184">
        <f>SUM(P238:P244)</f>
        <v>7114.4503185000003</v>
      </c>
      <c r="Q237" t="s">
        <v>501</v>
      </c>
    </row>
    <row r="238" spans="1:17" x14ac:dyDescent="0.25">
      <c r="A238" s="185" t="s">
        <v>508</v>
      </c>
      <c r="B238" s="2" t="s">
        <v>95</v>
      </c>
      <c r="C238" s="299" t="str">
        <f>_xlfn.XLOOKUP(B238,'Brand Managers'!A:A,'Brand Managers'!B:B)</f>
        <v>Denise Montes</v>
      </c>
      <c r="D238" s="42" t="s">
        <v>512</v>
      </c>
      <c r="E238" s="42" t="s">
        <v>515</v>
      </c>
      <c r="F238" s="203" t="str">
        <f t="shared" si="92"/>
        <v>Club Colombia Roja|Food &amp; Bev Enterprise LLC</v>
      </c>
      <c r="G238" s="203" t="str">
        <f t="shared" si="82"/>
        <v>Club Colombia Roja|Food &amp; Bev Enterprise LLC|Beer|Beer - Import</v>
      </c>
      <c r="H238" s="150">
        <v>331</v>
      </c>
      <c r="I238" s="130">
        <v>0.36980000000000002</v>
      </c>
      <c r="J238" s="150">
        <f>_xlfn.XLOOKUP(F238,'2025 Finish (ACTUAL)'!$C:$C,'2025 Finish (ACTUAL)'!$D:$D)</f>
        <v>329.83</v>
      </c>
      <c r="K238" s="146"/>
      <c r="L238" s="152">
        <f t="shared" si="93"/>
        <v>0</v>
      </c>
      <c r="M238" s="152">
        <f t="shared" ref="M238:M244" si="103">L238+J238</f>
        <v>329.83</v>
      </c>
      <c r="N238" s="146">
        <v>0.25</v>
      </c>
      <c r="O238" s="152">
        <f t="shared" ref="O238:O244" si="104">N238*J238</f>
        <v>82.457499999999996</v>
      </c>
      <c r="P238" s="69">
        <f t="shared" ref="P238:P244" si="105">O238+J238</f>
        <v>412.28749999999997</v>
      </c>
    </row>
    <row r="239" spans="1:17" x14ac:dyDescent="0.25">
      <c r="A239" s="185" t="s">
        <v>507</v>
      </c>
      <c r="B239" s="2" t="s">
        <v>95</v>
      </c>
      <c r="C239" s="299" t="str">
        <f>_xlfn.XLOOKUP(B239,'Brand Managers'!A:A,'Brand Managers'!B:B)</f>
        <v>Denise Montes</v>
      </c>
      <c r="D239" s="42" t="s">
        <v>512</v>
      </c>
      <c r="E239" s="42" t="s">
        <v>515</v>
      </c>
      <c r="F239" s="203" t="str">
        <f t="shared" si="92"/>
        <v>Club Colombia Dorada|Food &amp; Bev Enterprise LLC</v>
      </c>
      <c r="G239" s="203" t="str">
        <f t="shared" si="82"/>
        <v>Club Colombia Dorada|Food &amp; Bev Enterprise LLC|Beer|Beer - Import</v>
      </c>
      <c r="H239" s="150">
        <v>1268</v>
      </c>
      <c r="I239" s="130">
        <v>0.60870000000000002</v>
      </c>
      <c r="J239" s="150">
        <f>_xlfn.XLOOKUP(F239,'2025 Finish (ACTUAL)'!$C:$C,'2025 Finish (ACTUAL)'!$D:$D)</f>
        <v>1276.45</v>
      </c>
      <c r="K239" s="146"/>
      <c r="L239" s="152">
        <f t="shared" si="93"/>
        <v>0</v>
      </c>
      <c r="M239" s="152">
        <f t="shared" si="103"/>
        <v>1276.45</v>
      </c>
      <c r="N239" s="146">
        <v>0.25</v>
      </c>
      <c r="O239" s="152">
        <f t="shared" si="104"/>
        <v>319.11250000000001</v>
      </c>
      <c r="P239" s="69">
        <f t="shared" si="105"/>
        <v>1595.5625</v>
      </c>
    </row>
    <row r="240" spans="1:17" x14ac:dyDescent="0.25">
      <c r="A240" s="185" t="s">
        <v>506</v>
      </c>
      <c r="B240" s="2" t="s">
        <v>95</v>
      </c>
      <c r="C240" s="299" t="str">
        <f>_xlfn.XLOOKUP(B240,'Brand Managers'!A:A,'Brand Managers'!B:B)</f>
        <v>Denise Montes</v>
      </c>
      <c r="D240" s="42" t="s">
        <v>512</v>
      </c>
      <c r="E240" s="42" t="s">
        <v>515</v>
      </c>
      <c r="F240" s="203" t="str">
        <f t="shared" si="92"/>
        <v>Aguila Light|Food &amp; Bev Enterprise LLC</v>
      </c>
      <c r="G240" s="203" t="str">
        <f t="shared" si="82"/>
        <v>Aguila Light|Food &amp; Bev Enterprise LLC|Beer|Beer - Import</v>
      </c>
      <c r="H240" s="127">
        <v>491</v>
      </c>
      <c r="I240" s="130">
        <v>0.1293</v>
      </c>
      <c r="J240" s="150">
        <f>_xlfn.XLOOKUP(F240,'2025 Finish (ACTUAL)'!$C:$C,'2025 Finish (ACTUAL)'!$D:$D)</f>
        <v>500.27</v>
      </c>
      <c r="K240" s="146"/>
      <c r="L240" s="152">
        <f t="shared" si="93"/>
        <v>0</v>
      </c>
      <c r="M240" s="152">
        <f t="shared" si="103"/>
        <v>500.27</v>
      </c>
      <c r="N240" s="146">
        <v>0.25</v>
      </c>
      <c r="O240" s="152">
        <f t="shared" si="104"/>
        <v>125.0675</v>
      </c>
      <c r="P240" s="69">
        <f t="shared" si="105"/>
        <v>625.33749999999998</v>
      </c>
    </row>
    <row r="241" spans="1:16" x14ac:dyDescent="0.25">
      <c r="A241" s="149" t="s">
        <v>144</v>
      </c>
      <c r="B241" s="2" t="s">
        <v>95</v>
      </c>
      <c r="C241" s="299" t="str">
        <f>_xlfn.XLOOKUP(B241,'Brand Managers'!A:A,'Brand Managers'!B:B)</f>
        <v>Denise Montes</v>
      </c>
      <c r="D241" s="42" t="str">
        <f>_xlfn.XLOOKUP(F241,'DATA - Segments'!C:C,'DATA - Segments'!D:D)</f>
        <v>Beer</v>
      </c>
      <c r="E241" s="42" t="str">
        <f>_xlfn.XLOOKUP(F241,'DATA - Segments'!C:C,'DATA - Segments'!E:E)</f>
        <v>Beer - Import</v>
      </c>
      <c r="F241" s="203" t="str">
        <f t="shared" si="92"/>
        <v>Aguila Import|Food &amp; Bev Enterprise LLC</v>
      </c>
      <c r="G241" s="203" t="str">
        <f t="shared" si="82"/>
        <v>Aguila Import|Food &amp; Bev Enterprise LLC|Beer|Beer - Import</v>
      </c>
      <c r="H241" s="150">
        <v>792</v>
      </c>
      <c r="I241" s="151">
        <f>_xlfn.XLOOKUP(F241,'DATA - 2025 Review'!C:C,'DATA - 2025 Review'!J:J)</f>
        <v>-6.8330736678019366E-2</v>
      </c>
      <c r="J241" s="150">
        <f>_xlfn.XLOOKUP(F241,'2025 Finish (ACTUAL)'!$C:$C,'2025 Finish (ACTUAL)'!$D:$D)</f>
        <v>795.79</v>
      </c>
      <c r="K241" s="146"/>
      <c r="L241" s="152">
        <f t="shared" si="93"/>
        <v>0</v>
      </c>
      <c r="M241" s="152">
        <f t="shared" si="103"/>
        <v>795.79</v>
      </c>
      <c r="N241" s="146">
        <v>0.15</v>
      </c>
      <c r="O241" s="152">
        <f t="shared" si="104"/>
        <v>119.36849999999998</v>
      </c>
      <c r="P241" s="69">
        <f t="shared" si="105"/>
        <v>915.1585</v>
      </c>
    </row>
    <row r="242" spans="1:16" x14ac:dyDescent="0.25">
      <c r="A242" s="185" t="s">
        <v>509</v>
      </c>
      <c r="B242" s="2" t="s">
        <v>95</v>
      </c>
      <c r="C242" s="299" t="str">
        <f>_xlfn.XLOOKUP(B242,'Brand Managers'!A:A,'Brand Managers'!B:B)</f>
        <v>Denise Montes</v>
      </c>
      <c r="D242" s="42" t="s">
        <v>512</v>
      </c>
      <c r="E242" s="42" t="s">
        <v>515</v>
      </c>
      <c r="F242" s="203" t="str">
        <f t="shared" si="92"/>
        <v>Pilsen Import|Food &amp; Bev Enterprise LLC</v>
      </c>
      <c r="G242" s="203" t="str">
        <f t="shared" si="82"/>
        <v>Pilsen Import|Food &amp; Bev Enterprise LLC|Beer|Beer - Import</v>
      </c>
      <c r="H242" s="150">
        <v>304</v>
      </c>
      <c r="I242" s="130">
        <v>1.9728000000000001</v>
      </c>
      <c r="J242" s="150">
        <f>_xlfn.XLOOKUP(F242,'2025 Finish (ACTUAL)'!$C:$C,'2025 Finish (ACTUAL)'!$D:$D)</f>
        <v>322.39</v>
      </c>
      <c r="K242" s="146"/>
      <c r="L242" s="152">
        <f t="shared" si="93"/>
        <v>0</v>
      </c>
      <c r="M242" s="152">
        <f t="shared" si="103"/>
        <v>322.39</v>
      </c>
      <c r="N242" s="146">
        <v>0.05</v>
      </c>
      <c r="O242" s="152">
        <f t="shared" si="104"/>
        <v>16.119499999999999</v>
      </c>
      <c r="P242" s="69">
        <f t="shared" si="105"/>
        <v>338.5095</v>
      </c>
    </row>
    <row r="243" spans="1:16" x14ac:dyDescent="0.25">
      <c r="A243" s="149" t="s">
        <v>96</v>
      </c>
      <c r="B243" s="2" t="s">
        <v>95</v>
      </c>
      <c r="C243" s="299" t="str">
        <f>_xlfn.XLOOKUP(B243,'Brand Managers'!A:A,'Brand Managers'!B:B)</f>
        <v>Denise Montes</v>
      </c>
      <c r="D243" s="42" t="str">
        <f>_xlfn.XLOOKUP(F243,'DATA - Segments'!C:C,'DATA - Segments'!D:D)</f>
        <v>Beer</v>
      </c>
      <c r="E243" s="42" t="str">
        <f>_xlfn.XLOOKUP(F243,'DATA - Segments'!C:C,'DATA - Segments'!E:E)</f>
        <v>Beer - Import</v>
      </c>
      <c r="F243" s="203" t="str">
        <f t="shared" si="92"/>
        <v>Poker Import|Food &amp; Bev Enterprise LLC</v>
      </c>
      <c r="G243" s="203" t="str">
        <f t="shared" si="82"/>
        <v>Poker Import|Food &amp; Bev Enterprise LLC|Beer|Beer - Import</v>
      </c>
      <c r="H243" s="150">
        <v>1809</v>
      </c>
      <c r="I243" s="151">
        <f>_xlfn.XLOOKUP(F243,'DATA - 2025 Review'!C:C,'DATA - 2025 Review'!J:J)</f>
        <v>0.13527390124169258</v>
      </c>
      <c r="J243" s="150">
        <f>_xlfn.XLOOKUP(F243,'2025 Finish (ACTUAL)'!$C:$C,'2025 Finish (ACTUAL)'!$D:$D)</f>
        <v>1844.754629</v>
      </c>
      <c r="K243" s="146"/>
      <c r="L243" s="152">
        <f t="shared" si="93"/>
        <v>0</v>
      </c>
      <c r="M243" s="152">
        <f t="shared" si="103"/>
        <v>1844.754629</v>
      </c>
      <c r="N243" s="146">
        <v>0.5</v>
      </c>
      <c r="O243" s="152">
        <f t="shared" si="104"/>
        <v>922.37731450000001</v>
      </c>
      <c r="P243" s="69">
        <f t="shared" si="105"/>
        <v>2767.1319435</v>
      </c>
    </row>
    <row r="244" spans="1:16" x14ac:dyDescent="0.25">
      <c r="A244" s="149" t="s">
        <v>322</v>
      </c>
      <c r="B244" s="2" t="s">
        <v>95</v>
      </c>
      <c r="C244" s="299" t="str">
        <f>_xlfn.XLOOKUP(B244,'Brand Managers'!A:A,'Brand Managers'!B:B)</f>
        <v>Denise Montes</v>
      </c>
      <c r="D244" s="42" t="str">
        <f>_xlfn.XLOOKUP(F244,'DATA - Segments'!C:C,'DATA - Segments'!D:D)</f>
        <v>Beer</v>
      </c>
      <c r="E244" s="42" t="str">
        <f>_xlfn.XLOOKUP(F244,'DATA - Segments'!C:C,'DATA - Segments'!E:E)</f>
        <v>Beer - Import</v>
      </c>
      <c r="F244" s="203" t="str">
        <f t="shared" si="92"/>
        <v>Costenita|Food &amp; Bev Enterprise LLC</v>
      </c>
      <c r="G244" s="203" t="str">
        <f t="shared" si="82"/>
        <v>Costenita|Food &amp; Bev Enterprise LLC|Beer|Beer - Import</v>
      </c>
      <c r="H244" s="150">
        <v>398</v>
      </c>
      <c r="I244" s="151">
        <f>_xlfn.XLOOKUP(F244,'DATA - 2025 Review'!C:C,'DATA - 2025 Review'!J:J)</f>
        <v>0.12874256568364606</v>
      </c>
      <c r="J244" s="150">
        <f>_xlfn.XLOOKUP(F244,'2025 Finish (ACTUAL)'!$C:$C,'2025 Finish (ACTUAL)'!$D:$D)</f>
        <v>400.40249999999997</v>
      </c>
      <c r="K244" s="146"/>
      <c r="L244" s="152">
        <f t="shared" si="93"/>
        <v>0</v>
      </c>
      <c r="M244" s="152">
        <f t="shared" si="103"/>
        <v>400.40249999999997</v>
      </c>
      <c r="N244" s="146">
        <v>0.15</v>
      </c>
      <c r="O244" s="152">
        <f t="shared" si="104"/>
        <v>60.060374999999993</v>
      </c>
      <c r="P244" s="69">
        <f t="shared" si="105"/>
        <v>460.46287499999994</v>
      </c>
    </row>
    <row r="245" spans="1:16" x14ac:dyDescent="0.25">
      <c r="A245" s="143" t="s">
        <v>267</v>
      </c>
      <c r="B245" s="202"/>
      <c r="C245" s="202" t="str">
        <f>_xlfn.XLOOKUP(A245,'Brand Managers'!A:A,'Brand Managers'!B:B)</f>
        <v>Steve Halloran</v>
      </c>
      <c r="D245" s="202"/>
      <c r="E245" s="202"/>
      <c r="F245" s="203" t="str">
        <f t="shared" si="92"/>
        <v>Artisanal Imports|</v>
      </c>
      <c r="G245" s="203" t="str">
        <f t="shared" si="82"/>
        <v>Artisanal Imports|||</v>
      </c>
      <c r="H245" s="144">
        <f>_xlfn.XLOOKUP(F245,'DATA - 2025 Review'!C:C,'DATA - 2025 Review'!I:I,"")</f>
        <v>11211.000787000001</v>
      </c>
      <c r="I245" s="145">
        <f>_xlfn.XLOOKUP(F245,'DATA - 2025 Review'!C:C,'DATA - 2025 Review'!J:J)</f>
        <v>1.0741907098982426</v>
      </c>
      <c r="J245" s="144">
        <f>_xlfn.XLOOKUP(F245,'2025 Finish (ACTUAL)'!$C:$C,'2025 Finish (ACTUAL)'!$D:$D)</f>
        <v>10737</v>
      </c>
      <c r="K245" s="145">
        <f>L245/J245</f>
        <v>0</v>
      </c>
      <c r="L245" s="147">
        <f>SUMIF(B:B,A245,L:L)</f>
        <v>0</v>
      </c>
      <c r="M245" s="147">
        <f>SUMIF(B:B,A245,M:M)</f>
        <v>10737</v>
      </c>
      <c r="N245" s="145">
        <f>O245/J245</f>
        <v>0</v>
      </c>
      <c r="O245" s="147">
        <f>SUMIF(B:B,A245,O:O)</f>
        <v>0</v>
      </c>
      <c r="P245" s="148">
        <f>SUMIF(B:B,A245,P:P)</f>
        <v>10737</v>
      </c>
    </row>
    <row r="246" spans="1:16" x14ac:dyDescent="0.25">
      <c r="A246" s="149" t="s">
        <v>66</v>
      </c>
      <c r="B246" s="2" t="s">
        <v>267</v>
      </c>
      <c r="C246" s="299" t="str">
        <f>_xlfn.XLOOKUP(B246,'Brand Managers'!A:A,'Brand Managers'!B:B)</f>
        <v>Steve Halloran</v>
      </c>
      <c r="D246" s="42" t="str">
        <f>_xlfn.XLOOKUP(F246,'DATA - Segments'!C:C,'DATA - Segments'!D:D)</f>
        <v>Beer</v>
      </c>
      <c r="E246" s="42" t="str">
        <f>_xlfn.XLOOKUP(F246,'DATA - Segments'!C:C,'DATA - Segments'!E:E)</f>
        <v>Beer - Import</v>
      </c>
      <c r="F246" s="203" t="str">
        <f t="shared" si="92"/>
        <v>Tona|Artisanal Imports</v>
      </c>
      <c r="G246" s="203" t="str">
        <f t="shared" si="82"/>
        <v>Tona|Artisanal Imports|Beer|Beer - Import</v>
      </c>
      <c r="H246" s="150">
        <f>_xlfn.XLOOKUP(F246,'DATA - 2025 Review'!C:C,'DATA - 2025 Review'!I:I,"")</f>
        <v>5055.7389999999996</v>
      </c>
      <c r="I246" s="151">
        <f>_xlfn.XLOOKUP(F246,'DATA - 2025 Review'!C:C,'DATA - 2025 Review'!J:J)</f>
        <v>0.70456473364801075</v>
      </c>
      <c r="J246" s="150">
        <f>_xlfn.XLOOKUP(F246,'2025 Finish (ACTUAL)'!$C:$C,'2025 Finish (ACTUAL)'!$D:$D)</f>
        <v>4589</v>
      </c>
      <c r="K246" s="146">
        <v>0</v>
      </c>
      <c r="L246" s="152">
        <f t="shared" si="93"/>
        <v>0</v>
      </c>
      <c r="M246" s="152">
        <f t="shared" ref="M246:M247" si="106">L246+J246</f>
        <v>4589</v>
      </c>
      <c r="N246" s="146">
        <v>0</v>
      </c>
      <c r="O246" s="152">
        <f t="shared" ref="O246:O247" si="107">N246*J246</f>
        <v>0</v>
      </c>
      <c r="P246" s="69">
        <f t="shared" ref="P246:P247" si="108">O246+J246</f>
        <v>4589</v>
      </c>
    </row>
    <row r="247" spans="1:16" x14ac:dyDescent="0.25">
      <c r="A247" s="149" t="s">
        <v>67</v>
      </c>
      <c r="B247" s="2" t="s">
        <v>267</v>
      </c>
      <c r="C247" s="299" t="str">
        <f>_xlfn.XLOOKUP(B247,'Brand Managers'!A:A,'Brand Managers'!B:B)</f>
        <v>Steve Halloran</v>
      </c>
      <c r="D247" s="42" t="str">
        <f>_xlfn.XLOOKUP(F247,'DATA - Segments'!C:C,'DATA - Segments'!D:D)</f>
        <v>Beer</v>
      </c>
      <c r="E247" s="42" t="str">
        <f>_xlfn.XLOOKUP(F247,'DATA - Segments'!C:C,'DATA - Segments'!E:E)</f>
        <v>Beer - Import</v>
      </c>
      <c r="F247" s="203" t="str">
        <f t="shared" si="92"/>
        <v>Palma|Artisanal Imports</v>
      </c>
      <c r="G247" s="203" t="str">
        <f t="shared" si="82"/>
        <v>Palma|Artisanal Imports|Beer|Beer - Import</v>
      </c>
      <c r="H247" s="150">
        <f>_xlfn.XLOOKUP(F247,'DATA - 2025 Review'!C:C,'DATA - 2025 Review'!I:I,"")</f>
        <v>6083.4422519999998</v>
      </c>
      <c r="I247" s="151">
        <f>_xlfn.XLOOKUP(F247,'DATA - 2025 Review'!C:C,'DATA - 2025 Review'!J:J)</f>
        <v>1.4942362656826567</v>
      </c>
      <c r="J247" s="150">
        <f>_xlfn.XLOOKUP(F247,'2025 Finish (ACTUAL)'!$C:$C,'2025 Finish (ACTUAL)'!$D:$D)</f>
        <v>6148</v>
      </c>
      <c r="K247" s="146">
        <v>0</v>
      </c>
      <c r="L247" s="152">
        <f t="shared" si="93"/>
        <v>0</v>
      </c>
      <c r="M247" s="152">
        <f t="shared" si="106"/>
        <v>6148</v>
      </c>
      <c r="N247" s="146">
        <v>0</v>
      </c>
      <c r="O247" s="152">
        <f t="shared" si="107"/>
        <v>0</v>
      </c>
      <c r="P247" s="69">
        <f t="shared" si="108"/>
        <v>6148</v>
      </c>
    </row>
    <row r="248" spans="1:16" x14ac:dyDescent="0.25">
      <c r="A248" s="143" t="s">
        <v>351</v>
      </c>
      <c r="B248" s="202"/>
      <c r="C248" s="202" t="str">
        <f>_xlfn.XLOOKUP(A248,'Brand Managers'!A:A,'Brand Managers'!B:B)</f>
        <v>Sean Donahue</v>
      </c>
      <c r="D248" s="202"/>
      <c r="E248" s="202"/>
      <c r="F248" s="203" t="str">
        <f t="shared" si="92"/>
        <v>Evil Genius|</v>
      </c>
      <c r="G248" s="203" t="str">
        <f t="shared" si="82"/>
        <v>Evil Genius|||</v>
      </c>
      <c r="H248" s="144">
        <f>_xlfn.XLOOKUP(F248,'DATA - 2025 Review'!C:C,'DATA - 2025 Review'!I:I,"")</f>
        <v>4670.0696912053218</v>
      </c>
      <c r="I248" s="145">
        <f>_xlfn.XLOOKUP(F248,'DATA - 2025 Review'!C:C,'DATA - 2025 Review'!J:J)</f>
        <v>-0.21350132784225884</v>
      </c>
      <c r="J248" s="144">
        <f>_xlfn.XLOOKUP(F248,'2025 Finish (ACTUAL)'!$C:$C,'2025 Finish (ACTUAL)'!$D:$D)</f>
        <v>4695.7459390000004</v>
      </c>
      <c r="K248" s="145">
        <f>L248/J248</f>
        <v>0</v>
      </c>
      <c r="L248" s="147">
        <f>SUMIF(B:B,A248,L:L)</f>
        <v>0</v>
      </c>
      <c r="M248" s="147">
        <f>SUMIF(B:B,A248,M:M)</f>
        <v>4695.7459390000004</v>
      </c>
      <c r="N248" s="145">
        <f>O248/J248</f>
        <v>0</v>
      </c>
      <c r="O248" s="147">
        <f>SUMIF(B:B,A248,O:O)</f>
        <v>0</v>
      </c>
      <c r="P248" s="148">
        <f>SUMIF(B:B,A248,P:P)</f>
        <v>4695.7459390000004</v>
      </c>
    </row>
    <row r="249" spans="1:16" x14ac:dyDescent="0.25">
      <c r="A249" s="149" t="s">
        <v>351</v>
      </c>
      <c r="B249" s="2" t="s">
        <v>351</v>
      </c>
      <c r="C249" s="299" t="str">
        <f>_xlfn.XLOOKUP(B249,'Brand Managers'!A:A,'Brand Managers'!B:B)</f>
        <v>Sean Donahue</v>
      </c>
      <c r="D249" s="42" t="str">
        <f>_xlfn.XLOOKUP(F249,'DATA - Segments'!C:C,'DATA - Segments'!D:D)</f>
        <v>Beer</v>
      </c>
      <c r="E249" s="42" t="str">
        <f>_xlfn.XLOOKUP(F249,'DATA - Segments'!C:C,'DATA - Segments'!E:E)</f>
        <v>Beer - Craft</v>
      </c>
      <c r="F249" s="203" t="str">
        <f t="shared" si="92"/>
        <v>Evil Genius|Evil Genius</v>
      </c>
      <c r="G249" s="203" t="str">
        <f t="shared" si="82"/>
        <v>Evil Genius|Evil Genius|Beer|Beer - Craft</v>
      </c>
      <c r="H249" s="150">
        <f>_xlfn.XLOOKUP(F249,'DATA - 2025 Review'!C:C,'DATA - 2025 Review'!I:I,"")</f>
        <v>4670.0696912053218</v>
      </c>
      <c r="I249" s="151">
        <f>_xlfn.XLOOKUP(F249,'DATA - 2025 Review'!C:C,'DATA - 2025 Review'!J:J)</f>
        <v>-0.21350132784225884</v>
      </c>
      <c r="J249" s="150">
        <f>_xlfn.XLOOKUP(F249,'2025 Finish (ACTUAL)'!$C:$C,'2025 Finish (ACTUAL)'!$D:$D)</f>
        <v>4695.7459390000004</v>
      </c>
      <c r="K249" s="146">
        <v>0</v>
      </c>
      <c r="L249" s="152">
        <f t="shared" si="93"/>
        <v>0</v>
      </c>
      <c r="M249" s="152">
        <f>L249+J249</f>
        <v>4695.7459390000004</v>
      </c>
      <c r="N249" s="146">
        <v>0</v>
      </c>
      <c r="O249" s="152">
        <f>N249*J249</f>
        <v>0</v>
      </c>
      <c r="P249" s="69">
        <f>O249+J249</f>
        <v>4695.7459390000004</v>
      </c>
    </row>
    <row r="250" spans="1:16" x14ac:dyDescent="0.25">
      <c r="A250" s="143" t="s">
        <v>405</v>
      </c>
      <c r="B250" s="202"/>
      <c r="C250" s="202" t="str">
        <f>_xlfn.XLOOKUP(A250,'Brand Managers'!A:A,'Brand Managers'!B:B)</f>
        <v>Tom Gibbons</v>
      </c>
      <c r="D250" s="202"/>
      <c r="E250" s="202"/>
      <c r="F250" s="203" t="str">
        <f t="shared" si="92"/>
        <v>Harpoon Brewery|</v>
      </c>
      <c r="G250" s="203" t="str">
        <f t="shared" si="82"/>
        <v>Harpoon Brewery|||</v>
      </c>
      <c r="H250" s="144">
        <f>_xlfn.XLOOKUP(F250,'DATA - 2025 Review'!C:C,'DATA - 2025 Review'!I:I,"")</f>
        <v>3751.0496052359299</v>
      </c>
      <c r="I250" s="145">
        <f>_xlfn.XLOOKUP(F250,'DATA - 2025 Review'!C:C,'DATA - 2025 Review'!J:J)</f>
        <v>-0.2251631834773874</v>
      </c>
      <c r="J250" s="144">
        <f>_xlfn.XLOOKUP(F250,'2025 Finish (ACTUAL)'!$C:$C,'2025 Finish (ACTUAL)'!$D:$D)</f>
        <v>3751.7430559999998</v>
      </c>
      <c r="K250" s="145">
        <f>L250/J250</f>
        <v>-0.15</v>
      </c>
      <c r="L250" s="147">
        <f>SUMIF(B:B,A250,L:L)</f>
        <v>-562.76145839999992</v>
      </c>
      <c r="M250" s="147">
        <f>SUMIF(B:B,A250,M:M)</f>
        <v>3188.9815976</v>
      </c>
      <c r="N250" s="145">
        <f>O250/J250</f>
        <v>-0.1</v>
      </c>
      <c r="O250" s="147">
        <f>SUMIF(B:B,A250,O:O)</f>
        <v>-375.17430560000003</v>
      </c>
      <c r="P250" s="148">
        <f>SUMIF(B:B,A250,P:P)</f>
        <v>3376.5687503999998</v>
      </c>
    </row>
    <row r="251" spans="1:16" x14ac:dyDescent="0.25">
      <c r="A251" s="149" t="s">
        <v>323</v>
      </c>
      <c r="B251" s="2" t="s">
        <v>405</v>
      </c>
      <c r="C251" s="299" t="str">
        <f>_xlfn.XLOOKUP(B251,'Brand Managers'!A:A,'Brand Managers'!B:B)</f>
        <v>Tom Gibbons</v>
      </c>
      <c r="D251" s="42" t="str">
        <f>_xlfn.XLOOKUP(F251,'DATA - Segments'!C:C,'DATA - Segments'!D:D)</f>
        <v>Beer</v>
      </c>
      <c r="E251" s="42" t="str">
        <f>_xlfn.XLOOKUP(F251,'DATA - Segments'!C:C,'DATA - Segments'!E:E)</f>
        <v>Beer - Craft</v>
      </c>
      <c r="F251" s="203" t="str">
        <f t="shared" si="92"/>
        <v>Long Trail|Harpoon Brewery</v>
      </c>
      <c r="G251" s="203" t="str">
        <f t="shared" si="82"/>
        <v>Long Trail|Harpoon Brewery|Beer|Beer - Craft</v>
      </c>
      <c r="H251" s="150">
        <f>_xlfn.XLOOKUP(F251,'DATA - 2025 Review'!C:C,'DATA - 2025 Review'!I:I,"")</f>
        <v>3747.4712480267899</v>
      </c>
      <c r="I251" s="151">
        <f>_xlfn.XLOOKUP(F251,'DATA - 2025 Review'!C:C,'DATA - 2025 Review'!J:J)</f>
        <v>-0.22321022200765606</v>
      </c>
      <c r="J251" s="150">
        <f>_xlfn.XLOOKUP(F251,'2025 Finish (ACTUAL)'!$C:$C,'2025 Finish (ACTUAL)'!$D:$D)</f>
        <v>3751.7430559999998</v>
      </c>
      <c r="K251" s="146">
        <v>-0.15</v>
      </c>
      <c r="L251" s="152">
        <f t="shared" si="93"/>
        <v>-562.76145839999992</v>
      </c>
      <c r="M251" s="152">
        <f t="shared" ref="M251:M253" si="109">L251+J251</f>
        <v>3188.9815976</v>
      </c>
      <c r="N251" s="146">
        <v>-0.1</v>
      </c>
      <c r="O251" s="152">
        <f t="shared" ref="O251:O253" si="110">N251*J251</f>
        <v>-375.17430560000003</v>
      </c>
      <c r="P251" s="69">
        <f t="shared" ref="P251:P253" si="111">O251+J251</f>
        <v>3376.5687503999998</v>
      </c>
    </row>
    <row r="252" spans="1:16" x14ac:dyDescent="0.25">
      <c r="A252" s="156" t="s">
        <v>268</v>
      </c>
      <c r="B252" s="285" t="s">
        <v>405</v>
      </c>
      <c r="C252" s="285"/>
      <c r="D252" s="286"/>
      <c r="E252" s="286"/>
      <c r="F252" s="292" t="str">
        <f t="shared" si="92"/>
        <v>Shed|Harpoon Brewery</v>
      </c>
      <c r="G252" s="287" t="str">
        <f t="shared" si="82"/>
        <v>Shed|Harpoon Brewery||</v>
      </c>
      <c r="H252" s="271">
        <f>_xlfn.XLOOKUP(F252,'DATA - 2025 Review'!C:C,'DATA - 2025 Review'!I:I,"")</f>
        <v>0</v>
      </c>
      <c r="I252" s="272">
        <f>_xlfn.XLOOKUP(F252,'DATA - 2025 Review'!C:C,'DATA - 2025 Review'!J:J)</f>
        <v>-1</v>
      </c>
      <c r="J252" s="273"/>
      <c r="K252" s="272"/>
      <c r="L252" s="274">
        <f t="shared" si="93"/>
        <v>0</v>
      </c>
      <c r="M252" s="274">
        <f t="shared" si="109"/>
        <v>0</v>
      </c>
      <c r="N252" s="272"/>
      <c r="O252" s="274">
        <f t="shared" si="110"/>
        <v>0</v>
      </c>
      <c r="P252" s="275">
        <f t="shared" si="111"/>
        <v>0</v>
      </c>
    </row>
    <row r="253" spans="1:16" x14ac:dyDescent="0.25">
      <c r="A253" s="156" t="s">
        <v>68</v>
      </c>
      <c r="B253" s="285" t="s">
        <v>405</v>
      </c>
      <c r="C253" s="285"/>
      <c r="D253" s="286"/>
      <c r="E253" s="286"/>
      <c r="F253" s="292" t="str">
        <f t="shared" si="92"/>
        <v>Otter Creek|Harpoon Brewery</v>
      </c>
      <c r="G253" s="287" t="str">
        <f t="shared" si="82"/>
        <v>Otter Creek|Harpoon Brewery||</v>
      </c>
      <c r="H253" s="271">
        <f>_xlfn.XLOOKUP(F253,'DATA - 2025 Review'!C:C,'DATA - 2025 Review'!I:I,"")</f>
        <v>0</v>
      </c>
      <c r="I253" s="272">
        <f>_xlfn.XLOOKUP(F253,'DATA - 2025 Review'!C:C,'DATA - 2025 Review'!J:J)</f>
        <v>-1</v>
      </c>
      <c r="J253" s="273"/>
      <c r="K253" s="272"/>
      <c r="L253" s="274">
        <f t="shared" si="93"/>
        <v>0</v>
      </c>
      <c r="M253" s="274">
        <f t="shared" si="109"/>
        <v>0</v>
      </c>
      <c r="N253" s="272"/>
      <c r="O253" s="274">
        <f t="shared" si="110"/>
        <v>0</v>
      </c>
      <c r="P253" s="275">
        <f t="shared" si="111"/>
        <v>0</v>
      </c>
    </row>
    <row r="254" spans="1:16" x14ac:dyDescent="0.25">
      <c r="A254" s="143" t="s">
        <v>227</v>
      </c>
      <c r="B254" s="202"/>
      <c r="C254" s="202" t="str">
        <f>_xlfn.XLOOKUP(A254,'Brand Managers'!A:A,'Brand Managers'!B:B)</f>
        <v>Perry Calderone</v>
      </c>
      <c r="D254" s="202"/>
      <c r="E254" s="202"/>
      <c r="F254" s="203" t="str">
        <f t="shared" si="92"/>
        <v>Gambrinus Imports|</v>
      </c>
      <c r="G254" s="203" t="str">
        <f t="shared" si="82"/>
        <v>Gambrinus Imports|||</v>
      </c>
      <c r="H254" s="144">
        <v>2525</v>
      </c>
      <c r="I254" s="145">
        <f>_xlfn.XLOOKUP(F254,'DATA - 2025 Review'!C:C,'DATA - 2025 Review'!J:J)</f>
        <v>4.5601276502240662E-2</v>
      </c>
      <c r="J254" s="144">
        <f>_xlfn.XLOOKUP(F254,'2025 Finish (ACTUAL)'!$C:$C,'2025 Finish (ACTUAL)'!$D:$D)</f>
        <v>2461.5555319999999</v>
      </c>
      <c r="K254" s="145">
        <f>L254/J254</f>
        <v>0</v>
      </c>
      <c r="L254" s="147">
        <f>SUMIF(B:B,A254,L:L)</f>
        <v>0</v>
      </c>
      <c r="M254" s="147">
        <f>SUMIF(B:B,A254,M:M)</f>
        <v>2461.5555319999999</v>
      </c>
      <c r="N254" s="145">
        <f>O254/J254</f>
        <v>0</v>
      </c>
      <c r="O254" s="147">
        <f>SUMIF(B:B,A254,O:O)</f>
        <v>0</v>
      </c>
      <c r="P254" s="148">
        <f>SUMIF(B:B,A254,P:P)</f>
        <v>2461.5555319999999</v>
      </c>
    </row>
    <row r="255" spans="1:16" x14ac:dyDescent="0.25">
      <c r="A255" s="149" t="s">
        <v>228</v>
      </c>
      <c r="B255" s="2" t="s">
        <v>227</v>
      </c>
      <c r="C255" s="299" t="str">
        <f>_xlfn.XLOOKUP(B255,'Brand Managers'!A:A,'Brand Managers'!B:B)</f>
        <v>Perry Calderone</v>
      </c>
      <c r="D255" s="42" t="str">
        <f>_xlfn.XLOOKUP(F255,'DATA - Segments'!C:C,'DATA - Segments'!D:D)</f>
        <v>Beer</v>
      </c>
      <c r="E255" s="42" t="str">
        <f>_xlfn.XLOOKUP(F255,'DATA - Segments'!C:C,'DATA - Segments'!E:E)</f>
        <v>Beer - Craft</v>
      </c>
      <c r="F255" s="203" t="str">
        <f t="shared" si="92"/>
        <v>Shiner|Gambrinus Imports</v>
      </c>
      <c r="G255" s="203" t="str">
        <f t="shared" si="82"/>
        <v>Shiner|Gambrinus Imports|Beer|Beer - Craft</v>
      </c>
      <c r="H255" s="150">
        <f>_xlfn.XLOOKUP(F255,'DATA - 2025 Review'!C:C,'DATA - 2025 Review'!I:I,"")</f>
        <v>2525</v>
      </c>
      <c r="I255" s="151">
        <f>_xlfn.XLOOKUP(F255,'DATA - 2025 Review'!C:C,'DATA - 2025 Review'!J:J)</f>
        <v>-7.365888676422927E-2</v>
      </c>
      <c r="J255" s="150">
        <f>_xlfn.XLOOKUP(F255,'2025 Finish (ACTUAL)'!$C:$C,'2025 Finish (ACTUAL)'!$D:$D)</f>
        <v>2461.5555319999999</v>
      </c>
      <c r="K255" s="146">
        <v>0</v>
      </c>
      <c r="L255" s="152">
        <f t="shared" si="93"/>
        <v>0</v>
      </c>
      <c r="M255" s="152">
        <f>L255+J255</f>
        <v>2461.5555319999999</v>
      </c>
      <c r="N255" s="146">
        <v>0</v>
      </c>
      <c r="O255" s="152">
        <f>N255*J255</f>
        <v>0</v>
      </c>
      <c r="P255" s="69">
        <f>O255+J255</f>
        <v>2461.5555319999999</v>
      </c>
    </row>
    <row r="256" spans="1:16" x14ac:dyDescent="0.25">
      <c r="A256" s="143" t="s">
        <v>251</v>
      </c>
      <c r="B256" s="202"/>
      <c r="C256" s="202" t="str">
        <f>_xlfn.XLOOKUP(A256,'Brand Managers'!A:A,'Brand Managers'!B:B)</f>
        <v>Chris Politano</v>
      </c>
      <c r="D256" s="202"/>
      <c r="E256" s="202"/>
      <c r="F256" s="203" t="str">
        <f t="shared" si="92"/>
        <v>Bell's|</v>
      </c>
      <c r="G256" s="203" t="str">
        <f t="shared" si="82"/>
        <v>Bell's|||</v>
      </c>
      <c r="H256" s="144">
        <f>_xlfn.XLOOKUP(F256,'DATA - 2025 Review'!C:C,'DATA - 2025 Review'!I:I,"")</f>
        <v>4724.6612396254386</v>
      </c>
      <c r="I256" s="145">
        <f>_xlfn.XLOOKUP(F256,'DATA - 2025 Review'!C:C,'DATA - 2025 Review'!J:J)</f>
        <v>-6.1843316282361949E-2</v>
      </c>
      <c r="J256" s="144">
        <f>_xlfn.XLOOKUP(F256,'2025 Finish (ACTUAL)'!$C:$C,'2025 Finish (ACTUAL)'!$D:$D)</f>
        <v>4726.8888889999998</v>
      </c>
      <c r="K256" s="145">
        <f>L256/J256</f>
        <v>7.197875045714873E-2</v>
      </c>
      <c r="L256" s="147">
        <f>SUMIF(B:B,A256,L:L)</f>
        <v>340.23555577999997</v>
      </c>
      <c r="M256" s="147">
        <f>SUMIF(B:B,A256,M:M)</f>
        <v>5067.12444478</v>
      </c>
      <c r="N256" s="145">
        <f>O256/J256</f>
        <v>-3.8324479357145308E-2</v>
      </c>
      <c r="O256" s="147">
        <f>SUMIF(B:B,A256,O:O)</f>
        <v>-181.15555565</v>
      </c>
      <c r="P256" s="148">
        <f>SUMIF(B:B,A256,P:P)</f>
        <v>4545.7333333500001</v>
      </c>
    </row>
    <row r="257" spans="1:16" x14ac:dyDescent="0.25">
      <c r="A257" s="149" t="s">
        <v>296</v>
      </c>
      <c r="B257" s="2" t="s">
        <v>251</v>
      </c>
      <c r="C257" s="299" t="str">
        <f>_xlfn.XLOOKUP(B257,'Brand Managers'!A:A,'Brand Managers'!B:B)</f>
        <v>Chris Politano</v>
      </c>
      <c r="D257" s="42" t="str">
        <f>_xlfn.XLOOKUP(F257,'DATA - Segments'!C:C,'DATA - Segments'!D:D)</f>
        <v>Beer</v>
      </c>
      <c r="E257" s="42" t="str">
        <f>_xlfn.XLOOKUP(F257,'DATA - Segments'!C:C,'DATA - Segments'!E:E)</f>
        <v>Beer - Craft</v>
      </c>
      <c r="F257" s="203" t="str">
        <f t="shared" si="92"/>
        <v>Bell's Hearted Family|Bell's</v>
      </c>
      <c r="G257" s="203" t="str">
        <f t="shared" si="82"/>
        <v>Bell's Hearted Family|Bell's|Beer|Beer - Craft</v>
      </c>
      <c r="H257" s="150">
        <f>_xlfn.XLOOKUP(F257,'DATA - 2025 Review'!C:C,'DATA - 2025 Review'!I:I,"")</f>
        <v>3535.8452879780139</v>
      </c>
      <c r="I257" s="151">
        <f>_xlfn.XLOOKUP(F257,'DATA - 2025 Review'!C:C,'DATA - 2025 Review'!J:J)</f>
        <v>-2.198635118140968E-2</v>
      </c>
      <c r="J257" s="150">
        <f>_xlfn.XLOOKUP(F257,'2025 Finish (ACTUAL)'!$C:$C,'2025 Finish (ACTUAL)'!$D:$D)</f>
        <v>3623.1111129999999</v>
      </c>
      <c r="K257" s="146">
        <v>0.1</v>
      </c>
      <c r="L257" s="152">
        <f t="shared" si="93"/>
        <v>362.31111129999999</v>
      </c>
      <c r="M257" s="152">
        <f t="shared" ref="M257:M258" si="112">L257+J257</f>
        <v>3985.4222242999999</v>
      </c>
      <c r="N257" s="146">
        <v>-0.05</v>
      </c>
      <c r="O257" s="152">
        <f t="shared" ref="O257:O258" si="113">N257*J257</f>
        <v>-181.15555565</v>
      </c>
      <c r="P257" s="69">
        <f t="shared" ref="P257:P258" si="114">O257+J257</f>
        <v>3441.9555573500002</v>
      </c>
    </row>
    <row r="258" spans="1:16" x14ac:dyDescent="0.25">
      <c r="A258" s="149" t="s">
        <v>251</v>
      </c>
      <c r="B258" s="2" t="s">
        <v>251</v>
      </c>
      <c r="C258" s="299" t="str">
        <f>_xlfn.XLOOKUP(B258,'Brand Managers'!A:A,'Brand Managers'!B:B)</f>
        <v>Chris Politano</v>
      </c>
      <c r="D258" s="42" t="str">
        <f>_xlfn.XLOOKUP(F258,'DATA - Segments'!C:C,'DATA - Segments'!D:D)</f>
        <v>Beer</v>
      </c>
      <c r="E258" s="42" t="str">
        <f>_xlfn.XLOOKUP(F258,'DATA - Segments'!C:C,'DATA - Segments'!E:E)</f>
        <v>Beer - Craft</v>
      </c>
      <c r="F258" s="203" t="str">
        <f t="shared" si="92"/>
        <v>Bell's|Bell's</v>
      </c>
      <c r="G258" s="203" t="str">
        <f t="shared" si="82"/>
        <v>Bell's|Bell's|Beer|Beer - Craft</v>
      </c>
      <c r="H258" s="150">
        <f>_xlfn.XLOOKUP(F258,'DATA - 2025 Review'!C:C,'DATA - 2025 Review'!I:I,"")</f>
        <v>1183.0446397224421</v>
      </c>
      <c r="I258" s="151">
        <f>_xlfn.XLOOKUP(F258,'DATA - 2025 Review'!C:C,'DATA - 2025 Review'!J:J)</f>
        <v>-0.16732605041784954</v>
      </c>
      <c r="J258" s="150">
        <f>_xlfn.XLOOKUP(F258,'2025 Finish (ACTUAL)'!$C:$C,'2025 Finish (ACTUAL)'!$D:$D)</f>
        <v>1103.7777759999999</v>
      </c>
      <c r="K258" s="146">
        <v>-0.02</v>
      </c>
      <c r="L258" s="152">
        <f t="shared" si="93"/>
        <v>-22.075555519999998</v>
      </c>
      <c r="M258" s="152">
        <f t="shared" si="112"/>
        <v>1081.7022204799998</v>
      </c>
      <c r="N258" s="146">
        <v>0</v>
      </c>
      <c r="O258" s="152">
        <f t="shared" si="113"/>
        <v>0</v>
      </c>
      <c r="P258" s="69">
        <f t="shared" si="114"/>
        <v>1103.7777759999999</v>
      </c>
    </row>
    <row r="259" spans="1:16" x14ac:dyDescent="0.25">
      <c r="A259" s="143" t="s">
        <v>69</v>
      </c>
      <c r="B259" s="202"/>
      <c r="C259" s="202" t="str">
        <f>_xlfn.XLOOKUP(A259,'Brand Managers'!A:A,'Brand Managers'!B:B)</f>
        <v>Sean Donahue</v>
      </c>
      <c r="D259" s="202"/>
      <c r="E259" s="202"/>
      <c r="F259" s="203" t="str">
        <f t="shared" si="92"/>
        <v>Flying Fish|</v>
      </c>
      <c r="G259" s="203" t="str">
        <f t="shared" si="82"/>
        <v>Flying Fish|||</v>
      </c>
      <c r="H259" s="144">
        <f>_xlfn.XLOOKUP(F259,'DATA - 2025 Review'!C:C,'DATA - 2025 Review'!I:I,"")</f>
        <v>3659.8850036023623</v>
      </c>
      <c r="I259" s="145">
        <f>_xlfn.XLOOKUP(F259,'DATA - 2025 Review'!C:C,'DATA - 2025 Review'!J:J)</f>
        <v>-0.19324337546601866</v>
      </c>
      <c r="J259" s="144">
        <f>_xlfn.XLOOKUP(F259,'2025 Finish (ACTUAL)'!$C:$C,'2025 Finish (ACTUAL)'!$D:$D)</f>
        <v>3634.4514359999998</v>
      </c>
      <c r="K259" s="145">
        <f>L259/J259</f>
        <v>0.2832947048078262</v>
      </c>
      <c r="L259" s="147">
        <f>SUMIF(B:B,A259,L:L)</f>
        <v>1029.6208466999999</v>
      </c>
      <c r="M259" s="147">
        <f>SUMIF(B:B,A259,M:M)</f>
        <v>4664.0722827</v>
      </c>
      <c r="N259" s="145">
        <f>O259/J259</f>
        <v>4.7215784134637707E-2</v>
      </c>
      <c r="O259" s="147">
        <f>SUMIF(B:B,A259,O:O)</f>
        <v>171.60347445000002</v>
      </c>
      <c r="P259" s="148">
        <f>SUMIF(B:B,A259,P:P)</f>
        <v>3806.0549104499996</v>
      </c>
    </row>
    <row r="260" spans="1:16" x14ac:dyDescent="0.25">
      <c r="A260" s="149" t="s">
        <v>69</v>
      </c>
      <c r="B260" s="2" t="s">
        <v>69</v>
      </c>
      <c r="C260" s="299" t="str">
        <f>_xlfn.XLOOKUP(B260,'Brand Managers'!A:A,'Brand Managers'!B:B)</f>
        <v>Sean Donahue</v>
      </c>
      <c r="D260" s="42" t="str">
        <f>_xlfn.XLOOKUP(F260,'DATA - Segments'!C:C,'DATA - Segments'!D:D)</f>
        <v>Beer</v>
      </c>
      <c r="E260" s="42" t="str">
        <f>_xlfn.XLOOKUP(F260,'DATA - Segments'!C:C,'DATA - Segments'!E:E)</f>
        <v>Beer - Craft</v>
      </c>
      <c r="F260" s="203" t="str">
        <f t="shared" si="92"/>
        <v>Flying Fish|Flying Fish</v>
      </c>
      <c r="G260" s="203" t="str">
        <f t="shared" ref="G260:G323" si="115">A260&amp;"|"&amp;B260&amp;"|"&amp;D260&amp;"|"&amp;E260</f>
        <v>Flying Fish|Flying Fish|Beer|Beer - Craft</v>
      </c>
      <c r="H260" s="150">
        <f>_xlfn.XLOOKUP(F260,'DATA - 2025 Review'!C:C,'DATA - 2025 Review'!I:I,"")</f>
        <v>3455.9920846642399</v>
      </c>
      <c r="I260" s="151">
        <f>_xlfn.XLOOKUP(F260,'DATA - 2025 Review'!C:C,'DATA - 2025 Review'!J:J)</f>
        <v>-0.22202007599255069</v>
      </c>
      <c r="J260" s="150">
        <f>_xlfn.XLOOKUP(F260,'2025 Finish (ACTUAL)'!$C:$C,'2025 Finish (ACTUAL)'!$D:$D)</f>
        <v>3432.069489</v>
      </c>
      <c r="K260" s="146">
        <v>0.3</v>
      </c>
      <c r="L260" s="152">
        <f t="shared" si="93"/>
        <v>1029.6208466999999</v>
      </c>
      <c r="M260" s="152">
        <f t="shared" ref="M260:M261" si="116">L260+J260</f>
        <v>4461.6903357000001</v>
      </c>
      <c r="N260" s="146">
        <v>0.05</v>
      </c>
      <c r="O260" s="152">
        <f t="shared" ref="O260:O261" si="117">N260*J260</f>
        <v>171.60347445000002</v>
      </c>
      <c r="P260" s="69">
        <f t="shared" ref="P260:P261" si="118">O260+J260</f>
        <v>3603.6729634499998</v>
      </c>
    </row>
    <row r="261" spans="1:16" x14ac:dyDescent="0.25">
      <c r="A261" s="149" t="s">
        <v>70</v>
      </c>
      <c r="B261" s="2" t="s">
        <v>69</v>
      </c>
      <c r="C261" s="299" t="str">
        <f>_xlfn.XLOOKUP(B261,'Brand Managers'!A:A,'Brand Managers'!B:B)</f>
        <v>Sean Donahue</v>
      </c>
      <c r="D261" s="42" t="str">
        <f>_xlfn.XLOOKUP(F261,'DATA - Segments'!C:C,'DATA - Segments'!D:D)</f>
        <v>Beer</v>
      </c>
      <c r="E261" s="42" t="str">
        <f>_xlfn.XLOOKUP(F261,'DATA - Segments'!C:C,'DATA - Segments'!E:E)</f>
        <v>Beer - Craft</v>
      </c>
      <c r="F261" s="203" t="str">
        <f t="shared" si="92"/>
        <v>Big Mans Brew|Flying Fish</v>
      </c>
      <c r="G261" s="203" t="str">
        <f t="shared" si="115"/>
        <v>Big Mans Brew|Flying Fish|Beer|Beer - Craft</v>
      </c>
      <c r="H261" s="150">
        <f>_xlfn.XLOOKUP(F261,'DATA - 2025 Review'!C:C,'DATA - 2025 Review'!I:I,"")</f>
        <v>212.20287731962799</v>
      </c>
      <c r="I261" s="151">
        <f>_xlfn.XLOOKUP(F261,'DATA - 2025 Review'!C:C,'DATA - 2025 Review'!J:J)</f>
        <v>1.2508260119240613</v>
      </c>
      <c r="J261" s="150">
        <f>_xlfn.XLOOKUP(F261,'2025 Finish (ACTUAL)'!$C:$C,'2025 Finish (ACTUAL)'!$D:$D)</f>
        <v>202.381947</v>
      </c>
      <c r="K261" s="146">
        <v>0</v>
      </c>
      <c r="L261" s="152">
        <f t="shared" si="93"/>
        <v>0</v>
      </c>
      <c r="M261" s="152">
        <f t="shared" si="116"/>
        <v>202.381947</v>
      </c>
      <c r="N261" s="146">
        <v>0</v>
      </c>
      <c r="O261" s="152">
        <f t="shared" si="117"/>
        <v>0</v>
      </c>
      <c r="P261" s="69">
        <f t="shared" si="118"/>
        <v>202.381947</v>
      </c>
    </row>
    <row r="262" spans="1:16" x14ac:dyDescent="0.25">
      <c r="A262" s="143" t="s">
        <v>269</v>
      </c>
      <c r="B262" s="202"/>
      <c r="C262" s="202" t="str">
        <f>_xlfn.XLOOKUP(A262,'Brand Managers'!A:A,'Brand Managers'!B:B)</f>
        <v>Perry Calderone</v>
      </c>
      <c r="D262" s="202"/>
      <c r="E262" s="202"/>
      <c r="F262" s="203" t="str">
        <f t="shared" si="92"/>
        <v>Global Beer|</v>
      </c>
      <c r="G262" s="203" t="str">
        <f t="shared" si="115"/>
        <v>Global Beer|||</v>
      </c>
      <c r="H262" s="144">
        <f>_xlfn.XLOOKUP(F262,'DATA - 2025 Review'!C:C,'DATA - 2025 Review'!I:I,"")</f>
        <v>3649.2774556458353</v>
      </c>
      <c r="I262" s="145">
        <f>_xlfn.XLOOKUP(F262,'DATA - 2025 Review'!C:C,'DATA - 2025 Review'!J:J)</f>
        <v>-0.18277716278634182</v>
      </c>
      <c r="J262" s="144">
        <f>_xlfn.XLOOKUP(F262,'2025 Finish (ACTUAL)'!$C:$C,'2025 Finish (ACTUAL)'!$D:$D)</f>
        <v>3735.3370620000001</v>
      </c>
      <c r="K262" s="145">
        <f>L262/J262</f>
        <v>0.12785132235544425</v>
      </c>
      <c r="L262" s="147">
        <f>SUMIF(B:B,A262,L:L)</f>
        <v>477.56778281999999</v>
      </c>
      <c r="M262" s="147">
        <f>SUMIF(B:B,A262,M:M)</f>
        <v>4212.9048448200001</v>
      </c>
      <c r="N262" s="145">
        <f>O262/J262</f>
        <v>-7.9140588499319764E-2</v>
      </c>
      <c r="O262" s="147">
        <f>SUMIF(B:B,A262,O:O)</f>
        <v>-295.61677333000006</v>
      </c>
      <c r="P262" s="148">
        <f>SUMIF(B:B,A262,P:P)</f>
        <v>3439.7202886700002</v>
      </c>
    </row>
    <row r="263" spans="1:16" x14ac:dyDescent="0.25">
      <c r="A263" s="149" t="s">
        <v>18</v>
      </c>
      <c r="B263" s="2" t="s">
        <v>269</v>
      </c>
      <c r="C263" s="299" t="str">
        <f>_xlfn.XLOOKUP(B263,'Brand Managers'!A:A,'Brand Managers'!B:B)</f>
        <v>Perry Calderone</v>
      </c>
      <c r="D263" s="42" t="str">
        <f>_xlfn.XLOOKUP(F263,'DATA - Segments'!C:C,'DATA - Segments'!D:D)</f>
        <v>Beer</v>
      </c>
      <c r="E263" s="42" t="str">
        <f>_xlfn.XLOOKUP(F263,'DATA - Segments'!C:C,'DATA - Segments'!E:E)</f>
        <v>Beer - Import</v>
      </c>
      <c r="F263" s="203" t="str">
        <f t="shared" si="92"/>
        <v>Stiegl|Global Beer</v>
      </c>
      <c r="G263" s="203" t="str">
        <f t="shared" si="115"/>
        <v>Stiegl|Global Beer|Beer|Beer - Import</v>
      </c>
      <c r="H263" s="150">
        <f>_xlfn.XLOOKUP(F263,'DATA - 2025 Review'!C:C,'DATA - 2025 Review'!I:I,"")</f>
        <v>1692.5423830006821</v>
      </c>
      <c r="I263" s="151">
        <f>_xlfn.XLOOKUP(F263,'DATA - 2025 Review'!C:C,'DATA - 2025 Review'!J:J)</f>
        <v>-0.13546257298621101</v>
      </c>
      <c r="J263" s="150">
        <f>_xlfn.XLOOKUP(F263,'2025 Finish (ACTUAL)'!$C:$C,'2025 Finish (ACTUAL)'!$D:$D)</f>
        <v>1779.3477700000001</v>
      </c>
      <c r="K263" s="146">
        <v>9.2999999999999999E-2</v>
      </c>
      <c r="L263" s="152">
        <f t="shared" si="93"/>
        <v>165.47934261</v>
      </c>
      <c r="M263" s="152">
        <f t="shared" ref="M263:M271" si="119">L263+J263</f>
        <v>1944.8271126100001</v>
      </c>
      <c r="N263" s="146">
        <v>-7.0000000000000007E-2</v>
      </c>
      <c r="O263" s="152">
        <f t="shared" ref="O263:O271" si="120">N263*J263</f>
        <v>-124.55434390000002</v>
      </c>
      <c r="P263" s="69">
        <f t="shared" ref="P263:P271" si="121">O263+J263</f>
        <v>1654.7934261</v>
      </c>
    </row>
    <row r="264" spans="1:16" x14ac:dyDescent="0.25">
      <c r="A264" s="149" t="s">
        <v>71</v>
      </c>
      <c r="B264" s="2" t="s">
        <v>269</v>
      </c>
      <c r="C264" s="299" t="str">
        <f>_xlfn.XLOOKUP(B264,'Brand Managers'!A:A,'Brand Managers'!B:B)</f>
        <v>Perry Calderone</v>
      </c>
      <c r="D264" s="42" t="str">
        <f>_xlfn.XLOOKUP(F264,'DATA - Segments'!C:C,'DATA - Segments'!D:D)</f>
        <v>Beer</v>
      </c>
      <c r="E264" s="42" t="str">
        <f>_xlfn.XLOOKUP(F264,'DATA - Segments'!C:C,'DATA - Segments'!E:E)</f>
        <v>Beer - Craft</v>
      </c>
      <c r="F264" s="203" t="str">
        <f t="shared" si="92"/>
        <v>Sullivan's|Global Beer</v>
      </c>
      <c r="G264" s="203" t="str">
        <f t="shared" si="115"/>
        <v>Sullivan's|Global Beer|Beer|Beer - Craft</v>
      </c>
      <c r="H264" s="150">
        <f>_xlfn.XLOOKUP(F264,'DATA - 2025 Review'!C:C,'DATA - 2025 Review'!I:I,"")</f>
        <v>1219.2371676355101</v>
      </c>
      <c r="I264" s="151">
        <f>_xlfn.XLOOKUP(F264,'DATA - 2025 Review'!C:C,'DATA - 2025 Review'!J:J)</f>
        <v>-0.18078480015089782</v>
      </c>
      <c r="J264" s="150">
        <f>_xlfn.XLOOKUP(F264,'2025 Finish (ACTUAL)'!$C:$C,'2025 Finish (ACTUAL)'!$D:$D)</f>
        <v>1208.2642080000001</v>
      </c>
      <c r="K264" s="146">
        <v>0.22</v>
      </c>
      <c r="L264" s="152">
        <f t="shared" si="93"/>
        <v>265.81812575999999</v>
      </c>
      <c r="M264" s="152">
        <f t="shared" si="119"/>
        <v>1474.08233376</v>
      </c>
      <c r="N264" s="146">
        <v>-0.09</v>
      </c>
      <c r="O264" s="152">
        <f t="shared" si="120"/>
        <v>-108.74377871999999</v>
      </c>
      <c r="P264" s="69">
        <f t="shared" si="121"/>
        <v>1099.5204292800001</v>
      </c>
    </row>
    <row r="265" spans="1:16" x14ac:dyDescent="0.25">
      <c r="A265" s="149" t="s">
        <v>195</v>
      </c>
      <c r="B265" s="2" t="s">
        <v>269</v>
      </c>
      <c r="C265" s="299" t="str">
        <f>_xlfn.XLOOKUP(B265,'Brand Managers'!A:A,'Brand Managers'!B:B)</f>
        <v>Perry Calderone</v>
      </c>
      <c r="D265" s="42" t="str">
        <f>_xlfn.XLOOKUP(F265,'DATA - Segments'!C:C,'DATA - Segments'!D:D)</f>
        <v>Beer</v>
      </c>
      <c r="E265" s="42" t="str">
        <f>_xlfn.XLOOKUP(F265,'DATA - Segments'!C:C,'DATA - Segments'!E:E)</f>
        <v>Beer - Craft</v>
      </c>
      <c r="F265" s="203" t="str">
        <f t="shared" si="92"/>
        <v>Yard House|Global Beer</v>
      </c>
      <c r="G265" s="203" t="str">
        <f t="shared" si="115"/>
        <v>Yard House|Global Beer|Beer|Beer - Craft</v>
      </c>
      <c r="H265" s="150">
        <f>_xlfn.XLOOKUP(F265,'DATA - 2025 Review'!C:C,'DATA - 2025 Review'!I:I,"")</f>
        <v>315.202440873564</v>
      </c>
      <c r="I265" s="151">
        <f>_xlfn.XLOOKUP(F265,'DATA - 2025 Review'!C:C,'DATA - 2025 Review'!J:J)</f>
        <v>-0.18821831193946559</v>
      </c>
      <c r="J265" s="150">
        <f>_xlfn.XLOOKUP(F265,'2025 Finish (ACTUAL)'!$C:$C,'2025 Finish (ACTUAL)'!$D:$D)</f>
        <v>308.46876300000002</v>
      </c>
      <c r="K265" s="146">
        <v>0.15</v>
      </c>
      <c r="L265" s="152">
        <f t="shared" si="93"/>
        <v>46.270314450000001</v>
      </c>
      <c r="M265" s="152">
        <f t="shared" si="119"/>
        <v>354.73907745000002</v>
      </c>
      <c r="N265" s="146">
        <v>-0.12</v>
      </c>
      <c r="O265" s="152">
        <f t="shared" si="120"/>
        <v>-37.016251560000001</v>
      </c>
      <c r="P265" s="69">
        <f t="shared" si="121"/>
        <v>271.45251144000002</v>
      </c>
    </row>
    <row r="266" spans="1:16" x14ac:dyDescent="0.25">
      <c r="A266" s="149" t="s">
        <v>352</v>
      </c>
      <c r="B266" s="2" t="s">
        <v>269</v>
      </c>
      <c r="C266" s="299" t="str">
        <f>_xlfn.XLOOKUP(B266,'Brand Managers'!A:A,'Brand Managers'!B:B)</f>
        <v>Perry Calderone</v>
      </c>
      <c r="D266" s="42" t="str">
        <f>_xlfn.XLOOKUP(F266,'DATA - Segments'!C:C,'DATA - Segments'!D:D)</f>
        <v>Beer</v>
      </c>
      <c r="E266" s="42" t="str">
        <f>_xlfn.XLOOKUP(F266,'DATA - Segments'!C:C,'DATA - Segments'!E:E)</f>
        <v>Beer - Import</v>
      </c>
      <c r="F266" s="203" t="str">
        <f t="shared" si="92"/>
        <v>Bavik|Global Beer</v>
      </c>
      <c r="G266" s="203" t="str">
        <f t="shared" si="115"/>
        <v>Bavik|Global Beer|Beer|Beer - Import</v>
      </c>
      <c r="H266" s="150">
        <f>_xlfn.XLOOKUP(F266,'DATA - 2025 Review'!C:C,'DATA - 2025 Review'!I:I,"")</f>
        <v>86.111112500000004</v>
      </c>
      <c r="I266" s="151">
        <f>_xlfn.XLOOKUP(F266,'DATA - 2025 Review'!C:C,'DATA - 2025 Review'!J:J)</f>
        <v>-0.5</v>
      </c>
      <c r="J266" s="150">
        <f>_xlfn.XLOOKUP(F266,'2025 Finish (ACTUAL)'!$C:$C,'2025 Finish (ACTUAL)'!$D:$D)</f>
        <v>68.888890000000004</v>
      </c>
      <c r="K266" s="146">
        <v>0</v>
      </c>
      <c r="L266" s="152">
        <f t="shared" si="93"/>
        <v>0</v>
      </c>
      <c r="M266" s="152">
        <f t="shared" si="119"/>
        <v>68.888890000000004</v>
      </c>
      <c r="N266" s="146">
        <v>-0.12</v>
      </c>
      <c r="O266" s="152">
        <f t="shared" si="120"/>
        <v>-8.2666667999999994</v>
      </c>
      <c r="P266" s="69">
        <f t="shared" si="121"/>
        <v>60.622223200000008</v>
      </c>
    </row>
    <row r="267" spans="1:16" x14ac:dyDescent="0.25">
      <c r="A267" s="149" t="s">
        <v>406</v>
      </c>
      <c r="B267" s="2" t="s">
        <v>269</v>
      </c>
      <c r="C267" s="299" t="str">
        <f>_xlfn.XLOOKUP(B267,'Brand Managers'!A:A,'Brand Managers'!B:B)</f>
        <v>Perry Calderone</v>
      </c>
      <c r="D267" s="42" t="str">
        <f>_xlfn.XLOOKUP(F267,'DATA - Segments'!C:C,'DATA - Segments'!D:D)</f>
        <v>Beer</v>
      </c>
      <c r="E267" s="42" t="str">
        <f>_xlfn.XLOOKUP(F267,'DATA - Segments'!C:C,'DATA - Segments'!E:E)</f>
        <v>Beer - Import</v>
      </c>
      <c r="F267" s="203" t="str">
        <f t="shared" si="92"/>
        <v>Petrus|Global Beer</v>
      </c>
      <c r="G267" s="203" t="str">
        <f t="shared" si="115"/>
        <v>Petrus|Global Beer|Beer|Beer - Import</v>
      </c>
      <c r="H267" s="150">
        <f>_xlfn.XLOOKUP(F267,'DATA - 2025 Review'!C:C,'DATA - 2025 Review'!I:I,"")</f>
        <v>125.962917127536</v>
      </c>
      <c r="I267" s="151">
        <f>_xlfn.XLOOKUP(F267,'DATA - 2025 Review'!C:C,'DATA - 2025 Review'!J:J)</f>
        <v>-0.26467382987402954</v>
      </c>
      <c r="J267" s="150">
        <f>_xlfn.XLOOKUP(F267,'2025 Finish (ACTUAL)'!$C:$C,'2025 Finish (ACTUAL)'!$D:$D)</f>
        <v>129.88542899999999</v>
      </c>
      <c r="K267" s="146">
        <v>0</v>
      </c>
      <c r="L267" s="152">
        <f t="shared" si="93"/>
        <v>0</v>
      </c>
      <c r="M267" s="152">
        <f t="shared" si="119"/>
        <v>129.88542899999999</v>
      </c>
      <c r="N267" s="146">
        <v>-0.05</v>
      </c>
      <c r="O267" s="152">
        <f t="shared" si="120"/>
        <v>-6.4942714499999994</v>
      </c>
      <c r="P267" s="69">
        <f t="shared" si="121"/>
        <v>123.39115754999999</v>
      </c>
    </row>
    <row r="268" spans="1:16" x14ac:dyDescent="0.25">
      <c r="A268" s="149" t="s">
        <v>353</v>
      </c>
      <c r="B268" s="2" t="s">
        <v>269</v>
      </c>
      <c r="C268" s="299" t="str">
        <f>_xlfn.XLOOKUP(B268,'Brand Managers'!A:A,'Brand Managers'!B:B)</f>
        <v>Perry Calderone</v>
      </c>
      <c r="D268" s="42" t="str">
        <f>_xlfn.XLOOKUP(F268,'DATA - Segments'!C:C,'DATA - Segments'!D:D)</f>
        <v>Beer</v>
      </c>
      <c r="E268" s="42" t="str">
        <f>_xlfn.XLOOKUP(F268,'DATA - Segments'!C:C,'DATA - Segments'!E:E)</f>
        <v>Beer - Import</v>
      </c>
      <c r="F268" s="203" t="str">
        <f t="shared" si="92"/>
        <v>Gulden Draak|Global Beer</v>
      </c>
      <c r="G268" s="203" t="str">
        <f t="shared" si="115"/>
        <v>Gulden Draak|Global Beer|Beer|Beer - Import</v>
      </c>
      <c r="H268" s="150">
        <f>_xlfn.XLOOKUP(F268,'DATA - 2025 Review'!C:C,'DATA - 2025 Review'!I:I,"")</f>
        <v>119.741559332352</v>
      </c>
      <c r="I268" s="151">
        <f>_xlfn.XLOOKUP(F268,'DATA - 2025 Review'!C:C,'DATA - 2025 Review'!J:J)</f>
        <v>-0.20340111142025397</v>
      </c>
      <c r="J268" s="150">
        <f>_xlfn.XLOOKUP(F268,'2025 Finish (ACTUAL)'!$C:$C,'2025 Finish (ACTUAL)'!$D:$D)</f>
        <v>127.451415</v>
      </c>
      <c r="K268" s="146">
        <v>0</v>
      </c>
      <c r="L268" s="152">
        <f t="shared" si="93"/>
        <v>0</v>
      </c>
      <c r="M268" s="152">
        <f t="shared" si="119"/>
        <v>127.451415</v>
      </c>
      <c r="N268" s="146">
        <v>-0.05</v>
      </c>
      <c r="O268" s="152">
        <f t="shared" si="120"/>
        <v>-6.3725707500000004</v>
      </c>
      <c r="P268" s="69">
        <f t="shared" si="121"/>
        <v>121.07884425</v>
      </c>
    </row>
    <row r="269" spans="1:16" x14ac:dyDescent="0.25">
      <c r="A269" s="149" t="s">
        <v>117</v>
      </c>
      <c r="B269" s="2" t="s">
        <v>269</v>
      </c>
      <c r="C269" s="299" t="str">
        <f>_xlfn.XLOOKUP(B269,'Brand Managers'!A:A,'Brand Managers'!B:B)</f>
        <v>Perry Calderone</v>
      </c>
      <c r="D269" s="42" t="str">
        <f>_xlfn.XLOOKUP(F269,'DATA - Segments'!C:C,'DATA - Segments'!D:D)</f>
        <v>Beer</v>
      </c>
      <c r="E269" s="42" t="str">
        <f>_xlfn.XLOOKUP(F269,'DATA - Segments'!C:C,'DATA - Segments'!E:E)</f>
        <v>Beer - Import</v>
      </c>
      <c r="F269" s="203" t="str">
        <f t="shared" si="92"/>
        <v>Piraat|Global Beer</v>
      </c>
      <c r="G269" s="203" t="str">
        <f t="shared" si="115"/>
        <v>Piraat|Global Beer|Beer|Beer - Import</v>
      </c>
      <c r="H269" s="150">
        <f>_xlfn.XLOOKUP(F269,'DATA - 2025 Review'!C:C,'DATA - 2025 Review'!I:I,"")</f>
        <v>63.340284208383999</v>
      </c>
      <c r="I269" s="151">
        <f>_xlfn.XLOOKUP(F269,'DATA - 2025 Review'!C:C,'DATA - 2025 Review'!J:J)</f>
        <v>0.21096637758305192</v>
      </c>
      <c r="J269" s="150">
        <f>_xlfn.XLOOKUP(F269,'2025 Finish (ACTUAL)'!$C:$C,'2025 Finish (ACTUAL)'!$D:$D)</f>
        <v>59.895842999999999</v>
      </c>
      <c r="K269" s="146">
        <v>0</v>
      </c>
      <c r="L269" s="152">
        <f t="shared" si="93"/>
        <v>0</v>
      </c>
      <c r="M269" s="152">
        <f t="shared" si="119"/>
        <v>59.895842999999999</v>
      </c>
      <c r="N269" s="146">
        <v>-0.05</v>
      </c>
      <c r="O269" s="152">
        <f t="shared" si="120"/>
        <v>-2.9947921500000003</v>
      </c>
      <c r="P269" s="69">
        <f t="shared" si="121"/>
        <v>56.901050849999997</v>
      </c>
    </row>
    <row r="270" spans="1:16" x14ac:dyDescent="0.25">
      <c r="A270" s="149" t="s">
        <v>72</v>
      </c>
      <c r="B270" s="2" t="s">
        <v>269</v>
      </c>
      <c r="C270" s="299" t="str">
        <f>_xlfn.XLOOKUP(B270,'Brand Managers'!A:A,'Brand Managers'!B:B)</f>
        <v>Perry Calderone</v>
      </c>
      <c r="D270" s="42" t="str">
        <f>_xlfn.XLOOKUP(F270,'DATA - Segments'!C:C,'DATA - Segments'!D:D)</f>
        <v>Beer</v>
      </c>
      <c r="E270" s="42" t="str">
        <f>_xlfn.XLOOKUP(F270,'DATA - Segments'!C:C,'DATA - Segments'!E:E)</f>
        <v>Beer - Craft</v>
      </c>
      <c r="F270" s="203" t="str">
        <f t="shared" si="92"/>
        <v>Baptist Wit|Global Beer</v>
      </c>
      <c r="G270" s="203" t="str">
        <f t="shared" si="115"/>
        <v>Baptist Wit|Global Beer|Beer|Beer - Craft</v>
      </c>
      <c r="H270" s="150">
        <f>_xlfn.XLOOKUP(F270,'DATA - 2025 Review'!C:C,'DATA - 2025 Review'!I:I,"")</f>
        <v>25.288262809080003</v>
      </c>
      <c r="I270" s="151">
        <f>_xlfn.XLOOKUP(F270,'DATA - 2025 Review'!C:C,'DATA - 2025 Review'!J:J)</f>
        <v>-0.69230771428571425</v>
      </c>
      <c r="J270" s="150">
        <f>_xlfn.XLOOKUP(F270,'2025 Finish (ACTUAL)'!$C:$C,'2025 Finish (ACTUAL)'!$D:$D)</f>
        <v>23.481960000000001</v>
      </c>
      <c r="K270" s="146">
        <v>0</v>
      </c>
      <c r="L270" s="152">
        <f t="shared" si="93"/>
        <v>0</v>
      </c>
      <c r="M270" s="152">
        <f t="shared" si="119"/>
        <v>23.481960000000001</v>
      </c>
      <c r="N270" s="146">
        <v>-0.05</v>
      </c>
      <c r="O270" s="152">
        <f t="shared" si="120"/>
        <v>-1.1740980000000001</v>
      </c>
      <c r="P270" s="69">
        <f t="shared" si="121"/>
        <v>22.307862</v>
      </c>
    </row>
    <row r="271" spans="1:16" x14ac:dyDescent="0.25">
      <c r="A271" s="153" t="s">
        <v>171</v>
      </c>
      <c r="B271" s="2" t="s">
        <v>269</v>
      </c>
      <c r="C271" s="299" t="str">
        <f>_xlfn.XLOOKUP(B271,'Brand Managers'!A:A,'Brand Managers'!B:B)</f>
        <v>Perry Calderone</v>
      </c>
      <c r="D271" s="42" t="str">
        <f>_xlfn.XLOOKUP(F271,'DATA - Segments'!C:C,'DATA - Segments'!D:D)</f>
        <v>Beer</v>
      </c>
      <c r="E271" s="42" t="str">
        <f>_xlfn.XLOOKUP(F271,'DATA - Segments'!C:C,'DATA - Segments'!E:E)</f>
        <v>Beer - Import</v>
      </c>
      <c r="F271" s="203" t="str">
        <f t="shared" si="92"/>
        <v>Van Steenberge|Global Beer</v>
      </c>
      <c r="G271" s="203" t="str">
        <f t="shared" si="115"/>
        <v>Van Steenberge|Global Beer|Beer|Beer - Import</v>
      </c>
      <c r="H271" s="150">
        <f>_xlfn.XLOOKUP(F271,'DATA - 2025 Review'!C:C,'DATA - 2025 Review'!I:I,"")</f>
        <v>0</v>
      </c>
      <c r="I271" s="151">
        <f>_xlfn.XLOOKUP(F271,'DATA - 2025 Review'!C:C,'DATA - 2025 Review'!J:J)</f>
        <v>-1</v>
      </c>
      <c r="J271" s="150">
        <f>_xlfn.XLOOKUP(F271,'2025 Finish (ACTUAL)'!$C:$C,'2025 Finish (ACTUAL)'!$D:$D)</f>
        <v>29.652784</v>
      </c>
      <c r="K271" s="146"/>
      <c r="L271" s="152">
        <f t="shared" si="93"/>
        <v>0</v>
      </c>
      <c r="M271" s="152">
        <f t="shared" si="119"/>
        <v>29.652784</v>
      </c>
      <c r="N271" s="146"/>
      <c r="O271" s="152">
        <f t="shared" si="120"/>
        <v>0</v>
      </c>
      <c r="P271" s="69">
        <f t="shared" si="121"/>
        <v>29.652784</v>
      </c>
    </row>
    <row r="272" spans="1:16" x14ac:dyDescent="0.25">
      <c r="A272" s="143" t="s">
        <v>324</v>
      </c>
      <c r="B272" s="202"/>
      <c r="C272" s="202" t="str">
        <f>_xlfn.XLOOKUP(A272,'Brand Managers'!A:A,'Brand Managers'!B:B)</f>
        <v>Steve Halloran</v>
      </c>
      <c r="D272" s="202"/>
      <c r="E272" s="202"/>
      <c r="F272" s="203" t="str">
        <f t="shared" si="92"/>
        <v>Vermont Hard Cider|</v>
      </c>
      <c r="G272" s="203" t="str">
        <f t="shared" si="115"/>
        <v>Vermont Hard Cider|||</v>
      </c>
      <c r="H272" s="144">
        <f>_xlfn.XLOOKUP(F272,'DATA - 2025 Review'!C:C,'DATA - 2025 Review'!I:I,"")</f>
        <v>3445.4838801401602</v>
      </c>
      <c r="I272" s="145">
        <f>_xlfn.XLOOKUP(F272,'DATA - 2025 Review'!C:C,'DATA - 2025 Review'!J:J)</f>
        <v>-0.166905079260388</v>
      </c>
      <c r="J272" s="144">
        <f>_xlfn.XLOOKUP(F272,'2025 Finish (ACTUAL)'!$C:$C,'2025 Finish (ACTUAL)'!$D:$D)</f>
        <v>3581.5555530000001</v>
      </c>
      <c r="K272" s="145">
        <f>L272/J272</f>
        <v>1.5527083100363688E-3</v>
      </c>
      <c r="L272" s="147">
        <f>SUMIF(B:B,A272,L:L)</f>
        <v>5.5611110700000026</v>
      </c>
      <c r="M272" s="147">
        <f>SUMIF(B:B,A272,M:M)</f>
        <v>3587.1166640700003</v>
      </c>
      <c r="N272" s="145">
        <f>O272/J272</f>
        <v>1.5527083100363688E-3</v>
      </c>
      <c r="O272" s="147">
        <f>SUMIF(B:B,A272,O:O)</f>
        <v>5.5611110700000026</v>
      </c>
      <c r="P272" s="148">
        <f>SUMIF(B:B,A272,P:P)</f>
        <v>3587.1166640700003</v>
      </c>
    </row>
    <row r="273" spans="1:16" x14ac:dyDescent="0.25">
      <c r="A273" s="149" t="s">
        <v>252</v>
      </c>
      <c r="B273" s="2" t="s">
        <v>324</v>
      </c>
      <c r="C273" s="299" t="str">
        <f>_xlfn.XLOOKUP(B273,'Brand Managers'!A:A,'Brand Managers'!B:B)</f>
        <v>Steve Halloran</v>
      </c>
      <c r="D273" s="42" t="str">
        <f>_xlfn.XLOOKUP(F273,'DATA - Segments'!C:C,'DATA - Segments'!D:D)</f>
        <v>Cider</v>
      </c>
      <c r="E273" s="42" t="str">
        <f>_xlfn.XLOOKUP(F273,'DATA - Segments'!C:C,'DATA - Segments'!E:E)</f>
        <v>Cider</v>
      </c>
      <c r="F273" s="203" t="str">
        <f t="shared" si="92"/>
        <v>Woodchuck|Vermont Hard Cider</v>
      </c>
      <c r="G273" s="203" t="str">
        <f t="shared" si="115"/>
        <v>Woodchuck|Vermont Hard Cider|Cider|Cider</v>
      </c>
      <c r="H273" s="150">
        <f>_xlfn.XLOOKUP(F273,'DATA - 2025 Review'!C:C,'DATA - 2025 Review'!I:I,"")</f>
        <v>3462.194902171002</v>
      </c>
      <c r="I273" s="151">
        <f>_xlfn.XLOOKUP(F273,'DATA - 2025 Review'!C:C,'DATA - 2025 Review'!J:J)</f>
        <v>0.11688210546892019</v>
      </c>
      <c r="J273" s="150">
        <f>_xlfn.XLOOKUP(F273,'2025 Finish (ACTUAL)'!$C:$C,'2025 Finish (ACTUAL)'!$D:$D)</f>
        <v>3456.1111070000002</v>
      </c>
      <c r="K273" s="146">
        <v>0.01</v>
      </c>
      <c r="L273" s="152">
        <f t="shared" si="93"/>
        <v>34.561111070000003</v>
      </c>
      <c r="M273" s="152">
        <f t="shared" ref="M273:M275" si="122">L273+J273</f>
        <v>3490.6722180700003</v>
      </c>
      <c r="N273" s="146">
        <v>0.01</v>
      </c>
      <c r="O273" s="152">
        <f t="shared" ref="O273:O275" si="123">N273*J273</f>
        <v>34.561111070000003</v>
      </c>
      <c r="P273" s="69">
        <f t="shared" ref="P273:P275" si="124">O273+J273</f>
        <v>3490.6722180700003</v>
      </c>
    </row>
    <row r="274" spans="1:16" x14ac:dyDescent="0.25">
      <c r="A274" s="156" t="s">
        <v>172</v>
      </c>
      <c r="B274" s="283" t="s">
        <v>324</v>
      </c>
      <c r="C274" s="283"/>
      <c r="D274" s="42" t="str">
        <f>_xlfn.XLOOKUP(F274,'DATA - Segments'!C:C,'DATA - Segments'!D:D)</f>
        <v>RTD</v>
      </c>
      <c r="E274" s="42" t="str">
        <f>_xlfn.XLOOKUP(F274,'DATA - Segments'!C:C,'DATA - Segments'!E:E)</f>
        <v>RTD</v>
      </c>
      <c r="F274" s="203" t="str">
        <f t="shared" si="92"/>
        <v>Day Chaser|Vermont Hard Cider</v>
      </c>
      <c r="G274" s="203" t="str">
        <f t="shared" si="115"/>
        <v>Day Chaser|Vermont Hard Cider|RTD|RTD</v>
      </c>
      <c r="H274" s="273">
        <f>_xlfn.XLOOKUP(F274,'DATA - 2025 Review'!C:C,'DATA - 2025 Review'!I:I,"")</f>
        <v>29.688904999999998</v>
      </c>
      <c r="I274" s="281">
        <f>_xlfn.XLOOKUP(F274,'DATA - 2025 Review'!C:C,'DATA - 2025 Review'!J:J)</f>
        <v>-0.96719458011049719</v>
      </c>
      <c r="J274" s="273">
        <f>_xlfn.XLOOKUP(F274,'2025 Finish (ACTUAL)'!$C:$C,'2025 Finish (ACTUAL)'!$D:$D)</f>
        <v>29</v>
      </c>
      <c r="K274" s="281">
        <v>-1</v>
      </c>
      <c r="L274" s="274">
        <f t="shared" si="93"/>
        <v>-29</v>
      </c>
      <c r="M274" s="274">
        <f t="shared" si="122"/>
        <v>0</v>
      </c>
      <c r="N274" s="281">
        <v>-1</v>
      </c>
      <c r="O274" s="274">
        <f t="shared" si="123"/>
        <v>-29</v>
      </c>
      <c r="P274" s="275">
        <f t="shared" si="124"/>
        <v>0</v>
      </c>
    </row>
    <row r="275" spans="1:16" x14ac:dyDescent="0.25">
      <c r="A275" s="149" t="s">
        <v>118</v>
      </c>
      <c r="B275" s="2" t="s">
        <v>324</v>
      </c>
      <c r="C275" s="299" t="str">
        <f>_xlfn.XLOOKUP(B275,'Brand Managers'!A:A,'Brand Managers'!B:B)</f>
        <v>Steve Halloran</v>
      </c>
      <c r="D275" s="42" t="str">
        <f>_xlfn.XLOOKUP(F275,'DATA - Segments'!C:C,'DATA - Segments'!D:D)</f>
        <v>Cider</v>
      </c>
      <c r="E275" s="42" t="str">
        <f>_xlfn.XLOOKUP(F275,'DATA - Segments'!C:C,'DATA - Segments'!E:E)</f>
        <v>Cider</v>
      </c>
      <c r="F275" s="203" t="str">
        <f t="shared" si="92"/>
        <v>Wyder's|Vermont Hard Cider</v>
      </c>
      <c r="G275" s="203" t="str">
        <f t="shared" si="115"/>
        <v>Wyder's|Vermont Hard Cider|Cider|Cider</v>
      </c>
      <c r="H275" s="150">
        <f>_xlfn.XLOOKUP(F275,'DATA - 2025 Review'!C:C,'DATA - 2025 Review'!I:I,"")</f>
        <v>89.986112562499997</v>
      </c>
      <c r="I275" s="151">
        <f>_xlfn.XLOOKUP(F275,'DATA - 2025 Review'!C:C,'DATA - 2025 Review'!J:J)</f>
        <v>-0.3125</v>
      </c>
      <c r="J275" s="150">
        <f>_xlfn.XLOOKUP(F275,'2025 Finish (ACTUAL)'!$C:$C,'2025 Finish (ACTUAL)'!$D:$D)</f>
        <v>96.444445999999999</v>
      </c>
      <c r="K275" s="146">
        <v>0</v>
      </c>
      <c r="L275" s="152">
        <f t="shared" si="93"/>
        <v>0</v>
      </c>
      <c r="M275" s="152">
        <f t="shared" si="122"/>
        <v>96.444445999999999</v>
      </c>
      <c r="N275" s="146">
        <v>0</v>
      </c>
      <c r="O275" s="152">
        <f t="shared" si="123"/>
        <v>0</v>
      </c>
      <c r="P275" s="69">
        <f t="shared" si="124"/>
        <v>96.444445999999999</v>
      </c>
    </row>
    <row r="276" spans="1:16" x14ac:dyDescent="0.25">
      <c r="A276" s="143" t="s">
        <v>381</v>
      </c>
      <c r="B276" s="202"/>
      <c r="C276" s="202" t="str">
        <f>_xlfn.XLOOKUP(A276,'Brand Managers'!A:A,'Brand Managers'!B:B)</f>
        <v>Jason Koo</v>
      </c>
      <c r="D276" s="202"/>
      <c r="E276" s="202"/>
      <c r="F276" s="203" t="str">
        <f t="shared" si="92"/>
        <v>Travelers Club|</v>
      </c>
      <c r="G276" s="203" t="str">
        <f t="shared" si="115"/>
        <v>Travelers Club|||</v>
      </c>
      <c r="H276" s="144">
        <f>_xlfn.XLOOKUP(F276,'DATA - 2025 Review'!C:C,'DATA - 2025 Review'!I:I,"")</f>
        <v>3878.7373376801902</v>
      </c>
      <c r="I276" s="145">
        <f>_xlfn.XLOOKUP(F276,'DATA - 2025 Review'!C:C,'DATA - 2025 Review'!J:J)</f>
        <v>-8.4061314741245008E-2</v>
      </c>
      <c r="J276" s="144">
        <f>_xlfn.XLOOKUP(F276,'2025 Finish (ACTUAL)'!$C:$C,'2025 Finish (ACTUAL)'!$D:$D)</f>
        <v>4093.7136810000002</v>
      </c>
      <c r="K276" s="145">
        <f>L276/J276</f>
        <v>0</v>
      </c>
      <c r="L276" s="147">
        <f>SUMIF(B:B,A276,L:L)</f>
        <v>0</v>
      </c>
      <c r="M276" s="147">
        <f>SUMIF(B:B,A276,M:M)</f>
        <v>4093.7136810000002</v>
      </c>
      <c r="N276" s="145">
        <f>O276/J276</f>
        <v>0.03</v>
      </c>
      <c r="O276" s="147">
        <f>SUMIF(B:B,A276,O:O)</f>
        <v>122.81141043</v>
      </c>
      <c r="P276" s="148">
        <f>SUMIF(B:B,A276,P:P)</f>
        <v>4216.5250914300004</v>
      </c>
    </row>
    <row r="277" spans="1:16" x14ac:dyDescent="0.25">
      <c r="A277" s="149" t="s">
        <v>381</v>
      </c>
      <c r="B277" s="2" t="s">
        <v>381</v>
      </c>
      <c r="C277" s="299" t="str">
        <f>_xlfn.XLOOKUP(B277,'Brand Managers'!A:A,'Brand Managers'!B:B)</f>
        <v>Jason Koo</v>
      </c>
      <c r="D277" s="42" t="str">
        <f>_xlfn.XLOOKUP(F277,'DATA - Segments'!C:C,'DATA - Segments'!D:D)</f>
        <v>Spirits</v>
      </c>
      <c r="E277" s="42" t="str">
        <f>_xlfn.XLOOKUP(F277,'DATA - Segments'!C:C,'DATA - Segments'!E:E)</f>
        <v>Spirits - Vodka</v>
      </c>
      <c r="F277" s="203" t="str">
        <f t="shared" si="92"/>
        <v>Travelers Club|Travelers Club</v>
      </c>
      <c r="G277" s="203" t="str">
        <f t="shared" si="115"/>
        <v>Travelers Club|Travelers Club|Spirits|Spirits - Vodka</v>
      </c>
      <c r="H277" s="150">
        <f>_xlfn.XLOOKUP(F277,'DATA - 2025 Review'!C:C,'DATA - 2025 Review'!I:I,"")</f>
        <v>3878.7373376801902</v>
      </c>
      <c r="I277" s="151">
        <f>_xlfn.XLOOKUP(F277,'DATA - 2025 Review'!C:C,'DATA - 2025 Review'!J:J)</f>
        <v>-8.4061314741245008E-2</v>
      </c>
      <c r="J277" s="150">
        <f>_xlfn.XLOOKUP(F277,'2025 Finish (ACTUAL)'!$C:$C,'2025 Finish (ACTUAL)'!$D:$D)</f>
        <v>4093.7136810000002</v>
      </c>
      <c r="K277" s="146"/>
      <c r="L277" s="152">
        <f t="shared" si="93"/>
        <v>0</v>
      </c>
      <c r="M277" s="152">
        <f>L277+J277</f>
        <v>4093.7136810000002</v>
      </c>
      <c r="N277" s="146">
        <v>0.03</v>
      </c>
      <c r="O277" s="152">
        <f>N277*J277</f>
        <v>122.81141043</v>
      </c>
      <c r="P277" s="69">
        <f>O277+J277</f>
        <v>4216.5250914300004</v>
      </c>
    </row>
    <row r="278" spans="1:16" x14ac:dyDescent="0.25">
      <c r="A278" s="143" t="s">
        <v>325</v>
      </c>
      <c r="B278" s="202"/>
      <c r="C278" s="202" t="str">
        <f>_xlfn.XLOOKUP(A278,'Brand Managers'!A:A,'Brand Managers'!B:B)</f>
        <v>Sean Donahue</v>
      </c>
      <c r="D278" s="202"/>
      <c r="E278" s="202"/>
      <c r="F278" s="203" t="str">
        <f t="shared" ref="F278:F341" si="125">A278&amp;"|"&amp;B278</f>
        <v>BJ'S Private Label Brew|</v>
      </c>
      <c r="G278" s="203" t="str">
        <f t="shared" si="115"/>
        <v>BJ'S Private Label Brew|||</v>
      </c>
      <c r="H278" s="144">
        <f>_xlfn.XLOOKUP(F278,'DATA - 2025 Review'!C:C,'DATA - 2025 Review'!I:I,"")</f>
        <v>3722.1255718409438</v>
      </c>
      <c r="I278" s="145">
        <f>_xlfn.XLOOKUP(F278,'DATA - 2025 Review'!C:C,'DATA - 2025 Review'!J:J)</f>
        <v>0.28679179544067668</v>
      </c>
      <c r="J278" s="144">
        <f>_xlfn.XLOOKUP(F278,'2025 Finish (ACTUAL)'!$C:$C,'2025 Finish (ACTUAL)'!$D:$D)</f>
        <v>3585.0856650000001</v>
      </c>
      <c r="K278" s="145">
        <f>L278/J278</f>
        <v>0</v>
      </c>
      <c r="L278" s="147">
        <f>SUMIF(B:B,A278,L:L)</f>
        <v>0</v>
      </c>
      <c r="M278" s="147">
        <f>SUMIF(B:B,A278,M:M)</f>
        <v>3585.0856650000001</v>
      </c>
      <c r="N278" s="145">
        <f>O278/J278</f>
        <v>0</v>
      </c>
      <c r="O278" s="147">
        <f>SUMIF(B:B,A278,O:O)</f>
        <v>0</v>
      </c>
      <c r="P278" s="148">
        <f>SUMIF(B:B,A278,P:P)</f>
        <v>3585.0856650000001</v>
      </c>
    </row>
    <row r="279" spans="1:16" x14ac:dyDescent="0.25">
      <c r="A279" s="149" t="s">
        <v>270</v>
      </c>
      <c r="B279" s="2" t="s">
        <v>325</v>
      </c>
      <c r="C279" s="299" t="str">
        <f>_xlfn.XLOOKUP(B279,'Brand Managers'!A:A,'Brand Managers'!B:B)</f>
        <v>Sean Donahue</v>
      </c>
      <c r="D279" s="42" t="str">
        <f>_xlfn.XLOOKUP(F279,'DATA - Segments'!C:C,'DATA - Segments'!D:D)</f>
        <v>Beer</v>
      </c>
      <c r="E279" s="42" t="str">
        <f>_xlfn.XLOOKUP(F279,'DATA - Segments'!C:C,'DATA - Segments'!E:E)</f>
        <v>Beer - Craft</v>
      </c>
      <c r="F279" s="203" t="str">
        <f t="shared" si="125"/>
        <v>BJ'S Private Label Brewa|BJ'S Private Label Brew</v>
      </c>
      <c r="G279" s="203" t="str">
        <f t="shared" si="115"/>
        <v>BJ'S Private Label Brewa|BJ'S Private Label Brew|Beer|Beer - Craft</v>
      </c>
      <c r="H279" s="150">
        <f>_xlfn.XLOOKUP(F279,'DATA - 2025 Review'!C:C,'DATA - 2025 Review'!I:I,"")</f>
        <v>3722.1255718409438</v>
      </c>
      <c r="I279" s="151">
        <f>_xlfn.XLOOKUP(F279,'DATA - 2025 Review'!C:C,'DATA - 2025 Review'!J:J)</f>
        <v>0.28679179544067668</v>
      </c>
      <c r="J279" s="150">
        <f>_xlfn.XLOOKUP(F279,'2025 Finish (ACTUAL)'!$C:$C,'2025 Finish (ACTUAL)'!$D:$D)</f>
        <v>3585.0856650000001</v>
      </c>
      <c r="K279" s="146">
        <v>0</v>
      </c>
      <c r="L279" s="152">
        <f t="shared" si="93"/>
        <v>0</v>
      </c>
      <c r="M279" s="152">
        <f>L279+J279</f>
        <v>3585.0856650000001</v>
      </c>
      <c r="N279" s="146">
        <v>0</v>
      </c>
      <c r="O279" s="152">
        <f>N279*J279</f>
        <v>0</v>
      </c>
      <c r="P279" s="69">
        <f>O279+J279</f>
        <v>3585.0856650000001</v>
      </c>
    </row>
    <row r="280" spans="1:16" x14ac:dyDescent="0.25">
      <c r="A280" s="143" t="s">
        <v>297</v>
      </c>
      <c r="B280" s="202"/>
      <c r="C280" s="202" t="str">
        <f>_xlfn.XLOOKUP(A280,'Brand Managers'!A:A,'Brand Managers'!B:B)</f>
        <v>Sean Donahue</v>
      </c>
      <c r="D280" s="202"/>
      <c r="E280" s="202"/>
      <c r="F280" s="203" t="str">
        <f t="shared" si="125"/>
        <v>River Horse Brewing Co|</v>
      </c>
      <c r="G280" s="203" t="str">
        <f t="shared" si="115"/>
        <v>River Horse Brewing Co|||</v>
      </c>
      <c r="H280" s="144">
        <f>_xlfn.XLOOKUP(F280,'DATA - 2025 Review'!C:C,'DATA - 2025 Review'!I:I,"")</f>
        <v>1693.6976656659899</v>
      </c>
      <c r="I280" s="145">
        <f>_xlfn.XLOOKUP(F280,'DATA - 2025 Review'!C:C,'DATA - 2025 Review'!J:J)</f>
        <v>-0.38770332259665874</v>
      </c>
      <c r="J280" s="144">
        <f>_xlfn.XLOOKUP(F280,'2025 Finish (ACTUAL)'!$C:$C,'2025 Finish (ACTUAL)'!$D:$D)</f>
        <v>1565.180576</v>
      </c>
      <c r="K280" s="145">
        <f>L280/J280</f>
        <v>-1</v>
      </c>
      <c r="L280" s="147">
        <f>SUMIF(B:B,A280,L:L)</f>
        <v>-1565.180576</v>
      </c>
      <c r="M280" s="147">
        <f>SUMIF(B:B,A280,M:M)</f>
        <v>0</v>
      </c>
      <c r="N280" s="145">
        <f>O280/J280</f>
        <v>-1</v>
      </c>
      <c r="O280" s="147">
        <f>SUMIF(B:B,A280,O:O)</f>
        <v>-1565.180576</v>
      </c>
      <c r="P280" s="148">
        <f>SUMIF(B:B,A280,P:P)</f>
        <v>0</v>
      </c>
    </row>
    <row r="281" spans="1:16" x14ac:dyDescent="0.25">
      <c r="A281" s="156" t="s">
        <v>297</v>
      </c>
      <c r="B281" s="283" t="s">
        <v>297</v>
      </c>
      <c r="C281" s="283"/>
      <c r="D281" s="42" t="str">
        <f>_xlfn.XLOOKUP(F281,'DATA - Segments'!C:C,'DATA - Segments'!D:D)</f>
        <v>Beer</v>
      </c>
      <c r="E281" s="42" t="str">
        <f>_xlfn.XLOOKUP(F281,'DATA - Segments'!C:C,'DATA - Segments'!E:E)</f>
        <v>Beer - Craft</v>
      </c>
      <c r="F281" s="203" t="str">
        <f t="shared" si="125"/>
        <v>River Horse Brewing Co|River Horse Brewing Co</v>
      </c>
      <c r="G281" s="203" t="str">
        <f t="shared" si="115"/>
        <v>River Horse Brewing Co|River Horse Brewing Co|Beer|Beer - Craft</v>
      </c>
      <c r="H281" s="273">
        <f>_xlfn.XLOOKUP(F281,'DATA - 2025 Review'!C:C,'DATA - 2025 Review'!I:I,"")</f>
        <v>1715.03086009055</v>
      </c>
      <c r="I281" s="281">
        <f>_xlfn.XLOOKUP(F281,'DATA - 2025 Review'!C:C,'DATA - 2025 Review'!J:J)</f>
        <v>-0.36033494878803018</v>
      </c>
      <c r="J281" s="273">
        <f>_xlfn.XLOOKUP(F281,'2025 Finish (ACTUAL)'!$C:$C,'2025 Finish (ACTUAL)'!$D:$D)</f>
        <v>1559.180576</v>
      </c>
      <c r="K281" s="281">
        <v>-1</v>
      </c>
      <c r="L281" s="274">
        <f t="shared" si="93"/>
        <v>-1559.180576</v>
      </c>
      <c r="M281" s="274">
        <f t="shared" ref="M281:M282" si="126">L281+J281</f>
        <v>0</v>
      </c>
      <c r="N281" s="281">
        <v>-1</v>
      </c>
      <c r="O281" s="274">
        <f t="shared" ref="O281:O282" si="127">N281*J281</f>
        <v>-1559.180576</v>
      </c>
      <c r="P281" s="275">
        <f t="shared" ref="P281:P282" si="128">O281+J281</f>
        <v>0</v>
      </c>
    </row>
    <row r="282" spans="1:16" x14ac:dyDescent="0.25">
      <c r="A282" s="156" t="s">
        <v>73</v>
      </c>
      <c r="B282" s="283" t="s">
        <v>297</v>
      </c>
      <c r="C282" s="283"/>
      <c r="D282" s="42" t="str">
        <f>_xlfn.XLOOKUP(F282,'DATA - Segments'!C:C,'DATA - Segments'!D:D)</f>
        <v>FMB</v>
      </c>
      <c r="E282" s="42" t="str">
        <f>_xlfn.XLOOKUP(F282,'DATA - Segments'!C:C,'DATA - Segments'!E:E)</f>
        <v>FMB</v>
      </c>
      <c r="F282" s="203" t="str">
        <f t="shared" si="125"/>
        <v>The Garden State Experience|River Horse Brewing Co</v>
      </c>
      <c r="G282" s="203" t="str">
        <f t="shared" si="115"/>
        <v>The Garden State Experience|River Horse Brewing Co|FMB|FMB</v>
      </c>
      <c r="H282" s="273">
        <f>_xlfn.XLOOKUP(F282,'DATA - 2025 Review'!C:C,'DATA - 2025 Review'!I:I,"")</f>
        <v>4.5132840000000023</v>
      </c>
      <c r="I282" s="281">
        <f>_xlfn.XLOOKUP(F282,'DATA - 2025 Review'!C:C,'DATA - 2025 Review'!J:J)</f>
        <v>-0.94690254117647055</v>
      </c>
      <c r="J282" s="273">
        <f>_xlfn.XLOOKUP(F282,'2025 Finish (ACTUAL)'!$C:$C,'2025 Finish (ACTUAL)'!$D:$D)</f>
        <v>6</v>
      </c>
      <c r="K282" s="281">
        <v>-1</v>
      </c>
      <c r="L282" s="274">
        <f t="shared" ref="L282" si="129">K282*J282</f>
        <v>-6</v>
      </c>
      <c r="M282" s="274">
        <f t="shared" si="126"/>
        <v>0</v>
      </c>
      <c r="N282" s="281">
        <v>-1</v>
      </c>
      <c r="O282" s="274">
        <f t="shared" si="127"/>
        <v>-6</v>
      </c>
      <c r="P282" s="275">
        <f t="shared" si="128"/>
        <v>0</v>
      </c>
    </row>
    <row r="283" spans="1:16" x14ac:dyDescent="0.25">
      <c r="A283" s="143" t="s">
        <v>407</v>
      </c>
      <c r="B283" s="202"/>
      <c r="C283" s="202" t="str">
        <f>_xlfn.XLOOKUP(A283,'Brand Managers'!A:A,'Brand Managers'!B:B)</f>
        <v>Perry Calderone</v>
      </c>
      <c r="D283" s="202"/>
      <c r="E283" s="202"/>
      <c r="F283" s="203" t="str">
        <f t="shared" si="125"/>
        <v>Pampa Beverages|</v>
      </c>
      <c r="G283" s="203" t="str">
        <f t="shared" si="115"/>
        <v>Pampa Beverages|||</v>
      </c>
      <c r="H283" s="144">
        <f>_xlfn.XLOOKUP(F283,'DATA - 2025 Review'!C:C,'DATA - 2025 Review'!I:I,"")</f>
        <v>1405.4657999999999</v>
      </c>
      <c r="I283" s="145">
        <f>_xlfn.XLOOKUP(F283,'DATA - 2025 Review'!C:C,'DATA - 2025 Review'!J:J)</f>
        <v>-0.285114038657172</v>
      </c>
      <c r="J283" s="144">
        <f>_xlfn.XLOOKUP(F283,'2025 Finish (ACTUAL)'!$C:$C,'2025 Finish (ACTUAL)'!$D:$D)</f>
        <v>1452</v>
      </c>
      <c r="K283" s="145">
        <f>L283/J283</f>
        <v>-0.2</v>
      </c>
      <c r="L283" s="147">
        <f>SUMIF(B:B,A283,L:L)</f>
        <v>-290.40000000000003</v>
      </c>
      <c r="M283" s="147">
        <f>SUMIF(B:B,A283,M:M)</f>
        <v>1161.5999999999999</v>
      </c>
      <c r="N283" s="145">
        <f>O283/J283</f>
        <v>-0.2</v>
      </c>
      <c r="O283" s="147">
        <f>SUMIF(B:B,A283,O:O)</f>
        <v>-290.40000000000003</v>
      </c>
      <c r="P283" s="148">
        <f>SUMIF(B:B,A283,P:P)</f>
        <v>1161.5999999999999</v>
      </c>
    </row>
    <row r="284" spans="1:16" x14ac:dyDescent="0.25">
      <c r="A284" s="149" t="s">
        <v>44</v>
      </c>
      <c r="B284" s="2" t="s">
        <v>407</v>
      </c>
      <c r="C284" s="299" t="str">
        <f>_xlfn.XLOOKUP(B284,'Brand Managers'!A:A,'Brand Managers'!B:B)</f>
        <v>Perry Calderone</v>
      </c>
      <c r="D284" s="42" t="str">
        <f>_xlfn.XLOOKUP(F284,'DATA - Segments'!C:C,'DATA - Segments'!D:D)</f>
        <v>Beer</v>
      </c>
      <c r="E284" s="42" t="str">
        <f>_xlfn.XLOOKUP(F284,'DATA - Segments'!C:C,'DATA - Segments'!E:E)</f>
        <v>Beer - Import</v>
      </c>
      <c r="F284" s="203" t="str">
        <f t="shared" si="125"/>
        <v>Quilmes|Pampa Beverages</v>
      </c>
      <c r="G284" s="203" t="str">
        <f t="shared" si="115"/>
        <v>Quilmes|Pampa Beverages|Beer|Beer - Import</v>
      </c>
      <c r="H284" s="150">
        <f>_xlfn.XLOOKUP(F284,'DATA - 2025 Review'!C:C,'DATA - 2025 Review'!I:I,"")</f>
        <v>1405.4657999999999</v>
      </c>
      <c r="I284" s="151">
        <f>_xlfn.XLOOKUP(F284,'DATA - 2025 Review'!C:C,'DATA - 2025 Review'!J:J)</f>
        <v>-0.285114038657172</v>
      </c>
      <c r="J284" s="150">
        <f>_xlfn.XLOOKUP(F284,'2025 Finish (ACTUAL)'!$C:$C,'2025 Finish (ACTUAL)'!$D:$D)</f>
        <v>1452</v>
      </c>
      <c r="K284" s="146">
        <v>-0.2</v>
      </c>
      <c r="L284" s="152">
        <f t="shared" ref="L284" si="130">K284*J284</f>
        <v>-290.40000000000003</v>
      </c>
      <c r="M284" s="152">
        <f>L284+J284</f>
        <v>1161.5999999999999</v>
      </c>
      <c r="N284" s="146">
        <v>-0.2</v>
      </c>
      <c r="O284" s="152">
        <f>N284*J284</f>
        <v>-290.40000000000003</v>
      </c>
      <c r="P284" s="69">
        <f>O284+J284</f>
        <v>1161.5999999999999</v>
      </c>
    </row>
    <row r="285" spans="1:16" x14ac:dyDescent="0.25">
      <c r="A285" s="143" t="s">
        <v>74</v>
      </c>
      <c r="B285" s="202"/>
      <c r="C285" s="202" t="str">
        <f>_xlfn.XLOOKUP(A285,'Brand Managers'!A:A,'Brand Managers'!B:B)</f>
        <v>Dan Downing</v>
      </c>
      <c r="D285" s="202"/>
      <c r="E285" s="202"/>
      <c r="F285" s="203" t="str">
        <f t="shared" si="125"/>
        <v>Global Village Imp.|</v>
      </c>
      <c r="G285" s="203" t="str">
        <f t="shared" si="115"/>
        <v>Global Village Imp.|||</v>
      </c>
      <c r="H285" s="144">
        <f>_xlfn.XLOOKUP(F285,'DATA - 2025 Review'!C:C,'DATA - 2025 Review'!I:I,"")</f>
        <v>1401.1496280000001</v>
      </c>
      <c r="I285" s="145">
        <f>_xlfn.XLOOKUP(F285,'DATA - 2025 Review'!C:C,'DATA - 2025 Review'!J:J)</f>
        <v>-8.7364091434617208E-2</v>
      </c>
      <c r="J285" s="144">
        <f>_xlfn.XLOOKUP(F285,'2025 Finish (ACTUAL)'!$C:$C,'2025 Finish (ACTUAL)'!$D:$D)</f>
        <v>1385</v>
      </c>
      <c r="K285" s="145">
        <f>L285/J285</f>
        <v>0</v>
      </c>
      <c r="L285" s="147">
        <f>SUMIF(B:B,A285,L:L)</f>
        <v>0</v>
      </c>
      <c r="M285" s="147">
        <f>SUMIF(B:B,A285,M:M)</f>
        <v>1385</v>
      </c>
      <c r="N285" s="145">
        <f>O285/J285</f>
        <v>-0.05</v>
      </c>
      <c r="O285" s="147">
        <f>SUMIF(B:B,A285,O:O)</f>
        <v>-69.25</v>
      </c>
      <c r="P285" s="148">
        <f>SUMIF(B:B,A285,P:P)</f>
        <v>1315.75</v>
      </c>
    </row>
    <row r="286" spans="1:16" x14ac:dyDescent="0.25">
      <c r="A286" s="149" t="s">
        <v>196</v>
      </c>
      <c r="B286" s="2" t="s">
        <v>74</v>
      </c>
      <c r="C286" s="299" t="str">
        <f>_xlfn.XLOOKUP(B286,'Brand Managers'!A:A,'Brand Managers'!B:B)</f>
        <v>Dan Downing</v>
      </c>
      <c r="D286" s="42" t="str">
        <f>_xlfn.XLOOKUP(F286,'DATA - Segments'!C:C,'DATA - Segments'!D:D)</f>
        <v>Beer</v>
      </c>
      <c r="E286" s="42" t="str">
        <f>_xlfn.XLOOKUP(F286,'DATA - Segments'!C:C,'DATA - Segments'!E:E)</f>
        <v>Beer - Import</v>
      </c>
      <c r="F286" s="203" t="str">
        <f t="shared" si="125"/>
        <v>Augustiner|Global Village Imp.</v>
      </c>
      <c r="G286" s="203" t="str">
        <f t="shared" si="115"/>
        <v>Augustiner|Global Village Imp.|Beer|Beer - Import</v>
      </c>
      <c r="H286" s="150">
        <f>_xlfn.XLOOKUP(F286,'DATA - 2025 Review'!C:C,'DATA - 2025 Review'!I:I,"")</f>
        <v>1403.3955989999999</v>
      </c>
      <c r="I286" s="151">
        <f>_xlfn.XLOOKUP(F286,'DATA - 2025 Review'!C:C,'DATA - 2025 Review'!J:J)</f>
        <v>-7.9136746062992147E-2</v>
      </c>
      <c r="J286" s="150">
        <f>_xlfn.XLOOKUP(F286,'2025 Finish (ACTUAL)'!$C:$C,'2025 Finish (ACTUAL)'!$D:$D)</f>
        <v>1385</v>
      </c>
      <c r="K286" s="146">
        <v>0</v>
      </c>
      <c r="L286" s="152">
        <f t="shared" ref="L286:L287" si="131">K286*J286</f>
        <v>0</v>
      </c>
      <c r="M286" s="152">
        <f t="shared" ref="M286:M287" si="132">L286+J286</f>
        <v>1385</v>
      </c>
      <c r="N286" s="146">
        <v>-0.05</v>
      </c>
      <c r="O286" s="152">
        <f t="shared" ref="O286:O287" si="133">N286*J286</f>
        <v>-69.25</v>
      </c>
      <c r="P286" s="69">
        <f t="shared" ref="P286:P287" si="134">O286+J286</f>
        <v>1315.75</v>
      </c>
    </row>
    <row r="287" spans="1:16" x14ac:dyDescent="0.25">
      <c r="A287" s="156" t="s">
        <v>119</v>
      </c>
      <c r="B287" s="285" t="s">
        <v>74</v>
      </c>
      <c r="C287" s="285"/>
      <c r="D287" s="286"/>
      <c r="E287" s="286"/>
      <c r="F287" s="292" t="str">
        <f t="shared" si="125"/>
        <v>Oranjeboom|Global Village Imp.</v>
      </c>
      <c r="G287" s="287" t="str">
        <f t="shared" si="115"/>
        <v>Oranjeboom|Global Village Imp.||</v>
      </c>
      <c r="H287" s="271">
        <f>_xlfn.XLOOKUP(F287,'DATA - 2025 Review'!C:C,'DATA - 2025 Review'!I:I,"")</f>
        <v>0</v>
      </c>
      <c r="I287" s="272">
        <f>_xlfn.XLOOKUP(F287,'DATA - 2025 Review'!C:C,'DATA - 2025 Review'!J:J)</f>
        <v>-1</v>
      </c>
      <c r="J287" s="273"/>
      <c r="K287" s="272"/>
      <c r="L287" s="274">
        <f t="shared" si="131"/>
        <v>0</v>
      </c>
      <c r="M287" s="274">
        <f t="shared" si="132"/>
        <v>0</v>
      </c>
      <c r="N287" s="272"/>
      <c r="O287" s="274">
        <f t="shared" si="133"/>
        <v>0</v>
      </c>
      <c r="P287" s="275">
        <f t="shared" si="134"/>
        <v>0</v>
      </c>
    </row>
    <row r="288" spans="1:16" x14ac:dyDescent="0.25">
      <c r="A288" s="143" t="s">
        <v>382</v>
      </c>
      <c r="B288" s="202"/>
      <c r="C288" s="202" t="str">
        <f>_xlfn.XLOOKUP(A288,'Brand Managers'!A:A,'Brand Managers'!B:B)</f>
        <v>Sean Donahue</v>
      </c>
      <c r="D288" s="202"/>
      <c r="E288" s="202"/>
      <c r="F288" s="203" t="str">
        <f t="shared" si="125"/>
        <v>Newburgh Brewing|</v>
      </c>
      <c r="G288" s="203" t="str">
        <f t="shared" si="115"/>
        <v>Newburgh Brewing|||</v>
      </c>
      <c r="H288" s="144">
        <f>_xlfn.XLOOKUP(F288,'DATA - 2025 Review'!C:C,'DATA - 2025 Review'!I:I,"")</f>
        <v>1255.9950107874379</v>
      </c>
      <c r="I288" s="145">
        <f>_xlfn.XLOOKUP(F288,'DATA - 2025 Review'!C:C,'DATA - 2025 Review'!J:J)</f>
        <v>-2.4743314089826551E-2</v>
      </c>
      <c r="J288" s="144">
        <f>_xlfn.XLOOKUP(F288,'2025 Finish (ACTUAL)'!$C:$C,'2025 Finish (ACTUAL)'!$D:$D)</f>
        <v>1185.0276670000001</v>
      </c>
      <c r="K288" s="145">
        <f>L288/J288</f>
        <v>0</v>
      </c>
      <c r="L288" s="147">
        <f>SUMIF(B:B,A288,L:L)</f>
        <v>0</v>
      </c>
      <c r="M288" s="147">
        <f>SUMIF(B:B,A288,M:M)</f>
        <v>1185.0276670000001</v>
      </c>
      <c r="N288" s="145">
        <f>O288/J288</f>
        <v>0</v>
      </c>
      <c r="O288" s="147">
        <f>SUMIF(B:B,A288,O:O)</f>
        <v>0</v>
      </c>
      <c r="P288" s="148">
        <f>SUMIF(B:B,A288,P:P)</f>
        <v>1185.0276670000001</v>
      </c>
    </row>
    <row r="289" spans="1:16" x14ac:dyDescent="0.25">
      <c r="A289" s="149" t="s">
        <v>197</v>
      </c>
      <c r="B289" s="2" t="s">
        <v>382</v>
      </c>
      <c r="C289" s="299" t="str">
        <f>_xlfn.XLOOKUP(B289,'Brand Managers'!A:A,'Brand Managers'!B:B)</f>
        <v>Sean Donahue</v>
      </c>
      <c r="D289" s="42" t="str">
        <f>_xlfn.XLOOKUP(F289,'DATA - Segments'!C:C,'DATA - Segments'!D:D)</f>
        <v>Beer</v>
      </c>
      <c r="E289" s="42" t="str">
        <f>_xlfn.XLOOKUP(F289,'DATA - Segments'!C:C,'DATA - Segments'!E:E)</f>
        <v>Beer - Craft</v>
      </c>
      <c r="F289" s="203" t="str">
        <f t="shared" si="125"/>
        <v>Newburgh|Newburgh Brewing</v>
      </c>
      <c r="G289" s="203" t="str">
        <f t="shared" si="115"/>
        <v>Newburgh|Newburgh Brewing|Beer|Beer - Craft</v>
      </c>
      <c r="H289" s="150">
        <f>_xlfn.XLOOKUP(F289,'DATA - 2025 Review'!C:C,'DATA - 2025 Review'!I:I,"")</f>
        <v>1255.9950107874379</v>
      </c>
      <c r="I289" s="151">
        <f>_xlfn.XLOOKUP(F289,'DATA - 2025 Review'!C:C,'DATA - 2025 Review'!J:J)</f>
        <v>-2.4743314089826551E-2</v>
      </c>
      <c r="J289" s="150">
        <f>_xlfn.XLOOKUP(F289,'2025 Finish (ACTUAL)'!$C:$C,'2025 Finish (ACTUAL)'!$D:$D)</f>
        <v>1185.0276670000001</v>
      </c>
      <c r="K289" s="146">
        <v>0</v>
      </c>
      <c r="L289" s="152">
        <f t="shared" ref="L289" si="135">K289*J289</f>
        <v>0</v>
      </c>
      <c r="M289" s="152">
        <f>L289+J289</f>
        <v>1185.0276670000001</v>
      </c>
      <c r="N289" s="146">
        <v>0</v>
      </c>
      <c r="O289" s="152">
        <f>N289*J289</f>
        <v>0</v>
      </c>
      <c r="P289" s="69">
        <f>O289+J289</f>
        <v>1185.0276670000001</v>
      </c>
    </row>
    <row r="290" spans="1:16" x14ac:dyDescent="0.25">
      <c r="A290" s="143" t="s">
        <v>19</v>
      </c>
      <c r="B290" s="202"/>
      <c r="C290" s="202" t="str">
        <f>_xlfn.XLOOKUP(A290,'Brand Managers'!A:A,'Brand Managers'!B:B)</f>
        <v>Tom Gibbons</v>
      </c>
      <c r="D290" s="202"/>
      <c r="E290" s="202"/>
      <c r="F290" s="203" t="str">
        <f t="shared" si="125"/>
        <v>Citizen Cider|</v>
      </c>
      <c r="G290" s="203" t="str">
        <f t="shared" si="115"/>
        <v>Citizen Cider|||</v>
      </c>
      <c r="H290" s="144">
        <f>_xlfn.XLOOKUP(F290,'DATA - 2025 Review'!C:C,'DATA - 2025 Review'!I:I,"")</f>
        <v>768.17749087224604</v>
      </c>
      <c r="I290" s="145">
        <f>_xlfn.XLOOKUP(F290,'DATA - 2025 Review'!C:C,'DATA - 2025 Review'!J:J)</f>
        <v>-0.45852137050621145</v>
      </c>
      <c r="J290" s="144">
        <f>_xlfn.XLOOKUP(F290,'2025 Finish (ACTUAL)'!$C:$C,'2025 Finish (ACTUAL)'!$D:$D)</f>
        <v>651.66650400000003</v>
      </c>
      <c r="K290" s="145">
        <f>L290/J290</f>
        <v>0</v>
      </c>
      <c r="L290" s="147">
        <f>SUMIF(B:B,A290,L:L)</f>
        <v>0</v>
      </c>
      <c r="M290" s="147">
        <f>SUMIF(B:B,A290,M:M)</f>
        <v>651.66650400000003</v>
      </c>
      <c r="N290" s="145">
        <f>O290/J290</f>
        <v>0</v>
      </c>
      <c r="O290" s="147">
        <f>SUMIF(B:B,A290,O:O)</f>
        <v>0</v>
      </c>
      <c r="P290" s="148">
        <f>SUMIF(B:B,A290,P:P)</f>
        <v>651.66650400000003</v>
      </c>
    </row>
    <row r="291" spans="1:16" x14ac:dyDescent="0.25">
      <c r="A291" s="149" t="s">
        <v>19</v>
      </c>
      <c r="B291" s="2" t="s">
        <v>19</v>
      </c>
      <c r="C291" s="299" t="str">
        <f>_xlfn.XLOOKUP(B291,'Brand Managers'!A:A,'Brand Managers'!B:B)</f>
        <v>Tom Gibbons</v>
      </c>
      <c r="D291" s="42" t="str">
        <f>_xlfn.XLOOKUP(F291,'DATA - Segments'!C:C,'DATA - Segments'!D:D)</f>
        <v>Cider</v>
      </c>
      <c r="E291" s="42" t="str">
        <f>_xlfn.XLOOKUP(F291,'DATA - Segments'!C:C,'DATA - Segments'!E:E)</f>
        <v>Cider</v>
      </c>
      <c r="F291" s="203" t="str">
        <f t="shared" si="125"/>
        <v>Citizen Cider|Citizen Cider</v>
      </c>
      <c r="G291" s="203" t="str">
        <f t="shared" si="115"/>
        <v>Citizen Cider|Citizen Cider|Cider|Cider</v>
      </c>
      <c r="H291" s="150">
        <f>_xlfn.XLOOKUP(F291,'DATA - 2025 Review'!C:C,'DATA - 2025 Review'!I:I,"")</f>
        <v>768.17749087224604</v>
      </c>
      <c r="I291" s="151">
        <f>_xlfn.XLOOKUP(F291,'DATA - 2025 Review'!C:C,'DATA - 2025 Review'!J:J)</f>
        <v>-0.45852137050621145</v>
      </c>
      <c r="J291" s="150">
        <f>_xlfn.XLOOKUP(F291,'2025 Finish (ACTUAL)'!$C:$C,'2025 Finish (ACTUAL)'!$D:$D)</f>
        <v>651.66650400000003</v>
      </c>
      <c r="K291" s="146"/>
      <c r="L291" s="152">
        <f t="shared" ref="L291" si="136">K291*J291</f>
        <v>0</v>
      </c>
      <c r="M291" s="152">
        <f>L291+J291</f>
        <v>651.66650400000003</v>
      </c>
      <c r="N291" s="146"/>
      <c r="O291" s="152">
        <f>N291*J291</f>
        <v>0</v>
      </c>
      <c r="P291" s="69">
        <f>O291+J291</f>
        <v>651.66650400000003</v>
      </c>
    </row>
    <row r="292" spans="1:16" x14ac:dyDescent="0.25">
      <c r="A292" s="143" t="s">
        <v>145</v>
      </c>
      <c r="B292" s="202"/>
      <c r="C292" s="202" t="str">
        <f>_xlfn.XLOOKUP(A292,'Brand Managers'!A:A,'Brand Managers'!B:B)</f>
        <v/>
      </c>
      <c r="D292" s="202"/>
      <c r="E292" s="202"/>
      <c r="F292" s="203" t="str">
        <f t="shared" si="125"/>
        <v>Jersey Girl|</v>
      </c>
      <c r="G292" s="203" t="str">
        <f t="shared" si="115"/>
        <v>Jersey Girl|||</v>
      </c>
      <c r="H292" s="144">
        <f>_xlfn.XLOOKUP(F292,'DATA - 2025 Review'!C:C,'DATA - 2025 Review'!I:I,"")</f>
        <v>-12.785639771863989</v>
      </c>
      <c r="I292" s="145">
        <f>_xlfn.XLOOKUP(F292,'DATA - 2025 Review'!C:C,'DATA - 2025 Review'!J:J)</f>
        <v>-1.0032927284588262</v>
      </c>
      <c r="J292" s="144">
        <f>_xlfn.XLOOKUP(F292,'2025 Finish (ACTUAL)'!$C:$C,'2025 Finish (ACTUAL)'!$D:$D)</f>
        <v>-12.090268</v>
      </c>
      <c r="K292" s="145">
        <f>L292/J292</f>
        <v>-1</v>
      </c>
      <c r="L292" s="147">
        <f>SUMIF(B:B,A292,L:L)</f>
        <v>12.090268</v>
      </c>
      <c r="M292" s="147">
        <f>SUMIF(B:B,A292,M:M)</f>
        <v>0</v>
      </c>
      <c r="N292" s="145">
        <f>O292/J292</f>
        <v>-1</v>
      </c>
      <c r="O292" s="147">
        <f>SUMIF(B:B,A292,O:O)</f>
        <v>12.090268</v>
      </c>
      <c r="P292" s="148">
        <f>SUMIF(B:B,A292,P:P)</f>
        <v>0</v>
      </c>
    </row>
    <row r="293" spans="1:16" x14ac:dyDescent="0.25">
      <c r="A293" s="156" t="s">
        <v>145</v>
      </c>
      <c r="B293" s="283" t="s">
        <v>145</v>
      </c>
      <c r="C293" s="283"/>
      <c r="D293" s="42" t="str">
        <f>_xlfn.XLOOKUP(F293,'DATA - Segments'!C:C,'DATA - Segments'!D:D)</f>
        <v>Beer</v>
      </c>
      <c r="E293" s="42" t="str">
        <f>_xlfn.XLOOKUP(F293,'DATA - Segments'!C:C,'DATA - Segments'!E:E)</f>
        <v>Beer - Craft</v>
      </c>
      <c r="F293" s="203" t="str">
        <f t="shared" si="125"/>
        <v>Jersey Girl|Jersey Girl</v>
      </c>
      <c r="G293" s="203" t="str">
        <f t="shared" si="115"/>
        <v>Jersey Girl|Jersey Girl|Beer|Beer - Craft</v>
      </c>
      <c r="H293" s="273">
        <f>_xlfn.XLOOKUP(F293,'DATA - 2025 Review'!C:C,'DATA - 2025 Review'!I:I,"")</f>
        <v>-12.785639771863989</v>
      </c>
      <c r="I293" s="281">
        <f>_xlfn.XLOOKUP(F293,'DATA - 2025 Review'!C:C,'DATA - 2025 Review'!J:J)</f>
        <v>-1.0032927284588262</v>
      </c>
      <c r="J293" s="273">
        <f>_xlfn.XLOOKUP(F293,'2025 Finish (ACTUAL)'!$C:$C,'2025 Finish (ACTUAL)'!$D:$D)</f>
        <v>-12.090268</v>
      </c>
      <c r="K293" s="281">
        <v>-1</v>
      </c>
      <c r="L293" s="274">
        <f t="shared" ref="L293" si="137">K293*J293</f>
        <v>12.090268</v>
      </c>
      <c r="M293" s="274">
        <f>L293+J293</f>
        <v>0</v>
      </c>
      <c r="N293" s="281">
        <v>-1</v>
      </c>
      <c r="O293" s="274">
        <f>N293*J293</f>
        <v>12.090268</v>
      </c>
      <c r="P293" s="275">
        <f>O293+J293</f>
        <v>0</v>
      </c>
    </row>
    <row r="294" spans="1:16" x14ac:dyDescent="0.25">
      <c r="A294" s="143" t="s">
        <v>229</v>
      </c>
      <c r="B294" s="202"/>
      <c r="C294" s="202" t="str">
        <f>_xlfn.XLOOKUP(A294,'Brand Managers'!A:A,'Brand Managers'!B:B)</f>
        <v>Jason Koo</v>
      </c>
      <c r="D294" s="202"/>
      <c r="E294" s="202"/>
      <c r="F294" s="203" t="str">
        <f t="shared" si="125"/>
        <v>Prestige|</v>
      </c>
      <c r="G294" s="203" t="str">
        <f t="shared" si="115"/>
        <v>Prestige|||</v>
      </c>
      <c r="H294" s="144">
        <f>_xlfn.XLOOKUP(F294,'DATA - 2025 Review'!C:C,'DATA - 2025 Review'!I:I,"")</f>
        <v>2454.1968475140479</v>
      </c>
      <c r="I294" s="145">
        <f>_xlfn.XLOOKUP(F294,'DATA - 2025 Review'!C:C,'DATA - 2025 Review'!J:J)</f>
        <v>0.12868761763488301</v>
      </c>
      <c r="J294" s="144">
        <f>_xlfn.XLOOKUP(F294,'2025 Finish (ACTUAL)'!$C:$C,'2025 Finish (ACTUAL)'!$D:$D)</f>
        <v>2509.640308</v>
      </c>
      <c r="K294" s="145">
        <f>L294/J294</f>
        <v>8.9024509563304335E-2</v>
      </c>
      <c r="L294" s="147">
        <f>SUMIF(B:B,A294,L:L)</f>
        <v>223.41949760000003</v>
      </c>
      <c r="M294" s="147">
        <f>SUMIF(B:B,A294,M:M)</f>
        <v>2733.0598056000003</v>
      </c>
      <c r="N294" s="145">
        <f>O294/J294</f>
        <v>9.5422234667104353E-2</v>
      </c>
      <c r="O294" s="147">
        <f>SUMIF(B:B,A294,O:O)</f>
        <v>239.47548640000005</v>
      </c>
      <c r="P294" s="148">
        <f>SUMIF(B:B,A294,P:P)</f>
        <v>2749.1157944000001</v>
      </c>
    </row>
    <row r="295" spans="1:16" x14ac:dyDescent="0.25">
      <c r="A295" s="149" t="s">
        <v>120</v>
      </c>
      <c r="B295" s="2" t="s">
        <v>229</v>
      </c>
      <c r="C295" s="299" t="str">
        <f>_xlfn.XLOOKUP(B295,'Brand Managers'!A:A,'Brand Managers'!B:B)</f>
        <v>Jason Koo</v>
      </c>
      <c r="D295" s="42" t="str">
        <f>_xlfn.XLOOKUP(F295,'DATA - Segments'!C:C,'DATA - Segments'!D:D)</f>
        <v>Beer</v>
      </c>
      <c r="E295" s="42" t="str">
        <f>_xlfn.XLOOKUP(F295,'DATA - Segments'!C:C,'DATA - Segments'!E:E)</f>
        <v>Beer - Import</v>
      </c>
      <c r="F295" s="203" t="str">
        <f t="shared" si="125"/>
        <v>Mythos|Prestige</v>
      </c>
      <c r="G295" s="203" t="str">
        <f t="shared" si="115"/>
        <v>Mythos|Prestige|Beer|Beer - Import</v>
      </c>
      <c r="H295" s="150">
        <f>_xlfn.XLOOKUP(F295,'DATA - 2025 Review'!C:C,'DATA - 2025 Review'!I:I,"")</f>
        <v>2195.6566818310398</v>
      </c>
      <c r="I295" s="151">
        <f>_xlfn.XLOOKUP(F295,'DATA - 2025 Review'!C:C,'DATA - 2025 Review'!J:J)</f>
        <v>0.17302379241516941</v>
      </c>
      <c r="J295" s="150">
        <f>_xlfn.XLOOKUP(F295,'2025 Finish (ACTUAL)'!$C:$C,'2025 Finish (ACTUAL)'!$D:$D)</f>
        <v>2234.1949760000002</v>
      </c>
      <c r="K295" s="146">
        <v>0.1</v>
      </c>
      <c r="L295" s="152">
        <f t="shared" ref="L295:L298" si="138">K295*J295</f>
        <v>223.41949760000003</v>
      </c>
      <c r="M295" s="152">
        <f t="shared" ref="M295:M298" si="139">L295+J295</f>
        <v>2457.6144736000001</v>
      </c>
      <c r="N295" s="146">
        <v>0.1</v>
      </c>
      <c r="O295" s="152">
        <f t="shared" ref="O295:O298" si="140">N295*J295</f>
        <v>223.41949760000003</v>
      </c>
      <c r="P295" s="69">
        <f t="shared" ref="P295:P298" si="141">O295+J295</f>
        <v>2457.6144736000001</v>
      </c>
    </row>
    <row r="296" spans="1:16" x14ac:dyDescent="0.25">
      <c r="A296" s="149" t="s">
        <v>383</v>
      </c>
      <c r="B296" s="2" t="s">
        <v>229</v>
      </c>
      <c r="C296" s="299" t="str">
        <f>_xlfn.XLOOKUP(B296,'Brand Managers'!A:A,'Brand Managers'!B:B)</f>
        <v>Jason Koo</v>
      </c>
      <c r="D296" s="42" t="str">
        <f>_xlfn.XLOOKUP(F296,'DATA - Segments'!C:C,'DATA - Segments'!D:D)</f>
        <v>Wine</v>
      </c>
      <c r="E296" s="42" t="str">
        <f>_xlfn.XLOOKUP(F296,'DATA - Segments'!C:C,'DATA - Segments'!E:E)</f>
        <v>Wine - White</v>
      </c>
      <c r="F296" s="203" t="str">
        <f t="shared" si="125"/>
        <v>Greek Wines|Prestige</v>
      </c>
      <c r="G296" s="203" t="str">
        <f t="shared" si="115"/>
        <v>Greek Wines|Prestige|Wine|Wine - White</v>
      </c>
      <c r="H296" s="150">
        <f>_xlfn.XLOOKUP(F296,'DATA - 2025 Review'!C:C,'DATA - 2025 Review'!I:I,"")</f>
        <v>143.7353511872</v>
      </c>
      <c r="I296" s="151">
        <f>_xlfn.XLOOKUP(F296,'DATA - 2025 Review'!C:C,'DATA - 2025 Review'!J:J)</f>
        <v>-4.8780419580419565E-2</v>
      </c>
      <c r="J296" s="150">
        <f>_xlfn.XLOOKUP(F296,'2025 Finish (ACTUAL)'!$C:$C,'2025 Finish (ACTUAL)'!$D:$D)</f>
        <v>150.04969600000001</v>
      </c>
      <c r="K296" s="146"/>
      <c r="L296" s="152">
        <f t="shared" si="138"/>
        <v>0</v>
      </c>
      <c r="M296" s="152">
        <f t="shared" si="139"/>
        <v>150.04969600000001</v>
      </c>
      <c r="N296" s="146">
        <v>0.1</v>
      </c>
      <c r="O296" s="152">
        <f t="shared" si="140"/>
        <v>15.004969600000003</v>
      </c>
      <c r="P296" s="69">
        <f t="shared" si="141"/>
        <v>165.05466560000002</v>
      </c>
    </row>
    <row r="297" spans="1:16" x14ac:dyDescent="0.25">
      <c r="A297" s="149" t="s">
        <v>253</v>
      </c>
      <c r="B297" s="2" t="s">
        <v>229</v>
      </c>
      <c r="C297" s="299" t="str">
        <f>_xlfn.XLOOKUP(B297,'Brand Managers'!A:A,'Brand Managers'!B:B)</f>
        <v>Jason Koo</v>
      </c>
      <c r="D297" s="42" t="str">
        <f>_xlfn.XLOOKUP(F297,'DATA - Segments'!C:C,'DATA - Segments'!D:D)</f>
        <v>Spirits</v>
      </c>
      <c r="E297" s="42" t="str">
        <f>_xlfn.XLOOKUP(F297,'DATA - Segments'!C:C,'DATA - Segments'!E:E)</f>
        <v>Spirits - Other</v>
      </c>
      <c r="F297" s="203" t="str">
        <f t="shared" si="125"/>
        <v>Greek Spirits|Prestige</v>
      </c>
      <c r="G297" s="203" t="str">
        <f t="shared" si="115"/>
        <v>Greek Spirits|Prestige|Spirits|Spirits - Other</v>
      </c>
      <c r="H297" s="150">
        <f>_xlfn.XLOOKUP(F297,'DATA - 2025 Review'!C:C,'DATA - 2025 Review'!I:I,"")</f>
        <v>10.795905641568</v>
      </c>
      <c r="I297" s="151">
        <f>_xlfn.XLOOKUP(F297,'DATA - 2025 Review'!C:C,'DATA - 2025 Review'!J:J)</f>
        <v>0.13519323706272179</v>
      </c>
      <c r="J297" s="150">
        <f>_xlfn.XLOOKUP(F297,'2025 Finish (ACTUAL)'!$C:$C,'2025 Finish (ACTUAL)'!$D:$D)</f>
        <v>10.510192</v>
      </c>
      <c r="K297" s="146"/>
      <c r="L297" s="152">
        <f t="shared" si="138"/>
        <v>0</v>
      </c>
      <c r="M297" s="152">
        <f t="shared" si="139"/>
        <v>10.510192</v>
      </c>
      <c r="N297" s="146">
        <v>0.1</v>
      </c>
      <c r="O297" s="152">
        <f t="shared" si="140"/>
        <v>1.0510192</v>
      </c>
      <c r="P297" s="69">
        <f t="shared" si="141"/>
        <v>11.561211200000001</v>
      </c>
    </row>
    <row r="298" spans="1:16" x14ac:dyDescent="0.25">
      <c r="A298" s="149" t="s">
        <v>121</v>
      </c>
      <c r="B298" s="2" t="s">
        <v>229</v>
      </c>
      <c r="C298" s="299" t="str">
        <f>_xlfn.XLOOKUP(B298,'Brand Managers'!A:A,'Brand Managers'!B:B)</f>
        <v>Jason Koo</v>
      </c>
      <c r="D298" s="42" t="str">
        <f>_xlfn.XLOOKUP(F298,'DATA - Segments'!C:C,'DATA - Segments'!D:D)</f>
        <v>Beer</v>
      </c>
      <c r="E298" s="42" t="str">
        <f>_xlfn.XLOOKUP(F298,'DATA - Segments'!C:C,'DATA - Segments'!E:E)</f>
        <v>Beer - Import</v>
      </c>
      <c r="F298" s="203" t="str">
        <f t="shared" si="125"/>
        <v>Fix Hellas|Prestige</v>
      </c>
      <c r="G298" s="203" t="str">
        <f t="shared" si="115"/>
        <v>Fix Hellas|Prestige|Beer|Beer - Import</v>
      </c>
      <c r="H298" s="150">
        <f>_xlfn.XLOOKUP(F298,'DATA - 2025 Review'!C:C,'DATA - 2025 Review'!I:I,"")</f>
        <v>108.34724799999999</v>
      </c>
      <c r="I298" s="151">
        <f>_xlfn.XLOOKUP(F298,'DATA - 2025 Review'!C:C,'DATA - 2025 Review'!J:J)</f>
        <v>-0.23684210526315785</v>
      </c>
      <c r="J298" s="150">
        <f>_xlfn.XLOOKUP(F298,'2025 Finish (ACTUAL)'!$C:$C,'2025 Finish (ACTUAL)'!$D:$D)</f>
        <v>114.88544400000001</v>
      </c>
      <c r="K298" s="146">
        <v>0</v>
      </c>
      <c r="L298" s="152">
        <f t="shared" si="138"/>
        <v>0</v>
      </c>
      <c r="M298" s="152">
        <f t="shared" si="139"/>
        <v>114.88544400000001</v>
      </c>
      <c r="N298" s="146">
        <v>0</v>
      </c>
      <c r="O298" s="152">
        <f t="shared" si="140"/>
        <v>0</v>
      </c>
      <c r="P298" s="69">
        <f t="shared" si="141"/>
        <v>114.88544400000001</v>
      </c>
    </row>
    <row r="299" spans="1:16" x14ac:dyDescent="0.25">
      <c r="A299" s="143" t="s">
        <v>45</v>
      </c>
      <c r="B299" s="202"/>
      <c r="C299" s="202" t="str">
        <f>_xlfn.XLOOKUP(A299,'Brand Managers'!A:A,'Brand Managers'!B:B)</f>
        <v>Sean Donahue</v>
      </c>
      <c r="D299" s="202"/>
      <c r="E299" s="202"/>
      <c r="F299" s="203" t="str">
        <f t="shared" si="125"/>
        <v>Bold Rock Hard Cider|</v>
      </c>
      <c r="G299" s="203" t="str">
        <f t="shared" si="115"/>
        <v>Bold Rock Hard Cider|||</v>
      </c>
      <c r="H299" s="144">
        <f>_xlfn.XLOOKUP(F299,'DATA - 2025 Review'!C:C,'DATA - 2025 Review'!I:I,"")</f>
        <v>520.66440542690805</v>
      </c>
      <c r="I299" s="145">
        <f>_xlfn.XLOOKUP(F299,'DATA - 2025 Review'!C:C,'DATA - 2025 Review'!J:J)</f>
        <v>-0.53654637434624064</v>
      </c>
      <c r="J299" s="144">
        <f>_xlfn.XLOOKUP(F299,'2025 Finish (ACTUAL)'!$C:$C,'2025 Finish (ACTUAL)'!$D:$D)</f>
        <v>510.12499600000001</v>
      </c>
      <c r="K299" s="145">
        <f>L299/J299</f>
        <v>0.01</v>
      </c>
      <c r="L299" s="147">
        <f>SUMIF(B:B,A299,L:L)</f>
        <v>5.1012499600000005</v>
      </c>
      <c r="M299" s="147">
        <f>SUMIF(B:B,A299,M:M)</f>
        <v>515.22624596000003</v>
      </c>
      <c r="N299" s="145">
        <f>O299/J299</f>
        <v>0.01</v>
      </c>
      <c r="O299" s="147">
        <f>SUMIF(B:B,A299,O:O)</f>
        <v>5.1012499600000005</v>
      </c>
      <c r="P299" s="148">
        <f>SUMIF(B:B,A299,P:P)</f>
        <v>515.22624596000003</v>
      </c>
    </row>
    <row r="300" spans="1:16" x14ac:dyDescent="0.25">
      <c r="A300" s="149" t="s">
        <v>146</v>
      </c>
      <c r="B300" s="2" t="s">
        <v>45</v>
      </c>
      <c r="C300" s="299" t="str">
        <f>_xlfn.XLOOKUP(B300,'Brand Managers'!A:A,'Brand Managers'!B:B)</f>
        <v>Sean Donahue</v>
      </c>
      <c r="D300" s="42" t="str">
        <f>_xlfn.XLOOKUP(F300,'DATA - Segments'!C:C,'DATA - Segments'!D:D)</f>
        <v>Cider</v>
      </c>
      <c r="E300" s="42" t="str">
        <f>_xlfn.XLOOKUP(F300,'DATA - Segments'!C:C,'DATA - Segments'!E:E)</f>
        <v>Cider</v>
      </c>
      <c r="F300" s="203" t="str">
        <f t="shared" si="125"/>
        <v>Bold Rock|Bold Rock Hard Cider</v>
      </c>
      <c r="G300" s="203" t="str">
        <f t="shared" si="115"/>
        <v>Bold Rock|Bold Rock Hard Cider|Cider|Cider</v>
      </c>
      <c r="H300" s="150">
        <f>_xlfn.XLOOKUP(F300,'DATA - 2025 Review'!C:C,'DATA - 2025 Review'!I:I,"")</f>
        <v>520.66440542690805</v>
      </c>
      <c r="I300" s="151">
        <f>_xlfn.XLOOKUP(F300,'DATA - 2025 Review'!C:C,'DATA - 2025 Review'!J:J)</f>
        <v>-0.53654637434624064</v>
      </c>
      <c r="J300" s="150">
        <f>_xlfn.XLOOKUP(F300,'2025 Finish (ACTUAL)'!$C:$C,'2025 Finish (ACTUAL)'!$D:$D)</f>
        <v>510.12499600000001</v>
      </c>
      <c r="K300" s="146">
        <v>0.01</v>
      </c>
      <c r="L300" s="152">
        <f t="shared" ref="L300" si="142">K300*J300</f>
        <v>5.1012499600000005</v>
      </c>
      <c r="M300" s="152">
        <f>L300+J300</f>
        <v>515.22624596000003</v>
      </c>
      <c r="N300" s="146">
        <v>0.01</v>
      </c>
      <c r="O300" s="152">
        <f>N300*J300</f>
        <v>5.1012499600000005</v>
      </c>
      <c r="P300" s="69">
        <f>O300+J300</f>
        <v>515.22624596000003</v>
      </c>
    </row>
    <row r="301" spans="1:16" x14ac:dyDescent="0.25">
      <c r="A301" s="143" t="s">
        <v>408</v>
      </c>
      <c r="B301" s="202"/>
      <c r="C301" s="202" t="str">
        <f>_xlfn.XLOOKUP(A301,'Brand Managers'!A:A,'Brand Managers'!B:B)</f>
        <v>Sean Donahue</v>
      </c>
      <c r="D301" s="202"/>
      <c r="E301" s="202"/>
      <c r="F301" s="203" t="str">
        <f t="shared" si="125"/>
        <v>Ithaca|</v>
      </c>
      <c r="G301" s="203" t="str">
        <f t="shared" si="115"/>
        <v>Ithaca|||</v>
      </c>
      <c r="H301" s="144">
        <f>_xlfn.XLOOKUP(F301,'DATA - 2025 Review'!C:C,'DATA - 2025 Review'!I:I,"")</f>
        <v>747.78004737025503</v>
      </c>
      <c r="I301" s="145">
        <f>_xlfn.XLOOKUP(F301,'DATA - 2025 Review'!C:C,'DATA - 2025 Review'!J:J)</f>
        <v>-0.37463508998887829</v>
      </c>
      <c r="J301" s="144">
        <f>_xlfn.XLOOKUP(F301,'2025 Finish (ACTUAL)'!$C:$C,'2025 Finish (ACTUAL)'!$D:$D)</f>
        <v>729.69443200000001</v>
      </c>
      <c r="K301" s="145">
        <f>L301/J301</f>
        <v>-0.25</v>
      </c>
      <c r="L301" s="147">
        <f>SUMIF(B:B,A301,L:L)</f>
        <v>-182.423608</v>
      </c>
      <c r="M301" s="147">
        <f>SUMIF(B:B,A301,M:M)</f>
        <v>547.27082399999995</v>
      </c>
      <c r="N301" s="145">
        <f>O301/J301</f>
        <v>-0.25</v>
      </c>
      <c r="O301" s="147">
        <f>SUMIF(B:B,A301,O:O)</f>
        <v>-182.423608</v>
      </c>
      <c r="P301" s="148">
        <f>SUMIF(B:B,A301,P:P)</f>
        <v>547.27082399999995</v>
      </c>
    </row>
    <row r="302" spans="1:16" x14ac:dyDescent="0.25">
      <c r="A302" s="149" t="s">
        <v>408</v>
      </c>
      <c r="B302" s="2" t="s">
        <v>408</v>
      </c>
      <c r="C302" s="299" t="str">
        <f>_xlfn.XLOOKUP(B302,'Brand Managers'!A:A,'Brand Managers'!B:B)</f>
        <v>Sean Donahue</v>
      </c>
      <c r="D302" s="42" t="str">
        <f>_xlfn.XLOOKUP(F302,'DATA - Segments'!C:C,'DATA - Segments'!D:D)</f>
        <v>Beer</v>
      </c>
      <c r="E302" s="42" t="str">
        <f>_xlfn.XLOOKUP(F302,'DATA - Segments'!C:C,'DATA - Segments'!E:E)</f>
        <v>Beer - Craft</v>
      </c>
      <c r="F302" s="203" t="str">
        <f t="shared" si="125"/>
        <v>Ithaca|Ithaca</v>
      </c>
      <c r="G302" s="203" t="str">
        <f t="shared" si="115"/>
        <v>Ithaca|Ithaca|Beer|Beer - Craft</v>
      </c>
      <c r="H302" s="150">
        <f>_xlfn.XLOOKUP(F302,'DATA - 2025 Review'!C:C,'DATA - 2025 Review'!I:I,"")</f>
        <v>747.78004737025503</v>
      </c>
      <c r="I302" s="151">
        <f>_xlfn.XLOOKUP(F302,'DATA - 2025 Review'!C:C,'DATA - 2025 Review'!J:J)</f>
        <v>-0.37463508998887829</v>
      </c>
      <c r="J302" s="150">
        <f>_xlfn.XLOOKUP(F302,'2025 Finish (ACTUAL)'!$C:$C,'2025 Finish (ACTUAL)'!$D:$D)</f>
        <v>729.69443200000001</v>
      </c>
      <c r="K302" s="146">
        <v>-0.25</v>
      </c>
      <c r="L302" s="152">
        <f t="shared" ref="L302" si="143">K302*J302</f>
        <v>-182.423608</v>
      </c>
      <c r="M302" s="152">
        <f>L302+J302</f>
        <v>547.27082399999995</v>
      </c>
      <c r="N302" s="146">
        <v>-0.25</v>
      </c>
      <c r="O302" s="152">
        <f>N302*J302</f>
        <v>-182.423608</v>
      </c>
      <c r="P302" s="69">
        <f>O302+J302</f>
        <v>547.27082399999995</v>
      </c>
    </row>
    <row r="303" spans="1:16" x14ac:dyDescent="0.25">
      <c r="A303" s="143" t="s">
        <v>147</v>
      </c>
      <c r="B303" s="202"/>
      <c r="C303" s="202" t="str">
        <f>_xlfn.XLOOKUP(A303,'Brand Managers'!A:A,'Brand Managers'!B:B)</f>
        <v>Sean Donahue</v>
      </c>
      <c r="D303" s="202"/>
      <c r="E303" s="202"/>
      <c r="F303" s="203" t="str">
        <f t="shared" si="125"/>
        <v>Duclaw Brewing|</v>
      </c>
      <c r="G303" s="203" t="str">
        <f t="shared" si="115"/>
        <v>Duclaw Brewing|||</v>
      </c>
      <c r="H303" s="144">
        <f>_xlfn.XLOOKUP(F303,'DATA - 2025 Review'!C:C,'DATA - 2025 Review'!I:I,"")</f>
        <v>990.21988995652896</v>
      </c>
      <c r="I303" s="145">
        <f>_xlfn.XLOOKUP(F303,'DATA - 2025 Review'!C:C,'DATA - 2025 Review'!J:J)</f>
        <v>-0.38664707570356793</v>
      </c>
      <c r="J303" s="144">
        <f>_xlfn.XLOOKUP(F303,'2025 Finish (ACTUAL)'!$C:$C,'2025 Finish (ACTUAL)'!$D:$D)</f>
        <v>946.54162199999996</v>
      </c>
      <c r="K303" s="145">
        <f>L303/J303</f>
        <v>-1</v>
      </c>
      <c r="L303" s="147">
        <f>SUMIF(B:B,A303,L:L)</f>
        <v>-946.54162199999996</v>
      </c>
      <c r="M303" s="147">
        <f>SUMIF(B:B,A303,M:M)</f>
        <v>0</v>
      </c>
      <c r="N303" s="145">
        <f>O303/J303</f>
        <v>-1</v>
      </c>
      <c r="O303" s="147">
        <f>SUMIF(B:B,A303,O:O)</f>
        <v>-946.54162199999996</v>
      </c>
      <c r="P303" s="148">
        <f>SUMIF(B:B,A303,P:P)</f>
        <v>0</v>
      </c>
    </row>
    <row r="304" spans="1:16" x14ac:dyDescent="0.25">
      <c r="A304" s="156" t="s">
        <v>326</v>
      </c>
      <c r="B304" s="283" t="s">
        <v>147</v>
      </c>
      <c r="C304" s="283"/>
      <c r="D304" s="42" t="str">
        <f>_xlfn.XLOOKUP(F304,'DATA - Segments'!C:C,'DATA - Segments'!D:D)</f>
        <v>Beer</v>
      </c>
      <c r="E304" s="42" t="str">
        <f>_xlfn.XLOOKUP(F304,'DATA - Segments'!C:C,'DATA - Segments'!E:E)</f>
        <v>Beer - Craft</v>
      </c>
      <c r="F304" s="203" t="str">
        <f t="shared" si="125"/>
        <v>Duclaw|Duclaw Brewing</v>
      </c>
      <c r="G304" s="203" t="str">
        <f t="shared" si="115"/>
        <v>Duclaw|Duclaw Brewing|Beer|Beer - Craft</v>
      </c>
      <c r="H304" s="273">
        <f>_xlfn.XLOOKUP(F304,'DATA - 2025 Review'!C:C,'DATA - 2025 Review'!I:I,"")</f>
        <v>990.21988995652896</v>
      </c>
      <c r="I304" s="281">
        <f>_xlfn.XLOOKUP(F304,'DATA - 2025 Review'!C:C,'DATA - 2025 Review'!J:J)</f>
        <v>-0.38664707570356793</v>
      </c>
      <c r="J304" s="273">
        <f>_xlfn.XLOOKUP(F304,'2025 Finish (ACTUAL)'!$C:$C,'2025 Finish (ACTUAL)'!$D:$D)</f>
        <v>946.54162199999996</v>
      </c>
      <c r="K304" s="281">
        <v>-1</v>
      </c>
      <c r="L304" s="274">
        <f t="shared" ref="L304" si="144">K304*J304</f>
        <v>-946.54162199999996</v>
      </c>
      <c r="M304" s="274">
        <f>L304+J304</f>
        <v>0</v>
      </c>
      <c r="N304" s="281">
        <v>-1</v>
      </c>
      <c r="O304" s="274">
        <f>N304*J304</f>
        <v>-946.54162199999996</v>
      </c>
      <c r="P304" s="275">
        <f>O304+J304</f>
        <v>0</v>
      </c>
    </row>
    <row r="305" spans="1:16" x14ac:dyDescent="0.25">
      <c r="A305" s="143" t="s">
        <v>20</v>
      </c>
      <c r="B305" s="202"/>
      <c r="C305" s="202" t="str">
        <f>_xlfn.XLOOKUP(A305,'Brand Managers'!A:A,'Brand Managers'!B:B)</f>
        <v>Chris Politano</v>
      </c>
      <c r="D305" s="202"/>
      <c r="E305" s="202"/>
      <c r="F305" s="203" t="str">
        <f t="shared" si="125"/>
        <v>Forged Irish Stout|</v>
      </c>
      <c r="G305" s="203" t="str">
        <f t="shared" si="115"/>
        <v>Forged Irish Stout|||</v>
      </c>
      <c r="H305" s="144">
        <f>_xlfn.XLOOKUP(F305,'DATA - 2025 Review'!C:C,'DATA - 2025 Review'!I:I,"")</f>
        <v>1003.253305364637</v>
      </c>
      <c r="I305" s="145">
        <f>_xlfn.XLOOKUP(F305,'DATA - 2025 Review'!C:C,'DATA - 2025 Review'!J:J)</f>
        <v>-0.59730726298239989</v>
      </c>
      <c r="J305" s="144">
        <f>_xlfn.XLOOKUP(F305,'2025 Finish (ACTUAL)'!$C:$C,'2025 Finish (ACTUAL)'!$D:$D)</f>
        <v>1044.2224659999999</v>
      </c>
      <c r="K305" s="145">
        <f>L305/J305</f>
        <v>0</v>
      </c>
      <c r="L305" s="147">
        <f>SUMIF(B:B,A305,L:L)</f>
        <v>0</v>
      </c>
      <c r="M305" s="147">
        <f>SUMIF(B:B,A305,M:M)</f>
        <v>1044.2224659999999</v>
      </c>
      <c r="N305" s="145">
        <f>O305/J305</f>
        <v>0</v>
      </c>
      <c r="O305" s="147">
        <f>SUMIF(B:B,A305,O:O)</f>
        <v>0</v>
      </c>
      <c r="P305" s="148">
        <f>SUMIF(B:B,A305,P:P)</f>
        <v>1044.2224659999999</v>
      </c>
    </row>
    <row r="306" spans="1:16" x14ac:dyDescent="0.25">
      <c r="A306" s="149" t="s">
        <v>20</v>
      </c>
      <c r="B306" s="2" t="s">
        <v>20</v>
      </c>
      <c r="C306" s="299" t="str">
        <f>_xlfn.XLOOKUP(B306,'Brand Managers'!A:A,'Brand Managers'!B:B)</f>
        <v>Chris Politano</v>
      </c>
      <c r="D306" s="42" t="str">
        <f>_xlfn.XLOOKUP(F306,'DATA - Segments'!C:C,'DATA - Segments'!D:D)</f>
        <v>Beer</v>
      </c>
      <c r="E306" s="42" t="str">
        <f>_xlfn.XLOOKUP(F306,'DATA - Segments'!C:C,'DATA - Segments'!E:E)</f>
        <v>Beer - Import</v>
      </c>
      <c r="F306" s="203" t="str">
        <f t="shared" si="125"/>
        <v>Forged Irish Stout|Forged Irish Stout</v>
      </c>
      <c r="G306" s="203" t="str">
        <f t="shared" si="115"/>
        <v>Forged Irish Stout|Forged Irish Stout|Beer|Beer - Import</v>
      </c>
      <c r="H306" s="150">
        <f>_xlfn.XLOOKUP(F306,'DATA - 2025 Review'!C:C,'DATA - 2025 Review'!I:I,"")</f>
        <v>1003.253305364637</v>
      </c>
      <c r="I306" s="151">
        <f>_xlfn.XLOOKUP(F306,'DATA - 2025 Review'!C:C,'DATA - 2025 Review'!J:J)</f>
        <v>-0.59730726298239989</v>
      </c>
      <c r="J306" s="150">
        <f>_xlfn.XLOOKUP(F306,'2025 Finish (ACTUAL)'!$C:$C,'2025 Finish (ACTUAL)'!$D:$D)</f>
        <v>1044.2224659999999</v>
      </c>
      <c r="K306" s="146">
        <v>0</v>
      </c>
      <c r="L306" s="152">
        <f t="shared" ref="L306" si="145">K306*J306</f>
        <v>0</v>
      </c>
      <c r="M306" s="152">
        <f>L306+J306</f>
        <v>1044.2224659999999</v>
      </c>
      <c r="N306" s="146">
        <v>0</v>
      </c>
      <c r="O306" s="152">
        <f>N306*J306</f>
        <v>0</v>
      </c>
      <c r="P306" s="69">
        <f>O306+J306</f>
        <v>1044.2224659999999</v>
      </c>
    </row>
    <row r="307" spans="1:16" x14ac:dyDescent="0.25">
      <c r="A307" s="143" t="s">
        <v>198</v>
      </c>
      <c r="B307" s="202"/>
      <c r="C307" s="202" t="str">
        <f>_xlfn.XLOOKUP(A307,'Brand Managers'!A:A,'Brand Managers'!B:B)</f>
        <v>Chris Politano</v>
      </c>
      <c r="D307" s="202"/>
      <c r="E307" s="202"/>
      <c r="F307" s="203" t="str">
        <f t="shared" si="125"/>
        <v>Talkhouse Encore|</v>
      </c>
      <c r="G307" s="203" t="str">
        <f t="shared" si="115"/>
        <v>Talkhouse Encore|||</v>
      </c>
      <c r="H307" s="144">
        <f>_xlfn.XLOOKUP(F307,'DATA - 2025 Review'!C:C,'DATA - 2025 Review'!I:I,"")</f>
        <v>1647.2476120000001</v>
      </c>
      <c r="I307" s="145">
        <f>_xlfn.XLOOKUP(F307,'DATA - 2025 Review'!C:C,'DATA - 2025 Review'!J:J)</f>
        <v>1.4476190371471027</v>
      </c>
      <c r="J307" s="144">
        <f>_xlfn.XLOOKUP(F307,'2025 Finish (ACTUAL)'!$C:$C,'2025 Finish (ACTUAL)'!$D:$D)</f>
        <v>1376</v>
      </c>
      <c r="K307" s="145">
        <f>L307/J307</f>
        <v>0.25</v>
      </c>
      <c r="L307" s="147">
        <f>SUMIF(B:B,A307,L:L)</f>
        <v>344</v>
      </c>
      <c r="M307" s="147">
        <f>SUMIF(B:B,A307,M:M)</f>
        <v>1720</v>
      </c>
      <c r="N307" s="145">
        <f>O307/J307</f>
        <v>0.25</v>
      </c>
      <c r="O307" s="147">
        <f>SUMIF(B:B,A307,O:O)</f>
        <v>344</v>
      </c>
      <c r="P307" s="148">
        <f>SUMIF(B:B,A307,P:P)</f>
        <v>1720</v>
      </c>
    </row>
    <row r="308" spans="1:16" x14ac:dyDescent="0.25">
      <c r="A308" s="149" t="s">
        <v>198</v>
      </c>
      <c r="B308" s="2" t="s">
        <v>198</v>
      </c>
      <c r="C308" s="299" t="str">
        <f>_xlfn.XLOOKUP(B308,'Brand Managers'!A:A,'Brand Managers'!B:B)</f>
        <v>Chris Politano</v>
      </c>
      <c r="D308" s="42" t="str">
        <f>_xlfn.XLOOKUP(F308,'DATA - Segments'!C:C,'DATA - Segments'!D:D)</f>
        <v>FMB</v>
      </c>
      <c r="E308" s="42" t="str">
        <f>_xlfn.XLOOKUP(F308,'DATA - Segments'!C:C,'DATA - Segments'!E:E)</f>
        <v>FMB</v>
      </c>
      <c r="F308" s="203" t="str">
        <f t="shared" si="125"/>
        <v>Talkhouse Encore|Talkhouse Encore</v>
      </c>
      <c r="G308" s="203" t="str">
        <f t="shared" si="115"/>
        <v>Talkhouse Encore|Talkhouse Encore|FMB|FMB</v>
      </c>
      <c r="H308" s="150">
        <f>_xlfn.XLOOKUP(F308,'DATA - 2025 Review'!C:C,'DATA - 2025 Review'!I:I,"")</f>
        <v>1647.2476120000001</v>
      </c>
      <c r="I308" s="151">
        <f>_xlfn.XLOOKUP(F308,'DATA - 2025 Review'!C:C,'DATA - 2025 Review'!J:J)</f>
        <v>1.4476190371471027</v>
      </c>
      <c r="J308" s="150">
        <f>_xlfn.XLOOKUP(F308,'2025 Finish (ACTUAL)'!$C:$C,'2025 Finish (ACTUAL)'!$D:$D)</f>
        <v>1376</v>
      </c>
      <c r="K308" s="146">
        <v>0.25</v>
      </c>
      <c r="L308" s="152">
        <f t="shared" ref="L308" si="146">K308*J308</f>
        <v>344</v>
      </c>
      <c r="M308" s="152">
        <f>L308+J308</f>
        <v>1720</v>
      </c>
      <c r="N308" s="146">
        <v>0.25</v>
      </c>
      <c r="O308" s="152">
        <f>N308*J308</f>
        <v>344</v>
      </c>
      <c r="P308" s="69">
        <f>O308+J308</f>
        <v>1720</v>
      </c>
    </row>
    <row r="309" spans="1:16" x14ac:dyDescent="0.25">
      <c r="A309" s="143" t="s">
        <v>75</v>
      </c>
      <c r="B309" s="202"/>
      <c r="C309" s="202" t="str">
        <f>_xlfn.XLOOKUP(A309,'Brand Managers'!A:A,'Brand Managers'!B:B)</f>
        <v>Sean Donahue</v>
      </c>
      <c r="D309" s="202"/>
      <c r="E309" s="202"/>
      <c r="F309" s="203" t="str">
        <f t="shared" si="125"/>
        <v>Cricket Hill|</v>
      </c>
      <c r="G309" s="203" t="str">
        <f t="shared" si="115"/>
        <v>Cricket Hill|||</v>
      </c>
      <c r="H309" s="144">
        <f>_xlfn.XLOOKUP(F309,'DATA - 2025 Review'!C:C,'DATA - 2025 Review'!I:I,"")</f>
        <v>564.95163457676995</v>
      </c>
      <c r="I309" s="145">
        <f>_xlfn.XLOOKUP(F309,'DATA - 2025 Review'!C:C,'DATA - 2025 Review'!J:J)</f>
        <v>-0.51817001001475127</v>
      </c>
      <c r="J309" s="144">
        <f>_xlfn.XLOOKUP(F309,'2025 Finish (ACTUAL)'!$C:$C,'2025 Finish (ACTUAL)'!$D:$D)</f>
        <v>510.91643499999998</v>
      </c>
      <c r="K309" s="145">
        <f>L309/J309</f>
        <v>-1</v>
      </c>
      <c r="L309" s="147">
        <f>SUMIF(B:B,A309,L:L)</f>
        <v>-510.91643499999998</v>
      </c>
      <c r="M309" s="147">
        <f>SUMIF(B:B,A309,M:M)</f>
        <v>0</v>
      </c>
      <c r="N309" s="145">
        <f>O309/J309</f>
        <v>-1</v>
      </c>
      <c r="O309" s="147">
        <f>SUMIF(B:B,A309,O:O)</f>
        <v>-510.91643499999998</v>
      </c>
      <c r="P309" s="148">
        <f>SUMIF(B:B,A309,P:P)</f>
        <v>0</v>
      </c>
    </row>
    <row r="310" spans="1:16" x14ac:dyDescent="0.25">
      <c r="A310" s="156" t="s">
        <v>75</v>
      </c>
      <c r="B310" s="283" t="s">
        <v>75</v>
      </c>
      <c r="C310" s="283"/>
      <c r="D310" s="42" t="str">
        <f>_xlfn.XLOOKUP(F310,'DATA - Segments'!C:C,'DATA - Segments'!D:D)</f>
        <v>Beer</v>
      </c>
      <c r="E310" s="42" t="str">
        <f>_xlfn.XLOOKUP(F310,'DATA - Segments'!C:C,'DATA - Segments'!E:E)</f>
        <v>Beer - Craft</v>
      </c>
      <c r="F310" s="203" t="str">
        <f t="shared" si="125"/>
        <v>Cricket Hill|Cricket Hill</v>
      </c>
      <c r="G310" s="203" t="str">
        <f t="shared" si="115"/>
        <v>Cricket Hill|Cricket Hill|Beer|Beer - Craft</v>
      </c>
      <c r="H310" s="273">
        <f>_xlfn.XLOOKUP(F310,'DATA - 2025 Review'!C:C,'DATA - 2025 Review'!I:I,"")</f>
        <v>564.95163457676995</v>
      </c>
      <c r="I310" s="281">
        <f>_xlfn.XLOOKUP(F310,'DATA - 2025 Review'!C:C,'DATA - 2025 Review'!J:J)</f>
        <v>-0.51817001001475127</v>
      </c>
      <c r="J310" s="273">
        <f>_xlfn.XLOOKUP(F310,'2025 Finish (ACTUAL)'!$C:$C,'2025 Finish (ACTUAL)'!$D:$D)</f>
        <v>510.91643499999998</v>
      </c>
      <c r="K310" s="281">
        <v>-1</v>
      </c>
      <c r="L310" s="274">
        <f t="shared" ref="L310" si="147">K310*J310</f>
        <v>-510.91643499999998</v>
      </c>
      <c r="M310" s="274">
        <f>L310+J310</f>
        <v>0</v>
      </c>
      <c r="N310" s="281">
        <v>-1</v>
      </c>
      <c r="O310" s="274">
        <f>N310*J310</f>
        <v>-510.91643499999998</v>
      </c>
      <c r="P310" s="275">
        <f>O310+J310</f>
        <v>0</v>
      </c>
    </row>
    <row r="311" spans="1:16" x14ac:dyDescent="0.25">
      <c r="A311" s="143" t="s">
        <v>46</v>
      </c>
      <c r="B311" s="202"/>
      <c r="C311" s="202" t="str">
        <f>_xlfn.XLOOKUP(A311,'Brand Managers'!A:A,'Brand Managers'!B:B)</f>
        <v>Steve Halloran</v>
      </c>
      <c r="D311" s="202"/>
      <c r="E311" s="202"/>
      <c r="F311" s="203" t="str">
        <f t="shared" si="125"/>
        <v>HOP WTR|</v>
      </c>
      <c r="G311" s="203" t="str">
        <f t="shared" si="115"/>
        <v>HOP WTR|||</v>
      </c>
      <c r="H311" s="144">
        <f>_xlfn.XLOOKUP(F311,'DATA - 2025 Review'!C:C,'DATA - 2025 Review'!I:I,"")</f>
        <v>977.00407364760804</v>
      </c>
      <c r="I311" s="145">
        <f>_xlfn.XLOOKUP(F311,'DATA - 2025 Review'!C:C,'DATA - 2025 Review'!J:J)</f>
        <v>6.7922039366175024E-2</v>
      </c>
      <c r="J311" s="144">
        <f>_xlfn.XLOOKUP(F311,'2025 Finish (ACTUAL)'!$C:$C,'2025 Finish (ACTUAL)'!$D:$D)</f>
        <v>927.70140000000004</v>
      </c>
      <c r="K311" s="145">
        <f>L311/J311</f>
        <v>0</v>
      </c>
      <c r="L311" s="147">
        <f>SUMIF(B:B,A311,L:L)</f>
        <v>0</v>
      </c>
      <c r="M311" s="147">
        <f>SUMIF(B:B,A311,M:M)</f>
        <v>927.70140000000004</v>
      </c>
      <c r="N311" s="145">
        <f>O311/J311</f>
        <v>0</v>
      </c>
      <c r="O311" s="147">
        <f>SUMIF(B:B,A311,O:O)</f>
        <v>0</v>
      </c>
      <c r="P311" s="148">
        <f>SUMIF(B:B,A311,P:P)</f>
        <v>927.70140000000004</v>
      </c>
    </row>
    <row r="312" spans="1:16" x14ac:dyDescent="0.25">
      <c r="A312" s="149" t="s">
        <v>46</v>
      </c>
      <c r="B312" s="2" t="s">
        <v>46</v>
      </c>
      <c r="C312" s="299" t="str">
        <f>_xlfn.XLOOKUP(B312,'Brand Managers'!A:A,'Brand Managers'!B:B)</f>
        <v>Steve Halloran</v>
      </c>
      <c r="D312" s="42" t="str">
        <f>_xlfn.XLOOKUP(F312,'DATA - Segments'!C:C,'DATA - Segments'!D:D)</f>
        <v>Non-Alc</v>
      </c>
      <c r="E312" s="42" t="str">
        <f>_xlfn.XLOOKUP(F312,'DATA - Segments'!C:C,'DATA - Segments'!E:E)</f>
        <v>Non-Alc - Soda</v>
      </c>
      <c r="F312" s="203" t="str">
        <f t="shared" si="125"/>
        <v>HOP WTR|HOP WTR</v>
      </c>
      <c r="G312" s="203" t="str">
        <f t="shared" si="115"/>
        <v>HOP WTR|HOP WTR|Non-Alc|Non-Alc - Soda</v>
      </c>
      <c r="H312" s="150">
        <f>_xlfn.XLOOKUP(F312,'DATA - 2025 Review'!C:C,'DATA - 2025 Review'!I:I,"")</f>
        <v>977.00407364760804</v>
      </c>
      <c r="I312" s="151">
        <f>_xlfn.XLOOKUP(F312,'DATA - 2025 Review'!C:C,'DATA - 2025 Review'!J:J)</f>
        <v>6.7922039366175024E-2</v>
      </c>
      <c r="J312" s="150">
        <f>_xlfn.XLOOKUP(F312,'2025 Finish (ACTUAL)'!$C:$C,'2025 Finish (ACTUAL)'!$D:$D)</f>
        <v>927.70140000000004</v>
      </c>
      <c r="K312" s="146"/>
      <c r="L312" s="152">
        <f t="shared" ref="L312" si="148">K312*J312</f>
        <v>0</v>
      </c>
      <c r="M312" s="152">
        <f>L312+J312</f>
        <v>927.70140000000004</v>
      </c>
      <c r="N312" s="146"/>
      <c r="O312" s="152">
        <f>N312*J312</f>
        <v>0</v>
      </c>
      <c r="P312" s="69">
        <f>O312+J312</f>
        <v>927.70140000000004</v>
      </c>
    </row>
    <row r="313" spans="1:16" x14ac:dyDescent="0.25">
      <c r="A313" s="143" t="s">
        <v>327</v>
      </c>
      <c r="B313" s="202"/>
      <c r="C313" s="202" t="str">
        <f>_xlfn.XLOOKUP(A313,'Brand Managers'!A:A,'Brand Managers'!B:B)</f>
        <v>Chris Politano</v>
      </c>
      <c r="D313" s="202"/>
      <c r="E313" s="202"/>
      <c r="F313" s="203" t="str">
        <f t="shared" si="125"/>
        <v>Crook &amp; Marker|</v>
      </c>
      <c r="G313" s="203" t="str">
        <f t="shared" si="115"/>
        <v>Crook &amp; Marker|||</v>
      </c>
      <c r="H313" s="144">
        <f>_xlfn.XLOOKUP(F313,'DATA - 2025 Review'!C:C,'DATA - 2025 Review'!I:I,"")</f>
        <v>1415.2293360794802</v>
      </c>
      <c r="I313" s="145">
        <f>_xlfn.XLOOKUP(F313,'DATA - 2025 Review'!C:C,'DATA - 2025 Review'!J:J)</f>
        <v>0.31501474621549419</v>
      </c>
      <c r="J313" s="144">
        <f>_xlfn.XLOOKUP(F313,'2025 Finish (ACTUAL)'!$C:$C,'2025 Finish (ACTUAL)'!$D:$D)</f>
        <v>1308.1245449999999</v>
      </c>
      <c r="K313" s="145">
        <f>L313/J313</f>
        <v>0</v>
      </c>
      <c r="L313" s="147">
        <f>SUMIF(B:B,A313,L:L)</f>
        <v>0</v>
      </c>
      <c r="M313" s="147">
        <f>SUMIF(B:B,A313,M:M)</f>
        <v>1308.1245450000001</v>
      </c>
      <c r="N313" s="145">
        <f>O313/J313</f>
        <v>-1.0000000000000002</v>
      </c>
      <c r="O313" s="147">
        <f>SUMIF(B:B,A313,O:O)</f>
        <v>-1308.1245450000001</v>
      </c>
      <c r="P313" s="148">
        <f>SUMIF(B:B,A313,P:P)</f>
        <v>0</v>
      </c>
    </row>
    <row r="314" spans="1:16" x14ac:dyDescent="0.25">
      <c r="A314" s="149" t="s">
        <v>76</v>
      </c>
      <c r="B314" s="2" t="s">
        <v>327</v>
      </c>
      <c r="C314" s="299" t="str">
        <f>_xlfn.XLOOKUP(B314,'Brand Managers'!A:A,'Brand Managers'!B:B)</f>
        <v>Chris Politano</v>
      </c>
      <c r="D314" s="42" t="str">
        <f>_xlfn.XLOOKUP(F314,'DATA - Segments'!C:C,'DATA - Segments'!D:D)</f>
        <v>FMB</v>
      </c>
      <c r="E314" s="42" t="str">
        <f>_xlfn.XLOOKUP(F314,'DATA - Segments'!C:C,'DATA - Segments'!E:E)</f>
        <v>FMB</v>
      </c>
      <c r="F314" s="203" t="str">
        <f t="shared" si="125"/>
        <v>Crook&amp;Marker|Crook &amp; Marker</v>
      </c>
      <c r="G314" s="203" t="str">
        <f t="shared" si="115"/>
        <v>Crook&amp;Marker|Crook &amp; Marker|FMB|FMB</v>
      </c>
      <c r="H314" s="150">
        <f>_xlfn.XLOOKUP(F314,'DATA - 2025 Review'!C:C,'DATA - 2025 Review'!I:I,"")</f>
        <v>59.143927428192008</v>
      </c>
      <c r="I314" s="151">
        <f>_xlfn.XLOOKUP(F314,'DATA - 2025 Review'!C:C,'DATA - 2025 Review'!J:J)</f>
        <v>-0.94504414603739983</v>
      </c>
      <c r="J314" s="150">
        <f>_xlfn.XLOOKUP(F314,'2025 Finish (ACTUAL)'!$C:$C,'2025 Finish (ACTUAL)'!$D:$D)</f>
        <v>45.999983999999998</v>
      </c>
      <c r="K314" s="146">
        <v>0</v>
      </c>
      <c r="L314" s="152">
        <f t="shared" ref="L314:L315" si="149">K314*J314</f>
        <v>0</v>
      </c>
      <c r="M314" s="152">
        <f t="shared" ref="M314:M315" si="150">L314+J314</f>
        <v>45.999983999999998</v>
      </c>
      <c r="N314" s="146">
        <v>-1</v>
      </c>
      <c r="O314" s="152">
        <f t="shared" ref="O314:O315" si="151">N314*J314</f>
        <v>-45.999983999999998</v>
      </c>
      <c r="P314" s="69">
        <f t="shared" ref="P314:P315" si="152">O314+J314</f>
        <v>0</v>
      </c>
    </row>
    <row r="315" spans="1:16" x14ac:dyDescent="0.25">
      <c r="A315" s="149" t="s">
        <v>328</v>
      </c>
      <c r="B315" s="5" t="s">
        <v>327</v>
      </c>
      <c r="C315" s="299" t="str">
        <f>_xlfn.XLOOKUP(B315,'Brand Managers'!A:A,'Brand Managers'!B:B)</f>
        <v>Chris Politano</v>
      </c>
      <c r="D315" s="42" t="str">
        <f>_xlfn.XLOOKUP(F315,'DATA - Segments'!C:C,'DATA - Segments'!D:D)</f>
        <v>FMB</v>
      </c>
      <c r="E315" s="42" t="str">
        <f>_xlfn.XLOOKUP(F315,'DATA - Segments'!C:C,'DATA - Segments'!E:E)</f>
        <v>FMB</v>
      </c>
      <c r="F315" s="203" t="str">
        <f t="shared" si="125"/>
        <v>Crooked Tea|Crook &amp; Marker</v>
      </c>
      <c r="G315" s="203" t="str">
        <f t="shared" si="115"/>
        <v>Crooked Tea|Crook &amp; Marker|FMB|FMB</v>
      </c>
      <c r="H315" s="150">
        <f>_xlfn.XLOOKUP(F315,'DATA - 2025 Review'!C:C,'DATA - 2025 Review'!I:I,"")</f>
        <v>1230.4995719999999</v>
      </c>
      <c r="I315" s="151">
        <f>_xlfn.XLOOKUP(F315,'DATA - 2025 Review'!C:C,'DATA - 2025 Review'!J:J)</f>
        <v>0</v>
      </c>
      <c r="J315" s="150">
        <f>_xlfn.XLOOKUP(F315,'2025 Finish (ACTUAL)'!$C:$C,'2025 Finish (ACTUAL)'!$D:$D)</f>
        <v>1262.1245610000001</v>
      </c>
      <c r="K315" s="146">
        <v>0</v>
      </c>
      <c r="L315" s="152">
        <f t="shared" si="149"/>
        <v>0</v>
      </c>
      <c r="M315" s="152">
        <f t="shared" si="150"/>
        <v>1262.1245610000001</v>
      </c>
      <c r="N315" s="146">
        <v>-1</v>
      </c>
      <c r="O315" s="152">
        <f t="shared" si="151"/>
        <v>-1262.1245610000001</v>
      </c>
      <c r="P315" s="69">
        <f t="shared" si="152"/>
        <v>0</v>
      </c>
    </row>
    <row r="316" spans="1:16" x14ac:dyDescent="0.25">
      <c r="A316" s="143" t="s">
        <v>254</v>
      </c>
      <c r="B316" s="202"/>
      <c r="C316" s="202" t="str">
        <f>_xlfn.XLOOKUP(A316,'Brand Managers'!A:A,'Brand Managers'!B:B)</f>
        <v>Sean Donahue</v>
      </c>
      <c r="D316" s="202"/>
      <c r="E316" s="202"/>
      <c r="F316" s="203" t="str">
        <f t="shared" si="125"/>
        <v>Unibroue|</v>
      </c>
      <c r="G316" s="203" t="str">
        <f t="shared" si="115"/>
        <v>Unibroue|||</v>
      </c>
      <c r="H316" s="144">
        <f>_xlfn.XLOOKUP(F316,'DATA - 2025 Review'!C:C,'DATA - 2025 Review'!I:I,"")</f>
        <v>325.61311389776</v>
      </c>
      <c r="I316" s="145">
        <f>_xlfn.XLOOKUP(F316,'DATA - 2025 Review'!C:C,'DATA - 2025 Review'!J:J)</f>
        <v>-0.31769028239163111</v>
      </c>
      <c r="J316" s="144">
        <f>_xlfn.XLOOKUP(F316,'2025 Finish (ACTUAL)'!$C:$C,'2025 Finish (ACTUAL)'!$D:$D)</f>
        <v>358.83763399999998</v>
      </c>
      <c r="K316" s="145">
        <f>L316/J316</f>
        <v>0</v>
      </c>
      <c r="L316" s="147">
        <f>SUMIF(B:B,A316,L:L)</f>
        <v>0</v>
      </c>
      <c r="M316" s="147">
        <f>SUMIF(B:B,A316,M:M)</f>
        <v>358.83763399999998</v>
      </c>
      <c r="N316" s="145">
        <f>O316/J316</f>
        <v>0</v>
      </c>
      <c r="O316" s="147">
        <f>SUMIF(B:B,A316,O:O)</f>
        <v>0</v>
      </c>
      <c r="P316" s="148">
        <f>SUMIF(B:B,A316,P:P)</f>
        <v>358.83763399999998</v>
      </c>
    </row>
    <row r="317" spans="1:16" x14ac:dyDescent="0.25">
      <c r="A317" s="149" t="s">
        <v>254</v>
      </c>
      <c r="B317" s="2" t="s">
        <v>254</v>
      </c>
      <c r="C317" s="299" t="str">
        <f>_xlfn.XLOOKUP(B317,'Brand Managers'!A:A,'Brand Managers'!B:B)</f>
        <v>Sean Donahue</v>
      </c>
      <c r="D317" s="42" t="str">
        <f>_xlfn.XLOOKUP(F317,'DATA - Segments'!C:C,'DATA - Segments'!D:D)</f>
        <v>Beer</v>
      </c>
      <c r="E317" s="42" t="str">
        <f>_xlfn.XLOOKUP(F317,'DATA - Segments'!C:C,'DATA - Segments'!E:E)</f>
        <v>Beer - Import</v>
      </c>
      <c r="F317" s="203" t="str">
        <f t="shared" si="125"/>
        <v>Unibroue|Unibroue</v>
      </c>
      <c r="G317" s="203" t="str">
        <f t="shared" si="115"/>
        <v>Unibroue|Unibroue|Beer|Beer - Import</v>
      </c>
      <c r="H317" s="150">
        <f>_xlfn.XLOOKUP(F317,'DATA - 2025 Review'!C:C,'DATA - 2025 Review'!I:I,"")</f>
        <v>325.61311389776</v>
      </c>
      <c r="I317" s="151">
        <f>_xlfn.XLOOKUP(F317,'DATA - 2025 Review'!C:C,'DATA - 2025 Review'!J:J)</f>
        <v>-0.31769028239163111</v>
      </c>
      <c r="J317" s="150">
        <f>_xlfn.XLOOKUP(F317,'2025 Finish (ACTUAL)'!$C:$C,'2025 Finish (ACTUAL)'!$D:$D)</f>
        <v>358.83763399999998</v>
      </c>
      <c r="K317" s="146">
        <v>0</v>
      </c>
      <c r="L317" s="152">
        <f t="shared" ref="L317" si="153">K317*J317</f>
        <v>0</v>
      </c>
      <c r="M317" s="152">
        <f>L317+J317</f>
        <v>358.83763399999998</v>
      </c>
      <c r="N317" s="146">
        <v>0</v>
      </c>
      <c r="O317" s="152">
        <f>N317*J317</f>
        <v>0</v>
      </c>
      <c r="P317" s="69">
        <f>O317+J317</f>
        <v>358.83763399999998</v>
      </c>
    </row>
    <row r="318" spans="1:16" x14ac:dyDescent="0.25">
      <c r="A318" s="143" t="s">
        <v>409</v>
      </c>
      <c r="B318" s="202"/>
      <c r="C318" s="202" t="str">
        <f>_xlfn.XLOOKUP(A318,'Brand Managers'!A:A,'Brand Managers'!B:B)</f>
        <v>Sean Donahue</v>
      </c>
      <c r="D318" s="202"/>
      <c r="E318" s="202"/>
      <c r="F318" s="203" t="str">
        <f t="shared" si="125"/>
        <v>Southern Tier Distilling Company|</v>
      </c>
      <c r="G318" s="203" t="str">
        <f t="shared" si="115"/>
        <v>Southern Tier Distilling Company|||</v>
      </c>
      <c r="H318" s="144">
        <f>_xlfn.XLOOKUP(F318,'DATA - 2025 Review'!C:C,'DATA - 2025 Review'!I:I,"")</f>
        <v>558.64160000000004</v>
      </c>
      <c r="I318" s="145">
        <f>_xlfn.XLOOKUP(F318,'DATA - 2025 Review'!C:C,'DATA - 2025 Review'!J:J)</f>
        <v>-0.2581120849933598</v>
      </c>
      <c r="J318" s="144">
        <f>_xlfn.XLOOKUP(F318,'2025 Finish (ACTUAL)'!$C:$C,'2025 Finish (ACTUAL)'!$D:$D)</f>
        <v>626</v>
      </c>
      <c r="K318" s="145">
        <f>L318/J318</f>
        <v>0.01</v>
      </c>
      <c r="L318" s="147">
        <f>SUMIF(B:B,A318,L:L)</f>
        <v>6.26</v>
      </c>
      <c r="M318" s="147">
        <f>SUMIF(B:B,A318,M:M)</f>
        <v>632.26</v>
      </c>
      <c r="N318" s="145">
        <f>O318/J318</f>
        <v>0.01</v>
      </c>
      <c r="O318" s="147">
        <f>SUMIF(B:B,A318,O:O)</f>
        <v>6.26</v>
      </c>
      <c r="P318" s="148">
        <f>SUMIF(B:B,A318,P:P)</f>
        <v>632.26</v>
      </c>
    </row>
    <row r="319" spans="1:16" x14ac:dyDescent="0.25">
      <c r="A319" s="149" t="s">
        <v>77</v>
      </c>
      <c r="B319" s="2" t="s">
        <v>409</v>
      </c>
      <c r="C319" s="299" t="str">
        <f>_xlfn.XLOOKUP(B319,'Brand Managers'!A:A,'Brand Managers'!B:B)</f>
        <v>Sean Donahue</v>
      </c>
      <c r="D319" s="42" t="str">
        <f>_xlfn.XLOOKUP(F319,'DATA - Segments'!C:C,'DATA - Segments'!D:D)</f>
        <v>RTD</v>
      </c>
      <c r="E319" s="42" t="str">
        <f>_xlfn.XLOOKUP(F319,'DATA - Segments'!C:C,'DATA - Segments'!E:E)</f>
        <v>RTD</v>
      </c>
      <c r="F319" s="203" t="str">
        <f t="shared" si="125"/>
        <v>Southern Tier Distilling|Southern Tier Distilling Company</v>
      </c>
      <c r="G319" s="203" t="str">
        <f t="shared" si="115"/>
        <v>Southern Tier Distilling|Southern Tier Distilling Company|RTD|RTD</v>
      </c>
      <c r="H319" s="150">
        <f>_xlfn.XLOOKUP(F319,'DATA - 2025 Review'!C:C,'DATA - 2025 Review'!I:I,"")</f>
        <v>558.64160000000004</v>
      </c>
      <c r="I319" s="151">
        <f>_xlfn.XLOOKUP(F319,'DATA - 2025 Review'!C:C,'DATA - 2025 Review'!J:J)</f>
        <v>-0.2581120849933598</v>
      </c>
      <c r="J319" s="150">
        <f>_xlfn.XLOOKUP(F319,'2025 Finish (ACTUAL)'!$C:$C,'2025 Finish (ACTUAL)'!$D:$D)</f>
        <v>626</v>
      </c>
      <c r="K319" s="146">
        <v>0.01</v>
      </c>
      <c r="L319" s="152">
        <f t="shared" ref="L319" si="154">K319*J319</f>
        <v>6.26</v>
      </c>
      <c r="M319" s="152">
        <f>L319+J319</f>
        <v>632.26</v>
      </c>
      <c r="N319" s="146">
        <v>0.01</v>
      </c>
      <c r="O319" s="152">
        <f>N319*J319</f>
        <v>6.26</v>
      </c>
      <c r="P319" s="69">
        <f>O319+J319</f>
        <v>632.26</v>
      </c>
    </row>
    <row r="320" spans="1:16" x14ac:dyDescent="0.25">
      <c r="A320" s="189" t="s">
        <v>199</v>
      </c>
      <c r="B320" s="208"/>
      <c r="C320" s="202" t="str">
        <f>_xlfn.XLOOKUP(A320,'Brand Managers'!A:A,'Brand Managers'!B:B)</f>
        <v>Dan Downing</v>
      </c>
      <c r="D320" s="208"/>
      <c r="E320" s="208"/>
      <c r="F320" s="205" t="str">
        <f t="shared" si="125"/>
        <v>Efes|</v>
      </c>
      <c r="G320" s="203" t="str">
        <f t="shared" si="115"/>
        <v>Efes|||</v>
      </c>
      <c r="H320" s="190">
        <f>_xlfn.XLOOKUP(F320,'DATA - 2025 Review'!C:C,'DATA - 2025 Review'!I:I,"")</f>
        <v>109.05112963274399</v>
      </c>
      <c r="I320" s="191">
        <f>_xlfn.XLOOKUP(F320,'DATA - 2025 Review'!C:C,'DATA - 2025 Review'!J:J)</f>
        <v>-0.7246377405660378</v>
      </c>
      <c r="J320" s="144">
        <f>_xlfn.XLOOKUP(F320,'2025 Finish (ACTUAL)'!$C:$C,'2025 Finish (ACTUAL)'!$D:$D)</f>
        <v>88.732659999999996</v>
      </c>
      <c r="K320" s="191"/>
      <c r="L320" s="192"/>
      <c r="M320" s="192"/>
      <c r="N320" s="191"/>
      <c r="O320" s="192"/>
      <c r="P320" s="193"/>
    </row>
    <row r="321" spans="1:16" x14ac:dyDescent="0.25">
      <c r="A321" s="194" t="s">
        <v>199</v>
      </c>
      <c r="B321" s="204" t="s">
        <v>199</v>
      </c>
      <c r="C321" s="299" t="str">
        <f>_xlfn.XLOOKUP(B321,'Brand Managers'!A:A,'Brand Managers'!B:B)</f>
        <v>Dan Downing</v>
      </c>
      <c r="D321" s="42" t="str">
        <f>_xlfn.XLOOKUP(F321,'DATA - Segments'!C:C,'DATA - Segments'!D:D)</f>
        <v>Beer</v>
      </c>
      <c r="E321" s="42" t="str">
        <f>_xlfn.XLOOKUP(F321,'DATA - Segments'!C:C,'DATA - Segments'!E:E)</f>
        <v>Beer - Import</v>
      </c>
      <c r="F321" s="205" t="str">
        <f t="shared" si="125"/>
        <v>Efes|Efes</v>
      </c>
      <c r="G321" s="203" t="str">
        <f t="shared" si="115"/>
        <v>Efes|Efes|Beer|Beer - Import</v>
      </c>
      <c r="H321" s="186">
        <f>_xlfn.XLOOKUP(F321,'DATA - 2025 Review'!C:C,'DATA - 2025 Review'!I:I,"")</f>
        <v>109.05112963274399</v>
      </c>
      <c r="I321" s="187">
        <f>_xlfn.XLOOKUP(F321,'DATA - 2025 Review'!C:C,'DATA - 2025 Review'!J:J)</f>
        <v>-0.7246377405660378</v>
      </c>
      <c r="J321" s="150">
        <f>_xlfn.XLOOKUP(F321,'2025 Finish (ACTUAL)'!$C:$C,'2025 Finish (ACTUAL)'!$D:$D)</f>
        <v>88.732659999999996</v>
      </c>
      <c r="K321" s="188"/>
      <c r="L321" s="152">
        <f t="shared" ref="L321" si="155">K321*J321</f>
        <v>0</v>
      </c>
      <c r="M321" s="152">
        <f>L321+J321</f>
        <v>88.732659999999996</v>
      </c>
      <c r="N321" s="188"/>
      <c r="O321" s="152">
        <f>N321*J321</f>
        <v>0</v>
      </c>
      <c r="P321" s="69">
        <f>O321+J321</f>
        <v>88.732659999999996</v>
      </c>
    </row>
    <row r="322" spans="1:16" x14ac:dyDescent="0.25">
      <c r="A322" s="143" t="s">
        <v>329</v>
      </c>
      <c r="B322" s="202"/>
      <c r="C322" s="202" t="str">
        <f>_xlfn.XLOOKUP(A322,'Brand Managers'!A:A,'Brand Managers'!B:B)</f>
        <v>Steve Halloran</v>
      </c>
      <c r="D322" s="202"/>
      <c r="E322" s="202"/>
      <c r="F322" s="203" t="str">
        <f t="shared" si="125"/>
        <v>Cerveceria La Tropical|</v>
      </c>
      <c r="G322" s="203" t="str">
        <f t="shared" si="115"/>
        <v>Cerveceria La Tropical|||</v>
      </c>
      <c r="H322" s="144">
        <f>_xlfn.XLOOKUP(F322,'DATA - 2025 Review'!C:C,'DATA - 2025 Review'!I:I,"")</f>
        <v>167.26112599999999</v>
      </c>
      <c r="I322" s="145">
        <f>_xlfn.XLOOKUP(F322,'DATA - 2025 Review'!C:C,'DATA - 2025 Review'!J:J)</f>
        <v>-0.73534631962025321</v>
      </c>
      <c r="J322" s="144">
        <f>_xlfn.XLOOKUP(F322,'2025 Finish (ACTUAL)'!$C:$C,'2025 Finish (ACTUAL)'!$D:$D)</f>
        <v>149</v>
      </c>
      <c r="K322" s="145">
        <f>L322/J322</f>
        <v>-1</v>
      </c>
      <c r="L322" s="147">
        <f>SUMIF(B:B,A322,L:L)</f>
        <v>-149</v>
      </c>
      <c r="M322" s="147">
        <f>SUMIF(B:B,A322,M:M)</f>
        <v>0</v>
      </c>
      <c r="N322" s="145">
        <f>O322/J322</f>
        <v>-1</v>
      </c>
      <c r="O322" s="147">
        <f>SUMIF(B:B,A322,O:O)</f>
        <v>-149</v>
      </c>
      <c r="P322" s="148">
        <f>SUMIF(B:B,A322,P:P)</f>
        <v>0</v>
      </c>
    </row>
    <row r="323" spans="1:16" x14ac:dyDescent="0.25">
      <c r="A323" s="156" t="s">
        <v>410</v>
      </c>
      <c r="B323" s="283" t="s">
        <v>329</v>
      </c>
      <c r="C323" s="283"/>
      <c r="D323" s="42" t="str">
        <f>_xlfn.XLOOKUP(F323,'DATA - Segments'!C:C,'DATA - Segments'!D:D)</f>
        <v>Beer</v>
      </c>
      <c r="E323" s="42" t="str">
        <f>_xlfn.XLOOKUP(F323,'DATA - Segments'!C:C,'DATA - Segments'!E:E)</f>
        <v>Beer - Craft</v>
      </c>
      <c r="F323" s="203" t="str">
        <f t="shared" si="125"/>
        <v>La Tropical|Cerveceria La Tropical</v>
      </c>
      <c r="G323" s="203" t="str">
        <f t="shared" si="115"/>
        <v>La Tropical|Cerveceria La Tropical|Beer|Beer - Craft</v>
      </c>
      <c r="H323" s="273">
        <f>_xlfn.XLOOKUP(F323,'DATA - 2025 Review'!C:C,'DATA - 2025 Review'!I:I,"")</f>
        <v>167.26112599999999</v>
      </c>
      <c r="I323" s="281">
        <f>_xlfn.XLOOKUP(F323,'DATA - 2025 Review'!C:C,'DATA - 2025 Review'!J:J)</f>
        <v>-0.73534631962025321</v>
      </c>
      <c r="J323" s="273">
        <f>_xlfn.XLOOKUP(F323,'2025 Finish (ACTUAL)'!$C:$C,'2025 Finish (ACTUAL)'!$D:$D)</f>
        <v>149</v>
      </c>
      <c r="K323" s="281">
        <v>-1</v>
      </c>
      <c r="L323" s="274">
        <f t="shared" ref="L323" si="156">K323*J323</f>
        <v>-149</v>
      </c>
      <c r="M323" s="274">
        <f>L323+J323</f>
        <v>0</v>
      </c>
      <c r="N323" s="281">
        <v>-1</v>
      </c>
      <c r="O323" s="274">
        <f>N323*J323</f>
        <v>-149</v>
      </c>
      <c r="P323" s="275">
        <f>O323+J323</f>
        <v>0</v>
      </c>
    </row>
    <row r="324" spans="1:16" x14ac:dyDescent="0.25">
      <c r="A324" s="143" t="s">
        <v>354</v>
      </c>
      <c r="B324" s="202"/>
      <c r="C324" s="202" t="str">
        <f>_xlfn.XLOOKUP(A324,'Brand Managers'!A:A,'Brand Managers'!B:B)</f>
        <v>Sean Donahue</v>
      </c>
      <c r="D324" s="202"/>
      <c r="E324" s="202"/>
      <c r="F324" s="203" t="str">
        <f t="shared" si="125"/>
        <v>Barn Brew Co|</v>
      </c>
      <c r="G324" s="203" t="str">
        <f t="shared" ref="G324:G387" si="157">A324&amp;"|"&amp;B324&amp;"|"&amp;D324&amp;"|"&amp;E324</f>
        <v>Barn Brew Co|||</v>
      </c>
      <c r="H324" s="144">
        <f>_xlfn.XLOOKUP(F324,'DATA - 2025 Review'!C:C,'DATA - 2025 Review'!I:I,"")</f>
        <v>641.53827886895999</v>
      </c>
      <c r="I324" s="145">
        <f>_xlfn.XLOOKUP(F324,'DATA - 2025 Review'!C:C,'DATA - 2025 Review'!J:J)</f>
        <v>0.30581973805862361</v>
      </c>
      <c r="J324" s="144">
        <f>_xlfn.XLOOKUP(F324,'2025 Finish (ACTUAL)'!$C:$C,'2025 Finish (ACTUAL)'!$D:$D)</f>
        <v>698.91664400000002</v>
      </c>
      <c r="K324" s="145">
        <f>L324/J324</f>
        <v>0</v>
      </c>
      <c r="L324" s="147">
        <f>SUMIF(B:B,A324,L:L)</f>
        <v>0</v>
      </c>
      <c r="M324" s="147">
        <f>SUMIF(B:B,A324,M:M)</f>
        <v>698.91664400000002</v>
      </c>
      <c r="N324" s="145">
        <f>O324/J324</f>
        <v>0</v>
      </c>
      <c r="O324" s="147">
        <f>SUMIF(B:B,A324,O:O)</f>
        <v>0</v>
      </c>
      <c r="P324" s="148">
        <f>SUMIF(B:B,A324,P:P)</f>
        <v>698.91664400000002</v>
      </c>
    </row>
    <row r="325" spans="1:16" x14ac:dyDescent="0.25">
      <c r="A325" s="149" t="s">
        <v>47</v>
      </c>
      <c r="B325" s="2" t="s">
        <v>354</v>
      </c>
      <c r="C325" s="299" t="str">
        <f>_xlfn.XLOOKUP(B325,'Brand Managers'!A:A,'Brand Managers'!B:B)</f>
        <v>Sean Donahue</v>
      </c>
      <c r="D325" s="42" t="str">
        <f>_xlfn.XLOOKUP(F325,'DATA - Segments'!C:C,'DATA - Segments'!D:D)</f>
        <v>Beer</v>
      </c>
      <c r="E325" s="42" t="str">
        <f>_xlfn.XLOOKUP(F325,'DATA - Segments'!C:C,'DATA - Segments'!E:E)</f>
        <v>Beer - Craft</v>
      </c>
      <c r="F325" s="203" t="str">
        <f t="shared" si="125"/>
        <v>Barn Brew|Barn Brew Co</v>
      </c>
      <c r="G325" s="203" t="str">
        <f t="shared" si="157"/>
        <v>Barn Brew|Barn Brew Co|Beer|Beer - Craft</v>
      </c>
      <c r="H325" s="150">
        <f>_xlfn.XLOOKUP(F325,'DATA - 2025 Review'!C:C,'DATA - 2025 Review'!I:I,"")</f>
        <v>641.53827886895999</v>
      </c>
      <c r="I325" s="151">
        <f>_xlfn.XLOOKUP(F325,'DATA - 2025 Review'!C:C,'DATA - 2025 Review'!J:J)</f>
        <v>0.30581973805862361</v>
      </c>
      <c r="J325" s="150">
        <f>_xlfn.XLOOKUP(F325,'2025 Finish (ACTUAL)'!$C:$C,'2025 Finish (ACTUAL)'!$D:$D)</f>
        <v>698.91664400000002</v>
      </c>
      <c r="K325" s="146">
        <v>0</v>
      </c>
      <c r="L325" s="152">
        <f t="shared" ref="L325" si="158">K325*J325</f>
        <v>0</v>
      </c>
      <c r="M325" s="152">
        <f>L325+J325</f>
        <v>698.91664400000002</v>
      </c>
      <c r="N325" s="146">
        <v>0</v>
      </c>
      <c r="O325" s="152">
        <f>N325*J325</f>
        <v>0</v>
      </c>
      <c r="P325" s="69">
        <f>O325+J325</f>
        <v>698.91664400000002</v>
      </c>
    </row>
    <row r="326" spans="1:16" x14ac:dyDescent="0.25">
      <c r="A326" s="143" t="s">
        <v>355</v>
      </c>
      <c r="B326" s="202"/>
      <c r="C326" s="202" t="str">
        <f>_xlfn.XLOOKUP(A326,'Brand Managers'!A:A,'Brand Managers'!B:B)</f>
        <v>Steve Halloran</v>
      </c>
      <c r="D326" s="202"/>
      <c r="E326" s="202"/>
      <c r="F326" s="203" t="str">
        <f t="shared" si="125"/>
        <v>XYZ Beverage|</v>
      </c>
      <c r="G326" s="203" t="str">
        <f t="shared" si="157"/>
        <v>XYZ Beverage|||</v>
      </c>
      <c r="H326" s="144">
        <f>_xlfn.XLOOKUP(F326,'DATA - 2025 Review'!C:C,'DATA - 2025 Review'!I:I,"")</f>
        <v>341.27354000000003</v>
      </c>
      <c r="I326" s="145">
        <f>_xlfn.XLOOKUP(F326,'DATA - 2025 Review'!C:C,'DATA - 2025 Review'!J:J)</f>
        <v>-0.32286996031746029</v>
      </c>
      <c r="J326" s="144">
        <f>_xlfn.XLOOKUP(F326,'2025 Finish (ACTUAL)'!$C:$C,'2025 Finish (ACTUAL)'!$D:$D)</f>
        <v>326</v>
      </c>
      <c r="K326" s="145">
        <f>L326/J326</f>
        <v>-1</v>
      </c>
      <c r="L326" s="147">
        <f>SUMIF(B:B,A326,L:L)</f>
        <v>-326</v>
      </c>
      <c r="M326" s="147">
        <f>SUMIF(B:B,A326,M:M)</f>
        <v>0</v>
      </c>
      <c r="N326" s="145">
        <f>O326/J326</f>
        <v>-1</v>
      </c>
      <c r="O326" s="147">
        <f>SUMIF(B:B,A326,O:O)</f>
        <v>-326</v>
      </c>
      <c r="P326" s="148">
        <f>SUMIF(B:B,A326,P:P)</f>
        <v>0</v>
      </c>
    </row>
    <row r="327" spans="1:16" x14ac:dyDescent="0.25">
      <c r="A327" s="156" t="s">
        <v>271</v>
      </c>
      <c r="B327" s="283" t="s">
        <v>355</v>
      </c>
      <c r="C327" s="283"/>
      <c r="D327" s="42" t="str">
        <f>_xlfn.XLOOKUP(F327,'DATA - Segments'!C:C,'DATA - Segments'!D:D)</f>
        <v>Seltzer</v>
      </c>
      <c r="E327" s="42" t="str">
        <f>_xlfn.XLOOKUP(F327,'DATA - Segments'!C:C,'DATA - Segments'!E:E)</f>
        <v>Seltzer</v>
      </c>
      <c r="F327" s="203" t="str">
        <f t="shared" si="125"/>
        <v>Press|XYZ Beverage</v>
      </c>
      <c r="G327" s="203" t="str">
        <f t="shared" si="157"/>
        <v>Press|XYZ Beverage|Seltzer|Seltzer</v>
      </c>
      <c r="H327" s="273">
        <f>_xlfn.XLOOKUP(F327,'DATA - 2025 Review'!C:C,'DATA - 2025 Review'!I:I,"")</f>
        <v>341.27354000000003</v>
      </c>
      <c r="I327" s="281">
        <f>_xlfn.XLOOKUP(F327,'DATA - 2025 Review'!C:C,'DATA - 2025 Review'!J:J)</f>
        <v>-0.32286996031746029</v>
      </c>
      <c r="J327" s="273">
        <f>_xlfn.XLOOKUP(F327,'2025 Finish (ACTUAL)'!$C:$C,'2025 Finish (ACTUAL)'!$D:$D)</f>
        <v>326</v>
      </c>
      <c r="K327" s="281">
        <v>-1</v>
      </c>
      <c r="L327" s="274">
        <f t="shared" ref="L327" si="159">K327*J327</f>
        <v>-326</v>
      </c>
      <c r="M327" s="274">
        <f>L327+J327</f>
        <v>0</v>
      </c>
      <c r="N327" s="281">
        <v>-1</v>
      </c>
      <c r="O327" s="274">
        <f>N327*J327</f>
        <v>-326</v>
      </c>
      <c r="P327" s="275">
        <f>O327+J327</f>
        <v>0</v>
      </c>
    </row>
    <row r="328" spans="1:16" x14ac:dyDescent="0.25">
      <c r="A328" s="143" t="s">
        <v>356</v>
      </c>
      <c r="B328" s="202"/>
      <c r="C328" s="202" t="str">
        <f>_xlfn.XLOOKUP(A328,'Brand Managers'!A:A,'Brand Managers'!B:B)</f>
        <v>Sean Donahue</v>
      </c>
      <c r="D328" s="202"/>
      <c r="E328" s="202"/>
      <c r="F328" s="203" t="str">
        <f t="shared" si="125"/>
        <v>Defiant Brewing Co.|</v>
      </c>
      <c r="G328" s="203" t="str">
        <f t="shared" si="157"/>
        <v>Defiant Brewing Co.|||</v>
      </c>
      <c r="H328" s="144">
        <f>_xlfn.XLOOKUP(F328,'DATA - 2025 Review'!C:C,'DATA - 2025 Review'!I:I,"")</f>
        <v>209.16360416650002</v>
      </c>
      <c r="I328" s="145">
        <f>_xlfn.XLOOKUP(F328,'DATA - 2025 Review'!C:C,'DATA - 2025 Review'!J:J)</f>
        <v>-0.54915001570705302</v>
      </c>
      <c r="J328" s="144">
        <f>_xlfn.XLOOKUP(F328,'2025 Finish (ACTUAL)'!$C:$C,'2025 Finish (ACTUAL)'!$D:$D)</f>
        <v>192.82990000000001</v>
      </c>
      <c r="K328" s="145">
        <f>L328/J328</f>
        <v>-1</v>
      </c>
      <c r="L328" s="147">
        <f>SUMIF(B:B,A328,L:L)</f>
        <v>-192.82990000000001</v>
      </c>
      <c r="M328" s="147">
        <f>SUMIF(B:B,A328,M:M)</f>
        <v>0</v>
      </c>
      <c r="N328" s="145">
        <f>O328/J328</f>
        <v>-1</v>
      </c>
      <c r="O328" s="147">
        <f>SUMIF(B:B,A328,O:O)</f>
        <v>-192.82990000000001</v>
      </c>
      <c r="P328" s="148">
        <f>SUMIF(B:B,A328,P:P)</f>
        <v>0</v>
      </c>
    </row>
    <row r="329" spans="1:16" x14ac:dyDescent="0.25">
      <c r="A329" s="156" t="s">
        <v>200</v>
      </c>
      <c r="B329" s="283" t="s">
        <v>356</v>
      </c>
      <c r="C329" s="283"/>
      <c r="D329" s="42" t="str">
        <f>_xlfn.XLOOKUP(F329,'DATA - Segments'!C:C,'DATA - Segments'!D:D)</f>
        <v>Beer</v>
      </c>
      <c r="E329" s="42" t="str">
        <f>_xlfn.XLOOKUP(F329,'DATA - Segments'!C:C,'DATA - Segments'!E:E)</f>
        <v>Beer - Craft</v>
      </c>
      <c r="F329" s="203" t="str">
        <f t="shared" si="125"/>
        <v>Defiant|Defiant Brewing Co.</v>
      </c>
      <c r="G329" s="203" t="str">
        <f t="shared" si="157"/>
        <v>Defiant|Defiant Brewing Co.|Beer|Beer - Craft</v>
      </c>
      <c r="H329" s="273">
        <f>_xlfn.XLOOKUP(F329,'DATA - 2025 Review'!C:C,'DATA - 2025 Review'!I:I,"")</f>
        <v>209.16360416650002</v>
      </c>
      <c r="I329" s="281">
        <f>_xlfn.XLOOKUP(F329,'DATA - 2025 Review'!C:C,'DATA - 2025 Review'!J:J)</f>
        <v>-0.54915001570705302</v>
      </c>
      <c r="J329" s="273">
        <f>_xlfn.XLOOKUP(F329,'2025 Finish (ACTUAL)'!$C:$C,'2025 Finish (ACTUAL)'!$D:$D)</f>
        <v>192.82990000000001</v>
      </c>
      <c r="K329" s="281">
        <v>-1</v>
      </c>
      <c r="L329" s="274">
        <f t="shared" ref="L329" si="160">K329*J329</f>
        <v>-192.82990000000001</v>
      </c>
      <c r="M329" s="274">
        <f>L329+J329</f>
        <v>0</v>
      </c>
      <c r="N329" s="281">
        <v>-1</v>
      </c>
      <c r="O329" s="274">
        <f>N329*J329</f>
        <v>-192.82990000000001</v>
      </c>
      <c r="P329" s="275">
        <f>O329+J329</f>
        <v>0</v>
      </c>
    </row>
    <row r="330" spans="1:16" x14ac:dyDescent="0.25">
      <c r="A330" s="143" t="s">
        <v>201</v>
      </c>
      <c r="B330" s="202"/>
      <c r="C330" s="202" t="str">
        <f>_xlfn.XLOOKUP(A330,'Brand Managers'!A:A,'Brand Managers'!B:B)</f>
        <v>Chris Politano</v>
      </c>
      <c r="D330" s="202"/>
      <c r="E330" s="202"/>
      <c r="F330" s="203" t="str">
        <f t="shared" si="125"/>
        <v>Brewt's LLC|</v>
      </c>
      <c r="G330" s="203" t="str">
        <f t="shared" si="157"/>
        <v>Brewt's LLC|||</v>
      </c>
      <c r="H330" s="144">
        <f>_xlfn.XLOOKUP(F330,'DATA - 2025 Review'!C:C,'DATA - 2025 Review'!I:I,"")</f>
        <v>163.333415</v>
      </c>
      <c r="I330" s="145">
        <f>_xlfn.XLOOKUP(F330,'DATA - 2025 Review'!C:C,'DATA - 2025 Review'!J:J)</f>
        <v>1.9878048780487805</v>
      </c>
      <c r="J330" s="144">
        <f>_xlfn.XLOOKUP(F330,'2025 Finish (ACTUAL)'!$C:$C,'2025 Finish (ACTUAL)'!$D:$D)</f>
        <v>60.000030000000002</v>
      </c>
      <c r="K330" s="145">
        <f>L330/J330</f>
        <v>4.25</v>
      </c>
      <c r="L330" s="147">
        <f>SUMIF(B:B,A330,L:L)</f>
        <v>255.00012750000002</v>
      </c>
      <c r="M330" s="147">
        <f>SUMIF(B:B,A330,M:M)</f>
        <v>315.0001575</v>
      </c>
      <c r="N330" s="145">
        <f>O330/J330</f>
        <v>0.25</v>
      </c>
      <c r="O330" s="147">
        <f>SUMIF(B:B,A330,O:O)</f>
        <v>15.000007500000001</v>
      </c>
      <c r="P330" s="148">
        <f>SUMIF(B:B,A330,P:P)</f>
        <v>75.000037500000005</v>
      </c>
    </row>
    <row r="331" spans="1:16" x14ac:dyDescent="0.25">
      <c r="A331" s="149" t="s">
        <v>173</v>
      </c>
      <c r="B331" s="2" t="s">
        <v>201</v>
      </c>
      <c r="C331" s="299" t="str">
        <f>_xlfn.XLOOKUP(B331,'Brand Managers'!A:A,'Brand Managers'!B:B)</f>
        <v>Chris Politano</v>
      </c>
      <c r="D331" s="42" t="str">
        <f>_xlfn.XLOOKUP(F331,'DATA - Segments'!C:C,'DATA - Segments'!D:D)</f>
        <v>Non-Alc</v>
      </c>
      <c r="E331" s="42" t="str">
        <f>_xlfn.XLOOKUP(F331,'DATA - Segments'!C:C,'DATA - Segments'!E:E)</f>
        <v>Non-Alc – Mixer</v>
      </c>
      <c r="F331" s="203" t="str">
        <f t="shared" si="125"/>
        <v>Brewt's|Brewt's LLC</v>
      </c>
      <c r="G331" s="203" t="str">
        <f t="shared" si="157"/>
        <v>Brewt's|Brewt's LLC|Non-Alc|Non-Alc – Mixer</v>
      </c>
      <c r="H331" s="150">
        <f>_xlfn.XLOOKUP(F331,'DATA - 2025 Review'!C:C,'DATA - 2025 Review'!I:I,"")</f>
        <v>163.333415</v>
      </c>
      <c r="I331" s="151">
        <f>_xlfn.XLOOKUP(F331,'DATA - 2025 Review'!C:C,'DATA - 2025 Review'!J:J)</f>
        <v>1.9878048780487805</v>
      </c>
      <c r="J331" s="150">
        <f>_xlfn.XLOOKUP(F331,'2025 Finish (ACTUAL)'!$C:$C,'2025 Finish (ACTUAL)'!$D:$D)</f>
        <v>60.000030000000002</v>
      </c>
      <c r="K331" s="146">
        <v>4.25</v>
      </c>
      <c r="L331" s="152">
        <f t="shared" ref="L331" si="161">K331*J331</f>
        <v>255.00012750000002</v>
      </c>
      <c r="M331" s="152">
        <f>L331+J331</f>
        <v>315.0001575</v>
      </c>
      <c r="N331" s="146">
        <v>0.25</v>
      </c>
      <c r="O331" s="152">
        <f>N331*J331</f>
        <v>15.000007500000001</v>
      </c>
      <c r="P331" s="69">
        <f>O331+J331</f>
        <v>75.000037500000005</v>
      </c>
    </row>
    <row r="332" spans="1:16" x14ac:dyDescent="0.25">
      <c r="A332" s="143" t="s">
        <v>21</v>
      </c>
      <c r="B332" s="202"/>
      <c r="C332" s="202" t="str">
        <f>_xlfn.XLOOKUP(A332,'Brand Managers'!A:A,'Brand Managers'!B:B)</f>
        <v/>
      </c>
      <c r="D332" s="202"/>
      <c r="E332" s="202"/>
      <c r="F332" s="203" t="str">
        <f t="shared" si="125"/>
        <v>Hygrade Beverage|</v>
      </c>
      <c r="G332" s="203" t="str">
        <f t="shared" si="157"/>
        <v>Hygrade Beverage|||</v>
      </c>
      <c r="H332" s="144">
        <f>_xlfn.XLOOKUP(F332,'DATA - 2025 Review'!C:C,'DATA - 2025 Review'!I:I,"")</f>
        <v>-7.138101448464</v>
      </c>
      <c r="I332" s="145">
        <f>_xlfn.XLOOKUP(F332,'DATA - 2025 Review'!C:C,'DATA - 2025 Review'!J:J)</f>
        <v>-1.0051679601652284</v>
      </c>
      <c r="J332" s="144">
        <f>_xlfn.XLOOKUP(F332,'2025 Finish (ACTUAL)'!$C:$C,'2025 Finish (ACTUAL)'!$D:$D)</f>
        <v>-6.8888889999999998</v>
      </c>
      <c r="K332" s="145">
        <f>L332/J332</f>
        <v>-1</v>
      </c>
      <c r="L332" s="147">
        <f>SUMIF(B:B,A332,L:L)</f>
        <v>6.8888889999999998</v>
      </c>
      <c r="M332" s="147">
        <f>SUMIF(B:B,A332,M:M)</f>
        <v>0</v>
      </c>
      <c r="N332" s="145">
        <f>O332/J332</f>
        <v>-1</v>
      </c>
      <c r="O332" s="147">
        <f>SUMIF(B:B,A332,O:O)</f>
        <v>6.8888889999999998</v>
      </c>
      <c r="P332" s="148">
        <f>SUMIF(B:B,A332,P:P)</f>
        <v>0</v>
      </c>
    </row>
    <row r="333" spans="1:16" x14ac:dyDescent="0.25">
      <c r="A333" s="156" t="s">
        <v>230</v>
      </c>
      <c r="B333" s="283" t="s">
        <v>21</v>
      </c>
      <c r="C333" s="283"/>
      <c r="D333" s="42" t="str">
        <f>_xlfn.XLOOKUP(F333,'DATA - Segments'!C:C,'DATA - Segments'!D:D)</f>
        <v>Non-Alc</v>
      </c>
      <c r="E333" s="42" t="str">
        <f>_xlfn.XLOOKUP(F333,'DATA - Segments'!C:C,'DATA - Segments'!E:E)</f>
        <v>Non-Alc - Soda</v>
      </c>
      <c r="F333" s="203" t="str">
        <f t="shared" si="125"/>
        <v>Soda Birch|Hygrade Beverage</v>
      </c>
      <c r="G333" s="203" t="str">
        <f t="shared" si="157"/>
        <v>Soda Birch|Hygrade Beverage|Non-Alc|Non-Alc - Soda</v>
      </c>
      <c r="H333" s="273">
        <f>_xlfn.XLOOKUP(F333,'DATA - 2025 Review'!C:C,'DATA - 2025 Review'!I:I,"")</f>
        <v>-7.138101448464</v>
      </c>
      <c r="I333" s="281">
        <f>_xlfn.XLOOKUP(F333,'DATA - 2025 Review'!C:C,'DATA - 2025 Review'!J:J)</f>
        <v>-1.0051679601652284</v>
      </c>
      <c r="J333" s="273">
        <f>_xlfn.XLOOKUP(F333,'2025 Finish (ACTUAL)'!$C:$C,'2025 Finish (ACTUAL)'!$D:$D)</f>
        <v>-6.8888889999999998</v>
      </c>
      <c r="K333" s="281">
        <v>-1</v>
      </c>
      <c r="L333" s="274">
        <f t="shared" ref="L333" si="162">K333*J333</f>
        <v>6.8888889999999998</v>
      </c>
      <c r="M333" s="274">
        <f>L333+J333</f>
        <v>0</v>
      </c>
      <c r="N333" s="281">
        <v>-1</v>
      </c>
      <c r="O333" s="274">
        <f>N333*J333</f>
        <v>6.8888889999999998</v>
      </c>
      <c r="P333" s="275">
        <f>O333+J333</f>
        <v>0</v>
      </c>
    </row>
    <row r="334" spans="1:16" x14ac:dyDescent="0.25">
      <c r="A334" s="143" t="s">
        <v>97</v>
      </c>
      <c r="B334" s="202"/>
      <c r="C334" s="202" t="str">
        <f>_xlfn.XLOOKUP(A334,'Brand Managers'!A:A,'Brand Managers'!B:B)</f>
        <v/>
      </c>
      <c r="D334" s="202"/>
      <c r="E334" s="202"/>
      <c r="F334" s="203" t="str">
        <f t="shared" si="125"/>
        <v>GUSH INC|</v>
      </c>
      <c r="G334" s="203" t="str">
        <f t="shared" si="157"/>
        <v>GUSH INC|||</v>
      </c>
      <c r="H334" s="144">
        <f>_xlfn.XLOOKUP(F334,'DATA - 2025 Review'!C:C,'DATA - 2025 Review'!I:I,"")</f>
        <v>143.30621080054499</v>
      </c>
      <c r="I334" s="145">
        <f>_xlfn.XLOOKUP(F334,'DATA - 2025 Review'!C:C,'DATA - 2025 Review'!J:J)</f>
        <v>5.109492647058822E-2</v>
      </c>
      <c r="J334" s="144">
        <f>_xlfn.XLOOKUP(F334,'2025 Finish (ACTUAL)'!$C:$C,'2025 Finish (ACTUAL)'!$D:$D)</f>
        <v>96.239952000000002</v>
      </c>
      <c r="K334" s="145">
        <f>L334/J334</f>
        <v>-1</v>
      </c>
      <c r="L334" s="147">
        <f>SUMIF(B:B,A334,L:L)</f>
        <v>-96.239952000000002</v>
      </c>
      <c r="M334" s="147">
        <f>SUMIF(B:B,A334,M:M)</f>
        <v>0</v>
      </c>
      <c r="N334" s="145">
        <f>O334/J334</f>
        <v>-1</v>
      </c>
      <c r="O334" s="147">
        <f>SUMIF(B:B,A334,O:O)</f>
        <v>-96.239952000000002</v>
      </c>
      <c r="P334" s="148">
        <f>SUMIF(B:B,A334,P:P)</f>
        <v>0</v>
      </c>
    </row>
    <row r="335" spans="1:16" x14ac:dyDescent="0.25">
      <c r="A335" s="156" t="s">
        <v>272</v>
      </c>
      <c r="B335" s="283" t="s">
        <v>97</v>
      </c>
      <c r="C335" s="283"/>
      <c r="D335" s="42" t="str">
        <f>_xlfn.XLOOKUP(F335,'DATA - Segments'!C:C,'DATA - Segments'!D:D)</f>
        <v>Non-Alc</v>
      </c>
      <c r="E335" s="42" t="str">
        <f>_xlfn.XLOOKUP(F335,'DATA - Segments'!C:C,'DATA - Segments'!E:E)</f>
        <v>Non-Alc – Mixer</v>
      </c>
      <c r="F335" s="203" t="str">
        <f t="shared" si="125"/>
        <v>Gush|GUSH INC</v>
      </c>
      <c r="G335" s="203" t="str">
        <f t="shared" si="157"/>
        <v>Gush|GUSH INC|Non-Alc|Non-Alc – Mixer</v>
      </c>
      <c r="H335" s="273">
        <f>_xlfn.XLOOKUP(F335,'DATA - 2025 Review'!C:C,'DATA - 2025 Review'!I:I,"")</f>
        <v>143.30621080054499</v>
      </c>
      <c r="I335" s="281">
        <f>_xlfn.XLOOKUP(F335,'DATA - 2025 Review'!C:C,'DATA - 2025 Review'!J:J)</f>
        <v>5.109492647058822E-2</v>
      </c>
      <c r="J335" s="273">
        <f>_xlfn.XLOOKUP(F335,'2025 Finish (ACTUAL)'!$C:$C,'2025 Finish (ACTUAL)'!$D:$D)</f>
        <v>96.239952000000002</v>
      </c>
      <c r="K335" s="281">
        <v>-1</v>
      </c>
      <c r="L335" s="274">
        <f t="shared" ref="L335" si="163">K335*J335</f>
        <v>-96.239952000000002</v>
      </c>
      <c r="M335" s="274">
        <f>L335+J335</f>
        <v>0</v>
      </c>
      <c r="N335" s="281">
        <v>-1</v>
      </c>
      <c r="O335" s="274">
        <f>N335*J335</f>
        <v>-96.239952000000002</v>
      </c>
      <c r="P335" s="275">
        <f>O335+J335</f>
        <v>0</v>
      </c>
    </row>
    <row r="336" spans="1:16" x14ac:dyDescent="0.25">
      <c r="A336" s="143" t="s">
        <v>98</v>
      </c>
      <c r="B336" s="202"/>
      <c r="C336" s="202" t="str">
        <f>_xlfn.XLOOKUP(A336,'Brand Managers'!A:A,'Brand Managers'!B:B)</f>
        <v>Jason Koo</v>
      </c>
      <c r="D336" s="202"/>
      <c r="E336" s="202"/>
      <c r="F336" s="203" t="str">
        <f t="shared" si="125"/>
        <v>Caravella Inc|</v>
      </c>
      <c r="G336" s="203" t="str">
        <f t="shared" si="157"/>
        <v>Caravella Inc|||</v>
      </c>
      <c r="H336" s="144">
        <f>_xlfn.XLOOKUP(F336,'DATA - 2025 Review'!C:C,'DATA - 2025 Review'!I:I,"")</f>
        <v>792.92350688317595</v>
      </c>
      <c r="I336" s="145">
        <f>_xlfn.XLOOKUP(F336,'DATA - 2025 Review'!C:C,'DATA - 2025 Review'!J:J)</f>
        <v>0.11309180424686871</v>
      </c>
      <c r="J336" s="144">
        <f>_xlfn.XLOOKUP(F336,'2025 Finish (ACTUAL)'!$C:$C,'2025 Finish (ACTUAL)'!$D:$D)</f>
        <v>792.06686400000001</v>
      </c>
      <c r="K336" s="145">
        <f>L336/J336</f>
        <v>0</v>
      </c>
      <c r="L336" s="147">
        <f>SUMIF(B:B,A336,L:L)</f>
        <v>0</v>
      </c>
      <c r="M336" s="147">
        <f>SUMIF(B:B,A336,M:M)</f>
        <v>792.06686400000001</v>
      </c>
      <c r="N336" s="145">
        <f>O336/J336</f>
        <v>3.5153255445363511E-2</v>
      </c>
      <c r="O336" s="147">
        <f>SUMIF(B:B,A336,O:O)</f>
        <v>27.843728800000001</v>
      </c>
      <c r="P336" s="148">
        <f>SUMIF(B:B,A336,P:P)</f>
        <v>819.9105927999999</v>
      </c>
    </row>
    <row r="337" spans="1:16" x14ac:dyDescent="0.25">
      <c r="A337" s="149" t="s">
        <v>330</v>
      </c>
      <c r="B337" s="2" t="s">
        <v>98</v>
      </c>
      <c r="C337" s="299" t="str">
        <f>_xlfn.XLOOKUP(B337,'Brand Managers'!A:A,'Brand Managers'!B:B)</f>
        <v>Jason Koo</v>
      </c>
      <c r="D337" s="42" t="str">
        <f>_xlfn.XLOOKUP(F337,'DATA - Segments'!C:C,'DATA - Segments'!D:D)</f>
        <v>Wine</v>
      </c>
      <c r="E337" s="42" t="str">
        <f>_xlfn.XLOOKUP(F337,'DATA - Segments'!C:C,'DATA - Segments'!E:E)</f>
        <v>Wine - Other</v>
      </c>
      <c r="F337" s="203" t="str">
        <f t="shared" si="125"/>
        <v>Caravella|Caravella Inc</v>
      </c>
      <c r="G337" s="203" t="str">
        <f t="shared" si="157"/>
        <v>Caravella|Caravella Inc|Wine|Wine - Other</v>
      </c>
      <c r="H337" s="150">
        <f>_xlfn.XLOOKUP(F337,'DATA - 2025 Review'!C:C,'DATA - 2025 Review'!I:I,"")</f>
        <v>341.73856903288799</v>
      </c>
      <c r="I337" s="151">
        <f>_xlfn.XLOOKUP(F337,'DATA - 2025 Review'!C:C,'DATA - 2025 Review'!J:J)</f>
        <v>-0.14021167619047614</v>
      </c>
      <c r="J337" s="150">
        <f>_xlfn.XLOOKUP(F337,'2025 Finish (ACTUAL)'!$C:$C,'2025 Finish (ACTUAL)'!$D:$D)</f>
        <v>348.257904</v>
      </c>
      <c r="K337" s="146"/>
      <c r="L337" s="152">
        <f t="shared" ref="L337:L340" si="164">K337*J337</f>
        <v>0</v>
      </c>
      <c r="M337" s="152">
        <f t="shared" ref="M337:M340" si="165">L337+J337</f>
        <v>348.257904</v>
      </c>
      <c r="N337" s="146"/>
      <c r="O337" s="152">
        <f t="shared" ref="O337:O340" si="166">N337*J337</f>
        <v>0</v>
      </c>
      <c r="P337" s="69">
        <f t="shared" ref="P337:P340" si="167">O337+J337</f>
        <v>348.257904</v>
      </c>
    </row>
    <row r="338" spans="1:16" x14ac:dyDescent="0.25">
      <c r="A338" s="149" t="s">
        <v>148</v>
      </c>
      <c r="B338" s="2" t="s">
        <v>98</v>
      </c>
      <c r="C338" s="299" t="str">
        <f>_xlfn.XLOOKUP(B338,'Brand Managers'!A:A,'Brand Managers'!B:B)</f>
        <v>Jason Koo</v>
      </c>
      <c r="D338" s="42" t="str">
        <f>_xlfn.XLOOKUP(F338,'DATA - Segments'!C:C,'DATA - Segments'!D:D)</f>
        <v>Wine</v>
      </c>
      <c r="E338" s="42" t="str">
        <f>_xlfn.XLOOKUP(F338,'DATA - Segments'!C:C,'DATA - Segments'!E:E)</f>
        <v>Wine - Other</v>
      </c>
      <c r="F338" s="203" t="str">
        <f t="shared" si="125"/>
        <v>Dancing Vines|Caravella Inc</v>
      </c>
      <c r="G338" s="203" t="str">
        <f t="shared" si="157"/>
        <v>Dancing Vines|Caravella Inc|Wine|Wine - Other</v>
      </c>
      <c r="H338" s="150">
        <f>_xlfn.XLOOKUP(F338,'DATA - 2025 Review'!C:C,'DATA - 2025 Review'!I:I,"")</f>
        <v>31.439898009247997</v>
      </c>
      <c r="I338" s="151">
        <f>_xlfn.XLOOKUP(F338,'DATA - 2025 Review'!C:C,'DATA - 2025 Review'!J:J)</f>
        <v>-0.62337663291139245</v>
      </c>
      <c r="J338" s="150">
        <f>_xlfn.XLOOKUP(F338,'2025 Finish (ACTUAL)'!$C:$C,'2025 Finish (ACTUAL)'!$D:$D)</f>
        <v>36.984079999999999</v>
      </c>
      <c r="K338" s="146"/>
      <c r="L338" s="152">
        <f t="shared" si="164"/>
        <v>0</v>
      </c>
      <c r="M338" s="152">
        <f t="shared" si="165"/>
        <v>36.984079999999999</v>
      </c>
      <c r="N338" s="146">
        <v>0.1</v>
      </c>
      <c r="O338" s="152">
        <f t="shared" si="166"/>
        <v>3.6984080000000001</v>
      </c>
      <c r="P338" s="69">
        <f t="shared" si="167"/>
        <v>40.682487999999999</v>
      </c>
    </row>
    <row r="339" spans="1:16" x14ac:dyDescent="0.25">
      <c r="A339" s="149" t="s">
        <v>357</v>
      </c>
      <c r="B339" s="2" t="s">
        <v>98</v>
      </c>
      <c r="C339" s="299" t="str">
        <f>_xlfn.XLOOKUP(B339,'Brand Managers'!A:A,'Brand Managers'!B:B)</f>
        <v>Jason Koo</v>
      </c>
      <c r="D339" s="42" t="str">
        <f>_xlfn.XLOOKUP(F339,'DATA - Segments'!C:C,'DATA - Segments'!D:D)</f>
        <v>Wine</v>
      </c>
      <c r="E339" s="42" t="str">
        <f>_xlfn.XLOOKUP(F339,'DATA - Segments'!C:C,'DATA - Segments'!E:E)</f>
        <v>Wine - Other</v>
      </c>
      <c r="F339" s="203" t="str">
        <f t="shared" si="125"/>
        <v>2 Canos|Caravella Inc</v>
      </c>
      <c r="G339" s="203" t="str">
        <f t="shared" si="157"/>
        <v>2 Canos|Caravella Inc|Wine|Wine - Other</v>
      </c>
      <c r="H339" s="150">
        <f>_xlfn.XLOOKUP(F339,'DATA - 2025 Review'!C:C,'DATA - 2025 Review'!I:I,"")</f>
        <v>333.79166908889596</v>
      </c>
      <c r="I339" s="151">
        <f>_xlfn.XLOOKUP(F339,'DATA - 2025 Review'!C:C,'DATA - 2025 Review'!J:J)</f>
        <v>0.44239631050228301</v>
      </c>
      <c r="J339" s="150">
        <f>_xlfn.XLOOKUP(F339,'2025 Finish (ACTUAL)'!$C:$C,'2025 Finish (ACTUAL)'!$D:$D)</f>
        <v>330.74334399999998</v>
      </c>
      <c r="K339" s="146"/>
      <c r="L339" s="152">
        <f t="shared" si="164"/>
        <v>0</v>
      </c>
      <c r="M339" s="152">
        <f t="shared" si="165"/>
        <v>330.74334399999998</v>
      </c>
      <c r="N339" s="146">
        <v>0.05</v>
      </c>
      <c r="O339" s="152">
        <f t="shared" si="166"/>
        <v>16.537167199999999</v>
      </c>
      <c r="P339" s="69">
        <f t="shared" si="167"/>
        <v>347.28051119999998</v>
      </c>
    </row>
    <row r="340" spans="1:16" x14ac:dyDescent="0.25">
      <c r="A340" s="149" t="s">
        <v>78</v>
      </c>
      <c r="B340" s="5" t="s">
        <v>98</v>
      </c>
      <c r="C340" s="299" t="str">
        <f>_xlfn.XLOOKUP(B340,'Brand Managers'!A:A,'Brand Managers'!B:B)</f>
        <v>Jason Koo</v>
      </c>
      <c r="D340" s="42" t="str">
        <f>_xlfn.XLOOKUP(F340,'DATA - Segments'!C:C,'DATA - Segments'!D:D)</f>
        <v>Wine</v>
      </c>
      <c r="E340" s="42" t="str">
        <f>_xlfn.XLOOKUP(F340,'DATA - Segments'!C:C,'DATA - Segments'!E:E)</f>
        <v>Wine - Other</v>
      </c>
      <c r="F340" s="203" t="str">
        <f t="shared" si="125"/>
        <v>Poca Loca|Caravella Inc</v>
      </c>
      <c r="G340" s="203" t="str">
        <f t="shared" si="157"/>
        <v>Poca Loca|Caravella Inc|Wine|Wine - Other</v>
      </c>
      <c r="H340" s="150">
        <f>_xlfn.XLOOKUP(F340,'DATA - 2025 Review'!C:C,'DATA - 2025 Review'!I:I,"")</f>
        <v>75.024848000000006</v>
      </c>
      <c r="I340" s="151">
        <f>_xlfn.XLOOKUP(F340,'DATA - 2025 Review'!C:C,'DATA - 2025 Review'!J:J)</f>
        <v>0</v>
      </c>
      <c r="J340" s="150">
        <f>_xlfn.XLOOKUP(F340,'2025 Finish (ACTUAL)'!$C:$C,'2025 Finish (ACTUAL)'!$D:$D)</f>
        <v>76.081536</v>
      </c>
      <c r="K340" s="146"/>
      <c r="L340" s="152">
        <f t="shared" si="164"/>
        <v>0</v>
      </c>
      <c r="M340" s="152">
        <f t="shared" si="165"/>
        <v>76.081536</v>
      </c>
      <c r="N340" s="146">
        <v>0.1</v>
      </c>
      <c r="O340" s="152">
        <f t="shared" si="166"/>
        <v>7.6081536000000005</v>
      </c>
      <c r="P340" s="69">
        <f t="shared" si="167"/>
        <v>83.689689599999994</v>
      </c>
    </row>
    <row r="341" spans="1:16" x14ac:dyDescent="0.25">
      <c r="A341" s="143" t="s">
        <v>22</v>
      </c>
      <c r="B341" s="202"/>
      <c r="C341" s="202" t="str">
        <f>_xlfn.XLOOKUP(A341,'Brand Managers'!A:A,'Brand Managers'!B:B)</f>
        <v>Jason Koo</v>
      </c>
      <c r="D341" s="202"/>
      <c r="E341" s="202"/>
      <c r="F341" s="203" t="str">
        <f t="shared" si="125"/>
        <v>Little Water Distillery|</v>
      </c>
      <c r="G341" s="203" t="str">
        <f t="shared" si="157"/>
        <v>Little Water Distillery|||</v>
      </c>
      <c r="H341" s="144">
        <f>_xlfn.XLOOKUP(F341,'DATA - 2025 Review'!C:C,'DATA - 2025 Review'!I:I,"")</f>
        <v>37.64152</v>
      </c>
      <c r="I341" s="145">
        <f>_xlfn.XLOOKUP(F341,'DATA - 2025 Review'!C:C,'DATA - 2025 Review'!J:J)</f>
        <v>-0.43396210526315793</v>
      </c>
      <c r="J341" s="144">
        <f>_xlfn.XLOOKUP(F341,'2025 Finish (ACTUAL)'!$C:$C,'2025 Finish (ACTUAL)'!$D:$D)</f>
        <v>18.5</v>
      </c>
      <c r="K341" s="145">
        <f>L341/J341</f>
        <v>0</v>
      </c>
      <c r="L341" s="147">
        <f>SUMIF(B:B,A341,L:L)</f>
        <v>0</v>
      </c>
      <c r="M341" s="147">
        <f>SUMIF(B:B,A341,M:M)</f>
        <v>18.5</v>
      </c>
      <c r="N341" s="145">
        <f>O341/J341</f>
        <v>0.4081081081081081</v>
      </c>
      <c r="O341" s="147">
        <f>SUMIF(B:B,A341,O:O)</f>
        <v>7.55</v>
      </c>
      <c r="P341" s="148">
        <f>SUMIF(B:B,A341,P:P)</f>
        <v>26.05</v>
      </c>
    </row>
    <row r="342" spans="1:16" x14ac:dyDescent="0.25">
      <c r="A342" s="149" t="s">
        <v>273</v>
      </c>
      <c r="B342" s="2" t="s">
        <v>22</v>
      </c>
      <c r="C342" s="299" t="str">
        <f>_xlfn.XLOOKUP(B342,'Brand Managers'!A:A,'Brand Managers'!B:B)</f>
        <v>Jason Koo</v>
      </c>
      <c r="D342" s="42" t="str">
        <f>_xlfn.XLOOKUP(F342,'DATA - Segments'!C:C,'DATA - Segments'!D:D)</f>
        <v>Spirits</v>
      </c>
      <c r="E342" s="42" t="str">
        <f>_xlfn.XLOOKUP(F342,'DATA - Segments'!C:C,'DATA - Segments'!E:E)</f>
        <v>Spirits - Other</v>
      </c>
      <c r="F342" s="203" t="str">
        <f t="shared" ref="F342:F405" si="168">A342&amp;"|"&amp;B342</f>
        <v>48 Blocks|Little Water Distillery</v>
      </c>
      <c r="G342" s="203" t="str">
        <f t="shared" si="157"/>
        <v>48 Blocks|Little Water Distillery|Spirits|Spirits - Other</v>
      </c>
      <c r="H342" s="150">
        <f>_xlfn.XLOOKUP(F342,'DATA - 2025 Review'!C:C,'DATA - 2025 Review'!I:I,"")</f>
        <v>31.090924999999999</v>
      </c>
      <c r="I342" s="151">
        <f>_xlfn.XLOOKUP(F342,'DATA - 2025 Review'!C:C,'DATA - 2025 Review'!J:J)</f>
        <v>-0.45454517543859652</v>
      </c>
      <c r="J342" s="150">
        <f>_xlfn.XLOOKUP(F342,'2025 Finish (ACTUAL)'!$C:$C,'2025 Finish (ACTUAL)'!$D:$D)</f>
        <v>15.5</v>
      </c>
      <c r="K342" s="146"/>
      <c r="L342" s="152">
        <f t="shared" ref="L342:L344" si="169">K342*J342</f>
        <v>0</v>
      </c>
      <c r="M342" s="152">
        <f t="shared" ref="M342:M344" si="170">L342+J342</f>
        <v>15.5</v>
      </c>
      <c r="N342" s="146">
        <v>0.1</v>
      </c>
      <c r="O342" s="152">
        <f t="shared" ref="O342:O344" si="171">N342*J342</f>
        <v>1.55</v>
      </c>
      <c r="P342" s="69">
        <f t="shared" ref="P342:P344" si="172">O342+J342</f>
        <v>17.05</v>
      </c>
    </row>
    <row r="343" spans="1:16" x14ac:dyDescent="0.25">
      <c r="A343" s="153" t="s">
        <v>274</v>
      </c>
      <c r="B343" s="2" t="s">
        <v>22</v>
      </c>
      <c r="C343" s="299" t="str">
        <f>_xlfn.XLOOKUP(B343,'Brand Managers'!A:A,'Brand Managers'!B:B)</f>
        <v>Jason Koo</v>
      </c>
      <c r="D343" s="42" t="str">
        <f>_xlfn.XLOOKUP(F343,'DATA - Segments'!C:C,'DATA - Segments'!D:D)</f>
        <v>Spirits</v>
      </c>
      <c r="E343" s="42" t="str">
        <f>_xlfn.XLOOKUP(F343,'DATA - Segments'!C:C,'DATA - Segments'!E:E)</f>
        <v>Spirits - Whiskey</v>
      </c>
      <c r="F343" s="203" t="str">
        <f t="shared" si="168"/>
        <v>Whitecap|Little Water Distillery</v>
      </c>
      <c r="G343" s="203" t="str">
        <f t="shared" si="157"/>
        <v>Whitecap|Little Water Distillery|Spirits|Spirits - Whiskey</v>
      </c>
      <c r="H343" s="150">
        <f>_xlfn.XLOOKUP(F343,'DATA - 2025 Review'!C:C,'DATA - 2025 Review'!I:I,"")</f>
        <v>1.4</v>
      </c>
      <c r="I343" s="151">
        <f>_xlfn.XLOOKUP(F343,'DATA - 2025 Review'!C:C,'DATA - 2025 Review'!J:J)</f>
        <v>-0.8</v>
      </c>
      <c r="J343" s="150">
        <f>_xlfn.XLOOKUP(F343,'2025 Finish (ACTUAL)'!$C:$C,'2025 Finish (ACTUAL)'!$D:$D)</f>
        <v>0.5</v>
      </c>
      <c r="K343" s="146"/>
      <c r="L343" s="152">
        <f t="shared" si="169"/>
        <v>0</v>
      </c>
      <c r="M343" s="152">
        <f t="shared" si="170"/>
        <v>0.5</v>
      </c>
      <c r="N343" s="146">
        <v>2</v>
      </c>
      <c r="O343" s="152">
        <f t="shared" si="171"/>
        <v>1</v>
      </c>
      <c r="P343" s="69">
        <f t="shared" si="172"/>
        <v>1.5</v>
      </c>
    </row>
    <row r="344" spans="1:16" x14ac:dyDescent="0.25">
      <c r="A344" s="149" t="s">
        <v>149</v>
      </c>
      <c r="B344" s="2" t="s">
        <v>22</v>
      </c>
      <c r="C344" s="299" t="str">
        <f>_xlfn.XLOOKUP(B344,'Brand Managers'!A:A,'Brand Managers'!B:B)</f>
        <v>Jason Koo</v>
      </c>
      <c r="D344" s="42" t="str">
        <f>_xlfn.XLOOKUP(F344,'DATA - Segments'!C:C,'DATA - Segments'!D:D)</f>
        <v>Spirits</v>
      </c>
      <c r="E344" s="42" t="str">
        <f>_xlfn.XLOOKUP(F344,'DATA - Segments'!C:C,'DATA - Segments'!E:E)</f>
        <v>Spirits - Gin</v>
      </c>
      <c r="F344" s="203" t="str">
        <f t="shared" si="168"/>
        <v>Rusted Revolver|Little Water Distillery</v>
      </c>
      <c r="G344" s="203" t="str">
        <f t="shared" si="157"/>
        <v>Rusted Revolver|Little Water Distillery|Spirits|Spirits - Gin</v>
      </c>
      <c r="H344" s="150">
        <f>_xlfn.XLOOKUP(F344,'DATA - 2025 Review'!C:C,'DATA - 2025 Review'!I:I,"")</f>
        <v>3.125</v>
      </c>
      <c r="I344" s="151">
        <f>_xlfn.XLOOKUP(F344,'DATA - 2025 Review'!C:C,'DATA - 2025 Review'!J:J)</f>
        <v>0.25</v>
      </c>
      <c r="J344" s="150">
        <f>_xlfn.XLOOKUP(F344,'2025 Finish (ACTUAL)'!$C:$C,'2025 Finish (ACTUAL)'!$D:$D)</f>
        <v>2.5</v>
      </c>
      <c r="K344" s="146"/>
      <c r="L344" s="152">
        <f t="shared" si="169"/>
        <v>0</v>
      </c>
      <c r="M344" s="152">
        <f t="shared" si="170"/>
        <v>2.5</v>
      </c>
      <c r="N344" s="146">
        <v>2</v>
      </c>
      <c r="O344" s="152">
        <f t="shared" si="171"/>
        <v>5</v>
      </c>
      <c r="P344" s="69">
        <f t="shared" si="172"/>
        <v>7.5</v>
      </c>
    </row>
    <row r="345" spans="1:16" x14ac:dyDescent="0.25">
      <c r="A345" s="143" t="s">
        <v>231</v>
      </c>
      <c r="B345" s="202"/>
      <c r="C345" s="202" t="str">
        <f>_xlfn.XLOOKUP(A345,'Brand Managers'!A:A,'Brand Managers'!B:B)</f>
        <v/>
      </c>
      <c r="D345" s="202"/>
      <c r="E345" s="202"/>
      <c r="F345" s="203" t="str">
        <f t="shared" si="168"/>
        <v>Ever Grand Group LLC|</v>
      </c>
      <c r="G345" s="203" t="str">
        <f t="shared" si="157"/>
        <v>Ever Grand Group LLC|||</v>
      </c>
      <c r="H345" s="144">
        <f>_xlfn.XLOOKUP(F345,'DATA - 2025 Review'!C:C,'DATA - 2025 Review'!I:I,"")</f>
        <v>214.817887105604</v>
      </c>
      <c r="I345" s="145">
        <f>_xlfn.XLOOKUP(F345,'DATA - 2025 Review'!C:C,'DATA - 2025 Review'!J:J)</f>
        <v>-0.51376143128964058</v>
      </c>
      <c r="J345" s="144">
        <f>_xlfn.XLOOKUP(F345,'2025 Finish (ACTUAL)'!$C:$C,'2025 Finish (ACTUAL)'!$D:$D)</f>
        <v>246.583392</v>
      </c>
      <c r="K345" s="145">
        <f>L345/J345</f>
        <v>0</v>
      </c>
      <c r="L345" s="147">
        <f>SUMIF(B:B,A345,L:L)</f>
        <v>0</v>
      </c>
      <c r="M345" s="147">
        <f>SUMIF(B:B,A345,M:M)</f>
        <v>246.583392</v>
      </c>
      <c r="N345" s="145">
        <f>O345/J345</f>
        <v>0</v>
      </c>
      <c r="O345" s="147">
        <f>SUMIF(B:B,A345,O:O)</f>
        <v>0</v>
      </c>
      <c r="P345" s="148">
        <f>SUMIF(B:B,A345,P:P)</f>
        <v>246.583392</v>
      </c>
    </row>
    <row r="346" spans="1:16" x14ac:dyDescent="0.25">
      <c r="A346" s="149" t="s">
        <v>232</v>
      </c>
      <c r="B346" s="2" t="s">
        <v>231</v>
      </c>
      <c r="C346" s="299" t="str">
        <f>_xlfn.XLOOKUP(B346,'Brand Managers'!A:A,'Brand Managers'!B:B)</f>
        <v/>
      </c>
      <c r="D346" s="42" t="str">
        <f>_xlfn.XLOOKUP(F346,'DATA - Segments'!C:C,'DATA - Segments'!D:D)</f>
        <v>Beer</v>
      </c>
      <c r="E346" s="42" t="str">
        <f>_xlfn.XLOOKUP(F346,'DATA - Segments'!C:C,'DATA - Segments'!E:E)</f>
        <v>Beer - Import</v>
      </c>
      <c r="F346" s="203" t="str">
        <f t="shared" si="168"/>
        <v>Snow Beer|Ever Grand Group LLC</v>
      </c>
      <c r="G346" s="203" t="str">
        <f t="shared" si="157"/>
        <v>Snow Beer|Ever Grand Group LLC|Beer|Beer - Import</v>
      </c>
      <c r="H346" s="150">
        <f>_xlfn.XLOOKUP(F346,'DATA - 2025 Review'!C:C,'DATA - 2025 Review'!I:I,"")</f>
        <v>214.817887105604</v>
      </c>
      <c r="I346" s="151">
        <f>_xlfn.XLOOKUP(F346,'DATA - 2025 Review'!C:C,'DATA - 2025 Review'!J:J)</f>
        <v>-0.51376143128964058</v>
      </c>
      <c r="J346" s="150">
        <f>_xlfn.XLOOKUP(F346,'2025 Finish (ACTUAL)'!$C:$C,'2025 Finish (ACTUAL)'!$D:$D)</f>
        <v>246.583392</v>
      </c>
      <c r="K346" s="146"/>
      <c r="L346" s="152">
        <f t="shared" ref="L346" si="173">K346*J346</f>
        <v>0</v>
      </c>
      <c r="M346" s="152">
        <f>L346+J346</f>
        <v>246.583392</v>
      </c>
      <c r="N346" s="146"/>
      <c r="O346" s="152">
        <f>N346*J346</f>
        <v>0</v>
      </c>
      <c r="P346" s="69">
        <f>O346+J346</f>
        <v>246.583392</v>
      </c>
    </row>
    <row r="347" spans="1:16" x14ac:dyDescent="0.25">
      <c r="A347" s="143" t="s">
        <v>411</v>
      </c>
      <c r="B347" s="202"/>
      <c r="C347" s="202" t="str">
        <f>_xlfn.XLOOKUP(A347,'Brand Managers'!A:A,'Brand Managers'!B:B)</f>
        <v>Jason Koo</v>
      </c>
      <c r="D347" s="202"/>
      <c r="E347" s="202"/>
      <c r="F347" s="203" t="str">
        <f t="shared" si="168"/>
        <v>OVO Vodka LLC|</v>
      </c>
      <c r="G347" s="203" t="str">
        <f t="shared" si="157"/>
        <v>OVO Vodka LLC|||</v>
      </c>
      <c r="H347" s="144">
        <f>_xlfn.XLOOKUP(F347,'DATA - 2025 Review'!C:C,'DATA - 2025 Review'!I:I,"")</f>
        <v>260.90785961472</v>
      </c>
      <c r="I347" s="145">
        <f>_xlfn.XLOOKUP(F347,'DATA - 2025 Review'!C:C,'DATA - 2025 Review'!J:J)</f>
        <v>0.40223980995896502</v>
      </c>
      <c r="J347" s="144">
        <f>_xlfn.XLOOKUP(F347,'2025 Finish (ACTUAL)'!$C:$C,'2025 Finish (ACTUAL)'!$D:$D)</f>
        <v>243.25479999999999</v>
      </c>
      <c r="K347" s="145">
        <f>L347/J347</f>
        <v>0</v>
      </c>
      <c r="L347" s="147">
        <f>SUMIF(B:B,A347,L:L)</f>
        <v>0</v>
      </c>
      <c r="M347" s="147">
        <f>SUMIF(B:B,A347,M:M)</f>
        <v>243.25479999999999</v>
      </c>
      <c r="N347" s="145">
        <f>O347/J347</f>
        <v>0.1</v>
      </c>
      <c r="O347" s="147">
        <f>SUMIF(B:B,A347,O:O)</f>
        <v>24.325479999999999</v>
      </c>
      <c r="P347" s="148">
        <f>SUMIF(B:B,A347,P:P)</f>
        <v>267.58028000000002</v>
      </c>
    </row>
    <row r="348" spans="1:16" x14ac:dyDescent="0.25">
      <c r="A348" s="149" t="s">
        <v>275</v>
      </c>
      <c r="B348" s="2" t="s">
        <v>411</v>
      </c>
      <c r="C348" s="299" t="str">
        <f>_xlfn.XLOOKUP(B348,'Brand Managers'!A:A,'Brand Managers'!B:B)</f>
        <v>Jason Koo</v>
      </c>
      <c r="D348" s="42" t="str">
        <f>_xlfn.XLOOKUP(F348,'DATA - Segments'!C:C,'DATA - Segments'!D:D)</f>
        <v>Spirits</v>
      </c>
      <c r="E348" s="42" t="str">
        <f>_xlfn.XLOOKUP(F348,'DATA - Segments'!C:C,'DATA - Segments'!E:E)</f>
        <v>Spirits - Vodka</v>
      </c>
      <c r="F348" s="203" t="str">
        <f t="shared" si="168"/>
        <v>OVO Vodka|OVO Vodka LLC</v>
      </c>
      <c r="G348" s="203" t="str">
        <f t="shared" si="157"/>
        <v>OVO Vodka|OVO Vodka LLC|Spirits|Spirits - Vodka</v>
      </c>
      <c r="H348" s="150">
        <f>_xlfn.XLOOKUP(F348,'DATA - 2025 Review'!C:C,'DATA - 2025 Review'!I:I,"")</f>
        <v>260.90785961472</v>
      </c>
      <c r="I348" s="151">
        <f>_xlfn.XLOOKUP(F348,'DATA - 2025 Review'!C:C,'DATA - 2025 Review'!J:J)</f>
        <v>0.40223980995896502</v>
      </c>
      <c r="J348" s="150">
        <f>_xlfn.XLOOKUP(F348,'2025 Finish (ACTUAL)'!$C:$C,'2025 Finish (ACTUAL)'!$D:$D)</f>
        <v>243.25479999999999</v>
      </c>
      <c r="K348" s="146"/>
      <c r="L348" s="152">
        <f t="shared" ref="L348" si="174">K348*J348</f>
        <v>0</v>
      </c>
      <c r="M348" s="152">
        <f>L348+J348</f>
        <v>243.25479999999999</v>
      </c>
      <c r="N348" s="146">
        <v>0.1</v>
      </c>
      <c r="O348" s="152">
        <f>N348*J348</f>
        <v>24.325479999999999</v>
      </c>
      <c r="P348" s="69">
        <f>O348+J348</f>
        <v>267.58028000000002</v>
      </c>
    </row>
    <row r="349" spans="1:16" x14ac:dyDescent="0.25">
      <c r="A349" s="143" t="s">
        <v>358</v>
      </c>
      <c r="B349" s="202"/>
      <c r="C349" s="202" t="str">
        <f>_xlfn.XLOOKUP(A349,'Brand Managers'!A:A,'Brand Managers'!B:B)</f>
        <v>Chris Politano</v>
      </c>
      <c r="D349" s="202"/>
      <c r="E349" s="202"/>
      <c r="F349" s="203" t="str">
        <f t="shared" si="168"/>
        <v>Buzbee's Beverages USA LLC|</v>
      </c>
      <c r="G349" s="203" t="str">
        <f t="shared" si="157"/>
        <v>Buzbee's Beverages USA LLC|||</v>
      </c>
      <c r="H349" s="144">
        <f>_xlfn.XLOOKUP(F349,'DATA - 2025 Review'!C:C,'DATA - 2025 Review'!I:I,"")</f>
        <v>93.500055000000003</v>
      </c>
      <c r="I349" s="145">
        <f>_xlfn.XLOOKUP(F349,'DATA - 2025 Review'!C:C,'DATA - 2025 Review'!J:J)</f>
        <v>2</v>
      </c>
      <c r="J349" s="144">
        <f>_xlfn.XLOOKUP(F349,'2025 Finish (ACTUAL)'!$C:$C,'2025 Finish (ACTUAL)'!$D:$D)</f>
        <v>33.433352999999997</v>
      </c>
      <c r="K349" s="145">
        <f>L349/J349</f>
        <v>-1</v>
      </c>
      <c r="L349" s="147">
        <f>SUMIF(B:B,A349,L:L)</f>
        <v>-33.433352999999997</v>
      </c>
      <c r="M349" s="147">
        <f>SUMIF(B:B,A349,M:M)</f>
        <v>0</v>
      </c>
      <c r="N349" s="145">
        <f>O349/J349</f>
        <v>-1</v>
      </c>
      <c r="O349" s="147">
        <f>SUMIF(B:B,A349,O:O)</f>
        <v>-33.433352999999997</v>
      </c>
      <c r="P349" s="148">
        <f>SUMIF(B:B,A349,P:P)</f>
        <v>0</v>
      </c>
    </row>
    <row r="350" spans="1:16" x14ac:dyDescent="0.25">
      <c r="A350" s="156" t="s">
        <v>276</v>
      </c>
      <c r="B350" s="283" t="s">
        <v>358</v>
      </c>
      <c r="C350" s="283"/>
      <c r="D350" s="42" t="str">
        <f>_xlfn.XLOOKUP(F350,'DATA - Segments'!C:C,'DATA - Segments'!D:D)</f>
        <v>Non-Alc</v>
      </c>
      <c r="E350" s="42" t="str">
        <f>_xlfn.XLOOKUP(F350,'DATA - Segments'!C:C,'DATA - Segments'!E:E)</f>
        <v>Non-Alc - Soda</v>
      </c>
      <c r="F350" s="203" t="str">
        <f t="shared" si="168"/>
        <v>Buzbee's|Buzbee's Beverages USA LLC</v>
      </c>
      <c r="G350" s="203" t="str">
        <f t="shared" si="157"/>
        <v>Buzbee's|Buzbee's Beverages USA LLC|Non-Alc|Non-Alc - Soda</v>
      </c>
      <c r="H350" s="273">
        <f>_xlfn.XLOOKUP(F350,'DATA - 2025 Review'!C:C,'DATA - 2025 Review'!I:I,"")</f>
        <v>93.500055000000003</v>
      </c>
      <c r="I350" s="281">
        <f>_xlfn.XLOOKUP(F350,'DATA - 2025 Review'!C:C,'DATA - 2025 Review'!J:J)</f>
        <v>2</v>
      </c>
      <c r="J350" s="273">
        <f>_xlfn.XLOOKUP(F350,'2025 Finish (ACTUAL)'!$C:$C,'2025 Finish (ACTUAL)'!$D:$D)</f>
        <v>33.433352999999997</v>
      </c>
      <c r="K350" s="281">
        <v>-1</v>
      </c>
      <c r="L350" s="274">
        <f t="shared" ref="L350" si="175">K350*J350</f>
        <v>-33.433352999999997</v>
      </c>
      <c r="M350" s="274">
        <f>L350+J350</f>
        <v>0</v>
      </c>
      <c r="N350" s="281">
        <v>-1</v>
      </c>
      <c r="O350" s="274">
        <f>N350*J350</f>
        <v>-33.433352999999997</v>
      </c>
      <c r="P350" s="275">
        <f>O350+J350</f>
        <v>0</v>
      </c>
    </row>
    <row r="351" spans="1:16" x14ac:dyDescent="0.25">
      <c r="A351" s="143" t="s">
        <v>150</v>
      </c>
      <c r="B351" s="202"/>
      <c r="C351" s="202" t="str">
        <f>_xlfn.XLOOKUP(A351,'Brand Managers'!A:A,'Brand Managers'!B:B)</f>
        <v>Jason Koo</v>
      </c>
      <c r="D351" s="202"/>
      <c r="E351" s="202"/>
      <c r="F351" s="203" t="str">
        <f t="shared" si="168"/>
        <v>Molly's|</v>
      </c>
      <c r="G351" s="203" t="str">
        <f t="shared" si="157"/>
        <v>Molly's|||</v>
      </c>
      <c r="H351" s="144">
        <f>_xlfn.XLOOKUP(F351,'DATA - 2025 Review'!C:C,'DATA - 2025 Review'!I:I,"")</f>
        <v>387.80304316528003</v>
      </c>
      <c r="I351" s="145">
        <f>_xlfn.XLOOKUP(F351,'DATA - 2025 Review'!C:C,'DATA - 2025 Review'!J:J)</f>
        <v>9.9680771430613158E-2</v>
      </c>
      <c r="J351" s="144">
        <f>_xlfn.XLOOKUP(F351,'2025 Finish (ACTUAL)'!$C:$C,'2025 Finish (ACTUAL)'!$D:$D)</f>
        <v>540.35357299999998</v>
      </c>
      <c r="K351" s="145">
        <f>L351/J351</f>
        <v>0</v>
      </c>
      <c r="L351" s="147">
        <f>SUMIF(B:B,A351,L:L)</f>
        <v>0</v>
      </c>
      <c r="M351" s="147">
        <f>SUMIF(B:B,A351,M:M)</f>
        <v>540.35357299999998</v>
      </c>
      <c r="N351" s="145">
        <f>O351/J351</f>
        <v>0.1</v>
      </c>
      <c r="O351" s="147">
        <f>SUMIF(B:B,A351,O:O)</f>
        <v>54.035357300000001</v>
      </c>
      <c r="P351" s="148">
        <f>SUMIF(B:B,A351,P:P)</f>
        <v>594.38893029999997</v>
      </c>
    </row>
    <row r="352" spans="1:16" x14ac:dyDescent="0.25">
      <c r="A352" s="149" t="s">
        <v>150</v>
      </c>
      <c r="B352" s="2" t="s">
        <v>150</v>
      </c>
      <c r="C352" s="299" t="str">
        <f>_xlfn.XLOOKUP(B352,'Brand Managers'!A:A,'Brand Managers'!B:B)</f>
        <v>Jason Koo</v>
      </c>
      <c r="D352" s="42" t="str">
        <f>_xlfn.XLOOKUP(F352,'DATA - Segments'!C:C,'DATA - Segments'!D:D)</f>
        <v>Spirits</v>
      </c>
      <c r="E352" s="42" t="str">
        <f>_xlfn.XLOOKUP(F352,'DATA - Segments'!C:C,'DATA - Segments'!E:E)</f>
        <v>Spirits - Other</v>
      </c>
      <c r="F352" s="203" t="str">
        <f t="shared" si="168"/>
        <v>Molly's|Molly's</v>
      </c>
      <c r="G352" s="203" t="str">
        <f t="shared" si="157"/>
        <v>Molly's|Molly's|Spirits|Spirits - Other</v>
      </c>
      <c r="H352" s="150">
        <f>_xlfn.XLOOKUP(F352,'DATA - 2025 Review'!C:C,'DATA - 2025 Review'!I:I,"")</f>
        <v>387.80304316528003</v>
      </c>
      <c r="I352" s="151">
        <f>_xlfn.XLOOKUP(F352,'DATA - 2025 Review'!C:C,'DATA - 2025 Review'!J:J)</f>
        <v>9.9680771430613158E-2</v>
      </c>
      <c r="J352" s="150">
        <f>_xlfn.XLOOKUP(F352,'2025 Finish (ACTUAL)'!$C:$C,'2025 Finish (ACTUAL)'!$D:$D)</f>
        <v>540.35357299999998</v>
      </c>
      <c r="K352" s="146"/>
      <c r="L352" s="152">
        <f t="shared" ref="L352" si="176">K352*J352</f>
        <v>0</v>
      </c>
      <c r="M352" s="152">
        <f>L352+J352</f>
        <v>540.35357299999998</v>
      </c>
      <c r="N352" s="146">
        <v>0.1</v>
      </c>
      <c r="O352" s="152">
        <f>N352*J352</f>
        <v>54.035357300000001</v>
      </c>
      <c r="P352" s="69">
        <f>O352+J352</f>
        <v>594.38893029999997</v>
      </c>
    </row>
    <row r="353" spans="1:16" x14ac:dyDescent="0.25">
      <c r="A353" s="143" t="s">
        <v>174</v>
      </c>
      <c r="B353" s="202"/>
      <c r="C353" s="202" t="str">
        <f>_xlfn.XLOOKUP(A353,'Brand Managers'!A:A,'Brand Managers'!B:B)</f>
        <v>Jason Koo</v>
      </c>
      <c r="D353" s="202"/>
      <c r="E353" s="202"/>
      <c r="F353" s="203" t="str">
        <f t="shared" si="168"/>
        <v>Emergent Beverage Partners|</v>
      </c>
      <c r="G353" s="203" t="str">
        <f t="shared" si="157"/>
        <v>Emergent Beverage Partners|||</v>
      </c>
      <c r="H353" s="144">
        <f>_xlfn.XLOOKUP(F353,'DATA - 2025 Review'!C:C,'DATA - 2025 Review'!I:I,"")</f>
        <v>1436.7187469999999</v>
      </c>
      <c r="I353" s="145">
        <f>_xlfn.XLOOKUP(F353,'DATA - 2025 Review'!C:C,'DATA - 2025 Review'!J:J)</f>
        <v>9.6423610888888884</v>
      </c>
      <c r="J353" s="144">
        <f>_xlfn.XLOOKUP(F353,'2025 Finish (ACTUAL)'!$C:$C,'2025 Finish (ACTUAL)'!$D:$D)</f>
        <v>1316.875</v>
      </c>
      <c r="K353" s="145">
        <f>L353/J353</f>
        <v>0</v>
      </c>
      <c r="L353" s="147">
        <f>SUMIF(B:B,A353,L:L)</f>
        <v>0</v>
      </c>
      <c r="M353" s="147">
        <f>SUMIF(B:B,A353,M:M)</f>
        <v>1316.875</v>
      </c>
      <c r="N353" s="145">
        <f>O353/J353</f>
        <v>-0.17314665401044141</v>
      </c>
      <c r="O353" s="147">
        <f>SUMIF(B:B,A353,O:O)</f>
        <v>-228.01250000000002</v>
      </c>
      <c r="P353" s="148">
        <f>SUMIF(B:B,A353,P:P)</f>
        <v>1088.8625000000002</v>
      </c>
    </row>
    <row r="354" spans="1:16" x14ac:dyDescent="0.25">
      <c r="A354" s="149" t="s">
        <v>175</v>
      </c>
      <c r="B354" s="2" t="s">
        <v>174</v>
      </c>
      <c r="C354" s="299" t="str">
        <f>_xlfn.XLOOKUP(B354,'Brand Managers'!A:A,'Brand Managers'!B:B)</f>
        <v>Jason Koo</v>
      </c>
      <c r="D354" s="42" t="str">
        <f>_xlfn.XLOOKUP(F354,'DATA - Segments'!C:C,'DATA - Segments'!D:D)</f>
        <v>THC</v>
      </c>
      <c r="E354" s="42" t="str">
        <f>_xlfn.XLOOKUP(F354,'DATA - Segments'!C:C,'DATA - Segments'!E:E)</f>
        <v>THC</v>
      </c>
      <c r="F354" s="203" t="str">
        <f t="shared" si="168"/>
        <v>Hectare's|Emergent Beverage Partners</v>
      </c>
      <c r="G354" s="203" t="str">
        <f t="shared" si="157"/>
        <v>Hectare's|Emergent Beverage Partners|THC|THC</v>
      </c>
      <c r="H354" s="150">
        <f>_xlfn.XLOOKUP(F354,'DATA - 2025 Review'!C:C,'DATA - 2025 Review'!I:I,"")</f>
        <v>602.04237000000001</v>
      </c>
      <c r="I354" s="151">
        <f>_xlfn.XLOOKUP(F354,'DATA - 2025 Review'!C:C,'DATA - 2025 Review'!J:J)</f>
        <v>6.9216101315789471</v>
      </c>
      <c r="J354" s="150">
        <f>_xlfn.XLOOKUP(F354,'2025 Finish (ACTUAL)'!$C:$C,'2025 Finish (ACTUAL)'!$D:$D)</f>
        <v>583.875</v>
      </c>
      <c r="K354" s="146"/>
      <c r="L354" s="152">
        <f t="shared" ref="L354:L358" si="177">K354*J354</f>
        <v>0</v>
      </c>
      <c r="M354" s="152">
        <f t="shared" ref="M354:M358" si="178">L354+J354</f>
        <v>583.875</v>
      </c>
      <c r="N354" s="146">
        <v>0.1</v>
      </c>
      <c r="O354" s="152">
        <f t="shared" ref="O354:O358" si="179">N354*J354</f>
        <v>58.387500000000003</v>
      </c>
      <c r="P354" s="69">
        <f t="shared" ref="P354:P358" si="180">O354+J354</f>
        <v>642.26250000000005</v>
      </c>
    </row>
    <row r="355" spans="1:16" x14ac:dyDescent="0.25">
      <c r="A355" s="149" t="s">
        <v>359</v>
      </c>
      <c r="B355" s="2" t="s">
        <v>174</v>
      </c>
      <c r="C355" s="299" t="str">
        <f>_xlfn.XLOOKUP(B355,'Brand Managers'!A:A,'Brand Managers'!B:B)</f>
        <v>Jason Koo</v>
      </c>
      <c r="D355" s="42" t="str">
        <f>_xlfn.XLOOKUP(F355,'DATA - Segments'!C:C,'DATA - Segments'!D:D)</f>
        <v>THC</v>
      </c>
      <c r="E355" s="42" t="str">
        <f>_xlfn.XLOOKUP(F355,'DATA - Segments'!C:C,'DATA - Segments'!E:E)</f>
        <v>THC</v>
      </c>
      <c r="F355" s="203" t="str">
        <f t="shared" si="168"/>
        <v>Crooked Beverage|Emergent Beverage Partners</v>
      </c>
      <c r="G355" s="203" t="str">
        <f t="shared" si="157"/>
        <v>Crooked Beverage|Emergent Beverage Partners|THC|THC</v>
      </c>
      <c r="H355" s="150">
        <f>_xlfn.XLOOKUP(F355,'DATA - 2025 Review'!C:C,'DATA - 2025 Review'!I:I,"")</f>
        <v>158.93878000000001</v>
      </c>
      <c r="I355" s="151">
        <f>_xlfn.XLOOKUP(F355,'DATA - 2025 Review'!C:C,'DATA - 2025 Review'!J:J)</f>
        <v>1.6938776271186442</v>
      </c>
      <c r="J355" s="150">
        <f>_xlfn.XLOOKUP(F355,'2025 Finish (ACTUAL)'!$C:$C,'2025 Finish (ACTUAL)'!$D:$D)</f>
        <v>126</v>
      </c>
      <c r="K355" s="146"/>
      <c r="L355" s="152">
        <f t="shared" si="177"/>
        <v>0</v>
      </c>
      <c r="M355" s="152">
        <f t="shared" si="178"/>
        <v>126</v>
      </c>
      <c r="N355" s="146">
        <v>-1</v>
      </c>
      <c r="O355" s="152">
        <f t="shared" si="179"/>
        <v>-126</v>
      </c>
      <c r="P355" s="69">
        <f t="shared" si="180"/>
        <v>0</v>
      </c>
    </row>
    <row r="356" spans="1:16" x14ac:dyDescent="0.25">
      <c r="A356" s="149" t="s">
        <v>48</v>
      </c>
      <c r="B356" s="5" t="s">
        <v>174</v>
      </c>
      <c r="C356" s="299" t="str">
        <f>_xlfn.XLOOKUP(B356,'Brand Managers'!A:A,'Brand Managers'!B:B)</f>
        <v>Jason Koo</v>
      </c>
      <c r="D356" s="42" t="str">
        <f>_xlfn.XLOOKUP(F356,'DATA - Segments'!C:C,'DATA - Segments'!D:D)</f>
        <v>THC</v>
      </c>
      <c r="E356" s="42" t="str">
        <f>_xlfn.XLOOKUP(F356,'DATA - Segments'!C:C,'DATA - Segments'!E:E)</f>
        <v>THC</v>
      </c>
      <c r="F356" s="203" t="str">
        <f t="shared" si="168"/>
        <v>Lark Infused D9|Emergent Beverage Partners</v>
      </c>
      <c r="G356" s="203" t="str">
        <f t="shared" si="157"/>
        <v>Lark Infused D9|Emergent Beverage Partners|THC|THC</v>
      </c>
      <c r="H356" s="150">
        <f>_xlfn.XLOOKUP(F356,'DATA - 2025 Review'!C:C,'DATA - 2025 Review'!I:I,"")</f>
        <v>92</v>
      </c>
      <c r="I356" s="151">
        <f>_xlfn.XLOOKUP(F356,'DATA - 2025 Review'!C:C,'DATA - 2025 Review'!J:J)</f>
        <v>0</v>
      </c>
      <c r="J356" s="150">
        <f>_xlfn.XLOOKUP(F356,'2025 Finish (ACTUAL)'!$C:$C,'2025 Finish (ACTUAL)'!$D:$D)</f>
        <v>92</v>
      </c>
      <c r="K356" s="146"/>
      <c r="L356" s="152">
        <f t="shared" si="177"/>
        <v>0</v>
      </c>
      <c r="M356" s="152">
        <f t="shared" si="178"/>
        <v>92</v>
      </c>
      <c r="N356" s="146">
        <v>-1</v>
      </c>
      <c r="O356" s="152">
        <f t="shared" si="179"/>
        <v>-92</v>
      </c>
      <c r="P356" s="69">
        <f t="shared" si="180"/>
        <v>0</v>
      </c>
    </row>
    <row r="357" spans="1:16" x14ac:dyDescent="0.25">
      <c r="A357" s="149" t="s">
        <v>151</v>
      </c>
      <c r="B357" s="5" t="s">
        <v>174</v>
      </c>
      <c r="C357" s="299" t="str">
        <f>_xlfn.XLOOKUP(B357,'Brand Managers'!A:A,'Brand Managers'!B:B)</f>
        <v>Jason Koo</v>
      </c>
      <c r="D357" s="42" t="str">
        <f>_xlfn.XLOOKUP(F357,'DATA - Segments'!C:C,'DATA - Segments'!D:D)</f>
        <v>THC</v>
      </c>
      <c r="E357" s="42" t="str">
        <f>_xlfn.XLOOKUP(F357,'DATA - Segments'!C:C,'DATA - Segments'!E:E)</f>
        <v>THC</v>
      </c>
      <c r="F357" s="203" t="str">
        <f t="shared" si="168"/>
        <v>Boldt Infused D9|Emergent Beverage Partners</v>
      </c>
      <c r="G357" s="203" t="str">
        <f t="shared" si="157"/>
        <v>Boldt Infused D9|Emergent Beverage Partners|THC|THC</v>
      </c>
      <c r="H357" s="150">
        <f>_xlfn.XLOOKUP(F357,'DATA - 2025 Review'!C:C,'DATA - 2025 Review'!I:I,"")</f>
        <v>358</v>
      </c>
      <c r="I357" s="151">
        <f>_xlfn.XLOOKUP(F357,'DATA - 2025 Review'!C:C,'DATA - 2025 Review'!J:J)</f>
        <v>0</v>
      </c>
      <c r="J357" s="150">
        <f>_xlfn.XLOOKUP(F357,'2025 Finish (ACTUAL)'!$C:$C,'2025 Finish (ACTUAL)'!$D:$D)</f>
        <v>406</v>
      </c>
      <c r="K357" s="146"/>
      <c r="L357" s="152">
        <f t="shared" si="177"/>
        <v>0</v>
      </c>
      <c r="M357" s="152">
        <f t="shared" si="178"/>
        <v>406</v>
      </c>
      <c r="N357" s="146">
        <v>0.1</v>
      </c>
      <c r="O357" s="152">
        <f t="shared" si="179"/>
        <v>40.6</v>
      </c>
      <c r="P357" s="69">
        <f t="shared" si="180"/>
        <v>446.6</v>
      </c>
    </row>
    <row r="358" spans="1:16" x14ac:dyDescent="0.25">
      <c r="A358" s="149" t="s">
        <v>79</v>
      </c>
      <c r="B358" s="5" t="s">
        <v>174</v>
      </c>
      <c r="C358" s="299" t="str">
        <f>_xlfn.XLOOKUP(B358,'Brand Managers'!A:A,'Brand Managers'!B:B)</f>
        <v>Jason Koo</v>
      </c>
      <c r="D358" s="42" t="str">
        <f>_xlfn.XLOOKUP(F358,'DATA - Segments'!C:C,'DATA - Segments'!D:D)</f>
        <v>THC</v>
      </c>
      <c r="E358" s="42" t="str">
        <f>_xlfn.XLOOKUP(F358,'DATA - Segments'!C:C,'DATA - Segments'!E:E)</f>
        <v>THC</v>
      </c>
      <c r="F358" s="203" t="str">
        <f t="shared" si="168"/>
        <v>Beckett's D9|Emergent Beverage Partners</v>
      </c>
      <c r="G358" s="203" t="str">
        <f t="shared" si="157"/>
        <v>Beckett's D9|Emergent Beverage Partners|THC|THC</v>
      </c>
      <c r="H358" s="150">
        <f>_xlfn.XLOOKUP(F358,'DATA - 2025 Review'!C:C,'DATA - 2025 Review'!I:I,"")</f>
        <v>100</v>
      </c>
      <c r="I358" s="151">
        <f>_xlfn.XLOOKUP(F358,'DATA - 2025 Review'!C:C,'DATA - 2025 Review'!J:J)</f>
        <v>0</v>
      </c>
      <c r="J358" s="150">
        <f>_xlfn.XLOOKUP(F358,'2025 Finish (ACTUAL)'!$C:$C,'2025 Finish (ACTUAL)'!$D:$D)</f>
        <v>109</v>
      </c>
      <c r="K358" s="146"/>
      <c r="L358" s="152">
        <f t="shared" si="177"/>
        <v>0</v>
      </c>
      <c r="M358" s="152">
        <f t="shared" si="178"/>
        <v>109</v>
      </c>
      <c r="N358" s="146">
        <v>-1</v>
      </c>
      <c r="O358" s="152">
        <f t="shared" si="179"/>
        <v>-109</v>
      </c>
      <c r="P358" s="69">
        <f t="shared" si="180"/>
        <v>0</v>
      </c>
    </row>
    <row r="359" spans="1:16" x14ac:dyDescent="0.25">
      <c r="A359" s="143" t="s">
        <v>331</v>
      </c>
      <c r="B359" s="202"/>
      <c r="C359" s="202" t="str">
        <f>_xlfn.XLOOKUP(A359,'Brand Managers'!A:A,'Brand Managers'!B:B)</f>
        <v>Chris Politano</v>
      </c>
      <c r="D359" s="202"/>
      <c r="E359" s="202"/>
      <c r="F359" s="203" t="str">
        <f t="shared" si="168"/>
        <v>2 Towns Ciderhouse|</v>
      </c>
      <c r="G359" s="203" t="str">
        <f t="shared" si="157"/>
        <v>2 Towns Ciderhouse|||</v>
      </c>
      <c r="H359" s="144">
        <f>_xlfn.XLOOKUP(F359,'DATA - 2025 Review'!C:C,'DATA - 2025 Review'!I:I,"")</f>
        <v>10.443743999999999</v>
      </c>
      <c r="I359" s="145">
        <f>_xlfn.XLOOKUP(F359,'DATA - 2025 Review'!C:C,'DATA - 2025 Review'!J:J)</f>
        <v>-0.96830426707132022</v>
      </c>
      <c r="J359" s="144">
        <f>_xlfn.XLOOKUP(F359,'2025 Finish (ACTUAL)'!$C:$C,'2025 Finish (ACTUAL)'!$D:$D)</f>
        <v>10</v>
      </c>
      <c r="K359" s="145">
        <f>L359/J359</f>
        <v>0</v>
      </c>
      <c r="L359" s="147">
        <f>SUMIF(B:B,A359,L:L)</f>
        <v>0</v>
      </c>
      <c r="M359" s="147">
        <f>SUMIF(B:B,A359,M:M)</f>
        <v>10</v>
      </c>
      <c r="N359" s="145">
        <f>O359/J359</f>
        <v>0</v>
      </c>
      <c r="O359" s="147">
        <f>SUMIF(B:B,A359,O:O)</f>
        <v>0</v>
      </c>
      <c r="P359" s="148">
        <f>SUMIF(B:B,A359,P:P)</f>
        <v>10</v>
      </c>
    </row>
    <row r="360" spans="1:16" x14ac:dyDescent="0.25">
      <c r="A360" s="149" t="s">
        <v>277</v>
      </c>
      <c r="B360" s="2" t="s">
        <v>331</v>
      </c>
      <c r="C360" s="299" t="str">
        <f>_xlfn.XLOOKUP(B360,'Brand Managers'!A:A,'Brand Managers'!B:B)</f>
        <v>Chris Politano</v>
      </c>
      <c r="D360" s="42" t="str">
        <f>_xlfn.XLOOKUP(F360,'DATA - Segments'!C:C,'DATA - Segments'!D:D)</f>
        <v>RTD</v>
      </c>
      <c r="E360" s="42" t="str">
        <f>_xlfn.XLOOKUP(F360,'DATA - Segments'!C:C,'DATA - Segments'!E:E)</f>
        <v>RTD</v>
      </c>
      <c r="F360" s="203" t="str">
        <f t="shared" si="168"/>
        <v>Craftwell|2 Towns Ciderhouse</v>
      </c>
      <c r="G360" s="203" t="str">
        <f t="shared" si="157"/>
        <v>Craftwell|2 Towns Ciderhouse|RTD|RTD</v>
      </c>
      <c r="H360" s="150">
        <f>_xlfn.XLOOKUP(F360,'DATA - 2025 Review'!C:C,'DATA - 2025 Review'!I:I,"")</f>
        <v>10.443743999999999</v>
      </c>
      <c r="I360" s="151">
        <f>_xlfn.XLOOKUP(F360,'DATA - 2025 Review'!C:C,'DATA - 2025 Review'!J:J)</f>
        <v>-0.96830426707132022</v>
      </c>
      <c r="J360" s="150">
        <f>_xlfn.XLOOKUP(F360,'2025 Finish (ACTUAL)'!$C:$C,'2025 Finish (ACTUAL)'!$D:$D)</f>
        <v>10</v>
      </c>
      <c r="K360" s="146"/>
      <c r="L360" s="152">
        <f t="shared" ref="L360" si="181">K360*J360</f>
        <v>0</v>
      </c>
      <c r="M360" s="152">
        <f>L360+J360</f>
        <v>10</v>
      </c>
      <c r="N360" s="146"/>
      <c r="O360" s="152">
        <f>N360*J360</f>
        <v>0</v>
      </c>
      <c r="P360" s="69">
        <f>O360+J360</f>
        <v>10</v>
      </c>
    </row>
    <row r="361" spans="1:16" x14ac:dyDescent="0.25">
      <c r="A361" s="143" t="s">
        <v>298</v>
      </c>
      <c r="B361" s="202"/>
      <c r="C361" s="202" t="str">
        <f>_xlfn.XLOOKUP(A361,'Brand Managers'!A:A,'Brand Managers'!B:B)</f>
        <v>Chris Politano</v>
      </c>
      <c r="D361" s="202"/>
      <c r="E361" s="202"/>
      <c r="F361" s="203" t="str">
        <f t="shared" si="168"/>
        <v>Kimo Spirits|</v>
      </c>
      <c r="G361" s="203" t="str">
        <f t="shared" si="157"/>
        <v>Kimo Spirits|||</v>
      </c>
      <c r="H361" s="144">
        <f>_xlfn.XLOOKUP(F361,'DATA - 2025 Review'!C:C,'DATA - 2025 Review'!I:I,"")</f>
        <v>1.1195700000000013</v>
      </c>
      <c r="I361" s="145">
        <f>_xlfn.XLOOKUP(F361,'DATA - 2025 Review'!C:C,'DATA - 2025 Review'!J:J)</f>
        <v>-0.9891303883495145</v>
      </c>
      <c r="J361" s="144">
        <f>_xlfn.XLOOKUP(F361,'2025 Finish (ACTUAL)'!$C:$C,'2025 Finish (ACTUAL)'!$D:$D)</f>
        <v>1</v>
      </c>
      <c r="K361" s="145">
        <f>L361/J361</f>
        <v>0</v>
      </c>
      <c r="L361" s="147">
        <f>SUMIF(B:B,A361,L:L)</f>
        <v>0</v>
      </c>
      <c r="M361" s="147">
        <f>SUMIF(B:B,A361,M:M)</f>
        <v>1</v>
      </c>
      <c r="N361" s="145">
        <f>O361/J361</f>
        <v>-1</v>
      </c>
      <c r="O361" s="147">
        <f>SUMIF(B:B,A361,O:O)</f>
        <v>-1</v>
      </c>
      <c r="P361" s="148">
        <f>SUMIF(B:B,A361,P:P)</f>
        <v>0</v>
      </c>
    </row>
    <row r="362" spans="1:16" x14ac:dyDescent="0.25">
      <c r="A362" s="149" t="s">
        <v>23</v>
      </c>
      <c r="B362" s="2" t="s">
        <v>298</v>
      </c>
      <c r="C362" s="299" t="str">
        <f>_xlfn.XLOOKUP(B362,'Brand Managers'!A:A,'Brand Managers'!B:B)</f>
        <v>Chris Politano</v>
      </c>
      <c r="D362" s="42" t="str">
        <f>_xlfn.XLOOKUP(F362,'DATA - Segments'!C:C,'DATA - Segments'!D:D)</f>
        <v>RTD</v>
      </c>
      <c r="E362" s="42" t="str">
        <f>_xlfn.XLOOKUP(F362,'DATA - Segments'!C:C,'DATA - Segments'!E:E)</f>
        <v>RTD</v>
      </c>
      <c r="F362" s="203" t="str">
        <f t="shared" si="168"/>
        <v>Trusted Friend Cocktails|Kimo Spirits</v>
      </c>
      <c r="G362" s="203" t="str">
        <f t="shared" si="157"/>
        <v>Trusted Friend Cocktails|Kimo Spirits|RTD|RTD</v>
      </c>
      <c r="H362" s="150">
        <f>_xlfn.XLOOKUP(F362,'DATA - 2025 Review'!C:C,'DATA - 2025 Review'!I:I,"")</f>
        <v>1.1195700000000013</v>
      </c>
      <c r="I362" s="151">
        <f>_xlfn.XLOOKUP(F362,'DATA - 2025 Review'!C:C,'DATA - 2025 Review'!J:J)</f>
        <v>-0.9891303883495145</v>
      </c>
      <c r="J362" s="150">
        <f>_xlfn.XLOOKUP(F362,'2025 Finish (ACTUAL)'!$C:$C,'2025 Finish (ACTUAL)'!$D:$D)</f>
        <v>1</v>
      </c>
      <c r="K362" s="146"/>
      <c r="L362" s="152">
        <f t="shared" ref="L362" si="182">K362*J362</f>
        <v>0</v>
      </c>
      <c r="M362" s="152">
        <f>L362+J362</f>
        <v>1</v>
      </c>
      <c r="N362" s="146">
        <v>-1</v>
      </c>
      <c r="O362" s="152">
        <f>N362*J362</f>
        <v>-1</v>
      </c>
      <c r="P362" s="69">
        <f>O362+J362</f>
        <v>0</v>
      </c>
    </row>
    <row r="363" spans="1:16" x14ac:dyDescent="0.25">
      <c r="A363" s="143" t="s">
        <v>122</v>
      </c>
      <c r="B363" s="202"/>
      <c r="C363" s="202" t="str">
        <f>_xlfn.XLOOKUP(A363,'Brand Managers'!A:A,'Brand Managers'!B:B)</f>
        <v>Steve Halloran</v>
      </c>
      <c r="D363" s="202"/>
      <c r="E363" s="202"/>
      <c r="F363" s="203" t="str">
        <f t="shared" si="168"/>
        <v>Point Brewing|</v>
      </c>
      <c r="G363" s="203" t="str">
        <f t="shared" si="157"/>
        <v>Point Brewing|||</v>
      </c>
      <c r="H363" s="144">
        <f>_xlfn.XLOOKUP(F363,'DATA - 2025 Review'!C:C,'DATA - 2025 Review'!I:I,"")</f>
        <v>2594.7228368926717</v>
      </c>
      <c r="I363" s="145">
        <f>_xlfn.XLOOKUP(F363,'DATA - 2025 Review'!C:C,'DATA - 2025 Review'!J:J)</f>
        <v>-8.5124477861765468E-3</v>
      </c>
      <c r="J363" s="144">
        <f>_xlfn.XLOOKUP(F363,'2025 Finish (ACTUAL)'!$C:$C,'2025 Finish (ACTUAL)'!$D:$D)</f>
        <v>2566.44436</v>
      </c>
      <c r="K363" s="145">
        <f>L363/J363</f>
        <v>-0.01</v>
      </c>
      <c r="L363" s="147">
        <f>SUMIF(B:B,A363,L:L)</f>
        <v>-25.664443599999998</v>
      </c>
      <c r="M363" s="147">
        <f>SUMIF(B:B,A363,M:M)</f>
        <v>2540.7799163999998</v>
      </c>
      <c r="N363" s="145">
        <f>O363/J363</f>
        <v>-0.01</v>
      </c>
      <c r="O363" s="147">
        <f>SUMIF(B:B,A363,O:O)</f>
        <v>-25.664443599999998</v>
      </c>
      <c r="P363" s="148">
        <f>SUMIF(B:B,A363,P:P)</f>
        <v>2540.7799163999998</v>
      </c>
    </row>
    <row r="364" spans="1:16" x14ac:dyDescent="0.25">
      <c r="A364" s="149" t="s">
        <v>412</v>
      </c>
      <c r="B364" s="2" t="s">
        <v>122</v>
      </c>
      <c r="C364" s="299" t="str">
        <f>_xlfn.XLOOKUP(B364,'Brand Managers'!A:A,'Brand Managers'!B:B)</f>
        <v>Steve Halloran</v>
      </c>
      <c r="D364" s="42" t="str">
        <f>_xlfn.XLOOKUP(F364,'DATA - Segments'!C:C,'DATA - Segments'!D:D)</f>
        <v>Beer</v>
      </c>
      <c r="E364" s="42" t="str">
        <f>_xlfn.XLOOKUP(F364,'DATA - Segments'!C:C,'DATA - Segments'!E:E)</f>
        <v>Beer - Craft</v>
      </c>
      <c r="F364" s="203" t="str">
        <f t="shared" si="168"/>
        <v>Whole Hog|Point Brewing</v>
      </c>
      <c r="G364" s="203" t="str">
        <f t="shared" si="157"/>
        <v>Whole Hog|Point Brewing|Beer|Beer - Craft</v>
      </c>
      <c r="H364" s="150">
        <f>_xlfn.XLOOKUP(F364,'DATA - 2025 Review'!C:C,'DATA - 2025 Review'!I:I,"")</f>
        <v>2594.7228368926717</v>
      </c>
      <c r="I364" s="151">
        <f>_xlfn.XLOOKUP(F364,'DATA - 2025 Review'!C:C,'DATA - 2025 Review'!J:J)</f>
        <v>-8.5124477861765468E-3</v>
      </c>
      <c r="J364" s="150">
        <f>_xlfn.XLOOKUP(F364,'2025 Finish (ACTUAL)'!$C:$C,'2025 Finish (ACTUAL)'!$D:$D)</f>
        <v>2566.44436</v>
      </c>
      <c r="K364" s="146">
        <v>-0.01</v>
      </c>
      <c r="L364" s="152">
        <f t="shared" ref="L364" si="183">K364*J364</f>
        <v>-25.664443599999998</v>
      </c>
      <c r="M364" s="152">
        <f>L364+J364</f>
        <v>2540.7799163999998</v>
      </c>
      <c r="N364" s="146">
        <v>-0.01</v>
      </c>
      <c r="O364" s="152">
        <f>N364*J364</f>
        <v>-25.664443599999998</v>
      </c>
      <c r="P364" s="69">
        <f>O364+J364</f>
        <v>2540.7799163999998</v>
      </c>
    </row>
    <row r="365" spans="1:16" x14ac:dyDescent="0.25">
      <c r="A365" s="143" t="s">
        <v>360</v>
      </c>
      <c r="B365" s="202"/>
      <c r="C365" s="202" t="str">
        <f>_xlfn.XLOOKUP(A365,'Brand Managers'!A:A,'Brand Managers'!B:B)</f>
        <v>Jason Koo</v>
      </c>
      <c r="D365" s="202"/>
      <c r="E365" s="202"/>
      <c r="F365" s="203" t="str">
        <f t="shared" si="168"/>
        <v>Primos Imports LLC|</v>
      </c>
      <c r="G365" s="203" t="str">
        <f t="shared" si="157"/>
        <v>Primos Imports LLC|||</v>
      </c>
      <c r="H365" s="144">
        <f>_xlfn.XLOOKUP(F365,'DATA - 2025 Review'!C:C,'DATA - 2025 Review'!I:I,"")</f>
        <v>28.171938338284001</v>
      </c>
      <c r="I365" s="145">
        <f>_xlfn.XLOOKUP(F365,'DATA - 2025 Review'!C:C,'DATA - 2025 Review'!J:J)</f>
        <v>-0.22536135043789374</v>
      </c>
      <c r="J365" s="144">
        <f>_xlfn.XLOOKUP(F365,'2025 Finish (ACTUAL)'!$C:$C,'2025 Finish (ACTUAL)'!$D:$D)</f>
        <v>25.072177</v>
      </c>
      <c r="K365" s="145">
        <f>L365/J365</f>
        <v>0</v>
      </c>
      <c r="L365" s="147">
        <f>SUMIF(B:B,A365,L:L)</f>
        <v>0</v>
      </c>
      <c r="M365" s="147">
        <f>SUMIF(B:B,A365,M:M)</f>
        <v>25.072176999999996</v>
      </c>
      <c r="N365" s="145">
        <f>O365/J365</f>
        <v>0.57812365077033401</v>
      </c>
      <c r="O365" s="147">
        <f>SUMIF(B:B,A365,O:O)</f>
        <v>14.494818499999999</v>
      </c>
      <c r="P365" s="148">
        <f>SUMIF(B:B,A365,P:P)</f>
        <v>39.566995499999997</v>
      </c>
    </row>
    <row r="366" spans="1:16" x14ac:dyDescent="0.25">
      <c r="A366" s="149" t="s">
        <v>413</v>
      </c>
      <c r="B366" s="2" t="s">
        <v>360</v>
      </c>
      <c r="C366" s="299" t="str">
        <f>_xlfn.XLOOKUP(B366,'Brand Managers'!A:A,'Brand Managers'!B:B)</f>
        <v>Jason Koo</v>
      </c>
      <c r="D366" s="42" t="str">
        <f>_xlfn.XLOOKUP(F366,'DATA - Segments'!C:C,'DATA - Segments'!D:D)</f>
        <v>Beer</v>
      </c>
      <c r="E366" s="42" t="str">
        <f>_xlfn.XLOOKUP(F366,'DATA - Segments'!C:C,'DATA - Segments'!E:E)</f>
        <v>Beer - Import</v>
      </c>
      <c r="F366" s="203" t="str">
        <f t="shared" si="168"/>
        <v>Charro|Primos Imports LLC</v>
      </c>
      <c r="G366" s="203" t="str">
        <f t="shared" si="157"/>
        <v>Charro|Primos Imports LLC|Beer|Beer - Import</v>
      </c>
      <c r="H366" s="150">
        <f>_xlfn.XLOOKUP(F366,'DATA - 2025 Review'!C:C,'DATA - 2025 Review'!I:I,"")</f>
        <v>17.500001000000001</v>
      </c>
      <c r="I366" s="151">
        <f>_xlfn.XLOOKUP(F366,'DATA - 2025 Review'!C:C,'DATA - 2025 Review'!J:J)</f>
        <v>0.16666673333333337</v>
      </c>
      <c r="J366" s="150">
        <f>_xlfn.XLOOKUP(F366,'2025 Finish (ACTUAL)'!$C:$C,'2025 Finish (ACTUAL)'!$D:$D)</f>
        <v>14</v>
      </c>
      <c r="K366" s="146"/>
      <c r="L366" s="152">
        <f t="shared" ref="L366:L369" si="184">K366*J366</f>
        <v>0</v>
      </c>
      <c r="M366" s="152">
        <f t="shared" ref="M366:M369" si="185">L366+J366</f>
        <v>14</v>
      </c>
      <c r="N366" s="146"/>
      <c r="O366" s="152">
        <f t="shared" ref="O366:O369" si="186">N366*J366</f>
        <v>0</v>
      </c>
      <c r="P366" s="69">
        <f t="shared" ref="P366:P369" si="187">O366+J366</f>
        <v>14</v>
      </c>
    </row>
    <row r="367" spans="1:16" x14ac:dyDescent="0.25">
      <c r="A367" s="149" t="s">
        <v>332</v>
      </c>
      <c r="B367" s="2" t="s">
        <v>360</v>
      </c>
      <c r="C367" s="299" t="str">
        <f>_xlfn.XLOOKUP(B367,'Brand Managers'!A:A,'Brand Managers'!B:B)</f>
        <v>Jason Koo</v>
      </c>
      <c r="D367" s="42" t="str">
        <f>_xlfn.XLOOKUP(F367,'DATA - Segments'!C:C,'DATA - Segments'!D:D)</f>
        <v>Wine</v>
      </c>
      <c r="E367" s="42" t="str">
        <f>_xlfn.XLOOKUP(F367,'DATA - Segments'!C:C,'DATA - Segments'!E:E)</f>
        <v>Wine - Red</v>
      </c>
      <c r="F367" s="203" t="str">
        <f t="shared" si="168"/>
        <v>Monte Xanic|Primos Imports LLC</v>
      </c>
      <c r="G367" s="203" t="str">
        <f t="shared" si="157"/>
        <v>Monte Xanic|Primos Imports LLC|Wine|Wine - Red</v>
      </c>
      <c r="H367" s="150">
        <f>_xlfn.XLOOKUP(F367,'DATA - 2025 Review'!C:C,'DATA - 2025 Review'!I:I,"")</f>
        <v>10.462006286959999</v>
      </c>
      <c r="I367" s="151">
        <f>_xlfn.XLOOKUP(F367,'DATA - 2025 Review'!C:C,'DATA - 2025 Review'!J:J)</f>
        <v>-0.16433978433876895</v>
      </c>
      <c r="J367" s="150">
        <f>_xlfn.XLOOKUP(F367,'2025 Finish (ACTUAL)'!$C:$C,'2025 Finish (ACTUAL)'!$D:$D)</f>
        <v>9.6250459999999993</v>
      </c>
      <c r="K367" s="146"/>
      <c r="L367" s="152">
        <f t="shared" si="184"/>
        <v>0</v>
      </c>
      <c r="M367" s="152">
        <f t="shared" si="185"/>
        <v>9.6250459999999993</v>
      </c>
      <c r="N367" s="146">
        <v>1</v>
      </c>
      <c r="O367" s="152">
        <f t="shared" si="186"/>
        <v>9.6250459999999993</v>
      </c>
      <c r="P367" s="69">
        <f t="shared" si="187"/>
        <v>19.250091999999999</v>
      </c>
    </row>
    <row r="368" spans="1:16" x14ac:dyDescent="0.25">
      <c r="A368" s="153" t="s">
        <v>202</v>
      </c>
      <c r="B368" s="2" t="s">
        <v>360</v>
      </c>
      <c r="C368" s="299" t="str">
        <f>_xlfn.XLOOKUP(B368,'Brand Managers'!A:A,'Brand Managers'!B:B)</f>
        <v>Jason Koo</v>
      </c>
      <c r="D368" s="42" t="str">
        <f>_xlfn.XLOOKUP(F368,'DATA - Segments'!C:C,'DATA - Segments'!D:D)</f>
        <v>Spirits</v>
      </c>
      <c r="E368" s="42" t="str">
        <f>_xlfn.XLOOKUP(F368,'DATA - Segments'!C:C,'DATA - Segments'!E:E)</f>
        <v>Spirits - Tequila</v>
      </c>
      <c r="F368" s="203" t="str">
        <f t="shared" si="168"/>
        <v>Rompe Corazon|Primos Imports LLC</v>
      </c>
      <c r="G368" s="203" t="str">
        <f t="shared" si="157"/>
        <v>Rompe Corazon|Primos Imports LLC|Spirits|Spirits - Tequila</v>
      </c>
      <c r="H368" s="150">
        <f>_xlfn.XLOOKUP(F368,'DATA - 2025 Review'!C:C,'DATA - 2025 Review'!I:I,"")</f>
        <v>0.50077799999999995</v>
      </c>
      <c r="I368" s="151">
        <f>_xlfn.XLOOKUP(F368,'DATA - 2025 Review'!C:C,'DATA - 2025 Review'!J:J)</f>
        <v>-0.91666666666666674</v>
      </c>
      <c r="J368" s="150">
        <f>_xlfn.XLOOKUP(F368,'2025 Finish (ACTUAL)'!$C:$C,'2025 Finish (ACTUAL)'!$D:$D)</f>
        <v>0.50077799999999995</v>
      </c>
      <c r="K368" s="146"/>
      <c r="L368" s="152">
        <f t="shared" si="184"/>
        <v>0</v>
      </c>
      <c r="M368" s="152">
        <f t="shared" si="185"/>
        <v>0.50077799999999995</v>
      </c>
      <c r="N368" s="146">
        <v>5</v>
      </c>
      <c r="O368" s="152">
        <f t="shared" si="186"/>
        <v>2.5038899999999997</v>
      </c>
      <c r="P368" s="69">
        <f t="shared" si="187"/>
        <v>3.0046679999999997</v>
      </c>
    </row>
    <row r="369" spans="1:16" x14ac:dyDescent="0.25">
      <c r="A369" s="153" t="s">
        <v>255</v>
      </c>
      <c r="B369" s="2" t="s">
        <v>360</v>
      </c>
      <c r="C369" s="299" t="str">
        <f>_xlfn.XLOOKUP(B369,'Brand Managers'!A:A,'Brand Managers'!B:B)</f>
        <v>Jason Koo</v>
      </c>
      <c r="D369" s="42" t="str">
        <f>_xlfn.XLOOKUP(F369,'DATA - Segments'!C:C,'DATA - Segments'!D:D)</f>
        <v>Spirits</v>
      </c>
      <c r="E369" s="42" t="str">
        <f>_xlfn.XLOOKUP(F369,'DATA - Segments'!C:C,'DATA - Segments'!E:E)</f>
        <v>Spirits - Vodka</v>
      </c>
      <c r="F369" s="203" t="str">
        <f t="shared" si="168"/>
        <v>Guaname Rompope|Primos Imports LLC</v>
      </c>
      <c r="G369" s="203" t="str">
        <f t="shared" si="157"/>
        <v>Guaname Rompope|Primos Imports LLC|Spirits|Spirits - Vodka</v>
      </c>
      <c r="H369" s="150">
        <f>_xlfn.XLOOKUP(F369,'DATA - 2025 Review'!C:C,'DATA - 2025 Review'!I:I,"")</f>
        <v>0.946353</v>
      </c>
      <c r="I369" s="151">
        <f>_xlfn.XLOOKUP(F369,'DATA - 2025 Review'!C:C,'DATA - 2025 Review'!J:J)</f>
        <v>-0.66666666666666674</v>
      </c>
      <c r="J369" s="150">
        <f>_xlfn.XLOOKUP(F369,'2025 Finish (ACTUAL)'!$C:$C,'2025 Finish (ACTUAL)'!$D:$D)</f>
        <v>0.946353</v>
      </c>
      <c r="K369" s="146"/>
      <c r="L369" s="152">
        <f t="shared" si="184"/>
        <v>0</v>
      </c>
      <c r="M369" s="152">
        <f t="shared" si="185"/>
        <v>0.946353</v>
      </c>
      <c r="N369" s="146">
        <v>2.5</v>
      </c>
      <c r="O369" s="152">
        <f t="shared" si="186"/>
        <v>2.3658825000000001</v>
      </c>
      <c r="P369" s="69">
        <f t="shared" si="187"/>
        <v>3.3122354999999999</v>
      </c>
    </row>
    <row r="370" spans="1:16" x14ac:dyDescent="0.25">
      <c r="A370" s="143" t="s">
        <v>203</v>
      </c>
      <c r="B370" s="202"/>
      <c r="C370" s="202" t="str">
        <f>_xlfn.XLOOKUP(A370,'Brand Managers'!A:A,'Brand Managers'!B:B)</f>
        <v>Jason Koo</v>
      </c>
      <c r="D370" s="202"/>
      <c r="E370" s="202"/>
      <c r="F370" s="203" t="str">
        <f t="shared" si="168"/>
        <v>Oceano|</v>
      </c>
      <c r="G370" s="203" t="str">
        <f t="shared" si="157"/>
        <v>Oceano|||</v>
      </c>
      <c r="H370" s="144">
        <f>_xlfn.XLOOKUP(F370,'DATA - 2025 Review'!C:C,'DATA - 2025 Review'!I:I,"")</f>
        <v>7.8032329984319997</v>
      </c>
      <c r="I370" s="145">
        <f>_xlfn.XLOOKUP(F370,'DATA - 2025 Review'!C:C,'DATA - 2025 Review'!J:J)</f>
        <v>-0.53846162500000005</v>
      </c>
      <c r="J370" s="144">
        <f>_xlfn.XLOOKUP(F370,'2025 Finish (ACTUAL)'!$C:$C,'2025 Finish (ACTUAL)'!$D:$D)</f>
        <v>6.340128</v>
      </c>
      <c r="K370" s="145">
        <f>L370/J370</f>
        <v>0</v>
      </c>
      <c r="L370" s="147">
        <f>SUMIF(B:B,A370,L:L)</f>
        <v>0</v>
      </c>
      <c r="M370" s="147">
        <f>SUMIF(B:B,A370,M:M)</f>
        <v>6.340128</v>
      </c>
      <c r="N370" s="145">
        <f>O370/J370</f>
        <v>-1</v>
      </c>
      <c r="O370" s="147">
        <f>SUMIF(B:B,A370,O:O)</f>
        <v>-6.340128</v>
      </c>
      <c r="P370" s="148">
        <f>SUMIF(B:B,A370,P:P)</f>
        <v>0</v>
      </c>
    </row>
    <row r="371" spans="1:16" x14ac:dyDescent="0.25">
      <c r="A371" s="149" t="s">
        <v>203</v>
      </c>
      <c r="B371" s="2" t="s">
        <v>203</v>
      </c>
      <c r="C371" s="299" t="str">
        <f>_xlfn.XLOOKUP(B371,'Brand Managers'!A:A,'Brand Managers'!B:B)</f>
        <v>Jason Koo</v>
      </c>
      <c r="D371" s="42" t="str">
        <f>_xlfn.XLOOKUP(F371,'DATA - Segments'!C:C,'DATA - Segments'!D:D)</f>
        <v>Wine</v>
      </c>
      <c r="E371" s="42" t="str">
        <f>_xlfn.XLOOKUP(F371,'DATA - Segments'!C:C,'DATA - Segments'!E:E)</f>
        <v>Wine - White</v>
      </c>
      <c r="F371" s="203" t="str">
        <f t="shared" si="168"/>
        <v>Oceano|Oceano</v>
      </c>
      <c r="G371" s="203" t="str">
        <f t="shared" si="157"/>
        <v>Oceano|Oceano|Wine|Wine - White</v>
      </c>
      <c r="H371" s="150">
        <f>_xlfn.XLOOKUP(F371,'DATA - 2025 Review'!C:C,'DATA - 2025 Review'!I:I,"")</f>
        <v>7.8032329984319997</v>
      </c>
      <c r="I371" s="151">
        <f>_xlfn.XLOOKUP(F371,'DATA - 2025 Review'!C:C,'DATA - 2025 Review'!J:J)</f>
        <v>-0.53846162500000005</v>
      </c>
      <c r="J371" s="150">
        <f>_xlfn.XLOOKUP(F371,'2025 Finish (ACTUAL)'!$C:$C,'2025 Finish (ACTUAL)'!$D:$D)</f>
        <v>6.340128</v>
      </c>
      <c r="K371" s="146"/>
      <c r="L371" s="152">
        <f t="shared" ref="L371" si="188">K371*J371</f>
        <v>0</v>
      </c>
      <c r="M371" s="152">
        <f>L371+J371</f>
        <v>6.340128</v>
      </c>
      <c r="N371" s="146">
        <v>-1</v>
      </c>
      <c r="O371" s="152">
        <f>N371*J371</f>
        <v>-6.340128</v>
      </c>
      <c r="P371" s="69">
        <f>O371+J371</f>
        <v>0</v>
      </c>
    </row>
    <row r="372" spans="1:16" x14ac:dyDescent="0.25">
      <c r="A372" s="143" t="s">
        <v>176</v>
      </c>
      <c r="B372" s="202"/>
      <c r="C372" s="202" t="str">
        <f>_xlfn.XLOOKUP(A372,'Brand Managers'!A:A,'Brand Managers'!B:B)</f>
        <v/>
      </c>
      <c r="D372" s="202"/>
      <c r="E372" s="202"/>
      <c r="F372" s="203" t="str">
        <f t="shared" si="168"/>
        <v>Island Brands USA|</v>
      </c>
      <c r="G372" s="203" t="str">
        <f t="shared" si="157"/>
        <v>Island Brands USA|||</v>
      </c>
      <c r="H372" s="144">
        <f>_xlfn.XLOOKUP(F372,'DATA - 2025 Review'!C:C,'DATA - 2025 Review'!I:I,"")</f>
        <v>-16.346378791100001</v>
      </c>
      <c r="I372" s="145">
        <f>_xlfn.XLOOKUP(F372,'DATA - 2025 Review'!C:C,'DATA - 2025 Review'!J:J)</f>
        <v>-1.1199000865870399</v>
      </c>
      <c r="J372" s="144">
        <f>_xlfn.XLOOKUP(F372,'2025 Finish (ACTUAL)'!$C:$C,'2025 Finish (ACTUAL)'!$D:$D)</f>
        <v>-16.000001000000001</v>
      </c>
      <c r="K372" s="145">
        <f>L372/J372</f>
        <v>0</v>
      </c>
      <c r="L372" s="147">
        <f>SUMIF(B:B,A372,L:L)</f>
        <v>0</v>
      </c>
      <c r="M372" s="147">
        <f>SUMIF(B:B,A372,M:M)</f>
        <v>-16.000001000000001</v>
      </c>
      <c r="N372" s="145">
        <f>O372/J372</f>
        <v>0</v>
      </c>
      <c r="O372" s="147">
        <f>SUMIF(B:B,A372,O:O)</f>
        <v>0</v>
      </c>
      <c r="P372" s="148">
        <f>SUMIF(B:B,A372,P:P)</f>
        <v>-16.000001000000001</v>
      </c>
    </row>
    <row r="373" spans="1:16" x14ac:dyDescent="0.25">
      <c r="A373" s="153" t="s">
        <v>204</v>
      </c>
      <c r="B373" s="2" t="s">
        <v>176</v>
      </c>
      <c r="C373" s="299" t="str">
        <f>_xlfn.XLOOKUP(B373,'Brand Managers'!A:A,'Brand Managers'!B:B)</f>
        <v/>
      </c>
      <c r="D373" s="42" t="str">
        <f>_xlfn.XLOOKUP(F373,'DATA - Segments'!C:C,'DATA - Segments'!D:D)</f>
        <v>FMB</v>
      </c>
      <c r="E373" s="42" t="str">
        <f>_xlfn.XLOOKUP(F373,'DATA - Segments'!C:C,'DATA - Segments'!E:E)</f>
        <v>FMB</v>
      </c>
      <c r="F373" s="203" t="str">
        <f t="shared" si="168"/>
        <v>Island Brands|Island Brands USA</v>
      </c>
      <c r="G373" s="203" t="str">
        <f t="shared" si="157"/>
        <v>Island Brands|Island Brands USA|FMB|FMB</v>
      </c>
      <c r="H373" s="150">
        <f>_xlfn.XLOOKUP(F373,'DATA - 2025 Review'!C:C,'DATA - 2025 Review'!I:I,"")</f>
        <v>-16.346378791100001</v>
      </c>
      <c r="I373" s="151">
        <f>_xlfn.XLOOKUP(F373,'DATA - 2025 Review'!C:C,'DATA - 2025 Review'!J:J)</f>
        <v>-1.1199000865870399</v>
      </c>
      <c r="J373" s="150">
        <f>_xlfn.XLOOKUP(F373,'2025 Finish (ACTUAL)'!$C:$C,'2025 Finish (ACTUAL)'!$D:$D)</f>
        <v>-16.000001000000001</v>
      </c>
      <c r="K373" s="146"/>
      <c r="L373" s="152">
        <f t="shared" ref="L373" si="189">K373*J373</f>
        <v>0</v>
      </c>
      <c r="M373" s="152">
        <f>L373+J373</f>
        <v>-16.000001000000001</v>
      </c>
      <c r="N373" s="146"/>
      <c r="O373" s="152">
        <f>N373*J373</f>
        <v>0</v>
      </c>
      <c r="P373" s="69">
        <f>O373+J373</f>
        <v>-16.000001000000001</v>
      </c>
    </row>
    <row r="374" spans="1:16" x14ac:dyDescent="0.25">
      <c r="A374" s="143" t="s">
        <v>152</v>
      </c>
      <c r="B374" s="202"/>
      <c r="C374" s="202" t="str">
        <f>_xlfn.XLOOKUP(A374,'Brand Managers'!A:A,'Brand Managers'!B:B)</f>
        <v>Jason Koo</v>
      </c>
      <c r="D374" s="202"/>
      <c r="E374" s="202"/>
      <c r="F374" s="203" t="str">
        <f t="shared" si="168"/>
        <v>Eleven20|</v>
      </c>
      <c r="G374" s="203" t="str">
        <f t="shared" si="157"/>
        <v>Eleven20|||</v>
      </c>
      <c r="H374" s="144">
        <f>_xlfn.XLOOKUP(F374,'DATA - 2025 Review'!C:C,'DATA - 2025 Review'!I:I,"")</f>
        <v>5.2356870000000004</v>
      </c>
      <c r="I374" s="145">
        <f>_xlfn.XLOOKUP(F374,'DATA - 2025 Review'!C:C,'DATA - 2025 Review'!J:J)</f>
        <v>-5.7252468513032895E-2</v>
      </c>
      <c r="J374" s="144">
        <f>_xlfn.XLOOKUP(F374,'2025 Finish (ACTUAL)'!$C:$C,'2025 Finish (ACTUAL)'!$D:$D)</f>
        <v>5</v>
      </c>
      <c r="K374" s="145">
        <f>L374/J374</f>
        <v>0</v>
      </c>
      <c r="L374" s="147">
        <f>SUMIF(B:B,A374,L:L)</f>
        <v>0</v>
      </c>
      <c r="M374" s="147">
        <f>SUMIF(B:B,A374,M:M)</f>
        <v>5</v>
      </c>
      <c r="N374" s="145">
        <f>O374/J374</f>
        <v>-1</v>
      </c>
      <c r="O374" s="147">
        <f>SUMIF(B:B,A374,O:O)</f>
        <v>-5</v>
      </c>
      <c r="P374" s="148">
        <f>SUMIF(B:B,A374,P:P)</f>
        <v>0</v>
      </c>
    </row>
    <row r="375" spans="1:16" x14ac:dyDescent="0.25">
      <c r="A375" s="149" t="s">
        <v>205</v>
      </c>
      <c r="B375" s="2" t="s">
        <v>152</v>
      </c>
      <c r="C375" s="299" t="str">
        <f>_xlfn.XLOOKUP(B375,'Brand Managers'!A:A,'Brand Managers'!B:B)</f>
        <v>Jason Koo</v>
      </c>
      <c r="D375" s="42" t="str">
        <f>_xlfn.XLOOKUP(F375,'DATA - Segments'!C:C,'DATA - Segments'!D:D)</f>
        <v>Spirits</v>
      </c>
      <c r="E375" s="42" t="str">
        <f>_xlfn.XLOOKUP(F375,'DATA - Segments'!C:C,'DATA - Segments'!E:E)</f>
        <v>Spirits - Tequila</v>
      </c>
      <c r="F375" s="203" t="str">
        <f t="shared" si="168"/>
        <v>Eleven20 Tequila|Eleven20</v>
      </c>
      <c r="G375" s="203" t="str">
        <f t="shared" si="157"/>
        <v>Eleven20 Tequila|Eleven20|Spirits|Spirits - Tequila</v>
      </c>
      <c r="H375" s="150">
        <f>_xlfn.XLOOKUP(F375,'DATA - 2025 Review'!C:C,'DATA - 2025 Review'!I:I,"")</f>
        <v>5.2356870000000004</v>
      </c>
      <c r="I375" s="151">
        <f>_xlfn.XLOOKUP(F375,'DATA - 2025 Review'!C:C,'DATA - 2025 Review'!J:J)</f>
        <v>-5.7252468513032895E-2</v>
      </c>
      <c r="J375" s="150">
        <f>_xlfn.XLOOKUP(F375,'2025 Finish (ACTUAL)'!$C:$C,'2025 Finish (ACTUAL)'!$D:$D)</f>
        <v>5</v>
      </c>
      <c r="K375" s="146"/>
      <c r="L375" s="152">
        <f t="shared" ref="L375" si="190">K375*J375</f>
        <v>0</v>
      </c>
      <c r="M375" s="152">
        <f>L375+J375</f>
        <v>5</v>
      </c>
      <c r="N375" s="146">
        <v>-1</v>
      </c>
      <c r="O375" s="152">
        <f>N375*J375</f>
        <v>-5</v>
      </c>
      <c r="P375" s="69">
        <f>O375+J375</f>
        <v>0</v>
      </c>
    </row>
    <row r="376" spans="1:16" x14ac:dyDescent="0.25">
      <c r="A376" s="143" t="s">
        <v>278</v>
      </c>
      <c r="B376" s="202"/>
      <c r="C376" s="202" t="str">
        <f>_xlfn.XLOOKUP(A376,'Brand Managers'!A:A,'Brand Managers'!B:B)</f>
        <v>Jason Koo</v>
      </c>
      <c r="D376" s="202"/>
      <c r="E376" s="202"/>
      <c r="F376" s="203" t="str">
        <f t="shared" si="168"/>
        <v>Waterloo Gin|</v>
      </c>
      <c r="G376" s="203" t="str">
        <f t="shared" si="157"/>
        <v>Waterloo Gin|||</v>
      </c>
      <c r="H376" s="144">
        <f>_xlfn.XLOOKUP(F376,'DATA - 2025 Review'!C:C,'DATA - 2025 Review'!I:I,"")</f>
        <v>17.5</v>
      </c>
      <c r="I376" s="145">
        <f>_xlfn.XLOOKUP(F376,'DATA - 2025 Review'!C:C,'DATA - 2025 Review'!J:J)</f>
        <v>0</v>
      </c>
      <c r="J376" s="144">
        <f>_xlfn.XLOOKUP(F376,'2025 Finish (ACTUAL)'!$C:$C,'2025 Finish (ACTUAL)'!$D:$D)</f>
        <v>18.999987999999998</v>
      </c>
      <c r="K376" s="145">
        <f>L376/J376</f>
        <v>0</v>
      </c>
      <c r="L376" s="147">
        <f>SUMIF(B:B,A376,L:L)</f>
        <v>0</v>
      </c>
      <c r="M376" s="147">
        <f>SUMIF(B:B,A376,M:M)</f>
        <v>18.999987999999998</v>
      </c>
      <c r="N376" s="145">
        <f>O376/J376</f>
        <v>4</v>
      </c>
      <c r="O376" s="147">
        <f>SUMIF(B:B,A376,O:O)</f>
        <v>75.999951999999993</v>
      </c>
      <c r="P376" s="148">
        <f>SUMIF(B:B,A376,P:P)</f>
        <v>94.999939999999995</v>
      </c>
    </row>
    <row r="377" spans="1:16" x14ac:dyDescent="0.25">
      <c r="A377" s="149" t="s">
        <v>278</v>
      </c>
      <c r="B377" s="5" t="s">
        <v>278</v>
      </c>
      <c r="C377" s="299" t="str">
        <f>_xlfn.XLOOKUP(B377,'Brand Managers'!A:A,'Brand Managers'!B:B)</f>
        <v>Jason Koo</v>
      </c>
      <c r="D377" s="42" t="str">
        <f>_xlfn.XLOOKUP(F377,'DATA - Segments'!C:C,'DATA - Segments'!D:D)</f>
        <v>Spirits</v>
      </c>
      <c r="E377" s="42" t="str">
        <f>_xlfn.XLOOKUP(F377,'DATA - Segments'!C:C,'DATA - Segments'!E:E)</f>
        <v>Spirits - Gin</v>
      </c>
      <c r="F377" s="203" t="str">
        <f t="shared" si="168"/>
        <v>Waterloo Gin|Waterloo Gin</v>
      </c>
      <c r="G377" s="203" t="str">
        <f t="shared" si="157"/>
        <v>Waterloo Gin|Waterloo Gin|Spirits|Spirits - Gin</v>
      </c>
      <c r="H377" s="150">
        <f>_xlfn.XLOOKUP(F377,'DATA - 2025 Review'!C:C,'DATA - 2025 Review'!I:I,"")</f>
        <v>17.5</v>
      </c>
      <c r="I377" s="151">
        <f>_xlfn.XLOOKUP(F377,'DATA - 2025 Review'!C:C,'DATA - 2025 Review'!J:J)</f>
        <v>0</v>
      </c>
      <c r="J377" s="150">
        <f>_xlfn.XLOOKUP(F377,'2025 Finish (ACTUAL)'!$C:$C,'2025 Finish (ACTUAL)'!$D:$D)</f>
        <v>18.999987999999998</v>
      </c>
      <c r="K377" s="146"/>
      <c r="L377" s="152">
        <f t="shared" ref="L377" si="191">K377*J377</f>
        <v>0</v>
      </c>
      <c r="M377" s="152">
        <f>L377+J377</f>
        <v>18.999987999999998</v>
      </c>
      <c r="N377" s="146">
        <v>4</v>
      </c>
      <c r="O377" s="152">
        <f>N377*J377</f>
        <v>75.999951999999993</v>
      </c>
      <c r="P377" s="69">
        <f>O377+J377</f>
        <v>94.999939999999995</v>
      </c>
    </row>
    <row r="378" spans="1:16" x14ac:dyDescent="0.25">
      <c r="A378" s="143" t="s">
        <v>384</v>
      </c>
      <c r="B378" s="202"/>
      <c r="C378" s="202" t="s">
        <v>574</v>
      </c>
      <c r="D378" s="202"/>
      <c r="E378" s="202"/>
      <c r="F378" s="203" t="str">
        <f t="shared" si="168"/>
        <v>Waterbird Spirits|</v>
      </c>
      <c r="G378" s="203" t="str">
        <f t="shared" si="157"/>
        <v>Waterbird Spirits|||</v>
      </c>
      <c r="H378" s="144">
        <f>_xlfn.XLOOKUP(F378,'DATA - 2025 Review'!C:C,'DATA - 2025 Review'!I:I,"")</f>
        <v>0</v>
      </c>
      <c r="I378" s="145">
        <f>_xlfn.XLOOKUP(F378,'DATA - 2025 Review'!C:C,'DATA - 2025 Review'!J:J)</f>
        <v>-1</v>
      </c>
      <c r="J378" s="144" t="e">
        <f>_xlfn.XLOOKUP(F378,'2025 Finish (ACTUAL)'!$C:$C,'2025 Finish (ACTUAL)'!$D:$D)</f>
        <v>#N/A</v>
      </c>
      <c r="K378" s="145" t="e">
        <f>L378/H378</f>
        <v>#DIV/0!</v>
      </c>
      <c r="L378" s="147">
        <f>SUMIF(B:B,A378,L:L)</f>
        <v>0</v>
      </c>
      <c r="M378" s="147">
        <f>SUMIF(B:B,A378,M:M)</f>
        <v>0</v>
      </c>
      <c r="N378" s="145" t="e">
        <f>O378/H378</f>
        <v>#DIV/0!</v>
      </c>
      <c r="O378" s="147">
        <f>SUMIF(B:B,A378,O:O)</f>
        <v>0</v>
      </c>
      <c r="P378" s="148">
        <f>SUMIF(B:B,A378,P:P)</f>
        <v>0</v>
      </c>
    </row>
    <row r="379" spans="1:16" x14ac:dyDescent="0.25">
      <c r="A379" s="153" t="s">
        <v>384</v>
      </c>
      <c r="B379" s="2" t="s">
        <v>384</v>
      </c>
      <c r="C379" s="299" t="e">
        <f>_xlfn.XLOOKUP(B379,'Brand Managers'!A:A,'Brand Managers'!B:B)</f>
        <v>#N/A</v>
      </c>
      <c r="D379" s="42" t="s">
        <v>510</v>
      </c>
      <c r="E379" s="42" t="s">
        <v>510</v>
      </c>
      <c r="F379" s="203" t="str">
        <f t="shared" si="168"/>
        <v>Waterbird Spirits|Waterbird Spirits</v>
      </c>
      <c r="G379" s="203" t="str">
        <f t="shared" si="157"/>
        <v>Waterbird Spirits|Waterbird Spirits|RTD|RTD</v>
      </c>
      <c r="H379" s="150">
        <f>_xlfn.XLOOKUP(F379,'DATA - 2025 Review'!C:C,'DATA - 2025 Review'!I:I,"")</f>
        <v>0</v>
      </c>
      <c r="I379" s="151">
        <f>_xlfn.XLOOKUP(F379,'DATA - 2025 Review'!C:C,'DATA - 2025 Review'!J:J)</f>
        <v>-1</v>
      </c>
      <c r="J379" s="150"/>
      <c r="K379" s="146"/>
      <c r="L379" s="152">
        <f t="shared" ref="L379" si="192">K379*J379</f>
        <v>0</v>
      </c>
      <c r="M379" s="152">
        <f>L379+J379</f>
        <v>0</v>
      </c>
      <c r="N379" s="146"/>
      <c r="O379" s="152">
        <f>N379*J379</f>
        <v>0</v>
      </c>
      <c r="P379" s="69">
        <f>O379+J379</f>
        <v>0</v>
      </c>
    </row>
    <row r="380" spans="1:16" x14ac:dyDescent="0.25">
      <c r="A380" s="143" t="s">
        <v>24</v>
      </c>
      <c r="B380" s="202"/>
      <c r="C380" s="202" t="str">
        <f>_xlfn.XLOOKUP(A380,'Brand Managers'!A:A,'Brand Managers'!B:B)</f>
        <v>Chris Politano</v>
      </c>
      <c r="D380" s="202"/>
      <c r="E380" s="202"/>
      <c r="F380" s="203" t="str">
        <f t="shared" si="168"/>
        <v>Viva Beverages Inc|</v>
      </c>
      <c r="G380" s="203" t="str">
        <f t="shared" si="157"/>
        <v>Viva Beverages Inc|||</v>
      </c>
      <c r="H380" s="144">
        <f>_xlfn.XLOOKUP(F380,'DATA - 2025 Review'!C:C,'DATA - 2025 Review'!I:I,"")</f>
        <v>102</v>
      </c>
      <c r="I380" s="145">
        <f>_xlfn.XLOOKUP(F380,'DATA - 2025 Review'!C:C,'DATA - 2025 Review'!J:J)</f>
        <v>0</v>
      </c>
      <c r="J380" s="144">
        <f>_xlfn.XLOOKUP(F380,'2025 Finish (ACTUAL)'!$C:$C,'2025 Finish (ACTUAL)'!$D:$D)</f>
        <v>148</v>
      </c>
      <c r="K380" s="145">
        <f>L380/J380</f>
        <v>20</v>
      </c>
      <c r="L380" s="147">
        <f>SUMIF(B:B,A380,L:L)</f>
        <v>2960</v>
      </c>
      <c r="M380" s="147">
        <f>SUMIF(B:B,A380,M:M)</f>
        <v>3108</v>
      </c>
      <c r="N380" s="145">
        <f>O380/J380</f>
        <v>20</v>
      </c>
      <c r="O380" s="147">
        <f>SUMIF(B:B,A380,O:O)</f>
        <v>2960</v>
      </c>
      <c r="P380" s="148">
        <f>SUMIF(B:B,A380,P:P)</f>
        <v>3108</v>
      </c>
    </row>
    <row r="381" spans="1:16" x14ac:dyDescent="0.25">
      <c r="A381" s="149" t="s">
        <v>414</v>
      </c>
      <c r="B381" s="5" t="s">
        <v>24</v>
      </c>
      <c r="C381" s="299" t="str">
        <f>_xlfn.XLOOKUP(B381,'Brand Managers'!A:A,'Brand Managers'!B:B)</f>
        <v>Chris Politano</v>
      </c>
      <c r="D381" s="42" t="str">
        <f>_xlfn.XLOOKUP(F381,'DATA - Segments'!C:C,'DATA - Segments'!D:D)</f>
        <v>RTD</v>
      </c>
      <c r="E381" s="42" t="str">
        <f>_xlfn.XLOOKUP(F381,'DATA - Segments'!C:C,'DATA - Segments'!E:E)</f>
        <v>RTD</v>
      </c>
      <c r="F381" s="203" t="str">
        <f t="shared" si="168"/>
        <v>Viva Tequila Seltzer|Viva Beverages Inc</v>
      </c>
      <c r="G381" s="203" t="str">
        <f t="shared" si="157"/>
        <v>Viva Tequila Seltzer|Viva Beverages Inc|RTD|RTD</v>
      </c>
      <c r="H381" s="150">
        <f>_xlfn.XLOOKUP(F381,'DATA - 2025 Review'!C:C,'DATA - 2025 Review'!I:I,"")</f>
        <v>102</v>
      </c>
      <c r="I381" s="151">
        <f>_xlfn.XLOOKUP(F381,'DATA - 2025 Review'!C:C,'DATA - 2025 Review'!J:J)</f>
        <v>0</v>
      </c>
      <c r="J381" s="150">
        <f>_xlfn.XLOOKUP(F381,'2025 Finish (ACTUAL)'!$C:$C,'2025 Finish (ACTUAL)'!$D:$D)</f>
        <v>148</v>
      </c>
      <c r="K381" s="146">
        <v>20</v>
      </c>
      <c r="L381" s="152">
        <f t="shared" ref="L381" si="193">K381*J381</f>
        <v>2960</v>
      </c>
      <c r="M381" s="152">
        <f>L381+J381</f>
        <v>3108</v>
      </c>
      <c r="N381" s="146">
        <v>20</v>
      </c>
      <c r="O381" s="152">
        <f>N381*J381</f>
        <v>2960</v>
      </c>
      <c r="P381" s="69">
        <f>O381+J381</f>
        <v>3108</v>
      </c>
    </row>
    <row r="382" spans="1:16" x14ac:dyDescent="0.25">
      <c r="A382" s="143" t="s">
        <v>80</v>
      </c>
      <c r="B382" s="202"/>
      <c r="C382" s="202" t="str">
        <f>_xlfn.XLOOKUP(A382,'Brand Managers'!A:A,'Brand Managers'!B:B)</f>
        <v/>
      </c>
      <c r="D382" s="202"/>
      <c r="E382" s="202"/>
      <c r="F382" s="203" t="str">
        <f t="shared" si="168"/>
        <v>Trinity Flavors|</v>
      </c>
      <c r="G382" s="203" t="str">
        <f t="shared" si="157"/>
        <v>Trinity Flavors|||</v>
      </c>
      <c r="H382" s="144">
        <f>_xlfn.XLOOKUP(F382,'DATA - 2025 Review'!C:C,'DATA - 2025 Review'!I:I,"")</f>
        <v>1</v>
      </c>
      <c r="I382" s="145">
        <f>_xlfn.XLOOKUP(F382,'DATA - 2025 Review'!C:C,'DATA - 2025 Review'!J:J)</f>
        <v>-0.96296296296296302</v>
      </c>
      <c r="J382" s="144">
        <f>_xlfn.XLOOKUP(F382,'2025 Finish (ACTUAL)'!$C:$C,'2025 Finish (ACTUAL)'!$D:$D)</f>
        <v>1</v>
      </c>
      <c r="K382" s="145">
        <f>L382/J382</f>
        <v>0</v>
      </c>
      <c r="L382" s="147">
        <f>SUMIF(B:B,A382,L:L)</f>
        <v>0</v>
      </c>
      <c r="M382" s="147">
        <f>SUMIF(B:B,A382,M:M)</f>
        <v>1</v>
      </c>
      <c r="N382" s="145">
        <f>O382/J382</f>
        <v>0</v>
      </c>
      <c r="O382" s="147">
        <f>SUMIF(B:B,A382,O:O)</f>
        <v>0</v>
      </c>
      <c r="P382" s="148">
        <f>SUMIF(B:B,A382,P:P)</f>
        <v>1</v>
      </c>
    </row>
    <row r="383" spans="1:16" x14ac:dyDescent="0.25">
      <c r="A383" s="149" t="s">
        <v>99</v>
      </c>
      <c r="B383" s="2" t="s">
        <v>80</v>
      </c>
      <c r="C383" s="299" t="str">
        <f>_xlfn.XLOOKUP(B383,'Brand Managers'!A:A,'Brand Managers'!B:B)</f>
        <v/>
      </c>
      <c r="D383" s="42" t="str">
        <f>_xlfn.XLOOKUP(F383,'DATA - Segments'!C:C,'DATA - Segments'!D:D)</f>
        <v>RTD</v>
      </c>
      <c r="E383" s="42" t="str">
        <f>_xlfn.XLOOKUP(F383,'DATA - Segments'!C:C,'DATA - Segments'!E:E)</f>
        <v>RTD</v>
      </c>
      <c r="F383" s="203" t="str">
        <f t="shared" si="168"/>
        <v>Trinity|Trinity Flavors</v>
      </c>
      <c r="G383" s="203" t="str">
        <f t="shared" si="157"/>
        <v>Trinity|Trinity Flavors|RTD|RTD</v>
      </c>
      <c r="H383" s="150">
        <f>_xlfn.XLOOKUP(F383,'DATA - 2025 Review'!C:C,'DATA - 2025 Review'!I:I,"")</f>
        <v>1</v>
      </c>
      <c r="I383" s="151">
        <f>_xlfn.XLOOKUP(F383,'DATA - 2025 Review'!C:C,'DATA - 2025 Review'!J:J)</f>
        <v>-0.96296296296296302</v>
      </c>
      <c r="J383" s="150">
        <f>_xlfn.XLOOKUP(F383,'2025 Finish (ACTUAL)'!$C:$C,'2025 Finish (ACTUAL)'!$D:$D)</f>
        <v>1</v>
      </c>
      <c r="K383" s="146"/>
      <c r="L383" s="152">
        <f t="shared" ref="L383" si="194">K383*J383</f>
        <v>0</v>
      </c>
      <c r="M383" s="152">
        <f>L383+J383</f>
        <v>1</v>
      </c>
      <c r="N383" s="146"/>
      <c r="O383" s="152">
        <f>N383*J383</f>
        <v>0</v>
      </c>
      <c r="P383" s="69">
        <f>O383+J383</f>
        <v>1</v>
      </c>
    </row>
    <row r="384" spans="1:16" x14ac:dyDescent="0.25">
      <c r="A384" s="143" t="s">
        <v>81</v>
      </c>
      <c r="B384" s="202"/>
      <c r="C384" s="202" t="str">
        <f>_xlfn.XLOOKUP(A384,'Brand Managers'!A:A,'Brand Managers'!B:B)</f>
        <v>Jason Koo</v>
      </c>
      <c r="D384" s="202"/>
      <c r="E384" s="202"/>
      <c r="F384" s="203" t="str">
        <f t="shared" si="168"/>
        <v>Tilray Alternative Beverage|</v>
      </c>
      <c r="G384" s="203" t="str">
        <f t="shared" si="157"/>
        <v>Tilray Alternative Beverage|||</v>
      </c>
      <c r="H384" s="144">
        <f>_xlfn.XLOOKUP(F384,'DATA - 2025 Review'!C:C,'DATA - 2025 Review'!I:I,"")</f>
        <v>1725</v>
      </c>
      <c r="I384" s="145">
        <f>_xlfn.XLOOKUP(F384,'DATA - 2025 Review'!C:C,'DATA - 2025 Review'!J:J)</f>
        <v>0</v>
      </c>
      <c r="J384" s="144">
        <f>_xlfn.XLOOKUP(F384,'2025 Finish (ACTUAL)'!$C:$C,'2025 Finish (ACTUAL)'!$D:$D)</f>
        <v>1866</v>
      </c>
      <c r="K384" s="145">
        <f>L384/J384</f>
        <v>0</v>
      </c>
      <c r="L384" s="147">
        <f>SUMIF(B:B,A384,L:L)</f>
        <v>0</v>
      </c>
      <c r="M384" s="147">
        <f>SUMIF(B:B,A384,M:M)</f>
        <v>1866</v>
      </c>
      <c r="N384" s="145">
        <f>O384/J384</f>
        <v>-0.47416934619506973</v>
      </c>
      <c r="O384" s="147">
        <f>SUMIF(B:B,A384,O:O)</f>
        <v>-884.80000000000007</v>
      </c>
      <c r="P384" s="148">
        <f>SUMIF(B:B,A384,P:P)</f>
        <v>981.2</v>
      </c>
    </row>
    <row r="385" spans="1:18" x14ac:dyDescent="0.25">
      <c r="A385" s="149" t="s">
        <v>206</v>
      </c>
      <c r="B385" s="5" t="s">
        <v>81</v>
      </c>
      <c r="C385" s="299" t="str">
        <f>_xlfn.XLOOKUP(B385,'Brand Managers'!A:A,'Brand Managers'!B:B)</f>
        <v>Jason Koo</v>
      </c>
      <c r="D385" s="42" t="str">
        <f>_xlfn.XLOOKUP(F385,'DATA - Segments'!C:C,'DATA - Segments'!D:D)</f>
        <v>THC</v>
      </c>
      <c r="E385" s="42" t="str">
        <f>_xlfn.XLOOKUP(F385,'DATA - Segments'!C:C,'DATA - Segments'!E:E)</f>
        <v>THC</v>
      </c>
      <c r="F385" s="203" t="str">
        <f t="shared" si="168"/>
        <v>Herb &amp; Bloom|Tilray Alternative Beverage</v>
      </c>
      <c r="G385" s="203" t="str">
        <f t="shared" si="157"/>
        <v>Herb &amp; Bloom|Tilray Alternative Beverage|THC|THC</v>
      </c>
      <c r="H385" s="150">
        <f>_xlfn.XLOOKUP(F385,'DATA - 2025 Review'!C:C,'DATA - 2025 Review'!I:I,"")</f>
        <v>961</v>
      </c>
      <c r="I385" s="151">
        <f>_xlfn.XLOOKUP(F385,'DATA - 2025 Review'!C:C,'DATA - 2025 Review'!J:J)</f>
        <v>0</v>
      </c>
      <c r="J385" s="150">
        <f>_xlfn.XLOOKUP(F385,'2025 Finish (ACTUAL)'!$C:$C,'2025 Finish (ACTUAL)'!$D:$D)</f>
        <v>974</v>
      </c>
      <c r="K385" s="146"/>
      <c r="L385" s="152">
        <f t="shared" ref="L385:L387" si="195">K385*J385</f>
        <v>0</v>
      </c>
      <c r="M385" s="152">
        <f t="shared" ref="M385:M387" si="196">L385+J385</f>
        <v>974</v>
      </c>
      <c r="N385" s="146">
        <v>-1</v>
      </c>
      <c r="O385" s="152">
        <f t="shared" ref="O385:O387" si="197">N385*J385</f>
        <v>-974</v>
      </c>
      <c r="P385" s="69">
        <f t="shared" ref="P385:P387" si="198">O385+J385</f>
        <v>0</v>
      </c>
    </row>
    <row r="386" spans="1:18" x14ac:dyDescent="0.25">
      <c r="A386" s="149" t="s">
        <v>123</v>
      </c>
      <c r="B386" s="5" t="s">
        <v>81</v>
      </c>
      <c r="C386" s="299" t="str">
        <f>_xlfn.XLOOKUP(B386,'Brand Managers'!A:A,'Brand Managers'!B:B)</f>
        <v>Jason Koo</v>
      </c>
      <c r="D386" s="42" t="str">
        <f>_xlfn.XLOOKUP(F386,'DATA - Segments'!C:C,'DATA - Segments'!D:D)</f>
        <v>THC</v>
      </c>
      <c r="E386" s="42" t="str">
        <f>_xlfn.XLOOKUP(F386,'DATA - Segments'!C:C,'DATA - Segments'!E:E)</f>
        <v>THC</v>
      </c>
      <c r="F386" s="203" t="str">
        <f t="shared" si="168"/>
        <v>Happy Flower|Tilray Alternative Beverage</v>
      </c>
      <c r="G386" s="203" t="str">
        <f t="shared" si="157"/>
        <v>Happy Flower|Tilray Alternative Beverage|THC|THC</v>
      </c>
      <c r="H386" s="150">
        <f>_xlfn.XLOOKUP(F386,'DATA - 2025 Review'!C:C,'DATA - 2025 Review'!I:I,"")</f>
        <v>151</v>
      </c>
      <c r="I386" s="151">
        <f>_xlfn.XLOOKUP(F386,'DATA - 2025 Review'!C:C,'DATA - 2025 Review'!J:J)</f>
        <v>0</v>
      </c>
      <c r="J386" s="150">
        <f>_xlfn.XLOOKUP(F386,'2025 Finish (ACTUAL)'!$C:$C,'2025 Finish (ACTUAL)'!$D:$D)</f>
        <v>208</v>
      </c>
      <c r="K386" s="146"/>
      <c r="L386" s="152">
        <f t="shared" si="195"/>
        <v>0</v>
      </c>
      <c r="M386" s="152">
        <f t="shared" si="196"/>
        <v>208</v>
      </c>
      <c r="N386" s="146">
        <v>0.1</v>
      </c>
      <c r="O386" s="152">
        <f t="shared" si="197"/>
        <v>20.8</v>
      </c>
      <c r="P386" s="69">
        <f t="shared" si="198"/>
        <v>228.8</v>
      </c>
    </row>
    <row r="387" spans="1:18" x14ac:dyDescent="0.25">
      <c r="A387" s="149" t="s">
        <v>279</v>
      </c>
      <c r="B387" s="5" t="s">
        <v>81</v>
      </c>
      <c r="C387" s="299" t="str">
        <f>_xlfn.XLOOKUP(B387,'Brand Managers'!A:A,'Brand Managers'!B:B)</f>
        <v>Jason Koo</v>
      </c>
      <c r="D387" s="42" t="str">
        <f>_xlfn.XLOOKUP(F387,'DATA - Segments'!C:C,'DATA - Segments'!D:D)</f>
        <v>THC</v>
      </c>
      <c r="E387" s="42" t="str">
        <f>_xlfn.XLOOKUP(F387,'DATA - Segments'!C:C,'DATA - Segments'!E:E)</f>
        <v>THC</v>
      </c>
      <c r="F387" s="203" t="str">
        <f t="shared" si="168"/>
        <v>Fizzy Jane|Tilray Alternative Beverage</v>
      </c>
      <c r="G387" s="203" t="str">
        <f t="shared" si="157"/>
        <v>Fizzy Jane|Tilray Alternative Beverage|THC|THC</v>
      </c>
      <c r="H387" s="150">
        <f>_xlfn.XLOOKUP(F387,'DATA - 2025 Review'!C:C,'DATA - 2025 Review'!I:I,"")</f>
        <v>613</v>
      </c>
      <c r="I387" s="151">
        <f>_xlfn.XLOOKUP(F387,'DATA - 2025 Review'!C:C,'DATA - 2025 Review'!J:J)</f>
        <v>0</v>
      </c>
      <c r="J387" s="150">
        <f>_xlfn.XLOOKUP(F387,'2025 Finish (ACTUAL)'!$C:$C,'2025 Finish (ACTUAL)'!$D:$D)</f>
        <v>684</v>
      </c>
      <c r="K387" s="146"/>
      <c r="L387" s="152">
        <f t="shared" si="195"/>
        <v>0</v>
      </c>
      <c r="M387" s="152">
        <f t="shared" si="196"/>
        <v>684</v>
      </c>
      <c r="N387" s="146">
        <v>0.1</v>
      </c>
      <c r="O387" s="152">
        <f t="shared" si="197"/>
        <v>68.400000000000006</v>
      </c>
      <c r="P387" s="69">
        <f t="shared" si="198"/>
        <v>752.4</v>
      </c>
    </row>
    <row r="388" spans="1:18" x14ac:dyDescent="0.25">
      <c r="A388" s="143" t="s">
        <v>333</v>
      </c>
      <c r="B388" s="202"/>
      <c r="C388" s="202" t="str">
        <f>_xlfn.XLOOKUP(A388,'Brand Managers'!A:A,'Brand Managers'!B:B)</f>
        <v>Jason Koo</v>
      </c>
      <c r="D388" s="202"/>
      <c r="E388" s="202"/>
      <c r="F388" s="203" t="str">
        <f t="shared" si="168"/>
        <v>The Old G LLC|</v>
      </c>
      <c r="G388" s="203" t="str">
        <f t="shared" ref="G388:G451" si="199">A388&amp;"|"&amp;B388&amp;"|"&amp;D388&amp;"|"&amp;E388</f>
        <v>The Old G LLC|||</v>
      </c>
      <c r="H388" s="144">
        <f>_xlfn.XLOOKUP(F388,'DATA - 2025 Review'!C:C,'DATA - 2025 Review'!I:I,"")</f>
        <v>0.5</v>
      </c>
      <c r="I388" s="145">
        <f>_xlfn.XLOOKUP(F388,'DATA - 2025 Review'!C:C,'DATA - 2025 Review'!J:J)</f>
        <v>0</v>
      </c>
      <c r="J388" s="144">
        <f>_xlfn.XLOOKUP(F388,'2025 Finish (ACTUAL)'!$C:$C,'2025 Finish (ACTUAL)'!$D:$D)</f>
        <v>0.5</v>
      </c>
      <c r="K388" s="145">
        <f>L388/J388</f>
        <v>0</v>
      </c>
      <c r="L388" s="147">
        <f>SUMIF(B:B,A388,L:L)</f>
        <v>0</v>
      </c>
      <c r="M388" s="147">
        <f>SUMIF(B:B,A388,M:M)</f>
        <v>0.5</v>
      </c>
      <c r="N388" s="145">
        <f>O388/J388</f>
        <v>-1</v>
      </c>
      <c r="O388" s="147">
        <f>SUMIF(B:B,A388,O:O)</f>
        <v>-0.5</v>
      </c>
      <c r="P388" s="148">
        <f>SUMIF(B:B,A388,P:P)</f>
        <v>0</v>
      </c>
    </row>
    <row r="389" spans="1:18" x14ac:dyDescent="0.25">
      <c r="A389" s="153" t="s">
        <v>415</v>
      </c>
      <c r="B389" s="5" t="s">
        <v>333</v>
      </c>
      <c r="C389" s="299" t="str">
        <f>_xlfn.XLOOKUP(B389,'Brand Managers'!A:A,'Brand Managers'!B:B)</f>
        <v>Jason Koo</v>
      </c>
      <c r="D389" s="42" t="str">
        <f>_xlfn.XLOOKUP(F389,'DATA - Segments'!C:C,'DATA - Segments'!D:D)</f>
        <v>Spirits</v>
      </c>
      <c r="E389" s="42" t="str">
        <f>_xlfn.XLOOKUP(F389,'DATA - Segments'!C:C,'DATA - Segments'!E:E)</f>
        <v>Spirits - Gin</v>
      </c>
      <c r="F389" s="203" t="str">
        <f t="shared" si="168"/>
        <v>The Old G|The Old G LLC</v>
      </c>
      <c r="G389" s="203" t="str">
        <f t="shared" si="199"/>
        <v>The Old G|The Old G LLC|Spirits|Spirits - Gin</v>
      </c>
      <c r="H389" s="150">
        <f>_xlfn.XLOOKUP(F389,'DATA - 2025 Review'!C:C,'DATA - 2025 Review'!I:I,"")</f>
        <v>0.5</v>
      </c>
      <c r="I389" s="151">
        <f>_xlfn.XLOOKUP(F389,'DATA - 2025 Review'!C:C,'DATA - 2025 Review'!J:J)</f>
        <v>0</v>
      </c>
      <c r="J389" s="150">
        <f>_xlfn.XLOOKUP(F389,'2025 Finish (ACTUAL)'!$C:$C,'2025 Finish (ACTUAL)'!$D:$D)</f>
        <v>0.5</v>
      </c>
      <c r="K389" s="146"/>
      <c r="L389" s="152">
        <f t="shared" ref="L389" si="200">K389*J389</f>
        <v>0</v>
      </c>
      <c r="M389" s="152">
        <f>L389+J389</f>
        <v>0.5</v>
      </c>
      <c r="N389" s="146">
        <v>-1</v>
      </c>
      <c r="O389" s="152">
        <f>N389*J389</f>
        <v>-0.5</v>
      </c>
      <c r="P389" s="69">
        <f>O389+J389</f>
        <v>0</v>
      </c>
    </row>
    <row r="390" spans="1:18" x14ac:dyDescent="0.25">
      <c r="A390" s="143" t="s">
        <v>207</v>
      </c>
      <c r="B390" s="202"/>
      <c r="C390" s="202" t="e">
        <f>_xlfn.XLOOKUP(A390,'Brand Managers'!A:A,'Brand Managers'!B:B)</f>
        <v>#N/A</v>
      </c>
      <c r="D390" s="202"/>
      <c r="E390" s="202"/>
      <c r="F390" s="203" t="str">
        <f t="shared" si="168"/>
        <v>Stewart's|</v>
      </c>
      <c r="G390" s="203" t="str">
        <f t="shared" si="199"/>
        <v>Stewart's|||</v>
      </c>
      <c r="H390" s="144">
        <f>_xlfn.XLOOKUP(F390,'DATA - 2025 Review'!C:C,'DATA - 2025 Review'!I:I,"")</f>
        <v>0</v>
      </c>
      <c r="I390" s="145">
        <f>_xlfn.XLOOKUP(F390,'DATA - 2025 Review'!C:C,'DATA - 2025 Review'!J:J)</f>
        <v>-1</v>
      </c>
      <c r="J390" s="144" t="e">
        <f>_xlfn.XLOOKUP(F390,'2025 Finish (ACTUAL)'!$C:$C,'2025 Finish (ACTUAL)'!$D:$D)</f>
        <v>#N/A</v>
      </c>
      <c r="K390" s="145" t="e">
        <f>L390/H390</f>
        <v>#DIV/0!</v>
      </c>
      <c r="L390" s="147">
        <f>SUMIF(B:B,A390,L:L)</f>
        <v>0</v>
      </c>
      <c r="M390" s="147">
        <f>SUMIF(B:B,A390,M:M)</f>
        <v>0</v>
      </c>
      <c r="N390" s="145" t="e">
        <f>O390/H390</f>
        <v>#DIV/0!</v>
      </c>
      <c r="O390" s="147">
        <f>SUMIF(B:B,A390,O:O)</f>
        <v>0</v>
      </c>
      <c r="P390" s="148">
        <f>SUMIF(B:B,A390,P:P)</f>
        <v>0</v>
      </c>
    </row>
    <row r="391" spans="1:18" x14ac:dyDescent="0.25">
      <c r="A391" s="156" t="s">
        <v>207</v>
      </c>
      <c r="B391" s="283" t="s">
        <v>207</v>
      </c>
      <c r="C391" s="283"/>
      <c r="D391" s="42" t="s">
        <v>528</v>
      </c>
      <c r="E391" s="42" t="s">
        <v>528</v>
      </c>
      <c r="F391" s="203" t="str">
        <f t="shared" si="168"/>
        <v>Stewart's|Stewart's</v>
      </c>
      <c r="G391" s="203" t="str">
        <f t="shared" si="199"/>
        <v>Stewart's|Stewart's|FMB|FMB</v>
      </c>
      <c r="H391" s="273">
        <f>_xlfn.XLOOKUP(F391,'DATA - 2025 Review'!C:C,'DATA - 2025 Review'!I:I,"")</f>
        <v>0</v>
      </c>
      <c r="I391" s="281">
        <f>_xlfn.XLOOKUP(F391,'DATA - 2025 Review'!C:C,'DATA - 2025 Review'!J:J)</f>
        <v>-1</v>
      </c>
      <c r="J391" s="273"/>
      <c r="K391" s="281">
        <v>-1</v>
      </c>
      <c r="L391" s="274">
        <f t="shared" ref="L391" si="201">K391*J391</f>
        <v>0</v>
      </c>
      <c r="M391" s="274">
        <f>L391+J391</f>
        <v>0</v>
      </c>
      <c r="N391" s="281">
        <v>-1</v>
      </c>
      <c r="O391" s="274">
        <f>N391*J391</f>
        <v>0</v>
      </c>
      <c r="P391" s="275">
        <f>O391+J391</f>
        <v>0</v>
      </c>
    </row>
    <row r="392" spans="1:18" x14ac:dyDescent="0.25">
      <c r="A392" s="143" t="s">
        <v>25</v>
      </c>
      <c r="B392" s="202"/>
      <c r="C392" s="202" t="str">
        <f>_xlfn.XLOOKUP(A392,'Brand Managers'!A:A,'Brand Managers'!B:B)</f>
        <v>Sean Donahue</v>
      </c>
      <c r="D392" s="202"/>
      <c r="E392" s="202"/>
      <c r="F392" s="203" t="str">
        <f t="shared" si="168"/>
        <v>Source Brewing|</v>
      </c>
      <c r="G392" s="203" t="str">
        <f t="shared" si="199"/>
        <v>Source Brewing|||</v>
      </c>
      <c r="H392" s="213">
        <v>450</v>
      </c>
      <c r="I392" s="145">
        <f>_xlfn.XLOOKUP(F392,'DATA - 2025 Review'!C:C,'DATA - 2025 Review'!J:J)</f>
        <v>0</v>
      </c>
      <c r="J392" s="144">
        <f>_xlfn.XLOOKUP(F392,'2025 Finish (ACTUAL)'!$C:$C,'2025 Finish (ACTUAL)'!$D:$D)</f>
        <v>403.18048299999998</v>
      </c>
      <c r="K392" s="145">
        <f>L392/J392</f>
        <v>2.3848910141813588</v>
      </c>
      <c r="L392" s="147">
        <f>SUMIF(B:B,A392,L:L)</f>
        <v>961.54151100000013</v>
      </c>
      <c r="M392" s="147">
        <f>SUMIF(B:B,A392,M:M)</f>
        <v>1282.0553480000001</v>
      </c>
      <c r="N392" s="145">
        <f>O392/J392</f>
        <v>2.3848910141813588</v>
      </c>
      <c r="O392" s="147">
        <f>SUMIF(B:B,A392,O:O)</f>
        <v>961.54151100000013</v>
      </c>
      <c r="P392" s="148">
        <f>SUMIF(B:B,A392,P:P)</f>
        <v>1282.0553480000001</v>
      </c>
    </row>
    <row r="393" spans="1:18" x14ac:dyDescent="0.25">
      <c r="A393" s="149" t="s">
        <v>177</v>
      </c>
      <c r="B393" s="5" t="s">
        <v>25</v>
      </c>
      <c r="C393" s="299" t="str">
        <f>_xlfn.XLOOKUP(B393,'Brand Managers'!A:A,'Brand Managers'!B:B)</f>
        <v>Sean Donahue</v>
      </c>
      <c r="D393" s="42" t="str">
        <f>_xlfn.XLOOKUP(F393,'DATA - Segments'!C:C,'DATA - Segments'!D:D)</f>
        <v>Beer</v>
      </c>
      <c r="E393" s="42" t="str">
        <f>_xlfn.XLOOKUP(F393,'DATA - Segments'!C:C,'DATA - Segments'!E:E)</f>
        <v>Beer - Craft</v>
      </c>
      <c r="F393" s="203" t="str">
        <f t="shared" si="168"/>
        <v>Source of Hoppiness|Source Brewing</v>
      </c>
      <c r="G393" s="203" t="str">
        <f t="shared" si="199"/>
        <v>Source of Hoppiness|Source Brewing|Beer|Beer - Craft</v>
      </c>
      <c r="H393" s="212">
        <v>450</v>
      </c>
      <c r="I393" s="151">
        <f>_xlfn.XLOOKUP(F393,'DATA - 2025 Review'!C:C,'DATA - 2025 Review'!J:J)</f>
        <v>0</v>
      </c>
      <c r="J393" s="150">
        <f>_xlfn.XLOOKUP(F393,'2025 Finish (ACTUAL)'!$C:$C,'2025 Finish (ACTUAL)'!$D:$D)</f>
        <v>320.51383700000002</v>
      </c>
      <c r="K393" s="146">
        <v>3</v>
      </c>
      <c r="L393" s="152">
        <f t="shared" ref="L393" si="202">K393*J393</f>
        <v>961.54151100000013</v>
      </c>
      <c r="M393" s="152">
        <f>L393+J393</f>
        <v>1282.0553480000001</v>
      </c>
      <c r="N393" s="146">
        <v>3</v>
      </c>
      <c r="O393" s="152">
        <f>N393*J393</f>
        <v>961.54151100000013</v>
      </c>
      <c r="P393" s="69">
        <f>O393+J393</f>
        <v>1282.0553480000001</v>
      </c>
      <c r="Q393" s="134">
        <v>300</v>
      </c>
      <c r="R393" t="s">
        <v>497</v>
      </c>
    </row>
    <row r="394" spans="1:18" x14ac:dyDescent="0.25">
      <c r="A394" s="143" t="s">
        <v>208</v>
      </c>
      <c r="B394" s="202"/>
      <c r="C394" s="202" t="e">
        <f>_xlfn.XLOOKUP(A394,'Brand Managers'!A:A,'Brand Managers'!B:B)</f>
        <v>#N/A</v>
      </c>
      <c r="D394" s="202"/>
      <c r="E394" s="202"/>
      <c r="F394" s="203" t="str">
        <f t="shared" si="168"/>
        <v>Seafarer|</v>
      </c>
      <c r="G394" s="203" t="str">
        <f t="shared" si="199"/>
        <v>Seafarer|||</v>
      </c>
      <c r="H394" s="144">
        <f>_xlfn.XLOOKUP(F394,'DATA - 2025 Review'!C:C,'DATA - 2025 Review'!I:I,"")</f>
        <v>0</v>
      </c>
      <c r="I394" s="145">
        <f>_xlfn.XLOOKUP(F394,'DATA - 2025 Review'!C:C,'DATA - 2025 Review'!J:J)</f>
        <v>-1</v>
      </c>
      <c r="J394" s="144" t="e">
        <f>_xlfn.XLOOKUP(F394,'2025 Finish (ACTUAL)'!$C:$C,'2025 Finish (ACTUAL)'!$D:$D)</f>
        <v>#N/A</v>
      </c>
      <c r="K394" s="145" t="e">
        <f>L394/H394</f>
        <v>#DIV/0!</v>
      </c>
      <c r="L394" s="147">
        <f>SUMIF(B:B,A394,L:L)</f>
        <v>0</v>
      </c>
      <c r="M394" s="147">
        <f>SUMIF(B:B,A394,M:M)</f>
        <v>0</v>
      </c>
      <c r="N394" s="145" t="e">
        <f>O394/H394</f>
        <v>#DIV/0!</v>
      </c>
      <c r="O394" s="147">
        <f>SUMIF(B:B,A394,O:O)</f>
        <v>0</v>
      </c>
      <c r="P394" s="148">
        <f>SUMIF(B:B,A394,P:P)</f>
        <v>0</v>
      </c>
    </row>
    <row r="395" spans="1:18" x14ac:dyDescent="0.25">
      <c r="A395" s="153" t="s">
        <v>208</v>
      </c>
      <c r="B395" s="2" t="s">
        <v>208</v>
      </c>
      <c r="C395" s="299" t="e">
        <f>_xlfn.XLOOKUP(B395,'Brand Managers'!A:A,'Brand Managers'!B:B)</f>
        <v>#N/A</v>
      </c>
      <c r="D395" s="42" t="s">
        <v>518</v>
      </c>
      <c r="E395" s="42" t="s">
        <v>552</v>
      </c>
      <c r="F395" s="203" t="str">
        <f t="shared" si="168"/>
        <v>Seafarer|Seafarer</v>
      </c>
      <c r="G395" s="203" t="str">
        <f t="shared" si="199"/>
        <v>Seafarer|Seafarer|Spirits|Spirits - Rum</v>
      </c>
      <c r="H395" s="150">
        <f>_xlfn.XLOOKUP(F395,'DATA - 2025 Review'!C:C,'DATA - 2025 Review'!I:I,"")</f>
        <v>0</v>
      </c>
      <c r="I395" s="151">
        <f>_xlfn.XLOOKUP(F395,'DATA - 2025 Review'!C:C,'DATA - 2025 Review'!J:J)</f>
        <v>-1</v>
      </c>
      <c r="J395" s="150"/>
      <c r="K395" s="146"/>
      <c r="L395" s="152">
        <f t="shared" ref="L395" si="203">K395*J395</f>
        <v>0</v>
      </c>
      <c r="M395" s="152">
        <f>L395+J395</f>
        <v>0</v>
      </c>
      <c r="N395" s="146"/>
      <c r="O395" s="152">
        <f>N395*J395</f>
        <v>0</v>
      </c>
      <c r="P395" s="69">
        <f>O395+J395</f>
        <v>0</v>
      </c>
    </row>
    <row r="396" spans="1:18" x14ac:dyDescent="0.25">
      <c r="A396" s="143" t="s">
        <v>49</v>
      </c>
      <c r="B396" s="202"/>
      <c r="C396" s="202" t="str">
        <f>_xlfn.XLOOKUP(A396,'Brand Managers'!A:A,'Brand Managers'!B:B)</f>
        <v>Jason Koo</v>
      </c>
      <c r="D396" s="202"/>
      <c r="E396" s="202"/>
      <c r="F396" s="203" t="str">
        <f t="shared" si="168"/>
        <v>Savorian INC|</v>
      </c>
      <c r="G396" s="203" t="str">
        <f t="shared" si="199"/>
        <v>Savorian INC|||</v>
      </c>
      <c r="H396" s="144">
        <f>_xlfn.XLOOKUP(F396,'DATA - 2025 Review'!C:C,'DATA - 2025 Review'!I:I,"")</f>
        <v>28.530576</v>
      </c>
      <c r="I396" s="145">
        <f>_xlfn.XLOOKUP(F396,'DATA - 2025 Review'!C:C,'DATA - 2025 Review'!J:J)</f>
        <v>0</v>
      </c>
      <c r="J396" s="144">
        <f>_xlfn.XLOOKUP(F396,'2025 Finish (ACTUAL)'!$C:$C,'2025 Finish (ACTUAL)'!$D:$D)</f>
        <v>58.117840000000001</v>
      </c>
      <c r="K396" s="145">
        <f>L396/J396</f>
        <v>0</v>
      </c>
      <c r="L396" s="147">
        <f>SUMIF(B:B,A396,L:L)</f>
        <v>0</v>
      </c>
      <c r="M396" s="147">
        <f>SUMIF(B:B,A396,M:M)</f>
        <v>58.117840000000001</v>
      </c>
      <c r="N396" s="145">
        <f>O396/J396</f>
        <v>15.818181818181818</v>
      </c>
      <c r="O396" s="147">
        <f>SUMIF(B:B,A396,O:O)</f>
        <v>919.31856000000005</v>
      </c>
      <c r="P396" s="148">
        <f>SUMIF(B:B,A396,P:P)</f>
        <v>977.43640000000005</v>
      </c>
    </row>
    <row r="397" spans="1:18" x14ac:dyDescent="0.25">
      <c r="A397" s="149" t="s">
        <v>361</v>
      </c>
      <c r="B397" s="5" t="s">
        <v>49</v>
      </c>
      <c r="C397" s="299" t="str">
        <f>_xlfn.XLOOKUP(B397,'Brand Managers'!A:A,'Brand Managers'!B:B)</f>
        <v>Jason Koo</v>
      </c>
      <c r="D397" s="42" t="str">
        <f>_xlfn.XLOOKUP(F397,'DATA - Segments'!C:C,'DATA - Segments'!D:D)</f>
        <v>Wine</v>
      </c>
      <c r="E397" s="42" t="str">
        <f>_xlfn.XLOOKUP(F397,'DATA - Segments'!C:C,'DATA - Segments'!E:E)</f>
        <v>Wine - White</v>
      </c>
      <c r="F397" s="203" t="str">
        <f t="shared" si="168"/>
        <v>Stoney River|Savorian INC</v>
      </c>
      <c r="G397" s="203" t="str">
        <f t="shared" si="199"/>
        <v>Stoney River|Savorian INC|Wine|Wine - White</v>
      </c>
      <c r="H397" s="150">
        <f>_xlfn.XLOOKUP(F397,'DATA - 2025 Review'!C:C,'DATA - 2025 Review'!I:I,"")</f>
        <v>5.2834399999999997</v>
      </c>
      <c r="I397" s="151">
        <f>_xlfn.XLOOKUP(F397,'DATA - 2025 Review'!C:C,'DATA - 2025 Review'!J:J)</f>
        <v>0</v>
      </c>
      <c r="J397" s="150">
        <f>_xlfn.XLOOKUP(F397,'2025 Finish (ACTUAL)'!$C:$C,'2025 Finish (ACTUAL)'!$D:$D)</f>
        <v>9.510192</v>
      </c>
      <c r="K397" s="146"/>
      <c r="L397" s="152">
        <f t="shared" ref="L397:L400" si="204">K397*J397</f>
        <v>0</v>
      </c>
      <c r="M397" s="152">
        <f t="shared" ref="M397:M400" si="205">L397+J397</f>
        <v>9.510192</v>
      </c>
      <c r="N397" s="146">
        <v>20</v>
      </c>
      <c r="O397" s="152">
        <f t="shared" ref="O397:O400" si="206">N397*J397</f>
        <v>190.20384000000001</v>
      </c>
      <c r="P397" s="69">
        <f t="shared" ref="P397:P400" si="207">O397+J397</f>
        <v>199.714032</v>
      </c>
    </row>
    <row r="398" spans="1:18" x14ac:dyDescent="0.25">
      <c r="A398" s="149" t="s">
        <v>124</v>
      </c>
      <c r="B398" s="5" t="s">
        <v>49</v>
      </c>
      <c r="C398" s="299" t="str">
        <f>_xlfn.XLOOKUP(B398,'Brand Managers'!A:A,'Brand Managers'!B:B)</f>
        <v>Jason Koo</v>
      </c>
      <c r="D398" s="42" t="str">
        <f>_xlfn.XLOOKUP(F398,'DATA - Segments'!C:C,'DATA - Segments'!D:D)</f>
        <v>Wine</v>
      </c>
      <c r="E398" s="42" t="str">
        <f>_xlfn.XLOOKUP(F398,'DATA - Segments'!C:C,'DATA - Segments'!E:E)</f>
        <v>Wine - Rose</v>
      </c>
      <c r="F398" s="203" t="str">
        <f t="shared" si="168"/>
        <v>Les Domaniales Rose D' Anjou Loire|Savorian INC</v>
      </c>
      <c r="G398" s="203" t="str">
        <f t="shared" si="199"/>
        <v>Les Domaniales Rose D' Anjou Loire|Savorian INC|Wine|Wine - Rose</v>
      </c>
      <c r="H398" s="150">
        <f>_xlfn.XLOOKUP(F398,'DATA - 2025 Review'!C:C,'DATA - 2025 Review'!I:I,"")</f>
        <v>3.170064</v>
      </c>
      <c r="I398" s="151">
        <f>_xlfn.XLOOKUP(F398,'DATA - 2025 Review'!C:C,'DATA - 2025 Review'!J:J)</f>
        <v>0</v>
      </c>
      <c r="J398" s="150">
        <f>_xlfn.XLOOKUP(F398,'2025 Finish (ACTUAL)'!$C:$C,'2025 Finish (ACTUAL)'!$D:$D)</f>
        <v>3.170064</v>
      </c>
      <c r="K398" s="146"/>
      <c r="L398" s="152">
        <f t="shared" si="204"/>
        <v>0</v>
      </c>
      <c r="M398" s="152">
        <f t="shared" si="205"/>
        <v>3.170064</v>
      </c>
      <c r="N398" s="146">
        <v>15</v>
      </c>
      <c r="O398" s="152">
        <f t="shared" si="206"/>
        <v>47.550960000000003</v>
      </c>
      <c r="P398" s="69">
        <f t="shared" si="207"/>
        <v>50.721024</v>
      </c>
    </row>
    <row r="399" spans="1:18" x14ac:dyDescent="0.25">
      <c r="A399" s="149" t="s">
        <v>178</v>
      </c>
      <c r="B399" s="5" t="s">
        <v>49</v>
      </c>
      <c r="C399" s="299" t="str">
        <f>_xlfn.XLOOKUP(B399,'Brand Managers'!A:A,'Brand Managers'!B:B)</f>
        <v>Jason Koo</v>
      </c>
      <c r="D399" s="42" t="str">
        <f>_xlfn.XLOOKUP(F399,'DATA - Segments'!C:C,'DATA - Segments'!D:D)</f>
        <v>Wine</v>
      </c>
      <c r="E399" s="42" t="str">
        <f>_xlfn.XLOOKUP(F399,'DATA - Segments'!C:C,'DATA - Segments'!E:E)</f>
        <v>Wine - Red</v>
      </c>
      <c r="F399" s="203" t="str">
        <f t="shared" si="168"/>
        <v>Castellani Etichetta Gialla|Savorian INC</v>
      </c>
      <c r="G399" s="203" t="str">
        <f t="shared" si="199"/>
        <v>Castellani Etichetta Gialla|Savorian INC|Wine|Wine - Red</v>
      </c>
      <c r="H399" s="150">
        <f>_xlfn.XLOOKUP(F399,'DATA - 2025 Review'!C:C,'DATA - 2025 Review'!I:I,"")</f>
        <v>9.510192</v>
      </c>
      <c r="I399" s="151">
        <f>_xlfn.XLOOKUP(F399,'DATA - 2025 Review'!C:C,'DATA - 2025 Review'!J:J)</f>
        <v>0</v>
      </c>
      <c r="J399" s="150">
        <f>_xlfn.XLOOKUP(F399,'2025 Finish (ACTUAL)'!$C:$C,'2025 Finish (ACTUAL)'!$D:$D)</f>
        <v>33.814016000000002</v>
      </c>
      <c r="K399" s="146"/>
      <c r="L399" s="152">
        <f t="shared" si="204"/>
        <v>0</v>
      </c>
      <c r="M399" s="152">
        <f t="shared" si="205"/>
        <v>33.814016000000002</v>
      </c>
      <c r="N399" s="146">
        <v>15</v>
      </c>
      <c r="O399" s="152">
        <f t="shared" si="206"/>
        <v>507.21024000000006</v>
      </c>
      <c r="P399" s="69">
        <f t="shared" si="207"/>
        <v>541.02425600000004</v>
      </c>
    </row>
    <row r="400" spans="1:18" x14ac:dyDescent="0.25">
      <c r="A400" s="149" t="s">
        <v>209</v>
      </c>
      <c r="B400" s="5" t="s">
        <v>49</v>
      </c>
      <c r="C400" s="299" t="str">
        <f>_xlfn.XLOOKUP(B400,'Brand Managers'!A:A,'Brand Managers'!B:B)</f>
        <v>Jason Koo</v>
      </c>
      <c r="D400" s="42" t="str">
        <f>_xlfn.XLOOKUP(F400,'DATA - Segments'!C:C,'DATA - Segments'!D:D)</f>
        <v>Wine</v>
      </c>
      <c r="E400" s="42" t="str">
        <f>_xlfn.XLOOKUP(F400,'DATA - Segments'!C:C,'DATA - Segments'!E:E)</f>
        <v>Wine - White</v>
      </c>
      <c r="F400" s="203" t="str">
        <f t="shared" si="168"/>
        <v>Calise|Savorian INC</v>
      </c>
      <c r="G400" s="203" t="str">
        <f t="shared" si="199"/>
        <v>Calise|Savorian INC|Wine|Wine - White</v>
      </c>
      <c r="H400" s="150">
        <f>_xlfn.XLOOKUP(F400,'DATA - 2025 Review'!C:C,'DATA - 2025 Review'!I:I,"")</f>
        <v>10.566879999999999</v>
      </c>
      <c r="I400" s="151">
        <f>_xlfn.XLOOKUP(F400,'DATA - 2025 Review'!C:C,'DATA - 2025 Review'!J:J)</f>
        <v>0</v>
      </c>
      <c r="J400" s="150">
        <f>_xlfn.XLOOKUP(F400,'2025 Finish (ACTUAL)'!$C:$C,'2025 Finish (ACTUAL)'!$D:$D)</f>
        <v>11.623568000000001</v>
      </c>
      <c r="K400" s="146"/>
      <c r="L400" s="152">
        <f t="shared" si="204"/>
        <v>0</v>
      </c>
      <c r="M400" s="152">
        <f t="shared" si="205"/>
        <v>11.623568000000001</v>
      </c>
      <c r="N400" s="146">
        <v>15</v>
      </c>
      <c r="O400" s="152">
        <f t="shared" si="206"/>
        <v>174.35352</v>
      </c>
      <c r="P400" s="69">
        <f t="shared" si="207"/>
        <v>185.97708800000001</v>
      </c>
    </row>
    <row r="401" spans="1:16" x14ac:dyDescent="0.25">
      <c r="A401" s="143" t="s">
        <v>179</v>
      </c>
      <c r="B401" s="202"/>
      <c r="C401" s="202" t="str">
        <f>_xlfn.XLOOKUP(A401,'Brand Managers'!A:A,'Brand Managers'!B:B)</f>
        <v>Jason Koo</v>
      </c>
      <c r="D401" s="202"/>
      <c r="E401" s="202"/>
      <c r="F401" s="203" t="str">
        <f t="shared" si="168"/>
        <v>Riviera Imports|</v>
      </c>
      <c r="G401" s="203" t="str">
        <f t="shared" si="199"/>
        <v>Riviera Imports|||</v>
      </c>
      <c r="H401" s="144">
        <f>_xlfn.XLOOKUP(F401,'DATA - 2025 Review'!C:C,'DATA - 2025 Review'!I:I,"")</f>
        <v>7.3968160000000003</v>
      </c>
      <c r="I401" s="145">
        <f>_xlfn.XLOOKUP(F401,'DATA - 2025 Review'!C:C,'DATA - 2025 Review'!J:J)</f>
        <v>0</v>
      </c>
      <c r="J401" s="144">
        <f>_xlfn.XLOOKUP(F401,'2025 Finish (ACTUAL)'!$C:$C,'2025 Finish (ACTUAL)'!$D:$D)</f>
        <v>12.680256</v>
      </c>
      <c r="K401" s="145">
        <f>L401/J401</f>
        <v>0</v>
      </c>
      <c r="L401" s="147">
        <f>SUMIF(B:B,A401,L:L)</f>
        <v>0</v>
      </c>
      <c r="M401" s="147">
        <f>SUMIF(B:B,A401,M:M)</f>
        <v>12.680256</v>
      </c>
      <c r="N401" s="145">
        <f>O401/J401</f>
        <v>15.000000000000002</v>
      </c>
      <c r="O401" s="147">
        <f>SUMIF(B:B,A401,O:O)</f>
        <v>190.20384000000001</v>
      </c>
      <c r="P401" s="148">
        <f>SUMIF(B:B,A401,P:P)</f>
        <v>202.884096</v>
      </c>
    </row>
    <row r="402" spans="1:16" x14ac:dyDescent="0.25">
      <c r="A402" s="149" t="s">
        <v>362</v>
      </c>
      <c r="B402" s="5" t="s">
        <v>179</v>
      </c>
      <c r="C402" s="299" t="str">
        <f>_xlfn.XLOOKUP(B402,'Brand Managers'!A:A,'Brand Managers'!B:B)</f>
        <v>Jason Koo</v>
      </c>
      <c r="D402" s="42" t="str">
        <f>_xlfn.XLOOKUP(F402,'DATA - Segments'!C:C,'DATA - Segments'!D:D)</f>
        <v>Wine</v>
      </c>
      <c r="E402" s="42" t="str">
        <f>_xlfn.XLOOKUP(F402,'DATA - Segments'!C:C,'DATA - Segments'!E:E)</f>
        <v>Wine - White</v>
      </c>
      <c r="F402" s="203" t="str">
        <f t="shared" si="168"/>
        <v>Ecaana|Riviera Imports</v>
      </c>
      <c r="G402" s="203" t="str">
        <f t="shared" si="199"/>
        <v>Ecaana|Riviera Imports|Wine|Wine - White</v>
      </c>
      <c r="H402" s="150">
        <f>_xlfn.XLOOKUP(F402,'DATA - 2025 Review'!C:C,'DATA - 2025 Review'!I:I,"")</f>
        <v>7.3968160000000003</v>
      </c>
      <c r="I402" s="151">
        <f>_xlfn.XLOOKUP(F402,'DATA - 2025 Review'!C:C,'DATA - 2025 Review'!J:J)</f>
        <v>0</v>
      </c>
      <c r="J402" s="150">
        <f>_xlfn.XLOOKUP(F402,'2025 Finish (ACTUAL)'!$C:$C,'2025 Finish (ACTUAL)'!$D:$D)</f>
        <v>12.680256</v>
      </c>
      <c r="K402" s="146"/>
      <c r="L402" s="152">
        <f t="shared" ref="L402" si="208">K402*J402</f>
        <v>0</v>
      </c>
      <c r="M402" s="152">
        <f>L402+J402</f>
        <v>12.680256</v>
      </c>
      <c r="N402" s="146">
        <v>15</v>
      </c>
      <c r="O402" s="152">
        <f>N402*J402</f>
        <v>190.20384000000001</v>
      </c>
      <c r="P402" s="69">
        <f>O402+J402</f>
        <v>202.884096</v>
      </c>
    </row>
    <row r="403" spans="1:16" x14ac:dyDescent="0.25">
      <c r="A403" s="143" t="s">
        <v>299</v>
      </c>
      <c r="B403" s="202"/>
      <c r="C403" s="202" t="str">
        <f>_xlfn.XLOOKUP(A403,'Brand Managers'!A:A,'Brand Managers'!B:B)</f>
        <v>Jason Koo</v>
      </c>
      <c r="D403" s="202"/>
      <c r="E403" s="202"/>
      <c r="F403" s="203" t="str">
        <f t="shared" si="168"/>
        <v>Radix Labs|</v>
      </c>
      <c r="G403" s="203" t="str">
        <f t="shared" si="199"/>
        <v>Radix Labs|||</v>
      </c>
      <c r="H403" s="144">
        <f>_xlfn.XLOOKUP(F403,'DATA - 2025 Review'!C:C,'DATA - 2025 Review'!I:I,"")</f>
        <v>230</v>
      </c>
      <c r="I403" s="145">
        <f>_xlfn.XLOOKUP(F403,'DATA - 2025 Review'!C:C,'DATA - 2025 Review'!J:J)</f>
        <v>0</v>
      </c>
      <c r="J403" s="144">
        <f>_xlfn.XLOOKUP(F403,'2025 Finish (ACTUAL)'!$C:$C,'2025 Finish (ACTUAL)'!$D:$D)</f>
        <v>230</v>
      </c>
      <c r="K403" s="145">
        <f>L403/J403</f>
        <v>0</v>
      </c>
      <c r="L403" s="147">
        <f>SUMIF(B:B,A403,L:L)</f>
        <v>0</v>
      </c>
      <c r="M403" s="147">
        <f>SUMIF(B:B,A403,M:M)</f>
        <v>230</v>
      </c>
      <c r="N403" s="145">
        <f>O403/J403</f>
        <v>-1</v>
      </c>
      <c r="O403" s="147">
        <f>SUMIF(B:B,A403,O:O)</f>
        <v>-230</v>
      </c>
      <c r="P403" s="148">
        <f>SUMIF(B:B,A403,P:P)</f>
        <v>0</v>
      </c>
    </row>
    <row r="404" spans="1:16" x14ac:dyDescent="0.25">
      <c r="A404" s="149" t="s">
        <v>385</v>
      </c>
      <c r="B404" s="5" t="s">
        <v>299</v>
      </c>
      <c r="C404" s="299" t="str">
        <f>_xlfn.XLOOKUP(B404,'Brand Managers'!A:A,'Brand Managers'!B:B)</f>
        <v>Jason Koo</v>
      </c>
      <c r="D404" s="42" t="str">
        <f>_xlfn.XLOOKUP(F404,'DATA - Segments'!C:C,'DATA - Segments'!D:D)</f>
        <v>THC</v>
      </c>
      <c r="E404" s="42" t="str">
        <f>_xlfn.XLOOKUP(F404,'DATA - Segments'!C:C,'DATA - Segments'!E:E)</f>
        <v>THC</v>
      </c>
      <c r="F404" s="203" t="str">
        <f t="shared" si="168"/>
        <v>Find Wunder|Radix Labs</v>
      </c>
      <c r="G404" s="203" t="str">
        <f t="shared" si="199"/>
        <v>Find Wunder|Radix Labs|THC|THC</v>
      </c>
      <c r="H404" s="150">
        <f>_xlfn.XLOOKUP(F404,'DATA - 2025 Review'!C:C,'DATA - 2025 Review'!I:I,"")</f>
        <v>230</v>
      </c>
      <c r="I404" s="151">
        <f>_xlfn.XLOOKUP(F404,'DATA - 2025 Review'!C:C,'DATA - 2025 Review'!J:J)</f>
        <v>0</v>
      </c>
      <c r="J404" s="150">
        <f>_xlfn.XLOOKUP(F404,'2025 Finish (ACTUAL)'!$C:$C,'2025 Finish (ACTUAL)'!$D:$D)</f>
        <v>230</v>
      </c>
      <c r="K404" s="146"/>
      <c r="L404" s="152">
        <f t="shared" ref="L404" si="209">K404*J404</f>
        <v>0</v>
      </c>
      <c r="M404" s="152">
        <f>L404+J404</f>
        <v>230</v>
      </c>
      <c r="N404" s="146">
        <v>-1</v>
      </c>
      <c r="O404" s="152">
        <f>N404*J404</f>
        <v>-230</v>
      </c>
      <c r="P404" s="69">
        <f>O404+J404</f>
        <v>0</v>
      </c>
    </row>
    <row r="405" spans="1:16" x14ac:dyDescent="0.25">
      <c r="A405" s="143" t="s">
        <v>153</v>
      </c>
      <c r="B405" s="202"/>
      <c r="C405" s="202" t="str">
        <f>_xlfn.XLOOKUP(A405,'Brand Managers'!A:A,'Brand Managers'!B:B)</f>
        <v>Chris Politano</v>
      </c>
      <c r="D405" s="202"/>
      <c r="E405" s="202"/>
      <c r="F405" s="203" t="str">
        <f t="shared" si="168"/>
        <v>Passion Tree Co|</v>
      </c>
      <c r="G405" s="203" t="str">
        <f t="shared" si="199"/>
        <v>Passion Tree Co|||</v>
      </c>
      <c r="H405" s="144">
        <f>_xlfn.XLOOKUP(F405,'DATA - 2025 Review'!C:C,'DATA - 2025 Review'!I:I,"")</f>
        <v>153.75</v>
      </c>
      <c r="I405" s="145">
        <f>_xlfn.XLOOKUP(F405,'DATA - 2025 Review'!C:C,'DATA - 2025 Review'!J:J)</f>
        <v>0</v>
      </c>
      <c r="J405" s="144">
        <f>_xlfn.XLOOKUP(F405,'2025 Finish (ACTUAL)'!$C:$C,'2025 Finish (ACTUAL)'!$D:$D)</f>
        <v>159.375</v>
      </c>
      <c r="K405" s="145">
        <f>L405/J405</f>
        <v>15</v>
      </c>
      <c r="L405" s="147">
        <f>SUMIF(B:B,A405,L:L)</f>
        <v>2390.625</v>
      </c>
      <c r="M405" s="147">
        <f>SUMIF(B:B,A405,M:M)</f>
        <v>2550</v>
      </c>
      <c r="N405" s="145">
        <f>O405/J405</f>
        <v>15</v>
      </c>
      <c r="O405" s="147">
        <f>SUMIF(B:B,A405,O:O)</f>
        <v>2390.625</v>
      </c>
      <c r="P405" s="148">
        <f>SUMIF(B:B,A405,P:P)</f>
        <v>2550</v>
      </c>
    </row>
    <row r="406" spans="1:16" x14ac:dyDescent="0.25">
      <c r="A406" s="149" t="s">
        <v>82</v>
      </c>
      <c r="B406" s="5" t="s">
        <v>153</v>
      </c>
      <c r="C406" s="299" t="str">
        <f>_xlfn.XLOOKUP(B406,'Brand Managers'!A:A,'Brand Managers'!B:B)</f>
        <v>Chris Politano</v>
      </c>
      <c r="D406" s="42" t="str">
        <f>_xlfn.XLOOKUP(F406,'DATA - Segments'!C:C,'DATA - Segments'!D:D)</f>
        <v>FMB</v>
      </c>
      <c r="E406" s="42" t="str">
        <f>_xlfn.XLOOKUP(F406,'DATA - Segments'!C:C,'DATA - Segments'!E:E)</f>
        <v>FMB</v>
      </c>
      <c r="F406" s="203" t="str">
        <f t="shared" ref="F406:F472" si="210">A406&amp;"|"&amp;B406</f>
        <v>Pop Sips|Passion Tree Co</v>
      </c>
      <c r="G406" s="203" t="str">
        <f t="shared" si="199"/>
        <v>Pop Sips|Passion Tree Co|FMB|FMB</v>
      </c>
      <c r="H406" s="150">
        <f>_xlfn.XLOOKUP(F406,'DATA - 2025 Review'!C:C,'DATA - 2025 Review'!I:I,"")</f>
        <v>153.75</v>
      </c>
      <c r="I406" s="151">
        <f>_xlfn.XLOOKUP(F406,'DATA - 2025 Review'!C:C,'DATA - 2025 Review'!J:J)</f>
        <v>0</v>
      </c>
      <c r="J406" s="150">
        <f>_xlfn.XLOOKUP(F406,'2025 Finish (ACTUAL)'!$C:$C,'2025 Finish (ACTUAL)'!$D:$D)</f>
        <v>159.375</v>
      </c>
      <c r="K406" s="146">
        <v>15</v>
      </c>
      <c r="L406" s="152">
        <f t="shared" ref="L406" si="211">K406*J406</f>
        <v>2390.625</v>
      </c>
      <c r="M406" s="152">
        <f>L406+J406</f>
        <v>2550</v>
      </c>
      <c r="N406" s="146">
        <v>15</v>
      </c>
      <c r="O406" s="152">
        <f>N406*J406</f>
        <v>2390.625</v>
      </c>
      <c r="P406" s="69">
        <f>O406+J406</f>
        <v>2550</v>
      </c>
    </row>
    <row r="407" spans="1:16" x14ac:dyDescent="0.25">
      <c r="A407" s="189" t="s">
        <v>100</v>
      </c>
      <c r="B407" s="202"/>
      <c r="C407" s="202" t="str">
        <f>_xlfn.XLOOKUP(A407,'Brand Managers'!A:A,'Brand Managers'!B:B)</f>
        <v>Chris Politano</v>
      </c>
      <c r="D407" s="202"/>
      <c r="E407" s="202"/>
      <c r="F407" s="203" t="str">
        <f t="shared" si="210"/>
        <v>Park Street Imports|</v>
      </c>
      <c r="G407" s="203" t="str">
        <f t="shared" si="199"/>
        <v>Park Street Imports|||</v>
      </c>
      <c r="H407" s="144">
        <f>_xlfn.XLOOKUP(F407,'DATA - 2025 Review'!C:C,'DATA - 2025 Review'!I:I,"")</f>
        <v>109</v>
      </c>
      <c r="I407" s="145">
        <f>_xlfn.XLOOKUP(F407,'DATA - 2025 Review'!C:C,'DATA - 2025 Review'!J:J)</f>
        <v>0</v>
      </c>
      <c r="J407" s="144">
        <f>_xlfn.XLOOKUP(F407,'2025 Finish (ACTUAL)'!$C:$C,'2025 Finish (ACTUAL)'!$D:$D)</f>
        <v>109</v>
      </c>
      <c r="K407" s="145">
        <f>L407/J407</f>
        <v>1</v>
      </c>
      <c r="L407" s="147">
        <f>SUMIF(B:B,A407,L:L)</f>
        <v>109</v>
      </c>
      <c r="M407" s="147">
        <f>SUMIF(B:B,A407,M:M)</f>
        <v>218</v>
      </c>
      <c r="N407" s="145">
        <f>O407/J407</f>
        <v>1</v>
      </c>
      <c r="O407" s="147">
        <f>SUMIF(B:B,A407,O:O)</f>
        <v>109</v>
      </c>
      <c r="P407" s="148">
        <f>SUMIF(B:B,A407,P:P)</f>
        <v>218</v>
      </c>
    </row>
    <row r="408" spans="1:16" x14ac:dyDescent="0.25">
      <c r="A408" s="194" t="s">
        <v>363</v>
      </c>
      <c r="B408" s="5" t="s">
        <v>100</v>
      </c>
      <c r="C408" s="299" t="str">
        <f>_xlfn.XLOOKUP(B408,'Brand Managers'!A:A,'Brand Managers'!B:B)</f>
        <v>Chris Politano</v>
      </c>
      <c r="D408" s="42" t="str">
        <f>_xlfn.XLOOKUP(F408,'DATA - Segments'!C:C,'DATA - Segments'!D:D)</f>
        <v>FMB</v>
      </c>
      <c r="E408" s="42" t="str">
        <f>_xlfn.XLOOKUP(F408,'DATA - Segments'!C:C,'DATA - Segments'!E:E)</f>
        <v>FMB</v>
      </c>
      <c r="F408" s="203" t="str">
        <f t="shared" si="210"/>
        <v>Plaid Duck|Park Street Imports</v>
      </c>
      <c r="G408" s="203" t="str">
        <f t="shared" si="199"/>
        <v>Plaid Duck|Park Street Imports|FMB|FMB</v>
      </c>
      <c r="H408" s="150">
        <f>_xlfn.XLOOKUP(F408,'DATA - 2025 Review'!C:C,'DATA - 2025 Review'!I:I,"")</f>
        <v>109</v>
      </c>
      <c r="I408" s="151">
        <f>_xlfn.XLOOKUP(F408,'DATA - 2025 Review'!C:C,'DATA - 2025 Review'!J:J)</f>
        <v>0</v>
      </c>
      <c r="J408" s="150">
        <f>_xlfn.XLOOKUP(F408,'2025 Finish (ACTUAL)'!$C:$C,'2025 Finish (ACTUAL)'!$D:$D)</f>
        <v>109</v>
      </c>
      <c r="K408" s="146">
        <v>1</v>
      </c>
      <c r="L408" s="152">
        <f t="shared" ref="L408" si="212">K408*J408</f>
        <v>109</v>
      </c>
      <c r="M408" s="152">
        <f>L408+J408</f>
        <v>218</v>
      </c>
      <c r="N408" s="146">
        <v>1</v>
      </c>
      <c r="O408" s="152">
        <f>N408*J408</f>
        <v>109</v>
      </c>
      <c r="P408" s="69">
        <f>O408+J408</f>
        <v>218</v>
      </c>
    </row>
    <row r="409" spans="1:16" x14ac:dyDescent="0.25">
      <c r="A409" s="143" t="s">
        <v>50</v>
      </c>
      <c r="B409" s="202"/>
      <c r="C409" s="202" t="str">
        <f>_xlfn.XLOOKUP(A409,'Brand Managers'!A:A,'Brand Managers'!B:B)</f>
        <v>Jason Koo</v>
      </c>
      <c r="D409" s="202"/>
      <c r="E409" s="202"/>
      <c r="F409" s="203" t="str">
        <f t="shared" si="210"/>
        <v>Paradisse Spirits LLC|</v>
      </c>
      <c r="G409" s="203" t="str">
        <f t="shared" si="199"/>
        <v>Paradisse Spirits LLC|||</v>
      </c>
      <c r="H409" s="144">
        <f>_xlfn.XLOOKUP(F409,'DATA - 2025 Review'!C:C,'DATA - 2025 Review'!I:I,"")</f>
        <v>3.5</v>
      </c>
      <c r="I409" s="145">
        <f>_xlfn.XLOOKUP(F409,'DATA - 2025 Review'!C:C,'DATA - 2025 Review'!J:J)</f>
        <v>0</v>
      </c>
      <c r="J409" s="144">
        <f>_xlfn.XLOOKUP(F409,'2025 Finish (ACTUAL)'!$C:$C,'2025 Finish (ACTUAL)'!$D:$D)</f>
        <v>3.4999859999999998</v>
      </c>
      <c r="K409" s="145">
        <f>L409/J409</f>
        <v>0</v>
      </c>
      <c r="L409" s="147">
        <f>SUMIF(B:B,A409,L:L)</f>
        <v>0</v>
      </c>
      <c r="M409" s="147">
        <f>SUMIF(B:B,A409,M:M)</f>
        <v>3.4999859999999998</v>
      </c>
      <c r="N409" s="145">
        <f>O409/J409</f>
        <v>5</v>
      </c>
      <c r="O409" s="147">
        <f>SUMIF(B:B,A409,O:O)</f>
        <v>17.499929999999999</v>
      </c>
      <c r="P409" s="148">
        <f>SUMIF(B:B,A409,P:P)</f>
        <v>20.999915999999999</v>
      </c>
    </row>
    <row r="410" spans="1:16" x14ac:dyDescent="0.25">
      <c r="A410" s="149" t="s">
        <v>256</v>
      </c>
      <c r="B410" s="5" t="s">
        <v>50</v>
      </c>
      <c r="C410" s="299" t="str">
        <f>_xlfn.XLOOKUP(B410,'Brand Managers'!A:A,'Brand Managers'!B:B)</f>
        <v>Jason Koo</v>
      </c>
      <c r="D410" s="42" t="str">
        <f>_xlfn.XLOOKUP(F410,'DATA - Segments'!C:C,'DATA - Segments'!D:D)</f>
        <v>Spirits</v>
      </c>
      <c r="E410" s="42" t="str">
        <f>_xlfn.XLOOKUP(F410,'DATA - Segments'!C:C,'DATA - Segments'!E:E)</f>
        <v>Spirits - Other</v>
      </c>
      <c r="F410" s="203" t="str">
        <f t="shared" si="210"/>
        <v>Paradisse|Paradisse Spirits LLC</v>
      </c>
      <c r="G410" s="203" t="str">
        <f t="shared" si="199"/>
        <v>Paradisse|Paradisse Spirits LLC|Spirits|Spirits - Other</v>
      </c>
      <c r="H410" s="150">
        <f>_xlfn.XLOOKUP(F410,'DATA - 2025 Review'!C:C,'DATA - 2025 Review'!I:I,"")</f>
        <v>3.5</v>
      </c>
      <c r="I410" s="151">
        <f>_xlfn.XLOOKUP(F410,'DATA - 2025 Review'!C:C,'DATA - 2025 Review'!J:J)</f>
        <v>0</v>
      </c>
      <c r="J410" s="150">
        <f>_xlfn.XLOOKUP(F410,'2025 Finish (ACTUAL)'!$C:$C,'2025 Finish (ACTUAL)'!$D:$D)</f>
        <v>3.4999859999999998</v>
      </c>
      <c r="K410" s="146"/>
      <c r="L410" s="152">
        <f t="shared" ref="L410" si="213">K410*J410</f>
        <v>0</v>
      </c>
      <c r="M410" s="152">
        <f>L410+J410</f>
        <v>3.4999859999999998</v>
      </c>
      <c r="N410" s="146">
        <v>5</v>
      </c>
      <c r="O410" s="152">
        <f>N410*J410</f>
        <v>17.499929999999999</v>
      </c>
      <c r="P410" s="69">
        <f>O410+J410</f>
        <v>20.999915999999999</v>
      </c>
    </row>
    <row r="411" spans="1:16" x14ac:dyDescent="0.25">
      <c r="A411" s="143" t="s">
        <v>233</v>
      </c>
      <c r="B411" s="202"/>
      <c r="C411" s="202" t="e">
        <f>_xlfn.XLOOKUP(A411,'Brand Managers'!A:A,'Brand Managers'!B:B)</f>
        <v>#N/A</v>
      </c>
      <c r="D411" s="202"/>
      <c r="E411" s="202"/>
      <c r="F411" s="203" t="str">
        <f t="shared" si="210"/>
        <v>Montucky Cold Snacks|</v>
      </c>
      <c r="G411" s="203" t="str">
        <f t="shared" si="199"/>
        <v>Montucky Cold Snacks|||</v>
      </c>
      <c r="H411" s="144">
        <v>0</v>
      </c>
      <c r="I411" s="145">
        <f>_xlfn.XLOOKUP(F411,'DATA - 2025 Review'!C:C,'DATA - 2025 Review'!J:J)</f>
        <v>-1</v>
      </c>
      <c r="J411" s="144" t="e">
        <f>_xlfn.XLOOKUP(F411,'2025 Finish (ACTUAL)'!$C:$C,'2025 Finish (ACTUAL)'!$D:$D)</f>
        <v>#N/A</v>
      </c>
      <c r="K411" s="145" t="e">
        <f>L411/H411</f>
        <v>#DIV/0!</v>
      </c>
      <c r="L411" s="147">
        <f>SUMIF(B:B,A411,L:L)</f>
        <v>0</v>
      </c>
      <c r="M411" s="147">
        <f>SUMIF(B:B,A411,M:M)</f>
        <v>0</v>
      </c>
      <c r="N411" s="145" t="e">
        <f>O411/H411</f>
        <v>#DIV/0!</v>
      </c>
      <c r="O411" s="147">
        <f>SUMIF(B:B,A411,O:O)</f>
        <v>0</v>
      </c>
      <c r="P411" s="148">
        <f>SUMIF(B:B,A411,P:P)</f>
        <v>0</v>
      </c>
    </row>
    <row r="412" spans="1:16" x14ac:dyDescent="0.25">
      <c r="A412" s="156" t="s">
        <v>300</v>
      </c>
      <c r="B412" s="283" t="s">
        <v>233</v>
      </c>
      <c r="C412" s="283"/>
      <c r="D412" s="42"/>
      <c r="E412" s="42"/>
      <c r="F412" s="203" t="str">
        <f t="shared" si="210"/>
        <v>Montucky|Montucky Cold Snacks</v>
      </c>
      <c r="G412" s="203" t="str">
        <f t="shared" si="199"/>
        <v>Montucky|Montucky Cold Snacks||</v>
      </c>
      <c r="H412" s="273">
        <v>0</v>
      </c>
      <c r="I412" s="281">
        <f>_xlfn.XLOOKUP(F412,'DATA - 2025 Review'!C:C,'DATA - 2025 Review'!J:J)</f>
        <v>-1</v>
      </c>
      <c r="J412" s="273"/>
      <c r="K412" s="281">
        <v>-1</v>
      </c>
      <c r="L412" s="274">
        <f t="shared" ref="L412" si="214">K412*J412</f>
        <v>0</v>
      </c>
      <c r="M412" s="274">
        <f>L412+J412</f>
        <v>0</v>
      </c>
      <c r="N412" s="281">
        <v>-1</v>
      </c>
      <c r="O412" s="274">
        <f>N412*J412</f>
        <v>0</v>
      </c>
      <c r="P412" s="275">
        <f>O412+J412</f>
        <v>0</v>
      </c>
    </row>
    <row r="413" spans="1:16" x14ac:dyDescent="0.25">
      <c r="A413" s="143" t="s">
        <v>125</v>
      </c>
      <c r="B413" s="202"/>
      <c r="C413" s="202" t="str">
        <f>_xlfn.XLOOKUP(A413,'Brand Managers'!A:A,'Brand Managers'!B:B)</f>
        <v>Jason Koo</v>
      </c>
      <c r="D413" s="202"/>
      <c r="E413" s="202"/>
      <c r="F413" s="203" t="str">
        <f t="shared" si="210"/>
        <v>Modern Infusions|</v>
      </c>
      <c r="G413" s="203" t="str">
        <f t="shared" si="199"/>
        <v>Modern Infusions|||</v>
      </c>
      <c r="H413" s="144">
        <f>_xlfn.XLOOKUP(F413,'DATA - 2025 Review'!C:C,'DATA - 2025 Review'!I:I,"")</f>
        <v>324</v>
      </c>
      <c r="I413" s="145">
        <f>_xlfn.XLOOKUP(F413,'DATA - 2025 Review'!C:C,'DATA - 2025 Review'!J:J)</f>
        <v>0</v>
      </c>
      <c r="J413" s="144">
        <f>_xlfn.XLOOKUP(F413,'2025 Finish (ACTUAL)'!$C:$C,'2025 Finish (ACTUAL)'!$D:$D)</f>
        <v>604</v>
      </c>
      <c r="K413" s="145">
        <f>L413/J413</f>
        <v>0</v>
      </c>
      <c r="L413" s="147">
        <f>SUMIF(B:B,A413,L:L)</f>
        <v>0</v>
      </c>
      <c r="M413" s="147">
        <f>SUMIF(B:B,A413,M:M)</f>
        <v>604</v>
      </c>
      <c r="N413" s="145">
        <f>O413/J413</f>
        <v>2.5215231788079469</v>
      </c>
      <c r="O413" s="147">
        <f>SUMIF(B:B,A413,O:O)</f>
        <v>1523</v>
      </c>
      <c r="P413" s="148">
        <f>SUMIF(B:B,A413,P:P)</f>
        <v>2127</v>
      </c>
    </row>
    <row r="414" spans="1:16" x14ac:dyDescent="0.25">
      <c r="A414" s="149" t="s">
        <v>386</v>
      </c>
      <c r="B414" s="5" t="s">
        <v>125</v>
      </c>
      <c r="C414" s="299" t="str">
        <f>_xlfn.XLOOKUP(B414,'Brand Managers'!A:A,'Brand Managers'!B:B)</f>
        <v>Jason Koo</v>
      </c>
      <c r="D414" s="42" t="str">
        <f>_xlfn.XLOOKUP(F414,'DATA - Segments'!C:C,'DATA - Segments'!D:D)</f>
        <v>THC</v>
      </c>
      <c r="E414" s="42" t="str">
        <f>_xlfn.XLOOKUP(F414,'DATA - Segments'!C:C,'DATA - Segments'!E:E)</f>
        <v>THC</v>
      </c>
      <c r="F414" s="203" t="str">
        <f t="shared" si="210"/>
        <v>Hi5|Modern Infusions</v>
      </c>
      <c r="G414" s="203" t="str">
        <f t="shared" si="199"/>
        <v>Hi5|Modern Infusions|THC|THC</v>
      </c>
      <c r="H414" s="150">
        <f>_xlfn.XLOOKUP(F414,'DATA - 2025 Review'!C:C,'DATA - 2025 Review'!I:I,"")</f>
        <v>200</v>
      </c>
      <c r="I414" s="151">
        <f>_xlfn.XLOOKUP(F414,'DATA - 2025 Review'!C:C,'DATA - 2025 Review'!J:J)</f>
        <v>0</v>
      </c>
      <c r="J414" s="150">
        <f>_xlfn.XLOOKUP(F414,'2025 Finish (ACTUAL)'!$C:$C,'2025 Finish (ACTUAL)'!$D:$D)</f>
        <v>289</v>
      </c>
      <c r="K414" s="146"/>
      <c r="L414" s="152">
        <f t="shared" ref="L414:L415" si="215">K414*J414</f>
        <v>0</v>
      </c>
      <c r="M414" s="152">
        <f t="shared" ref="M414:M415" si="216">L414+J414</f>
        <v>289</v>
      </c>
      <c r="N414" s="146">
        <v>2</v>
      </c>
      <c r="O414" s="152">
        <f t="shared" ref="O414:O415" si="217">N414*J414</f>
        <v>578</v>
      </c>
      <c r="P414" s="69">
        <f t="shared" ref="P414:P415" si="218">O414+J414</f>
        <v>867</v>
      </c>
    </row>
    <row r="415" spans="1:16" x14ac:dyDescent="0.25">
      <c r="A415" s="149" t="s">
        <v>364</v>
      </c>
      <c r="B415" s="5" t="s">
        <v>125</v>
      </c>
      <c r="C415" s="299" t="str">
        <f>_xlfn.XLOOKUP(B415,'Brand Managers'!A:A,'Brand Managers'!B:B)</f>
        <v>Jason Koo</v>
      </c>
      <c r="D415" s="42" t="str">
        <f>_xlfn.XLOOKUP(F415,'DATA - Segments'!C:C,'DATA - Segments'!D:D)</f>
        <v>THC</v>
      </c>
      <c r="E415" s="42" t="str">
        <f>_xlfn.XLOOKUP(F415,'DATA - Segments'!C:C,'DATA - Segments'!E:E)</f>
        <v>THC</v>
      </c>
      <c r="F415" s="203" t="str">
        <f t="shared" si="210"/>
        <v>Fiveislands|Modern Infusions</v>
      </c>
      <c r="G415" s="203" t="str">
        <f t="shared" si="199"/>
        <v>Fiveislands|Modern Infusions|THC|THC</v>
      </c>
      <c r="H415" s="150">
        <f>_xlfn.XLOOKUP(F415,'DATA - 2025 Review'!C:C,'DATA - 2025 Review'!I:I,"")</f>
        <v>124</v>
      </c>
      <c r="I415" s="151">
        <f>_xlfn.XLOOKUP(F415,'DATA - 2025 Review'!C:C,'DATA - 2025 Review'!J:J)</f>
        <v>0</v>
      </c>
      <c r="J415" s="150">
        <f>_xlfn.XLOOKUP(F415,'2025 Finish (ACTUAL)'!$C:$C,'2025 Finish (ACTUAL)'!$D:$D)</f>
        <v>315</v>
      </c>
      <c r="K415" s="146"/>
      <c r="L415" s="152">
        <f t="shared" si="215"/>
        <v>0</v>
      </c>
      <c r="M415" s="152">
        <f t="shared" si="216"/>
        <v>315</v>
      </c>
      <c r="N415" s="146">
        <v>3</v>
      </c>
      <c r="O415" s="152">
        <f t="shared" si="217"/>
        <v>945</v>
      </c>
      <c r="P415" s="69">
        <f t="shared" si="218"/>
        <v>1260</v>
      </c>
    </row>
    <row r="416" spans="1:16" x14ac:dyDescent="0.25">
      <c r="A416" s="143" t="s">
        <v>416</v>
      </c>
      <c r="B416" s="202"/>
      <c r="C416" s="202" t="str">
        <f>_xlfn.XLOOKUP(A416,'Brand Managers'!A:A,'Brand Managers'!B:B)</f>
        <v/>
      </c>
      <c r="D416" s="202"/>
      <c r="E416" s="202"/>
      <c r="F416" s="203" t="str">
        <f t="shared" si="210"/>
        <v>Misc|</v>
      </c>
      <c r="G416" s="203" t="str">
        <f t="shared" si="199"/>
        <v>Misc|||</v>
      </c>
      <c r="H416" s="144">
        <f>_xlfn.XLOOKUP(F416,'DATA - 2025 Review'!C:C,'DATA - 2025 Review'!I:I,"")</f>
        <v>0</v>
      </c>
      <c r="I416" s="145">
        <f>_xlfn.XLOOKUP(F416,'DATA - 2025 Review'!C:C,'DATA - 2025 Review'!J:J)</f>
        <v>0</v>
      </c>
      <c r="J416" s="144">
        <f>_xlfn.XLOOKUP(F416,'2025 Finish (ACTUAL)'!$C:$C,'2025 Finish (ACTUAL)'!$D:$D)</f>
        <v>0</v>
      </c>
      <c r="K416" s="145" t="e">
        <f>L416/H416</f>
        <v>#DIV/0!</v>
      </c>
      <c r="L416" s="147">
        <f>SUMIF(B:B,A416,L:L)</f>
        <v>0</v>
      </c>
      <c r="M416" s="147">
        <f>SUMIF(B:B,A416,M:M)</f>
        <v>0</v>
      </c>
      <c r="N416" s="145" t="e">
        <f>O416/H416</f>
        <v>#DIV/0!</v>
      </c>
      <c r="O416" s="147">
        <f>SUMIF(B:B,A416,O:O)</f>
        <v>0</v>
      </c>
      <c r="P416" s="148">
        <f>SUMIF(B:B,A416,P:P)</f>
        <v>0</v>
      </c>
    </row>
    <row r="417" spans="1:16" x14ac:dyDescent="0.25">
      <c r="A417" s="157" t="s">
        <v>416</v>
      </c>
      <c r="B417" s="5" t="s">
        <v>416</v>
      </c>
      <c r="C417" s="299" t="str">
        <f>_xlfn.XLOOKUP(B417,'Brand Managers'!A:A,'Brand Managers'!B:B)</f>
        <v/>
      </c>
      <c r="D417" s="42" t="str">
        <f>_xlfn.XLOOKUP(F417,'DATA - Segments'!C:C,'DATA - Segments'!D:D)</f>
        <v>Misc</v>
      </c>
      <c r="E417" s="42" t="str">
        <f>_xlfn.XLOOKUP(F417,'DATA - Segments'!C:C,'DATA - Segments'!E:E)</f>
        <v>Non-Inventory</v>
      </c>
      <c r="F417" s="203" t="str">
        <f t="shared" si="210"/>
        <v>Misc|Misc</v>
      </c>
      <c r="G417" s="203" t="str">
        <f t="shared" si="199"/>
        <v>Misc|Misc|Misc|Non-Inventory</v>
      </c>
      <c r="H417" s="150">
        <f>_xlfn.XLOOKUP(F417,'DATA - 2025 Review'!C:C,'DATA - 2025 Review'!I:I,"")</f>
        <v>0</v>
      </c>
      <c r="I417" s="151">
        <f>_xlfn.XLOOKUP(F417,'DATA - 2025 Review'!C:C,'DATA - 2025 Review'!J:J)</f>
        <v>0</v>
      </c>
      <c r="J417" s="150">
        <f>_xlfn.XLOOKUP(F417,'2025 Finish (ACTUAL)'!$C:$C,'2025 Finish (ACTUAL)'!$D:$D)</f>
        <v>0</v>
      </c>
      <c r="K417" s="146"/>
      <c r="L417" s="152">
        <f t="shared" ref="L417" si="219">K417*J417</f>
        <v>0</v>
      </c>
      <c r="M417" s="152">
        <f>L417+J417</f>
        <v>0</v>
      </c>
      <c r="N417" s="146"/>
      <c r="O417" s="152">
        <f>N417*J417</f>
        <v>0</v>
      </c>
      <c r="P417" s="69">
        <f>O417+J417</f>
        <v>0</v>
      </c>
    </row>
    <row r="418" spans="1:16" x14ac:dyDescent="0.25">
      <c r="A418" s="143" t="s">
        <v>334</v>
      </c>
      <c r="B418" s="202"/>
      <c r="C418" s="202" t="e">
        <f>_xlfn.XLOOKUP(A418,'Brand Managers'!A:A,'Brand Managers'!B:B)</f>
        <v>#N/A</v>
      </c>
      <c r="D418" s="202"/>
      <c r="E418" s="202"/>
      <c r="F418" s="203" t="str">
        <f t="shared" si="210"/>
        <v>Mike's Lemonade|</v>
      </c>
      <c r="G418" s="203" t="str">
        <f t="shared" si="199"/>
        <v>Mike's Lemonade|||</v>
      </c>
      <c r="H418" s="144">
        <f>_xlfn.XLOOKUP(F418,'DATA - 2025 Review'!C:C,'DATA - 2025 Review'!I:I,"")</f>
        <v>0</v>
      </c>
      <c r="I418" s="145">
        <f>_xlfn.XLOOKUP(F418,'DATA - 2025 Review'!C:C,'DATA - 2025 Review'!J:J)</f>
        <v>-1</v>
      </c>
      <c r="J418" s="144" t="e">
        <f>_xlfn.XLOOKUP(F418,'2025 Finish (ACTUAL)'!$C:$C,'2025 Finish (ACTUAL)'!$D:$D)</f>
        <v>#N/A</v>
      </c>
      <c r="K418" s="145" t="e">
        <f>L418/H418</f>
        <v>#DIV/0!</v>
      </c>
      <c r="L418" s="147">
        <f>SUMIF(B:B,A418,L:L)</f>
        <v>0</v>
      </c>
      <c r="M418" s="147">
        <f>SUMIF(B:B,A418,M:M)</f>
        <v>0</v>
      </c>
      <c r="N418" s="145" t="e">
        <f>O418/H418</f>
        <v>#DIV/0!</v>
      </c>
      <c r="O418" s="147">
        <f>SUMIF(B:B,A418,O:O)</f>
        <v>0</v>
      </c>
      <c r="P418" s="148">
        <f>SUMIF(B:B,A418,P:P)</f>
        <v>0</v>
      </c>
    </row>
    <row r="419" spans="1:16" x14ac:dyDescent="0.25">
      <c r="A419" s="174" t="s">
        <v>417</v>
      </c>
      <c r="B419" s="2" t="s">
        <v>334</v>
      </c>
      <c r="C419" s="299" t="e">
        <f>_xlfn.XLOOKUP(B419,'Brand Managers'!A:A,'Brand Managers'!B:B)</f>
        <v>#N/A</v>
      </c>
      <c r="D419" s="42"/>
      <c r="E419" s="42"/>
      <c r="F419" s="203" t="str">
        <f t="shared" si="210"/>
        <v>Rey Azul|Mike's Lemonade</v>
      </c>
      <c r="G419" s="203" t="str">
        <f t="shared" si="199"/>
        <v>Rey Azul|Mike's Lemonade||</v>
      </c>
      <c r="H419" s="150">
        <f>_xlfn.XLOOKUP(F419,'DATA - 2025 Review'!C:C,'DATA - 2025 Review'!I:I,"")</f>
        <v>0</v>
      </c>
      <c r="I419" s="151">
        <f>_xlfn.XLOOKUP(F419,'DATA - 2025 Review'!C:C,'DATA - 2025 Review'!J:J)</f>
        <v>-1</v>
      </c>
      <c r="J419" s="150"/>
      <c r="K419" s="146"/>
      <c r="L419" s="152">
        <f t="shared" ref="L419:L420" si="220">K419*J419</f>
        <v>0</v>
      </c>
      <c r="M419" s="152">
        <f t="shared" ref="M419:M420" si="221">L419+J419</f>
        <v>0</v>
      </c>
      <c r="N419" s="146"/>
      <c r="O419" s="152">
        <f t="shared" ref="O419:O420" si="222">N419*J419</f>
        <v>0</v>
      </c>
      <c r="P419" s="69">
        <f t="shared" ref="P419:P420" si="223">O419+J419</f>
        <v>0</v>
      </c>
    </row>
    <row r="420" spans="1:16" x14ac:dyDescent="0.25">
      <c r="A420" s="174" t="s">
        <v>301</v>
      </c>
      <c r="B420" s="2" t="s">
        <v>334</v>
      </c>
      <c r="C420" s="299" t="e">
        <f>_xlfn.XLOOKUP(B420,'Brand Managers'!A:A,'Brand Managers'!B:B)</f>
        <v>#N/A</v>
      </c>
      <c r="D420" s="42"/>
      <c r="E420" s="42"/>
      <c r="F420" s="203" t="str">
        <f t="shared" si="210"/>
        <v>Mike's Hard Seltzer|Mike's Lemonade</v>
      </c>
      <c r="G420" s="203" t="str">
        <f t="shared" si="199"/>
        <v>Mike's Hard Seltzer|Mike's Lemonade||</v>
      </c>
      <c r="H420" s="150">
        <f>_xlfn.XLOOKUP(F420,'DATA - 2025 Review'!C:C,'DATA - 2025 Review'!I:I,"")</f>
        <v>0</v>
      </c>
      <c r="I420" s="151">
        <f>_xlfn.XLOOKUP(F420,'DATA - 2025 Review'!C:C,'DATA - 2025 Review'!J:J)</f>
        <v>-1</v>
      </c>
      <c r="J420" s="150"/>
      <c r="K420" s="146"/>
      <c r="L420" s="152">
        <f t="shared" si="220"/>
        <v>0</v>
      </c>
      <c r="M420" s="152">
        <f t="shared" si="221"/>
        <v>0</v>
      </c>
      <c r="N420" s="146"/>
      <c r="O420" s="152">
        <f t="shared" si="222"/>
        <v>0</v>
      </c>
      <c r="P420" s="69">
        <f t="shared" si="223"/>
        <v>0</v>
      </c>
    </row>
    <row r="421" spans="1:16" x14ac:dyDescent="0.25">
      <c r="A421" s="143" t="s">
        <v>126</v>
      </c>
      <c r="B421" s="202"/>
      <c r="C421" s="202" t="str">
        <f>_xlfn.XLOOKUP(A421,'Brand Managers'!A:A,'Brand Managers'!B:B)</f>
        <v>Jason Koo</v>
      </c>
      <c r="D421" s="202"/>
      <c r="E421" s="202"/>
      <c r="F421" s="203" t="str">
        <f t="shared" si="210"/>
        <v>Lodo Brands|</v>
      </c>
      <c r="G421" s="203" t="str">
        <f t="shared" si="199"/>
        <v>Lodo Brands|||</v>
      </c>
      <c r="H421" s="144">
        <f>_xlfn.XLOOKUP(F421,'DATA - 2025 Review'!C:C,'DATA - 2025 Review'!I:I,"")</f>
        <v>272.352552</v>
      </c>
      <c r="I421" s="145">
        <f>_xlfn.XLOOKUP(F421,'DATA - 2025 Review'!C:C,'DATA - 2025 Review'!J:J)</f>
        <v>0</v>
      </c>
      <c r="J421" s="144">
        <f>_xlfn.XLOOKUP(F421,'2025 Finish (ACTUAL)'!$C:$C,'2025 Finish (ACTUAL)'!$D:$D)</f>
        <v>367.16656799999998</v>
      </c>
      <c r="K421" s="145">
        <f>L421/J421</f>
        <v>0</v>
      </c>
      <c r="L421" s="147">
        <f>SUMIF(B:B,A421,L:L)</f>
        <v>0</v>
      </c>
      <c r="M421" s="147">
        <f>SUMIF(B:B,A421,M:M)</f>
        <v>367.16656799999998</v>
      </c>
      <c r="N421" s="145">
        <f>O421/J421</f>
        <v>1</v>
      </c>
      <c r="O421" s="147">
        <f>SUMIF(B:B,A421,O:O)</f>
        <v>367.16656799999998</v>
      </c>
      <c r="P421" s="148">
        <f>SUMIF(B:B,A421,P:P)</f>
        <v>734.33313599999997</v>
      </c>
    </row>
    <row r="422" spans="1:16" x14ac:dyDescent="0.25">
      <c r="A422" s="149" t="s">
        <v>154</v>
      </c>
      <c r="B422" s="5" t="s">
        <v>126</v>
      </c>
      <c r="C422" s="299" t="str">
        <f>_xlfn.XLOOKUP(B422,'Brand Managers'!A:A,'Brand Managers'!B:B)</f>
        <v>Jason Koo</v>
      </c>
      <c r="D422" s="42" t="str">
        <f>_xlfn.XLOOKUP(F422,'DATA - Segments'!C:C,'DATA - Segments'!D:D)</f>
        <v>THC</v>
      </c>
      <c r="E422" s="42" t="str">
        <f>_xlfn.XLOOKUP(F422,'DATA - Segments'!C:C,'DATA - Segments'!E:E)</f>
        <v>THC</v>
      </c>
      <c r="F422" s="203" t="str">
        <f t="shared" si="210"/>
        <v>LoDo|Lodo Brands</v>
      </c>
      <c r="G422" s="203" t="str">
        <f t="shared" si="199"/>
        <v>LoDo|Lodo Brands|THC|THC</v>
      </c>
      <c r="H422" s="150">
        <f>_xlfn.XLOOKUP(F422,'DATA - 2025 Review'!C:C,'DATA - 2025 Review'!I:I,"")</f>
        <v>272.352552</v>
      </c>
      <c r="I422" s="151">
        <f>_xlfn.XLOOKUP(F422,'DATA - 2025 Review'!C:C,'DATA - 2025 Review'!J:J)</f>
        <v>0</v>
      </c>
      <c r="J422" s="150">
        <f>_xlfn.XLOOKUP(F422,'2025 Finish (ACTUAL)'!$C:$C,'2025 Finish (ACTUAL)'!$D:$D)</f>
        <v>367.16656799999998</v>
      </c>
      <c r="K422" s="146"/>
      <c r="L422" s="152">
        <f t="shared" ref="L422" si="224">K422*J422</f>
        <v>0</v>
      </c>
      <c r="M422" s="152">
        <f>L422+J422</f>
        <v>367.16656799999998</v>
      </c>
      <c r="N422" s="146">
        <v>1</v>
      </c>
      <c r="O422" s="152">
        <f>N422*J422</f>
        <v>367.16656799999998</v>
      </c>
      <c r="P422" s="69">
        <f>O422+J422</f>
        <v>734.33313599999997</v>
      </c>
    </row>
    <row r="423" spans="1:16" x14ac:dyDescent="0.25">
      <c r="A423" s="143" t="s">
        <v>101</v>
      </c>
      <c r="B423" s="202"/>
      <c r="C423" s="202" t="str">
        <f>_xlfn.XLOOKUP(A423,'Brand Managers'!A:A,'Brand Managers'!B:B)</f>
        <v>Jason Koo</v>
      </c>
      <c r="D423" s="202"/>
      <c r="E423" s="202"/>
      <c r="F423" s="203" t="str">
        <f t="shared" si="210"/>
        <v>Licores Artesanales|</v>
      </c>
      <c r="G423" s="203" t="str">
        <f t="shared" si="199"/>
        <v>Licores Artesanales|||</v>
      </c>
      <c r="H423" s="144">
        <f>_xlfn.XLOOKUP(F423,'DATA - 2025 Review'!C:C,'DATA - 2025 Review'!I:I,"")</f>
        <v>8</v>
      </c>
      <c r="I423" s="145">
        <f>_xlfn.XLOOKUP(F423,'DATA - 2025 Review'!C:C,'DATA - 2025 Review'!J:J)</f>
        <v>0</v>
      </c>
      <c r="J423" s="144">
        <f>_xlfn.XLOOKUP(F423,'2025 Finish (ACTUAL)'!$C:$C,'2025 Finish (ACTUAL)'!$D:$D)</f>
        <v>9.5</v>
      </c>
      <c r="K423" s="145">
        <f>L423/J423</f>
        <v>0</v>
      </c>
      <c r="L423" s="147">
        <f>SUMIF(B:B,A423,L:L)</f>
        <v>0</v>
      </c>
      <c r="M423" s="147">
        <f>SUMIF(B:B,A423,M:M)</f>
        <v>9.5</v>
      </c>
      <c r="N423" s="145">
        <f>O423/J423</f>
        <v>4</v>
      </c>
      <c r="O423" s="147">
        <f>SUMIF(B:B,A423,O:O)</f>
        <v>38</v>
      </c>
      <c r="P423" s="148">
        <f>SUMIF(B:B,A423,P:P)</f>
        <v>47.5</v>
      </c>
    </row>
    <row r="424" spans="1:16" x14ac:dyDescent="0.25">
      <c r="A424" s="149" t="s">
        <v>210</v>
      </c>
      <c r="B424" s="5" t="s">
        <v>101</v>
      </c>
      <c r="C424" s="299" t="str">
        <f>_xlfn.XLOOKUP(B424,'Brand Managers'!A:A,'Brand Managers'!B:B)</f>
        <v>Jason Koo</v>
      </c>
      <c r="D424" s="42" t="str">
        <f>_xlfn.XLOOKUP(F424,'DATA - Segments'!C:C,'DATA - Segments'!D:D)</f>
        <v>Spirits</v>
      </c>
      <c r="E424" s="42" t="str">
        <f>_xlfn.XLOOKUP(F424,'DATA - Segments'!C:C,'DATA - Segments'!E:E)</f>
        <v>Spirits - Tequila</v>
      </c>
      <c r="F424" s="203" t="str">
        <f t="shared" si="210"/>
        <v>Desquite|Licores Artesanales</v>
      </c>
      <c r="G424" s="203" t="str">
        <f t="shared" si="199"/>
        <v>Desquite|Licores Artesanales|Spirits|Spirits - Tequila</v>
      </c>
      <c r="H424" s="150">
        <f>_xlfn.XLOOKUP(F424,'DATA - 2025 Review'!C:C,'DATA - 2025 Review'!I:I,"")</f>
        <v>8</v>
      </c>
      <c r="I424" s="151">
        <f>_xlfn.XLOOKUP(F424,'DATA - 2025 Review'!C:C,'DATA - 2025 Review'!J:J)</f>
        <v>0</v>
      </c>
      <c r="J424" s="150">
        <f>_xlfn.XLOOKUP(F424,'2025 Finish (ACTUAL)'!$C:$C,'2025 Finish (ACTUAL)'!$D:$D)</f>
        <v>9.5</v>
      </c>
      <c r="K424" s="146"/>
      <c r="L424" s="152">
        <f t="shared" ref="L424" si="225">K424*J424</f>
        <v>0</v>
      </c>
      <c r="M424" s="152">
        <f>L424+J424</f>
        <v>9.5</v>
      </c>
      <c r="N424" s="146">
        <v>4</v>
      </c>
      <c r="O424" s="152">
        <f>N424*J424</f>
        <v>38</v>
      </c>
      <c r="P424" s="69">
        <f>O424+J424</f>
        <v>47.5</v>
      </c>
    </row>
    <row r="425" spans="1:16" x14ac:dyDescent="0.25">
      <c r="A425" s="143" t="s">
        <v>418</v>
      </c>
      <c r="B425" s="202"/>
      <c r="C425" s="202" t="e">
        <f>_xlfn.XLOOKUP(A425,'Brand Managers'!A:A,'Brand Managers'!B:B)</f>
        <v>#N/A</v>
      </c>
      <c r="D425" s="202"/>
      <c r="E425" s="202"/>
      <c r="F425" s="203" t="str">
        <f t="shared" si="210"/>
        <v>Laird &amp; Company|</v>
      </c>
      <c r="G425" s="203" t="str">
        <f t="shared" si="199"/>
        <v>Laird &amp; Company|||</v>
      </c>
      <c r="H425" s="144">
        <f>_xlfn.XLOOKUP(F425,'DATA - 2025 Review'!C:C,'DATA - 2025 Review'!I:I,"")</f>
        <v>0</v>
      </c>
      <c r="I425" s="145">
        <f>_xlfn.XLOOKUP(F425,'DATA - 2025 Review'!C:C,'DATA - 2025 Review'!J:J)</f>
        <v>-1</v>
      </c>
      <c r="J425" s="144" t="e">
        <f>_xlfn.XLOOKUP(F425,'2025 Finish (ACTUAL)'!$C:$C,'2025 Finish (ACTUAL)'!$D:$D)</f>
        <v>#N/A</v>
      </c>
      <c r="K425" s="145" t="e">
        <f>L425/H425</f>
        <v>#DIV/0!</v>
      </c>
      <c r="L425" s="147">
        <f>SUMIF(B:B,A425,L:L)</f>
        <v>0</v>
      </c>
      <c r="M425" s="147">
        <f>SUMIF(B:B,A425,M:M)</f>
        <v>0</v>
      </c>
      <c r="N425" s="145" t="e">
        <f>O425/H425</f>
        <v>#DIV/0!</v>
      </c>
      <c r="O425" s="147">
        <f>SUMIF(B:B,A425,O:O)</f>
        <v>0</v>
      </c>
      <c r="P425" s="148">
        <f>SUMIF(B:B,A425,P:P)</f>
        <v>0</v>
      </c>
    </row>
    <row r="426" spans="1:16" x14ac:dyDescent="0.25">
      <c r="A426" s="153" t="s">
        <v>102</v>
      </c>
      <c r="B426" s="2" t="s">
        <v>418</v>
      </c>
      <c r="C426" s="299" t="e">
        <f>_xlfn.XLOOKUP(B426,'Brand Managers'!A:A,'Brand Managers'!B:B)</f>
        <v>#N/A</v>
      </c>
      <c r="D426" s="42" t="s">
        <v>510</v>
      </c>
      <c r="E426" s="42" t="s">
        <v>510</v>
      </c>
      <c r="F426" s="203" t="str">
        <f t="shared" si="210"/>
        <v>Five O'Clock|Laird &amp; Company</v>
      </c>
      <c r="G426" s="203" t="str">
        <f t="shared" si="199"/>
        <v>Five O'Clock|Laird &amp; Company|RTD|RTD</v>
      </c>
      <c r="H426" s="150">
        <f>_xlfn.XLOOKUP(F426,'DATA - 2025 Review'!C:C,'DATA - 2025 Review'!I:I,"")</f>
        <v>0</v>
      </c>
      <c r="I426" s="151">
        <f>_xlfn.XLOOKUP(F426,'DATA - 2025 Review'!C:C,'DATA - 2025 Review'!J:J)</f>
        <v>-1</v>
      </c>
      <c r="J426" s="150"/>
      <c r="K426" s="146"/>
      <c r="L426" s="152">
        <f t="shared" ref="L426" si="226">K426*J426</f>
        <v>0</v>
      </c>
      <c r="M426" s="152">
        <f>L426+J426</f>
        <v>0</v>
      </c>
      <c r="N426" s="146"/>
      <c r="O426" s="152">
        <f>N426*J426</f>
        <v>0</v>
      </c>
      <c r="P426" s="69">
        <f>O426+J426</f>
        <v>0</v>
      </c>
    </row>
    <row r="427" spans="1:16" x14ac:dyDescent="0.25">
      <c r="A427" s="143" t="s">
        <v>335</v>
      </c>
      <c r="B427" s="202"/>
      <c r="C427" s="202" t="str">
        <f>_xlfn.XLOOKUP(A427,'Brand Managers'!A:A,'Brand Managers'!B:B)</f>
        <v>Jason Koo</v>
      </c>
      <c r="D427" s="202"/>
      <c r="E427" s="202"/>
      <c r="F427" s="203" t="str">
        <f t="shared" si="210"/>
        <v>Jerzey Jungle LLC|</v>
      </c>
      <c r="G427" s="203" t="str">
        <f t="shared" si="199"/>
        <v>Jerzey Jungle LLC|||</v>
      </c>
      <c r="H427" s="144">
        <f>_xlfn.XLOOKUP(F427,'DATA - 2025 Review'!C:C,'DATA - 2025 Review'!I:I,"")</f>
        <v>27.560092000000001</v>
      </c>
      <c r="I427" s="145">
        <f>_xlfn.XLOOKUP(F427,'DATA - 2025 Review'!C:C,'DATA - 2025 Review'!J:J)</f>
        <v>0</v>
      </c>
      <c r="J427" s="144">
        <f>_xlfn.XLOOKUP(F427,'2025 Finish (ACTUAL)'!$C:$C,'2025 Finish (ACTUAL)'!$D:$D)</f>
        <v>27.560092000000001</v>
      </c>
      <c r="K427" s="145">
        <f>L427/J427</f>
        <v>0</v>
      </c>
      <c r="L427" s="147">
        <f>SUMIF(B:B,A427,L:L)</f>
        <v>0</v>
      </c>
      <c r="M427" s="147">
        <f>SUMIF(B:B,A427,M:M)</f>
        <v>27.560092000000001</v>
      </c>
      <c r="N427" s="145">
        <f>O427/J427</f>
        <v>1</v>
      </c>
      <c r="O427" s="147">
        <f>SUMIF(B:B,A427,O:O)</f>
        <v>27.560092000000001</v>
      </c>
      <c r="P427" s="148">
        <f>SUMIF(B:B,A427,P:P)</f>
        <v>55.120184000000002</v>
      </c>
    </row>
    <row r="428" spans="1:16" x14ac:dyDescent="0.25">
      <c r="A428" s="149" t="s">
        <v>234</v>
      </c>
      <c r="B428" s="5" t="s">
        <v>335</v>
      </c>
      <c r="C428" s="299" t="str">
        <f>_xlfn.XLOOKUP(B428,'Brand Managers'!A:A,'Brand Managers'!B:B)</f>
        <v>Jason Koo</v>
      </c>
      <c r="D428" s="42" t="str">
        <f>_xlfn.XLOOKUP(F428,'DATA - Segments'!C:C,'DATA - Segments'!D:D)</f>
        <v>Spirits</v>
      </c>
      <c r="E428" s="42" t="str">
        <f>_xlfn.XLOOKUP(F428,'DATA - Segments'!C:C,'DATA - Segments'!E:E)</f>
        <v>Spirits - Other</v>
      </c>
      <c r="F428" s="203" t="str">
        <f t="shared" si="210"/>
        <v>Jerzey Jungle|Jerzey Jungle LLC</v>
      </c>
      <c r="G428" s="203" t="str">
        <f t="shared" si="199"/>
        <v>Jerzey Jungle|Jerzey Jungle LLC|Spirits|Spirits - Other</v>
      </c>
      <c r="H428" s="150">
        <f>_xlfn.XLOOKUP(F428,'DATA - 2025 Review'!C:C,'DATA - 2025 Review'!I:I,"")</f>
        <v>27.560092000000001</v>
      </c>
      <c r="I428" s="151">
        <f>_xlfn.XLOOKUP(F428,'DATA - 2025 Review'!C:C,'DATA - 2025 Review'!J:J)</f>
        <v>0</v>
      </c>
      <c r="J428" s="150">
        <f>_xlfn.XLOOKUP(F428,'2025 Finish (ACTUAL)'!$C:$C,'2025 Finish (ACTUAL)'!$D:$D)</f>
        <v>27.560092000000001</v>
      </c>
      <c r="K428" s="146"/>
      <c r="L428" s="152">
        <f t="shared" ref="L428" si="227">K428*J428</f>
        <v>0</v>
      </c>
      <c r="M428" s="152">
        <f>L428+J428</f>
        <v>27.560092000000001</v>
      </c>
      <c r="N428" s="146">
        <v>1</v>
      </c>
      <c r="O428" s="152">
        <f>N428*J428</f>
        <v>27.560092000000001</v>
      </c>
      <c r="P428" s="69">
        <f>O428+J428</f>
        <v>55.120184000000002</v>
      </c>
    </row>
    <row r="429" spans="1:16" x14ac:dyDescent="0.25">
      <c r="A429" s="143" t="s">
        <v>302</v>
      </c>
      <c r="B429" s="202"/>
      <c r="C429" s="202" t="e">
        <f>_xlfn.XLOOKUP(A429,'Brand Managers'!A:A,'Brand Managers'!B:B)</f>
        <v>#N/A</v>
      </c>
      <c r="D429" s="202"/>
      <c r="E429" s="202"/>
      <c r="F429" s="203" t="str">
        <f t="shared" si="210"/>
        <v>Iron Horse|</v>
      </c>
      <c r="G429" s="203" t="str">
        <f t="shared" si="199"/>
        <v>Iron Horse|||</v>
      </c>
      <c r="H429" s="144">
        <f>_xlfn.XLOOKUP(F429,'DATA - 2025 Review'!C:C,'DATA - 2025 Review'!I:I,"")</f>
        <v>0</v>
      </c>
      <c r="I429" s="145">
        <f>_xlfn.XLOOKUP(F429,'DATA - 2025 Review'!C:C,'DATA - 2025 Review'!J:J)</f>
        <v>-1</v>
      </c>
      <c r="J429" s="144" t="e">
        <f>_xlfn.XLOOKUP(F429,'2025 Finish (ACTUAL)'!$C:$C,'2025 Finish (ACTUAL)'!$D:$D)</f>
        <v>#N/A</v>
      </c>
      <c r="K429" s="145" t="e">
        <f>L429/H429</f>
        <v>#DIV/0!</v>
      </c>
      <c r="L429" s="147">
        <f>SUMIF(B:B,A429,L:L)</f>
        <v>0</v>
      </c>
      <c r="M429" s="147">
        <f>SUMIF(B:B,A429,M:M)</f>
        <v>0</v>
      </c>
      <c r="N429" s="145" t="e">
        <f>O429/H429</f>
        <v>#DIV/0!</v>
      </c>
      <c r="O429" s="147">
        <f>SUMIF(B:B,A429,O:O)</f>
        <v>0</v>
      </c>
      <c r="P429" s="148">
        <f>SUMIF(B:B,A429,P:P)</f>
        <v>0</v>
      </c>
    </row>
    <row r="430" spans="1:16" x14ac:dyDescent="0.25">
      <c r="A430" s="153" t="s">
        <v>211</v>
      </c>
      <c r="B430" s="2" t="s">
        <v>302</v>
      </c>
      <c r="C430" s="299" t="e">
        <f>_xlfn.XLOOKUP(B430,'Brand Managers'!A:A,'Brand Managers'!B:B)</f>
        <v>#N/A</v>
      </c>
      <c r="D430" s="42" t="s">
        <v>523</v>
      </c>
      <c r="E430" s="42" t="s">
        <v>537</v>
      </c>
      <c r="F430" s="203" t="str">
        <f t="shared" si="210"/>
        <v>Sabrasol|Iron Horse</v>
      </c>
      <c r="G430" s="203" t="str">
        <f t="shared" si="199"/>
        <v>Sabrasol|Iron Horse|Wine|Wine - Other</v>
      </c>
      <c r="H430" s="150">
        <f>_xlfn.XLOOKUP(F430,'DATA - 2025 Review'!C:C,'DATA - 2025 Review'!I:I,"")</f>
        <v>0</v>
      </c>
      <c r="I430" s="151">
        <f>_xlfn.XLOOKUP(F430,'DATA - 2025 Review'!C:C,'DATA - 2025 Review'!J:J)</f>
        <v>-1</v>
      </c>
      <c r="J430" s="150"/>
      <c r="K430" s="146"/>
      <c r="L430" s="152">
        <f t="shared" ref="L430" si="228">K430*J430</f>
        <v>0</v>
      </c>
      <c r="M430" s="152">
        <f>L430+J430</f>
        <v>0</v>
      </c>
      <c r="N430" s="146"/>
      <c r="O430" s="152">
        <f>N430*J430</f>
        <v>0</v>
      </c>
      <c r="P430" s="69">
        <f>O430+J430</f>
        <v>0</v>
      </c>
    </row>
    <row r="431" spans="1:16" x14ac:dyDescent="0.25">
      <c r="A431" s="143" t="s">
        <v>212</v>
      </c>
      <c r="B431" s="202"/>
      <c r="C431" s="202" t="str">
        <f>_xlfn.XLOOKUP(A431,'Brand Managers'!A:A,'Brand Managers'!B:B)</f>
        <v>Chris Politano</v>
      </c>
      <c r="D431" s="202"/>
      <c r="E431" s="202"/>
      <c r="F431" s="203" t="str">
        <f t="shared" si="210"/>
        <v>Hornell Brewing Company|</v>
      </c>
      <c r="G431" s="203" t="str">
        <f t="shared" si="199"/>
        <v>Hornell Brewing Company|||</v>
      </c>
      <c r="H431" s="144">
        <f>_xlfn.XLOOKUP(F431,'DATA - 2025 Review'!C:C,'DATA - 2025 Review'!I:I,"")</f>
        <v>2014</v>
      </c>
      <c r="I431" s="145">
        <f>_xlfn.XLOOKUP(F431,'DATA - 2025 Review'!C:C,'DATA - 2025 Review'!J:J)</f>
        <v>0</v>
      </c>
      <c r="J431" s="144">
        <f>_xlfn.XLOOKUP(F431,'2025 Finish (ACTUAL)'!$C:$C,'2025 Finish (ACTUAL)'!$D:$D)</f>
        <v>2057</v>
      </c>
      <c r="K431" s="145">
        <f>L431/J431</f>
        <v>0</v>
      </c>
      <c r="L431" s="147">
        <f>SUMIF(B:B,A431,L:L)</f>
        <v>0</v>
      </c>
      <c r="M431" s="147">
        <f>SUMIF(B:B,A431,M:M)</f>
        <v>2057</v>
      </c>
      <c r="N431" s="145">
        <f>O431/J431</f>
        <v>0</v>
      </c>
      <c r="O431" s="147">
        <f>SUMIF(B:B,A431,O:O)</f>
        <v>0</v>
      </c>
      <c r="P431" s="148">
        <f>SUMIF(B:B,A431,P:P)</f>
        <v>2057</v>
      </c>
    </row>
    <row r="432" spans="1:16" x14ac:dyDescent="0.25">
      <c r="A432" s="149" t="s">
        <v>213</v>
      </c>
      <c r="B432" s="5" t="s">
        <v>212</v>
      </c>
      <c r="C432" s="299" t="str">
        <f>_xlfn.XLOOKUP(B432,'Brand Managers'!A:A,'Brand Managers'!B:B)</f>
        <v>Chris Politano</v>
      </c>
      <c r="D432" s="42" t="str">
        <f>_xlfn.XLOOKUP(F432,'DATA - Segments'!C:C,'DATA - Segments'!D:D)</f>
        <v>RTD</v>
      </c>
      <c r="E432" s="42" t="str">
        <f>_xlfn.XLOOKUP(F432,'DATA - Segments'!C:C,'DATA - Segments'!E:E)</f>
        <v>RTD</v>
      </c>
      <c r="F432" s="203" t="str">
        <f t="shared" si="210"/>
        <v>Arizona Hard|Hornell Brewing Company</v>
      </c>
      <c r="G432" s="203" t="str">
        <f t="shared" si="199"/>
        <v>Arizona Hard|Hornell Brewing Company|RTD|RTD</v>
      </c>
      <c r="H432" s="150">
        <f>_xlfn.XLOOKUP(F432,'DATA - 2025 Review'!C:C,'DATA - 2025 Review'!I:I,"")</f>
        <v>2014</v>
      </c>
      <c r="I432" s="151">
        <f>_xlfn.XLOOKUP(F432,'DATA - 2025 Review'!C:C,'DATA - 2025 Review'!J:J)</f>
        <v>0</v>
      </c>
      <c r="J432" s="150">
        <f>_xlfn.XLOOKUP(F432,'2025 Finish (ACTUAL)'!$C:$C,'2025 Finish (ACTUAL)'!$D:$D)</f>
        <v>2057</v>
      </c>
      <c r="K432" s="146">
        <v>0</v>
      </c>
      <c r="L432" s="152">
        <f t="shared" ref="L432" si="229">K432*J432</f>
        <v>0</v>
      </c>
      <c r="M432" s="152">
        <f>L432+J432</f>
        <v>2057</v>
      </c>
      <c r="N432" s="146">
        <v>0</v>
      </c>
      <c r="O432" s="152">
        <f>N432*J432</f>
        <v>0</v>
      </c>
      <c r="P432" s="69">
        <f>O432+J432</f>
        <v>2057</v>
      </c>
    </row>
    <row r="433" spans="1:16" x14ac:dyDescent="0.25">
      <c r="A433" s="143" t="s">
        <v>280</v>
      </c>
      <c r="B433" s="202"/>
      <c r="C433" s="202" t="e">
        <f>_xlfn.XLOOKUP(A433,'Brand Managers'!A:A,'Brand Managers'!B:B)</f>
        <v>#N/A</v>
      </c>
      <c r="D433" s="202"/>
      <c r="E433" s="202"/>
      <c r="F433" s="203" t="str">
        <f t="shared" si="210"/>
        <v>Heavy Seas|</v>
      </c>
      <c r="G433" s="203" t="str">
        <f t="shared" si="199"/>
        <v>Heavy Seas|||</v>
      </c>
      <c r="H433" s="144">
        <f>_xlfn.XLOOKUP(F433,'DATA - 2025 Review'!C:C,'DATA - 2025 Review'!I:I,"")</f>
        <v>0</v>
      </c>
      <c r="I433" s="145">
        <f>_xlfn.XLOOKUP(F433,'DATA - 2025 Review'!C:C,'DATA - 2025 Review'!J:J)</f>
        <v>-1</v>
      </c>
      <c r="J433" s="144" t="e">
        <f>_xlfn.XLOOKUP(F433,'2025 Finish (ACTUAL)'!$C:$C,'2025 Finish (ACTUAL)'!$D:$D)</f>
        <v>#N/A</v>
      </c>
      <c r="K433" s="145" t="e">
        <f>L433/H433</f>
        <v>#DIV/0!</v>
      </c>
      <c r="L433" s="147">
        <f>SUMIF(B:B,A433,L:L)</f>
        <v>0</v>
      </c>
      <c r="M433" s="147">
        <f>SUMIF(B:B,A433,M:M)</f>
        <v>0</v>
      </c>
      <c r="N433" s="145" t="e">
        <f>O433/H433</f>
        <v>#DIV/0!</v>
      </c>
      <c r="O433" s="147">
        <f>SUMIF(B:B,A433,O:O)</f>
        <v>0</v>
      </c>
      <c r="P433" s="148">
        <f>SUMIF(B:B,A433,P:P)</f>
        <v>0</v>
      </c>
    </row>
    <row r="434" spans="1:16" x14ac:dyDescent="0.25">
      <c r="A434" s="153" t="s">
        <v>280</v>
      </c>
      <c r="B434" s="2" t="s">
        <v>280</v>
      </c>
      <c r="C434" s="299" t="e">
        <f>_xlfn.XLOOKUP(B434,'Brand Managers'!A:A,'Brand Managers'!B:B)</f>
        <v>#N/A</v>
      </c>
      <c r="D434" s="42"/>
      <c r="E434" s="42"/>
      <c r="F434" s="203" t="str">
        <f t="shared" si="210"/>
        <v>Heavy Seas|Heavy Seas</v>
      </c>
      <c r="G434" s="203" t="str">
        <f t="shared" si="199"/>
        <v>Heavy Seas|Heavy Seas||</v>
      </c>
      <c r="H434" s="150">
        <f>_xlfn.XLOOKUP(F434,'DATA - 2025 Review'!C:C,'DATA - 2025 Review'!I:I,"")</f>
        <v>0</v>
      </c>
      <c r="I434" s="151">
        <f>_xlfn.XLOOKUP(F434,'DATA - 2025 Review'!C:C,'DATA - 2025 Review'!J:J)</f>
        <v>-1</v>
      </c>
      <c r="J434" s="150"/>
      <c r="K434" s="146"/>
      <c r="L434" s="152">
        <f t="shared" ref="L434" si="230">K434*J434</f>
        <v>0</v>
      </c>
      <c r="M434" s="152">
        <f>L434+J434</f>
        <v>0</v>
      </c>
      <c r="N434" s="146"/>
      <c r="O434" s="152">
        <f>N434*J434</f>
        <v>0</v>
      </c>
      <c r="P434" s="69">
        <f>O434+J434</f>
        <v>0</v>
      </c>
    </row>
    <row r="435" spans="1:16" x14ac:dyDescent="0.25">
      <c r="A435" s="143" t="s">
        <v>281</v>
      </c>
      <c r="B435" s="202"/>
      <c r="C435" s="202" t="e">
        <f>_xlfn.XLOOKUP(A435,'Brand Managers'!A:A,'Brand Managers'!B:B)</f>
        <v>#N/A</v>
      </c>
      <c r="D435" s="202"/>
      <c r="E435" s="202"/>
      <c r="F435" s="203" t="str">
        <f t="shared" si="210"/>
        <v>Good Supply|</v>
      </c>
      <c r="G435" s="203" t="str">
        <f t="shared" si="199"/>
        <v>Good Supply|||</v>
      </c>
      <c r="H435" s="144">
        <f>_xlfn.XLOOKUP(F435,'DATA - 2025 Review'!C:C,'DATA - 2025 Review'!I:I,"")</f>
        <v>0</v>
      </c>
      <c r="I435" s="145">
        <f>_xlfn.XLOOKUP(F435,'DATA - 2025 Review'!C:C,'DATA - 2025 Review'!J:J)</f>
        <v>-1</v>
      </c>
      <c r="J435" s="144" t="e">
        <f>_xlfn.XLOOKUP(F435,'2025 Finish (ACTUAL)'!$C:$C,'2025 Finish (ACTUAL)'!$D:$D)</f>
        <v>#N/A</v>
      </c>
      <c r="K435" s="145" t="e">
        <f>L435/H435</f>
        <v>#DIV/0!</v>
      </c>
      <c r="L435" s="147">
        <f>SUMIF(B:B,A435,L:L)</f>
        <v>0</v>
      </c>
      <c r="M435" s="147">
        <f>SUMIF(B:B,A435,M:M)</f>
        <v>0</v>
      </c>
      <c r="N435" s="145" t="e">
        <f>O435/H435</f>
        <v>#DIV/0!</v>
      </c>
      <c r="O435" s="147">
        <f>SUMIF(B:B,A435,O:O)</f>
        <v>0</v>
      </c>
      <c r="P435" s="148">
        <f>SUMIF(B:B,A435,P:P)</f>
        <v>0</v>
      </c>
    </row>
    <row r="436" spans="1:16" x14ac:dyDescent="0.25">
      <c r="A436" s="153" t="s">
        <v>281</v>
      </c>
      <c r="B436" s="2" t="s">
        <v>281</v>
      </c>
      <c r="C436" s="299" t="e">
        <f>_xlfn.XLOOKUP(B436,'Brand Managers'!A:A,'Brand Managers'!B:B)</f>
        <v>#N/A</v>
      </c>
      <c r="D436" s="42" t="s">
        <v>512</v>
      </c>
      <c r="E436" s="42" t="s">
        <v>511</v>
      </c>
      <c r="F436" s="203" t="str">
        <f t="shared" si="210"/>
        <v>Good Supply|Good Supply</v>
      </c>
      <c r="G436" s="203" t="str">
        <f t="shared" si="199"/>
        <v>Good Supply|Good Supply|Beer|Beer - Craft</v>
      </c>
      <c r="H436" s="150">
        <f>_xlfn.XLOOKUP(F436,'DATA - 2025 Review'!C:C,'DATA - 2025 Review'!I:I,"")</f>
        <v>0</v>
      </c>
      <c r="I436" s="151">
        <f>_xlfn.XLOOKUP(F436,'DATA - 2025 Review'!C:C,'DATA - 2025 Review'!J:J)</f>
        <v>-1</v>
      </c>
      <c r="J436" s="150"/>
      <c r="K436" s="146"/>
      <c r="L436" s="152">
        <f t="shared" ref="L436" si="231">K436*J436</f>
        <v>0</v>
      </c>
      <c r="M436" s="152">
        <f>L436+J436</f>
        <v>0</v>
      </c>
      <c r="N436" s="146"/>
      <c r="O436" s="152">
        <f>N436*J436</f>
        <v>0</v>
      </c>
      <c r="P436" s="69">
        <f>O436+J436</f>
        <v>0</v>
      </c>
    </row>
    <row r="437" spans="1:16" x14ac:dyDescent="0.25">
      <c r="A437" s="143" t="s">
        <v>83</v>
      </c>
      <c r="B437" s="202"/>
      <c r="C437" s="202" t="str">
        <f>_xlfn.XLOOKUP(A437,'Brand Managers'!A:A,'Brand Managers'!B:B)</f>
        <v/>
      </c>
      <c r="D437" s="202"/>
      <c r="E437" s="202"/>
      <c r="F437" s="203" t="str">
        <f t="shared" si="210"/>
        <v>Gigli|</v>
      </c>
      <c r="G437" s="203" t="str">
        <f t="shared" si="199"/>
        <v>Gigli|||</v>
      </c>
      <c r="H437" s="144">
        <f>_xlfn.XLOOKUP(F437,'DATA - 2025 Review'!C:C,'DATA - 2025 Review'!I:I,"")</f>
        <v>123</v>
      </c>
      <c r="I437" s="145">
        <f>_xlfn.XLOOKUP(F437,'DATA - 2025 Review'!C:C,'DATA - 2025 Review'!J:J)</f>
        <v>0</v>
      </c>
      <c r="J437" s="144">
        <f>_xlfn.XLOOKUP(F437,'2025 Finish (ACTUAL)'!$C:$C,'2025 Finish (ACTUAL)'!$D:$D)</f>
        <v>123</v>
      </c>
      <c r="K437" s="145">
        <f>L437/J437</f>
        <v>0</v>
      </c>
      <c r="L437" s="147">
        <f>SUMIF(B:B,A437,L:L)</f>
        <v>0</v>
      </c>
      <c r="M437" s="147">
        <f>SUMIF(B:B,A437,M:M)</f>
        <v>123</v>
      </c>
      <c r="N437" s="145">
        <f>O437/J437</f>
        <v>-1</v>
      </c>
      <c r="O437" s="147">
        <f>SUMIF(B:B,A437,O:O)</f>
        <v>-123</v>
      </c>
      <c r="P437" s="148">
        <f>SUMIF(B:B,A437,P:P)</f>
        <v>0</v>
      </c>
    </row>
    <row r="438" spans="1:16" x14ac:dyDescent="0.25">
      <c r="A438" s="149" t="s">
        <v>83</v>
      </c>
      <c r="B438" s="5" t="s">
        <v>83</v>
      </c>
      <c r="C438" s="299" t="str">
        <f>_xlfn.XLOOKUP(B438,'Brand Managers'!A:A,'Brand Managers'!B:B)</f>
        <v/>
      </c>
      <c r="D438" s="42" t="str">
        <f>_xlfn.XLOOKUP(F438,'DATA - Segments'!C:C,'DATA - Segments'!D:D)</f>
        <v>THC</v>
      </c>
      <c r="E438" s="42" t="str">
        <f>_xlfn.XLOOKUP(F438,'DATA - Segments'!C:C,'DATA - Segments'!E:E)</f>
        <v>THC</v>
      </c>
      <c r="F438" s="203" t="str">
        <f t="shared" si="210"/>
        <v>Gigli|Gigli</v>
      </c>
      <c r="G438" s="203" t="str">
        <f t="shared" si="199"/>
        <v>Gigli|Gigli|THC|THC</v>
      </c>
      <c r="H438" s="150">
        <f>_xlfn.XLOOKUP(F438,'DATA - 2025 Review'!C:C,'DATA - 2025 Review'!I:I,"")</f>
        <v>123</v>
      </c>
      <c r="I438" s="151">
        <f>_xlfn.XLOOKUP(F438,'DATA - 2025 Review'!C:C,'DATA - 2025 Review'!J:J)</f>
        <v>0</v>
      </c>
      <c r="J438" s="150">
        <f>_xlfn.XLOOKUP(F438,'2025 Finish (ACTUAL)'!$C:$C,'2025 Finish (ACTUAL)'!$D:$D)</f>
        <v>123</v>
      </c>
      <c r="K438" s="146"/>
      <c r="L438" s="152">
        <f t="shared" ref="L438" si="232">K438*J438</f>
        <v>0</v>
      </c>
      <c r="M438" s="152">
        <f>L438+J438</f>
        <v>123</v>
      </c>
      <c r="N438" s="146">
        <v>-1</v>
      </c>
      <c r="O438" s="152">
        <f>N438*J438</f>
        <v>-123</v>
      </c>
      <c r="P438" s="69">
        <f>O438+J438</f>
        <v>0</v>
      </c>
    </row>
    <row r="439" spans="1:16" x14ac:dyDescent="0.25">
      <c r="A439" s="143" t="s">
        <v>336</v>
      </c>
      <c r="B439" s="202"/>
      <c r="C439" s="202" t="e">
        <f>_xlfn.XLOOKUP(A439,'Brand Managers'!A:A,'Brand Managers'!B:B)</f>
        <v>#N/A</v>
      </c>
      <c r="D439" s="202"/>
      <c r="E439" s="202"/>
      <c r="F439" s="203" t="str">
        <f t="shared" si="210"/>
        <v>Funky Buddha|</v>
      </c>
      <c r="G439" s="203" t="str">
        <f t="shared" si="199"/>
        <v>Funky Buddha|||</v>
      </c>
      <c r="H439" s="144">
        <f>_xlfn.XLOOKUP(F439,'DATA - 2025 Review'!C:C,'DATA - 2025 Review'!I:I,"")</f>
        <v>0</v>
      </c>
      <c r="I439" s="145">
        <f>_xlfn.XLOOKUP(F439,'DATA - 2025 Review'!C:C,'DATA - 2025 Review'!J:J)</f>
        <v>-1</v>
      </c>
      <c r="J439" s="144" t="e">
        <f>_xlfn.XLOOKUP(F439,'2025 Finish (ACTUAL)'!$C:$C,'2025 Finish (ACTUAL)'!$D:$D)</f>
        <v>#N/A</v>
      </c>
      <c r="K439" s="145" t="e">
        <f>L439/H439</f>
        <v>#DIV/0!</v>
      </c>
      <c r="L439" s="147">
        <f>SUMIF(B:B,A439,L:L)</f>
        <v>0</v>
      </c>
      <c r="M439" s="147">
        <f>SUMIF(B:B,A439,M:M)</f>
        <v>0</v>
      </c>
      <c r="N439" s="145" t="e">
        <f>O439/H439</f>
        <v>#DIV/0!</v>
      </c>
      <c r="O439" s="147">
        <f>SUMIF(B:B,A439,O:O)</f>
        <v>0</v>
      </c>
      <c r="P439" s="148">
        <f>SUMIF(B:B,A439,P:P)</f>
        <v>0</v>
      </c>
    </row>
    <row r="440" spans="1:16" x14ac:dyDescent="0.25">
      <c r="A440" s="153" t="s">
        <v>336</v>
      </c>
      <c r="B440" s="2" t="s">
        <v>336</v>
      </c>
      <c r="C440" s="299" t="e">
        <f>_xlfn.XLOOKUP(B440,'Brand Managers'!A:A,'Brand Managers'!B:B)</f>
        <v>#N/A</v>
      </c>
      <c r="D440" s="42" t="s">
        <v>512</v>
      </c>
      <c r="E440" s="42" t="s">
        <v>511</v>
      </c>
      <c r="F440" s="203" t="str">
        <f t="shared" si="210"/>
        <v>Funky Buddha|Funky Buddha</v>
      </c>
      <c r="G440" s="203" t="str">
        <f t="shared" si="199"/>
        <v>Funky Buddha|Funky Buddha|Beer|Beer - Craft</v>
      </c>
      <c r="H440" s="150">
        <f>_xlfn.XLOOKUP(F440,'DATA - 2025 Review'!C:C,'DATA - 2025 Review'!I:I,"")</f>
        <v>0</v>
      </c>
      <c r="I440" s="151">
        <f>_xlfn.XLOOKUP(F440,'DATA - 2025 Review'!C:C,'DATA - 2025 Review'!J:J)</f>
        <v>-1</v>
      </c>
      <c r="J440" s="150"/>
      <c r="K440" s="146"/>
      <c r="L440" s="152">
        <f t="shared" ref="L440" si="233">K440*J440</f>
        <v>0</v>
      </c>
      <c r="M440" s="152">
        <f>L440+J440</f>
        <v>0</v>
      </c>
      <c r="N440" s="146"/>
      <c r="O440" s="152">
        <f>N440*J440</f>
        <v>0</v>
      </c>
      <c r="P440" s="69">
        <f>O440+J440</f>
        <v>0</v>
      </c>
    </row>
    <row r="441" spans="1:16" x14ac:dyDescent="0.25">
      <c r="A441" s="143" t="s">
        <v>303</v>
      </c>
      <c r="B441" s="202"/>
      <c r="C441" s="202" t="str">
        <f>_xlfn.XLOOKUP(A441,'Brand Managers'!A:A,'Brand Managers'!B:B)</f>
        <v/>
      </c>
      <c r="D441" s="202"/>
      <c r="E441" s="202"/>
      <c r="F441" s="203" t="str">
        <f t="shared" si="210"/>
        <v>Florida Caribbean Distillers LLC|</v>
      </c>
      <c r="G441" s="203" t="str">
        <f t="shared" si="199"/>
        <v>Florida Caribbean Distillers LLC|||</v>
      </c>
      <c r="H441" s="144">
        <f>_xlfn.XLOOKUP(F441,'DATA - 2025 Review'!C:C,'DATA - 2025 Review'!I:I,"")</f>
        <v>0</v>
      </c>
      <c r="I441" s="145">
        <f>_xlfn.XLOOKUP(F441,'DATA - 2025 Review'!C:C,'DATA - 2025 Review'!J:J)</f>
        <v>0</v>
      </c>
      <c r="J441" s="144">
        <f>_xlfn.XLOOKUP(F441,'2025 Finish (ACTUAL)'!$C:$C,'2025 Finish (ACTUAL)'!$D:$D)</f>
        <v>0</v>
      </c>
      <c r="K441" s="145" t="e">
        <f>L441/H441</f>
        <v>#DIV/0!</v>
      </c>
      <c r="L441" s="147">
        <f>SUMIF(B:B,A441,L:L)</f>
        <v>0</v>
      </c>
      <c r="M441" s="147">
        <f>SUMIF(B:B,A441,M:M)</f>
        <v>0</v>
      </c>
      <c r="N441" s="145" t="e">
        <f>O441/H441</f>
        <v>#DIV/0!</v>
      </c>
      <c r="O441" s="147">
        <f>SUMIF(B:B,A441,O:O)</f>
        <v>0</v>
      </c>
      <c r="P441" s="148">
        <f>SUMIF(B:B,A441,P:P)</f>
        <v>0</v>
      </c>
    </row>
    <row r="442" spans="1:16" x14ac:dyDescent="0.25">
      <c r="A442" s="153" t="s">
        <v>257</v>
      </c>
      <c r="B442" s="5" t="s">
        <v>303</v>
      </c>
      <c r="C442" s="299" t="str">
        <f>_xlfn.XLOOKUP(B442,'Brand Managers'!A:A,'Brand Managers'!B:B)</f>
        <v/>
      </c>
      <c r="D442" s="42" t="str">
        <f>_xlfn.XLOOKUP(F442,'DATA - Segments'!C:C,'DATA - Segments'!D:D)</f>
        <v>RTD</v>
      </c>
      <c r="E442" s="42" t="str">
        <f>_xlfn.XLOOKUP(F442,'DATA - Segments'!C:C,'DATA - Segments'!E:E)</f>
        <v>RTD</v>
      </c>
      <c r="F442" s="203" t="str">
        <f t="shared" si="210"/>
        <v>Capriccio|Florida Caribbean Distillers LLC</v>
      </c>
      <c r="G442" s="203" t="str">
        <f t="shared" si="199"/>
        <v>Capriccio|Florida Caribbean Distillers LLC|RTD|RTD</v>
      </c>
      <c r="H442" s="150">
        <f>_xlfn.XLOOKUP(F442,'DATA - 2025 Review'!C:C,'DATA - 2025 Review'!I:I,"")</f>
        <v>0</v>
      </c>
      <c r="I442" s="151">
        <f>_xlfn.XLOOKUP(F442,'DATA - 2025 Review'!C:C,'DATA - 2025 Review'!J:J)</f>
        <v>0</v>
      </c>
      <c r="J442" s="150">
        <f>_xlfn.XLOOKUP(F442,'2025 Finish (ACTUAL)'!$C:$C,'2025 Finish (ACTUAL)'!$D:$D)</f>
        <v>0</v>
      </c>
      <c r="K442" s="146"/>
      <c r="L442" s="152">
        <f t="shared" ref="L442" si="234">K442*J442</f>
        <v>0</v>
      </c>
      <c r="M442" s="152">
        <f>L442+J442</f>
        <v>0</v>
      </c>
      <c r="N442" s="146"/>
      <c r="O442" s="152">
        <f>N442*J442</f>
        <v>0</v>
      </c>
      <c r="P442" s="69">
        <f>O442+J442</f>
        <v>0</v>
      </c>
    </row>
    <row r="443" spans="1:16" x14ac:dyDescent="0.25">
      <c r="A443" s="143" t="s">
        <v>26</v>
      </c>
      <c r="B443" s="202"/>
      <c r="C443" s="202" t="e">
        <f>_xlfn.XLOOKUP(A443,'Brand Managers'!A:A,'Brand Managers'!B:B)</f>
        <v>#N/A</v>
      </c>
      <c r="D443" s="202"/>
      <c r="E443" s="202"/>
      <c r="F443" s="203" t="str">
        <f t="shared" si="210"/>
        <v>Flagship Brewery|</v>
      </c>
      <c r="G443" s="203" t="str">
        <f t="shared" si="199"/>
        <v>Flagship Brewery|||</v>
      </c>
      <c r="H443" s="144">
        <f>_xlfn.XLOOKUP(F443,'DATA - 2025 Review'!C:C,'DATA - 2025 Review'!I:I,"")</f>
        <v>0</v>
      </c>
      <c r="I443" s="145">
        <f>_xlfn.XLOOKUP(F443,'DATA - 2025 Review'!C:C,'DATA - 2025 Review'!J:J)</f>
        <v>-1</v>
      </c>
      <c r="J443" s="144" t="e">
        <f>_xlfn.XLOOKUP(F443,'2025 Finish (ACTUAL)'!$C:$C,'2025 Finish (ACTUAL)'!$D:$D)</f>
        <v>#N/A</v>
      </c>
      <c r="K443" s="145" t="e">
        <f>L443/H443</f>
        <v>#DIV/0!</v>
      </c>
      <c r="L443" s="147">
        <f>SUMIF(B:B,A443,L:L)</f>
        <v>0</v>
      </c>
      <c r="M443" s="147">
        <f>SUMIF(B:B,A443,M:M)</f>
        <v>0</v>
      </c>
      <c r="N443" s="145" t="e">
        <f>O443/H443</f>
        <v>#DIV/0!</v>
      </c>
      <c r="O443" s="147">
        <f>SUMIF(B:B,A443,O:O)</f>
        <v>0</v>
      </c>
      <c r="P443" s="148">
        <f>SUMIF(B:B,A443,P:P)</f>
        <v>0</v>
      </c>
    </row>
    <row r="444" spans="1:16" x14ac:dyDescent="0.25">
      <c r="A444" s="156" t="s">
        <v>127</v>
      </c>
      <c r="B444" s="283" t="s">
        <v>26</v>
      </c>
      <c r="C444" s="283"/>
      <c r="D444" s="42"/>
      <c r="E444" s="42"/>
      <c r="F444" s="203" t="str">
        <f t="shared" si="210"/>
        <v>Flagship|Flagship Brewery</v>
      </c>
      <c r="G444" s="203" t="str">
        <f t="shared" si="199"/>
        <v>Flagship|Flagship Brewery||</v>
      </c>
      <c r="H444" s="273">
        <f>_xlfn.XLOOKUP(F444,'DATA - 2025 Review'!C:C,'DATA - 2025 Review'!I:I,"")</f>
        <v>0</v>
      </c>
      <c r="I444" s="281">
        <f>_xlfn.XLOOKUP(F444,'DATA - 2025 Review'!C:C,'DATA - 2025 Review'!J:J)</f>
        <v>-1</v>
      </c>
      <c r="J444" s="273"/>
      <c r="K444" s="281">
        <v>-1</v>
      </c>
      <c r="L444" s="274">
        <f t="shared" ref="L444" si="235">K444*J444</f>
        <v>0</v>
      </c>
      <c r="M444" s="274">
        <f>L444+J444</f>
        <v>0</v>
      </c>
      <c r="N444" s="281">
        <v>-1</v>
      </c>
      <c r="O444" s="274">
        <f>N444*J444</f>
        <v>0</v>
      </c>
      <c r="P444" s="275">
        <f>O444+J444</f>
        <v>0</v>
      </c>
    </row>
    <row r="445" spans="1:16" x14ac:dyDescent="0.25">
      <c r="A445" s="143" t="s">
        <v>103</v>
      </c>
      <c r="B445" s="202"/>
      <c r="C445" s="202" t="str">
        <f>_xlfn.XLOOKUP(A445,'Brand Managers'!A:A,'Brand Managers'!B:B)</f>
        <v>Jason Koo</v>
      </c>
      <c r="D445" s="202"/>
      <c r="E445" s="202"/>
      <c r="F445" s="203" t="str">
        <f t="shared" si="210"/>
        <v>Dreamz Invenstments LLC|</v>
      </c>
      <c r="G445" s="203" t="str">
        <f t="shared" si="199"/>
        <v>Dreamz Invenstments LLC|||</v>
      </c>
      <c r="H445" s="144">
        <f>_xlfn.XLOOKUP(F445,'DATA - 2025 Review'!C:C,'DATA - 2025 Review'!I:I,"")</f>
        <v>4</v>
      </c>
      <c r="I445" s="145">
        <f>_xlfn.XLOOKUP(F445,'DATA - 2025 Review'!C:C,'DATA - 2025 Review'!J:J)</f>
        <v>0</v>
      </c>
      <c r="J445" s="144">
        <f>_xlfn.XLOOKUP(F445,'2025 Finish (ACTUAL)'!$C:$C,'2025 Finish (ACTUAL)'!$D:$D)</f>
        <v>55</v>
      </c>
      <c r="K445" s="145">
        <f>L445/J445</f>
        <v>0</v>
      </c>
      <c r="L445" s="147">
        <f>SUMIF(B:B,A445,L:L)</f>
        <v>0</v>
      </c>
      <c r="M445" s="147">
        <f>SUMIF(B:B,A445,M:M)</f>
        <v>55</v>
      </c>
      <c r="N445" s="145">
        <f>O445/J445</f>
        <v>80</v>
      </c>
      <c r="O445" s="147">
        <f>SUMIF(B:B,A445,O:O)</f>
        <v>4400</v>
      </c>
      <c r="P445" s="148">
        <f>SUMIF(B:B,A445,P:P)</f>
        <v>4455</v>
      </c>
    </row>
    <row r="446" spans="1:16" x14ac:dyDescent="0.25">
      <c r="A446" s="149" t="s">
        <v>304</v>
      </c>
      <c r="B446" s="5" t="s">
        <v>103</v>
      </c>
      <c r="C446" s="299" t="str">
        <f>_xlfn.XLOOKUP(B446,'Brand Managers'!A:A,'Brand Managers'!B:B)</f>
        <v>Jason Koo</v>
      </c>
      <c r="D446" s="42" t="str">
        <f>_xlfn.XLOOKUP(F446,'DATA - Segments'!C:C,'DATA - Segments'!D:D)</f>
        <v>THC</v>
      </c>
      <c r="E446" s="42" t="str">
        <f>_xlfn.XLOOKUP(F446,'DATA - Segments'!C:C,'DATA - Segments'!E:E)</f>
        <v>THC</v>
      </c>
      <c r="F446" s="203" t="str">
        <f t="shared" si="210"/>
        <v>Brio|Dreamz Invenstments LLC</v>
      </c>
      <c r="G446" s="203" t="str">
        <f t="shared" si="199"/>
        <v>Brio|Dreamz Invenstments LLC|THC|THC</v>
      </c>
      <c r="H446" s="150">
        <f>_xlfn.XLOOKUP(F446,'DATA - 2025 Review'!C:C,'DATA - 2025 Review'!I:I,"")</f>
        <v>4</v>
      </c>
      <c r="I446" s="151">
        <f>_xlfn.XLOOKUP(F446,'DATA - 2025 Review'!C:C,'DATA - 2025 Review'!J:J)</f>
        <v>0</v>
      </c>
      <c r="J446" s="150">
        <f>_xlfn.XLOOKUP(F446,'2025 Finish (ACTUAL)'!$C:$C,'2025 Finish (ACTUAL)'!$D:$D)</f>
        <v>55</v>
      </c>
      <c r="K446" s="146"/>
      <c r="L446" s="152">
        <f t="shared" ref="L446" si="236">K446*J446</f>
        <v>0</v>
      </c>
      <c r="M446" s="152">
        <f>L446+J446</f>
        <v>55</v>
      </c>
      <c r="N446" s="146">
        <v>80</v>
      </c>
      <c r="O446" s="152">
        <f>N446*J446</f>
        <v>4400</v>
      </c>
      <c r="P446" s="69">
        <f>O446+J446</f>
        <v>4455</v>
      </c>
    </row>
    <row r="447" spans="1:16" x14ac:dyDescent="0.25">
      <c r="A447" s="143" t="s">
        <v>180</v>
      </c>
      <c r="B447" s="202"/>
      <c r="C447" s="202" t="str">
        <f>_xlfn.XLOOKUP(A447,'Brand Managers'!A:A,'Brand Managers'!B:B)</f>
        <v>Jason Koo</v>
      </c>
      <c r="D447" s="202"/>
      <c r="E447" s="202"/>
      <c r="F447" s="203" t="str">
        <f t="shared" si="210"/>
        <v>Delta Beverage LLC|</v>
      </c>
      <c r="G447" s="203" t="str">
        <f t="shared" si="199"/>
        <v>Delta Beverage LLC|||</v>
      </c>
      <c r="H447" s="144">
        <f>_xlfn.XLOOKUP(F447,'DATA - 2025 Review'!C:C,'DATA - 2025 Review'!I:I,"")</f>
        <v>2691</v>
      </c>
      <c r="I447" s="145">
        <f>_xlfn.XLOOKUP(F447,'DATA - 2025 Review'!C:C,'DATA - 2025 Review'!J:J)</f>
        <v>0</v>
      </c>
      <c r="J447" s="144">
        <f>_xlfn.XLOOKUP(F447,'2025 Finish (ACTUAL)'!$C:$C,'2025 Finish (ACTUAL)'!$D:$D)</f>
        <v>4554</v>
      </c>
      <c r="K447" s="145">
        <f>L447/J447</f>
        <v>0</v>
      </c>
      <c r="L447" s="147">
        <f>SUMIF(B:B,A447,L:L)</f>
        <v>0</v>
      </c>
      <c r="M447" s="147">
        <f>SUMIF(B:B,A447,M:M)</f>
        <v>4554</v>
      </c>
      <c r="N447" s="145">
        <f>O447/J447</f>
        <v>0.1</v>
      </c>
      <c r="O447" s="147">
        <f>SUMIF(B:B,A447,O:O)</f>
        <v>455.40000000000003</v>
      </c>
      <c r="P447" s="148">
        <f>SUMIF(B:B,A447,P:P)</f>
        <v>5009.3999999999996</v>
      </c>
    </row>
    <row r="448" spans="1:16" x14ac:dyDescent="0.25">
      <c r="A448" s="149" t="s">
        <v>365</v>
      </c>
      <c r="B448" s="5" t="s">
        <v>180</v>
      </c>
      <c r="C448" s="299" t="str">
        <f>_xlfn.XLOOKUP(B448,'Brand Managers'!A:A,'Brand Managers'!B:B)</f>
        <v>Jason Koo</v>
      </c>
      <c r="D448" s="42" t="str">
        <f>_xlfn.XLOOKUP(F448,'DATA - Segments'!C:C,'DATA - Segments'!D:D)</f>
        <v>THC</v>
      </c>
      <c r="E448" s="42" t="str">
        <f>_xlfn.XLOOKUP(F448,'DATA - Segments'!C:C,'DATA - Segments'!E:E)</f>
        <v>THC</v>
      </c>
      <c r="F448" s="203" t="str">
        <f t="shared" si="210"/>
        <v>DELTA|Delta Beverage LLC</v>
      </c>
      <c r="G448" s="203" t="str">
        <f t="shared" si="199"/>
        <v>DELTA|Delta Beverage LLC|THC|THC</v>
      </c>
      <c r="H448" s="150">
        <f>_xlfn.XLOOKUP(F448,'DATA - 2025 Review'!C:C,'DATA - 2025 Review'!I:I,"")</f>
        <v>2691</v>
      </c>
      <c r="I448" s="151">
        <f>_xlfn.XLOOKUP(F448,'DATA - 2025 Review'!C:C,'DATA - 2025 Review'!J:J)</f>
        <v>0</v>
      </c>
      <c r="J448" s="150">
        <f>_xlfn.XLOOKUP(F448,'2025 Finish (ACTUAL)'!$C:$C,'2025 Finish (ACTUAL)'!$D:$D)</f>
        <v>4554</v>
      </c>
      <c r="K448" s="146"/>
      <c r="L448" s="152">
        <f t="shared" ref="L448" si="237">K448*J448</f>
        <v>0</v>
      </c>
      <c r="M448" s="152">
        <f>L448+J448</f>
        <v>4554</v>
      </c>
      <c r="N448" s="146">
        <v>0.1</v>
      </c>
      <c r="O448" s="152">
        <f>N448*J448</f>
        <v>455.40000000000003</v>
      </c>
      <c r="P448" s="69">
        <f>O448+J448</f>
        <v>5009.3999999999996</v>
      </c>
    </row>
    <row r="449" spans="1:16" x14ac:dyDescent="0.25">
      <c r="A449" s="143" t="s">
        <v>366</v>
      </c>
      <c r="B449" s="202"/>
      <c r="C449" s="202" t="str">
        <f>_xlfn.XLOOKUP(A449,'Brand Managers'!A:A,'Brand Managers'!B:B)</f>
        <v>Jason Koo</v>
      </c>
      <c r="D449" s="202"/>
      <c r="E449" s="202"/>
      <c r="F449" s="203" t="str">
        <f t="shared" si="210"/>
        <v>Dad Grass|</v>
      </c>
      <c r="G449" s="203" t="str">
        <f t="shared" si="199"/>
        <v>Dad Grass|||</v>
      </c>
      <c r="H449" s="144">
        <f>_xlfn.XLOOKUP(F449,'DATA - 2025 Review'!C:C,'DATA - 2025 Review'!I:I,"")</f>
        <v>121</v>
      </c>
      <c r="I449" s="145">
        <f>_xlfn.XLOOKUP(F449,'DATA - 2025 Review'!C:C,'DATA - 2025 Review'!J:J)</f>
        <v>0</v>
      </c>
      <c r="J449" s="144">
        <f>_xlfn.XLOOKUP(F449,'2025 Finish (ACTUAL)'!$C:$C,'2025 Finish (ACTUAL)'!$D:$D)</f>
        <v>171</v>
      </c>
      <c r="K449" s="145">
        <f>L449/J449</f>
        <v>0</v>
      </c>
      <c r="L449" s="147">
        <f>SUMIF(B:B,A449,L:L)</f>
        <v>0</v>
      </c>
      <c r="M449" s="147">
        <f>SUMIF(B:B,A449,M:M)</f>
        <v>171</v>
      </c>
      <c r="N449" s="145">
        <f>O449/J449</f>
        <v>0.05</v>
      </c>
      <c r="O449" s="147">
        <f>SUMIF(B:B,A449,O:O)</f>
        <v>8.5500000000000007</v>
      </c>
      <c r="P449" s="148">
        <f>SUMIF(B:B,A449,P:P)</f>
        <v>179.55</v>
      </c>
    </row>
    <row r="450" spans="1:16" x14ac:dyDescent="0.25">
      <c r="A450" s="149" t="s">
        <v>366</v>
      </c>
      <c r="B450" s="5" t="s">
        <v>366</v>
      </c>
      <c r="C450" s="299" t="str">
        <f>_xlfn.XLOOKUP(B450,'Brand Managers'!A:A,'Brand Managers'!B:B)</f>
        <v>Jason Koo</v>
      </c>
      <c r="D450" s="42" t="str">
        <f>_xlfn.XLOOKUP(F450,'DATA - Segments'!C:C,'DATA - Segments'!D:D)</f>
        <v>THC</v>
      </c>
      <c r="E450" s="42" t="str">
        <f>_xlfn.XLOOKUP(F450,'DATA - Segments'!C:C,'DATA - Segments'!E:E)</f>
        <v>THC</v>
      </c>
      <c r="F450" s="203" t="str">
        <f t="shared" si="210"/>
        <v>Dad Grass|Dad Grass</v>
      </c>
      <c r="G450" s="203" t="str">
        <f t="shared" si="199"/>
        <v>Dad Grass|Dad Grass|THC|THC</v>
      </c>
      <c r="H450" s="150">
        <f>_xlfn.XLOOKUP(F450,'DATA - 2025 Review'!C:C,'DATA - 2025 Review'!I:I,"")</f>
        <v>121</v>
      </c>
      <c r="I450" s="151">
        <f>_xlfn.XLOOKUP(F450,'DATA - 2025 Review'!C:C,'DATA - 2025 Review'!J:J)</f>
        <v>0</v>
      </c>
      <c r="J450" s="150">
        <f>_xlfn.XLOOKUP(F450,'2025 Finish (ACTUAL)'!$C:$C,'2025 Finish (ACTUAL)'!$D:$D)</f>
        <v>171</v>
      </c>
      <c r="K450" s="146"/>
      <c r="L450" s="152">
        <f t="shared" ref="L450" si="238">K450*J450</f>
        <v>0</v>
      </c>
      <c r="M450" s="152">
        <f>L450+J450</f>
        <v>171</v>
      </c>
      <c r="N450" s="146">
        <v>0.05</v>
      </c>
      <c r="O450" s="152">
        <f>N450*J450</f>
        <v>8.5500000000000007</v>
      </c>
      <c r="P450" s="69">
        <f>O450+J450</f>
        <v>179.55</v>
      </c>
    </row>
    <row r="451" spans="1:16" x14ac:dyDescent="0.25">
      <c r="A451" s="143" t="s">
        <v>419</v>
      </c>
      <c r="B451" s="202"/>
      <c r="C451" s="202" t="str">
        <f>_xlfn.XLOOKUP(A451,'Brand Managers'!A:A,'Brand Managers'!B:B)</f>
        <v>Jason Koo</v>
      </c>
      <c r="D451" s="202"/>
      <c r="E451" s="202"/>
      <c r="F451" s="203" t="str">
        <f t="shared" si="210"/>
        <v>Crescent Canna|</v>
      </c>
      <c r="G451" s="203" t="str">
        <f t="shared" si="199"/>
        <v>Crescent Canna|||</v>
      </c>
      <c r="H451" s="144">
        <f>_xlfn.XLOOKUP(F451,'DATA - 2025 Review'!C:C,'DATA - 2025 Review'!I:I,"")</f>
        <v>653</v>
      </c>
      <c r="I451" s="145">
        <f>_xlfn.XLOOKUP(F451,'DATA - 2025 Review'!C:C,'DATA - 2025 Review'!J:J)</f>
        <v>0</v>
      </c>
      <c r="J451" s="144">
        <f>_xlfn.XLOOKUP(F451,'2025 Finish (ACTUAL)'!$C:$C,'2025 Finish (ACTUAL)'!$D:$D)</f>
        <v>791</v>
      </c>
      <c r="K451" s="145">
        <f>L451/J451</f>
        <v>0</v>
      </c>
      <c r="L451" s="147">
        <f>SUMIF(B:B,A451,L:L)</f>
        <v>0</v>
      </c>
      <c r="M451" s="147">
        <f>SUMIF(B:B,A451,M:M)</f>
        <v>791</v>
      </c>
      <c r="N451" s="145">
        <f>O451/J451</f>
        <v>0.2</v>
      </c>
      <c r="O451" s="147">
        <f>SUMIF(B:B,A451,O:O)</f>
        <v>158.20000000000002</v>
      </c>
      <c r="P451" s="148">
        <f>SUMIF(B:B,A451,P:P)</f>
        <v>949.2</v>
      </c>
    </row>
    <row r="452" spans="1:16" x14ac:dyDescent="0.25">
      <c r="A452" s="149" t="s">
        <v>367</v>
      </c>
      <c r="B452" s="5" t="s">
        <v>419</v>
      </c>
      <c r="C452" s="299" t="str">
        <f>_xlfn.XLOOKUP(B452,'Brand Managers'!A:A,'Brand Managers'!B:B)</f>
        <v>Jason Koo</v>
      </c>
      <c r="D452" s="42" t="str">
        <f>_xlfn.XLOOKUP(F452,'DATA - Segments'!C:C,'DATA - Segments'!D:D)</f>
        <v>THC</v>
      </c>
      <c r="E452" s="42" t="str">
        <f>_xlfn.XLOOKUP(F452,'DATA - Segments'!C:C,'DATA - Segments'!E:E)</f>
        <v>THC</v>
      </c>
      <c r="F452" s="203" t="str">
        <f t="shared" si="210"/>
        <v>Crescent 9|Crescent Canna</v>
      </c>
      <c r="G452" s="203" t="str">
        <f t="shared" ref="G452:G472" si="239">A452&amp;"|"&amp;B452&amp;"|"&amp;D452&amp;"|"&amp;E452</f>
        <v>Crescent 9|Crescent Canna|THC|THC</v>
      </c>
      <c r="H452" s="150">
        <f>_xlfn.XLOOKUP(F452,'DATA - 2025 Review'!C:C,'DATA - 2025 Review'!I:I,"")</f>
        <v>653</v>
      </c>
      <c r="I452" s="151">
        <f>_xlfn.XLOOKUP(F452,'DATA - 2025 Review'!C:C,'DATA - 2025 Review'!J:J)</f>
        <v>0</v>
      </c>
      <c r="J452" s="150">
        <f>_xlfn.XLOOKUP(F452,'2025 Finish (ACTUAL)'!$C:$C,'2025 Finish (ACTUAL)'!$D:$D)</f>
        <v>791</v>
      </c>
      <c r="K452" s="146"/>
      <c r="L452" s="152">
        <f t="shared" ref="L452" si="240">K452*J452</f>
        <v>0</v>
      </c>
      <c r="M452" s="152">
        <f>L452+J452</f>
        <v>791</v>
      </c>
      <c r="N452" s="146">
        <v>0.2</v>
      </c>
      <c r="O452" s="152">
        <f>N452*J452</f>
        <v>158.20000000000002</v>
      </c>
      <c r="P452" s="69">
        <f>O452+J452</f>
        <v>949.2</v>
      </c>
    </row>
    <row r="453" spans="1:16" x14ac:dyDescent="0.25">
      <c r="A453" s="143" t="s">
        <v>305</v>
      </c>
      <c r="B453" s="202"/>
      <c r="C453" s="202" t="str">
        <f>_xlfn.XLOOKUP(A453,'Brand Managers'!A:A,'Brand Managers'!B:B)</f>
        <v>Chris Politano</v>
      </c>
      <c r="D453" s="202"/>
      <c r="E453" s="202"/>
      <c r="F453" s="203" t="str">
        <f t="shared" si="210"/>
        <v>Cavalier Ventures, LLC|</v>
      </c>
      <c r="G453" s="203" t="str">
        <f t="shared" si="239"/>
        <v>Cavalier Ventures, LLC|||</v>
      </c>
      <c r="H453" s="144">
        <f>_xlfn.XLOOKUP(F453,'DATA - 2025 Review'!C:C,'DATA - 2025 Review'!I:I,"")</f>
        <v>529</v>
      </c>
      <c r="I453" s="145">
        <f>_xlfn.XLOOKUP(F453,'DATA - 2025 Review'!C:C,'DATA - 2025 Review'!J:J)</f>
        <v>0</v>
      </c>
      <c r="J453" s="144">
        <f>_xlfn.XLOOKUP(F453,'2025 Finish (ACTUAL)'!$C:$C,'2025 Finish (ACTUAL)'!$D:$D)</f>
        <v>588</v>
      </c>
      <c r="K453" s="145">
        <f>L453/J453</f>
        <v>8.5</v>
      </c>
      <c r="L453" s="147">
        <f>SUMIF(B:B,A453,L:L)</f>
        <v>4998</v>
      </c>
      <c r="M453" s="147">
        <f>SUMIF(B:B,A453,M:M)</f>
        <v>5586</v>
      </c>
      <c r="N453" s="145">
        <f>O453/J453</f>
        <v>6</v>
      </c>
      <c r="O453" s="147">
        <f>SUMIF(B:B,A453,O:O)</f>
        <v>3528</v>
      </c>
      <c r="P453" s="148">
        <f>SUMIF(B:B,A453,P:P)</f>
        <v>4116</v>
      </c>
    </row>
    <row r="454" spans="1:16" x14ac:dyDescent="0.25">
      <c r="A454" s="149" t="s">
        <v>155</v>
      </c>
      <c r="B454" s="5" t="s">
        <v>305</v>
      </c>
      <c r="C454" s="299" t="str">
        <f>_xlfn.XLOOKUP(B454,'Brand Managers'!A:A,'Brand Managers'!B:B)</f>
        <v>Chris Politano</v>
      </c>
      <c r="D454" s="42" t="str">
        <f>_xlfn.XLOOKUP(F454,'DATA - Segments'!C:C,'DATA - Segments'!D:D)</f>
        <v>RTD</v>
      </c>
      <c r="E454" s="42" t="str">
        <f>_xlfn.XLOOKUP(F454,'DATA - Segments'!C:C,'DATA - Segments'!E:E)</f>
        <v>RTD</v>
      </c>
      <c r="F454" s="203" t="str">
        <f t="shared" si="210"/>
        <v>Coastal Cocktails|Cavalier Ventures, LLC</v>
      </c>
      <c r="G454" s="203" t="str">
        <f t="shared" si="239"/>
        <v>Coastal Cocktails|Cavalier Ventures, LLC|RTD|RTD</v>
      </c>
      <c r="H454" s="150">
        <f>_xlfn.XLOOKUP(F454,'DATA - 2025 Review'!C:C,'DATA - 2025 Review'!I:I,"")</f>
        <v>529</v>
      </c>
      <c r="I454" s="151">
        <f>_xlfn.XLOOKUP(F454,'DATA - 2025 Review'!C:C,'DATA - 2025 Review'!J:J)</f>
        <v>0</v>
      </c>
      <c r="J454" s="150">
        <f>_xlfn.XLOOKUP(F454,'2025 Finish (ACTUAL)'!$C:$C,'2025 Finish (ACTUAL)'!$D:$D)</f>
        <v>588</v>
      </c>
      <c r="K454" s="146">
        <v>8.5</v>
      </c>
      <c r="L454" s="152">
        <f t="shared" ref="L454" si="241">K454*J454</f>
        <v>4998</v>
      </c>
      <c r="M454" s="152">
        <f>L454+J454</f>
        <v>5586</v>
      </c>
      <c r="N454" s="146">
        <v>6</v>
      </c>
      <c r="O454" s="152">
        <f>N454*J454</f>
        <v>3528</v>
      </c>
      <c r="P454" s="69">
        <f>O454+J454</f>
        <v>4116</v>
      </c>
    </row>
    <row r="455" spans="1:16" x14ac:dyDescent="0.25">
      <c r="A455" s="143" t="s">
        <v>387</v>
      </c>
      <c r="B455" s="202"/>
      <c r="C455" s="202" t="str">
        <f>_xlfn.XLOOKUP(A455,'Brand Managers'!A:A,'Brand Managers'!B:B)</f>
        <v>Jason Koo</v>
      </c>
      <c r="D455" s="202"/>
      <c r="E455" s="202"/>
      <c r="F455" s="203" t="str">
        <f t="shared" si="210"/>
        <v>Blaze Life LLC|</v>
      </c>
      <c r="G455" s="203" t="str">
        <f t="shared" si="239"/>
        <v>Blaze Life LLC|||</v>
      </c>
      <c r="H455" s="144">
        <f>_xlfn.XLOOKUP(F455,'DATA - 2025 Review'!C:C,'DATA - 2025 Review'!I:I,"")</f>
        <v>34.333329999999997</v>
      </c>
      <c r="I455" s="145">
        <f>_xlfn.XLOOKUP(F455,'DATA - 2025 Review'!C:C,'DATA - 2025 Review'!J:J)</f>
        <v>0</v>
      </c>
      <c r="J455" s="144">
        <f>_xlfn.XLOOKUP(F455,'2025 Finish (ACTUAL)'!$C:$C,'2025 Finish (ACTUAL)'!$D:$D)</f>
        <v>167.99999299999999</v>
      </c>
      <c r="K455" s="145">
        <f>L455/J455</f>
        <v>0</v>
      </c>
      <c r="L455" s="147">
        <f>SUMIF(B:B,A455,L:L)</f>
        <v>0</v>
      </c>
      <c r="M455" s="147">
        <f>SUMIF(B:B,A455,M:M)</f>
        <v>142.99999299999999</v>
      </c>
      <c r="N455" s="145">
        <f>O455/J455</f>
        <v>-0.85119046999007908</v>
      </c>
      <c r="O455" s="147">
        <f>SUMIF(B:B,A455,O:O)</f>
        <v>-142.99999299999999</v>
      </c>
      <c r="P455" s="148">
        <f>SUMIF(B:B,A455,P:P)</f>
        <v>0</v>
      </c>
    </row>
    <row r="456" spans="1:16" x14ac:dyDescent="0.25">
      <c r="A456" s="149" t="s">
        <v>181</v>
      </c>
      <c r="B456" s="5" t="s">
        <v>387</v>
      </c>
      <c r="C456" s="299" t="str">
        <f>_xlfn.XLOOKUP(B456,'Brand Managers'!A:A,'Brand Managers'!B:B)</f>
        <v>Jason Koo</v>
      </c>
      <c r="D456" s="42" t="str">
        <f>_xlfn.XLOOKUP(F456,'DATA - Segments'!C:C,'DATA - Segments'!D:D)</f>
        <v>THC</v>
      </c>
      <c r="E456" s="42" t="str">
        <f>_xlfn.XLOOKUP(F456,'DATA - Segments'!C:C,'DATA - Segments'!E:E)</f>
        <v>THC</v>
      </c>
      <c r="F456" s="203" t="str">
        <f t="shared" si="210"/>
        <v>Mota'Lada|Blaze Life LLC</v>
      </c>
      <c r="G456" s="203" t="str">
        <f t="shared" si="239"/>
        <v>Mota'Lada|Blaze Life LLC|THC|THC</v>
      </c>
      <c r="H456" s="150">
        <f>_xlfn.XLOOKUP(F456,'DATA - 2025 Review'!C:C,'DATA - 2025 Review'!I:I,"")</f>
        <v>13.33333</v>
      </c>
      <c r="I456" s="151">
        <f>_xlfn.XLOOKUP(F456,'DATA - 2025 Review'!C:C,'DATA - 2025 Review'!J:J)</f>
        <v>0</v>
      </c>
      <c r="J456" s="150">
        <f>_xlfn.XLOOKUP(F456,'2025 Finish (ACTUAL)'!$C:$C,'2025 Finish (ACTUAL)'!$D:$D)</f>
        <v>27.999993</v>
      </c>
      <c r="K456" s="146"/>
      <c r="L456" s="152">
        <f t="shared" ref="L456:L457" si="242">K456*J456</f>
        <v>0</v>
      </c>
      <c r="M456" s="152">
        <f t="shared" ref="M456:M457" si="243">L456+J456</f>
        <v>27.999993</v>
      </c>
      <c r="N456" s="146">
        <v>-1</v>
      </c>
      <c r="O456" s="152">
        <f t="shared" ref="O456:O457" si="244">N456*J456</f>
        <v>-27.999993</v>
      </c>
      <c r="P456" s="69">
        <f t="shared" ref="P456:P457" si="245">O456+J456</f>
        <v>0</v>
      </c>
    </row>
    <row r="457" spans="1:16" x14ac:dyDescent="0.25">
      <c r="A457" s="149" t="s">
        <v>337</v>
      </c>
      <c r="B457" s="5" t="s">
        <v>387</v>
      </c>
      <c r="C457" s="299" t="str">
        <f>_xlfn.XLOOKUP(B457,'Brand Managers'!A:A,'Brand Managers'!B:B)</f>
        <v>Jason Koo</v>
      </c>
      <c r="D457" s="42" t="str">
        <f>_xlfn.XLOOKUP(F457,'DATA - Segments'!C:C,'DATA - Segments'!D:D)</f>
        <v>THC</v>
      </c>
      <c r="E457" s="42" t="str">
        <f>_xlfn.XLOOKUP(F457,'DATA - Segments'!C:C,'DATA - Segments'!E:E)</f>
        <v>THC</v>
      </c>
      <c r="F457" s="203" t="str">
        <f t="shared" si="210"/>
        <v>Bodega Chiller|Blaze Life LLC</v>
      </c>
      <c r="G457" s="203" t="str">
        <f t="shared" si="239"/>
        <v>Bodega Chiller|Blaze Life LLC|THC|THC</v>
      </c>
      <c r="H457" s="150">
        <f>_xlfn.XLOOKUP(F457,'DATA - 2025 Review'!C:C,'DATA - 2025 Review'!I:I,"")</f>
        <v>21</v>
      </c>
      <c r="I457" s="151">
        <f>_xlfn.XLOOKUP(F457,'DATA - 2025 Review'!C:C,'DATA - 2025 Review'!J:J)</f>
        <v>0</v>
      </c>
      <c r="J457" s="150">
        <f>_xlfn.XLOOKUP(F457,'2025 Finish (ACTUAL)'!$C:$C,'2025 Finish (ACTUAL)'!$D:$D)</f>
        <v>115</v>
      </c>
      <c r="K457" s="146"/>
      <c r="L457" s="152">
        <f t="shared" si="242"/>
        <v>0</v>
      </c>
      <c r="M457" s="152">
        <f t="shared" si="243"/>
        <v>115</v>
      </c>
      <c r="N457" s="146">
        <v>-1</v>
      </c>
      <c r="O457" s="152">
        <f t="shared" si="244"/>
        <v>-115</v>
      </c>
      <c r="P457" s="69">
        <f t="shared" si="245"/>
        <v>0</v>
      </c>
    </row>
    <row r="458" spans="1:16" x14ac:dyDescent="0.25">
      <c r="A458" s="143" t="s">
        <v>306</v>
      </c>
      <c r="B458" s="202"/>
      <c r="C458" s="202" t="str">
        <f>_xlfn.XLOOKUP(A458,'Brand Managers'!A:A,'Brand Managers'!B:B)</f>
        <v>Jason Koo</v>
      </c>
      <c r="D458" s="202"/>
      <c r="E458" s="202"/>
      <c r="F458" s="203" t="str">
        <f t="shared" si="210"/>
        <v>Bella Ray Beverage|</v>
      </c>
      <c r="G458" s="203" t="str">
        <f t="shared" si="239"/>
        <v>Bella Ray Beverage|||</v>
      </c>
      <c r="H458" s="144">
        <f>_xlfn.XLOOKUP(F458,'DATA - 2025 Review'!C:C,'DATA - 2025 Review'!I:I,"")</f>
        <v>116</v>
      </c>
      <c r="I458" s="145">
        <f>_xlfn.XLOOKUP(F458,'DATA - 2025 Review'!C:C,'DATA - 2025 Review'!J:J)</f>
        <v>0</v>
      </c>
      <c r="J458" s="144">
        <f>_xlfn.XLOOKUP(F458,'2025 Finish (ACTUAL)'!$C:$C,'2025 Finish (ACTUAL)'!$D:$D)</f>
        <v>155</v>
      </c>
      <c r="K458" s="145">
        <f>L458/J458</f>
        <v>0</v>
      </c>
      <c r="L458" s="147">
        <f>SUMIF(B:B,A458,L:L)</f>
        <v>0</v>
      </c>
      <c r="M458" s="147">
        <f>SUMIF(B:B,A458,M:M)</f>
        <v>155</v>
      </c>
      <c r="N458" s="145">
        <f>O458/J458</f>
        <v>3</v>
      </c>
      <c r="O458" s="147">
        <f>SUMIF(B:B,A458,O:O)</f>
        <v>465</v>
      </c>
      <c r="P458" s="148">
        <f>SUMIF(B:B,A458,P:P)</f>
        <v>620</v>
      </c>
    </row>
    <row r="459" spans="1:16" x14ac:dyDescent="0.25">
      <c r="A459" s="149" t="s">
        <v>307</v>
      </c>
      <c r="B459" s="5" t="s">
        <v>306</v>
      </c>
      <c r="C459" s="299" t="str">
        <f>_xlfn.XLOOKUP(B459,'Brand Managers'!A:A,'Brand Managers'!B:B)</f>
        <v>Jason Koo</v>
      </c>
      <c r="D459" s="42" t="str">
        <f>_xlfn.XLOOKUP(F459,'DATA - Segments'!C:C,'DATA - Segments'!D:D)</f>
        <v>THC</v>
      </c>
      <c r="E459" s="42" t="str">
        <f>_xlfn.XLOOKUP(F459,'DATA - Segments'!C:C,'DATA - Segments'!E:E)</f>
        <v>THC</v>
      </c>
      <c r="F459" s="203" t="str">
        <f t="shared" si="210"/>
        <v>Bella Ray|Bella Ray Beverage</v>
      </c>
      <c r="G459" s="203" t="str">
        <f t="shared" si="239"/>
        <v>Bella Ray|Bella Ray Beverage|THC|THC</v>
      </c>
      <c r="H459" s="150">
        <f>_xlfn.XLOOKUP(F459,'DATA - 2025 Review'!C:C,'DATA - 2025 Review'!I:I,"")</f>
        <v>116</v>
      </c>
      <c r="I459" s="151">
        <f>_xlfn.XLOOKUP(F459,'DATA - 2025 Review'!C:C,'DATA - 2025 Review'!J:J)</f>
        <v>0</v>
      </c>
      <c r="J459" s="150">
        <f>_xlfn.XLOOKUP(F459,'2025 Finish (ACTUAL)'!$C:$C,'2025 Finish (ACTUAL)'!$D:$D)</f>
        <v>155</v>
      </c>
      <c r="K459" s="146"/>
      <c r="L459" s="152">
        <f t="shared" ref="L459" si="246">K459*J459</f>
        <v>0</v>
      </c>
      <c r="M459" s="152">
        <f>L459+J459</f>
        <v>155</v>
      </c>
      <c r="N459" s="146">
        <v>3</v>
      </c>
      <c r="O459" s="152">
        <f>N459*J459</f>
        <v>465</v>
      </c>
      <c r="P459" s="69">
        <f>O459+J459</f>
        <v>620</v>
      </c>
    </row>
    <row r="460" spans="1:16" x14ac:dyDescent="0.25">
      <c r="A460" s="143" t="s">
        <v>368</v>
      </c>
      <c r="B460" s="202"/>
      <c r="C460" s="202" t="str">
        <f>_xlfn.XLOOKUP(A460,'Brand Managers'!A:A,'Brand Managers'!B:B)</f>
        <v>Jason Koo</v>
      </c>
      <c r="D460" s="202"/>
      <c r="E460" s="202"/>
      <c r="F460" s="203" t="str">
        <f t="shared" si="210"/>
        <v>Bardstown Bourbon Co|</v>
      </c>
      <c r="G460" s="203" t="str">
        <f t="shared" si="239"/>
        <v>Bardstown Bourbon Co|||</v>
      </c>
      <c r="H460" s="144">
        <f>_xlfn.XLOOKUP(F460,'DATA - 2025 Review'!C:C,'DATA - 2025 Review'!I:I,"")</f>
        <v>864.606492</v>
      </c>
      <c r="I460" s="145">
        <f>_xlfn.XLOOKUP(F460,'DATA - 2025 Review'!C:C,'DATA - 2025 Review'!J:J)</f>
        <v>0</v>
      </c>
      <c r="J460" s="144">
        <f>_xlfn.XLOOKUP(F460,'2025 Finish (ACTUAL)'!$C:$C,'2025 Finish (ACTUAL)'!$D:$D)</f>
        <v>1092.0194799999999</v>
      </c>
      <c r="K460" s="145">
        <f>L460/J460</f>
        <v>0</v>
      </c>
      <c r="L460" s="147">
        <f>SUMIF(B:B,A460,L:L)</f>
        <v>0</v>
      </c>
      <c r="M460" s="147">
        <f>SUMIF(B:B,A460,M:M)</f>
        <v>1092.0194799999999</v>
      </c>
      <c r="N460" s="145">
        <f>O460/J460</f>
        <v>0.25</v>
      </c>
      <c r="O460" s="147">
        <f>SUMIF(B:B,A460,O:O)</f>
        <v>273.00486999999998</v>
      </c>
      <c r="P460" s="148">
        <f>SUMIF(B:B,A460,P:P)</f>
        <v>1365.0243499999999</v>
      </c>
    </row>
    <row r="461" spans="1:16" x14ac:dyDescent="0.25">
      <c r="A461" s="149" t="s">
        <v>369</v>
      </c>
      <c r="B461" s="5" t="s">
        <v>368</v>
      </c>
      <c r="C461" s="299" t="str">
        <f>_xlfn.XLOOKUP(B461,'Brand Managers'!A:A,'Brand Managers'!B:B)</f>
        <v>Jason Koo</v>
      </c>
      <c r="D461" s="42" t="str">
        <f>_xlfn.XLOOKUP(F461,'DATA - Segments'!C:C,'DATA - Segments'!D:D)</f>
        <v>Spirits</v>
      </c>
      <c r="E461" s="42" t="str">
        <f>_xlfn.XLOOKUP(F461,'DATA - Segments'!C:C,'DATA - Segments'!E:E)</f>
        <v>Spirits - Whiskey</v>
      </c>
      <c r="F461" s="203" t="str">
        <f t="shared" si="210"/>
        <v>Bardstown Green River|Bardstown Bourbon Co</v>
      </c>
      <c r="G461" s="203" t="str">
        <f t="shared" si="239"/>
        <v>Bardstown Green River|Bardstown Bourbon Co|Spirits|Spirits - Whiskey</v>
      </c>
      <c r="H461" s="150">
        <f>_xlfn.XLOOKUP(F461,'DATA - 2025 Review'!C:C,'DATA - 2025 Review'!I:I,"")</f>
        <v>263.07912399999998</v>
      </c>
      <c r="I461" s="151">
        <f>_xlfn.XLOOKUP(F461,'DATA - 2025 Review'!C:C,'DATA - 2025 Review'!J:J)</f>
        <v>0</v>
      </c>
      <c r="J461" s="150">
        <f>_xlfn.XLOOKUP(F461,'2025 Finish (ACTUAL)'!$C:$C,'2025 Finish (ACTUAL)'!$D:$D)</f>
        <v>386.82714399999998</v>
      </c>
      <c r="K461" s="146"/>
      <c r="L461" s="152">
        <f t="shared" ref="L461:L462" si="247">K461*J461</f>
        <v>0</v>
      </c>
      <c r="M461" s="152">
        <f t="shared" ref="M461:M462" si="248">L461+J461</f>
        <v>386.82714399999998</v>
      </c>
      <c r="N461" s="146">
        <v>0.25</v>
      </c>
      <c r="O461" s="152">
        <f t="shared" ref="O461:O462" si="249">N461*J461</f>
        <v>96.706785999999994</v>
      </c>
      <c r="P461" s="69">
        <f t="shared" ref="P461:P462" si="250">O461+J461</f>
        <v>483.53392999999994</v>
      </c>
    </row>
    <row r="462" spans="1:16" x14ac:dyDescent="0.25">
      <c r="A462" s="149" t="s">
        <v>128</v>
      </c>
      <c r="B462" s="5" t="s">
        <v>368</v>
      </c>
      <c r="C462" s="299" t="str">
        <f>_xlfn.XLOOKUP(B462,'Brand Managers'!A:A,'Brand Managers'!B:B)</f>
        <v>Jason Koo</v>
      </c>
      <c r="D462" s="42" t="str">
        <f>_xlfn.XLOOKUP(F462,'DATA - Segments'!C:C,'DATA - Segments'!D:D)</f>
        <v>Spirits</v>
      </c>
      <c r="E462" s="42" t="str">
        <f>_xlfn.XLOOKUP(F462,'DATA - Segments'!C:C,'DATA - Segments'!E:E)</f>
        <v>Spirits - Whiskey</v>
      </c>
      <c r="F462" s="203" t="str">
        <f t="shared" si="210"/>
        <v>Bardstown Bourbon|Bardstown Bourbon Co</v>
      </c>
      <c r="G462" s="203" t="str">
        <f t="shared" si="239"/>
        <v>Bardstown Bourbon|Bardstown Bourbon Co|Spirits|Spirits - Whiskey</v>
      </c>
      <c r="H462" s="150">
        <f>_xlfn.XLOOKUP(F462,'DATA - 2025 Review'!C:C,'DATA - 2025 Review'!I:I,"")</f>
        <v>601.52736800000002</v>
      </c>
      <c r="I462" s="151">
        <f>_xlfn.XLOOKUP(F462,'DATA - 2025 Review'!C:C,'DATA - 2025 Review'!J:J)</f>
        <v>0</v>
      </c>
      <c r="J462" s="150">
        <f>_xlfn.XLOOKUP(F462,'2025 Finish (ACTUAL)'!$C:$C,'2025 Finish (ACTUAL)'!$D:$D)</f>
        <v>705.19233599999995</v>
      </c>
      <c r="K462" s="146"/>
      <c r="L462" s="152">
        <f t="shared" si="247"/>
        <v>0</v>
      </c>
      <c r="M462" s="152">
        <f t="shared" si="248"/>
        <v>705.19233599999995</v>
      </c>
      <c r="N462" s="146">
        <v>0.25</v>
      </c>
      <c r="O462" s="152">
        <f t="shared" si="249"/>
        <v>176.29808399999999</v>
      </c>
      <c r="P462" s="69">
        <f t="shared" si="250"/>
        <v>881.49041999999997</v>
      </c>
    </row>
    <row r="463" spans="1:16" x14ac:dyDescent="0.25">
      <c r="A463" s="143" t="s">
        <v>27</v>
      </c>
      <c r="B463" s="202"/>
      <c r="C463" s="202" t="e">
        <f>_xlfn.XLOOKUP(A463,'Brand Managers'!A:A,'Brand Managers'!B:B)</f>
        <v>#N/A</v>
      </c>
      <c r="D463" s="202"/>
      <c r="E463" s="202"/>
      <c r="F463" s="203" t="str">
        <f t="shared" si="210"/>
        <v>Ballast Point|</v>
      </c>
      <c r="G463" s="203" t="str">
        <f t="shared" si="239"/>
        <v>Ballast Point|||</v>
      </c>
      <c r="H463" s="144">
        <f>_xlfn.XLOOKUP(F463,'DATA - 2025 Review'!C:C,'DATA - 2025 Review'!I:I,"")</f>
        <v>0</v>
      </c>
      <c r="I463" s="145">
        <f>_xlfn.XLOOKUP(F463,'DATA - 2025 Review'!C:C,'DATA - 2025 Review'!J:J)</f>
        <v>-1</v>
      </c>
      <c r="J463" s="144" t="e">
        <f>_xlfn.XLOOKUP(F463,'2025 Finish (ACTUAL)'!$C:$C,'2025 Finish (ACTUAL)'!$D:$D)</f>
        <v>#N/A</v>
      </c>
      <c r="K463" s="145" t="e">
        <f>L463/H463</f>
        <v>#DIV/0!</v>
      </c>
      <c r="L463" s="147">
        <f>SUMIF(B:B,A463,L:L)</f>
        <v>0</v>
      </c>
      <c r="M463" s="147">
        <f>SUMIF(B:B,A463,M:M)</f>
        <v>0</v>
      </c>
      <c r="N463" s="145" t="e">
        <f>O463/H463</f>
        <v>#DIV/0!</v>
      </c>
      <c r="O463" s="147">
        <f>SUMIF(B:B,A463,O:O)</f>
        <v>0</v>
      </c>
      <c r="P463" s="148">
        <f>SUMIF(B:B,A463,P:P)</f>
        <v>0</v>
      </c>
    </row>
    <row r="464" spans="1:16" x14ac:dyDescent="0.25">
      <c r="A464" s="174" t="s">
        <v>27</v>
      </c>
      <c r="B464" s="2" t="s">
        <v>27</v>
      </c>
      <c r="C464" s="299" t="e">
        <f>_xlfn.XLOOKUP(B464,'Brand Managers'!A:A,'Brand Managers'!B:B)</f>
        <v>#N/A</v>
      </c>
      <c r="D464" s="42"/>
      <c r="E464" s="42"/>
      <c r="F464" s="203" t="str">
        <f t="shared" si="210"/>
        <v>Ballast Point|Ballast Point</v>
      </c>
      <c r="G464" s="203" t="str">
        <f t="shared" si="239"/>
        <v>Ballast Point|Ballast Point||</v>
      </c>
      <c r="H464" s="150">
        <f>_xlfn.XLOOKUP(F464,'DATA - 2025 Review'!C:C,'DATA - 2025 Review'!I:I,"")</f>
        <v>0</v>
      </c>
      <c r="I464" s="151">
        <f>_xlfn.XLOOKUP(F464,'DATA - 2025 Review'!C:C,'DATA - 2025 Review'!J:J)</f>
        <v>-1</v>
      </c>
      <c r="J464" s="150"/>
      <c r="K464" s="146"/>
      <c r="L464" s="152">
        <f t="shared" ref="L464" si="251">K464*J464</f>
        <v>0</v>
      </c>
      <c r="M464" s="152">
        <f>L464+J464</f>
        <v>0</v>
      </c>
      <c r="N464" s="146"/>
      <c r="O464" s="152">
        <f>N464*J464</f>
        <v>0</v>
      </c>
      <c r="P464" s="69">
        <f>O464+J464</f>
        <v>0</v>
      </c>
    </row>
    <row r="465" spans="1:16" x14ac:dyDescent="0.25">
      <c r="A465" s="143" t="s">
        <v>370</v>
      </c>
      <c r="B465" s="202"/>
      <c r="C465" s="202" t="str">
        <f>_xlfn.XLOOKUP(A465,'Brand Managers'!A:A,'Brand Managers'!B:B)</f>
        <v>Tom Gibbons</v>
      </c>
      <c r="D465" s="202"/>
      <c r="E465" s="202"/>
      <c r="F465" s="203" t="str">
        <f t="shared" si="210"/>
        <v>American Fruits|</v>
      </c>
      <c r="G465" s="203" t="str">
        <f t="shared" si="239"/>
        <v>American Fruits|||</v>
      </c>
      <c r="H465" s="144">
        <f>_xlfn.XLOOKUP(F465,'DATA - 2025 Review'!C:C,'DATA - 2025 Review'!I:I,"")</f>
        <v>8</v>
      </c>
      <c r="I465" s="145">
        <f>_xlfn.XLOOKUP(F465,'DATA - 2025 Review'!C:C,'DATA - 2025 Review'!J:J)</f>
        <v>0</v>
      </c>
      <c r="J465" s="144">
        <f>_xlfn.XLOOKUP(F465,'2025 Finish (ACTUAL)'!$C:$C,'2025 Finish (ACTUAL)'!$D:$D)</f>
        <v>10.5</v>
      </c>
      <c r="K465" s="145">
        <f>L465/J465</f>
        <v>0</v>
      </c>
      <c r="L465" s="147">
        <f>SUMIF(B:B,A465,L:L)</f>
        <v>0</v>
      </c>
      <c r="M465" s="147">
        <f>SUMIF(B:B,A465,M:M)</f>
        <v>10.5</v>
      </c>
      <c r="N465" s="145">
        <f>O465/J465</f>
        <v>0</v>
      </c>
      <c r="O465" s="147">
        <f>SUMIF(B:B,A465,O:O)</f>
        <v>0</v>
      </c>
      <c r="P465" s="148">
        <f>SUMIF(B:B,A465,P:P)</f>
        <v>10.5</v>
      </c>
    </row>
    <row r="466" spans="1:16" x14ac:dyDescent="0.25">
      <c r="A466" s="149" t="s">
        <v>104</v>
      </c>
      <c r="B466" s="5" t="s">
        <v>370</v>
      </c>
      <c r="C466" s="299" t="str">
        <f>_xlfn.XLOOKUP(B466,'Brand Managers'!A:A,'Brand Managers'!B:B)</f>
        <v>Tom Gibbons</v>
      </c>
      <c r="D466" s="42" t="str">
        <f>_xlfn.XLOOKUP(F466,'DATA - Segments'!C:C,'DATA - Segments'!D:D)</f>
        <v>Spirits</v>
      </c>
      <c r="E466" s="42" t="str">
        <f>_xlfn.XLOOKUP(F466,'DATA - Segments'!C:C,'DATA - Segments'!E:E)</f>
        <v>Spirits - Brandy</v>
      </c>
      <c r="F466" s="203" t="str">
        <f t="shared" si="210"/>
        <v>American Fruit|American Fruits</v>
      </c>
      <c r="G466" s="203" t="str">
        <f t="shared" si="239"/>
        <v>American Fruit|American Fruits|Spirits|Spirits - Brandy</v>
      </c>
      <c r="H466" s="150">
        <f>_xlfn.XLOOKUP(F466,'DATA - 2025 Review'!C:C,'DATA - 2025 Review'!I:I,"")</f>
        <v>8</v>
      </c>
      <c r="I466" s="151">
        <f>_xlfn.XLOOKUP(F466,'DATA - 2025 Review'!C:C,'DATA - 2025 Review'!J:J)</f>
        <v>0</v>
      </c>
      <c r="J466" s="150">
        <f>_xlfn.XLOOKUP(F466,'2025 Finish (ACTUAL)'!$C:$C,'2025 Finish (ACTUAL)'!$D:$D)</f>
        <v>10.5</v>
      </c>
      <c r="K466" s="146"/>
      <c r="L466" s="152">
        <f t="shared" ref="L466" si="252">K466*J466</f>
        <v>0</v>
      </c>
      <c r="M466" s="152">
        <f>L466+J466</f>
        <v>10.5</v>
      </c>
      <c r="N466" s="146"/>
      <c r="O466" s="152">
        <f>N466*J466</f>
        <v>0</v>
      </c>
      <c r="P466" s="69">
        <f>O466+J466</f>
        <v>10.5</v>
      </c>
    </row>
    <row r="467" spans="1:16" x14ac:dyDescent="0.25">
      <c r="A467" s="143" t="s">
        <v>258</v>
      </c>
      <c r="B467" s="202"/>
      <c r="C467" s="202" t="str">
        <f>_xlfn.XLOOKUP(A467,'Brand Managers'!A:A,'Brand Managers'!B:B)</f>
        <v>Jason Koo</v>
      </c>
      <c r="D467" s="202"/>
      <c r="E467" s="202"/>
      <c r="F467" s="203" t="str">
        <f t="shared" si="210"/>
        <v>Alte Beverage|</v>
      </c>
      <c r="G467" s="203" t="str">
        <f t="shared" si="239"/>
        <v>Alte Beverage|||</v>
      </c>
      <c r="H467" s="144">
        <f>_xlfn.XLOOKUP(F467,'DATA - 2025 Review'!C:C,'DATA - 2025 Review'!I:I,"")</f>
        <v>30</v>
      </c>
      <c r="I467" s="145">
        <f>_xlfn.XLOOKUP(F467,'DATA - 2025 Review'!C:C,'DATA - 2025 Review'!J:J)</f>
        <v>0</v>
      </c>
      <c r="J467" s="144">
        <f>_xlfn.XLOOKUP(F467,'2025 Finish (ACTUAL)'!$C:$C,'2025 Finish (ACTUAL)'!$D:$D)</f>
        <v>39</v>
      </c>
      <c r="K467" s="145">
        <f>L467/J467</f>
        <v>0</v>
      </c>
      <c r="L467" s="147">
        <f>SUMIF(B:B,A467,L:L)</f>
        <v>0</v>
      </c>
      <c r="M467" s="147">
        <f>SUMIF(B:B,A467,M:M)</f>
        <v>39</v>
      </c>
      <c r="N467" s="145">
        <f>O467/J467</f>
        <v>10</v>
      </c>
      <c r="O467" s="147">
        <f>SUMIF(B:B,A467,O:O)</f>
        <v>390</v>
      </c>
      <c r="P467" s="148">
        <f>SUMIF(B:B,A467,P:P)</f>
        <v>429</v>
      </c>
    </row>
    <row r="468" spans="1:16" x14ac:dyDescent="0.25">
      <c r="A468" s="149" t="s">
        <v>258</v>
      </c>
      <c r="B468" s="5" t="s">
        <v>258</v>
      </c>
      <c r="C468" s="299" t="str">
        <f>_xlfn.XLOOKUP(B468,'Brand Managers'!A:A,'Brand Managers'!B:B)</f>
        <v>Jason Koo</v>
      </c>
      <c r="D468" s="42" t="str">
        <f>_xlfn.XLOOKUP(F468,'DATA - Segments'!C:C,'DATA - Segments'!D:D)</f>
        <v>THC</v>
      </c>
      <c r="E468" s="42" t="str">
        <f>_xlfn.XLOOKUP(F468,'DATA - Segments'!C:C,'DATA - Segments'!E:E)</f>
        <v>THC</v>
      </c>
      <c r="F468" s="203" t="str">
        <f t="shared" si="210"/>
        <v>Alte Beverage|Alte Beverage</v>
      </c>
      <c r="G468" s="203" t="str">
        <f t="shared" si="239"/>
        <v>Alte Beverage|Alte Beverage|THC|THC</v>
      </c>
      <c r="H468" s="150">
        <f>_xlfn.XLOOKUP(F468,'DATA - 2025 Review'!C:C,'DATA - 2025 Review'!I:I,"")</f>
        <v>30</v>
      </c>
      <c r="I468" s="151">
        <f>_xlfn.XLOOKUP(F468,'DATA - 2025 Review'!C:C,'DATA - 2025 Review'!J:J)</f>
        <v>0</v>
      </c>
      <c r="J468" s="150">
        <f>_xlfn.XLOOKUP(F468,'2025 Finish (ACTUAL)'!$C:$C,'2025 Finish (ACTUAL)'!$D:$D)</f>
        <v>39</v>
      </c>
      <c r="K468" s="146"/>
      <c r="L468" s="152">
        <f t="shared" ref="L468" si="253">K468*J468</f>
        <v>0</v>
      </c>
      <c r="M468" s="152">
        <f>L468+J468</f>
        <v>39</v>
      </c>
      <c r="N468" s="146">
        <v>10</v>
      </c>
      <c r="O468" s="152">
        <f>N468*J468</f>
        <v>390</v>
      </c>
      <c r="P468" s="69">
        <f>O468+J468</f>
        <v>429</v>
      </c>
    </row>
    <row r="469" spans="1:16" x14ac:dyDescent="0.25">
      <c r="A469" s="143" t="s">
        <v>388</v>
      </c>
      <c r="B469" s="202"/>
      <c r="C469" s="202" t="str">
        <f>_xlfn.XLOOKUP(A469,'Brand Managers'!A:A,'Brand Managers'!B:B)</f>
        <v>Sean Donahue</v>
      </c>
      <c r="D469" s="202"/>
      <c r="E469" s="202"/>
      <c r="F469" s="203" t="str">
        <f t="shared" si="210"/>
        <v>Alias Brew Works|</v>
      </c>
      <c r="G469" s="203" t="str">
        <f t="shared" si="239"/>
        <v>Alias Brew Works|||</v>
      </c>
      <c r="H469" s="144">
        <f>_xlfn.XLOOKUP(F469,'DATA - 2025 Review'!C:C,'DATA - 2025 Review'!I:I,"")</f>
        <v>849.388913</v>
      </c>
      <c r="I469" s="145">
        <f>_xlfn.XLOOKUP(F469,'DATA - 2025 Review'!C:C,'DATA - 2025 Review'!J:J)</f>
        <v>0</v>
      </c>
      <c r="J469" s="144">
        <f>_xlfn.XLOOKUP(F469,'2025 Finish (ACTUAL)'!$C:$C,'2025 Finish (ACTUAL)'!$D:$D)</f>
        <v>857.388913</v>
      </c>
      <c r="K469" s="145">
        <f>L469/J469</f>
        <v>-1</v>
      </c>
      <c r="L469" s="147">
        <f>SUMIF(B:B,A469,L:L)</f>
        <v>-857.388913</v>
      </c>
      <c r="M469" s="147">
        <f>SUMIF(B:B,A469,M:M)</f>
        <v>0</v>
      </c>
      <c r="N469" s="145">
        <f>O469/J469</f>
        <v>-1</v>
      </c>
      <c r="O469" s="147">
        <f>SUMIF(B:B,A469,O:O)</f>
        <v>-857.388913</v>
      </c>
      <c r="P469" s="148">
        <f>SUMIF(B:B,A469,P:P)</f>
        <v>0</v>
      </c>
    </row>
    <row r="470" spans="1:16" x14ac:dyDescent="0.25">
      <c r="A470" s="156" t="s">
        <v>388</v>
      </c>
      <c r="B470" s="284" t="s">
        <v>388</v>
      </c>
      <c r="C470" s="284"/>
      <c r="D470" s="42" t="str">
        <f>_xlfn.XLOOKUP(F470,'DATA - Segments'!C:C,'DATA - Segments'!D:D)</f>
        <v>Beer</v>
      </c>
      <c r="E470" s="42" t="str">
        <f>_xlfn.XLOOKUP(F470,'DATA - Segments'!C:C,'DATA - Segments'!E:E)</f>
        <v>Beer - Craft</v>
      </c>
      <c r="F470" s="203" t="str">
        <f t="shared" si="210"/>
        <v>Alias Brew Works|Alias Brew Works</v>
      </c>
      <c r="G470" s="203" t="str">
        <f t="shared" si="239"/>
        <v>Alias Brew Works|Alias Brew Works|Beer|Beer - Craft</v>
      </c>
      <c r="H470" s="273">
        <f>_xlfn.XLOOKUP(F470,'DATA - 2025 Review'!C:C,'DATA - 2025 Review'!I:I,"")</f>
        <v>849.388913</v>
      </c>
      <c r="I470" s="281">
        <f>_xlfn.XLOOKUP(F470,'DATA - 2025 Review'!C:C,'DATA - 2025 Review'!J:J)</f>
        <v>0</v>
      </c>
      <c r="J470" s="273">
        <f>_xlfn.XLOOKUP(F470,'2025 Finish (ACTUAL)'!$C:$C,'2025 Finish (ACTUAL)'!$D:$D)</f>
        <v>857.388913</v>
      </c>
      <c r="K470" s="281">
        <v>-1</v>
      </c>
      <c r="L470" s="274">
        <f t="shared" ref="L470:L472" si="254">K470*J470</f>
        <v>-857.388913</v>
      </c>
      <c r="M470" s="274">
        <f>L470+J470</f>
        <v>0</v>
      </c>
      <c r="N470" s="281">
        <v>-1</v>
      </c>
      <c r="O470" s="274">
        <f>N470*J470</f>
        <v>-857.388913</v>
      </c>
      <c r="P470" s="275">
        <f>O470+J470</f>
        <v>0</v>
      </c>
    </row>
    <row r="471" spans="1:16" x14ac:dyDescent="0.25">
      <c r="A471" s="143" t="s">
        <v>338</v>
      </c>
      <c r="B471" s="202"/>
      <c r="C471" s="202" t="str">
        <f>_xlfn.XLOOKUP(A471,'Brand Managers'!A:A,'Brand Managers'!B:B)</f>
        <v/>
      </c>
      <c r="D471" s="202"/>
      <c r="E471" s="202"/>
      <c r="F471" s="203" t="str">
        <f t="shared" si="210"/>
        <v>Berczy LLC|</v>
      </c>
      <c r="G471" s="203" t="str">
        <f t="shared" si="239"/>
        <v>Berczy LLC|||</v>
      </c>
      <c r="H471" s="144">
        <f>_xlfn.XLOOKUP(F471,'DATA - 2025 Review'!C:C,'DATA - 2025 Review'!I:I,"")</f>
        <v>-6.9230750000000008</v>
      </c>
      <c r="I471" s="145">
        <f>_xlfn.XLOOKUP(F471,'DATA - 2025 Review'!C:C,'DATA - 2025 Review'!J:J)</f>
        <v>-0.61538472222222218</v>
      </c>
      <c r="J471" s="144">
        <f>_xlfn.XLOOKUP(F471,'2025 Finish (ACTUAL)'!$C:$C,'2025 Finish (ACTUAL)'!$D:$D)</f>
        <v>5</v>
      </c>
      <c r="K471" s="145">
        <f>L471/J471</f>
        <v>0</v>
      </c>
      <c r="L471" s="147">
        <f>SUMIF(B:B,A471,L:L)</f>
        <v>0</v>
      </c>
      <c r="M471" s="147">
        <f>SUMIF(B:B,A471,M:M)</f>
        <v>5</v>
      </c>
      <c r="N471" s="145">
        <f>O471/J471</f>
        <v>0</v>
      </c>
      <c r="O471" s="147">
        <f>SUMIF(B:B,A471,O:O)</f>
        <v>0</v>
      </c>
      <c r="P471" s="148">
        <f>SUMIF(B:B,A471,P:P)</f>
        <v>5</v>
      </c>
    </row>
    <row r="472" spans="1:16" ht="15.75" thickBot="1" x14ac:dyDescent="0.3">
      <c r="A472" s="158" t="s">
        <v>156</v>
      </c>
      <c r="B472" s="159" t="s">
        <v>338</v>
      </c>
      <c r="C472" s="300" t="str">
        <f>_xlfn.XLOOKUP(B472,'Brand Managers'!A:A,'Brand Managers'!B:B)</f>
        <v/>
      </c>
      <c r="D472" s="297" t="str">
        <f>_xlfn.XLOOKUP(F472,'DATA - Segments'!C:C,'DATA - Segments'!D:D)</f>
        <v>RTD</v>
      </c>
      <c r="E472" s="297" t="str">
        <f>_xlfn.XLOOKUP(F472,'DATA - Segments'!C:C,'DATA - Segments'!E:E)</f>
        <v>RTD</v>
      </c>
      <c r="F472" s="160" t="str">
        <f t="shared" si="210"/>
        <v>Berczy|Berczy LLC</v>
      </c>
      <c r="G472" s="160" t="str">
        <f t="shared" si="239"/>
        <v>Berczy|Berczy LLC|RTD|RTD</v>
      </c>
      <c r="H472" s="161">
        <f>_xlfn.XLOOKUP(F472,'DATA - 2025 Review'!C:C,'DATA - 2025 Review'!I:I,"")</f>
        <v>-6.9230750000000008</v>
      </c>
      <c r="I472" s="162">
        <f>_xlfn.XLOOKUP(F472,'DATA - 2025 Review'!C:C,'DATA - 2025 Review'!J:J)</f>
        <v>-0.61538472222222218</v>
      </c>
      <c r="J472" s="161">
        <f>_xlfn.XLOOKUP(F472,'2025 Finish (ACTUAL)'!$C:$C,'2025 Finish (ACTUAL)'!$D:$D)</f>
        <v>5</v>
      </c>
      <c r="K472" s="163"/>
      <c r="L472" s="164">
        <f t="shared" si="254"/>
        <v>0</v>
      </c>
      <c r="M472" s="164">
        <f>L472+J472</f>
        <v>5</v>
      </c>
      <c r="N472" s="163"/>
      <c r="O472" s="164">
        <f>N472*J472</f>
        <v>0</v>
      </c>
      <c r="P472" s="71">
        <f>O472+J472</f>
        <v>5</v>
      </c>
    </row>
    <row r="473" spans="1:16" x14ac:dyDescent="0.25">
      <c r="A473" s="6"/>
      <c r="B473" s="6"/>
      <c r="C473" s="6"/>
      <c r="D473" s="6"/>
      <c r="E473" s="6"/>
      <c r="F473" s="298"/>
      <c r="G473" s="298"/>
      <c r="K473" s="175">
        <f ca="1">AVERAGEIF(E:E,E208,K4:K366)</f>
        <v>-0.13080080520867352</v>
      </c>
    </row>
  </sheetData>
  <autoFilter ref="A1:P473" xr:uid="{0B89D3B5-6C8E-452F-AADC-FDC07EB5E632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78B29-2A1F-4E15-9CE0-31C759F8033E}">
  <sheetPr>
    <tabColor rgb="FFFFFF00"/>
  </sheetPr>
  <dimension ref="B1:N32"/>
  <sheetViews>
    <sheetView workbookViewId="0">
      <selection activeCell="G8" sqref="G8"/>
    </sheetView>
  </sheetViews>
  <sheetFormatPr defaultRowHeight="15" x14ac:dyDescent="0.25"/>
  <cols>
    <col min="2" max="2" width="13" bestFit="1" customWidth="1"/>
    <col min="3" max="3" width="20.140625" bestFit="1" customWidth="1"/>
    <col min="4" max="4" width="17.85546875" bestFit="1" customWidth="1"/>
    <col min="5" max="5" width="26.7109375" bestFit="1" customWidth="1"/>
    <col min="6" max="6" width="25" bestFit="1" customWidth="1"/>
    <col min="7" max="7" width="32.140625" bestFit="1" customWidth="1"/>
    <col min="8" max="8" width="26.7109375" style="28" bestFit="1" customWidth="1"/>
    <col min="9" max="9" width="25" style="28" bestFit="1" customWidth="1"/>
    <col min="10" max="10" width="32.140625" style="237" bestFit="1" customWidth="1"/>
    <col min="11" max="11" width="23" style="219" bestFit="1" customWidth="1"/>
  </cols>
  <sheetData>
    <row r="1" spans="2:14" x14ac:dyDescent="0.25">
      <c r="G1" s="244" t="s">
        <v>561</v>
      </c>
      <c r="J1" s="244" t="s">
        <v>561</v>
      </c>
    </row>
    <row r="2" spans="2:14" x14ac:dyDescent="0.25">
      <c r="G2" s="242" t="s">
        <v>562</v>
      </c>
      <c r="J2" s="242" t="s">
        <v>562</v>
      </c>
    </row>
    <row r="3" spans="2:14" ht="15.75" thickBot="1" x14ac:dyDescent="0.3">
      <c r="G3" s="243" t="s">
        <v>563</v>
      </c>
      <c r="J3" s="243" t="s">
        <v>563</v>
      </c>
    </row>
    <row r="5" spans="2:14" ht="16.149999999999999" customHeight="1" thickBot="1" x14ac:dyDescent="0.3"/>
    <row r="6" spans="2:14" ht="14.45" customHeight="1" x14ac:dyDescent="0.25">
      <c r="B6" s="246" t="s">
        <v>548</v>
      </c>
      <c r="C6" s="247" t="s">
        <v>551</v>
      </c>
      <c r="D6" s="247" t="s">
        <v>558</v>
      </c>
      <c r="E6" s="233" t="s">
        <v>556</v>
      </c>
      <c r="F6" s="234" t="s">
        <v>557</v>
      </c>
      <c r="G6" s="248" t="s">
        <v>555</v>
      </c>
      <c r="H6" s="235" t="s">
        <v>488</v>
      </c>
      <c r="I6" s="236" t="s">
        <v>491</v>
      </c>
      <c r="J6" s="238" t="s">
        <v>560</v>
      </c>
    </row>
    <row r="7" spans="2:14" ht="14.45" customHeight="1" x14ac:dyDescent="0.25">
      <c r="B7" s="251" t="s">
        <v>559</v>
      </c>
      <c r="C7" s="252"/>
      <c r="D7" s="229">
        <f>SUM(D8:D32)</f>
        <v>7068821.0670166817</v>
      </c>
      <c r="E7" s="230">
        <f>H7/D7</f>
        <v>-6.5708511198263424E-3</v>
      </c>
      <c r="F7" s="230">
        <f>I7/D7</f>
        <v>-2.465843732139826E-2</v>
      </c>
      <c r="G7" s="249">
        <f>AVERAGE(G8:G16,G18:G21)</f>
        <v>0.28918264855159387</v>
      </c>
      <c r="H7" s="231">
        <f>SUM(H8:H32)</f>
        <v>-46448.170824058601</v>
      </c>
      <c r="I7" s="231">
        <f>SUM(I8:I32)</f>
        <v>-174306.08121721042</v>
      </c>
      <c r="J7" s="250">
        <f>SUM(J8:J32)</f>
        <v>127857.9103931518</v>
      </c>
    </row>
    <row r="8" spans="2:14" x14ac:dyDescent="0.25">
      <c r="B8" s="223" t="s">
        <v>512</v>
      </c>
      <c r="C8" s="221" t="s">
        <v>515</v>
      </c>
      <c r="D8" s="227">
        <f>SUMIF('2026 Planning by Brand'!$E:$E,'2026 Planning by Brand'!$E$4,'2026 Planning by Brand'!H:H)</f>
        <v>3525505.5431978088</v>
      </c>
      <c r="E8" s="222">
        <f>AVERAGEIF('2026 Planning by Brand'!$E:$E,'2026 Planning by Brand'!$E$4,'2026 Planning by Brand'!K:K)</f>
        <v>-3.4654166666666666E-2</v>
      </c>
      <c r="F8" s="222">
        <f>AVERAGEIF('2026 Planning by Brand'!$E:$E,'2026 Planning by Brand'!$E$4,'2026 Planning by Brand'!N:N)</f>
        <v>-3.440365853658537E-2</v>
      </c>
      <c r="G8" s="222">
        <f t="shared" ref="G8:G32" si="0">E8-F8</f>
        <v>-2.5050813008129641E-4</v>
      </c>
      <c r="H8" s="227">
        <f>SUMIF('2026 Planning by Brand'!$E:$E,'2026 Planning by Brand'!$E$4,'2026 Planning by Brand'!L:L)</f>
        <v>-8467.0826579184049</v>
      </c>
      <c r="I8" s="227">
        <f>SUMIF('2026 Planning by Brand'!$E:$E,'2026 Planning by Brand'!$E$4,'2026 Planning by Brand'!O:O)</f>
        <v>-75121.0872024204</v>
      </c>
      <c r="J8" s="239">
        <f>H8-I8</f>
        <v>66654.004544501993</v>
      </c>
    </row>
    <row r="9" spans="2:14" x14ac:dyDescent="0.25">
      <c r="B9" s="223" t="s">
        <v>512</v>
      </c>
      <c r="C9" s="221" t="s">
        <v>543</v>
      </c>
      <c r="D9" s="227">
        <f>SUMIF('2026 Planning by Brand'!$E:$E,'2026 Planning by Brand'!$E$25,'2026 Planning by Brand'!H:H)</f>
        <v>1433166.9685013541</v>
      </c>
      <c r="E9" s="222">
        <f>AVERAGEIF('2026 Planning by Brand'!$E:$E,'2026 Planning by Brand'!$E$25,'2026 Planning by Brand'!K:K)</f>
        <v>-3.2250000000000001E-2</v>
      </c>
      <c r="F9" s="222">
        <f>AVERAGEIF('2026 Planning by Brand'!$E:$E,'2026 Planning by Brand'!$E$25,'2026 Planning by Brand'!N:N)</f>
        <v>-2.8750000000000001E-2</v>
      </c>
      <c r="G9" s="222">
        <f t="shared" si="0"/>
        <v>-3.4999999999999996E-3</v>
      </c>
      <c r="H9" s="227">
        <f>SUMIF('2026 Planning by Brand'!$E:$E,'2026 Planning by Brand'!$E$25,'2026 Planning by Brand'!L:L)</f>
        <v>-58887.909895197001</v>
      </c>
      <c r="I9" s="227">
        <f>SUMIF('2026 Planning by Brand'!$E:$E,'2026 Planning by Brand'!$E$25,'2026 Planning by Brand'!O:O)</f>
        <v>-58845.731006094997</v>
      </c>
      <c r="J9" s="239">
        <f t="shared" ref="J9:J32" si="1">H9-I9</f>
        <v>-42.178889102004177</v>
      </c>
      <c r="N9" s="220"/>
    </row>
    <row r="10" spans="2:14" x14ac:dyDescent="0.25">
      <c r="B10" s="223" t="s">
        <v>512</v>
      </c>
      <c r="C10" s="221" t="s">
        <v>534</v>
      </c>
      <c r="D10" s="227">
        <f>SUMIF('2026 Planning by Brand'!$E:$E,'2026 Planning by Brand'!$E$26,'2026 Planning by Brand'!H:H)</f>
        <v>438231.58051637129</v>
      </c>
      <c r="E10" s="222">
        <f>AVERAGEIF('2026 Planning by Brand'!$E:$E,'2026 Planning by Brand'!$E$26,'2026 Planning by Brand'!K:K)</f>
        <v>-8.7103448275862097E-2</v>
      </c>
      <c r="F10" s="222">
        <f>AVERAGEIF('2026 Planning by Brand'!$E:$E,'2026 Planning by Brand'!$E$26,'2026 Planning by Brand'!N:N)</f>
        <v>-9.0068965517241362E-2</v>
      </c>
      <c r="G10" s="222">
        <f t="shared" si="0"/>
        <v>2.9655172413792646E-3</v>
      </c>
      <c r="H10" s="227">
        <f>SUMIF('2026 Planning by Brand'!$E:$E,'2026 Planning by Brand'!$E$26,'2026 Planning by Brand'!L:L)</f>
        <v>-15390.409640116002</v>
      </c>
      <c r="I10" s="227">
        <f>SUMIF('2026 Planning by Brand'!$E:$E,'2026 Planning by Brand'!$E$26,'2026 Planning by Brand'!O:O)</f>
        <v>-24641.277745432999</v>
      </c>
      <c r="J10" s="239">
        <f t="shared" si="1"/>
        <v>9250.8681053169967</v>
      </c>
    </row>
    <row r="11" spans="2:14" x14ac:dyDescent="0.25">
      <c r="B11" s="223" t="s">
        <v>512</v>
      </c>
      <c r="C11" s="245" t="s">
        <v>511</v>
      </c>
      <c r="D11" s="227">
        <f>SUMIF('2026 Planning by Brand'!$E:$E,'2026 Planning by Brand'!$E$24,'2026 Planning by Brand'!H:H)</f>
        <v>795816.78234923491</v>
      </c>
      <c r="E11" s="222">
        <f>AVERAGEIF('2026 Planning by Brand'!$E:$E,'2026 Planning by Brand'!$E$24,'2026 Planning by Brand'!K:K)</f>
        <v>-6.1688461538461532E-2</v>
      </c>
      <c r="F11" s="222">
        <f>AVERAGEIF('2026 Planning by Brand'!$E:$E,'2026 Planning by Brand'!$E$24,'2026 Planning by Brand'!N:N)</f>
        <v>-0.11057407407407407</v>
      </c>
      <c r="G11" s="232">
        <f t="shared" si="0"/>
        <v>4.8885612535612542E-2</v>
      </c>
      <c r="H11" s="227">
        <f>SUMIF('2026 Planning by Brand'!$E:$E,'2026 Planning by Brand'!$E$24,'2026 Planning by Brand'!L:L)</f>
        <v>-8634.2606669331963</v>
      </c>
      <c r="I11" s="227">
        <f>SUMIF('2026 Planning by Brand'!$E:$E,'2026 Planning by Brand'!$E$24,'2026 Planning by Brand'!O:O)</f>
        <v>-19776.763082743</v>
      </c>
      <c r="J11" s="241">
        <f t="shared" si="1"/>
        <v>11142.502415809804</v>
      </c>
    </row>
    <row r="12" spans="2:14" x14ac:dyDescent="0.25">
      <c r="B12" s="223" t="s">
        <v>512</v>
      </c>
      <c r="C12" s="221" t="s">
        <v>529</v>
      </c>
      <c r="D12" s="227">
        <f>SUMIF('2026 Planning by Brand'!$E:$E,'2026 Planning by Brand'!$E$47,'2026 Planning by Brand'!H:H)</f>
        <v>64650.281272168955</v>
      </c>
      <c r="E12" s="222">
        <f>AVERAGEIF('2026 Planning by Brand'!$E:$E,'2026 Planning by Brand'!$E$47,'2026 Planning by Brand'!K:K)</f>
        <v>6.900000000000002E-2</v>
      </c>
      <c r="F12" s="222">
        <f>AVERAGEIF('2026 Planning by Brand'!$E:$E,'2026 Planning by Brand'!$E$47,'2026 Planning by Brand'!N:N)</f>
        <v>5.3428571428571429E-2</v>
      </c>
      <c r="G12" s="222">
        <f t="shared" si="0"/>
        <v>1.557142857142859E-2</v>
      </c>
      <c r="H12" s="227">
        <f>SUMIF('2026 Planning by Brand'!$E:$E,'2026 Planning by Brand'!$E$47,'2026 Planning by Brand'!L:L)</f>
        <v>6801.8709590479993</v>
      </c>
      <c r="I12" s="227">
        <f>SUMIF('2026 Planning by Brand'!$E:$E,'2026 Planning by Brand'!$E$47,'2026 Planning by Brand'!O:O)</f>
        <v>6510.9665497199994</v>
      </c>
      <c r="J12" s="239">
        <f t="shared" si="1"/>
        <v>290.90440932799993</v>
      </c>
    </row>
    <row r="13" spans="2:14" x14ac:dyDescent="0.25">
      <c r="B13" s="223" t="s">
        <v>512</v>
      </c>
      <c r="C13" s="221" t="s">
        <v>546</v>
      </c>
      <c r="D13" s="227">
        <f>SUMIF('2026 Planning by Brand'!$E:$E,'2026 Planning by Brand'!$E$36,'2026 Planning by Brand'!H:H)</f>
        <v>10440.149675000001</v>
      </c>
      <c r="E13" s="222">
        <f>AVERAGEIF('2026 Planning by Brand'!$E:$E,'2026 Planning by Brand'!$E$36,'2026 Planning by Brand'!K:K)</f>
        <v>-2.5999999999999999E-2</v>
      </c>
      <c r="F13" s="222">
        <f>AVERAGEIF('2026 Planning by Brand'!$E:$E,'2026 Planning by Brand'!$E$36,'2026 Planning by Brand'!N:N)</f>
        <v>-2.5999999999999999E-2</v>
      </c>
      <c r="G13" s="222">
        <f t="shared" si="0"/>
        <v>0</v>
      </c>
      <c r="H13" s="227">
        <f>SUMIF('2026 Planning by Brand'!$E:$E,'2026 Planning by Brand'!$E$36,'2026 Planning by Brand'!L:L)</f>
        <v>-274.70299999999997</v>
      </c>
      <c r="I13" s="227">
        <f>SUMIF('2026 Planning by Brand'!$E:$E,'2026 Planning by Brand'!$E$36,'2026 Planning by Brand'!O:O)</f>
        <v>-274.70299999999997</v>
      </c>
      <c r="J13" s="239">
        <f t="shared" si="1"/>
        <v>0</v>
      </c>
    </row>
    <row r="14" spans="2:14" x14ac:dyDescent="0.25">
      <c r="B14" s="223" t="s">
        <v>541</v>
      </c>
      <c r="C14" s="221" t="s">
        <v>541</v>
      </c>
      <c r="D14" s="227">
        <f>SUMIF('2026 Planning by Brand'!$E:$E,'2026 Planning by Brand'!$E$70,'2026 Planning by Brand'!H:H)</f>
        <v>80279.239377743637</v>
      </c>
      <c r="E14" s="222">
        <f>AVERAGEIF('2026 Planning by Brand'!$E:$E,'2026 Planning by Brand'!$E$70,'2026 Planning by Brand'!K:K)</f>
        <v>1.55E-2</v>
      </c>
      <c r="F14" s="222">
        <f>AVERAGEIF('2026 Planning by Brand'!$E:$E,'2026 Planning by Brand'!$E$70,'2026 Planning by Brand'!N:N)</f>
        <v>-5.1000000000000004E-2</v>
      </c>
      <c r="G14" s="222">
        <f t="shared" si="0"/>
        <v>6.6500000000000004E-2</v>
      </c>
      <c r="H14" s="227">
        <f>SUMIF('2026 Planning by Brand'!$E:$E,'2026 Planning by Brand'!$E$70,'2026 Planning by Brand'!L:L)</f>
        <v>-1160.4659550840004</v>
      </c>
      <c r="I14" s="227">
        <f>SUMIF('2026 Planning by Brand'!$E:$E,'2026 Planning by Brand'!$E$70,'2026 Planning by Brand'!O:O)</f>
        <v>1102.10269505</v>
      </c>
      <c r="J14" s="239">
        <f t="shared" si="1"/>
        <v>-2262.5686501340006</v>
      </c>
      <c r="K14" s="219" t="s">
        <v>564</v>
      </c>
    </row>
    <row r="15" spans="2:14" x14ac:dyDescent="0.25">
      <c r="B15" s="223" t="s">
        <v>528</v>
      </c>
      <c r="C15" s="245" t="s">
        <v>528</v>
      </c>
      <c r="D15" s="227">
        <f>SUMIF('2026 Planning by Brand'!$E:$E,'2026 Planning by Brand'!$E$44,'2026 Planning by Brand'!H:H)</f>
        <v>237577.32717207226</v>
      </c>
      <c r="E15" s="222">
        <f>AVERAGEIF('2026 Planning by Brand'!$E:$E,'2026 Planning by Brand'!$E$44,'2026 Planning by Brand'!K:K)</f>
        <v>0.35592857142857143</v>
      </c>
      <c r="F15" s="222">
        <f>AVERAGEIF('2026 Planning by Brand'!$E:$E,'2026 Planning by Brand'!$E$44,'2026 Planning by Brand'!N:N)</f>
        <v>0.22432142857142853</v>
      </c>
      <c r="G15" s="232">
        <f t="shared" si="0"/>
        <v>0.13160714285714289</v>
      </c>
      <c r="H15" s="227">
        <f>SUMIF('2026 Planning by Brand'!$E:$E,'2026 Planning by Brand'!$E$44,'2026 Planning by Brand'!L:L)</f>
        <v>-19154.883857699995</v>
      </c>
      <c r="I15" s="227">
        <f>SUMIF('2026 Planning by Brand'!$E:$E,'2026 Planning by Brand'!$E$44,'2026 Planning by Brand'!O:O)</f>
        <v>-25970.269245424999</v>
      </c>
      <c r="J15" s="241">
        <f t="shared" si="1"/>
        <v>6815.385387725004</v>
      </c>
    </row>
    <row r="16" spans="2:14" x14ac:dyDescent="0.25">
      <c r="B16" s="223" t="s">
        <v>514</v>
      </c>
      <c r="C16" s="221" t="s">
        <v>545</v>
      </c>
      <c r="D16" s="227">
        <f>SUMIF('2026 Planning by Brand'!$E:$E,'2026 Planning by Brand'!$E$221,'2026 Planning by Brand'!H:H)</f>
        <v>7223.3167013501125</v>
      </c>
      <c r="E16" s="222">
        <f>AVERAGEIF('2026 Planning by Brand'!$E:$E,'2026 Planning by Brand'!$E$221,'2026 Planning by Brand'!K:K)</f>
        <v>0.06</v>
      </c>
      <c r="F16" s="222">
        <f>AVERAGEIF('2026 Planning by Brand'!$E:$E,'2026 Planning by Brand'!$E$221,'2026 Planning by Brand'!N:N)</f>
        <v>0.06</v>
      </c>
      <c r="G16" s="222">
        <f t="shared" si="0"/>
        <v>0</v>
      </c>
      <c r="H16" s="227">
        <f>SUMIF('2026 Planning by Brand'!$E:$E,'2026 Planning by Brand'!$E$221,'2026 Planning by Brand'!L:L)</f>
        <v>426.38840088000001</v>
      </c>
      <c r="I16" s="227">
        <f>SUMIF('2026 Planning by Brand'!$E:$E,'2026 Planning by Brand'!$E$221,'2026 Planning by Brand'!O:O)</f>
        <v>426.38840088000001</v>
      </c>
      <c r="J16" s="239">
        <f t="shared" si="1"/>
        <v>0</v>
      </c>
    </row>
    <row r="17" spans="2:10" x14ac:dyDescent="0.25">
      <c r="B17" s="223" t="s">
        <v>514</v>
      </c>
      <c r="C17" s="221" t="s">
        <v>544</v>
      </c>
      <c r="D17" s="227">
        <f>SUMIF('2026 Planning by Brand'!$E:$E,'2026 Planning by Brand'!$E$233,'2026 Planning by Brand'!H:H)</f>
        <v>6689.2372079660872</v>
      </c>
      <c r="E17" s="222" t="e">
        <f>AVERAGEIF('2026 Planning by Brand'!$E:$E,'2026 Planning by Brand'!$E$233,'2026 Planning by Brand'!K:K)</f>
        <v>#DIV/0!</v>
      </c>
      <c r="F17" s="222">
        <f>AVERAGEIF('2026 Planning by Brand'!$E:$E,'2026 Planning by Brand'!$E$233,'2026 Planning by Brand'!N:N)</f>
        <v>0</v>
      </c>
      <c r="G17" s="222" t="e">
        <f t="shared" si="0"/>
        <v>#DIV/0!</v>
      </c>
      <c r="H17" s="227">
        <f>SUMIF('2026 Planning by Brand'!$E:$E,'2026 Planning by Brand'!$E$233,'2026 Planning by Brand'!L:L)</f>
        <v>0</v>
      </c>
      <c r="I17" s="227">
        <f>SUMIF('2026 Planning by Brand'!$E:$E,'2026 Planning by Brand'!$E$233,'2026 Planning by Brand'!O:O)</f>
        <v>0</v>
      </c>
      <c r="J17" s="239">
        <f t="shared" si="1"/>
        <v>0</v>
      </c>
    </row>
    <row r="18" spans="2:10" x14ac:dyDescent="0.25">
      <c r="B18" s="223" t="s">
        <v>514</v>
      </c>
      <c r="C18" s="221" t="s">
        <v>513</v>
      </c>
      <c r="D18" s="227">
        <f>SUMIF('2026 Planning by Brand'!$E:$E,'2026 Planning by Brand'!$E$55,'2026 Planning by Brand'!H:H)</f>
        <v>3464.1848801991441</v>
      </c>
      <c r="E18" s="222">
        <f>AVERAGEIF('2026 Planning by Brand'!$E:$E,'2026 Planning by Brand'!$E$55,'2026 Planning by Brand'!K:K)</f>
        <v>1.4233333333333331</v>
      </c>
      <c r="F18" s="222">
        <f>AVERAGEIF('2026 Planning by Brand'!$E:$E,'2026 Planning by Brand'!$E$55,'2026 Planning by Brand'!N:N)</f>
        <v>0.16666666666666666</v>
      </c>
      <c r="G18" s="222">
        <f t="shared" si="0"/>
        <v>1.2566666666666664</v>
      </c>
      <c r="H18" s="227">
        <f>SUMIF('2026 Planning by Brand'!$E:$E,'2026 Planning by Brand'!$E$55,'2026 Planning by Brand'!L:L)</f>
        <v>21734.890808829998</v>
      </c>
      <c r="I18" s="227">
        <f>SUMIF('2026 Planning by Brand'!$E:$E,'2026 Planning by Brand'!$E$55,'2026 Planning by Brand'!O:O)</f>
        <v>8650.2638584999986</v>
      </c>
      <c r="J18" s="239">
        <f t="shared" si="1"/>
        <v>13084.626950329999</v>
      </c>
    </row>
    <row r="19" spans="2:10" x14ac:dyDescent="0.25">
      <c r="B19" s="223" t="s">
        <v>514</v>
      </c>
      <c r="C19" s="221" t="s">
        <v>540</v>
      </c>
      <c r="D19" s="227">
        <f>SUMIF('2026 Planning by Brand'!$E:$E,'2026 Planning by Brand'!$E$331,'2026 Planning by Brand'!H:H)</f>
        <v>306.63962580054499</v>
      </c>
      <c r="E19" s="222">
        <f>AVERAGEIF('2026 Planning by Brand'!$E:$E,'2026 Planning by Brand'!$E$331,'2026 Planning by Brand'!K:K)</f>
        <v>1.625</v>
      </c>
      <c r="F19" s="222">
        <f>AVERAGEIF('2026 Planning by Brand'!$E:$E,'2026 Planning by Brand'!$E$331,'2026 Planning by Brand'!N:N)</f>
        <v>-0.375</v>
      </c>
      <c r="G19" s="222">
        <f t="shared" si="0"/>
        <v>2</v>
      </c>
      <c r="H19" s="227">
        <f>SUMIF('2026 Planning by Brand'!$E:$E,'2026 Planning by Brand'!$E$331,'2026 Planning by Brand'!L:L)</f>
        <v>158.7601755</v>
      </c>
      <c r="I19" s="227">
        <f>SUMIF('2026 Planning by Brand'!$E:$E,'2026 Planning by Brand'!$E$331,'2026 Planning by Brand'!O:O)</f>
        <v>-81.239944500000007</v>
      </c>
      <c r="J19" s="239">
        <f t="shared" si="1"/>
        <v>240.00012000000001</v>
      </c>
    </row>
    <row r="20" spans="2:10" x14ac:dyDescent="0.25">
      <c r="B20" s="223" t="s">
        <v>510</v>
      </c>
      <c r="C20" s="245" t="s">
        <v>510</v>
      </c>
      <c r="D20" s="227">
        <f>SUMIF('2026 Planning by Brand'!$E:$E,'2026 Planning by Brand'!$E$18,'2026 Planning by Brand'!H:H)</f>
        <v>102278.71942276953</v>
      </c>
      <c r="E20" s="222">
        <f>AVERAGEIF('2026 Planning by Brand'!$E:$E,'2026 Planning by Brand'!$E$18,'2026 Planning by Brand'!K:K)</f>
        <v>1.9070714285714285</v>
      </c>
      <c r="F20" s="222">
        <f>AVERAGEIF('2026 Planning by Brand'!$E:$E,'2026 Planning by Brand'!$E$18,'2026 Planning by Brand'!N:N)</f>
        <v>1.6746428571428571</v>
      </c>
      <c r="G20" s="232">
        <f t="shared" si="0"/>
        <v>0.23242857142857143</v>
      </c>
      <c r="H20" s="227">
        <f>SUMIF('2026 Planning by Brand'!$E:$E,'2026 Planning by Brand'!$E$18,'2026 Planning by Brand'!L:L)</f>
        <v>72048.614777234005</v>
      </c>
      <c r="I20" s="227">
        <f>SUMIF('2026 Planning by Brand'!$E:$E,'2026 Planning by Brand'!$E$18,'2026 Planning by Brand'!O:O)</f>
        <v>48080.368827050006</v>
      </c>
      <c r="J20" s="241">
        <f t="shared" si="1"/>
        <v>23968.245950183999</v>
      </c>
    </row>
    <row r="21" spans="2:10" x14ac:dyDescent="0.25">
      <c r="B21" s="223" t="s">
        <v>542</v>
      </c>
      <c r="C21" s="221" t="s">
        <v>542</v>
      </c>
      <c r="D21" s="227">
        <f>SUMIF('2026 Planning by Brand'!$E:$E,'2026 Planning by Brand'!$E$80,'2026 Planning by Brand'!H:H)</f>
        <v>336213.79194151732</v>
      </c>
      <c r="E21" s="222">
        <f>AVERAGEIF('2026 Planning by Brand'!$E:$E,'2026 Planning by Brand'!$E$80,'2026 Planning by Brand'!K:K)</f>
        <v>-0.3085</v>
      </c>
      <c r="F21" s="222">
        <f>AVERAGEIF('2026 Planning by Brand'!$E:$E,'2026 Planning by Brand'!$E$80,'2026 Planning by Brand'!N:N)</f>
        <v>-0.317</v>
      </c>
      <c r="G21" s="222">
        <f t="shared" si="0"/>
        <v>8.5000000000000075E-3</v>
      </c>
      <c r="H21" s="227">
        <f>SUMIF('2026 Planning by Brand'!$E:$E,'2026 Planning by Brand'!$E$80,'2026 Planning by Brand'!L:L)</f>
        <v>-35648.980272601999</v>
      </c>
      <c r="I21" s="227">
        <f>SUMIF('2026 Planning by Brand'!$E:$E,'2026 Planning by Brand'!$E$80,'2026 Planning by Brand'!O:O)</f>
        <v>-42943.261767873999</v>
      </c>
      <c r="J21" s="239">
        <f t="shared" si="1"/>
        <v>7294.281495272</v>
      </c>
    </row>
    <row r="22" spans="2:10" x14ac:dyDescent="0.25">
      <c r="B22" s="223" t="s">
        <v>518</v>
      </c>
      <c r="C22" s="221" t="s">
        <v>517</v>
      </c>
      <c r="D22" s="227">
        <f>SUMIF('2026 Planning by Brand'!$E:$E,'2026 Planning by Brand'!$E$215,'2026 Planning by Brand'!H:H)</f>
        <v>16986.597253914915</v>
      </c>
      <c r="E22" s="222" t="e">
        <f>AVERAGEIF('2026 Planning by Brand'!$E:$E,'2026 Planning by Brand'!$E$215,'2026 Planning by Brand'!K:K)</f>
        <v>#DIV/0!</v>
      </c>
      <c r="F22" s="222">
        <f>AVERAGEIF('2026 Planning by Brand'!$E:$E,'2026 Planning by Brand'!$E$215,'2026 Planning by Brand'!N:N)</f>
        <v>0.67</v>
      </c>
      <c r="G22" s="222" t="e">
        <f t="shared" si="0"/>
        <v>#DIV/0!</v>
      </c>
      <c r="H22" s="227">
        <f>SUMIF('2026 Planning by Brand'!$E:$E,'2026 Planning by Brand'!$E$215,'2026 Planning by Brand'!L:L)</f>
        <v>0</v>
      </c>
      <c r="I22" s="227">
        <f>SUMIF('2026 Planning by Brand'!$E:$E,'2026 Planning by Brand'!$E$215,'2026 Planning by Brand'!O:O)</f>
        <v>772.29624418000003</v>
      </c>
      <c r="J22" s="239">
        <f t="shared" si="1"/>
        <v>-772.29624418000003</v>
      </c>
    </row>
    <row r="23" spans="2:10" x14ac:dyDescent="0.25">
      <c r="B23" s="223" t="s">
        <v>518</v>
      </c>
      <c r="C23" s="221" t="s">
        <v>519</v>
      </c>
      <c r="D23" s="227">
        <f>SUMIF('2026 Planning by Brand'!$E:$E,'2026 Planning by Brand'!$E$343,'2026 Planning by Brand'!H:H)</f>
        <v>866.00649199999998</v>
      </c>
      <c r="E23" s="222" t="e">
        <f>AVERAGEIF('2026 Planning by Brand'!$E:$E,'2026 Planning by Brand'!$E$343,'2026 Planning by Brand'!K:K)</f>
        <v>#DIV/0!</v>
      </c>
      <c r="F23" s="222">
        <f>AVERAGEIF('2026 Planning by Brand'!$E:$E,'2026 Planning by Brand'!$E$343,'2026 Planning by Brand'!N:N)</f>
        <v>0.83333333333333337</v>
      </c>
      <c r="G23" s="222" t="e">
        <f t="shared" si="0"/>
        <v>#DIV/0!</v>
      </c>
      <c r="H23" s="227">
        <f>SUMIF('2026 Planning by Brand'!$E:$E,'2026 Planning by Brand'!$E$343,'2026 Planning by Brand'!L:L)</f>
        <v>0</v>
      </c>
      <c r="I23" s="227">
        <f>SUMIF('2026 Planning by Brand'!$E:$E,'2026 Planning by Brand'!$E$343,'2026 Planning by Brand'!O:O)</f>
        <v>274.00486999999998</v>
      </c>
      <c r="J23" s="239">
        <f t="shared" si="1"/>
        <v>-274.00486999999998</v>
      </c>
    </row>
    <row r="24" spans="2:10" x14ac:dyDescent="0.25">
      <c r="B24" s="223" t="s">
        <v>518</v>
      </c>
      <c r="C24" s="221" t="s">
        <v>527</v>
      </c>
      <c r="D24" s="227">
        <f>SUMIF('2026 Planning by Brand'!$E:$E,'2026 Planning by Brand'!$E$297,'2026 Planning by Brand'!H:H)</f>
        <v>460.74996580684802</v>
      </c>
      <c r="E24" s="222" t="e">
        <f>AVERAGEIF('2026 Planning by Brand'!$E:$E,'2026 Planning by Brand'!$E$297,'2026 Planning by Brand'!K:K)</f>
        <v>#DIV/0!</v>
      </c>
      <c r="F24" s="222">
        <f>AVERAGEIF('2026 Planning by Brand'!$E:$E,'2026 Planning by Brand'!$E$297,'2026 Planning by Brand'!N:N)</f>
        <v>1.26</v>
      </c>
      <c r="G24" s="222" t="e">
        <f t="shared" si="0"/>
        <v>#DIV/0!</v>
      </c>
      <c r="H24" s="227">
        <f>SUMIF('2026 Planning by Brand'!$E:$E,'2026 Planning by Brand'!$E$297,'2026 Planning by Brand'!L:L)</f>
        <v>0</v>
      </c>
      <c r="I24" s="227">
        <f>SUMIF('2026 Planning by Brand'!$E:$E,'2026 Planning by Brand'!$E$297,'2026 Planning by Brand'!O:O)</f>
        <v>101.6963985</v>
      </c>
      <c r="J24" s="239">
        <f t="shared" si="1"/>
        <v>-101.6963985</v>
      </c>
    </row>
    <row r="25" spans="2:10" x14ac:dyDescent="0.25">
      <c r="B25" s="223" t="s">
        <v>518</v>
      </c>
      <c r="C25" s="221" t="s">
        <v>520</v>
      </c>
      <c r="D25" s="227">
        <f>SUMIF('2026 Planning by Brand'!$E:$E,'2026 Planning by Brand'!$E$191,'2026 Planning by Brand'!H:H)</f>
        <v>27.625</v>
      </c>
      <c r="E25" s="222" t="e">
        <f>AVERAGEIF('2026 Planning by Brand'!$E:$E,'2026 Planning by Brand'!$E$191,'2026 Planning by Brand'!K:K)</f>
        <v>#DIV/0!</v>
      </c>
      <c r="F25" s="222">
        <f>AVERAGEIF('2026 Planning by Brand'!$E:$E,'2026 Planning by Brand'!$E$191,'2026 Planning by Brand'!N:N)</f>
        <v>1.6666666666666667</v>
      </c>
      <c r="G25" s="222" t="e">
        <f t="shared" si="0"/>
        <v>#DIV/0!</v>
      </c>
      <c r="H25" s="227">
        <f>SUMIF('2026 Planning by Brand'!$E:$E,'2026 Planning by Brand'!$E$191,'2026 Planning by Brand'!L:L)</f>
        <v>0</v>
      </c>
      <c r="I25" s="227">
        <f>SUMIF('2026 Planning by Brand'!$E:$E,'2026 Planning by Brand'!$E$191,'2026 Planning by Brand'!O:O)</f>
        <v>80.499951999999993</v>
      </c>
      <c r="J25" s="239">
        <f t="shared" si="1"/>
        <v>-80.499951999999993</v>
      </c>
    </row>
    <row r="26" spans="2:10" x14ac:dyDescent="0.25">
      <c r="B26" s="223" t="s">
        <v>518</v>
      </c>
      <c r="C26" s="221" t="s">
        <v>535</v>
      </c>
      <c r="D26" s="227">
        <f>SUMIF('2026 Planning by Brand'!$E:$E,'2026 Planning by Brand'!$E$466,'2026 Planning by Brand'!H:H)</f>
        <v>8</v>
      </c>
      <c r="E26" s="222" t="e">
        <f>AVERAGEIF('2026 Planning by Brand'!$E:$E,'2026 Planning by Brand'!$E$466,'2026 Planning by Brand'!K:K)</f>
        <v>#DIV/0!</v>
      </c>
      <c r="F26" s="222" t="e">
        <f>AVERAGEIF('2026 Planning by Brand'!$E:$E,'2026 Planning by Brand'!$E$466,'2026 Planning by Brand'!N:N)</f>
        <v>#DIV/0!</v>
      </c>
      <c r="G26" s="222" t="e">
        <f t="shared" si="0"/>
        <v>#DIV/0!</v>
      </c>
      <c r="H26" s="227">
        <f>SUMIF('2026 Planning by Brand'!$E:$E,'2026 Planning by Brand'!$E$466,'2026 Planning by Brand'!L:L)</f>
        <v>0</v>
      </c>
      <c r="I26" s="227">
        <f>SUMIF('2026 Planning by Brand'!$E:$E,'2026 Planning by Brand'!$E$466,'2026 Planning by Brand'!O:O)</f>
        <v>0</v>
      </c>
      <c r="J26" s="239">
        <f t="shared" si="1"/>
        <v>0</v>
      </c>
    </row>
    <row r="27" spans="2:10" x14ac:dyDescent="0.25">
      <c r="B27" s="223" t="s">
        <v>518</v>
      </c>
      <c r="C27" s="221" t="s">
        <v>521</v>
      </c>
      <c r="D27" s="227">
        <f>SUMIF('2026 Planning by Brand'!$E:$E,'2026 Planning by Brand'!$E$368,'2026 Planning by Brand'!H:H)</f>
        <v>13.736465000000001</v>
      </c>
      <c r="E27" s="222" t="e">
        <f>AVERAGEIF('2026 Planning by Brand'!$E:$E,'2026 Planning by Brand'!$E$368,'2026 Planning by Brand'!K:K)</f>
        <v>#DIV/0!</v>
      </c>
      <c r="F27" s="222">
        <f>AVERAGEIF('2026 Planning by Brand'!$E:$E,'2026 Planning by Brand'!$E$368,'2026 Planning by Brand'!N:N)</f>
        <v>2.6666666666666665</v>
      </c>
      <c r="G27" s="222" t="e">
        <f t="shared" si="0"/>
        <v>#DIV/0!</v>
      </c>
      <c r="H27" s="227">
        <f>SUMIF('2026 Planning by Brand'!$E:$E,'2026 Planning by Brand'!$E$368,'2026 Planning by Brand'!L:L)</f>
        <v>0</v>
      </c>
      <c r="I27" s="227">
        <f>SUMIF('2026 Planning by Brand'!$E:$E,'2026 Planning by Brand'!$E$368,'2026 Planning by Brand'!O:O)</f>
        <v>35.503889999999998</v>
      </c>
      <c r="J27" s="239">
        <f t="shared" si="1"/>
        <v>-35.503889999999998</v>
      </c>
    </row>
    <row r="28" spans="2:10" x14ac:dyDescent="0.25">
      <c r="B28" s="223" t="s">
        <v>531</v>
      </c>
      <c r="C28" s="221" t="s">
        <v>531</v>
      </c>
      <c r="D28" s="227">
        <f>SUMIF('2026 Planning by Brand'!$E:$E,'2026 Planning by Brand'!$E$354,'2026 Planning by Brand'!H:H)</f>
        <v>7634.6670320000003</v>
      </c>
      <c r="E28" s="222" t="e">
        <f>AVERAGEIF('2026 Planning by Brand'!$E:$E,'2026 Planning by Brand'!$E$354,'2026 Planning by Brand'!K:K)</f>
        <v>#DIV/0!</v>
      </c>
      <c r="F28" s="222">
        <f>AVERAGEIF('2026 Planning by Brand'!$E:$E,'2026 Planning by Brand'!$E$354,'2026 Planning by Brand'!N:N)</f>
        <v>4.3690476190476186</v>
      </c>
      <c r="G28" s="222" t="e">
        <f t="shared" si="0"/>
        <v>#DIV/0!</v>
      </c>
      <c r="H28" s="227">
        <f>SUMIF('2026 Planning by Brand'!$E:$E,'2026 Planning by Brand'!$E$354,'2026 Planning by Brand'!L:L)</f>
        <v>0</v>
      </c>
      <c r="I28" s="227">
        <f>SUMIF('2026 Planning by Brand'!$E:$E,'2026 Planning by Brand'!$E$354,'2026 Planning by Brand'!O:O)</f>
        <v>6158.5040749999989</v>
      </c>
      <c r="J28" s="239">
        <f t="shared" si="1"/>
        <v>-6158.5040749999989</v>
      </c>
    </row>
    <row r="29" spans="2:10" x14ac:dyDescent="0.25">
      <c r="B29" s="223" t="s">
        <v>523</v>
      </c>
      <c r="C29" s="221" t="s">
        <v>537</v>
      </c>
      <c r="D29" s="227">
        <f>SUMIF('2026 Planning by Brand'!$E:$E,'2026 Planning by Brand'!$E$337,'2026 Planning by Brand'!H:H)</f>
        <v>781.99498413103197</v>
      </c>
      <c r="E29" s="222" t="e">
        <f>AVERAGEIF('2026 Planning by Brand'!$E:$E,'2026 Planning by Brand'!$E$337,'2026 Planning by Brand'!K:K)</f>
        <v>#DIV/0!</v>
      </c>
      <c r="F29" s="222">
        <f>AVERAGEIF('2026 Planning by Brand'!$E:$E,'2026 Planning by Brand'!$E$337,'2026 Planning by Brand'!N:N)</f>
        <v>8.3333333333333329E-2</v>
      </c>
      <c r="G29" s="222" t="e">
        <f t="shared" si="0"/>
        <v>#DIV/0!</v>
      </c>
      <c r="H29" s="227">
        <f>SUMIF('2026 Planning by Brand'!$E:$E,'2026 Planning by Brand'!$E$337,'2026 Planning by Brand'!L:L)</f>
        <v>0</v>
      </c>
      <c r="I29" s="227">
        <f>SUMIF('2026 Planning by Brand'!$E:$E,'2026 Planning by Brand'!$E$337,'2026 Planning by Brand'!O:O)</f>
        <v>27.843728800000001</v>
      </c>
      <c r="J29" s="239">
        <f t="shared" si="1"/>
        <v>-27.843728800000001</v>
      </c>
    </row>
    <row r="30" spans="2:10" x14ac:dyDescent="0.25">
      <c r="B30" s="223" t="s">
        <v>523</v>
      </c>
      <c r="C30" s="221" t="s">
        <v>526</v>
      </c>
      <c r="D30" s="227">
        <f>SUMIF('2026 Planning by Brand'!$E:$E,'2026 Planning by Brand'!$E$296,'2026 Planning by Brand'!H:H)</f>
        <v>174.78572018563202</v>
      </c>
      <c r="E30" s="222" t="e">
        <f>AVERAGEIF('2026 Planning by Brand'!$E:$E,'2026 Planning by Brand'!$E$296,'2026 Planning by Brand'!K:K)</f>
        <v>#DIV/0!</v>
      </c>
      <c r="F30" s="222">
        <f>AVERAGEIF('2026 Planning by Brand'!$E:$E,'2026 Planning by Brand'!$E$296,'2026 Planning by Brand'!N:N)</f>
        <v>9.82</v>
      </c>
      <c r="G30" s="222" t="e">
        <f t="shared" si="0"/>
        <v>#DIV/0!</v>
      </c>
      <c r="H30" s="227">
        <f>SUMIF('2026 Planning by Brand'!$E:$E,'2026 Planning by Brand'!$E$296,'2026 Planning by Brand'!L:L)</f>
        <v>0</v>
      </c>
      <c r="I30" s="227">
        <f>SUMIF('2026 Planning by Brand'!$E:$E,'2026 Planning by Brand'!$E$296,'2026 Planning by Brand'!O:O)</f>
        <v>563.42604159999996</v>
      </c>
      <c r="J30" s="239">
        <f t="shared" si="1"/>
        <v>-563.42604159999996</v>
      </c>
    </row>
    <row r="31" spans="2:10" x14ac:dyDescent="0.25">
      <c r="B31" s="223" t="s">
        <v>523</v>
      </c>
      <c r="C31" s="221" t="s">
        <v>530</v>
      </c>
      <c r="D31" s="227">
        <f>SUMIF('2026 Planning by Brand'!$E:$E,'2026 Planning by Brand'!$E$367,'2026 Planning by Brand'!H:H)</f>
        <v>19.972198286960001</v>
      </c>
      <c r="E31" s="222" t="e">
        <f>AVERAGEIF('2026 Planning by Brand'!$E:$E,'2026 Planning by Brand'!$E$367,'2026 Planning by Brand'!K:K)</f>
        <v>#DIV/0!</v>
      </c>
      <c r="F31" s="222">
        <f>AVERAGEIF('2026 Planning by Brand'!$E:$E,'2026 Planning by Brand'!$E$367,'2026 Planning by Brand'!N:N)</f>
        <v>8</v>
      </c>
      <c r="G31" s="222" t="e">
        <f t="shared" si="0"/>
        <v>#DIV/0!</v>
      </c>
      <c r="H31" s="227">
        <f>SUMIF('2026 Planning by Brand'!$E:$E,'2026 Planning by Brand'!$E$367,'2026 Planning by Brand'!L:L)</f>
        <v>0</v>
      </c>
      <c r="I31" s="227">
        <f>SUMIF('2026 Planning by Brand'!$E:$E,'2026 Planning by Brand'!$E$367,'2026 Planning by Brand'!O:O)</f>
        <v>516.83528600000011</v>
      </c>
      <c r="J31" s="239">
        <f t="shared" si="1"/>
        <v>-516.83528600000011</v>
      </c>
    </row>
    <row r="32" spans="2:10" ht="15.75" thickBot="1" x14ac:dyDescent="0.3">
      <c r="B32" s="224" t="s">
        <v>523</v>
      </c>
      <c r="C32" s="225" t="s">
        <v>522</v>
      </c>
      <c r="D32" s="228">
        <f>SUMIF('2026 Planning by Brand'!$E:$E,'2026 Planning by Brand'!$E$398,'2026 Planning by Brand'!H:H)</f>
        <v>3.170064</v>
      </c>
      <c r="E32" s="226" t="e">
        <f>AVERAGEIF('2026 Planning by Brand'!$E:$E,'2026 Planning by Brand'!$E$398,'2026 Planning by Brand'!K:K)</f>
        <v>#DIV/0!</v>
      </c>
      <c r="F32" s="226">
        <f>AVERAGEIF('2026 Planning by Brand'!$E:$E,'2026 Planning by Brand'!$E$398,'2026 Planning by Brand'!N:N)</f>
        <v>15</v>
      </c>
      <c r="G32" s="226" t="e">
        <f t="shared" si="0"/>
        <v>#DIV/0!</v>
      </c>
      <c r="H32" s="228">
        <f>SUMIF('2026 Planning by Brand'!$E:$E,'2026 Planning by Brand'!$E$398,'2026 Planning by Brand'!L:L)</f>
        <v>0</v>
      </c>
      <c r="I32" s="228">
        <f>SUMIF('2026 Planning by Brand'!$E:$E,'2026 Planning by Brand'!$E$398,'2026 Planning by Brand'!O:O)</f>
        <v>47.550960000000003</v>
      </c>
      <c r="J32" s="240">
        <f t="shared" si="1"/>
        <v>-47.550960000000003</v>
      </c>
    </row>
  </sheetData>
  <autoFilter ref="B6:I32" xr:uid="{C2678B29-2A1F-4E15-9CE0-31C759F8033E}"/>
  <mergeCells count="1">
    <mergeCell ref="B7:C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D7F40-7E26-423C-8204-980D48C852B5}">
  <sheetPr>
    <tabColor theme="5"/>
  </sheetPr>
  <dimension ref="A1:E436"/>
  <sheetViews>
    <sheetView topLeftCell="A207" workbookViewId="0">
      <selection activeCell="B223" sqref="B223"/>
    </sheetView>
  </sheetViews>
  <sheetFormatPr defaultRowHeight="15" x14ac:dyDescent="0.25"/>
  <cols>
    <col min="1" max="1" width="34.7109375" bestFit="1" customWidth="1"/>
    <col min="2" max="2" width="30.7109375" bestFit="1" customWidth="1"/>
    <col min="3" max="3" width="13.7109375" style="260" hidden="1" customWidth="1"/>
    <col min="4" max="4" width="30.5703125" bestFit="1" customWidth="1"/>
    <col min="5" max="5" width="21.5703125" bestFit="1" customWidth="1"/>
  </cols>
  <sheetData>
    <row r="1" spans="1:4" x14ac:dyDescent="0.25">
      <c r="A1" s="217" t="s">
        <v>389</v>
      </c>
      <c r="B1" s="217" t="s">
        <v>182</v>
      </c>
      <c r="C1" s="258"/>
      <c r="D1" s="257" t="s">
        <v>567</v>
      </c>
    </row>
    <row r="2" spans="1:4" x14ac:dyDescent="0.25">
      <c r="A2" s="4" t="s">
        <v>235</v>
      </c>
      <c r="B2" s="4" t="s">
        <v>0</v>
      </c>
      <c r="C2" s="259" t="str">
        <f>A2&amp;"|"&amp;B2</f>
        <v>Total|</v>
      </c>
      <c r="D2" s="256">
        <v>7067012.3481649999</v>
      </c>
    </row>
    <row r="3" spans="1:4" x14ac:dyDescent="0.25">
      <c r="A3" s="255" t="s">
        <v>390</v>
      </c>
      <c r="B3" s="254"/>
      <c r="C3" s="259" t="str">
        <f t="shared" ref="C3:C66" si="0">A3&amp;"|"&amp;B3</f>
        <v>Constellation Brands|</v>
      </c>
      <c r="D3" s="253">
        <v>2631932.732669</v>
      </c>
    </row>
    <row r="4" spans="1:4" x14ac:dyDescent="0.25">
      <c r="A4" s="2" t="s">
        <v>259</v>
      </c>
      <c r="B4" s="2" t="s">
        <v>390</v>
      </c>
      <c r="C4" s="259" t="str">
        <f t="shared" si="0"/>
        <v>Corona Extra|Constellation Brands</v>
      </c>
      <c r="D4" s="1">
        <v>1217068.0857869999</v>
      </c>
    </row>
    <row r="5" spans="1:4" x14ac:dyDescent="0.25">
      <c r="A5" s="2" t="s">
        <v>105</v>
      </c>
      <c r="B5" s="2" t="s">
        <v>390</v>
      </c>
      <c r="C5" s="259" t="str">
        <f t="shared" si="0"/>
        <v>Modelo Especial|Constellation Brands</v>
      </c>
      <c r="D5" s="1">
        <v>1061492.5727639999</v>
      </c>
    </row>
    <row r="6" spans="1:4" x14ac:dyDescent="0.25">
      <c r="A6" s="2" t="s">
        <v>339</v>
      </c>
      <c r="B6" s="2" t="s">
        <v>390</v>
      </c>
      <c r="C6" s="259" t="str">
        <f t="shared" si="0"/>
        <v>Modelo Chelada|Constellation Brands</v>
      </c>
      <c r="D6" s="1">
        <v>86203.666566</v>
      </c>
    </row>
    <row r="7" spans="1:4" x14ac:dyDescent="0.25">
      <c r="A7" s="2" t="s">
        <v>214</v>
      </c>
      <c r="B7" s="2" t="s">
        <v>390</v>
      </c>
      <c r="C7" s="259" t="str">
        <f t="shared" si="0"/>
        <v>Victoria|Constellation Brands</v>
      </c>
      <c r="D7" s="1">
        <v>62550.663756000002</v>
      </c>
    </row>
    <row r="8" spans="1:4" x14ac:dyDescent="0.25">
      <c r="A8" s="2" t="s">
        <v>371</v>
      </c>
      <c r="B8" s="2" t="s">
        <v>390</v>
      </c>
      <c r="C8" s="259" t="str">
        <f t="shared" si="0"/>
        <v>Corona Light|Constellation Brands</v>
      </c>
      <c r="D8" s="1">
        <v>49496</v>
      </c>
    </row>
    <row r="9" spans="1:4" x14ac:dyDescent="0.25">
      <c r="A9" s="2" t="s">
        <v>308</v>
      </c>
      <c r="B9" s="2" t="s">
        <v>390</v>
      </c>
      <c r="C9" s="259" t="str">
        <f t="shared" si="0"/>
        <v>Corona Familiar|Constellation Brands</v>
      </c>
      <c r="D9" s="1">
        <v>35513.660724000001</v>
      </c>
    </row>
    <row r="10" spans="1:4" x14ac:dyDescent="0.25">
      <c r="A10" s="2" t="s">
        <v>84</v>
      </c>
      <c r="B10" s="2" t="s">
        <v>390</v>
      </c>
      <c r="C10" s="259" t="str">
        <f t="shared" si="0"/>
        <v>Corona Premier|Constellation Brands</v>
      </c>
      <c r="D10" s="1">
        <v>33624.305502000003</v>
      </c>
    </row>
    <row r="11" spans="1:4" x14ac:dyDescent="0.25">
      <c r="A11" s="2" t="s">
        <v>340</v>
      </c>
      <c r="B11" s="2" t="s">
        <v>390</v>
      </c>
      <c r="C11" s="259" t="str">
        <f t="shared" si="0"/>
        <v>Pacifico|Constellation Brands</v>
      </c>
      <c r="D11" s="1">
        <v>33530.222071999997</v>
      </c>
    </row>
    <row r="12" spans="1:4" x14ac:dyDescent="0.25">
      <c r="A12" s="2" t="s">
        <v>309</v>
      </c>
      <c r="B12" s="2" t="s">
        <v>390</v>
      </c>
      <c r="C12" s="259" t="str">
        <f t="shared" si="0"/>
        <v>Modelo Negra|Constellation Brands</v>
      </c>
      <c r="D12" s="1">
        <v>25034.555498000002</v>
      </c>
    </row>
    <row r="13" spans="1:4" x14ac:dyDescent="0.25">
      <c r="A13" s="2" t="s">
        <v>157</v>
      </c>
      <c r="B13" s="2" t="s">
        <v>390</v>
      </c>
      <c r="C13" s="259" t="str">
        <f t="shared" si="0"/>
        <v>Corona Sunbrew|Constellation Brands</v>
      </c>
      <c r="D13" s="1">
        <v>9386</v>
      </c>
    </row>
    <row r="14" spans="1:4" x14ac:dyDescent="0.25">
      <c r="A14" s="2" t="s">
        <v>183</v>
      </c>
      <c r="B14" s="2" t="s">
        <v>390</v>
      </c>
      <c r="C14" s="259" t="str">
        <f t="shared" si="0"/>
        <v>Corona NA|Constellation Brands</v>
      </c>
      <c r="D14" s="1">
        <v>8481</v>
      </c>
    </row>
    <row r="15" spans="1:4" x14ac:dyDescent="0.25">
      <c r="A15" s="2" t="s">
        <v>184</v>
      </c>
      <c r="B15" s="2" t="s">
        <v>390</v>
      </c>
      <c r="C15" s="259" t="str">
        <f t="shared" si="0"/>
        <v>Modelo Oro|Constellation Brands</v>
      </c>
      <c r="D15" s="1">
        <v>5453</v>
      </c>
    </row>
    <row r="16" spans="1:4" x14ac:dyDescent="0.25">
      <c r="A16" s="2" t="s">
        <v>341</v>
      </c>
      <c r="B16" s="2" t="s">
        <v>390</v>
      </c>
      <c r="C16" s="259" t="str">
        <f t="shared" si="0"/>
        <v>Modelo Aquas Frescas|Constellation Brands</v>
      </c>
      <c r="D16" s="1">
        <v>2036</v>
      </c>
    </row>
    <row r="17" spans="1:4" x14ac:dyDescent="0.25">
      <c r="A17" s="2" t="s">
        <v>28</v>
      </c>
      <c r="B17" s="2" t="s">
        <v>390</v>
      </c>
      <c r="C17" s="259" t="str">
        <f t="shared" si="0"/>
        <v>Corona Refresca|Constellation Brands</v>
      </c>
      <c r="D17" s="1">
        <v>1093</v>
      </c>
    </row>
    <row r="18" spans="1:4" x14ac:dyDescent="0.25">
      <c r="A18" s="2" t="s">
        <v>236</v>
      </c>
      <c r="B18" s="2" t="s">
        <v>390</v>
      </c>
      <c r="C18" s="259" t="str">
        <f t="shared" si="0"/>
        <v>Fresca Mixed|Constellation Brands</v>
      </c>
      <c r="D18" s="1">
        <v>605</v>
      </c>
    </row>
    <row r="19" spans="1:4" x14ac:dyDescent="0.25">
      <c r="A19" s="2" t="s">
        <v>29</v>
      </c>
      <c r="B19" s="2" t="s">
        <v>390</v>
      </c>
      <c r="C19" s="259" t="str">
        <f t="shared" si="0"/>
        <v>The Drop|Constellation Brands</v>
      </c>
      <c r="D19" s="1">
        <v>365</v>
      </c>
    </row>
    <row r="20" spans="1:4" x14ac:dyDescent="0.25">
      <c r="A20" s="255" t="s">
        <v>51</v>
      </c>
      <c r="B20" s="254"/>
      <c r="C20" s="259" t="str">
        <f t="shared" si="0"/>
        <v>MolsonCoors Beverage Company|</v>
      </c>
      <c r="D20" s="253">
        <v>1864356.0604590001</v>
      </c>
    </row>
    <row r="21" spans="1:4" x14ac:dyDescent="0.25">
      <c r="A21" s="2" t="s">
        <v>237</v>
      </c>
      <c r="B21" s="2" t="s">
        <v>51</v>
      </c>
      <c r="C21" s="259" t="str">
        <f t="shared" si="0"/>
        <v>Coors Light|MolsonCoors Beverage Company</v>
      </c>
      <c r="D21" s="1">
        <v>792237.30462800001</v>
      </c>
    </row>
    <row r="22" spans="1:4" x14ac:dyDescent="0.25">
      <c r="A22" s="2" t="s">
        <v>106</v>
      </c>
      <c r="B22" s="2" t="s">
        <v>51</v>
      </c>
      <c r="C22" s="259" t="str">
        <f t="shared" si="0"/>
        <v>Lite|MolsonCoors Beverage Company</v>
      </c>
      <c r="D22" s="1">
        <v>514391.59883700003</v>
      </c>
    </row>
    <row r="23" spans="1:4" x14ac:dyDescent="0.25">
      <c r="A23" s="2" t="s">
        <v>185</v>
      </c>
      <c r="B23" s="2" t="s">
        <v>51</v>
      </c>
      <c r="C23" s="259" t="str">
        <f t="shared" si="0"/>
        <v>Blue Moon|MolsonCoors Beverage Company</v>
      </c>
      <c r="D23" s="1">
        <v>123103.89820700001</v>
      </c>
    </row>
    <row r="24" spans="1:4" x14ac:dyDescent="0.25">
      <c r="A24" s="2" t="s">
        <v>52</v>
      </c>
      <c r="B24" s="2" t="s">
        <v>51</v>
      </c>
      <c r="C24" s="259" t="str">
        <f t="shared" si="0"/>
        <v>Coors|MolsonCoors Beverage Company</v>
      </c>
      <c r="D24" s="1">
        <v>112534.69416899999</v>
      </c>
    </row>
    <row r="25" spans="1:4" x14ac:dyDescent="0.25">
      <c r="A25" s="2" t="s">
        <v>129</v>
      </c>
      <c r="B25" s="2" t="s">
        <v>51</v>
      </c>
      <c r="C25" s="259" t="str">
        <f t="shared" si="0"/>
        <v>Miller High Life|MolsonCoors Beverage Company</v>
      </c>
      <c r="D25" s="1">
        <v>66734.691133</v>
      </c>
    </row>
    <row r="26" spans="1:4" x14ac:dyDescent="0.25">
      <c r="A26" s="2" t="s">
        <v>282</v>
      </c>
      <c r="B26" s="2" t="s">
        <v>51</v>
      </c>
      <c r="C26" s="259" t="str">
        <f t="shared" si="0"/>
        <v>Peroni|MolsonCoors Beverage Company</v>
      </c>
      <c r="D26" s="1">
        <v>57382.712374000002</v>
      </c>
    </row>
    <row r="27" spans="1:4" x14ac:dyDescent="0.25">
      <c r="A27" s="2" t="s">
        <v>391</v>
      </c>
      <c r="B27" s="2" t="s">
        <v>51</v>
      </c>
      <c r="C27" s="259" t="str">
        <f t="shared" si="0"/>
        <v>Fosters|MolsonCoors Beverage Company</v>
      </c>
      <c r="D27" s="1">
        <v>22845.126108</v>
      </c>
    </row>
    <row r="28" spans="1:4" x14ac:dyDescent="0.25">
      <c r="A28" s="2" t="s">
        <v>392</v>
      </c>
      <c r="B28" s="2" t="s">
        <v>51</v>
      </c>
      <c r="C28" s="259" t="str">
        <f t="shared" si="0"/>
        <v>Tyskie Gronie|MolsonCoors Beverage Company</v>
      </c>
      <c r="D28" s="1">
        <v>19094.720860000001</v>
      </c>
    </row>
    <row r="29" spans="1:4" x14ac:dyDescent="0.25">
      <c r="A29" s="2" t="s">
        <v>30</v>
      </c>
      <c r="B29" s="2" t="s">
        <v>51</v>
      </c>
      <c r="C29" s="259" t="str">
        <f t="shared" si="0"/>
        <v>Arnold Palmer|MolsonCoors Beverage Company</v>
      </c>
      <c r="D29" s="1">
        <v>17932</v>
      </c>
    </row>
    <row r="30" spans="1:4" x14ac:dyDescent="0.25">
      <c r="A30" s="2" t="s">
        <v>108</v>
      </c>
      <c r="B30" s="2" t="s">
        <v>51</v>
      </c>
      <c r="C30" s="259" t="str">
        <f t="shared" si="0"/>
        <v>Leinenkugel|MolsonCoors Beverage Company</v>
      </c>
      <c r="D30" s="1">
        <v>17664.340304000001</v>
      </c>
    </row>
    <row r="31" spans="1:4" x14ac:dyDescent="0.25">
      <c r="A31" s="2" t="s">
        <v>186</v>
      </c>
      <c r="B31" s="2" t="s">
        <v>51</v>
      </c>
      <c r="C31" s="259" t="str">
        <f t="shared" si="0"/>
        <v>Keystone|MolsonCoors Beverage Company</v>
      </c>
      <c r="D31" s="1">
        <v>14746.5</v>
      </c>
    </row>
    <row r="32" spans="1:4" x14ac:dyDescent="0.25">
      <c r="A32" s="2" t="s">
        <v>283</v>
      </c>
      <c r="B32" s="2" t="s">
        <v>51</v>
      </c>
      <c r="C32" s="259" t="str">
        <f t="shared" si="0"/>
        <v>Steel Reserve|MolsonCoors Beverage Company</v>
      </c>
      <c r="D32" s="1">
        <v>13417.249475000001</v>
      </c>
    </row>
    <row r="33" spans="1:4" x14ac:dyDescent="0.25">
      <c r="A33" s="2" t="s">
        <v>284</v>
      </c>
      <c r="B33" s="2" t="s">
        <v>51</v>
      </c>
      <c r="C33" s="259" t="str">
        <f t="shared" si="0"/>
        <v>Miller Extra Light|MolsonCoors Beverage Company</v>
      </c>
      <c r="D33" s="1">
        <v>10565.5</v>
      </c>
    </row>
    <row r="34" spans="1:4" x14ac:dyDescent="0.25">
      <c r="A34" s="2" t="s">
        <v>372</v>
      </c>
      <c r="B34" s="2" t="s">
        <v>51</v>
      </c>
      <c r="C34" s="259" t="str">
        <f t="shared" si="0"/>
        <v>Molson|MolsonCoors Beverage Company</v>
      </c>
      <c r="D34" s="1">
        <v>10193.957741</v>
      </c>
    </row>
    <row r="35" spans="1:4" x14ac:dyDescent="0.25">
      <c r="A35" s="2" t="s">
        <v>1</v>
      </c>
      <c r="B35" s="2" t="s">
        <v>51</v>
      </c>
      <c r="C35" s="259" t="str">
        <f t="shared" si="0"/>
        <v>Pilsner Urquell|MolsonCoors Beverage Company</v>
      </c>
      <c r="D35" s="1">
        <v>9983.8717199999992</v>
      </c>
    </row>
    <row r="36" spans="1:4" x14ac:dyDescent="0.25">
      <c r="A36" s="2" t="s">
        <v>187</v>
      </c>
      <c r="B36" s="2" t="s">
        <v>51</v>
      </c>
      <c r="C36" s="259" t="str">
        <f t="shared" si="0"/>
        <v>Miller Genuine Draft|MolsonCoors Beverage Company</v>
      </c>
      <c r="D36" s="1">
        <v>9073.75</v>
      </c>
    </row>
    <row r="37" spans="1:4" x14ac:dyDescent="0.25">
      <c r="A37" s="2" t="s">
        <v>238</v>
      </c>
      <c r="B37" s="2" t="s">
        <v>51</v>
      </c>
      <c r="C37" s="259" t="str">
        <f t="shared" si="0"/>
        <v>Milwaukee's Best Ice|MolsonCoors Beverage Company</v>
      </c>
      <c r="D37" s="1">
        <v>7621.1662919999999</v>
      </c>
    </row>
    <row r="38" spans="1:4" x14ac:dyDescent="0.25">
      <c r="A38" s="2" t="s">
        <v>158</v>
      </c>
      <c r="B38" s="2" t="s">
        <v>51</v>
      </c>
      <c r="C38" s="259" t="str">
        <f t="shared" si="0"/>
        <v>Old English|MolsonCoors Beverage Company</v>
      </c>
      <c r="D38" s="1">
        <v>6158.3337170000004</v>
      </c>
    </row>
    <row r="39" spans="1:4" x14ac:dyDescent="0.25">
      <c r="A39" s="2" t="s">
        <v>285</v>
      </c>
      <c r="B39" s="2" t="s">
        <v>51</v>
      </c>
      <c r="C39" s="259" t="str">
        <f t="shared" si="0"/>
        <v>Grolsch|MolsonCoors Beverage Company</v>
      </c>
      <c r="D39" s="1">
        <v>5930.1437720000004</v>
      </c>
    </row>
    <row r="40" spans="1:4" x14ac:dyDescent="0.25">
      <c r="A40" s="2" t="s">
        <v>286</v>
      </c>
      <c r="B40" s="2" t="s">
        <v>51</v>
      </c>
      <c r="C40" s="259" t="str">
        <f t="shared" si="0"/>
        <v>Cusquena|MolsonCoors Beverage Company</v>
      </c>
      <c r="D40" s="1">
        <v>5885</v>
      </c>
    </row>
    <row r="41" spans="1:4" x14ac:dyDescent="0.25">
      <c r="A41" s="2" t="s">
        <v>215</v>
      </c>
      <c r="B41" s="2" t="s">
        <v>51</v>
      </c>
      <c r="C41" s="259" t="str">
        <f t="shared" si="0"/>
        <v>Simply Spiked|MolsonCoors Beverage Company</v>
      </c>
      <c r="D41" s="1">
        <v>3918</v>
      </c>
    </row>
    <row r="42" spans="1:4" x14ac:dyDescent="0.25">
      <c r="A42" s="2" t="s">
        <v>240</v>
      </c>
      <c r="B42" s="2" t="s">
        <v>51</v>
      </c>
      <c r="C42" s="259" t="str">
        <f t="shared" si="0"/>
        <v>Fever Tree|MolsonCoors Beverage Company</v>
      </c>
      <c r="D42" s="1">
        <v>3470.7233289999999</v>
      </c>
    </row>
    <row r="43" spans="1:4" x14ac:dyDescent="0.25">
      <c r="A43" s="2" t="s">
        <v>311</v>
      </c>
      <c r="B43" s="2" t="s">
        <v>51</v>
      </c>
      <c r="C43" s="259" t="str">
        <f t="shared" si="0"/>
        <v>George Killian's|MolsonCoors Beverage Company</v>
      </c>
      <c r="D43" s="1">
        <v>3012.7777930000002</v>
      </c>
    </row>
    <row r="44" spans="1:4" x14ac:dyDescent="0.25">
      <c r="A44" s="2" t="s">
        <v>2</v>
      </c>
      <c r="B44" s="2" t="s">
        <v>51</v>
      </c>
      <c r="C44" s="259" t="str">
        <f t="shared" si="0"/>
        <v>Coors Edge|MolsonCoors Beverage Company</v>
      </c>
      <c r="D44" s="1">
        <v>2535</v>
      </c>
    </row>
    <row r="45" spans="1:4" x14ac:dyDescent="0.25">
      <c r="A45" s="2" t="s">
        <v>239</v>
      </c>
      <c r="B45" s="2" t="s">
        <v>51</v>
      </c>
      <c r="C45" s="259" t="str">
        <f t="shared" si="0"/>
        <v>Redd's Wicked|MolsonCoors Beverage Company</v>
      </c>
      <c r="D45" s="1">
        <v>2341</v>
      </c>
    </row>
    <row r="46" spans="1:4" x14ac:dyDescent="0.25">
      <c r="A46" s="2" t="s">
        <v>131</v>
      </c>
      <c r="B46" s="2" t="s">
        <v>51</v>
      </c>
      <c r="C46" s="259" t="str">
        <f t="shared" si="0"/>
        <v>Aguila|MolsonCoors Beverage Company</v>
      </c>
      <c r="D46" s="1">
        <v>2274</v>
      </c>
    </row>
    <row r="47" spans="1:4" x14ac:dyDescent="0.25">
      <c r="A47" s="2" t="s">
        <v>393</v>
      </c>
      <c r="B47" s="2" t="s">
        <v>51</v>
      </c>
      <c r="C47" s="259" t="str">
        <f t="shared" si="0"/>
        <v>Topo Chico|MolsonCoors Beverage Company</v>
      </c>
      <c r="D47" s="1">
        <v>2231</v>
      </c>
    </row>
    <row r="48" spans="1:4" x14ac:dyDescent="0.25">
      <c r="A48" s="2" t="s">
        <v>130</v>
      </c>
      <c r="B48" s="2" t="s">
        <v>51</v>
      </c>
      <c r="C48" s="259" t="str">
        <f t="shared" si="0"/>
        <v>Hamm's|MolsonCoors Beverage Company</v>
      </c>
      <c r="D48" s="1">
        <v>2126.25</v>
      </c>
    </row>
    <row r="49" spans="1:4" x14ac:dyDescent="0.25">
      <c r="A49" s="2" t="s">
        <v>85</v>
      </c>
      <c r="B49" s="2" t="s">
        <v>51</v>
      </c>
      <c r="C49" s="259" t="str">
        <f t="shared" si="0"/>
        <v>Vizzy|MolsonCoors Beverage Company</v>
      </c>
      <c r="D49" s="1">
        <v>1533</v>
      </c>
    </row>
    <row r="50" spans="1:4" x14ac:dyDescent="0.25">
      <c r="A50" s="2" t="s">
        <v>159</v>
      </c>
      <c r="B50" s="2" t="s">
        <v>51</v>
      </c>
      <c r="C50" s="259" t="str">
        <f t="shared" si="0"/>
        <v>Redd's|MolsonCoors Beverage Company</v>
      </c>
      <c r="D50" s="1">
        <v>952</v>
      </c>
    </row>
    <row r="51" spans="1:4" x14ac:dyDescent="0.25">
      <c r="A51" s="2" t="s">
        <v>54</v>
      </c>
      <c r="B51" s="2" t="s">
        <v>51</v>
      </c>
      <c r="C51" s="259" t="str">
        <f t="shared" si="0"/>
        <v>Sol|MolsonCoors Beverage Company</v>
      </c>
      <c r="D51" s="1">
        <v>926</v>
      </c>
    </row>
    <row r="52" spans="1:4" x14ac:dyDescent="0.25">
      <c r="A52" s="2" t="s">
        <v>53</v>
      </c>
      <c r="B52" s="2" t="s">
        <v>51</v>
      </c>
      <c r="C52" s="259" t="str">
        <f t="shared" si="0"/>
        <v>Milwaukee's Best Light|MolsonCoors Beverage Company</v>
      </c>
      <c r="D52" s="1">
        <v>738.75</v>
      </c>
    </row>
    <row r="53" spans="1:4" x14ac:dyDescent="0.25">
      <c r="A53" s="2" t="s">
        <v>107</v>
      </c>
      <c r="B53" s="2" t="s">
        <v>51</v>
      </c>
      <c r="C53" s="259" t="str">
        <f t="shared" si="0"/>
        <v>Cristal|MolsonCoors Beverage Company</v>
      </c>
      <c r="D53" s="1">
        <v>492</v>
      </c>
    </row>
    <row r="54" spans="1:4" x14ac:dyDescent="0.25">
      <c r="A54" s="2" t="s">
        <v>86</v>
      </c>
      <c r="B54" s="2" t="s">
        <v>51</v>
      </c>
      <c r="C54" s="259" t="str">
        <f t="shared" si="0"/>
        <v>Happy Thursday Spiked Refresher|MolsonCoors Beverage Company</v>
      </c>
      <c r="D54" s="1">
        <v>299</v>
      </c>
    </row>
    <row r="55" spans="1:4" x14ac:dyDescent="0.25">
      <c r="A55" s="2" t="s">
        <v>160</v>
      </c>
      <c r="B55" s="2" t="s">
        <v>51</v>
      </c>
      <c r="C55" s="259" t="str">
        <f t="shared" si="0"/>
        <v>Steel Reserve Alloy Series|MolsonCoors Beverage Company</v>
      </c>
      <c r="D55" s="1">
        <v>10</v>
      </c>
    </row>
    <row r="56" spans="1:4" x14ac:dyDescent="0.25">
      <c r="A56" s="255" t="s">
        <v>394</v>
      </c>
      <c r="B56" s="254"/>
      <c r="C56" s="259" t="str">
        <f t="shared" si="0"/>
        <v>Heineken USA|</v>
      </c>
      <c r="D56" s="253">
        <v>538278.17747200001</v>
      </c>
    </row>
    <row r="57" spans="1:4" x14ac:dyDescent="0.25">
      <c r="A57" s="2" t="s">
        <v>394</v>
      </c>
      <c r="B57" s="2" t="s">
        <v>394</v>
      </c>
      <c r="C57" s="259" t="str">
        <f t="shared" si="0"/>
        <v>Heineken USA|Heineken USA</v>
      </c>
      <c r="D57" s="1">
        <v>427765.62028799998</v>
      </c>
    </row>
    <row r="58" spans="1:4" x14ac:dyDescent="0.25">
      <c r="A58" s="2" t="s">
        <v>241</v>
      </c>
      <c r="B58" s="2" t="s">
        <v>394</v>
      </c>
      <c r="C58" s="259" t="str">
        <f t="shared" si="0"/>
        <v>Heineken Light|Heineken USA</v>
      </c>
      <c r="D58" s="1">
        <v>35718</v>
      </c>
    </row>
    <row r="59" spans="1:4" x14ac:dyDescent="0.25">
      <c r="A59" s="2" t="s">
        <v>373</v>
      </c>
      <c r="B59" s="2" t="s">
        <v>394</v>
      </c>
      <c r="C59" s="259" t="str">
        <f t="shared" si="0"/>
        <v>Heineken 0.0|Heineken USA</v>
      </c>
      <c r="D59" s="1">
        <v>26535.735479999999</v>
      </c>
    </row>
    <row r="60" spans="1:4" x14ac:dyDescent="0.25">
      <c r="A60" s="2" t="s">
        <v>3</v>
      </c>
      <c r="B60" s="2" t="s">
        <v>394</v>
      </c>
      <c r="C60" s="259" t="str">
        <f t="shared" si="0"/>
        <v>Amstel|Heineken USA</v>
      </c>
      <c r="D60" s="1">
        <v>13528</v>
      </c>
    </row>
    <row r="61" spans="1:4" x14ac:dyDescent="0.25">
      <c r="A61" s="2" t="s">
        <v>242</v>
      </c>
      <c r="B61" s="2" t="s">
        <v>394</v>
      </c>
      <c r="C61" s="259" t="str">
        <f t="shared" si="0"/>
        <v>Tecate|Heineken USA</v>
      </c>
      <c r="D61" s="1">
        <v>11132</v>
      </c>
    </row>
    <row r="62" spans="1:4" x14ac:dyDescent="0.25">
      <c r="A62" s="2" t="s">
        <v>395</v>
      </c>
      <c r="B62" s="2" t="s">
        <v>394</v>
      </c>
      <c r="C62" s="259" t="str">
        <f t="shared" si="0"/>
        <v>Dos Equis|Heineken USA</v>
      </c>
      <c r="D62" s="1">
        <v>8335.8888979999992</v>
      </c>
    </row>
    <row r="63" spans="1:4" x14ac:dyDescent="0.25">
      <c r="A63" s="2" t="s">
        <v>312</v>
      </c>
      <c r="B63" s="2" t="s">
        <v>394</v>
      </c>
      <c r="C63" s="259" t="str">
        <f t="shared" si="0"/>
        <v>Red Stripe|Heineken USA</v>
      </c>
      <c r="D63" s="1">
        <v>7300.5711199999996</v>
      </c>
    </row>
    <row r="64" spans="1:4" x14ac:dyDescent="0.25">
      <c r="A64" s="2" t="s">
        <v>32</v>
      </c>
      <c r="B64" s="2" t="s">
        <v>394</v>
      </c>
      <c r="C64" s="259" t="str">
        <f t="shared" si="0"/>
        <v>Heineken Silver|Heineken USA</v>
      </c>
      <c r="D64" s="1">
        <v>3651</v>
      </c>
    </row>
    <row r="65" spans="1:4" x14ac:dyDescent="0.25">
      <c r="A65" s="2" t="s">
        <v>288</v>
      </c>
      <c r="B65" s="2" t="s">
        <v>394</v>
      </c>
      <c r="C65" s="259" t="str">
        <f t="shared" si="0"/>
        <v>Murphy's|Heineken USA</v>
      </c>
      <c r="D65" s="1">
        <v>1656.9936479999999</v>
      </c>
    </row>
    <row r="66" spans="1:4" x14ac:dyDescent="0.25">
      <c r="A66" s="2" t="s">
        <v>109</v>
      </c>
      <c r="B66" s="2" t="s">
        <v>394</v>
      </c>
      <c r="C66" s="259" t="str">
        <f t="shared" si="0"/>
        <v>Carta Blanca|Heineken USA</v>
      </c>
      <c r="D66" s="1">
        <v>926.99982199999999</v>
      </c>
    </row>
    <row r="67" spans="1:4" x14ac:dyDescent="0.25">
      <c r="A67" s="2" t="s">
        <v>216</v>
      </c>
      <c r="B67" s="2" t="s">
        <v>394</v>
      </c>
      <c r="C67" s="259" t="str">
        <f t="shared" ref="C67:C133" si="1">A67&amp;"|"&amp;B67</f>
        <v>Prestige Lager|Heineken USA</v>
      </c>
      <c r="D67" s="1">
        <v>690</v>
      </c>
    </row>
    <row r="68" spans="1:4" x14ac:dyDescent="0.25">
      <c r="A68" s="2" t="s">
        <v>87</v>
      </c>
      <c r="B68" s="2" t="s">
        <v>394</v>
      </c>
      <c r="C68" s="259" t="str">
        <f t="shared" si="1"/>
        <v>Strongbow|Heineken USA</v>
      </c>
      <c r="D68" s="1">
        <v>674.36821599999996</v>
      </c>
    </row>
    <row r="69" spans="1:4" x14ac:dyDescent="0.25">
      <c r="A69" s="2" t="s">
        <v>313</v>
      </c>
      <c r="B69" s="2" t="s">
        <v>394</v>
      </c>
      <c r="C69" s="259" t="str">
        <f t="shared" si="1"/>
        <v>Buckler|Heineken USA</v>
      </c>
      <c r="D69" s="1">
        <v>301</v>
      </c>
    </row>
    <row r="70" spans="1:4" x14ac:dyDescent="0.25">
      <c r="A70" s="2" t="s">
        <v>55</v>
      </c>
      <c r="B70" s="2" t="s">
        <v>394</v>
      </c>
      <c r="C70" s="259" t="str">
        <f t="shared" si="1"/>
        <v>Newcastle|Heineken USA</v>
      </c>
      <c r="D70" s="1">
        <v>62</v>
      </c>
    </row>
    <row r="71" spans="1:4" x14ac:dyDescent="0.25">
      <c r="A71" s="255" t="s">
        <v>88</v>
      </c>
      <c r="B71" s="254"/>
      <c r="C71" s="259" t="str">
        <f t="shared" si="1"/>
        <v>Boston Beer Company|</v>
      </c>
      <c r="D71" s="253">
        <v>413391.58324100001</v>
      </c>
    </row>
    <row r="72" spans="1:4" x14ac:dyDescent="0.25">
      <c r="A72" s="2" t="s">
        <v>110</v>
      </c>
      <c r="B72" s="2" t="s">
        <v>88</v>
      </c>
      <c r="C72" s="259" t="str">
        <f t="shared" si="1"/>
        <v>Samuel Adams|Boston Beer Company</v>
      </c>
      <c r="D72" s="1">
        <v>120172.400116</v>
      </c>
    </row>
    <row r="73" spans="1:4" x14ac:dyDescent="0.25">
      <c r="A73" s="2" t="s">
        <v>314</v>
      </c>
      <c r="B73" s="2" t="s">
        <v>88</v>
      </c>
      <c r="C73" s="259" t="str">
        <f t="shared" si="1"/>
        <v>Twisted Tea|Boston Beer Company</v>
      </c>
      <c r="D73" s="1">
        <v>106786.27784</v>
      </c>
    </row>
    <row r="74" spans="1:4" x14ac:dyDescent="0.25">
      <c r="A74" s="2" t="s">
        <v>396</v>
      </c>
      <c r="B74" s="2" t="s">
        <v>88</v>
      </c>
      <c r="C74" s="259" t="str">
        <f t="shared" si="1"/>
        <v>Sun Cruiser|Boston Beer Company</v>
      </c>
      <c r="D74" s="1">
        <v>57902.5</v>
      </c>
    </row>
    <row r="75" spans="1:4" x14ac:dyDescent="0.25">
      <c r="A75" s="2" t="s">
        <v>374</v>
      </c>
      <c r="B75" s="2" t="s">
        <v>88</v>
      </c>
      <c r="C75" s="259" t="str">
        <f t="shared" si="1"/>
        <v>Angry Orchard|Boston Beer Company</v>
      </c>
      <c r="D75" s="1">
        <v>41571.356999000003</v>
      </c>
    </row>
    <row r="76" spans="1:4" x14ac:dyDescent="0.25">
      <c r="A76" s="2" t="s">
        <v>342</v>
      </c>
      <c r="B76" s="2" t="s">
        <v>88</v>
      </c>
      <c r="C76" s="259" t="str">
        <f t="shared" si="1"/>
        <v>Dogfish Head Beer|Boston Beer Company</v>
      </c>
      <c r="D76" s="1">
        <v>38432.645977</v>
      </c>
    </row>
    <row r="77" spans="1:4" x14ac:dyDescent="0.25">
      <c r="A77" s="2" t="s">
        <v>243</v>
      </c>
      <c r="B77" s="2" t="s">
        <v>88</v>
      </c>
      <c r="C77" s="259" t="str">
        <f t="shared" si="1"/>
        <v>Truly|Boston Beer Company</v>
      </c>
      <c r="D77" s="1">
        <v>36610.722052999998</v>
      </c>
    </row>
    <row r="78" spans="1:4" x14ac:dyDescent="0.25">
      <c r="A78" s="2" t="s">
        <v>4</v>
      </c>
      <c r="B78" s="2" t="s">
        <v>88</v>
      </c>
      <c r="C78" s="259" t="str">
        <f t="shared" si="1"/>
        <v>Dogfish Head Spirits|Boston Beer Company</v>
      </c>
      <c r="D78" s="1">
        <v>6293.6802559999996</v>
      </c>
    </row>
    <row r="79" spans="1:4" x14ac:dyDescent="0.25">
      <c r="A79" s="2" t="s">
        <v>161</v>
      </c>
      <c r="B79" s="2" t="s">
        <v>88</v>
      </c>
      <c r="C79" s="259" t="str">
        <f t="shared" si="1"/>
        <v>Hard Mountain Dew|Boston Beer Company</v>
      </c>
      <c r="D79" s="1">
        <v>5622</v>
      </c>
    </row>
    <row r="80" spans="1:4" x14ac:dyDescent="0.25">
      <c r="A80" s="2" t="s">
        <v>56</v>
      </c>
      <c r="B80" s="2" t="s">
        <v>88</v>
      </c>
      <c r="C80" s="259" t="str">
        <f t="shared" si="1"/>
        <v>Coney Island|Boston Beer Company</v>
      </c>
      <c r="D80" s="1">
        <v>0</v>
      </c>
    </row>
    <row r="81" spans="1:4" x14ac:dyDescent="0.25">
      <c r="A81" s="255" t="s">
        <v>34</v>
      </c>
      <c r="B81" s="254"/>
      <c r="C81" s="259" t="str">
        <f t="shared" si="1"/>
        <v>Mark Anthony|</v>
      </c>
      <c r="D81" s="253">
        <v>379751.78432600002</v>
      </c>
    </row>
    <row r="82" spans="1:4" x14ac:dyDescent="0.25">
      <c r="A82" s="2" t="s">
        <v>89</v>
      </c>
      <c r="B82" s="2" t="s">
        <v>34</v>
      </c>
      <c r="C82" s="259" t="str">
        <f t="shared" si="1"/>
        <v>White Claw|Mark Anthony</v>
      </c>
      <c r="D82" s="1">
        <v>299633.19794300001</v>
      </c>
    </row>
    <row r="83" spans="1:4" x14ac:dyDescent="0.25">
      <c r="A83" s="2" t="s">
        <v>375</v>
      </c>
      <c r="B83" s="2" t="s">
        <v>34</v>
      </c>
      <c r="C83" s="259" t="str">
        <f t="shared" si="1"/>
        <v>Mike's Hard Lemonade|Mark Anthony</v>
      </c>
      <c r="D83" s="1">
        <v>35553.322187999998</v>
      </c>
    </row>
    <row r="84" spans="1:4" x14ac:dyDescent="0.25">
      <c r="A84" s="2" t="s">
        <v>111</v>
      </c>
      <c r="B84" s="2" t="s">
        <v>34</v>
      </c>
      <c r="C84" s="259" t="str">
        <f t="shared" si="1"/>
        <v>Cayman Jack|Mark Anthony</v>
      </c>
      <c r="D84" s="1">
        <v>29725.011600000002</v>
      </c>
    </row>
    <row r="85" spans="1:4" x14ac:dyDescent="0.25">
      <c r="A85" s="2" t="s">
        <v>245</v>
      </c>
      <c r="B85" s="2" t="s">
        <v>34</v>
      </c>
      <c r="C85" s="259" t="str">
        <f t="shared" si="1"/>
        <v>Mike's Harder|Mark Anthony</v>
      </c>
      <c r="D85" s="1">
        <v>11123.5867</v>
      </c>
    </row>
    <row r="86" spans="1:4" x14ac:dyDescent="0.25">
      <c r="A86" s="2" t="s">
        <v>112</v>
      </c>
      <c r="B86" s="2" t="s">
        <v>34</v>
      </c>
      <c r="C86" s="259" t="str">
        <f t="shared" si="1"/>
        <v>Mxd Cocktails|Mark Anthony</v>
      </c>
      <c r="D86" s="1">
        <v>3086.6658950000001</v>
      </c>
    </row>
    <row r="87" spans="1:4" x14ac:dyDescent="0.25">
      <c r="A87" s="2" t="s">
        <v>35</v>
      </c>
      <c r="B87" s="2" t="s">
        <v>34</v>
      </c>
      <c r="C87" s="259" t="str">
        <f t="shared" si="1"/>
        <v>Dillon's Cocktails|Mark Anthony</v>
      </c>
      <c r="D87" s="1">
        <v>630</v>
      </c>
    </row>
    <row r="88" spans="1:4" x14ac:dyDescent="0.25">
      <c r="A88" s="255" t="s">
        <v>260</v>
      </c>
      <c r="B88" s="254"/>
      <c r="C88" s="259" t="str">
        <f t="shared" si="1"/>
        <v>Pabst Brewing Company|</v>
      </c>
      <c r="D88" s="253">
        <v>259515.93958899999</v>
      </c>
    </row>
    <row r="89" spans="1:4" x14ac:dyDescent="0.25">
      <c r="A89" s="2" t="s">
        <v>493</v>
      </c>
      <c r="B89" s="2" t="s">
        <v>260</v>
      </c>
      <c r="C89" s="259" t="str">
        <f t="shared" si="1"/>
        <v>Pabst Brand|Pabst Brewing Company</v>
      </c>
      <c r="D89" s="1">
        <v>152594.91696199999</v>
      </c>
    </row>
    <row r="90" spans="1:4" x14ac:dyDescent="0.25">
      <c r="A90" s="2" t="s">
        <v>430</v>
      </c>
      <c r="B90" s="2" t="s">
        <v>260</v>
      </c>
      <c r="C90" s="259" t="str">
        <f t="shared" si="1"/>
        <v>Pabst Light|Pabst Brewing Company</v>
      </c>
      <c r="D90" s="1" t="s">
        <v>569</v>
      </c>
    </row>
    <row r="91" spans="1:4" x14ac:dyDescent="0.25">
      <c r="A91" s="2" t="s">
        <v>5</v>
      </c>
      <c r="B91" s="2" t="s">
        <v>260</v>
      </c>
      <c r="C91" s="259" t="str">
        <f t="shared" si="1"/>
        <v>Colt 45|Pabst Brewing Company</v>
      </c>
      <c r="D91" s="1">
        <v>32732.236077000001</v>
      </c>
    </row>
    <row r="92" spans="1:4" x14ac:dyDescent="0.25">
      <c r="A92" s="2" t="s">
        <v>90</v>
      </c>
      <c r="B92" s="2" t="s">
        <v>260</v>
      </c>
      <c r="C92" s="259" t="str">
        <f t="shared" si="1"/>
        <v>St Ides|Pabst Brewing Company</v>
      </c>
      <c r="D92" s="1">
        <v>16196.976226000001</v>
      </c>
    </row>
    <row r="93" spans="1:4" x14ac:dyDescent="0.25">
      <c r="A93" s="2" t="s">
        <v>133</v>
      </c>
      <c r="B93" s="2" t="s">
        <v>260</v>
      </c>
      <c r="C93" s="259" t="str">
        <f t="shared" si="1"/>
        <v>Old Milwaukee|Pabst Brewing Company</v>
      </c>
      <c r="D93" s="1">
        <v>15879.246754</v>
      </c>
    </row>
    <row r="94" spans="1:4" x14ac:dyDescent="0.25">
      <c r="A94" s="2" t="s">
        <v>6</v>
      </c>
      <c r="B94" s="2" t="s">
        <v>260</v>
      </c>
      <c r="C94" s="259" t="str">
        <f t="shared" si="1"/>
        <v>Jack Daniels Country Cocktails|Pabst Brewing Company</v>
      </c>
      <c r="D94" s="1">
        <v>13310.684135</v>
      </c>
    </row>
    <row r="95" spans="1:4" x14ac:dyDescent="0.25">
      <c r="A95" s="2" t="s">
        <v>36</v>
      </c>
      <c r="B95" s="2" t="s">
        <v>260</v>
      </c>
      <c r="C95" s="259" t="str">
        <f t="shared" si="1"/>
        <v>Schlitz Malt|Pabst Brewing Company</v>
      </c>
      <c r="D95" s="1">
        <v>9554.2068600000002</v>
      </c>
    </row>
    <row r="96" spans="1:4" x14ac:dyDescent="0.25">
      <c r="A96" s="2" t="s">
        <v>430</v>
      </c>
      <c r="B96" s="2" t="s">
        <v>260</v>
      </c>
      <c r="C96" s="259" t="str">
        <f t="shared" si="1"/>
        <v>Pabst Light|Pabst Brewing Company</v>
      </c>
      <c r="D96" s="1">
        <v>5774.6662809999998</v>
      </c>
    </row>
    <row r="97" spans="1:4" x14ac:dyDescent="0.25">
      <c r="A97" s="2" t="s">
        <v>57</v>
      </c>
      <c r="B97" s="2" t="s">
        <v>260</v>
      </c>
      <c r="C97" s="259" t="str">
        <f t="shared" si="1"/>
        <v>Schaefer|Pabst Brewing Company</v>
      </c>
      <c r="D97" s="1">
        <v>4813.75</v>
      </c>
    </row>
    <row r="98" spans="1:4" x14ac:dyDescent="0.25">
      <c r="A98" s="2" t="s">
        <v>162</v>
      </c>
      <c r="B98" s="2" t="s">
        <v>260</v>
      </c>
      <c r="C98" s="259" t="str">
        <f t="shared" si="1"/>
        <v>Country Club|Pabst Brewing Company</v>
      </c>
      <c r="D98" s="1">
        <v>3375.9991559999999</v>
      </c>
    </row>
    <row r="99" spans="1:4" x14ac:dyDescent="0.25">
      <c r="A99" s="2" t="s">
        <v>397</v>
      </c>
      <c r="B99" s="2" t="s">
        <v>260</v>
      </c>
      <c r="C99" s="259" t="str">
        <f t="shared" si="1"/>
        <v>Small Town|Pabst Brewing Company</v>
      </c>
      <c r="D99" s="1">
        <v>1867</v>
      </c>
    </row>
    <row r="100" spans="1:4" x14ac:dyDescent="0.25">
      <c r="A100" s="2" t="s">
        <v>289</v>
      </c>
      <c r="B100" s="2" t="s">
        <v>260</v>
      </c>
      <c r="C100" s="259" t="str">
        <f t="shared" si="1"/>
        <v>Lone Star|Pabst Brewing Company</v>
      </c>
      <c r="D100" s="1">
        <v>1161</v>
      </c>
    </row>
    <row r="101" spans="1:4" x14ac:dyDescent="0.25">
      <c r="A101" s="2" t="s">
        <v>376</v>
      </c>
      <c r="B101" s="2" t="s">
        <v>260</v>
      </c>
      <c r="C101" s="259" t="str">
        <f t="shared" si="1"/>
        <v>New Holland Brewing Co|Pabst Brewing Company</v>
      </c>
      <c r="D101" s="1">
        <v>1084.9444470000001</v>
      </c>
    </row>
    <row r="102" spans="1:4" x14ac:dyDescent="0.25">
      <c r="A102" s="2" t="s">
        <v>134</v>
      </c>
      <c r="B102" s="2" t="s">
        <v>260</v>
      </c>
      <c r="C102" s="259" t="str">
        <f t="shared" si="1"/>
        <v>EL Jimador|Pabst Brewing Company</v>
      </c>
      <c r="D102" s="1">
        <v>684.97935900000004</v>
      </c>
    </row>
    <row r="103" spans="1:4" x14ac:dyDescent="0.25">
      <c r="A103" s="2" t="s">
        <v>91</v>
      </c>
      <c r="B103" s="2" t="s">
        <v>260</v>
      </c>
      <c r="C103" s="259" t="str">
        <f t="shared" si="1"/>
        <v>Ballantine Ale|Pabst Brewing Company</v>
      </c>
      <c r="D103" s="1">
        <v>485.33333199999998</v>
      </c>
    </row>
    <row r="104" spans="1:4" x14ac:dyDescent="0.25">
      <c r="A104" s="255" t="s">
        <v>135</v>
      </c>
      <c r="B104" s="254"/>
      <c r="C104" s="259" t="str">
        <f t="shared" si="1"/>
        <v>DG Yuengling Inc|</v>
      </c>
      <c r="D104" s="253">
        <v>221388.91698800001</v>
      </c>
    </row>
    <row r="105" spans="1:4" x14ac:dyDescent="0.25">
      <c r="A105" s="2" t="s">
        <v>261</v>
      </c>
      <c r="B105" s="2" t="s">
        <v>135</v>
      </c>
      <c r="C105" s="259" t="str">
        <f t="shared" si="1"/>
        <v>Yuengling Lager|DG Yuengling Inc</v>
      </c>
      <c r="D105" s="1">
        <v>189518.61148299999</v>
      </c>
    </row>
    <row r="106" spans="1:4" x14ac:dyDescent="0.25">
      <c r="A106" s="2" t="s">
        <v>290</v>
      </c>
      <c r="B106" s="2" t="s">
        <v>135</v>
      </c>
      <c r="C106" s="259" t="str">
        <f t="shared" si="1"/>
        <v>Yuengling Flight|DG Yuengling Inc</v>
      </c>
      <c r="D106" s="1">
        <v>9035.3055449999993</v>
      </c>
    </row>
    <row r="107" spans="1:4" x14ac:dyDescent="0.25">
      <c r="A107" s="2" t="s">
        <v>217</v>
      </c>
      <c r="B107" s="2" t="s">
        <v>135</v>
      </c>
      <c r="C107" s="259" t="str">
        <f t="shared" si="1"/>
        <v>Yuengling Light Lager|DG Yuengling Inc</v>
      </c>
      <c r="D107" s="1">
        <v>7554</v>
      </c>
    </row>
    <row r="108" spans="1:4" x14ac:dyDescent="0.25">
      <c r="A108" s="2" t="s">
        <v>343</v>
      </c>
      <c r="B108" s="2" t="s">
        <v>135</v>
      </c>
      <c r="C108" s="259" t="str">
        <f t="shared" si="1"/>
        <v>Yuengling Black &amp; Tan|DG Yuengling Inc</v>
      </c>
      <c r="D108" s="1">
        <v>5799.777744</v>
      </c>
    </row>
    <row r="109" spans="1:4" x14ac:dyDescent="0.25">
      <c r="A109" s="2" t="s">
        <v>136</v>
      </c>
      <c r="B109" s="2" t="s">
        <v>135</v>
      </c>
      <c r="C109" s="259" t="str">
        <f t="shared" si="1"/>
        <v>Yuengling Premium|DG Yuengling Inc</v>
      </c>
      <c r="D109" s="1">
        <v>4007</v>
      </c>
    </row>
    <row r="110" spans="1:4" x14ac:dyDescent="0.25">
      <c r="A110" s="2" t="s">
        <v>163</v>
      </c>
      <c r="B110" s="2" t="s">
        <v>135</v>
      </c>
      <c r="C110" s="259" t="str">
        <f t="shared" si="1"/>
        <v>Yuengling Golden Pilsner|DG Yuengling Inc</v>
      </c>
      <c r="D110" s="1">
        <v>2495</v>
      </c>
    </row>
    <row r="111" spans="1:4" x14ac:dyDescent="0.25">
      <c r="A111" s="2" t="s">
        <v>188</v>
      </c>
      <c r="B111" s="2" t="s">
        <v>135</v>
      </c>
      <c r="C111" s="259" t="str">
        <f t="shared" si="1"/>
        <v>Yuengling Premium Light|DG Yuengling Inc</v>
      </c>
      <c r="D111" s="1">
        <v>1605</v>
      </c>
    </row>
    <row r="112" spans="1:4" x14ac:dyDescent="0.25">
      <c r="A112" s="2" t="s">
        <v>377</v>
      </c>
      <c r="B112" s="2" t="s">
        <v>135</v>
      </c>
      <c r="C112" s="259" t="str">
        <f t="shared" si="1"/>
        <v>Yuengling Oktoberfest|DG Yuengling Inc</v>
      </c>
      <c r="D112" s="1">
        <v>991.222216</v>
      </c>
    </row>
    <row r="113" spans="1:4" x14ac:dyDescent="0.25">
      <c r="A113" s="2" t="s">
        <v>315</v>
      </c>
      <c r="B113" s="2" t="s">
        <v>135</v>
      </c>
      <c r="C113" s="259" t="str">
        <f t="shared" si="1"/>
        <v>Dg Yuengling Inc|DG Yuengling Inc</v>
      </c>
      <c r="D113" s="1">
        <v>383</v>
      </c>
    </row>
    <row r="114" spans="1:4" x14ac:dyDescent="0.25">
      <c r="A114" s="255" t="s">
        <v>316</v>
      </c>
      <c r="B114" s="254"/>
      <c r="C114" s="259" t="str">
        <f t="shared" si="1"/>
        <v>Sapporo|</v>
      </c>
      <c r="D114" s="253">
        <v>82349.751138000007</v>
      </c>
    </row>
    <row r="115" spans="1:4" x14ac:dyDescent="0.25">
      <c r="A115" s="2" t="s">
        <v>316</v>
      </c>
      <c r="B115" s="2" t="s">
        <v>316</v>
      </c>
      <c r="C115" s="259" t="str">
        <f t="shared" si="1"/>
        <v>Sapporo|Sapporo</v>
      </c>
      <c r="D115" s="1">
        <v>82349.751138000007</v>
      </c>
    </row>
    <row r="116" spans="1:4" x14ac:dyDescent="0.25">
      <c r="A116" s="255" t="s">
        <v>189</v>
      </c>
      <c r="B116" s="254"/>
      <c r="C116" s="259" t="str">
        <f t="shared" si="1"/>
        <v>New Belgium Brewing Company|</v>
      </c>
      <c r="D116" s="253">
        <v>62522.927808</v>
      </c>
    </row>
    <row r="117" spans="1:4" x14ac:dyDescent="0.25">
      <c r="A117" s="2" t="s">
        <v>138</v>
      </c>
      <c r="B117" s="2" t="s">
        <v>189</v>
      </c>
      <c r="C117" s="259" t="str">
        <f t="shared" si="1"/>
        <v>Voodoo Family|New Belgium Brewing Company</v>
      </c>
      <c r="D117" s="1">
        <v>43686.541723000002</v>
      </c>
    </row>
    <row r="118" spans="1:4" x14ac:dyDescent="0.25">
      <c r="A118" s="2" t="s">
        <v>189</v>
      </c>
      <c r="B118" s="2" t="s">
        <v>189</v>
      </c>
      <c r="C118" s="259" t="str">
        <f>A118&amp;"|"&amp;B118</f>
        <v>New Belgium Brewing Company|New Belgium Brewing Company</v>
      </c>
      <c r="D118" s="1">
        <v>3838.2222470000002</v>
      </c>
    </row>
    <row r="119" spans="1:4" x14ac:dyDescent="0.25">
      <c r="A119" s="2" t="s">
        <v>7</v>
      </c>
      <c r="B119" s="2" t="s">
        <v>189</v>
      </c>
      <c r="C119" s="259" t="str">
        <f>A119&amp;"|"&amp;B119</f>
        <v>Voodoo Hardcharged|New Belgium Brewing Company</v>
      </c>
      <c r="D119" s="1">
        <v>2198</v>
      </c>
    </row>
    <row r="120" spans="1:4" x14ac:dyDescent="0.25">
      <c r="A120" s="2" t="s">
        <v>218</v>
      </c>
      <c r="B120" s="2" t="s">
        <v>189</v>
      </c>
      <c r="C120" s="259" t="str">
        <f>A120&amp;"|"&amp;B120</f>
        <v>Lightstrike|New Belgium Brewing Company</v>
      </c>
      <c r="D120" s="1">
        <v>368.98324600000001</v>
      </c>
    </row>
    <row r="121" spans="1:4" x14ac:dyDescent="0.25">
      <c r="A121" s="2" t="s">
        <v>292</v>
      </c>
      <c r="B121" s="2" t="s">
        <v>189</v>
      </c>
      <c r="C121" s="259" t="str">
        <f>A121&amp;"|"&amp;B121</f>
        <v>Kirin Light|New Belgium Brewing Company</v>
      </c>
      <c r="D121" s="1">
        <v>257</v>
      </c>
    </row>
    <row r="122" spans="1:4" x14ac:dyDescent="0.25">
      <c r="A122" s="2" t="s">
        <v>291</v>
      </c>
      <c r="B122" s="2" t="s">
        <v>189</v>
      </c>
      <c r="C122" s="259" t="str">
        <f t="shared" si="1"/>
        <v>Fat Tire Family|New Belgium Brewing Company</v>
      </c>
      <c r="D122" s="1">
        <v>7843.1250239999999</v>
      </c>
    </row>
    <row r="123" spans="1:4" x14ac:dyDescent="0.25">
      <c r="A123" s="255" t="s">
        <v>398</v>
      </c>
      <c r="B123" s="255"/>
      <c r="C123" s="259" t="str">
        <f t="shared" si="1"/>
        <v>Kirin Ichiban|</v>
      </c>
      <c r="D123" s="253">
        <v>4331.0555679999998</v>
      </c>
    </row>
    <row r="124" spans="1:4" x14ac:dyDescent="0.25">
      <c r="A124" s="43" t="s">
        <v>292</v>
      </c>
      <c r="B124" s="43" t="s">
        <v>398</v>
      </c>
      <c r="C124" s="259" t="str">
        <f t="shared" si="1"/>
        <v>Kirin Light|Kirin Ichiban</v>
      </c>
      <c r="D124" s="261">
        <v>226</v>
      </c>
    </row>
    <row r="125" spans="1:4" x14ac:dyDescent="0.25">
      <c r="A125" s="43" t="s">
        <v>398</v>
      </c>
      <c r="B125" s="43" t="s">
        <v>398</v>
      </c>
      <c r="C125" s="259" t="str">
        <f t="shared" si="1"/>
        <v>Kirin Ichiban|Kirin Ichiban</v>
      </c>
      <c r="D125" s="261">
        <v>3074.28</v>
      </c>
    </row>
    <row r="126" spans="1:4" x14ac:dyDescent="0.25">
      <c r="A126" s="255" t="s">
        <v>345</v>
      </c>
      <c r="B126" s="254"/>
      <c r="C126" s="259" t="str">
        <f t="shared" si="1"/>
        <v>Sierra Nevada Brewing Company|</v>
      </c>
      <c r="D126" s="253">
        <v>47490.637472000002</v>
      </c>
    </row>
    <row r="127" spans="1:4" x14ac:dyDescent="0.25">
      <c r="A127" s="2" t="s">
        <v>293</v>
      </c>
      <c r="B127" s="2" t="s">
        <v>345</v>
      </c>
      <c r="C127" s="259" t="str">
        <f t="shared" si="1"/>
        <v>Sierra Nevada|Sierra Nevada Brewing Company</v>
      </c>
      <c r="D127" s="1">
        <v>47490.637472000002</v>
      </c>
    </row>
    <row r="128" spans="1:4" x14ac:dyDescent="0.25">
      <c r="A128" s="255" t="s">
        <v>346</v>
      </c>
      <c r="B128" s="254"/>
      <c r="C128" s="259" t="str">
        <f t="shared" si="1"/>
        <v>Famosa|</v>
      </c>
      <c r="D128" s="253">
        <v>38245.186970000002</v>
      </c>
    </row>
    <row r="129" spans="1:4" x14ac:dyDescent="0.25">
      <c r="A129" s="2" t="s">
        <v>346</v>
      </c>
      <c r="B129" s="2" t="s">
        <v>346</v>
      </c>
      <c r="C129" s="259" t="str">
        <f t="shared" si="1"/>
        <v>Famosa|Famosa</v>
      </c>
      <c r="D129" s="1">
        <v>38251.186970000002</v>
      </c>
    </row>
    <row r="130" spans="1:4" x14ac:dyDescent="0.25">
      <c r="A130" s="2" t="s">
        <v>317</v>
      </c>
      <c r="B130" s="2" t="s">
        <v>346</v>
      </c>
      <c r="C130" s="259" t="str">
        <f t="shared" si="1"/>
        <v>Monte Carlo|Famosa</v>
      </c>
      <c r="D130" s="1">
        <v>-6</v>
      </c>
    </row>
    <row r="131" spans="1:4" x14ac:dyDescent="0.25">
      <c r="A131" s="255" t="s">
        <v>379</v>
      </c>
      <c r="B131" s="254"/>
      <c r="C131" s="259" t="str">
        <f t="shared" si="1"/>
        <v>Radeberger USA|</v>
      </c>
      <c r="D131" s="253">
        <v>34224.507486000002</v>
      </c>
    </row>
    <row r="132" spans="1:4" x14ac:dyDescent="0.25">
      <c r="A132" s="2" t="s">
        <v>165</v>
      </c>
      <c r="B132" s="2" t="s">
        <v>379</v>
      </c>
      <c r="C132" s="259" t="str">
        <f t="shared" si="1"/>
        <v>Dab|Radeberger USA</v>
      </c>
      <c r="D132" s="1">
        <v>16176.259998</v>
      </c>
    </row>
    <row r="133" spans="1:4" x14ac:dyDescent="0.25">
      <c r="A133" s="2" t="s">
        <v>61</v>
      </c>
      <c r="B133" s="2" t="s">
        <v>379</v>
      </c>
      <c r="C133" s="259" t="str">
        <f t="shared" si="1"/>
        <v>Schofferhofer|Radeberger USA</v>
      </c>
      <c r="D133" s="1">
        <v>9457.3883779999996</v>
      </c>
    </row>
    <row r="134" spans="1:4" x14ac:dyDescent="0.25">
      <c r="A134" s="2" t="s">
        <v>401</v>
      </c>
      <c r="B134" s="2" t="s">
        <v>379</v>
      </c>
      <c r="C134" s="259" t="str">
        <f t="shared" ref="C134:C197" si="2">A134&amp;"|"&amp;B134</f>
        <v>Radeberger|Radeberger USA</v>
      </c>
      <c r="D134" s="1">
        <v>5922.0113179999998</v>
      </c>
    </row>
    <row r="135" spans="1:4" x14ac:dyDescent="0.25">
      <c r="A135" s="2" t="s">
        <v>402</v>
      </c>
      <c r="B135" s="2" t="s">
        <v>379</v>
      </c>
      <c r="C135" s="259" t="str">
        <f t="shared" si="2"/>
        <v>Clausthaler|Radeberger USA</v>
      </c>
      <c r="D135" s="1">
        <v>2668.847792</v>
      </c>
    </row>
    <row r="136" spans="1:4" x14ac:dyDescent="0.25">
      <c r="A136" s="255" t="s">
        <v>139</v>
      </c>
      <c r="B136" s="254"/>
      <c r="C136" s="259" t="str">
        <f t="shared" si="2"/>
        <v>Total Beverage Solutions|</v>
      </c>
      <c r="D136" s="253">
        <v>31524.631568000001</v>
      </c>
    </row>
    <row r="137" spans="1:4" x14ac:dyDescent="0.25">
      <c r="A137" s="2" t="s">
        <v>190</v>
      </c>
      <c r="B137" s="2" t="s">
        <v>139</v>
      </c>
      <c r="C137" s="259" t="str">
        <f t="shared" si="2"/>
        <v>Carib|Total Beverage Solutions</v>
      </c>
      <c r="D137" s="1">
        <v>11274</v>
      </c>
    </row>
    <row r="138" spans="1:4" x14ac:dyDescent="0.25">
      <c r="A138" s="2" t="s">
        <v>58</v>
      </c>
      <c r="B138" s="2" t="s">
        <v>139</v>
      </c>
      <c r="C138" s="259" t="str">
        <f t="shared" si="2"/>
        <v>Weihenstephaner|Total Beverage Solutions</v>
      </c>
      <c r="D138" s="1">
        <v>8588.2607279999993</v>
      </c>
    </row>
    <row r="139" spans="1:4" x14ac:dyDescent="0.25">
      <c r="A139" s="2" t="s">
        <v>399</v>
      </c>
      <c r="B139" s="2" t="s">
        <v>139</v>
      </c>
      <c r="C139" s="259" t="str">
        <f t="shared" si="2"/>
        <v>Magners|Total Beverage Solutions</v>
      </c>
      <c r="D139" s="1">
        <v>8542.9749580000007</v>
      </c>
    </row>
    <row r="140" spans="1:4" x14ac:dyDescent="0.25">
      <c r="A140" s="2" t="s">
        <v>59</v>
      </c>
      <c r="B140" s="2" t="s">
        <v>139</v>
      </c>
      <c r="C140" s="259" t="str">
        <f t="shared" si="2"/>
        <v>Shipyard|Total Beverage Solutions</v>
      </c>
      <c r="D140" s="1">
        <v>1889.70829</v>
      </c>
    </row>
    <row r="141" spans="1:4" x14ac:dyDescent="0.25">
      <c r="A141" s="2" t="s">
        <v>92</v>
      </c>
      <c r="B141" s="2" t="s">
        <v>139</v>
      </c>
      <c r="C141" s="259" t="str">
        <f t="shared" si="2"/>
        <v>Mackeson|Total Beverage Solutions</v>
      </c>
      <c r="D141" s="1">
        <v>449</v>
      </c>
    </row>
    <row r="142" spans="1:4" x14ac:dyDescent="0.25">
      <c r="A142" s="2" t="s">
        <v>164</v>
      </c>
      <c r="B142" s="2" t="s">
        <v>139</v>
      </c>
      <c r="C142" s="259" t="str">
        <f t="shared" si="2"/>
        <v>Banks|Total Beverage Solutions</v>
      </c>
      <c r="D142" s="1">
        <v>394</v>
      </c>
    </row>
    <row r="143" spans="1:4" x14ac:dyDescent="0.25">
      <c r="A143" s="2" t="s">
        <v>378</v>
      </c>
      <c r="B143" s="2" t="s">
        <v>139</v>
      </c>
      <c r="C143" s="259" t="str">
        <f t="shared" si="2"/>
        <v>Rekorderlig|Total Beverage Solutions</v>
      </c>
      <c r="D143" s="1">
        <v>386.687592</v>
      </c>
    </row>
    <row r="144" spans="1:4" x14ac:dyDescent="0.25">
      <c r="A144" s="255" t="s">
        <v>93</v>
      </c>
      <c r="B144" s="254"/>
      <c r="C144" s="259" t="str">
        <f t="shared" si="2"/>
        <v>Montauk Brewing Co|</v>
      </c>
      <c r="D144" s="253">
        <v>29129.403114000001</v>
      </c>
    </row>
    <row r="145" spans="1:4" x14ac:dyDescent="0.25">
      <c r="A145" s="2" t="s">
        <v>347</v>
      </c>
      <c r="B145" s="2" t="s">
        <v>93</v>
      </c>
      <c r="C145" s="259" t="str">
        <f t="shared" si="2"/>
        <v>Montauk|Montauk Brewing Co</v>
      </c>
      <c r="D145" s="1">
        <v>29129.403114000001</v>
      </c>
    </row>
    <row r="146" spans="1:4" x14ac:dyDescent="0.25">
      <c r="A146" s="255" t="s">
        <v>8</v>
      </c>
      <c r="B146" s="254"/>
      <c r="C146" s="259" t="str">
        <f t="shared" si="2"/>
        <v>FX Matt|</v>
      </c>
      <c r="D146" s="253">
        <v>28805.339061999999</v>
      </c>
    </row>
    <row r="147" spans="1:4" x14ac:dyDescent="0.25">
      <c r="A147" s="2" t="s">
        <v>191</v>
      </c>
      <c r="B147" s="2" t="s">
        <v>8</v>
      </c>
      <c r="C147" s="259" t="str">
        <f t="shared" si="2"/>
        <v>Flying Dog Brewing Co|FX Matt</v>
      </c>
      <c r="D147" s="1">
        <v>13644.867335999999</v>
      </c>
    </row>
    <row r="148" spans="1:4" x14ac:dyDescent="0.25">
      <c r="A148" s="2" t="s">
        <v>60</v>
      </c>
      <c r="B148" s="2" t="s">
        <v>8</v>
      </c>
      <c r="C148" s="259" t="str">
        <f t="shared" si="2"/>
        <v>Saranac|FX Matt</v>
      </c>
      <c r="D148" s="1">
        <v>10528.611117</v>
      </c>
    </row>
    <row r="149" spans="1:4" x14ac:dyDescent="0.25">
      <c r="A149" s="2" t="s">
        <v>246</v>
      </c>
      <c r="B149" s="2" t="s">
        <v>8</v>
      </c>
      <c r="C149" s="259" t="str">
        <f t="shared" si="2"/>
        <v>Kingfisher Premium|FX Matt</v>
      </c>
      <c r="D149" s="1">
        <v>1678</v>
      </c>
    </row>
    <row r="150" spans="1:4" x14ac:dyDescent="0.25">
      <c r="A150" s="2" t="s">
        <v>400</v>
      </c>
      <c r="B150" s="2" t="s">
        <v>8</v>
      </c>
      <c r="C150" s="259" t="str">
        <f t="shared" si="2"/>
        <v>Right Coast|FX Matt</v>
      </c>
      <c r="D150" s="1">
        <v>1598.0828300000001</v>
      </c>
    </row>
    <row r="151" spans="1:4" x14ac:dyDescent="0.25">
      <c r="A151" s="2" t="s">
        <v>262</v>
      </c>
      <c r="B151" s="2" t="s">
        <v>8</v>
      </c>
      <c r="C151" s="259" t="str">
        <f t="shared" si="2"/>
        <v>Friday Beers|FX Matt</v>
      </c>
      <c r="D151" s="1">
        <v>1044.777779</v>
      </c>
    </row>
    <row r="152" spans="1:4" x14ac:dyDescent="0.25">
      <c r="A152" s="2" t="s">
        <v>37</v>
      </c>
      <c r="B152" s="2" t="s">
        <v>8</v>
      </c>
      <c r="C152" s="259" t="str">
        <f t="shared" si="2"/>
        <v>Mckenzie's|FX Matt</v>
      </c>
      <c r="D152" s="1">
        <v>311</v>
      </c>
    </row>
    <row r="153" spans="1:4" x14ac:dyDescent="0.25">
      <c r="A153" s="255" t="s">
        <v>113</v>
      </c>
      <c r="B153" s="254"/>
      <c r="C153" s="259" t="str">
        <f t="shared" si="2"/>
        <v>Cape May|</v>
      </c>
      <c r="D153" s="253">
        <v>28056.722299000001</v>
      </c>
    </row>
    <row r="154" spans="1:4" x14ac:dyDescent="0.25">
      <c r="A154" s="2" t="s">
        <v>113</v>
      </c>
      <c r="B154" s="2" t="s">
        <v>113</v>
      </c>
      <c r="C154" s="259" t="str">
        <f t="shared" si="2"/>
        <v>Cape May|Cape May</v>
      </c>
      <c r="D154" s="1">
        <v>28056.722299000001</v>
      </c>
    </row>
    <row r="155" spans="1:4" x14ac:dyDescent="0.25">
      <c r="A155" s="255" t="s">
        <v>13</v>
      </c>
      <c r="B155" s="254"/>
      <c r="C155" s="259" t="str">
        <f t="shared" si="2"/>
        <v>Athletic Brewing Company|</v>
      </c>
      <c r="D155" s="253">
        <v>23154</v>
      </c>
    </row>
    <row r="156" spans="1:4" x14ac:dyDescent="0.25">
      <c r="A156" s="2" t="s">
        <v>62</v>
      </c>
      <c r="B156" s="2" t="s">
        <v>13</v>
      </c>
      <c r="C156" s="259" t="str">
        <f t="shared" si="2"/>
        <v>Athletic|Athletic Brewing Company</v>
      </c>
      <c r="D156" s="1">
        <v>23154</v>
      </c>
    </row>
    <row r="157" spans="1:4" x14ac:dyDescent="0.25">
      <c r="A157" s="255" t="s">
        <v>63</v>
      </c>
      <c r="B157" s="254"/>
      <c r="C157" s="259" t="str">
        <f t="shared" si="2"/>
        <v>Phusion Projects|</v>
      </c>
      <c r="D157" s="253">
        <v>22089.735699000001</v>
      </c>
    </row>
    <row r="158" spans="1:4" x14ac:dyDescent="0.25">
      <c r="A158" s="2" t="s">
        <v>64</v>
      </c>
      <c r="B158" s="2" t="s">
        <v>63</v>
      </c>
      <c r="C158" s="259" t="str">
        <f t="shared" si="2"/>
        <v>Four Loko|Phusion Projects</v>
      </c>
      <c r="D158" s="1">
        <v>19188.735699000001</v>
      </c>
    </row>
    <row r="159" spans="1:4" x14ac:dyDescent="0.25">
      <c r="A159" s="2" t="s">
        <v>115</v>
      </c>
      <c r="B159" s="2" t="s">
        <v>63</v>
      </c>
      <c r="C159" s="259" t="str">
        <f t="shared" si="2"/>
        <v>Earthquake|Phusion Projects</v>
      </c>
      <c r="D159" s="1">
        <v>1669</v>
      </c>
    </row>
    <row r="160" spans="1:4" x14ac:dyDescent="0.25">
      <c r="A160" s="2" t="s">
        <v>42</v>
      </c>
      <c r="B160" s="2" t="s">
        <v>63</v>
      </c>
      <c r="C160" s="259" t="str">
        <f t="shared" si="2"/>
        <v>Mamita's|Phusion Projects</v>
      </c>
      <c r="D160" s="1">
        <v>1232</v>
      </c>
    </row>
    <row r="161" spans="1:4" x14ac:dyDescent="0.25">
      <c r="A161" s="255" t="s">
        <v>166</v>
      </c>
      <c r="B161" s="254"/>
      <c r="C161" s="259" t="str">
        <f t="shared" si="2"/>
        <v>US Beverage|</v>
      </c>
      <c r="D161" s="253">
        <v>21771.097009000001</v>
      </c>
    </row>
    <row r="162" spans="1:4" x14ac:dyDescent="0.25">
      <c r="A162" s="2" t="s">
        <v>263</v>
      </c>
      <c r="B162" s="2" t="s">
        <v>166</v>
      </c>
      <c r="C162" s="259" t="str">
        <f t="shared" si="2"/>
        <v>Dragon Stout|US Beverage</v>
      </c>
      <c r="D162" s="1">
        <v>8391.0057770000003</v>
      </c>
    </row>
    <row r="163" spans="1:4" x14ac:dyDescent="0.25">
      <c r="A163" s="2" t="s">
        <v>265</v>
      </c>
      <c r="B163" s="2" t="s">
        <v>166</v>
      </c>
      <c r="C163" s="259" t="str">
        <f t="shared" si="2"/>
        <v>Malibu Splash|US Beverage</v>
      </c>
      <c r="D163" s="1">
        <v>2455</v>
      </c>
    </row>
    <row r="164" spans="1:4" x14ac:dyDescent="0.25">
      <c r="A164" s="2" t="s">
        <v>380</v>
      </c>
      <c r="B164" s="2" t="s">
        <v>166</v>
      </c>
      <c r="C164" s="259" t="str">
        <f t="shared" si="2"/>
        <v>Moosehead|US Beverage</v>
      </c>
      <c r="D164" s="1">
        <v>2320</v>
      </c>
    </row>
    <row r="165" spans="1:4" x14ac:dyDescent="0.25">
      <c r="A165" s="2" t="s">
        <v>10</v>
      </c>
      <c r="B165" s="2" t="s">
        <v>166</v>
      </c>
      <c r="C165" s="259" t="str">
        <f t="shared" si="2"/>
        <v>Estrella|US Beverage</v>
      </c>
      <c r="D165" s="1">
        <v>2086.6532120000002</v>
      </c>
    </row>
    <row r="166" spans="1:4" x14ac:dyDescent="0.25">
      <c r="A166" s="2" t="s">
        <v>264</v>
      </c>
      <c r="B166" s="2" t="s">
        <v>166</v>
      </c>
      <c r="C166" s="259" t="str">
        <f t="shared" si="2"/>
        <v>Birra Moretti|US Beverage</v>
      </c>
      <c r="D166" s="1">
        <v>1892</v>
      </c>
    </row>
    <row r="167" spans="1:4" x14ac:dyDescent="0.25">
      <c r="A167" s="2" t="s">
        <v>192</v>
      </c>
      <c r="B167" s="2" t="s">
        <v>166</v>
      </c>
      <c r="C167" s="259" t="str">
        <f t="shared" si="2"/>
        <v>Daura|US Beverage</v>
      </c>
      <c r="D167" s="1">
        <v>1824.156684</v>
      </c>
    </row>
    <row r="168" spans="1:4" x14ac:dyDescent="0.25">
      <c r="A168" s="2" t="s">
        <v>94</v>
      </c>
      <c r="B168" s="2" t="s">
        <v>166</v>
      </c>
      <c r="C168" s="259" t="str">
        <f t="shared" si="2"/>
        <v>Czechvar|US Beverage</v>
      </c>
      <c r="D168" s="1">
        <v>1161.653104</v>
      </c>
    </row>
    <row r="169" spans="1:4" x14ac:dyDescent="0.25">
      <c r="A169" s="2" t="s">
        <v>349</v>
      </c>
      <c r="B169" s="2" t="s">
        <v>166</v>
      </c>
      <c r="C169" s="259" t="str">
        <f t="shared" si="2"/>
        <v>Krusovice|US Beverage</v>
      </c>
      <c r="D169" s="1">
        <v>830.32625800000005</v>
      </c>
    </row>
    <row r="170" spans="1:4" x14ac:dyDescent="0.25">
      <c r="A170" s="2" t="s">
        <v>295</v>
      </c>
      <c r="B170" s="2" t="s">
        <v>166</v>
      </c>
      <c r="C170" s="259" t="str">
        <f t="shared" si="2"/>
        <v>Innis &amp; Gunn|US Beverage</v>
      </c>
      <c r="D170" s="1">
        <v>626.66651000000002</v>
      </c>
    </row>
    <row r="171" spans="1:4" x14ac:dyDescent="0.25">
      <c r="A171" s="2" t="s">
        <v>40</v>
      </c>
      <c r="B171" s="2" t="s">
        <v>166</v>
      </c>
      <c r="C171" s="259" t="str">
        <f t="shared" si="2"/>
        <v>Tagus|US Beverage</v>
      </c>
      <c r="D171" s="1">
        <v>92.375028</v>
      </c>
    </row>
    <row r="172" spans="1:4" x14ac:dyDescent="0.25">
      <c r="A172" s="2" t="s">
        <v>140</v>
      </c>
      <c r="B172" s="2" t="s">
        <v>166</v>
      </c>
      <c r="C172" s="259" t="str">
        <f t="shared" si="2"/>
        <v>Sagres Cerveja|US Beverage</v>
      </c>
      <c r="D172" s="1">
        <v>81.260435999999999</v>
      </c>
    </row>
    <row r="173" spans="1:4" x14ac:dyDescent="0.25">
      <c r="A173" s="2" t="s">
        <v>248</v>
      </c>
      <c r="B173" s="2" t="s">
        <v>166</v>
      </c>
      <c r="C173" s="259" t="str">
        <f t="shared" si="2"/>
        <v>Dewey Crush|US Beverage</v>
      </c>
      <c r="D173" s="1">
        <v>10</v>
      </c>
    </row>
    <row r="174" spans="1:4" x14ac:dyDescent="0.25">
      <c r="A174" s="2" t="s">
        <v>167</v>
      </c>
      <c r="B174" s="2" t="s">
        <v>166</v>
      </c>
      <c r="C174" s="259" t="str">
        <f t="shared" si="2"/>
        <v>Superior Cerveza|US Beverage</v>
      </c>
      <c r="D174" s="1">
        <v>0</v>
      </c>
    </row>
    <row r="175" spans="1:4" x14ac:dyDescent="0.25">
      <c r="A175" s="255" t="s">
        <v>318</v>
      </c>
      <c r="B175" s="254"/>
      <c r="C175" s="259" t="str">
        <f t="shared" si="2"/>
        <v>Lagunitas Brewing Co|</v>
      </c>
      <c r="D175" s="253">
        <v>21602.911078000001</v>
      </c>
    </row>
    <row r="176" spans="1:4" x14ac:dyDescent="0.25">
      <c r="A176" s="2" t="s">
        <v>348</v>
      </c>
      <c r="B176" s="2" t="s">
        <v>318</v>
      </c>
      <c r="C176" s="259" t="str">
        <f t="shared" si="2"/>
        <v>Lagunitas|Lagunitas Brewing Co</v>
      </c>
      <c r="D176" s="1">
        <v>20961.911078000001</v>
      </c>
    </row>
    <row r="177" spans="1:4" x14ac:dyDescent="0.25">
      <c r="A177" s="2" t="s">
        <v>247</v>
      </c>
      <c r="B177" s="2" t="s">
        <v>318</v>
      </c>
      <c r="C177" s="259" t="str">
        <f t="shared" si="2"/>
        <v>Lagunitas NA|Lagunitas Brewing Co</v>
      </c>
      <c r="D177" s="1">
        <v>641</v>
      </c>
    </row>
    <row r="178" spans="1:4" x14ac:dyDescent="0.25">
      <c r="A178" s="255" t="s">
        <v>219</v>
      </c>
      <c r="B178" s="254"/>
      <c r="C178" s="259" t="str">
        <f t="shared" si="2"/>
        <v>Victory Brewing Company|</v>
      </c>
      <c r="D178" s="253">
        <v>21274.951422999999</v>
      </c>
    </row>
    <row r="179" spans="1:4" x14ac:dyDescent="0.25">
      <c r="A179" s="2" t="s">
        <v>9</v>
      </c>
      <c r="B179" s="2" t="s">
        <v>219</v>
      </c>
      <c r="C179" s="259" t="str">
        <f t="shared" si="2"/>
        <v>Monkey Family|Victory Brewing Company</v>
      </c>
      <c r="D179" s="1">
        <v>15997.006953</v>
      </c>
    </row>
    <row r="180" spans="1:4" x14ac:dyDescent="0.25">
      <c r="A180" s="2" t="s">
        <v>220</v>
      </c>
      <c r="B180" s="2" t="s">
        <v>219</v>
      </c>
      <c r="C180" s="259" t="str">
        <f t="shared" si="2"/>
        <v>Victory|Victory Brewing Company</v>
      </c>
      <c r="D180" s="1">
        <v>5277.9444700000004</v>
      </c>
    </row>
    <row r="181" spans="1:4" x14ac:dyDescent="0.25">
      <c r="A181" s="255" t="s">
        <v>38</v>
      </c>
      <c r="B181" s="254"/>
      <c r="C181" s="259" t="str">
        <f t="shared" si="2"/>
        <v>Sixpoint Brewing|</v>
      </c>
      <c r="D181" s="253">
        <v>20096.902955000001</v>
      </c>
    </row>
    <row r="182" spans="1:4" x14ac:dyDescent="0.25">
      <c r="A182" s="2" t="s">
        <v>403</v>
      </c>
      <c r="B182" s="2" t="s">
        <v>38</v>
      </c>
      <c r="C182" s="259" t="str">
        <f t="shared" si="2"/>
        <v>Sixpoint|Sixpoint Brewing</v>
      </c>
      <c r="D182" s="1">
        <v>20096.902955000001</v>
      </c>
    </row>
    <row r="183" spans="1:4" x14ac:dyDescent="0.25">
      <c r="A183" s="255" t="s">
        <v>39</v>
      </c>
      <c r="B183" s="254"/>
      <c r="C183" s="259" t="str">
        <f t="shared" si="2"/>
        <v>Stone Brewing|</v>
      </c>
      <c r="D183" s="253">
        <v>18473.573054</v>
      </c>
    </row>
    <row r="184" spans="1:4" x14ac:dyDescent="0.25">
      <c r="A184" s="2" t="s">
        <v>39</v>
      </c>
      <c r="B184" s="2" t="s">
        <v>39</v>
      </c>
      <c r="C184" s="259" t="str">
        <f t="shared" si="2"/>
        <v>Stone Brewing|Stone Brewing</v>
      </c>
      <c r="D184" s="1">
        <v>16468.906354999999</v>
      </c>
    </row>
    <row r="185" spans="1:4" x14ac:dyDescent="0.25">
      <c r="A185" s="2" t="s">
        <v>221</v>
      </c>
      <c r="B185" s="2" t="s">
        <v>39</v>
      </c>
      <c r="C185" s="259" t="str">
        <f t="shared" si="2"/>
        <v>Stone Premium &amp; Smooth Beer Co|Stone Brewing</v>
      </c>
      <c r="D185" s="1">
        <v>2004.6666990000001</v>
      </c>
    </row>
    <row r="186" spans="1:4" x14ac:dyDescent="0.25">
      <c r="A186" s="255" t="s">
        <v>14</v>
      </c>
      <c r="B186" s="254"/>
      <c r="C186" s="259" t="str">
        <f t="shared" si="2"/>
        <v>Hofbrauhaus USA|</v>
      </c>
      <c r="D186" s="253">
        <v>16973.781594</v>
      </c>
    </row>
    <row r="187" spans="1:4" x14ac:dyDescent="0.25">
      <c r="A187" s="2" t="s">
        <v>142</v>
      </c>
      <c r="B187" s="2" t="s">
        <v>14</v>
      </c>
      <c r="C187" s="259" t="str">
        <f t="shared" si="2"/>
        <v>Hofbrau Usa|Hofbrauhaus USA</v>
      </c>
      <c r="D187" s="1">
        <v>16973.781594</v>
      </c>
    </row>
    <row r="188" spans="1:4" x14ac:dyDescent="0.25">
      <c r="A188" s="255" t="s">
        <v>12</v>
      </c>
      <c r="B188" s="254"/>
      <c r="C188" s="259" t="str">
        <f t="shared" si="2"/>
        <v>FIFCO|</v>
      </c>
      <c r="D188" s="253">
        <v>16759.25</v>
      </c>
    </row>
    <row r="189" spans="1:4" x14ac:dyDescent="0.25">
      <c r="A189" s="2" t="s">
        <v>114</v>
      </c>
      <c r="B189" s="2" t="s">
        <v>12</v>
      </c>
      <c r="C189" s="259" t="str">
        <f t="shared" si="2"/>
        <v>Genesee|FIFCO</v>
      </c>
      <c r="D189" s="1">
        <v>14616.25</v>
      </c>
    </row>
    <row r="190" spans="1:4" x14ac:dyDescent="0.25">
      <c r="A190" s="2" t="s">
        <v>169</v>
      </c>
      <c r="B190" s="2" t="s">
        <v>12</v>
      </c>
      <c r="C190" s="259" t="str">
        <f t="shared" si="2"/>
        <v>Imperial|FIFCO</v>
      </c>
      <c r="D190" s="1">
        <v>2038</v>
      </c>
    </row>
    <row r="191" spans="1:4" x14ac:dyDescent="0.25">
      <c r="A191" s="2" t="s">
        <v>193</v>
      </c>
      <c r="B191" s="2" t="s">
        <v>12</v>
      </c>
      <c r="C191" s="259" t="str">
        <f t="shared" si="2"/>
        <v>Honey Brown|FIFCO</v>
      </c>
      <c r="D191" s="1">
        <v>105</v>
      </c>
    </row>
    <row r="192" spans="1:4" x14ac:dyDescent="0.25">
      <c r="A192" s="255" t="s">
        <v>266</v>
      </c>
      <c r="B192" s="254"/>
      <c r="C192" s="259" t="str">
        <f t="shared" si="2"/>
        <v>Paulaner|</v>
      </c>
      <c r="D192" s="253">
        <v>16172.69808</v>
      </c>
    </row>
    <row r="193" spans="1:4" x14ac:dyDescent="0.25">
      <c r="A193" s="2" t="s">
        <v>266</v>
      </c>
      <c r="B193" s="2" t="s">
        <v>266</v>
      </c>
      <c r="C193" s="259" t="str">
        <f t="shared" si="2"/>
        <v>Paulaner|Paulaner</v>
      </c>
      <c r="D193" s="1">
        <v>9454.3358059999991</v>
      </c>
    </row>
    <row r="194" spans="1:4" x14ac:dyDescent="0.25">
      <c r="A194" s="2" t="s">
        <v>222</v>
      </c>
      <c r="B194" s="2" t="s">
        <v>266</v>
      </c>
      <c r="C194" s="259" t="str">
        <f t="shared" si="2"/>
        <v>Tsingtao|Paulaner</v>
      </c>
      <c r="D194" s="1">
        <v>3537.5555380000001</v>
      </c>
    </row>
    <row r="195" spans="1:4" x14ac:dyDescent="0.25">
      <c r="A195" s="2" t="s">
        <v>194</v>
      </c>
      <c r="B195" s="2" t="s">
        <v>266</v>
      </c>
      <c r="C195" s="259" t="str">
        <f t="shared" si="2"/>
        <v>Hacker-Pschorr|Paulaner</v>
      </c>
      <c r="D195" s="1">
        <v>3050.0428160000001</v>
      </c>
    </row>
    <row r="196" spans="1:4" x14ac:dyDescent="0.25">
      <c r="A196" s="2" t="s">
        <v>43</v>
      </c>
      <c r="B196" s="2" t="s">
        <v>266</v>
      </c>
      <c r="C196" s="259" t="str">
        <f t="shared" si="2"/>
        <v>Fuller's|Paulaner</v>
      </c>
      <c r="D196" s="1">
        <v>130.76392000000001</v>
      </c>
    </row>
    <row r="197" spans="1:4" x14ac:dyDescent="0.25">
      <c r="A197" s="255" t="s">
        <v>319</v>
      </c>
      <c r="B197" s="254"/>
      <c r="C197" s="259" t="str">
        <f t="shared" si="2"/>
        <v>Warwick Valley|</v>
      </c>
      <c r="D197" s="253">
        <v>14543.804704</v>
      </c>
    </row>
    <row r="198" spans="1:4" x14ac:dyDescent="0.25">
      <c r="A198" s="2" t="s">
        <v>11</v>
      </c>
      <c r="B198" s="2" t="s">
        <v>319</v>
      </c>
      <c r="C198" s="259" t="str">
        <f t="shared" ref="C198:C264" si="3">A198&amp;"|"&amp;B198</f>
        <v>Doc's|Warwick Valley</v>
      </c>
      <c r="D198" s="1">
        <v>14535.804704</v>
      </c>
    </row>
    <row r="199" spans="1:4" x14ac:dyDescent="0.25">
      <c r="A199" s="2" t="s">
        <v>41</v>
      </c>
      <c r="B199" s="2" t="s">
        <v>319</v>
      </c>
      <c r="C199" s="259" t="str">
        <f t="shared" si="3"/>
        <v>Warwick Gin|Warwick Valley</v>
      </c>
      <c r="D199" s="1">
        <v>5</v>
      </c>
    </row>
    <row r="200" spans="1:4" x14ac:dyDescent="0.25">
      <c r="A200" s="2" t="s">
        <v>168</v>
      </c>
      <c r="B200" s="2" t="s">
        <v>319</v>
      </c>
      <c r="C200" s="259" t="str">
        <f t="shared" si="3"/>
        <v>Gin Pig|Warwick Valley</v>
      </c>
      <c r="D200" s="1">
        <v>3</v>
      </c>
    </row>
    <row r="201" spans="1:4" x14ac:dyDescent="0.25">
      <c r="A201" s="255" t="s">
        <v>249</v>
      </c>
      <c r="B201" s="254"/>
      <c r="C201" s="259" t="str">
        <f t="shared" si="3"/>
        <v>Garage Beer|</v>
      </c>
      <c r="D201" s="253">
        <v>14173.138462999999</v>
      </c>
    </row>
    <row r="202" spans="1:4" x14ac:dyDescent="0.25">
      <c r="A202" s="2" t="s">
        <v>249</v>
      </c>
      <c r="B202" s="2" t="s">
        <v>249</v>
      </c>
      <c r="C202" s="259" t="str">
        <f t="shared" si="3"/>
        <v>Garage Beer|Garage Beer</v>
      </c>
      <c r="D202" s="1">
        <v>14173.138462999999</v>
      </c>
    </row>
    <row r="203" spans="1:4" x14ac:dyDescent="0.25">
      <c r="A203" s="255" t="s">
        <v>141</v>
      </c>
      <c r="B203" s="254"/>
      <c r="C203" s="259" t="str">
        <f t="shared" si="3"/>
        <v>Pride &amp; Clarke|</v>
      </c>
      <c r="D203" s="253">
        <v>12455.869425000001</v>
      </c>
    </row>
    <row r="204" spans="1:4" x14ac:dyDescent="0.25">
      <c r="A204" s="2" t="s">
        <v>141</v>
      </c>
      <c r="B204" s="2" t="s">
        <v>141</v>
      </c>
      <c r="C204" s="259" t="str">
        <f t="shared" si="3"/>
        <v>Pride &amp; Clarke|Pride &amp; Clarke</v>
      </c>
      <c r="D204" s="1">
        <v>12455.869425000001</v>
      </c>
    </row>
    <row r="205" spans="1:4" x14ac:dyDescent="0.25">
      <c r="A205" s="255" t="s">
        <v>267</v>
      </c>
      <c r="B205" s="254"/>
      <c r="C205" s="259" t="str">
        <f t="shared" si="3"/>
        <v>Artisanal Imports|</v>
      </c>
      <c r="D205" s="253">
        <v>10737</v>
      </c>
    </row>
    <row r="206" spans="1:4" x14ac:dyDescent="0.25">
      <c r="A206" s="2" t="s">
        <v>67</v>
      </c>
      <c r="B206" s="2" t="s">
        <v>267</v>
      </c>
      <c r="C206" s="259" t="str">
        <f t="shared" si="3"/>
        <v>Palma|Artisanal Imports</v>
      </c>
      <c r="D206" s="1">
        <v>6148</v>
      </c>
    </row>
    <row r="207" spans="1:4" x14ac:dyDescent="0.25">
      <c r="A207" s="2" t="s">
        <v>66</v>
      </c>
      <c r="B207" s="2" t="s">
        <v>267</v>
      </c>
      <c r="C207" s="259" t="str">
        <f t="shared" si="3"/>
        <v>Tona|Artisanal Imports</v>
      </c>
      <c r="D207" s="1">
        <v>4589</v>
      </c>
    </row>
    <row r="208" spans="1:4" x14ac:dyDescent="0.25">
      <c r="A208" s="255" t="s">
        <v>143</v>
      </c>
      <c r="B208" s="254"/>
      <c r="C208" s="259" t="str">
        <f t="shared" si="3"/>
        <v>Narragansett|</v>
      </c>
      <c r="D208" s="253">
        <v>8978.3322530000005</v>
      </c>
    </row>
    <row r="209" spans="1:5" x14ac:dyDescent="0.25">
      <c r="A209" s="2" t="s">
        <v>143</v>
      </c>
      <c r="B209" s="2" t="s">
        <v>143</v>
      </c>
      <c r="C209" s="259" t="str">
        <f t="shared" si="3"/>
        <v>Narragansett|Narragansett</v>
      </c>
      <c r="D209" s="1">
        <v>8277.9990409999991</v>
      </c>
    </row>
    <row r="210" spans="1:5" x14ac:dyDescent="0.25">
      <c r="A210" s="2" t="s">
        <v>16</v>
      </c>
      <c r="B210" s="2" t="s">
        <v>143</v>
      </c>
      <c r="C210" s="259" t="str">
        <f t="shared" si="3"/>
        <v>Del's Shandy|Narragansett</v>
      </c>
      <c r="D210" s="1">
        <v>700.333212</v>
      </c>
    </row>
    <row r="211" spans="1:5" x14ac:dyDescent="0.25">
      <c r="A211" s="255" t="s">
        <v>223</v>
      </c>
      <c r="B211" s="254"/>
      <c r="C211" s="259" t="str">
        <f t="shared" si="3"/>
        <v>Beak &amp; Skiff|</v>
      </c>
      <c r="D211" s="253">
        <v>7288.5246950000001</v>
      </c>
    </row>
    <row r="212" spans="1:5" x14ac:dyDescent="0.25">
      <c r="A212" s="2" t="s">
        <v>15</v>
      </c>
      <c r="B212" s="2" t="s">
        <v>223</v>
      </c>
      <c r="C212" s="259" t="str">
        <f t="shared" si="3"/>
        <v>1911 Hard Cider|Beak &amp; Skiff</v>
      </c>
      <c r="D212" s="1">
        <v>7251.5246950000001</v>
      </c>
    </row>
    <row r="213" spans="1:5" x14ac:dyDescent="0.25">
      <c r="A213" s="2" t="s">
        <v>170</v>
      </c>
      <c r="B213" s="2" t="s">
        <v>223</v>
      </c>
      <c r="C213" s="259" t="str">
        <f t="shared" si="3"/>
        <v>1911 Spirits|Beak &amp; Skiff</v>
      </c>
      <c r="D213" s="1">
        <v>37</v>
      </c>
    </row>
    <row r="214" spans="1:5" x14ac:dyDescent="0.25">
      <c r="A214" s="255" t="s">
        <v>65</v>
      </c>
      <c r="B214" s="254"/>
      <c r="C214" s="259" t="str">
        <f t="shared" si="3"/>
        <v>Red Bull|</v>
      </c>
      <c r="D214" s="253">
        <v>7106.4733480000004</v>
      </c>
    </row>
    <row r="215" spans="1:5" x14ac:dyDescent="0.25">
      <c r="A215" s="2" t="s">
        <v>65</v>
      </c>
      <c r="B215" s="2" t="s">
        <v>65</v>
      </c>
      <c r="C215" s="259" t="str">
        <f t="shared" si="3"/>
        <v>Red Bull|Red Bull</v>
      </c>
      <c r="D215" s="1">
        <v>7106.4733480000004</v>
      </c>
    </row>
    <row r="216" spans="1:5" x14ac:dyDescent="0.25">
      <c r="A216" s="255" t="s">
        <v>321</v>
      </c>
      <c r="B216" s="254"/>
      <c r="C216" s="259" t="str">
        <f t="shared" si="3"/>
        <v>Saratoga|</v>
      </c>
      <c r="D216" s="253">
        <v>6632.5014970000002</v>
      </c>
    </row>
    <row r="217" spans="1:5" x14ac:dyDescent="0.25">
      <c r="A217" s="2" t="s">
        <v>321</v>
      </c>
      <c r="B217" s="2" t="s">
        <v>321</v>
      </c>
      <c r="C217" s="259" t="str">
        <f t="shared" si="3"/>
        <v>Saratoga|Saratoga</v>
      </c>
      <c r="D217" s="1">
        <v>6632.5014970000002</v>
      </c>
    </row>
    <row r="218" spans="1:5" x14ac:dyDescent="0.25">
      <c r="A218" s="255" t="s">
        <v>250</v>
      </c>
      <c r="B218" s="254"/>
      <c r="C218" s="259" t="str">
        <f t="shared" si="3"/>
        <v>Vinaio Imports LTD|</v>
      </c>
      <c r="D218" s="253">
        <v>6596.3512879999998</v>
      </c>
    </row>
    <row r="219" spans="1:5" x14ac:dyDescent="0.25">
      <c r="A219" s="2" t="s">
        <v>404</v>
      </c>
      <c r="B219" s="2" t="s">
        <v>250</v>
      </c>
      <c r="C219" s="259" t="str">
        <f t="shared" si="3"/>
        <v>Cerveza Republica La Tuya 5.0 La Dura|Vinaio Imports LTD</v>
      </c>
      <c r="D219" s="1">
        <v>4590.0591439999998</v>
      </c>
    </row>
    <row r="220" spans="1:5" x14ac:dyDescent="0.25">
      <c r="A220" s="2" t="s">
        <v>225</v>
      </c>
      <c r="B220" s="2" t="s">
        <v>250</v>
      </c>
      <c r="C220" s="259" t="str">
        <f t="shared" si="3"/>
        <v>Cerveza Republica LA Tuya|Vinaio Imports LTD</v>
      </c>
      <c r="D220" s="1">
        <v>2006.292144</v>
      </c>
    </row>
    <row r="221" spans="1:5" x14ac:dyDescent="0.25">
      <c r="A221" s="255" t="s">
        <v>224</v>
      </c>
      <c r="B221" s="254"/>
      <c r="C221" s="259" t="str">
        <f t="shared" si="3"/>
        <v>Southern Tier Brewing Company|</v>
      </c>
      <c r="D221" s="253">
        <v>5831.5444299999999</v>
      </c>
    </row>
    <row r="222" spans="1:5" ht="15.75" thickBot="1" x14ac:dyDescent="0.3">
      <c r="A222" s="2" t="s">
        <v>350</v>
      </c>
      <c r="B222" s="2" t="s">
        <v>224</v>
      </c>
      <c r="C222" s="259" t="str">
        <f t="shared" si="3"/>
        <v>Southern Tier|Southern Tier Brewing Company</v>
      </c>
      <c r="D222" s="1">
        <v>5831.5444299999999</v>
      </c>
    </row>
    <row r="223" spans="1:5" x14ac:dyDescent="0.25">
      <c r="A223" s="263" t="s">
        <v>500</v>
      </c>
      <c r="B223" s="264"/>
      <c r="C223" s="265" t="str">
        <f t="shared" si="3"/>
        <v>Columbian Roots|</v>
      </c>
      <c r="D223" s="266">
        <v>5469.891353</v>
      </c>
      <c r="E223" s="306"/>
    </row>
    <row r="224" spans="1:5" x14ac:dyDescent="0.25">
      <c r="A224" s="270" t="s">
        <v>508</v>
      </c>
      <c r="B224" s="267" t="s">
        <v>95</v>
      </c>
      <c r="C224" s="268" t="str">
        <f t="shared" si="3"/>
        <v>Club Colombia Roja|Food &amp; Bev Enterprise LLC</v>
      </c>
      <c r="D224" s="304">
        <v>329.83</v>
      </c>
      <c r="E224" s="306"/>
    </row>
    <row r="225" spans="1:5" x14ac:dyDescent="0.25">
      <c r="A225" s="270" t="s">
        <v>507</v>
      </c>
      <c r="B225" s="267" t="s">
        <v>95</v>
      </c>
      <c r="C225" s="268" t="str">
        <f t="shared" si="3"/>
        <v>Club Colombia Dorada|Food &amp; Bev Enterprise LLC</v>
      </c>
      <c r="D225" s="305">
        <v>1276.45</v>
      </c>
      <c r="E225" s="306"/>
    </row>
    <row r="226" spans="1:5" x14ac:dyDescent="0.25">
      <c r="A226" s="270" t="s">
        <v>506</v>
      </c>
      <c r="B226" s="267" t="s">
        <v>95</v>
      </c>
      <c r="C226" s="268" t="str">
        <f t="shared" si="3"/>
        <v>Aguila Light|Food &amp; Bev Enterprise LLC</v>
      </c>
      <c r="D226" s="304">
        <v>500.27</v>
      </c>
      <c r="E226" s="306"/>
    </row>
    <row r="227" spans="1:5" x14ac:dyDescent="0.25">
      <c r="A227" s="149" t="s">
        <v>144</v>
      </c>
      <c r="B227" s="267" t="s">
        <v>95</v>
      </c>
      <c r="C227" s="268" t="str">
        <f>A227&amp;"|"&amp;B227</f>
        <v>Aguila Import|Food &amp; Bev Enterprise LLC</v>
      </c>
      <c r="D227" s="304">
        <v>795.79</v>
      </c>
      <c r="E227" s="306"/>
    </row>
    <row r="228" spans="1:5" x14ac:dyDescent="0.25">
      <c r="A228" s="149" t="s">
        <v>509</v>
      </c>
      <c r="B228" s="267" t="s">
        <v>95</v>
      </c>
      <c r="C228" s="268" t="str">
        <f t="shared" si="3"/>
        <v>Pilsen Import|Food &amp; Bev Enterprise LLC</v>
      </c>
      <c r="D228" s="302">
        <v>322.39</v>
      </c>
      <c r="E228" s="306"/>
    </row>
    <row r="229" spans="1:5" x14ac:dyDescent="0.25">
      <c r="A229" s="149" t="s">
        <v>96</v>
      </c>
      <c r="B229" s="267" t="s">
        <v>95</v>
      </c>
      <c r="C229" s="268" t="str">
        <f t="shared" si="3"/>
        <v>Poker Import|Food &amp; Bev Enterprise LLC</v>
      </c>
      <c r="D229" s="302">
        <v>1844.754629</v>
      </c>
      <c r="E229" s="306"/>
    </row>
    <row r="230" spans="1:5" ht="15.75" thickBot="1" x14ac:dyDescent="0.3">
      <c r="A230" s="158" t="s">
        <v>322</v>
      </c>
      <c r="B230" s="159" t="s">
        <v>95</v>
      </c>
      <c r="C230" s="269" t="str">
        <f t="shared" si="3"/>
        <v>Costenita|Food &amp; Bev Enterprise LLC</v>
      </c>
      <c r="D230" s="303">
        <v>400.40249999999997</v>
      </c>
      <c r="E230" s="306"/>
    </row>
    <row r="231" spans="1:5" x14ac:dyDescent="0.25">
      <c r="A231" s="255" t="s">
        <v>251</v>
      </c>
      <c r="B231" s="254"/>
      <c r="C231" s="259" t="str">
        <f t="shared" si="3"/>
        <v>Bell's|</v>
      </c>
      <c r="D231" s="253">
        <v>4726.8888889999998</v>
      </c>
    </row>
    <row r="232" spans="1:5" x14ac:dyDescent="0.25">
      <c r="A232" s="2" t="s">
        <v>296</v>
      </c>
      <c r="B232" s="2" t="s">
        <v>251</v>
      </c>
      <c r="C232" s="259" t="str">
        <f t="shared" si="3"/>
        <v>Bell's Hearted Family|Bell's</v>
      </c>
      <c r="D232" s="1">
        <v>3623.1111129999999</v>
      </c>
    </row>
    <row r="233" spans="1:5" x14ac:dyDescent="0.25">
      <c r="A233" s="2" t="s">
        <v>251</v>
      </c>
      <c r="B233" s="2" t="s">
        <v>251</v>
      </c>
      <c r="C233" s="259" t="str">
        <f t="shared" si="3"/>
        <v>Bell's|Bell's</v>
      </c>
      <c r="D233" s="1">
        <v>1103.7777759999999</v>
      </c>
    </row>
    <row r="234" spans="1:5" x14ac:dyDescent="0.25">
      <c r="A234" s="255" t="s">
        <v>351</v>
      </c>
      <c r="B234" s="254"/>
      <c r="C234" s="259" t="str">
        <f t="shared" si="3"/>
        <v>Evil Genius|</v>
      </c>
      <c r="D234" s="253">
        <v>4695.7459390000004</v>
      </c>
    </row>
    <row r="235" spans="1:5" x14ac:dyDescent="0.25">
      <c r="A235" s="2" t="s">
        <v>351</v>
      </c>
      <c r="B235" s="2" t="s">
        <v>351</v>
      </c>
      <c r="C235" s="259" t="str">
        <f t="shared" si="3"/>
        <v>Evil Genius|Evil Genius</v>
      </c>
      <c r="D235" s="1">
        <v>4695.7459390000004</v>
      </c>
    </row>
    <row r="236" spans="1:5" x14ac:dyDescent="0.25">
      <c r="A236" s="255" t="s">
        <v>180</v>
      </c>
      <c r="B236" s="254"/>
      <c r="C236" s="259" t="str">
        <f t="shared" si="3"/>
        <v>Delta Beverage LLC|</v>
      </c>
      <c r="D236" s="253">
        <v>4554</v>
      </c>
    </row>
    <row r="237" spans="1:5" x14ac:dyDescent="0.25">
      <c r="A237" s="2" t="s">
        <v>365</v>
      </c>
      <c r="B237" s="2" t="s">
        <v>180</v>
      </c>
      <c r="C237" s="259" t="str">
        <f t="shared" si="3"/>
        <v>DELTA|Delta Beverage LLC</v>
      </c>
      <c r="D237" s="1">
        <v>4554</v>
      </c>
    </row>
    <row r="238" spans="1:5" x14ac:dyDescent="0.25">
      <c r="A238" s="255" t="s">
        <v>17</v>
      </c>
      <c r="B238" s="254"/>
      <c r="C238" s="259" t="str">
        <f t="shared" si="3"/>
        <v>Great Lakes|</v>
      </c>
      <c r="D238" s="253">
        <v>4379.6319560000002</v>
      </c>
    </row>
    <row r="239" spans="1:5" x14ac:dyDescent="0.25">
      <c r="A239" s="2" t="s">
        <v>17</v>
      </c>
      <c r="B239" s="2" t="s">
        <v>17</v>
      </c>
      <c r="C239" s="259" t="str">
        <f t="shared" si="3"/>
        <v>Great Lakes|Great Lakes</v>
      </c>
      <c r="D239" s="1">
        <v>4379.6319560000002</v>
      </c>
    </row>
    <row r="240" spans="1:5" x14ac:dyDescent="0.25">
      <c r="A240" s="255" t="s">
        <v>381</v>
      </c>
      <c r="B240" s="254"/>
      <c r="C240" s="259" t="str">
        <f t="shared" si="3"/>
        <v>Travelers Club|</v>
      </c>
      <c r="D240" s="253">
        <v>4093.7136810000002</v>
      </c>
    </row>
    <row r="241" spans="1:4" x14ac:dyDescent="0.25">
      <c r="A241" s="2" t="s">
        <v>381</v>
      </c>
      <c r="B241" s="2" t="s">
        <v>381</v>
      </c>
      <c r="C241" s="259" t="str">
        <f t="shared" si="3"/>
        <v>Travelers Club|Travelers Club</v>
      </c>
      <c r="D241" s="1">
        <v>4093.7136810000002</v>
      </c>
    </row>
    <row r="242" spans="1:4" x14ac:dyDescent="0.25">
      <c r="A242" s="255" t="s">
        <v>405</v>
      </c>
      <c r="B242" s="254"/>
      <c r="C242" s="259" t="str">
        <f t="shared" si="3"/>
        <v>Harpoon Brewery|</v>
      </c>
      <c r="D242" s="253">
        <v>3751.7430559999998</v>
      </c>
    </row>
    <row r="243" spans="1:4" x14ac:dyDescent="0.25">
      <c r="A243" s="2" t="s">
        <v>323</v>
      </c>
      <c r="B243" s="2" t="s">
        <v>405</v>
      </c>
      <c r="C243" s="259" t="str">
        <f t="shared" si="3"/>
        <v>Long Trail|Harpoon Brewery</v>
      </c>
      <c r="D243" s="1">
        <v>3751.7430559999998</v>
      </c>
    </row>
    <row r="244" spans="1:4" x14ac:dyDescent="0.25">
      <c r="A244" s="255" t="s">
        <v>269</v>
      </c>
      <c r="B244" s="254"/>
      <c r="C244" s="259" t="str">
        <f t="shared" si="3"/>
        <v>Global Beer|</v>
      </c>
      <c r="D244" s="253">
        <v>3735.3370620000001</v>
      </c>
    </row>
    <row r="245" spans="1:4" x14ac:dyDescent="0.25">
      <c r="A245" s="2" t="s">
        <v>18</v>
      </c>
      <c r="B245" s="2" t="s">
        <v>269</v>
      </c>
      <c r="C245" s="259" t="str">
        <f t="shared" si="3"/>
        <v>Stiegl|Global Beer</v>
      </c>
      <c r="D245" s="1">
        <v>1779.3477700000001</v>
      </c>
    </row>
    <row r="246" spans="1:4" x14ac:dyDescent="0.25">
      <c r="A246" s="2" t="s">
        <v>71</v>
      </c>
      <c r="B246" s="2" t="s">
        <v>269</v>
      </c>
      <c r="C246" s="259" t="str">
        <f t="shared" si="3"/>
        <v>Sullivan's|Global Beer</v>
      </c>
      <c r="D246" s="1">
        <v>1208.2642080000001</v>
      </c>
    </row>
    <row r="247" spans="1:4" x14ac:dyDescent="0.25">
      <c r="A247" s="2" t="s">
        <v>195</v>
      </c>
      <c r="B247" s="2" t="s">
        <v>269</v>
      </c>
      <c r="C247" s="259" t="str">
        <f t="shared" si="3"/>
        <v>Yard House|Global Beer</v>
      </c>
      <c r="D247" s="1">
        <v>308.46876300000002</v>
      </c>
    </row>
    <row r="248" spans="1:4" x14ac:dyDescent="0.25">
      <c r="A248" s="2" t="s">
        <v>406</v>
      </c>
      <c r="B248" s="2" t="s">
        <v>269</v>
      </c>
      <c r="C248" s="259" t="str">
        <f t="shared" si="3"/>
        <v>Petrus|Global Beer</v>
      </c>
      <c r="D248" s="1">
        <v>129.88542899999999</v>
      </c>
    </row>
    <row r="249" spans="1:4" x14ac:dyDescent="0.25">
      <c r="A249" s="2" t="s">
        <v>353</v>
      </c>
      <c r="B249" s="2" t="s">
        <v>269</v>
      </c>
      <c r="C249" s="259" t="str">
        <f t="shared" si="3"/>
        <v>Gulden Draak|Global Beer</v>
      </c>
      <c r="D249" s="1">
        <v>127.451415</v>
      </c>
    </row>
    <row r="250" spans="1:4" x14ac:dyDescent="0.25">
      <c r="A250" s="2" t="s">
        <v>352</v>
      </c>
      <c r="B250" s="2" t="s">
        <v>269</v>
      </c>
      <c r="C250" s="259" t="str">
        <f t="shared" si="3"/>
        <v>Bavik|Global Beer</v>
      </c>
      <c r="D250" s="1">
        <v>68.888890000000004</v>
      </c>
    </row>
    <row r="251" spans="1:4" x14ac:dyDescent="0.25">
      <c r="A251" s="2" t="s">
        <v>117</v>
      </c>
      <c r="B251" s="2" t="s">
        <v>269</v>
      </c>
      <c r="C251" s="259" t="str">
        <f t="shared" si="3"/>
        <v>Piraat|Global Beer</v>
      </c>
      <c r="D251" s="1">
        <v>59.895842999999999</v>
      </c>
    </row>
    <row r="252" spans="1:4" x14ac:dyDescent="0.25">
      <c r="A252" s="2" t="s">
        <v>171</v>
      </c>
      <c r="B252" s="2" t="s">
        <v>269</v>
      </c>
      <c r="C252" s="259" t="str">
        <f t="shared" si="3"/>
        <v>Van Steenberge|Global Beer</v>
      </c>
      <c r="D252" s="1">
        <v>29.652784</v>
      </c>
    </row>
    <row r="253" spans="1:4" x14ac:dyDescent="0.25">
      <c r="A253" s="2" t="s">
        <v>72</v>
      </c>
      <c r="B253" s="2" t="s">
        <v>269</v>
      </c>
      <c r="C253" s="259" t="str">
        <f t="shared" si="3"/>
        <v>Baptist Wit|Global Beer</v>
      </c>
      <c r="D253" s="1">
        <v>23.481960000000001</v>
      </c>
    </row>
    <row r="254" spans="1:4" x14ac:dyDescent="0.25">
      <c r="A254" s="255" t="s">
        <v>69</v>
      </c>
      <c r="B254" s="254"/>
      <c r="C254" s="259" t="str">
        <f t="shared" si="3"/>
        <v>Flying Fish|</v>
      </c>
      <c r="D254" s="253">
        <v>3634.4514359999998</v>
      </c>
    </row>
    <row r="255" spans="1:4" x14ac:dyDescent="0.25">
      <c r="A255" s="2" t="s">
        <v>69</v>
      </c>
      <c r="B255" s="2" t="s">
        <v>69</v>
      </c>
      <c r="C255" s="259" t="str">
        <f t="shared" si="3"/>
        <v>Flying Fish|Flying Fish</v>
      </c>
      <c r="D255" s="1">
        <v>3432.069489</v>
      </c>
    </row>
    <row r="256" spans="1:4" x14ac:dyDescent="0.25">
      <c r="A256" s="2" t="s">
        <v>70</v>
      </c>
      <c r="B256" s="2" t="s">
        <v>69</v>
      </c>
      <c r="C256" s="259" t="str">
        <f t="shared" si="3"/>
        <v>Big Mans Brew|Flying Fish</v>
      </c>
      <c r="D256" s="1">
        <v>202.381947</v>
      </c>
    </row>
    <row r="257" spans="1:4" x14ac:dyDescent="0.25">
      <c r="A257" s="255" t="s">
        <v>325</v>
      </c>
      <c r="B257" s="254"/>
      <c r="C257" s="259" t="str">
        <f t="shared" si="3"/>
        <v>BJ'S Private Label Brew|</v>
      </c>
      <c r="D257" s="253">
        <v>3585.0856650000001</v>
      </c>
    </row>
    <row r="258" spans="1:4" x14ac:dyDescent="0.25">
      <c r="A258" s="2" t="s">
        <v>270</v>
      </c>
      <c r="B258" s="2" t="s">
        <v>325</v>
      </c>
      <c r="C258" s="259" t="str">
        <f t="shared" si="3"/>
        <v>BJ'S Private Label Brewa|BJ'S Private Label Brew</v>
      </c>
      <c r="D258" s="1">
        <v>3585.0856650000001</v>
      </c>
    </row>
    <row r="259" spans="1:4" x14ac:dyDescent="0.25">
      <c r="A259" s="255" t="s">
        <v>324</v>
      </c>
      <c r="B259" s="254"/>
      <c r="C259" s="259" t="str">
        <f t="shared" si="3"/>
        <v>Vermont Hard Cider|</v>
      </c>
      <c r="D259" s="253">
        <v>3581.5555530000001</v>
      </c>
    </row>
    <row r="260" spans="1:4" x14ac:dyDescent="0.25">
      <c r="A260" s="2" t="s">
        <v>252</v>
      </c>
      <c r="B260" s="2" t="s">
        <v>324</v>
      </c>
      <c r="C260" s="259" t="str">
        <f t="shared" si="3"/>
        <v>Woodchuck|Vermont Hard Cider</v>
      </c>
      <c r="D260" s="1">
        <v>3456.1111070000002</v>
      </c>
    </row>
    <row r="261" spans="1:4" x14ac:dyDescent="0.25">
      <c r="A261" s="2" t="s">
        <v>118</v>
      </c>
      <c r="B261" s="2" t="s">
        <v>324</v>
      </c>
      <c r="C261" s="259" t="str">
        <f t="shared" si="3"/>
        <v>Wyder's|Vermont Hard Cider</v>
      </c>
      <c r="D261" s="1">
        <v>96.444445999999999</v>
      </c>
    </row>
    <row r="262" spans="1:4" x14ac:dyDescent="0.25">
      <c r="A262" s="2" t="s">
        <v>172</v>
      </c>
      <c r="B262" s="2" t="s">
        <v>324</v>
      </c>
      <c r="C262" s="259" t="str">
        <f t="shared" si="3"/>
        <v>Day Chaser|Vermont Hard Cider</v>
      </c>
      <c r="D262" s="1">
        <v>29</v>
      </c>
    </row>
    <row r="263" spans="1:4" x14ac:dyDescent="0.25">
      <c r="A263" s="255" t="s">
        <v>122</v>
      </c>
      <c r="B263" s="254"/>
      <c r="C263" s="259" t="str">
        <f t="shared" si="3"/>
        <v>Point Brewing|</v>
      </c>
      <c r="D263" s="253">
        <v>2566.44436</v>
      </c>
    </row>
    <row r="264" spans="1:4" x14ac:dyDescent="0.25">
      <c r="A264" s="2" t="s">
        <v>412</v>
      </c>
      <c r="B264" s="2" t="s">
        <v>122</v>
      </c>
      <c r="C264" s="259" t="str">
        <f t="shared" si="3"/>
        <v>Whole Hog|Point Brewing</v>
      </c>
      <c r="D264" s="1">
        <v>2566.44436</v>
      </c>
    </row>
    <row r="265" spans="1:4" x14ac:dyDescent="0.25">
      <c r="A265" s="255" t="s">
        <v>229</v>
      </c>
      <c r="B265" s="254"/>
      <c r="C265" s="259" t="str">
        <f t="shared" ref="C265:C328" si="4">A265&amp;"|"&amp;B265</f>
        <v>Prestige|</v>
      </c>
      <c r="D265" s="253">
        <v>2509.640308</v>
      </c>
    </row>
    <row r="266" spans="1:4" x14ac:dyDescent="0.25">
      <c r="A266" s="2" t="s">
        <v>120</v>
      </c>
      <c r="B266" s="2" t="s">
        <v>229</v>
      </c>
      <c r="C266" s="259" t="str">
        <f t="shared" si="4"/>
        <v>Mythos|Prestige</v>
      </c>
      <c r="D266" s="1">
        <v>2234.1949760000002</v>
      </c>
    </row>
    <row r="267" spans="1:4" x14ac:dyDescent="0.25">
      <c r="A267" s="2" t="s">
        <v>383</v>
      </c>
      <c r="B267" s="2" t="s">
        <v>229</v>
      </c>
      <c r="C267" s="259" t="str">
        <f t="shared" si="4"/>
        <v>Greek Wines|Prestige</v>
      </c>
      <c r="D267" s="1">
        <v>150.04969600000001</v>
      </c>
    </row>
    <row r="268" spans="1:4" x14ac:dyDescent="0.25">
      <c r="A268" s="2" t="s">
        <v>121</v>
      </c>
      <c r="B268" s="2" t="s">
        <v>229</v>
      </c>
      <c r="C268" s="259" t="str">
        <f t="shared" si="4"/>
        <v>Fix Hellas|Prestige</v>
      </c>
      <c r="D268" s="1">
        <v>114.88544400000001</v>
      </c>
    </row>
    <row r="269" spans="1:4" x14ac:dyDescent="0.25">
      <c r="A269" s="2" t="s">
        <v>253</v>
      </c>
      <c r="B269" s="2" t="s">
        <v>229</v>
      </c>
      <c r="C269" s="259" t="str">
        <f t="shared" si="4"/>
        <v>Greek Spirits|Prestige</v>
      </c>
      <c r="D269" s="1">
        <v>10.510192</v>
      </c>
    </row>
    <row r="270" spans="1:4" x14ac:dyDescent="0.25">
      <c r="A270" s="255" t="s">
        <v>227</v>
      </c>
      <c r="B270" s="254"/>
      <c r="C270" s="259" t="str">
        <f t="shared" si="4"/>
        <v>Gambrinus Imports|</v>
      </c>
      <c r="D270" s="253">
        <v>2461.5555319999999</v>
      </c>
    </row>
    <row r="271" spans="1:4" x14ac:dyDescent="0.25">
      <c r="A271" s="2" t="s">
        <v>228</v>
      </c>
      <c r="B271" s="2" t="s">
        <v>227</v>
      </c>
      <c r="C271" s="259" t="str">
        <f t="shared" si="4"/>
        <v>Shiner|Gambrinus Imports</v>
      </c>
      <c r="D271" s="1">
        <v>2461.5555319999999</v>
      </c>
    </row>
    <row r="272" spans="1:4" x14ac:dyDescent="0.25">
      <c r="A272" s="255" t="s">
        <v>212</v>
      </c>
      <c r="B272" s="254"/>
      <c r="C272" s="259" t="str">
        <f t="shared" si="4"/>
        <v>Hornell Brewing Company|</v>
      </c>
      <c r="D272" s="253">
        <v>2057</v>
      </c>
    </row>
    <row r="273" spans="1:4" x14ac:dyDescent="0.25">
      <c r="A273" s="2" t="s">
        <v>213</v>
      </c>
      <c r="B273" s="2" t="s">
        <v>212</v>
      </c>
      <c r="C273" s="259" t="str">
        <f t="shared" si="4"/>
        <v>Arizona Hard|Hornell Brewing Company</v>
      </c>
      <c r="D273" s="1">
        <v>2057</v>
      </c>
    </row>
    <row r="274" spans="1:4" x14ac:dyDescent="0.25">
      <c r="A274" s="255" t="s">
        <v>81</v>
      </c>
      <c r="B274" s="254"/>
      <c r="C274" s="259" t="str">
        <f t="shared" si="4"/>
        <v>Tilray Alternative Beverage|</v>
      </c>
      <c r="D274" s="253">
        <v>1866</v>
      </c>
    </row>
    <row r="275" spans="1:4" x14ac:dyDescent="0.25">
      <c r="A275" s="2" t="s">
        <v>206</v>
      </c>
      <c r="B275" s="2" t="s">
        <v>81</v>
      </c>
      <c r="C275" s="259" t="str">
        <f t="shared" si="4"/>
        <v>Herb &amp; Bloom|Tilray Alternative Beverage</v>
      </c>
      <c r="D275" s="1">
        <v>974</v>
      </c>
    </row>
    <row r="276" spans="1:4" x14ac:dyDescent="0.25">
      <c r="A276" s="2" t="s">
        <v>279</v>
      </c>
      <c r="B276" s="2" t="s">
        <v>81</v>
      </c>
      <c r="C276" s="259" t="str">
        <f t="shared" si="4"/>
        <v>Fizzy Jane|Tilray Alternative Beverage</v>
      </c>
      <c r="D276" s="1">
        <v>684</v>
      </c>
    </row>
    <row r="277" spans="1:4" x14ac:dyDescent="0.25">
      <c r="A277" s="2" t="s">
        <v>123</v>
      </c>
      <c r="B277" s="2" t="s">
        <v>81</v>
      </c>
      <c r="C277" s="259" t="str">
        <f t="shared" si="4"/>
        <v>Happy Flower|Tilray Alternative Beverage</v>
      </c>
      <c r="D277" s="1">
        <v>208</v>
      </c>
    </row>
    <row r="278" spans="1:4" x14ac:dyDescent="0.25">
      <c r="A278" s="255" t="s">
        <v>297</v>
      </c>
      <c r="B278" s="254"/>
      <c r="C278" s="259" t="str">
        <f t="shared" si="4"/>
        <v>River Horse Brewing Co|</v>
      </c>
      <c r="D278" s="253">
        <v>1565.180576</v>
      </c>
    </row>
    <row r="279" spans="1:4" x14ac:dyDescent="0.25">
      <c r="A279" s="2" t="s">
        <v>297</v>
      </c>
      <c r="B279" s="2" t="s">
        <v>297</v>
      </c>
      <c r="C279" s="259" t="str">
        <f t="shared" si="4"/>
        <v>River Horse Brewing Co|River Horse Brewing Co</v>
      </c>
      <c r="D279" s="1">
        <v>1559.180576</v>
      </c>
    </row>
    <row r="280" spans="1:4" x14ac:dyDescent="0.25">
      <c r="A280" s="2" t="s">
        <v>73</v>
      </c>
      <c r="B280" s="2" t="s">
        <v>297</v>
      </c>
      <c r="C280" s="259" t="str">
        <f t="shared" si="4"/>
        <v>The Garden State Experience|River Horse Brewing Co</v>
      </c>
      <c r="D280" s="1">
        <v>6</v>
      </c>
    </row>
    <row r="281" spans="1:4" x14ac:dyDescent="0.25">
      <c r="A281" s="255" t="s">
        <v>407</v>
      </c>
      <c r="B281" s="254"/>
      <c r="C281" s="259" t="str">
        <f t="shared" si="4"/>
        <v>Pampa Beverages|</v>
      </c>
      <c r="D281" s="253">
        <v>1452</v>
      </c>
    </row>
    <row r="282" spans="1:4" x14ac:dyDescent="0.25">
      <c r="A282" s="2" t="s">
        <v>44</v>
      </c>
      <c r="B282" s="2" t="s">
        <v>407</v>
      </c>
      <c r="C282" s="259" t="str">
        <f t="shared" si="4"/>
        <v>Quilmes|Pampa Beverages</v>
      </c>
      <c r="D282" s="1">
        <v>1452</v>
      </c>
    </row>
    <row r="283" spans="1:4" x14ac:dyDescent="0.25">
      <c r="A283" s="255" t="s">
        <v>74</v>
      </c>
      <c r="B283" s="254"/>
      <c r="C283" s="259" t="str">
        <f t="shared" si="4"/>
        <v>Global Village Imp.|</v>
      </c>
      <c r="D283" s="253">
        <v>1385</v>
      </c>
    </row>
    <row r="284" spans="1:4" x14ac:dyDescent="0.25">
      <c r="A284" s="2" t="s">
        <v>196</v>
      </c>
      <c r="B284" s="2" t="s">
        <v>74</v>
      </c>
      <c r="C284" s="259" t="str">
        <f t="shared" si="4"/>
        <v>Augustiner|Global Village Imp.</v>
      </c>
      <c r="D284" s="1">
        <v>1385</v>
      </c>
    </row>
    <row r="285" spans="1:4" x14ac:dyDescent="0.25">
      <c r="A285" s="255" t="s">
        <v>198</v>
      </c>
      <c r="B285" s="254"/>
      <c r="C285" s="259" t="str">
        <f t="shared" si="4"/>
        <v>Talkhouse Encore|</v>
      </c>
      <c r="D285" s="253">
        <v>1376</v>
      </c>
    </row>
    <row r="286" spans="1:4" x14ac:dyDescent="0.25">
      <c r="A286" s="2" t="s">
        <v>198</v>
      </c>
      <c r="B286" s="2" t="s">
        <v>198</v>
      </c>
      <c r="C286" s="259" t="str">
        <f t="shared" si="4"/>
        <v>Talkhouse Encore|Talkhouse Encore</v>
      </c>
      <c r="D286" s="1">
        <v>1376</v>
      </c>
    </row>
    <row r="287" spans="1:4" x14ac:dyDescent="0.25">
      <c r="A287" s="255" t="s">
        <v>174</v>
      </c>
      <c r="B287" s="254"/>
      <c r="C287" s="259" t="str">
        <f t="shared" si="4"/>
        <v>Emergent Beverage Partners|</v>
      </c>
      <c r="D287" s="253">
        <v>1316.875</v>
      </c>
    </row>
    <row r="288" spans="1:4" x14ac:dyDescent="0.25">
      <c r="A288" s="2" t="s">
        <v>175</v>
      </c>
      <c r="B288" s="2" t="s">
        <v>174</v>
      </c>
      <c r="C288" s="259" t="str">
        <f t="shared" si="4"/>
        <v>Hectare's|Emergent Beverage Partners</v>
      </c>
      <c r="D288" s="1">
        <v>583.875</v>
      </c>
    </row>
    <row r="289" spans="1:4" x14ac:dyDescent="0.25">
      <c r="A289" s="2" t="s">
        <v>151</v>
      </c>
      <c r="B289" s="2" t="s">
        <v>174</v>
      </c>
      <c r="C289" s="259" t="str">
        <f t="shared" si="4"/>
        <v>Boldt Infused D9|Emergent Beverage Partners</v>
      </c>
      <c r="D289" s="1">
        <v>406</v>
      </c>
    </row>
    <row r="290" spans="1:4" x14ac:dyDescent="0.25">
      <c r="A290" s="2" t="s">
        <v>359</v>
      </c>
      <c r="B290" s="2" t="s">
        <v>174</v>
      </c>
      <c r="C290" s="259" t="str">
        <f t="shared" si="4"/>
        <v>Crooked Beverage|Emergent Beverage Partners</v>
      </c>
      <c r="D290" s="1">
        <v>126</v>
      </c>
    </row>
    <row r="291" spans="1:4" x14ac:dyDescent="0.25">
      <c r="A291" s="2" t="s">
        <v>79</v>
      </c>
      <c r="B291" s="2" t="s">
        <v>174</v>
      </c>
      <c r="C291" s="259" t="str">
        <f t="shared" si="4"/>
        <v>Beckett's D9|Emergent Beverage Partners</v>
      </c>
      <c r="D291" s="1">
        <v>109</v>
      </c>
    </row>
    <row r="292" spans="1:4" x14ac:dyDescent="0.25">
      <c r="A292" s="2" t="s">
        <v>48</v>
      </c>
      <c r="B292" s="2" t="s">
        <v>174</v>
      </c>
      <c r="C292" s="259" t="str">
        <f t="shared" si="4"/>
        <v>Lark Infused D9|Emergent Beverage Partners</v>
      </c>
      <c r="D292" s="1">
        <v>92</v>
      </c>
    </row>
    <row r="293" spans="1:4" x14ac:dyDescent="0.25">
      <c r="A293" s="255" t="s">
        <v>327</v>
      </c>
      <c r="B293" s="254"/>
      <c r="C293" s="259" t="str">
        <f t="shared" si="4"/>
        <v>Crook &amp; Marker|</v>
      </c>
      <c r="D293" s="253">
        <v>1308.1245449999999</v>
      </c>
    </row>
    <row r="294" spans="1:4" x14ac:dyDescent="0.25">
      <c r="A294" s="2" t="s">
        <v>328</v>
      </c>
      <c r="B294" s="2" t="s">
        <v>327</v>
      </c>
      <c r="C294" s="259" t="str">
        <f t="shared" si="4"/>
        <v>Crooked Tea|Crook &amp; Marker</v>
      </c>
      <c r="D294" s="1">
        <v>1262.1245610000001</v>
      </c>
    </row>
    <row r="295" spans="1:4" x14ac:dyDescent="0.25">
      <c r="A295" s="2" t="s">
        <v>76</v>
      </c>
      <c r="B295" s="2" t="s">
        <v>327</v>
      </c>
      <c r="C295" s="259" t="str">
        <f t="shared" si="4"/>
        <v>Crook&amp;Marker|Crook &amp; Marker</v>
      </c>
      <c r="D295" s="1">
        <v>45.999983999999998</v>
      </c>
    </row>
    <row r="296" spans="1:4" x14ac:dyDescent="0.25">
      <c r="A296" s="255" t="s">
        <v>382</v>
      </c>
      <c r="B296" s="254"/>
      <c r="C296" s="259" t="str">
        <f t="shared" si="4"/>
        <v>Newburgh Brewing|</v>
      </c>
      <c r="D296" s="253">
        <v>1185.0276670000001</v>
      </c>
    </row>
    <row r="297" spans="1:4" x14ac:dyDescent="0.25">
      <c r="A297" s="2" t="s">
        <v>197</v>
      </c>
      <c r="B297" s="2" t="s">
        <v>382</v>
      </c>
      <c r="C297" s="259" t="str">
        <f t="shared" si="4"/>
        <v>Newburgh|Newburgh Brewing</v>
      </c>
      <c r="D297" s="1">
        <v>1185.0276670000001</v>
      </c>
    </row>
    <row r="298" spans="1:4" x14ac:dyDescent="0.25">
      <c r="A298" s="255" t="s">
        <v>368</v>
      </c>
      <c r="B298" s="254"/>
      <c r="C298" s="259" t="str">
        <f t="shared" si="4"/>
        <v>Bardstown Bourbon Co|</v>
      </c>
      <c r="D298" s="253">
        <v>1092.0194799999999</v>
      </c>
    </row>
    <row r="299" spans="1:4" x14ac:dyDescent="0.25">
      <c r="A299" s="2" t="s">
        <v>128</v>
      </c>
      <c r="B299" s="2" t="s">
        <v>368</v>
      </c>
      <c r="C299" s="259" t="str">
        <f t="shared" si="4"/>
        <v>Bardstown Bourbon|Bardstown Bourbon Co</v>
      </c>
      <c r="D299" s="1">
        <v>705.19233599999995</v>
      </c>
    </row>
    <row r="300" spans="1:4" x14ac:dyDescent="0.25">
      <c r="A300" s="2" t="s">
        <v>369</v>
      </c>
      <c r="B300" s="2" t="s">
        <v>368</v>
      </c>
      <c r="C300" s="259" t="str">
        <f t="shared" si="4"/>
        <v>Bardstown Green River|Bardstown Bourbon Co</v>
      </c>
      <c r="D300" s="1">
        <v>386.82714399999998</v>
      </c>
    </row>
    <row r="301" spans="1:4" x14ac:dyDescent="0.25">
      <c r="A301" s="255" t="s">
        <v>20</v>
      </c>
      <c r="B301" s="254"/>
      <c r="C301" s="259" t="str">
        <f t="shared" si="4"/>
        <v>Forged Irish Stout|</v>
      </c>
      <c r="D301" s="253">
        <v>1044.2224659999999</v>
      </c>
    </row>
    <row r="302" spans="1:4" x14ac:dyDescent="0.25">
      <c r="A302" s="2" t="s">
        <v>20</v>
      </c>
      <c r="B302" s="2" t="s">
        <v>20</v>
      </c>
      <c r="C302" s="259" t="str">
        <f t="shared" si="4"/>
        <v>Forged Irish Stout|Forged Irish Stout</v>
      </c>
      <c r="D302" s="1">
        <v>1044.2224659999999</v>
      </c>
    </row>
    <row r="303" spans="1:4" x14ac:dyDescent="0.25">
      <c r="A303" s="255" t="s">
        <v>147</v>
      </c>
      <c r="B303" s="254"/>
      <c r="C303" s="259" t="str">
        <f t="shared" si="4"/>
        <v>Duclaw Brewing|</v>
      </c>
      <c r="D303" s="253">
        <v>946.54162199999996</v>
      </c>
    </row>
    <row r="304" spans="1:4" x14ac:dyDescent="0.25">
      <c r="A304" s="2" t="s">
        <v>326</v>
      </c>
      <c r="B304" s="2" t="s">
        <v>147</v>
      </c>
      <c r="C304" s="259" t="str">
        <f t="shared" si="4"/>
        <v>Duclaw|Duclaw Brewing</v>
      </c>
      <c r="D304" s="1">
        <v>946.54162199999996</v>
      </c>
    </row>
    <row r="305" spans="1:4" x14ac:dyDescent="0.25">
      <c r="A305" s="255" t="s">
        <v>46</v>
      </c>
      <c r="B305" s="254"/>
      <c r="C305" s="259" t="str">
        <f t="shared" si="4"/>
        <v>HOP WTR|</v>
      </c>
      <c r="D305" s="253">
        <v>927.70140000000004</v>
      </c>
    </row>
    <row r="306" spans="1:4" x14ac:dyDescent="0.25">
      <c r="A306" s="2" t="s">
        <v>46</v>
      </c>
      <c r="B306" s="2" t="s">
        <v>46</v>
      </c>
      <c r="C306" s="259" t="str">
        <f t="shared" si="4"/>
        <v>HOP WTR|HOP WTR</v>
      </c>
      <c r="D306" s="1">
        <v>927.70140000000004</v>
      </c>
    </row>
    <row r="307" spans="1:4" x14ac:dyDescent="0.25">
      <c r="A307" s="255" t="s">
        <v>388</v>
      </c>
      <c r="B307" s="254"/>
      <c r="C307" s="259" t="str">
        <f t="shared" si="4"/>
        <v>Alias Brew Works|</v>
      </c>
      <c r="D307" s="253">
        <v>857.388913</v>
      </c>
    </row>
    <row r="308" spans="1:4" x14ac:dyDescent="0.25">
      <c r="A308" s="2" t="s">
        <v>388</v>
      </c>
      <c r="B308" s="2" t="s">
        <v>388</v>
      </c>
      <c r="C308" s="259" t="str">
        <f t="shared" si="4"/>
        <v>Alias Brew Works|Alias Brew Works</v>
      </c>
      <c r="D308" s="1">
        <v>857.388913</v>
      </c>
    </row>
    <row r="309" spans="1:4" x14ac:dyDescent="0.25">
      <c r="A309" s="255" t="s">
        <v>98</v>
      </c>
      <c r="B309" s="254"/>
      <c r="C309" s="259" t="str">
        <f t="shared" si="4"/>
        <v>Caravella Inc|</v>
      </c>
      <c r="D309" s="253">
        <v>792.06686400000001</v>
      </c>
    </row>
    <row r="310" spans="1:4" x14ac:dyDescent="0.25">
      <c r="A310" s="2" t="s">
        <v>330</v>
      </c>
      <c r="B310" s="2" t="s">
        <v>98</v>
      </c>
      <c r="C310" s="259" t="str">
        <f t="shared" si="4"/>
        <v>Caravella|Caravella Inc</v>
      </c>
      <c r="D310" s="1">
        <v>348.257904</v>
      </c>
    </row>
    <row r="311" spans="1:4" x14ac:dyDescent="0.25">
      <c r="A311" s="2" t="s">
        <v>357</v>
      </c>
      <c r="B311" s="2" t="s">
        <v>98</v>
      </c>
      <c r="C311" s="259" t="str">
        <f t="shared" si="4"/>
        <v>2 Canos|Caravella Inc</v>
      </c>
      <c r="D311" s="1">
        <v>330.74334399999998</v>
      </c>
    </row>
    <row r="312" spans="1:4" x14ac:dyDescent="0.25">
      <c r="A312" s="2" t="s">
        <v>78</v>
      </c>
      <c r="B312" s="2" t="s">
        <v>98</v>
      </c>
      <c r="C312" s="259" t="str">
        <f t="shared" si="4"/>
        <v>Poca Loca|Caravella Inc</v>
      </c>
      <c r="D312" s="1">
        <v>76.081536</v>
      </c>
    </row>
    <row r="313" spans="1:4" x14ac:dyDescent="0.25">
      <c r="A313" s="2" t="s">
        <v>148</v>
      </c>
      <c r="B313" s="2" t="s">
        <v>98</v>
      </c>
      <c r="C313" s="259" t="str">
        <f t="shared" si="4"/>
        <v>Dancing Vines|Caravella Inc</v>
      </c>
      <c r="D313" s="1">
        <v>36.984079999999999</v>
      </c>
    </row>
    <row r="314" spans="1:4" x14ac:dyDescent="0.25">
      <c r="A314" s="255" t="s">
        <v>419</v>
      </c>
      <c r="B314" s="254"/>
      <c r="C314" s="259" t="str">
        <f t="shared" si="4"/>
        <v>Crescent Canna|</v>
      </c>
      <c r="D314" s="253">
        <v>791</v>
      </c>
    </row>
    <row r="315" spans="1:4" x14ac:dyDescent="0.25">
      <c r="A315" s="2" t="s">
        <v>367</v>
      </c>
      <c r="B315" s="2" t="s">
        <v>419</v>
      </c>
      <c r="C315" s="259" t="str">
        <f t="shared" si="4"/>
        <v>Crescent 9|Crescent Canna</v>
      </c>
      <c r="D315" s="1">
        <v>791</v>
      </c>
    </row>
    <row r="316" spans="1:4" x14ac:dyDescent="0.25">
      <c r="A316" s="255" t="s">
        <v>408</v>
      </c>
      <c r="B316" s="254"/>
      <c r="C316" s="259" t="str">
        <f t="shared" si="4"/>
        <v>Ithaca|</v>
      </c>
      <c r="D316" s="253">
        <v>729.69443200000001</v>
      </c>
    </row>
    <row r="317" spans="1:4" x14ac:dyDescent="0.25">
      <c r="A317" s="2" t="s">
        <v>408</v>
      </c>
      <c r="B317" s="2" t="s">
        <v>408</v>
      </c>
      <c r="C317" s="259" t="str">
        <f t="shared" si="4"/>
        <v>Ithaca|Ithaca</v>
      </c>
      <c r="D317" s="1">
        <v>729.69443200000001</v>
      </c>
    </row>
    <row r="318" spans="1:4" x14ac:dyDescent="0.25">
      <c r="A318" s="255" t="s">
        <v>354</v>
      </c>
      <c r="B318" s="254"/>
      <c r="C318" s="259" t="str">
        <f t="shared" si="4"/>
        <v>Barn Brew Co|</v>
      </c>
      <c r="D318" s="253">
        <v>698.91664400000002</v>
      </c>
    </row>
    <row r="319" spans="1:4" x14ac:dyDescent="0.25">
      <c r="A319" s="2" t="s">
        <v>47</v>
      </c>
      <c r="B319" s="2" t="s">
        <v>354</v>
      </c>
      <c r="C319" s="259" t="str">
        <f t="shared" si="4"/>
        <v>Barn Brew|Barn Brew Co</v>
      </c>
      <c r="D319" s="1">
        <v>698.91664400000002</v>
      </c>
    </row>
    <row r="320" spans="1:4" x14ac:dyDescent="0.25">
      <c r="A320" s="255" t="s">
        <v>19</v>
      </c>
      <c r="B320" s="254"/>
      <c r="C320" s="259" t="str">
        <f t="shared" si="4"/>
        <v>Citizen Cider|</v>
      </c>
      <c r="D320" s="253">
        <v>651.66650400000003</v>
      </c>
    </row>
    <row r="321" spans="1:4" x14ac:dyDescent="0.25">
      <c r="A321" s="2" t="s">
        <v>19</v>
      </c>
      <c r="B321" s="2" t="s">
        <v>19</v>
      </c>
      <c r="C321" s="259" t="str">
        <f t="shared" si="4"/>
        <v>Citizen Cider|Citizen Cider</v>
      </c>
      <c r="D321" s="1">
        <v>651.66650400000003</v>
      </c>
    </row>
    <row r="322" spans="1:4" x14ac:dyDescent="0.25">
      <c r="A322" s="255" t="s">
        <v>409</v>
      </c>
      <c r="B322" s="254"/>
      <c r="C322" s="259" t="str">
        <f t="shared" si="4"/>
        <v>Southern Tier Distilling Company|</v>
      </c>
      <c r="D322" s="253">
        <v>626</v>
      </c>
    </row>
    <row r="323" spans="1:4" x14ac:dyDescent="0.25">
      <c r="A323" s="2" t="s">
        <v>77</v>
      </c>
      <c r="B323" s="2" t="s">
        <v>409</v>
      </c>
      <c r="C323" s="259" t="str">
        <f t="shared" si="4"/>
        <v>Southern Tier Distilling|Southern Tier Distilling Company</v>
      </c>
      <c r="D323" s="1">
        <v>626</v>
      </c>
    </row>
    <row r="324" spans="1:4" x14ac:dyDescent="0.25">
      <c r="A324" s="255" t="s">
        <v>125</v>
      </c>
      <c r="B324" s="254"/>
      <c r="C324" s="259" t="str">
        <f t="shared" si="4"/>
        <v>Modern Infusions|</v>
      </c>
      <c r="D324" s="253">
        <v>604</v>
      </c>
    </row>
    <row r="325" spans="1:4" x14ac:dyDescent="0.25">
      <c r="A325" s="2" t="s">
        <v>364</v>
      </c>
      <c r="B325" s="2" t="s">
        <v>125</v>
      </c>
      <c r="C325" s="259" t="str">
        <f t="shared" si="4"/>
        <v>Fiveislands|Modern Infusions</v>
      </c>
      <c r="D325" s="1">
        <v>315</v>
      </c>
    </row>
    <row r="326" spans="1:4" x14ac:dyDescent="0.25">
      <c r="A326" s="2" t="s">
        <v>386</v>
      </c>
      <c r="B326" s="2" t="s">
        <v>125</v>
      </c>
      <c r="C326" s="259" t="str">
        <f t="shared" si="4"/>
        <v>Hi5|Modern Infusions</v>
      </c>
      <c r="D326" s="1">
        <v>289</v>
      </c>
    </row>
    <row r="327" spans="1:4" x14ac:dyDescent="0.25">
      <c r="A327" s="255" t="s">
        <v>305</v>
      </c>
      <c r="B327" s="254"/>
      <c r="C327" s="259" t="str">
        <f t="shared" si="4"/>
        <v>Cavalier Ventures, LLC|</v>
      </c>
      <c r="D327" s="253">
        <v>588</v>
      </c>
    </row>
    <row r="328" spans="1:4" x14ac:dyDescent="0.25">
      <c r="A328" s="2" t="s">
        <v>155</v>
      </c>
      <c r="B328" s="2" t="s">
        <v>305</v>
      </c>
      <c r="C328" s="259" t="str">
        <f t="shared" si="4"/>
        <v>Coastal Cocktails|Cavalier Ventures, LLC</v>
      </c>
      <c r="D328" s="1">
        <v>588</v>
      </c>
    </row>
    <row r="329" spans="1:4" x14ac:dyDescent="0.25">
      <c r="A329" s="255" t="s">
        <v>150</v>
      </c>
      <c r="B329" s="254"/>
      <c r="C329" s="259" t="str">
        <f t="shared" ref="C329:C392" si="5">A329&amp;"|"&amp;B329</f>
        <v>Molly's|</v>
      </c>
      <c r="D329" s="253">
        <v>540.35357299999998</v>
      </c>
    </row>
    <row r="330" spans="1:4" x14ac:dyDescent="0.25">
      <c r="A330" s="2" t="s">
        <v>150</v>
      </c>
      <c r="B330" s="2" t="s">
        <v>150</v>
      </c>
      <c r="C330" s="259" t="str">
        <f t="shared" si="5"/>
        <v>Molly's|Molly's</v>
      </c>
      <c r="D330" s="1">
        <v>540.35357299999998</v>
      </c>
    </row>
    <row r="331" spans="1:4" x14ac:dyDescent="0.25">
      <c r="A331" s="255" t="s">
        <v>75</v>
      </c>
      <c r="B331" s="254"/>
      <c r="C331" s="259" t="str">
        <f t="shared" si="5"/>
        <v>Cricket Hill|</v>
      </c>
      <c r="D331" s="253">
        <v>510.91643499999998</v>
      </c>
    </row>
    <row r="332" spans="1:4" x14ac:dyDescent="0.25">
      <c r="A332" s="2" t="s">
        <v>75</v>
      </c>
      <c r="B332" s="2" t="s">
        <v>75</v>
      </c>
      <c r="C332" s="259" t="str">
        <f t="shared" si="5"/>
        <v>Cricket Hill|Cricket Hill</v>
      </c>
      <c r="D332" s="1">
        <v>510.91643499999998</v>
      </c>
    </row>
    <row r="333" spans="1:4" x14ac:dyDescent="0.25">
      <c r="A333" s="255" t="s">
        <v>45</v>
      </c>
      <c r="B333" s="254"/>
      <c r="C333" s="259" t="str">
        <f t="shared" si="5"/>
        <v>Bold Rock Hard Cider|</v>
      </c>
      <c r="D333" s="253">
        <v>510.12499600000001</v>
      </c>
    </row>
    <row r="334" spans="1:4" x14ac:dyDescent="0.25">
      <c r="A334" s="2" t="s">
        <v>146</v>
      </c>
      <c r="B334" s="2" t="s">
        <v>45</v>
      </c>
      <c r="C334" s="259" t="str">
        <f t="shared" si="5"/>
        <v>Bold Rock|Bold Rock Hard Cider</v>
      </c>
      <c r="D334" s="1">
        <v>510.12499600000001</v>
      </c>
    </row>
    <row r="335" spans="1:4" x14ac:dyDescent="0.25">
      <c r="A335" s="255" t="s">
        <v>25</v>
      </c>
      <c r="B335" s="254"/>
      <c r="C335" s="259" t="str">
        <f t="shared" si="5"/>
        <v>Source Brewing|</v>
      </c>
      <c r="D335" s="253">
        <v>403.18048299999998</v>
      </c>
    </row>
    <row r="336" spans="1:4" x14ac:dyDescent="0.25">
      <c r="A336" s="2" t="s">
        <v>177</v>
      </c>
      <c r="B336" s="2" t="s">
        <v>25</v>
      </c>
      <c r="C336" s="259" t="str">
        <f t="shared" si="5"/>
        <v>Source of Hoppiness|Source Brewing</v>
      </c>
      <c r="D336" s="1">
        <v>320.51383700000002</v>
      </c>
    </row>
    <row r="337" spans="1:4" x14ac:dyDescent="0.25">
      <c r="A337" s="2" t="s">
        <v>539</v>
      </c>
      <c r="B337" s="2" t="s">
        <v>25</v>
      </c>
      <c r="C337" s="259" t="str">
        <f t="shared" si="5"/>
        <v>Superbloom|Source Brewing</v>
      </c>
      <c r="D337" s="1">
        <v>42.666656000000003</v>
      </c>
    </row>
    <row r="338" spans="1:4" x14ac:dyDescent="0.25">
      <c r="A338" s="2" t="s">
        <v>538</v>
      </c>
      <c r="B338" s="2" t="s">
        <v>25</v>
      </c>
      <c r="C338" s="259" t="str">
        <f t="shared" si="5"/>
        <v>Jade|Source Brewing</v>
      </c>
      <c r="D338" s="1">
        <v>39.999989999999997</v>
      </c>
    </row>
    <row r="339" spans="1:4" x14ac:dyDescent="0.25">
      <c r="A339" s="255" t="s">
        <v>126</v>
      </c>
      <c r="B339" s="254"/>
      <c r="C339" s="259" t="str">
        <f t="shared" si="5"/>
        <v>Lodo Brands|</v>
      </c>
      <c r="D339" s="253">
        <v>367.16656799999998</v>
      </c>
    </row>
    <row r="340" spans="1:4" x14ac:dyDescent="0.25">
      <c r="A340" s="2" t="s">
        <v>154</v>
      </c>
      <c r="B340" s="2" t="s">
        <v>126</v>
      </c>
      <c r="C340" s="259" t="str">
        <f t="shared" si="5"/>
        <v>LoDo|Lodo Brands</v>
      </c>
      <c r="D340" s="1">
        <v>367.16656799999998</v>
      </c>
    </row>
    <row r="341" spans="1:4" x14ac:dyDescent="0.25">
      <c r="A341" s="255" t="s">
        <v>254</v>
      </c>
      <c r="B341" s="254"/>
      <c r="C341" s="259" t="str">
        <f t="shared" si="5"/>
        <v>Unibroue|</v>
      </c>
      <c r="D341" s="253">
        <v>358.83763399999998</v>
      </c>
    </row>
    <row r="342" spans="1:4" x14ac:dyDescent="0.25">
      <c r="A342" s="2" t="s">
        <v>254</v>
      </c>
      <c r="B342" s="2" t="s">
        <v>254</v>
      </c>
      <c r="C342" s="259" t="str">
        <f t="shared" si="5"/>
        <v>Unibroue|Unibroue</v>
      </c>
      <c r="D342" s="1">
        <v>358.83763399999998</v>
      </c>
    </row>
    <row r="343" spans="1:4" x14ac:dyDescent="0.25">
      <c r="A343" s="255" t="s">
        <v>355</v>
      </c>
      <c r="B343" s="254"/>
      <c r="C343" s="259" t="str">
        <f t="shared" si="5"/>
        <v>XYZ Beverage|</v>
      </c>
      <c r="D343" s="253">
        <v>326</v>
      </c>
    </row>
    <row r="344" spans="1:4" x14ac:dyDescent="0.25">
      <c r="A344" s="2" t="s">
        <v>271</v>
      </c>
      <c r="B344" s="2" t="s">
        <v>355</v>
      </c>
      <c r="C344" s="259" t="str">
        <f t="shared" si="5"/>
        <v>Press|XYZ Beverage</v>
      </c>
      <c r="D344" s="1">
        <v>326</v>
      </c>
    </row>
    <row r="345" spans="1:4" x14ac:dyDescent="0.25">
      <c r="A345" s="255" t="s">
        <v>231</v>
      </c>
      <c r="B345" s="254"/>
      <c r="C345" s="259" t="str">
        <f t="shared" si="5"/>
        <v>Ever Grand Group LLC|</v>
      </c>
      <c r="D345" s="253">
        <v>246.583392</v>
      </c>
    </row>
    <row r="346" spans="1:4" x14ac:dyDescent="0.25">
      <c r="A346" s="2" t="s">
        <v>232</v>
      </c>
      <c r="B346" s="2" t="s">
        <v>231</v>
      </c>
      <c r="C346" s="259" t="str">
        <f t="shared" si="5"/>
        <v>Snow Beer|Ever Grand Group LLC</v>
      </c>
      <c r="D346" s="1">
        <v>246.583392</v>
      </c>
    </row>
    <row r="347" spans="1:4" x14ac:dyDescent="0.25">
      <c r="A347" s="255" t="s">
        <v>411</v>
      </c>
      <c r="B347" s="254"/>
      <c r="C347" s="259" t="str">
        <f t="shared" si="5"/>
        <v>OVO Vodka LLC|</v>
      </c>
      <c r="D347" s="253">
        <v>243.25479999999999</v>
      </c>
    </row>
    <row r="348" spans="1:4" x14ac:dyDescent="0.25">
      <c r="A348" s="2" t="s">
        <v>275</v>
      </c>
      <c r="B348" s="2" t="s">
        <v>411</v>
      </c>
      <c r="C348" s="259" t="str">
        <f t="shared" si="5"/>
        <v>OVO Vodka|OVO Vodka LLC</v>
      </c>
      <c r="D348" s="1">
        <v>243.25479999999999</v>
      </c>
    </row>
    <row r="349" spans="1:4" x14ac:dyDescent="0.25">
      <c r="A349" s="255" t="s">
        <v>299</v>
      </c>
      <c r="B349" s="254"/>
      <c r="C349" s="259" t="str">
        <f t="shared" si="5"/>
        <v>Radix Labs|</v>
      </c>
      <c r="D349" s="253">
        <v>230</v>
      </c>
    </row>
    <row r="350" spans="1:4" x14ac:dyDescent="0.25">
      <c r="A350" s="2" t="s">
        <v>385</v>
      </c>
      <c r="B350" s="2" t="s">
        <v>299</v>
      </c>
      <c r="C350" s="259" t="str">
        <f t="shared" si="5"/>
        <v>Find Wunder|Radix Labs</v>
      </c>
      <c r="D350" s="1">
        <v>230</v>
      </c>
    </row>
    <row r="351" spans="1:4" x14ac:dyDescent="0.25">
      <c r="A351" s="255" t="s">
        <v>356</v>
      </c>
      <c r="B351" s="254"/>
      <c r="C351" s="259" t="str">
        <f t="shared" si="5"/>
        <v>Defiant Brewing Co.|</v>
      </c>
      <c r="D351" s="253">
        <v>192.82990000000001</v>
      </c>
    </row>
    <row r="352" spans="1:4" x14ac:dyDescent="0.25">
      <c r="A352" s="2" t="s">
        <v>200</v>
      </c>
      <c r="B352" s="2" t="s">
        <v>356</v>
      </c>
      <c r="C352" s="259" t="str">
        <f t="shared" si="5"/>
        <v>Defiant|Defiant Brewing Co.</v>
      </c>
      <c r="D352" s="1">
        <v>192.82990000000001</v>
      </c>
    </row>
    <row r="353" spans="1:4" x14ac:dyDescent="0.25">
      <c r="A353" s="255" t="s">
        <v>366</v>
      </c>
      <c r="B353" s="254"/>
      <c r="C353" s="259" t="str">
        <f t="shared" si="5"/>
        <v>Dad Grass|</v>
      </c>
      <c r="D353" s="253">
        <v>171</v>
      </c>
    </row>
    <row r="354" spans="1:4" x14ac:dyDescent="0.25">
      <c r="A354" s="2" t="s">
        <v>366</v>
      </c>
      <c r="B354" s="2" t="s">
        <v>366</v>
      </c>
      <c r="C354" s="259" t="str">
        <f t="shared" si="5"/>
        <v>Dad Grass|Dad Grass</v>
      </c>
      <c r="D354" s="1">
        <v>171</v>
      </c>
    </row>
    <row r="355" spans="1:4" x14ac:dyDescent="0.25">
      <c r="A355" s="255" t="s">
        <v>387</v>
      </c>
      <c r="B355" s="254"/>
      <c r="C355" s="259" t="str">
        <f t="shared" si="5"/>
        <v>Blaze Life LLC|</v>
      </c>
      <c r="D355" s="253">
        <v>167.99999299999999</v>
      </c>
    </row>
    <row r="356" spans="1:4" x14ac:dyDescent="0.25">
      <c r="A356" s="2" t="s">
        <v>337</v>
      </c>
      <c r="B356" s="2" t="s">
        <v>387</v>
      </c>
      <c r="C356" s="259" t="str">
        <f t="shared" si="5"/>
        <v>Bodega Chiller|Blaze Life LLC</v>
      </c>
      <c r="D356" s="1">
        <v>115</v>
      </c>
    </row>
    <row r="357" spans="1:4" x14ac:dyDescent="0.25">
      <c r="A357" s="2" t="s">
        <v>181</v>
      </c>
      <c r="B357" s="2" t="s">
        <v>387</v>
      </c>
      <c r="C357" s="259" t="str">
        <f t="shared" si="5"/>
        <v>Mota'Lada|Blaze Life LLC</v>
      </c>
      <c r="D357" s="1">
        <v>27.999993</v>
      </c>
    </row>
    <row r="358" spans="1:4" x14ac:dyDescent="0.25">
      <c r="A358" s="2" t="s">
        <v>536</v>
      </c>
      <c r="B358" s="2" t="s">
        <v>387</v>
      </c>
      <c r="C358" s="259" t="str">
        <f t="shared" si="5"/>
        <v>Bodega Quarters|Blaze Life LLC</v>
      </c>
      <c r="D358" s="1">
        <v>25</v>
      </c>
    </row>
    <row r="359" spans="1:4" x14ac:dyDescent="0.25">
      <c r="A359" s="255" t="s">
        <v>153</v>
      </c>
      <c r="B359" s="254"/>
      <c r="C359" s="259" t="str">
        <f t="shared" si="5"/>
        <v>Passion Tree Co|</v>
      </c>
      <c r="D359" s="253">
        <v>159.375</v>
      </c>
    </row>
    <row r="360" spans="1:4" x14ac:dyDescent="0.25">
      <c r="A360" s="2" t="s">
        <v>82</v>
      </c>
      <c r="B360" s="2" t="s">
        <v>153</v>
      </c>
      <c r="C360" s="259" t="str">
        <f t="shared" si="5"/>
        <v>Pop Sips|Passion Tree Co</v>
      </c>
      <c r="D360" s="1">
        <v>159.375</v>
      </c>
    </row>
    <row r="361" spans="1:4" x14ac:dyDescent="0.25">
      <c r="A361" s="255" t="s">
        <v>306</v>
      </c>
      <c r="B361" s="254"/>
      <c r="C361" s="259" t="str">
        <f t="shared" si="5"/>
        <v>Bella Ray Beverage|</v>
      </c>
      <c r="D361" s="253">
        <v>155</v>
      </c>
    </row>
    <row r="362" spans="1:4" x14ac:dyDescent="0.25">
      <c r="A362" s="2" t="s">
        <v>307</v>
      </c>
      <c r="B362" s="2" t="s">
        <v>306</v>
      </c>
      <c r="C362" s="259" t="str">
        <f t="shared" si="5"/>
        <v>Bella Ray|Bella Ray Beverage</v>
      </c>
      <c r="D362" s="1">
        <v>155</v>
      </c>
    </row>
    <row r="363" spans="1:4" x14ac:dyDescent="0.25">
      <c r="A363" s="255" t="s">
        <v>329</v>
      </c>
      <c r="B363" s="254"/>
      <c r="C363" s="259" t="str">
        <f t="shared" si="5"/>
        <v>Cerveceria La Tropical|</v>
      </c>
      <c r="D363" s="253">
        <v>149</v>
      </c>
    </row>
    <row r="364" spans="1:4" x14ac:dyDescent="0.25">
      <c r="A364" s="2" t="s">
        <v>410</v>
      </c>
      <c r="B364" s="2" t="s">
        <v>329</v>
      </c>
      <c r="C364" s="259" t="str">
        <f t="shared" si="5"/>
        <v>La Tropical|Cerveceria La Tropical</v>
      </c>
      <c r="D364" s="1">
        <v>149</v>
      </c>
    </row>
    <row r="365" spans="1:4" x14ac:dyDescent="0.25">
      <c r="A365" s="255" t="s">
        <v>24</v>
      </c>
      <c r="B365" s="254"/>
      <c r="C365" s="259" t="str">
        <f t="shared" si="5"/>
        <v>Viva Beverages Inc|</v>
      </c>
      <c r="D365" s="253">
        <v>148</v>
      </c>
    </row>
    <row r="366" spans="1:4" x14ac:dyDescent="0.25">
      <c r="A366" s="2" t="s">
        <v>414</v>
      </c>
      <c r="B366" s="2" t="s">
        <v>24</v>
      </c>
      <c r="C366" s="259" t="str">
        <f t="shared" si="5"/>
        <v>Viva Tequila Seltzer|Viva Beverages Inc</v>
      </c>
      <c r="D366" s="1">
        <v>148</v>
      </c>
    </row>
    <row r="367" spans="1:4" x14ac:dyDescent="0.25">
      <c r="A367" s="255" t="s">
        <v>83</v>
      </c>
      <c r="B367" s="254"/>
      <c r="C367" s="259" t="str">
        <f t="shared" si="5"/>
        <v>Gigli|</v>
      </c>
      <c r="D367" s="253">
        <v>123</v>
      </c>
    </row>
    <row r="368" spans="1:4" x14ac:dyDescent="0.25">
      <c r="A368" s="2" t="s">
        <v>83</v>
      </c>
      <c r="B368" s="2" t="s">
        <v>83</v>
      </c>
      <c r="C368" s="259" t="str">
        <f t="shared" si="5"/>
        <v>Gigli|Gigli</v>
      </c>
      <c r="D368" s="1">
        <v>123</v>
      </c>
    </row>
    <row r="369" spans="1:4" x14ac:dyDescent="0.25">
      <c r="A369" s="255" t="s">
        <v>100</v>
      </c>
      <c r="B369" s="254"/>
      <c r="C369" s="259" t="str">
        <f t="shared" si="5"/>
        <v>Park Street Imports|</v>
      </c>
      <c r="D369" s="253">
        <v>109</v>
      </c>
    </row>
    <row r="370" spans="1:4" x14ac:dyDescent="0.25">
      <c r="A370" s="2" t="s">
        <v>363</v>
      </c>
      <c r="B370" s="2" t="s">
        <v>100</v>
      </c>
      <c r="C370" s="259" t="str">
        <f t="shared" si="5"/>
        <v>Plaid Duck|Park Street Imports</v>
      </c>
      <c r="D370" s="1">
        <v>109</v>
      </c>
    </row>
    <row r="371" spans="1:4" x14ac:dyDescent="0.25">
      <c r="A371" s="255" t="s">
        <v>97</v>
      </c>
      <c r="B371" s="254"/>
      <c r="C371" s="259" t="str">
        <f t="shared" si="5"/>
        <v>GUSH INC|</v>
      </c>
      <c r="D371" s="253">
        <v>96.239952000000002</v>
      </c>
    </row>
    <row r="372" spans="1:4" x14ac:dyDescent="0.25">
      <c r="A372" s="2" t="s">
        <v>272</v>
      </c>
      <c r="B372" s="2" t="s">
        <v>97</v>
      </c>
      <c r="C372" s="259" t="str">
        <f t="shared" si="5"/>
        <v>Gush|GUSH INC</v>
      </c>
      <c r="D372" s="1">
        <v>96.239952000000002</v>
      </c>
    </row>
    <row r="373" spans="1:4" x14ac:dyDescent="0.25">
      <c r="A373" s="255" t="s">
        <v>199</v>
      </c>
      <c r="B373" s="254"/>
      <c r="C373" s="259" t="str">
        <f t="shared" si="5"/>
        <v>Efes|</v>
      </c>
      <c r="D373" s="253">
        <v>88.732659999999996</v>
      </c>
    </row>
    <row r="374" spans="1:4" x14ac:dyDescent="0.25">
      <c r="A374" s="2" t="s">
        <v>199</v>
      </c>
      <c r="B374" s="2" t="s">
        <v>199</v>
      </c>
      <c r="C374" s="259" t="str">
        <f t="shared" si="5"/>
        <v>Efes|Efes</v>
      </c>
      <c r="D374" s="1">
        <v>88.732659999999996</v>
      </c>
    </row>
    <row r="375" spans="1:4" x14ac:dyDescent="0.25">
      <c r="A375" s="255" t="s">
        <v>201</v>
      </c>
      <c r="B375" s="254"/>
      <c r="C375" s="259" t="str">
        <f t="shared" si="5"/>
        <v>Brewt's LLC|</v>
      </c>
      <c r="D375" s="253">
        <v>60.000030000000002</v>
      </c>
    </row>
    <row r="376" spans="1:4" x14ac:dyDescent="0.25">
      <c r="A376" s="2" t="s">
        <v>173</v>
      </c>
      <c r="B376" s="2" t="s">
        <v>201</v>
      </c>
      <c r="C376" s="259" t="str">
        <f t="shared" si="5"/>
        <v>Brewt's|Brewt's LLC</v>
      </c>
      <c r="D376" s="1">
        <v>60.000030000000002</v>
      </c>
    </row>
    <row r="377" spans="1:4" x14ac:dyDescent="0.25">
      <c r="A377" s="255" t="s">
        <v>525</v>
      </c>
      <c r="B377" s="254"/>
      <c r="C377" s="259" t="str">
        <f t="shared" si="5"/>
        <v>Chateau Diana Winery|</v>
      </c>
      <c r="D377" s="253">
        <v>59.174528000000002</v>
      </c>
    </row>
    <row r="378" spans="1:4" x14ac:dyDescent="0.25">
      <c r="A378" s="2" t="s">
        <v>524</v>
      </c>
      <c r="B378" s="2" t="s">
        <v>525</v>
      </c>
      <c r="C378" s="259" t="str">
        <f t="shared" si="5"/>
        <v>Chateau Diana|Chateau Diana Winery</v>
      </c>
      <c r="D378" s="1">
        <v>59.174528000000002</v>
      </c>
    </row>
    <row r="379" spans="1:4" x14ac:dyDescent="0.25">
      <c r="A379" s="255" t="s">
        <v>49</v>
      </c>
      <c r="B379" s="254"/>
      <c r="C379" s="259" t="str">
        <f t="shared" si="5"/>
        <v>Savorian INC|</v>
      </c>
      <c r="D379" s="253">
        <v>58.117840000000001</v>
      </c>
    </row>
    <row r="380" spans="1:4" x14ac:dyDescent="0.25">
      <c r="A380" s="2" t="s">
        <v>178</v>
      </c>
      <c r="B380" s="2" t="s">
        <v>49</v>
      </c>
      <c r="C380" s="259" t="str">
        <f t="shared" si="5"/>
        <v>Castellani Etichetta Gialla|Savorian INC</v>
      </c>
      <c r="D380" s="1">
        <v>33.814016000000002</v>
      </c>
    </row>
    <row r="381" spans="1:4" x14ac:dyDescent="0.25">
      <c r="A381" s="2" t="s">
        <v>209</v>
      </c>
      <c r="B381" s="2" t="s">
        <v>49</v>
      </c>
      <c r="C381" s="259" t="str">
        <f t="shared" si="5"/>
        <v>Calise|Savorian INC</v>
      </c>
      <c r="D381" s="1">
        <v>11.623568000000001</v>
      </c>
    </row>
    <row r="382" spans="1:4" x14ac:dyDescent="0.25">
      <c r="A382" s="2" t="s">
        <v>361</v>
      </c>
      <c r="B382" s="2" t="s">
        <v>49</v>
      </c>
      <c r="C382" s="259" t="str">
        <f t="shared" si="5"/>
        <v>Stoney River|Savorian INC</v>
      </c>
      <c r="D382" s="1">
        <v>9.510192</v>
      </c>
    </row>
    <row r="383" spans="1:4" x14ac:dyDescent="0.25">
      <c r="A383" s="2" t="s">
        <v>124</v>
      </c>
      <c r="B383" s="2" t="s">
        <v>49</v>
      </c>
      <c r="C383" s="259" t="str">
        <f t="shared" si="5"/>
        <v>Les Domaniales Rose D' Anjou Loire|Savorian INC</v>
      </c>
      <c r="D383" s="1">
        <v>3.170064</v>
      </c>
    </row>
    <row r="384" spans="1:4" x14ac:dyDescent="0.25">
      <c r="A384" s="255" t="s">
        <v>103</v>
      </c>
      <c r="B384" s="254"/>
      <c r="C384" s="259" t="str">
        <f t="shared" si="5"/>
        <v>Dreamz Invenstments LLC|</v>
      </c>
      <c r="D384" s="253">
        <v>55</v>
      </c>
    </row>
    <row r="385" spans="1:4" x14ac:dyDescent="0.25">
      <c r="A385" s="2" t="s">
        <v>304</v>
      </c>
      <c r="B385" s="2" t="s">
        <v>103</v>
      </c>
      <c r="C385" s="259" t="str">
        <f t="shared" si="5"/>
        <v>Brio|Dreamz Invenstments LLC</v>
      </c>
      <c r="D385" s="1">
        <v>55</v>
      </c>
    </row>
    <row r="386" spans="1:4" x14ac:dyDescent="0.25">
      <c r="A386" s="255" t="s">
        <v>258</v>
      </c>
      <c r="B386" s="254"/>
      <c r="C386" s="259" t="str">
        <f t="shared" si="5"/>
        <v>Alte Beverage|</v>
      </c>
      <c r="D386" s="253">
        <v>39</v>
      </c>
    </row>
    <row r="387" spans="1:4" x14ac:dyDescent="0.25">
      <c r="A387" s="2" t="s">
        <v>258</v>
      </c>
      <c r="B387" s="2" t="s">
        <v>258</v>
      </c>
      <c r="C387" s="259" t="str">
        <f t="shared" si="5"/>
        <v>Alte Beverage|Alte Beverage</v>
      </c>
      <c r="D387" s="1">
        <v>39</v>
      </c>
    </row>
    <row r="388" spans="1:4" x14ac:dyDescent="0.25">
      <c r="A388" s="255" t="s">
        <v>358</v>
      </c>
      <c r="B388" s="254"/>
      <c r="C388" s="259" t="str">
        <f t="shared" si="5"/>
        <v>Buzbee's Beverages USA LLC|</v>
      </c>
      <c r="D388" s="253">
        <v>33.433352999999997</v>
      </c>
    </row>
    <row r="389" spans="1:4" x14ac:dyDescent="0.25">
      <c r="A389" s="2" t="s">
        <v>276</v>
      </c>
      <c r="B389" s="2" t="s">
        <v>358</v>
      </c>
      <c r="C389" s="259" t="str">
        <f t="shared" si="5"/>
        <v>Buzbee's|Buzbee's Beverages USA LLC</v>
      </c>
      <c r="D389" s="1">
        <v>33.433352999999997</v>
      </c>
    </row>
    <row r="390" spans="1:4" x14ac:dyDescent="0.25">
      <c r="A390" s="255" t="s">
        <v>335</v>
      </c>
      <c r="B390" s="254"/>
      <c r="C390" s="259" t="str">
        <f t="shared" si="5"/>
        <v>Jerzey Jungle LLC|</v>
      </c>
      <c r="D390" s="253">
        <v>27.560092000000001</v>
      </c>
    </row>
    <row r="391" spans="1:4" x14ac:dyDescent="0.25">
      <c r="A391" s="2" t="s">
        <v>234</v>
      </c>
      <c r="B391" s="2" t="s">
        <v>335</v>
      </c>
      <c r="C391" s="259" t="str">
        <f t="shared" si="5"/>
        <v>Jerzey Jungle|Jerzey Jungle LLC</v>
      </c>
      <c r="D391" s="1">
        <v>27.560092000000001</v>
      </c>
    </row>
    <row r="392" spans="1:4" x14ac:dyDescent="0.25">
      <c r="A392" s="255" t="s">
        <v>360</v>
      </c>
      <c r="B392" s="254"/>
      <c r="C392" s="259" t="str">
        <f t="shared" si="5"/>
        <v>Primos Imports LLC|</v>
      </c>
      <c r="D392" s="253">
        <v>25.072177</v>
      </c>
    </row>
    <row r="393" spans="1:4" x14ac:dyDescent="0.25">
      <c r="A393" s="2" t="s">
        <v>413</v>
      </c>
      <c r="B393" s="2" t="s">
        <v>360</v>
      </c>
      <c r="C393" s="259" t="str">
        <f t="shared" ref="C393:C436" si="6">A393&amp;"|"&amp;B393</f>
        <v>Charro|Primos Imports LLC</v>
      </c>
      <c r="D393" s="1">
        <v>14</v>
      </c>
    </row>
    <row r="394" spans="1:4" x14ac:dyDescent="0.25">
      <c r="A394" s="2" t="s">
        <v>332</v>
      </c>
      <c r="B394" s="2" t="s">
        <v>360</v>
      </c>
      <c r="C394" s="259" t="str">
        <f t="shared" si="6"/>
        <v>Monte Xanic|Primos Imports LLC</v>
      </c>
      <c r="D394" s="1">
        <v>9.6250459999999993</v>
      </c>
    </row>
    <row r="395" spans="1:4" x14ac:dyDescent="0.25">
      <c r="A395" s="2" t="s">
        <v>255</v>
      </c>
      <c r="B395" s="2" t="s">
        <v>360</v>
      </c>
      <c r="C395" s="259" t="str">
        <f t="shared" si="6"/>
        <v>Guaname Rompope|Primos Imports LLC</v>
      </c>
      <c r="D395" s="1">
        <v>0.946353</v>
      </c>
    </row>
    <row r="396" spans="1:4" x14ac:dyDescent="0.25">
      <c r="A396" s="2" t="s">
        <v>202</v>
      </c>
      <c r="B396" s="2" t="s">
        <v>360</v>
      </c>
      <c r="C396" s="259" t="str">
        <f t="shared" si="6"/>
        <v>Rompe Corazon|Primos Imports LLC</v>
      </c>
      <c r="D396" s="1">
        <v>0.50077799999999995</v>
      </c>
    </row>
    <row r="397" spans="1:4" x14ac:dyDescent="0.25">
      <c r="A397" s="255" t="s">
        <v>278</v>
      </c>
      <c r="B397" s="254"/>
      <c r="C397" s="259" t="str">
        <f t="shared" si="6"/>
        <v>Waterloo Gin|</v>
      </c>
      <c r="D397" s="253">
        <v>18.999987999999998</v>
      </c>
    </row>
    <row r="398" spans="1:4" x14ac:dyDescent="0.25">
      <c r="A398" s="2" t="s">
        <v>278</v>
      </c>
      <c r="B398" s="2" t="s">
        <v>278</v>
      </c>
      <c r="C398" s="259" t="str">
        <f t="shared" si="6"/>
        <v>Waterloo Gin|Waterloo Gin</v>
      </c>
      <c r="D398" s="1">
        <v>18.999987999999998</v>
      </c>
    </row>
    <row r="399" spans="1:4" x14ac:dyDescent="0.25">
      <c r="A399" s="255" t="s">
        <v>22</v>
      </c>
      <c r="B399" s="254"/>
      <c r="C399" s="259" t="str">
        <f t="shared" si="6"/>
        <v>Little Water Distillery|</v>
      </c>
      <c r="D399" s="253">
        <v>18.5</v>
      </c>
    </row>
    <row r="400" spans="1:4" x14ac:dyDescent="0.25">
      <c r="A400" s="2" t="s">
        <v>273</v>
      </c>
      <c r="B400" s="2" t="s">
        <v>22</v>
      </c>
      <c r="C400" s="259" t="str">
        <f t="shared" si="6"/>
        <v>48 Blocks|Little Water Distillery</v>
      </c>
      <c r="D400" s="1">
        <v>15.5</v>
      </c>
    </row>
    <row r="401" spans="1:4" x14ac:dyDescent="0.25">
      <c r="A401" s="2" t="s">
        <v>149</v>
      </c>
      <c r="B401" s="2" t="s">
        <v>22</v>
      </c>
      <c r="C401" s="259" t="str">
        <f t="shared" si="6"/>
        <v>Rusted Revolver|Little Water Distillery</v>
      </c>
      <c r="D401" s="1">
        <v>2.5</v>
      </c>
    </row>
    <row r="402" spans="1:4" x14ac:dyDescent="0.25">
      <c r="A402" s="2" t="s">
        <v>274</v>
      </c>
      <c r="B402" s="2" t="s">
        <v>22</v>
      </c>
      <c r="C402" s="259" t="str">
        <f t="shared" si="6"/>
        <v>Whitecap|Little Water Distillery</v>
      </c>
      <c r="D402" s="1">
        <v>0.5</v>
      </c>
    </row>
    <row r="403" spans="1:4" x14ac:dyDescent="0.25">
      <c r="A403" s="255" t="s">
        <v>179</v>
      </c>
      <c r="B403" s="254"/>
      <c r="C403" s="259" t="str">
        <f t="shared" si="6"/>
        <v>Riviera Imports|</v>
      </c>
      <c r="D403" s="253">
        <v>12.680256</v>
      </c>
    </row>
    <row r="404" spans="1:4" x14ac:dyDescent="0.25">
      <c r="A404" s="2" t="s">
        <v>362</v>
      </c>
      <c r="B404" s="2" t="s">
        <v>179</v>
      </c>
      <c r="C404" s="259" t="str">
        <f t="shared" si="6"/>
        <v>Ecaana|Riviera Imports</v>
      </c>
      <c r="D404" s="1">
        <v>12.680256</v>
      </c>
    </row>
    <row r="405" spans="1:4" x14ac:dyDescent="0.25">
      <c r="A405" s="255" t="s">
        <v>370</v>
      </c>
      <c r="B405" s="254"/>
      <c r="C405" s="259" t="str">
        <f t="shared" si="6"/>
        <v>American Fruits|</v>
      </c>
      <c r="D405" s="253">
        <v>10.5</v>
      </c>
    </row>
    <row r="406" spans="1:4" x14ac:dyDescent="0.25">
      <c r="A406" s="2" t="s">
        <v>104</v>
      </c>
      <c r="B406" s="2" t="s">
        <v>370</v>
      </c>
      <c r="C406" s="259" t="str">
        <f t="shared" si="6"/>
        <v>American Fruit|American Fruits</v>
      </c>
      <c r="D406" s="1">
        <v>10.5</v>
      </c>
    </row>
    <row r="407" spans="1:4" x14ac:dyDescent="0.25">
      <c r="A407" s="255" t="s">
        <v>331</v>
      </c>
      <c r="B407" s="254"/>
      <c r="C407" s="259" t="str">
        <f t="shared" si="6"/>
        <v>2 Towns Ciderhouse|</v>
      </c>
      <c r="D407" s="253">
        <v>10</v>
      </c>
    </row>
    <row r="408" spans="1:4" x14ac:dyDescent="0.25">
      <c r="A408" s="2" t="s">
        <v>277</v>
      </c>
      <c r="B408" s="2" t="s">
        <v>331</v>
      </c>
      <c r="C408" s="259" t="str">
        <f t="shared" si="6"/>
        <v>Craftwell|2 Towns Ciderhouse</v>
      </c>
      <c r="D408" s="1">
        <v>10</v>
      </c>
    </row>
    <row r="409" spans="1:4" x14ac:dyDescent="0.25">
      <c r="A409" s="255" t="s">
        <v>101</v>
      </c>
      <c r="B409" s="254"/>
      <c r="C409" s="259" t="str">
        <f t="shared" si="6"/>
        <v>Licores Artesanales|</v>
      </c>
      <c r="D409" s="253">
        <v>9.5</v>
      </c>
    </row>
    <row r="410" spans="1:4" x14ac:dyDescent="0.25">
      <c r="A410" s="2" t="s">
        <v>210</v>
      </c>
      <c r="B410" s="2" t="s">
        <v>101</v>
      </c>
      <c r="C410" s="259" t="str">
        <f t="shared" si="6"/>
        <v>Desquite|Licores Artesanales</v>
      </c>
      <c r="D410" s="1">
        <v>9.5</v>
      </c>
    </row>
    <row r="411" spans="1:4" x14ac:dyDescent="0.25">
      <c r="A411" s="255" t="s">
        <v>533</v>
      </c>
      <c r="B411" s="254"/>
      <c r="C411" s="259" t="str">
        <f t="shared" si="6"/>
        <v>Power Distribution LLC|</v>
      </c>
      <c r="D411" s="253">
        <v>8</v>
      </c>
    </row>
    <row r="412" spans="1:4" x14ac:dyDescent="0.25">
      <c r="A412" s="2" t="s">
        <v>532</v>
      </c>
      <c r="B412" s="2" t="s">
        <v>533</v>
      </c>
      <c r="C412" s="259" t="str">
        <f t="shared" si="6"/>
        <v>Belize Breeze|Power Distribution LLC</v>
      </c>
      <c r="D412" s="1">
        <v>8</v>
      </c>
    </row>
    <row r="413" spans="1:4" x14ac:dyDescent="0.25">
      <c r="A413" s="255" t="s">
        <v>203</v>
      </c>
      <c r="B413" s="254"/>
      <c r="C413" s="259" t="str">
        <f t="shared" si="6"/>
        <v>Oceano|</v>
      </c>
      <c r="D413" s="253">
        <v>6.340128</v>
      </c>
    </row>
    <row r="414" spans="1:4" x14ac:dyDescent="0.25">
      <c r="A414" s="2" t="s">
        <v>203</v>
      </c>
      <c r="B414" s="2" t="s">
        <v>203</v>
      </c>
      <c r="C414" s="259" t="str">
        <f t="shared" si="6"/>
        <v>Oceano|Oceano</v>
      </c>
      <c r="D414" s="1">
        <v>6.340128</v>
      </c>
    </row>
    <row r="415" spans="1:4" x14ac:dyDescent="0.25">
      <c r="A415" s="255" t="s">
        <v>152</v>
      </c>
      <c r="B415" s="254"/>
      <c r="C415" s="259" t="str">
        <f t="shared" si="6"/>
        <v>Eleven20|</v>
      </c>
      <c r="D415" s="253">
        <v>5</v>
      </c>
    </row>
    <row r="416" spans="1:4" x14ac:dyDescent="0.25">
      <c r="A416" s="2" t="s">
        <v>205</v>
      </c>
      <c r="B416" s="2" t="s">
        <v>152</v>
      </c>
      <c r="C416" s="259" t="str">
        <f t="shared" si="6"/>
        <v>Eleven20 Tequila|Eleven20</v>
      </c>
      <c r="D416" s="1">
        <v>5</v>
      </c>
    </row>
    <row r="417" spans="1:4" x14ac:dyDescent="0.25">
      <c r="A417" s="255" t="s">
        <v>338</v>
      </c>
      <c r="B417" s="254"/>
      <c r="C417" s="259" t="str">
        <f t="shared" si="6"/>
        <v>Berczy LLC|</v>
      </c>
      <c r="D417" s="253">
        <v>5</v>
      </c>
    </row>
    <row r="418" spans="1:4" x14ac:dyDescent="0.25">
      <c r="A418" s="2" t="s">
        <v>156</v>
      </c>
      <c r="B418" s="2" t="s">
        <v>338</v>
      </c>
      <c r="C418" s="259" t="str">
        <f t="shared" si="6"/>
        <v>Berczy|Berczy LLC</v>
      </c>
      <c r="D418" s="1">
        <v>5</v>
      </c>
    </row>
    <row r="419" spans="1:4" x14ac:dyDescent="0.25">
      <c r="A419" s="255" t="s">
        <v>50</v>
      </c>
      <c r="B419" s="254"/>
      <c r="C419" s="259" t="str">
        <f t="shared" si="6"/>
        <v>Paradisse Spirits LLC|</v>
      </c>
      <c r="D419" s="253">
        <v>3.4999859999999998</v>
      </c>
    </row>
    <row r="420" spans="1:4" x14ac:dyDescent="0.25">
      <c r="A420" s="2" t="s">
        <v>256</v>
      </c>
      <c r="B420" s="2" t="s">
        <v>50</v>
      </c>
      <c r="C420" s="259" t="str">
        <f t="shared" si="6"/>
        <v>Paradisse|Paradisse Spirits LLC</v>
      </c>
      <c r="D420" s="1">
        <v>3.4999859999999998</v>
      </c>
    </row>
    <row r="421" spans="1:4" x14ac:dyDescent="0.25">
      <c r="A421" s="255" t="s">
        <v>80</v>
      </c>
      <c r="B421" s="254"/>
      <c r="C421" s="259" t="str">
        <f t="shared" si="6"/>
        <v>Trinity Flavors|</v>
      </c>
      <c r="D421" s="253">
        <v>1</v>
      </c>
    </row>
    <row r="422" spans="1:4" x14ac:dyDescent="0.25">
      <c r="A422" s="2" t="s">
        <v>99</v>
      </c>
      <c r="B422" s="2" t="s">
        <v>80</v>
      </c>
      <c r="C422" s="259" t="str">
        <f t="shared" si="6"/>
        <v>Trinity|Trinity Flavors</v>
      </c>
      <c r="D422" s="1">
        <v>1</v>
      </c>
    </row>
    <row r="423" spans="1:4" x14ac:dyDescent="0.25">
      <c r="A423" s="255" t="s">
        <v>298</v>
      </c>
      <c r="B423" s="254"/>
      <c r="C423" s="259" t="str">
        <f t="shared" si="6"/>
        <v>Kimo Spirits|</v>
      </c>
      <c r="D423" s="253">
        <v>1</v>
      </c>
    </row>
    <row r="424" spans="1:4" x14ac:dyDescent="0.25">
      <c r="A424" s="2" t="s">
        <v>23</v>
      </c>
      <c r="B424" s="2" t="s">
        <v>298</v>
      </c>
      <c r="C424" s="259" t="str">
        <f t="shared" si="6"/>
        <v>Trusted Friend Cocktails|Kimo Spirits</v>
      </c>
      <c r="D424" s="1">
        <v>1</v>
      </c>
    </row>
    <row r="425" spans="1:4" x14ac:dyDescent="0.25">
      <c r="A425" s="255" t="s">
        <v>333</v>
      </c>
      <c r="B425" s="254"/>
      <c r="C425" s="259" t="str">
        <f t="shared" si="6"/>
        <v>The Old G LLC|</v>
      </c>
      <c r="D425" s="253">
        <v>0.5</v>
      </c>
    </row>
    <row r="426" spans="1:4" x14ac:dyDescent="0.25">
      <c r="A426" s="2" t="s">
        <v>415</v>
      </c>
      <c r="B426" s="2" t="s">
        <v>333</v>
      </c>
      <c r="C426" s="259" t="str">
        <f t="shared" si="6"/>
        <v>The Old G|The Old G LLC</v>
      </c>
      <c r="D426" s="1">
        <v>0.5</v>
      </c>
    </row>
    <row r="427" spans="1:4" x14ac:dyDescent="0.25">
      <c r="A427" s="255" t="s">
        <v>416</v>
      </c>
      <c r="B427" s="254"/>
      <c r="C427" s="259" t="str">
        <f t="shared" si="6"/>
        <v>Misc|</v>
      </c>
      <c r="D427" s="253">
        <v>0</v>
      </c>
    </row>
    <row r="428" spans="1:4" x14ac:dyDescent="0.25">
      <c r="A428" s="2" t="s">
        <v>416</v>
      </c>
      <c r="B428" s="2" t="s">
        <v>416</v>
      </c>
      <c r="C428" s="259" t="str">
        <f t="shared" si="6"/>
        <v>Misc|Misc</v>
      </c>
      <c r="D428" s="1">
        <v>0</v>
      </c>
    </row>
    <row r="429" spans="1:4" x14ac:dyDescent="0.25">
      <c r="A429" s="255" t="s">
        <v>303</v>
      </c>
      <c r="B429" s="254"/>
      <c r="C429" s="259" t="str">
        <f t="shared" si="6"/>
        <v>Florida Caribbean Distillers LLC|</v>
      </c>
      <c r="D429" s="253">
        <v>0</v>
      </c>
    </row>
    <row r="430" spans="1:4" x14ac:dyDescent="0.25">
      <c r="A430" s="2" t="s">
        <v>257</v>
      </c>
      <c r="B430" s="2" t="s">
        <v>303</v>
      </c>
      <c r="C430" s="259" t="str">
        <f t="shared" si="6"/>
        <v>Capriccio|Florida Caribbean Distillers LLC</v>
      </c>
      <c r="D430" s="1">
        <v>0</v>
      </c>
    </row>
    <row r="431" spans="1:4" x14ac:dyDescent="0.25">
      <c r="A431" s="255" t="s">
        <v>21</v>
      </c>
      <c r="B431" s="254"/>
      <c r="C431" s="259" t="str">
        <f t="shared" si="6"/>
        <v>Hygrade Beverage|</v>
      </c>
      <c r="D431" s="253">
        <v>-6.8888889999999998</v>
      </c>
    </row>
    <row r="432" spans="1:4" x14ac:dyDescent="0.25">
      <c r="A432" s="2" t="s">
        <v>230</v>
      </c>
      <c r="B432" s="2" t="s">
        <v>21</v>
      </c>
      <c r="C432" s="259" t="str">
        <f t="shared" si="6"/>
        <v>Soda Birch|Hygrade Beverage</v>
      </c>
      <c r="D432" s="1">
        <v>-6.8888889999999998</v>
      </c>
    </row>
    <row r="433" spans="1:4" x14ac:dyDescent="0.25">
      <c r="A433" s="255" t="s">
        <v>145</v>
      </c>
      <c r="B433" s="254"/>
      <c r="C433" s="259" t="str">
        <f t="shared" si="6"/>
        <v>Jersey Girl|</v>
      </c>
      <c r="D433" s="253">
        <v>-12.090268</v>
      </c>
    </row>
    <row r="434" spans="1:4" x14ac:dyDescent="0.25">
      <c r="A434" s="2" t="s">
        <v>145</v>
      </c>
      <c r="B434" s="2" t="s">
        <v>145</v>
      </c>
      <c r="C434" s="259" t="str">
        <f t="shared" si="6"/>
        <v>Jersey Girl|Jersey Girl</v>
      </c>
      <c r="D434" s="1">
        <v>-12.090268</v>
      </c>
    </row>
    <row r="435" spans="1:4" x14ac:dyDescent="0.25">
      <c r="A435" s="255" t="s">
        <v>176</v>
      </c>
      <c r="B435" s="254"/>
      <c r="C435" s="259" t="str">
        <f t="shared" si="6"/>
        <v>Island Brands USA|</v>
      </c>
      <c r="D435" s="253">
        <v>-16.000001000000001</v>
      </c>
    </row>
    <row r="436" spans="1:4" x14ac:dyDescent="0.25">
      <c r="A436" s="2" t="s">
        <v>204</v>
      </c>
      <c r="B436" s="2" t="s">
        <v>176</v>
      </c>
      <c r="C436" s="259" t="str">
        <f t="shared" si="6"/>
        <v>Island Brands|Island Brands USA</v>
      </c>
      <c r="D436" s="1">
        <v>-16.000001000000001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22015-A839-4BBC-8C67-6D35E96578A1}">
  <sheetPr>
    <tabColor rgb="FFFF0000"/>
  </sheetPr>
  <dimension ref="A1:B121"/>
  <sheetViews>
    <sheetView workbookViewId="0">
      <selection activeCell="F33" sqref="F33"/>
    </sheetView>
  </sheetViews>
  <sheetFormatPr defaultRowHeight="15" x14ac:dyDescent="0.25"/>
  <cols>
    <col min="1" max="1" width="27.7109375" bestFit="1" customWidth="1"/>
    <col min="2" max="2" width="14.140625" bestFit="1" customWidth="1"/>
  </cols>
  <sheetData>
    <row r="1" spans="1:2" x14ac:dyDescent="0.25">
      <c r="A1" s="296" t="s">
        <v>182</v>
      </c>
      <c r="B1" s="296" t="s">
        <v>570</v>
      </c>
    </row>
    <row r="2" spans="1:2" x14ac:dyDescent="0.25">
      <c r="A2" s="295" t="s">
        <v>331</v>
      </c>
      <c r="B2" s="295" t="s">
        <v>574</v>
      </c>
    </row>
    <row r="3" spans="1:2" x14ac:dyDescent="0.25">
      <c r="A3" s="295" t="s">
        <v>388</v>
      </c>
      <c r="B3" s="295" t="s">
        <v>576</v>
      </c>
    </row>
    <row r="4" spans="1:2" x14ac:dyDescent="0.25">
      <c r="A4" s="295" t="s">
        <v>258</v>
      </c>
      <c r="B4" s="295" t="s">
        <v>572</v>
      </c>
    </row>
    <row r="5" spans="1:2" x14ac:dyDescent="0.25">
      <c r="A5" s="295" t="s">
        <v>370</v>
      </c>
      <c r="B5" s="295" t="s">
        <v>573</v>
      </c>
    </row>
    <row r="6" spans="1:2" x14ac:dyDescent="0.25">
      <c r="A6" s="295" t="s">
        <v>267</v>
      </c>
      <c r="B6" s="295" t="s">
        <v>571</v>
      </c>
    </row>
    <row r="7" spans="1:2" x14ac:dyDescent="0.25">
      <c r="A7" s="295" t="s">
        <v>13</v>
      </c>
      <c r="B7" s="295" t="s">
        <v>577</v>
      </c>
    </row>
    <row r="8" spans="1:2" x14ac:dyDescent="0.25">
      <c r="A8" s="295" t="s">
        <v>368</v>
      </c>
      <c r="B8" s="295" t="s">
        <v>572</v>
      </c>
    </row>
    <row r="9" spans="1:2" x14ac:dyDescent="0.25">
      <c r="A9" s="295" t="s">
        <v>354</v>
      </c>
      <c r="B9" s="295" t="s">
        <v>576</v>
      </c>
    </row>
    <row r="10" spans="1:2" x14ac:dyDescent="0.25">
      <c r="A10" s="295" t="s">
        <v>223</v>
      </c>
      <c r="B10" s="295" t="s">
        <v>571</v>
      </c>
    </row>
    <row r="11" spans="1:2" x14ac:dyDescent="0.25">
      <c r="A11" s="295" t="s">
        <v>251</v>
      </c>
      <c r="B11" s="295" t="s">
        <v>574</v>
      </c>
    </row>
    <row r="12" spans="1:2" x14ac:dyDescent="0.25">
      <c r="A12" s="295" t="s">
        <v>306</v>
      </c>
      <c r="B12" s="295" t="s">
        <v>572</v>
      </c>
    </row>
    <row r="13" spans="1:2" x14ac:dyDescent="0.25">
      <c r="A13" s="295" t="s">
        <v>338</v>
      </c>
      <c r="B13" s="295" t="s">
        <v>0</v>
      </c>
    </row>
    <row r="14" spans="1:2" x14ac:dyDescent="0.25">
      <c r="A14" s="295" t="s">
        <v>325</v>
      </c>
      <c r="B14" s="295" t="s">
        <v>576</v>
      </c>
    </row>
    <row r="15" spans="1:2" x14ac:dyDescent="0.25">
      <c r="A15" s="295" t="s">
        <v>387</v>
      </c>
      <c r="B15" s="295" t="s">
        <v>572</v>
      </c>
    </row>
    <row r="16" spans="1:2" x14ac:dyDescent="0.25">
      <c r="A16" s="295" t="s">
        <v>45</v>
      </c>
      <c r="B16" s="295" t="s">
        <v>576</v>
      </c>
    </row>
    <row r="17" spans="1:2" x14ac:dyDescent="0.25">
      <c r="A17" s="295" t="s">
        <v>88</v>
      </c>
      <c r="B17" s="295" t="s">
        <v>574</v>
      </c>
    </row>
    <row r="18" spans="1:2" x14ac:dyDescent="0.25">
      <c r="A18" s="295" t="s">
        <v>201</v>
      </c>
      <c r="B18" s="295" t="s">
        <v>574</v>
      </c>
    </row>
    <row r="19" spans="1:2" x14ac:dyDescent="0.25">
      <c r="A19" s="295" t="s">
        <v>358</v>
      </c>
      <c r="B19" s="295" t="s">
        <v>574</v>
      </c>
    </row>
    <row r="20" spans="1:2" x14ac:dyDescent="0.25">
      <c r="A20" s="295" t="s">
        <v>113</v>
      </c>
      <c r="B20" s="295" t="s">
        <v>576</v>
      </c>
    </row>
    <row r="21" spans="1:2" x14ac:dyDescent="0.25">
      <c r="A21" s="295" t="s">
        <v>98</v>
      </c>
      <c r="B21" s="295" t="s">
        <v>572</v>
      </c>
    </row>
    <row r="22" spans="1:2" x14ac:dyDescent="0.25">
      <c r="A22" s="295" t="s">
        <v>305</v>
      </c>
      <c r="B22" s="295" t="s">
        <v>574</v>
      </c>
    </row>
    <row r="23" spans="1:2" x14ac:dyDescent="0.25">
      <c r="A23" s="295" t="s">
        <v>329</v>
      </c>
      <c r="B23" s="295" t="s">
        <v>571</v>
      </c>
    </row>
    <row r="24" spans="1:2" x14ac:dyDescent="0.25">
      <c r="A24" s="295" t="s">
        <v>525</v>
      </c>
      <c r="B24" s="295" t="s">
        <v>572</v>
      </c>
    </row>
    <row r="25" spans="1:2" x14ac:dyDescent="0.25">
      <c r="A25" s="295" t="s">
        <v>19</v>
      </c>
      <c r="B25" s="295" t="s">
        <v>573</v>
      </c>
    </row>
    <row r="26" spans="1:2" x14ac:dyDescent="0.25">
      <c r="A26" s="295" t="s">
        <v>390</v>
      </c>
      <c r="B26" s="295" t="s">
        <v>571</v>
      </c>
    </row>
    <row r="27" spans="1:2" x14ac:dyDescent="0.25">
      <c r="A27" s="295" t="s">
        <v>419</v>
      </c>
      <c r="B27" s="295" t="s">
        <v>572</v>
      </c>
    </row>
    <row r="28" spans="1:2" x14ac:dyDescent="0.25">
      <c r="A28" s="295" t="s">
        <v>75</v>
      </c>
      <c r="B28" s="295" t="s">
        <v>576</v>
      </c>
    </row>
    <row r="29" spans="1:2" x14ac:dyDescent="0.25">
      <c r="A29" s="295" t="s">
        <v>327</v>
      </c>
      <c r="B29" s="295" t="s">
        <v>574</v>
      </c>
    </row>
    <row r="30" spans="1:2" x14ac:dyDescent="0.25">
      <c r="A30" s="295" t="s">
        <v>366</v>
      </c>
      <c r="B30" s="295" t="s">
        <v>572</v>
      </c>
    </row>
    <row r="31" spans="1:2" x14ac:dyDescent="0.25">
      <c r="A31" s="295" t="s">
        <v>356</v>
      </c>
      <c r="B31" s="295" t="s">
        <v>576</v>
      </c>
    </row>
    <row r="32" spans="1:2" x14ac:dyDescent="0.25">
      <c r="A32" s="295" t="s">
        <v>180</v>
      </c>
      <c r="B32" s="295" t="s">
        <v>572</v>
      </c>
    </row>
    <row r="33" spans="1:2" x14ac:dyDescent="0.25">
      <c r="A33" s="295" t="s">
        <v>135</v>
      </c>
      <c r="B33" s="295" t="s">
        <v>579</v>
      </c>
    </row>
    <row r="34" spans="1:2" x14ac:dyDescent="0.25">
      <c r="A34" s="295" t="s">
        <v>103</v>
      </c>
      <c r="B34" s="295" t="s">
        <v>572</v>
      </c>
    </row>
    <row r="35" spans="1:2" x14ac:dyDescent="0.25">
      <c r="A35" s="295" t="s">
        <v>147</v>
      </c>
      <c r="B35" s="295" t="s">
        <v>576</v>
      </c>
    </row>
    <row r="36" spans="1:2" x14ac:dyDescent="0.25">
      <c r="A36" s="295" t="s">
        <v>199</v>
      </c>
      <c r="B36" s="295" t="s">
        <v>577</v>
      </c>
    </row>
    <row r="37" spans="1:2" x14ac:dyDescent="0.25">
      <c r="A37" s="295" t="s">
        <v>152</v>
      </c>
      <c r="B37" s="295" t="s">
        <v>572</v>
      </c>
    </row>
    <row r="38" spans="1:2" x14ac:dyDescent="0.25">
      <c r="A38" s="295" t="s">
        <v>174</v>
      </c>
      <c r="B38" s="295" t="s">
        <v>572</v>
      </c>
    </row>
    <row r="39" spans="1:2" x14ac:dyDescent="0.25">
      <c r="A39" s="295" t="s">
        <v>231</v>
      </c>
      <c r="B39" s="295" t="s">
        <v>0</v>
      </c>
    </row>
    <row r="40" spans="1:2" x14ac:dyDescent="0.25">
      <c r="A40" s="295" t="s">
        <v>351</v>
      </c>
      <c r="B40" s="295" t="s">
        <v>576</v>
      </c>
    </row>
    <row r="41" spans="1:2" x14ac:dyDescent="0.25">
      <c r="A41" s="295" t="s">
        <v>346</v>
      </c>
      <c r="B41" s="295" t="s">
        <v>573</v>
      </c>
    </row>
    <row r="42" spans="1:2" x14ac:dyDescent="0.25">
      <c r="A42" s="295" t="s">
        <v>12</v>
      </c>
      <c r="B42" s="295" t="s">
        <v>577</v>
      </c>
    </row>
    <row r="43" spans="1:2" x14ac:dyDescent="0.25">
      <c r="A43" s="295" t="s">
        <v>303</v>
      </c>
      <c r="B43" s="295" t="s">
        <v>0</v>
      </c>
    </row>
    <row r="44" spans="1:2" x14ac:dyDescent="0.25">
      <c r="A44" s="295" t="s">
        <v>69</v>
      </c>
      <c r="B44" s="295" t="s">
        <v>576</v>
      </c>
    </row>
    <row r="45" spans="1:2" x14ac:dyDescent="0.25">
      <c r="A45" s="295" t="s">
        <v>95</v>
      </c>
      <c r="B45" s="295" t="s">
        <v>575</v>
      </c>
    </row>
    <row r="46" spans="1:2" x14ac:dyDescent="0.25">
      <c r="A46" s="295" t="s">
        <v>20</v>
      </c>
      <c r="B46" s="295" t="s">
        <v>574</v>
      </c>
    </row>
    <row r="47" spans="1:2" x14ac:dyDescent="0.25">
      <c r="A47" s="295" t="s">
        <v>8</v>
      </c>
      <c r="B47" s="295" t="s">
        <v>573</v>
      </c>
    </row>
    <row r="48" spans="1:2" x14ac:dyDescent="0.25">
      <c r="A48" s="295" t="s">
        <v>227</v>
      </c>
      <c r="B48" s="295" t="s">
        <v>579</v>
      </c>
    </row>
    <row r="49" spans="1:2" x14ac:dyDescent="0.25">
      <c r="A49" s="295" t="s">
        <v>249</v>
      </c>
      <c r="B49" s="295" t="s">
        <v>576</v>
      </c>
    </row>
    <row r="50" spans="1:2" x14ac:dyDescent="0.25">
      <c r="A50" s="295" t="s">
        <v>83</v>
      </c>
      <c r="B50" s="295" t="s">
        <v>0</v>
      </c>
    </row>
    <row r="51" spans="1:2" x14ac:dyDescent="0.25">
      <c r="A51" s="295" t="s">
        <v>269</v>
      </c>
      <c r="B51" s="295" t="s">
        <v>579</v>
      </c>
    </row>
    <row r="52" spans="1:2" x14ac:dyDescent="0.25">
      <c r="A52" s="295" t="s">
        <v>74</v>
      </c>
      <c r="B52" s="295" t="s">
        <v>577</v>
      </c>
    </row>
    <row r="53" spans="1:2" x14ac:dyDescent="0.25">
      <c r="A53" s="295" t="s">
        <v>17</v>
      </c>
      <c r="B53" s="295" t="s">
        <v>573</v>
      </c>
    </row>
    <row r="54" spans="1:2" x14ac:dyDescent="0.25">
      <c r="A54" s="295" t="s">
        <v>97</v>
      </c>
      <c r="B54" s="295" t="s">
        <v>0</v>
      </c>
    </row>
    <row r="55" spans="1:2" x14ac:dyDescent="0.25">
      <c r="A55" s="295" t="s">
        <v>405</v>
      </c>
      <c r="B55" s="295" t="s">
        <v>573</v>
      </c>
    </row>
    <row r="56" spans="1:2" x14ac:dyDescent="0.25">
      <c r="A56" s="295" t="s">
        <v>394</v>
      </c>
      <c r="B56" s="295" t="s">
        <v>579</v>
      </c>
    </row>
    <row r="57" spans="1:2" x14ac:dyDescent="0.25">
      <c r="A57" s="295" t="s">
        <v>14</v>
      </c>
      <c r="B57" s="295" t="s">
        <v>573</v>
      </c>
    </row>
    <row r="58" spans="1:2" x14ac:dyDescent="0.25">
      <c r="A58" s="295" t="s">
        <v>46</v>
      </c>
      <c r="B58" s="295" t="s">
        <v>571</v>
      </c>
    </row>
    <row r="59" spans="1:2" x14ac:dyDescent="0.25">
      <c r="A59" s="295" t="s">
        <v>212</v>
      </c>
      <c r="B59" s="295" t="s">
        <v>574</v>
      </c>
    </row>
    <row r="60" spans="1:2" x14ac:dyDescent="0.25">
      <c r="A60" s="295" t="s">
        <v>21</v>
      </c>
      <c r="B60" s="295" t="s">
        <v>0</v>
      </c>
    </row>
    <row r="61" spans="1:2" x14ac:dyDescent="0.25">
      <c r="A61" s="295" t="s">
        <v>176</v>
      </c>
      <c r="B61" s="295" t="s">
        <v>0</v>
      </c>
    </row>
    <row r="62" spans="1:2" x14ac:dyDescent="0.25">
      <c r="A62" s="295" t="s">
        <v>408</v>
      </c>
      <c r="B62" s="295" t="s">
        <v>576</v>
      </c>
    </row>
    <row r="63" spans="1:2" x14ac:dyDescent="0.25">
      <c r="A63" s="295" t="s">
        <v>145</v>
      </c>
      <c r="B63" s="295" t="s">
        <v>0</v>
      </c>
    </row>
    <row r="64" spans="1:2" x14ac:dyDescent="0.25">
      <c r="A64" s="295" t="s">
        <v>335</v>
      </c>
      <c r="B64" s="295" t="s">
        <v>572</v>
      </c>
    </row>
    <row r="65" spans="1:2" x14ac:dyDescent="0.25">
      <c r="A65" s="295" t="s">
        <v>298</v>
      </c>
      <c r="B65" s="295" t="s">
        <v>574</v>
      </c>
    </row>
    <row r="66" spans="1:2" x14ac:dyDescent="0.25">
      <c r="A66" s="295" t="s">
        <v>318</v>
      </c>
      <c r="B66" s="295" t="s">
        <v>579</v>
      </c>
    </row>
    <row r="67" spans="1:2" x14ac:dyDescent="0.25">
      <c r="A67" s="295" t="s">
        <v>101</v>
      </c>
      <c r="B67" s="295" t="s">
        <v>572</v>
      </c>
    </row>
    <row r="68" spans="1:2" x14ac:dyDescent="0.25">
      <c r="A68" s="295" t="s">
        <v>22</v>
      </c>
      <c r="B68" s="295" t="s">
        <v>572</v>
      </c>
    </row>
    <row r="69" spans="1:2" x14ac:dyDescent="0.25">
      <c r="A69" s="295" t="s">
        <v>126</v>
      </c>
      <c r="B69" s="295" t="s">
        <v>572</v>
      </c>
    </row>
    <row r="70" spans="1:2" x14ac:dyDescent="0.25">
      <c r="A70" s="295" t="s">
        <v>34</v>
      </c>
      <c r="B70" s="295" t="s">
        <v>571</v>
      </c>
    </row>
    <row r="71" spans="1:2" x14ac:dyDescent="0.25">
      <c r="A71" s="295" t="s">
        <v>416</v>
      </c>
      <c r="B71" s="295" t="s">
        <v>0</v>
      </c>
    </row>
    <row r="72" spans="1:2" x14ac:dyDescent="0.25">
      <c r="A72" s="295" t="s">
        <v>125</v>
      </c>
      <c r="B72" s="295" t="s">
        <v>572</v>
      </c>
    </row>
    <row r="73" spans="1:2" x14ac:dyDescent="0.25">
      <c r="A73" s="295" t="s">
        <v>150</v>
      </c>
      <c r="B73" s="295" t="s">
        <v>572</v>
      </c>
    </row>
    <row r="74" spans="1:2" x14ac:dyDescent="0.25">
      <c r="A74" s="295" t="s">
        <v>51</v>
      </c>
      <c r="B74" s="295" t="s">
        <v>577</v>
      </c>
    </row>
    <row r="75" spans="1:2" x14ac:dyDescent="0.25">
      <c r="A75" s="295" t="s">
        <v>93</v>
      </c>
      <c r="B75" s="295" t="s">
        <v>574</v>
      </c>
    </row>
    <row r="76" spans="1:2" x14ac:dyDescent="0.25">
      <c r="A76" s="295" t="s">
        <v>143</v>
      </c>
      <c r="B76" s="295" t="s">
        <v>577</v>
      </c>
    </row>
    <row r="77" spans="1:2" x14ac:dyDescent="0.25">
      <c r="A77" s="295" t="s">
        <v>189</v>
      </c>
      <c r="B77" s="295" t="s">
        <v>574</v>
      </c>
    </row>
    <row r="78" spans="1:2" x14ac:dyDescent="0.25">
      <c r="A78" s="295" t="s">
        <v>382</v>
      </c>
      <c r="B78" s="295" t="s">
        <v>576</v>
      </c>
    </row>
    <row r="79" spans="1:2" x14ac:dyDescent="0.25">
      <c r="A79" s="295" t="s">
        <v>203</v>
      </c>
      <c r="B79" s="295" t="s">
        <v>572</v>
      </c>
    </row>
    <row r="80" spans="1:2" x14ac:dyDescent="0.25">
      <c r="A80" s="295" t="s">
        <v>411</v>
      </c>
      <c r="B80" s="295" t="s">
        <v>572</v>
      </c>
    </row>
    <row r="81" spans="1:2" x14ac:dyDescent="0.25">
      <c r="A81" s="295" t="s">
        <v>260</v>
      </c>
      <c r="B81" s="295" t="s">
        <v>573</v>
      </c>
    </row>
    <row r="82" spans="1:2" x14ac:dyDescent="0.25">
      <c r="A82" s="295" t="s">
        <v>407</v>
      </c>
      <c r="B82" s="295" t="s">
        <v>579</v>
      </c>
    </row>
    <row r="83" spans="1:2" x14ac:dyDescent="0.25">
      <c r="A83" s="295" t="s">
        <v>50</v>
      </c>
      <c r="B83" s="295" t="s">
        <v>572</v>
      </c>
    </row>
    <row r="84" spans="1:2" x14ac:dyDescent="0.25">
      <c r="A84" s="295" t="s">
        <v>100</v>
      </c>
      <c r="B84" s="295" t="s">
        <v>574</v>
      </c>
    </row>
    <row r="85" spans="1:2" x14ac:dyDescent="0.25">
      <c r="A85" s="295" t="s">
        <v>153</v>
      </c>
      <c r="B85" s="295" t="s">
        <v>574</v>
      </c>
    </row>
    <row r="86" spans="1:2" x14ac:dyDescent="0.25">
      <c r="A86" s="295" t="s">
        <v>266</v>
      </c>
      <c r="B86" s="295" t="s">
        <v>579</v>
      </c>
    </row>
    <row r="87" spans="1:2" x14ac:dyDescent="0.25">
      <c r="A87" s="295" t="s">
        <v>63</v>
      </c>
      <c r="B87" s="295" t="s">
        <v>571</v>
      </c>
    </row>
    <row r="88" spans="1:2" x14ac:dyDescent="0.25">
      <c r="A88" s="295" t="s">
        <v>122</v>
      </c>
      <c r="B88" s="295" t="s">
        <v>571</v>
      </c>
    </row>
    <row r="89" spans="1:2" x14ac:dyDescent="0.25">
      <c r="A89" s="295" t="s">
        <v>533</v>
      </c>
      <c r="B89" s="295" t="s">
        <v>572</v>
      </c>
    </row>
    <row r="90" spans="1:2" x14ac:dyDescent="0.25">
      <c r="A90" s="295" t="s">
        <v>229</v>
      </c>
      <c r="B90" s="295" t="s">
        <v>572</v>
      </c>
    </row>
    <row r="91" spans="1:2" x14ac:dyDescent="0.25">
      <c r="A91" s="295" t="s">
        <v>141</v>
      </c>
      <c r="B91" s="295" t="s">
        <v>572</v>
      </c>
    </row>
    <row r="92" spans="1:2" x14ac:dyDescent="0.25">
      <c r="A92" s="295" t="s">
        <v>360</v>
      </c>
      <c r="B92" s="295" t="s">
        <v>572</v>
      </c>
    </row>
    <row r="93" spans="1:2" x14ac:dyDescent="0.25">
      <c r="A93" s="295" t="s">
        <v>379</v>
      </c>
      <c r="B93" s="295" t="s">
        <v>573</v>
      </c>
    </row>
    <row r="94" spans="1:2" x14ac:dyDescent="0.25">
      <c r="A94" s="295" t="s">
        <v>299</v>
      </c>
      <c r="B94" s="295" t="s">
        <v>572</v>
      </c>
    </row>
    <row r="95" spans="1:2" x14ac:dyDescent="0.25">
      <c r="A95" s="295" t="s">
        <v>65</v>
      </c>
      <c r="B95" s="295" t="s">
        <v>578</v>
      </c>
    </row>
    <row r="96" spans="1:2" x14ac:dyDescent="0.25">
      <c r="A96" s="295" t="s">
        <v>297</v>
      </c>
      <c r="B96" s="295" t="s">
        <v>576</v>
      </c>
    </row>
    <row r="97" spans="1:2" x14ac:dyDescent="0.25">
      <c r="A97" s="295" t="s">
        <v>179</v>
      </c>
      <c r="B97" s="295" t="s">
        <v>572</v>
      </c>
    </row>
    <row r="98" spans="1:2" x14ac:dyDescent="0.25">
      <c r="A98" s="295" t="s">
        <v>316</v>
      </c>
      <c r="B98" s="295" t="s">
        <v>576</v>
      </c>
    </row>
    <row r="99" spans="1:2" x14ac:dyDescent="0.25">
      <c r="A99" s="295" t="s">
        <v>321</v>
      </c>
      <c r="B99" s="295" t="s">
        <v>574</v>
      </c>
    </row>
    <row r="100" spans="1:2" x14ac:dyDescent="0.25">
      <c r="A100" s="295" t="s">
        <v>49</v>
      </c>
      <c r="B100" s="295" t="s">
        <v>572</v>
      </c>
    </row>
    <row r="101" spans="1:2" x14ac:dyDescent="0.25">
      <c r="A101" s="295" t="s">
        <v>345</v>
      </c>
      <c r="B101" s="295" t="s">
        <v>573</v>
      </c>
    </row>
    <row r="102" spans="1:2" x14ac:dyDescent="0.25">
      <c r="A102" s="295" t="s">
        <v>38</v>
      </c>
      <c r="B102" s="295" t="s">
        <v>576</v>
      </c>
    </row>
    <row r="103" spans="1:2" x14ac:dyDescent="0.25">
      <c r="A103" s="295" t="s">
        <v>25</v>
      </c>
      <c r="B103" s="295" t="s">
        <v>576</v>
      </c>
    </row>
    <row r="104" spans="1:2" x14ac:dyDescent="0.25">
      <c r="A104" s="295" t="s">
        <v>224</v>
      </c>
      <c r="B104" s="295" t="s">
        <v>576</v>
      </c>
    </row>
    <row r="105" spans="1:2" x14ac:dyDescent="0.25">
      <c r="A105" s="295" t="s">
        <v>409</v>
      </c>
      <c r="B105" s="295" t="s">
        <v>576</v>
      </c>
    </row>
    <row r="106" spans="1:2" x14ac:dyDescent="0.25">
      <c r="A106" s="295" t="s">
        <v>39</v>
      </c>
      <c r="B106" s="295" t="s">
        <v>576</v>
      </c>
    </row>
    <row r="107" spans="1:2" x14ac:dyDescent="0.25">
      <c r="A107" s="295" t="s">
        <v>198</v>
      </c>
      <c r="B107" s="295" t="s">
        <v>574</v>
      </c>
    </row>
    <row r="108" spans="1:2" x14ac:dyDescent="0.25">
      <c r="A108" s="295" t="s">
        <v>333</v>
      </c>
      <c r="B108" s="295" t="s">
        <v>572</v>
      </c>
    </row>
    <row r="109" spans="1:2" x14ac:dyDescent="0.25">
      <c r="A109" s="295" t="s">
        <v>81</v>
      </c>
      <c r="B109" s="295" t="s">
        <v>572</v>
      </c>
    </row>
    <row r="110" spans="1:2" x14ac:dyDescent="0.25">
      <c r="A110" s="295" t="s">
        <v>139</v>
      </c>
      <c r="B110" s="295" t="s">
        <v>577</v>
      </c>
    </row>
    <row r="111" spans="1:2" x14ac:dyDescent="0.25">
      <c r="A111" s="295" t="s">
        <v>381</v>
      </c>
      <c r="B111" s="295" t="s">
        <v>572</v>
      </c>
    </row>
    <row r="112" spans="1:2" x14ac:dyDescent="0.25">
      <c r="A112" s="295" t="s">
        <v>80</v>
      </c>
      <c r="B112" s="295" t="s">
        <v>0</v>
      </c>
    </row>
    <row r="113" spans="1:2" x14ac:dyDescent="0.25">
      <c r="A113" s="295" t="s">
        <v>254</v>
      </c>
      <c r="B113" s="295" t="s">
        <v>576</v>
      </c>
    </row>
    <row r="114" spans="1:2" x14ac:dyDescent="0.25">
      <c r="A114" s="295" t="s">
        <v>166</v>
      </c>
      <c r="B114" s="295" t="s">
        <v>571</v>
      </c>
    </row>
    <row r="115" spans="1:2" x14ac:dyDescent="0.25">
      <c r="A115" s="295" t="s">
        <v>324</v>
      </c>
      <c r="B115" s="295" t="s">
        <v>571</v>
      </c>
    </row>
    <row r="116" spans="1:2" x14ac:dyDescent="0.25">
      <c r="A116" s="295" t="s">
        <v>219</v>
      </c>
      <c r="B116" s="295" t="s">
        <v>576</v>
      </c>
    </row>
    <row r="117" spans="1:2" x14ac:dyDescent="0.25">
      <c r="A117" s="295" t="s">
        <v>250</v>
      </c>
      <c r="B117" s="295" t="s">
        <v>575</v>
      </c>
    </row>
    <row r="118" spans="1:2" x14ac:dyDescent="0.25">
      <c r="A118" s="295" t="s">
        <v>24</v>
      </c>
      <c r="B118" s="295" t="s">
        <v>574</v>
      </c>
    </row>
    <row r="119" spans="1:2" x14ac:dyDescent="0.25">
      <c r="A119" s="295" t="s">
        <v>319</v>
      </c>
      <c r="B119" s="295" t="s">
        <v>573</v>
      </c>
    </row>
    <row r="120" spans="1:2" x14ac:dyDescent="0.25">
      <c r="A120" s="295" t="s">
        <v>278</v>
      </c>
      <c r="B120" s="295" t="s">
        <v>572</v>
      </c>
    </row>
    <row r="121" spans="1:2" x14ac:dyDescent="0.25">
      <c r="A121" s="295" t="s">
        <v>355</v>
      </c>
      <c r="B121" s="295" t="s">
        <v>571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2" tint="-0.249977111117893"/>
  </sheetPr>
  <dimension ref="A1:U463"/>
  <sheetViews>
    <sheetView zoomScale="81" zoomScaleNormal="75" workbookViewId="0">
      <pane xSplit="1" ySplit="1" topLeftCell="B33" activePane="bottomRight" state="frozen"/>
      <selection sqref="A1:XFD1"/>
      <selection pane="topRight" sqref="A1:XFD1"/>
      <selection pane="bottomLeft" sqref="A1:XFD1"/>
      <selection pane="bottomRight" activeCell="A64" sqref="A64"/>
    </sheetView>
  </sheetViews>
  <sheetFormatPr defaultRowHeight="15" x14ac:dyDescent="0.25"/>
  <cols>
    <col min="1" max="1" width="34.85546875" bestFit="1" customWidth="1"/>
    <col min="2" max="2" width="31.85546875" style="6" bestFit="1" customWidth="1"/>
    <col min="3" max="3" width="62.28515625" style="6" customWidth="1"/>
    <col min="4" max="5" width="29.42578125" style="9" customWidth="1"/>
    <col min="6" max="6" width="11.28515625" style="9" customWidth="1"/>
    <col min="7" max="7" width="30.5703125" style="9" customWidth="1"/>
    <col min="8" max="8" width="29.42578125" style="92" bestFit="1" customWidth="1"/>
    <col min="9" max="9" width="25" style="182" bestFit="1" customWidth="1"/>
    <col min="10" max="10" width="19.5703125" style="84" bestFit="1" customWidth="1"/>
    <col min="11" max="11" width="31.5703125" style="8" bestFit="1" customWidth="1"/>
    <col min="12" max="12" width="27.5703125" style="54" bestFit="1" customWidth="1"/>
    <col min="13" max="13" width="22.5703125" style="84" bestFit="1" customWidth="1"/>
    <col min="14" max="14" width="23.85546875" style="1" bestFit="1" customWidth="1"/>
    <col min="15" max="15" width="19" style="113" bestFit="1" customWidth="1"/>
    <col min="16" max="16" width="20.85546875" style="88" bestFit="1" customWidth="1"/>
    <col min="17" max="17" width="21.42578125" style="53" customWidth="1"/>
    <col min="18" max="18" width="27.42578125" bestFit="1" customWidth="1"/>
    <col min="21" max="21" width="19.140625" hidden="1" customWidth="1"/>
  </cols>
  <sheetData>
    <row r="1" spans="1:21" ht="60" customHeight="1" x14ac:dyDescent="0.25">
      <c r="A1" s="119" t="s">
        <v>389</v>
      </c>
      <c r="B1" s="119" t="s">
        <v>182</v>
      </c>
      <c r="C1" s="120" t="s">
        <v>474</v>
      </c>
      <c r="D1" s="121" t="s">
        <v>481</v>
      </c>
      <c r="E1" s="122" t="s">
        <v>482</v>
      </c>
      <c r="F1" s="122" t="s">
        <v>483</v>
      </c>
      <c r="G1" s="122" t="s">
        <v>480</v>
      </c>
      <c r="H1" s="123" t="s">
        <v>486</v>
      </c>
      <c r="I1" s="124" t="s">
        <v>422</v>
      </c>
      <c r="J1" s="125" t="s">
        <v>421</v>
      </c>
      <c r="K1" s="126" t="s">
        <v>424</v>
      </c>
      <c r="L1" s="110" t="s">
        <v>426</v>
      </c>
      <c r="M1" s="85" t="s">
        <v>484</v>
      </c>
      <c r="N1" s="65" t="s">
        <v>476</v>
      </c>
      <c r="O1" s="114" t="s">
        <v>477</v>
      </c>
      <c r="P1" s="89" t="s">
        <v>485</v>
      </c>
      <c r="Q1" s="66" t="s">
        <v>479</v>
      </c>
      <c r="U1" s="56" t="s">
        <v>423</v>
      </c>
    </row>
    <row r="2" spans="1:21" x14ac:dyDescent="0.25">
      <c r="A2" s="55" t="s">
        <v>235</v>
      </c>
      <c r="B2" s="55" t="s">
        <v>0</v>
      </c>
      <c r="C2" s="42" t="str">
        <f t="shared" ref="C2:C66" si="0">A2&amp;"|"&amp;B2</f>
        <v>Total|</v>
      </c>
      <c r="D2" s="72">
        <v>6303001.7915319996</v>
      </c>
      <c r="E2" s="80">
        <v>5917790.3440389996</v>
      </c>
      <c r="F2" s="81">
        <v>-6.1115999999999997E-2</v>
      </c>
      <c r="G2" s="80">
        <v>1225228.6021360001</v>
      </c>
      <c r="H2" s="93">
        <v>7528230.3936679997</v>
      </c>
      <c r="I2" s="177">
        <f>SUMIF(B3:B462,"&lt;&gt;",I3:I462)</f>
        <v>7085209.6206939789</v>
      </c>
      <c r="J2" s="96">
        <f>IFERROR((I2/H2)-1,0)</f>
        <v>-5.8847929700271417E-2</v>
      </c>
      <c r="K2" s="77">
        <f>L2/I2</f>
        <v>3.3584263768007237E-2</v>
      </c>
      <c r="L2" s="111">
        <f>SUMIF(B3:B462,"&lt;&gt;",L3:L462)</f>
        <v>237951.54875300909</v>
      </c>
      <c r="M2" s="86">
        <f>J2-K2</f>
        <v>-9.2432193468278662E-2</v>
      </c>
      <c r="N2" s="78">
        <f>O2/H2</f>
        <v>2.0818311925272722E-2</v>
      </c>
      <c r="O2" s="115">
        <f>SUMIF(B3:B462,"&lt;&gt;",O3:O462)</f>
        <v>156725.04858069908</v>
      </c>
      <c r="P2" s="90">
        <f>J2-N2</f>
        <v>-7.9666241625544143E-2</v>
      </c>
      <c r="Q2" s="79">
        <f t="shared" ref="Q2:Q18" si="1">P2-M2</f>
        <v>1.2765951842734519E-2</v>
      </c>
      <c r="U2" s="76" t="e">
        <f>SUMIF(B3:B462,"&lt;&gt;",U3:U462)</f>
        <v>#VALUE!</v>
      </c>
    </row>
    <row r="3" spans="1:21" x14ac:dyDescent="0.25">
      <c r="A3" s="98" t="s">
        <v>390</v>
      </c>
      <c r="B3" s="99"/>
      <c r="C3" s="42" t="str">
        <f t="shared" si="0"/>
        <v>Constellation Brands|</v>
      </c>
      <c r="D3" s="73">
        <v>2337400.794822</v>
      </c>
      <c r="E3" s="82">
        <v>2202559.0969969998</v>
      </c>
      <c r="F3" s="83">
        <v>-5.7688999999999997E-2</v>
      </c>
      <c r="G3" s="82">
        <v>443051.99695599999</v>
      </c>
      <c r="H3" s="100">
        <v>2780452.7917780001</v>
      </c>
      <c r="I3" s="177">
        <f>((G3*F3)+G3)+E3</f>
        <v>2620051.8673006049</v>
      </c>
      <c r="J3" s="96">
        <f t="shared" ref="J3:J66" si="2">IFERROR((I3/H3)-1,0)</f>
        <v>-5.7688778227672932E-2</v>
      </c>
      <c r="K3" s="101">
        <f>_xlfn.XLOOKUP(C3,'2025 Goal Data'!C:C,'2025 Goal Data'!F:F,"")</f>
        <v>4.5978764228811884E-2</v>
      </c>
      <c r="L3" s="112">
        <f>IFERROR(K3*H3,0)</f>
        <v>127841.78336250245</v>
      </c>
      <c r="M3" s="102">
        <f>IFERROR(J3-K3,0)</f>
        <v>-0.10366754245648482</v>
      </c>
      <c r="N3" s="103">
        <f>_xlfn.XLOOKUP(C3,'2025 Goal Data'!C:C,'2025 Goal Data'!I:I,"")</f>
        <v>4.5978764228811884E-2</v>
      </c>
      <c r="O3" s="116">
        <f>IFERROR(N3*H3,0)</f>
        <v>127841.78336250245</v>
      </c>
      <c r="P3" s="104">
        <f>IFERROR(J3-N3,0)</f>
        <v>-0.10366754245648482</v>
      </c>
      <c r="Q3" s="67">
        <f t="shared" si="1"/>
        <v>0</v>
      </c>
      <c r="U3" s="57">
        <f>SUMIF(B:B,A3,K:K)</f>
        <v>1.2090000000000005</v>
      </c>
    </row>
    <row r="4" spans="1:21" x14ac:dyDescent="0.25">
      <c r="A4" s="2" t="s">
        <v>259</v>
      </c>
      <c r="B4" s="2" t="s">
        <v>390</v>
      </c>
      <c r="C4" s="42" t="str">
        <f t="shared" si="0"/>
        <v>Corona Extra|Constellation Brands</v>
      </c>
      <c r="D4" s="74">
        <v>1103390.0815910001</v>
      </c>
      <c r="E4" s="1">
        <v>1021813.6088320001</v>
      </c>
      <c r="F4" s="3">
        <v>-7.3932999999999999E-2</v>
      </c>
      <c r="G4" s="1">
        <v>212042.89342499999</v>
      </c>
      <c r="H4" s="94">
        <v>1315432.975016</v>
      </c>
      <c r="I4" s="178">
        <f t="shared" ref="I4:I66" si="3">((G4*F4)+G4)+E4</f>
        <v>1218179.5350174096</v>
      </c>
      <c r="J4" s="96">
        <f t="shared" si="2"/>
        <v>-7.3932645635105376E-2</v>
      </c>
      <c r="K4" s="59">
        <f>_xlfn.XLOOKUP(C4,'2025 Goal Data'!C:C,'2025 Goal Data'!F:F,"")</f>
        <v>0.01</v>
      </c>
      <c r="L4" s="54">
        <f t="shared" ref="L4:L67" si="4">IFERROR(K4*H4,0)</f>
        <v>13154.329750160001</v>
      </c>
      <c r="M4" s="87">
        <f t="shared" ref="M4:M67" si="5">IFERROR(J4-K4,0)</f>
        <v>-8.3932645635105371E-2</v>
      </c>
      <c r="N4" s="68">
        <f>_xlfn.XLOOKUP(C4,'2025 Goal Data'!C:C,'2025 Goal Data'!I:I,"")</f>
        <v>0.01</v>
      </c>
      <c r="O4" s="117">
        <f>IFERROR(N4*H4,0)</f>
        <v>13154.329750160001</v>
      </c>
      <c r="P4" s="91">
        <f>IFERROR(J4-N4,0)</f>
        <v>-8.3932645635105371E-2</v>
      </c>
      <c r="Q4" s="69">
        <f t="shared" si="1"/>
        <v>0</v>
      </c>
      <c r="U4" s="58">
        <f t="shared" ref="U4:U18" si="6">(H4*K4)+H4</f>
        <v>1328587.30476616</v>
      </c>
    </row>
    <row r="5" spans="1:21" x14ac:dyDescent="0.25">
      <c r="A5" s="2" t="s">
        <v>105</v>
      </c>
      <c r="B5" s="2" t="s">
        <v>390</v>
      </c>
      <c r="C5" s="42" t="str">
        <f t="shared" si="0"/>
        <v>Modelo Especial|Constellation Brands</v>
      </c>
      <c r="D5" s="74">
        <v>938653.52542700002</v>
      </c>
      <c r="E5" s="1">
        <v>884213.55138700001</v>
      </c>
      <c r="F5" s="3">
        <v>-5.7998000000000001E-2</v>
      </c>
      <c r="G5" s="1">
        <v>180140.04923599999</v>
      </c>
      <c r="H5" s="94">
        <v>1118793.5746629999</v>
      </c>
      <c r="I5" s="178">
        <f t="shared" si="3"/>
        <v>1053905.8380474104</v>
      </c>
      <c r="J5" s="96">
        <f t="shared" si="2"/>
        <v>-5.7997952513389128E-2</v>
      </c>
      <c r="K5" s="59">
        <f>_xlfn.XLOOKUP(C5,'2025 Goal Data'!C:C,'2025 Goal Data'!F:F,"")</f>
        <v>7.4999999999999997E-2</v>
      </c>
      <c r="L5" s="54">
        <f t="shared" si="4"/>
        <v>83909.518099724999</v>
      </c>
      <c r="M5" s="87">
        <f t="shared" si="5"/>
        <v>-0.13299795251338914</v>
      </c>
      <c r="N5" s="68">
        <f>_xlfn.XLOOKUP(C5,'2025 Goal Data'!C:C,'2025 Goal Data'!I:I,"")</f>
        <v>7.4999999999999997E-2</v>
      </c>
      <c r="O5" s="117">
        <f t="shared" ref="O5:O68" si="7">IFERROR(N5*H5,0)</f>
        <v>83909.518099724999</v>
      </c>
      <c r="P5" s="91">
        <f t="shared" ref="P5:P68" si="8">IFERROR(J5-N5,0)</f>
        <v>-0.13299795251338914</v>
      </c>
      <c r="Q5" s="69">
        <f t="shared" si="1"/>
        <v>0</v>
      </c>
      <c r="U5" s="58">
        <f t="shared" si="6"/>
        <v>1202703.092762725</v>
      </c>
    </row>
    <row r="6" spans="1:21" x14ac:dyDescent="0.25">
      <c r="A6" s="2" t="s">
        <v>339</v>
      </c>
      <c r="B6" s="2" t="s">
        <v>390</v>
      </c>
      <c r="C6" s="42" t="str">
        <f t="shared" si="0"/>
        <v>Modelo Chelada|Constellation Brands</v>
      </c>
      <c r="D6" s="74">
        <v>67041</v>
      </c>
      <c r="E6" s="1">
        <v>72122.333276000005</v>
      </c>
      <c r="F6" s="3">
        <v>7.5794E-2</v>
      </c>
      <c r="G6" s="1">
        <v>11074</v>
      </c>
      <c r="H6" s="94">
        <v>78115</v>
      </c>
      <c r="I6" s="178">
        <f t="shared" si="3"/>
        <v>84035.676032000003</v>
      </c>
      <c r="J6" s="96">
        <f t="shared" si="2"/>
        <v>7.5794354887025683E-2</v>
      </c>
      <c r="K6" s="59">
        <f>_xlfn.XLOOKUP(C6,'2025 Goal Data'!C:C,'2025 Goal Data'!F:F,"")</f>
        <v>0.1</v>
      </c>
      <c r="L6" s="54">
        <f t="shared" si="4"/>
        <v>7811.5</v>
      </c>
      <c r="M6" s="87">
        <f t="shared" si="5"/>
        <v>-2.4205645112974322E-2</v>
      </c>
      <c r="N6" s="68">
        <f>_xlfn.XLOOKUP(C6,'2025 Goal Data'!C:C,'2025 Goal Data'!I:I,"")</f>
        <v>0.1</v>
      </c>
      <c r="O6" s="117">
        <f t="shared" si="7"/>
        <v>7811.5</v>
      </c>
      <c r="P6" s="91">
        <f t="shared" si="8"/>
        <v>-2.4205645112974322E-2</v>
      </c>
      <c r="Q6" s="69">
        <f t="shared" si="1"/>
        <v>0</v>
      </c>
      <c r="U6" s="58">
        <f t="shared" si="6"/>
        <v>85926.5</v>
      </c>
    </row>
    <row r="7" spans="1:21" x14ac:dyDescent="0.25">
      <c r="A7" s="2" t="s">
        <v>214</v>
      </c>
      <c r="B7" s="2" t="s">
        <v>390</v>
      </c>
      <c r="C7" s="42" t="str">
        <f t="shared" si="0"/>
        <v>Victoria|Constellation Brands</v>
      </c>
      <c r="D7" s="74">
        <v>46862.331162000002</v>
      </c>
      <c r="E7" s="1">
        <v>51385.664205000001</v>
      </c>
      <c r="F7" s="3">
        <v>9.6523999999999999E-2</v>
      </c>
      <c r="G7" s="1">
        <v>9363.9996690000007</v>
      </c>
      <c r="H7" s="94">
        <v>56226.330830999999</v>
      </c>
      <c r="I7" s="178">
        <f t="shared" si="3"/>
        <v>61653.514578050555</v>
      </c>
      <c r="J7" s="96">
        <f t="shared" si="2"/>
        <v>9.65238824379826E-2</v>
      </c>
      <c r="K7" s="59">
        <f>_xlfn.XLOOKUP(C7,'2025 Goal Data'!C:C,'2025 Goal Data'!F:F,"")</f>
        <v>0.24</v>
      </c>
      <c r="L7" s="54">
        <f t="shared" si="4"/>
        <v>13494.319399439999</v>
      </c>
      <c r="M7" s="87">
        <f t="shared" si="5"/>
        <v>-0.14347611756201739</v>
      </c>
      <c r="N7" s="68">
        <f>_xlfn.XLOOKUP(C7,'2025 Goal Data'!C:C,'2025 Goal Data'!I:I,"")</f>
        <v>0.24</v>
      </c>
      <c r="O7" s="117">
        <f t="shared" si="7"/>
        <v>13494.319399439999</v>
      </c>
      <c r="P7" s="91">
        <f t="shared" si="8"/>
        <v>-0.14347611756201739</v>
      </c>
      <c r="Q7" s="69">
        <f t="shared" si="1"/>
        <v>0</v>
      </c>
      <c r="U7" s="58">
        <f t="shared" si="6"/>
        <v>69720.650230439991</v>
      </c>
    </row>
    <row r="8" spans="1:21" x14ac:dyDescent="0.25">
      <c r="A8" s="2" t="s">
        <v>371</v>
      </c>
      <c r="B8" s="2" t="s">
        <v>390</v>
      </c>
      <c r="C8" s="42" t="str">
        <f t="shared" si="0"/>
        <v>Corona Light|Constellation Brands</v>
      </c>
      <c r="D8" s="74">
        <v>50415</v>
      </c>
      <c r="E8" s="1">
        <v>42478</v>
      </c>
      <c r="F8" s="3">
        <v>-0.15743299999999999</v>
      </c>
      <c r="G8" s="1">
        <v>7491</v>
      </c>
      <c r="H8" s="94">
        <v>57906</v>
      </c>
      <c r="I8" s="178">
        <f t="shared" si="3"/>
        <v>48789.669396999998</v>
      </c>
      <c r="J8" s="96">
        <f t="shared" si="2"/>
        <v>-0.15743326430767113</v>
      </c>
      <c r="K8" s="59">
        <f>_xlfn.XLOOKUP(C8,'2025 Goal Data'!C:C,'2025 Goal Data'!F:F,"")</f>
        <v>-0.09</v>
      </c>
      <c r="L8" s="54">
        <f t="shared" si="4"/>
        <v>-5211.54</v>
      </c>
      <c r="M8" s="87">
        <f t="shared" si="5"/>
        <v>-6.7433264307671131E-2</v>
      </c>
      <c r="N8" s="68">
        <f>_xlfn.XLOOKUP(C8,'2025 Goal Data'!C:C,'2025 Goal Data'!I:I,"")</f>
        <v>-0.09</v>
      </c>
      <c r="O8" s="117">
        <f t="shared" si="7"/>
        <v>-5211.54</v>
      </c>
      <c r="P8" s="91">
        <f t="shared" si="8"/>
        <v>-6.7433264307671131E-2</v>
      </c>
      <c r="Q8" s="69">
        <f t="shared" si="1"/>
        <v>0</v>
      </c>
      <c r="U8" s="58">
        <f t="shared" si="6"/>
        <v>52694.46</v>
      </c>
    </row>
    <row r="9" spans="1:21" x14ac:dyDescent="0.25">
      <c r="A9" s="2" t="s">
        <v>308</v>
      </c>
      <c r="B9" s="2" t="s">
        <v>390</v>
      </c>
      <c r="C9" s="42" t="str">
        <f t="shared" si="0"/>
        <v>Corona Familiar|Constellation Brands</v>
      </c>
      <c r="D9" s="74">
        <v>26843.995702</v>
      </c>
      <c r="E9" s="1">
        <v>29423.328385000001</v>
      </c>
      <c r="F9" s="3">
        <v>9.6086000000000005E-2</v>
      </c>
      <c r="G9" s="1">
        <v>5566.3324439999997</v>
      </c>
      <c r="H9" s="94">
        <v>32410.328146</v>
      </c>
      <c r="I9" s="178">
        <f t="shared" si="3"/>
        <v>35524.507448214186</v>
      </c>
      <c r="J9" s="96">
        <f t="shared" si="2"/>
        <v>9.6086015796743141E-2</v>
      </c>
      <c r="K9" s="59">
        <f>_xlfn.XLOOKUP(C9,'2025 Goal Data'!C:C,'2025 Goal Data'!F:F,"")</f>
        <v>0.04</v>
      </c>
      <c r="L9" s="54">
        <f t="shared" si="4"/>
        <v>1296.41312584</v>
      </c>
      <c r="M9" s="87">
        <f t="shared" si="5"/>
        <v>5.608601579674314E-2</v>
      </c>
      <c r="N9" s="68">
        <f>_xlfn.XLOOKUP(C9,'2025 Goal Data'!C:C,'2025 Goal Data'!I:I,"")</f>
        <v>0.04</v>
      </c>
      <c r="O9" s="117">
        <f t="shared" si="7"/>
        <v>1296.41312584</v>
      </c>
      <c r="P9" s="91">
        <f t="shared" si="8"/>
        <v>5.608601579674314E-2</v>
      </c>
      <c r="Q9" s="69">
        <f t="shared" si="1"/>
        <v>0</v>
      </c>
      <c r="U9" s="58">
        <f t="shared" si="6"/>
        <v>33706.741271840001</v>
      </c>
    </row>
    <row r="10" spans="1:21" x14ac:dyDescent="0.25">
      <c r="A10" s="2" t="s">
        <v>84</v>
      </c>
      <c r="B10" s="2" t="s">
        <v>390</v>
      </c>
      <c r="C10" s="42" t="str">
        <f t="shared" si="0"/>
        <v>Corona Premier|Constellation Brands</v>
      </c>
      <c r="D10" s="74">
        <v>32719.972183999998</v>
      </c>
      <c r="E10" s="1">
        <v>28314.277742999999</v>
      </c>
      <c r="F10" s="3">
        <v>-0.13464799999999999</v>
      </c>
      <c r="G10" s="1">
        <v>5401.9444320000002</v>
      </c>
      <c r="H10" s="94">
        <v>38121.916616000002</v>
      </c>
      <c r="I10" s="178">
        <f t="shared" si="3"/>
        <v>32988.861161120061</v>
      </c>
      <c r="J10" s="96">
        <f t="shared" si="2"/>
        <v>-0.13464840990511917</v>
      </c>
      <c r="K10" s="59">
        <f>_xlfn.XLOOKUP(C10,'2025 Goal Data'!C:C,'2025 Goal Data'!F:F,"")</f>
        <v>-0.09</v>
      </c>
      <c r="L10" s="54">
        <f t="shared" si="4"/>
        <v>-3430.9724954399999</v>
      </c>
      <c r="M10" s="87">
        <f t="shared" si="5"/>
        <v>-4.4648409905119174E-2</v>
      </c>
      <c r="N10" s="68">
        <f>_xlfn.XLOOKUP(C10,'2025 Goal Data'!C:C,'2025 Goal Data'!I:I,"")</f>
        <v>-0.09</v>
      </c>
      <c r="O10" s="117">
        <f t="shared" si="7"/>
        <v>-3430.9724954399999</v>
      </c>
      <c r="P10" s="91">
        <f t="shared" si="8"/>
        <v>-4.4648409905119174E-2</v>
      </c>
      <c r="Q10" s="69">
        <f t="shared" si="1"/>
        <v>0</v>
      </c>
      <c r="U10" s="58">
        <f t="shared" si="6"/>
        <v>34690.944120560001</v>
      </c>
    </row>
    <row r="11" spans="1:21" x14ac:dyDescent="0.25">
      <c r="A11" s="2" t="s">
        <v>340</v>
      </c>
      <c r="B11" s="2" t="s">
        <v>390</v>
      </c>
      <c r="C11" s="42" t="str">
        <f t="shared" si="0"/>
        <v>Pacifico|Constellation Brands</v>
      </c>
      <c r="D11" s="74">
        <v>23451.111018</v>
      </c>
      <c r="E11" s="1">
        <v>27865.555437999999</v>
      </c>
      <c r="F11" s="3">
        <v>0.18823999999999999</v>
      </c>
      <c r="G11" s="1">
        <v>4383.2222019999999</v>
      </c>
      <c r="H11" s="94">
        <v>27834.33322</v>
      </c>
      <c r="I11" s="178">
        <f t="shared" si="3"/>
        <v>33073.875387304477</v>
      </c>
      <c r="J11" s="96">
        <f t="shared" si="2"/>
        <v>0.18824026161832652</v>
      </c>
      <c r="K11" s="59">
        <f>_xlfn.XLOOKUP(C11,'2025 Goal Data'!C:C,'2025 Goal Data'!F:F,"")</f>
        <v>0.26</v>
      </c>
      <c r="L11" s="54">
        <f t="shared" si="4"/>
        <v>7236.9266372000002</v>
      </c>
      <c r="M11" s="87">
        <f t="shared" si="5"/>
        <v>-7.1759738381673488E-2</v>
      </c>
      <c r="N11" s="68">
        <f>_xlfn.XLOOKUP(C11,'2025 Goal Data'!C:C,'2025 Goal Data'!I:I,"")</f>
        <v>0.26</v>
      </c>
      <c r="O11" s="117">
        <f t="shared" si="7"/>
        <v>7236.9266372000002</v>
      </c>
      <c r="P11" s="91">
        <f t="shared" si="8"/>
        <v>-7.1759738381673488E-2</v>
      </c>
      <c r="Q11" s="69">
        <f t="shared" si="1"/>
        <v>0</v>
      </c>
      <c r="U11" s="58">
        <f t="shared" si="6"/>
        <v>35071.259857199999</v>
      </c>
    </row>
    <row r="12" spans="1:21" x14ac:dyDescent="0.25">
      <c r="A12" s="2" t="s">
        <v>309</v>
      </c>
      <c r="B12" s="2" t="s">
        <v>390</v>
      </c>
      <c r="C12" s="42" t="str">
        <f t="shared" si="0"/>
        <v>Modelo Negra|Constellation Brands</v>
      </c>
      <c r="D12" s="74">
        <v>22232.777738000001</v>
      </c>
      <c r="E12" s="1">
        <v>20881.777730999998</v>
      </c>
      <c r="F12" s="3">
        <v>-6.0766000000000001E-2</v>
      </c>
      <c r="G12" s="1">
        <v>4382.5555480000003</v>
      </c>
      <c r="H12" s="94">
        <v>26615.333286000001</v>
      </c>
      <c r="I12" s="178">
        <f t="shared" si="3"/>
        <v>24998.02290857023</v>
      </c>
      <c r="J12" s="96">
        <f t="shared" si="2"/>
        <v>-6.0766114030985863E-2</v>
      </c>
      <c r="K12" s="59">
        <f>_xlfn.XLOOKUP(C12,'2025 Goal Data'!C:C,'2025 Goal Data'!F:F,"")</f>
        <v>0.05</v>
      </c>
      <c r="L12" s="54">
        <f t="shared" si="4"/>
        <v>1330.7666643000002</v>
      </c>
      <c r="M12" s="87">
        <f t="shared" si="5"/>
        <v>-0.11076611403098587</v>
      </c>
      <c r="N12" s="68">
        <f>_xlfn.XLOOKUP(C12,'2025 Goal Data'!C:C,'2025 Goal Data'!I:I,"")</f>
        <v>0.05</v>
      </c>
      <c r="O12" s="117">
        <f t="shared" si="7"/>
        <v>1330.7666643000002</v>
      </c>
      <c r="P12" s="91">
        <f t="shared" si="8"/>
        <v>-0.11076611403098587</v>
      </c>
      <c r="Q12" s="69">
        <f t="shared" si="1"/>
        <v>0</v>
      </c>
      <c r="U12" s="58">
        <f t="shared" si="6"/>
        <v>27946.099950300002</v>
      </c>
    </row>
    <row r="13" spans="1:21" x14ac:dyDescent="0.25">
      <c r="A13" s="2" t="s">
        <v>183</v>
      </c>
      <c r="B13" s="2" t="s">
        <v>390</v>
      </c>
      <c r="C13" s="42" t="str">
        <f t="shared" si="0"/>
        <v>Corona NA|Constellation Brands</v>
      </c>
      <c r="D13" s="74">
        <v>5021</v>
      </c>
      <c r="E13" s="1">
        <v>7213</v>
      </c>
      <c r="F13" s="3">
        <v>0.43656600000000001</v>
      </c>
      <c r="G13" s="1">
        <v>929</v>
      </c>
      <c r="H13" s="94">
        <v>5950</v>
      </c>
      <c r="I13" s="178">
        <f t="shared" si="3"/>
        <v>8547.5698140000004</v>
      </c>
      <c r="J13" s="96">
        <f t="shared" si="2"/>
        <v>0.43656635529411769</v>
      </c>
      <c r="K13" s="59">
        <f>_xlfn.XLOOKUP(C13,'2025 Goal Data'!C:C,'2025 Goal Data'!F:F,"")</f>
        <v>0.6</v>
      </c>
      <c r="L13" s="54">
        <f t="shared" si="4"/>
        <v>3570</v>
      </c>
      <c r="M13" s="87">
        <f t="shared" si="5"/>
        <v>-0.16343364470588229</v>
      </c>
      <c r="N13" s="68">
        <f>_xlfn.XLOOKUP(C13,'2025 Goal Data'!C:C,'2025 Goal Data'!I:I,"")</f>
        <v>0.6</v>
      </c>
      <c r="O13" s="117">
        <f t="shared" si="7"/>
        <v>3570</v>
      </c>
      <c r="P13" s="91">
        <f t="shared" si="8"/>
        <v>-0.16343364470588229</v>
      </c>
      <c r="Q13" s="69">
        <f t="shared" si="1"/>
        <v>0</v>
      </c>
      <c r="U13" s="58">
        <f t="shared" si="6"/>
        <v>9520</v>
      </c>
    </row>
    <row r="14" spans="1:21" x14ac:dyDescent="0.25">
      <c r="A14" s="2" t="s">
        <v>184</v>
      </c>
      <c r="B14" s="2" t="s">
        <v>390</v>
      </c>
      <c r="C14" s="42" t="str">
        <f t="shared" si="0"/>
        <v>Modelo Oro|Constellation Brands</v>
      </c>
      <c r="D14" s="74">
        <v>5532</v>
      </c>
      <c r="E14" s="1">
        <v>4707</v>
      </c>
      <c r="F14" s="3">
        <v>-0.14913199999999999</v>
      </c>
      <c r="G14" s="1">
        <v>818</v>
      </c>
      <c r="H14" s="94">
        <v>6350</v>
      </c>
      <c r="I14" s="178">
        <f t="shared" si="3"/>
        <v>5403.0100240000002</v>
      </c>
      <c r="J14" s="96">
        <f t="shared" si="2"/>
        <v>-0.14913227968503939</v>
      </c>
      <c r="K14" s="59">
        <f>_xlfn.XLOOKUP(C14,'2025 Goal Data'!C:C,'2025 Goal Data'!F:F,"")</f>
        <v>0.2</v>
      </c>
      <c r="L14" s="54">
        <f t="shared" si="4"/>
        <v>1270</v>
      </c>
      <c r="M14" s="87">
        <f t="shared" si="5"/>
        <v>-0.3491322796850394</v>
      </c>
      <c r="N14" s="68">
        <f>_xlfn.XLOOKUP(C14,'2025 Goal Data'!C:C,'2025 Goal Data'!I:I,"")</f>
        <v>0.2</v>
      </c>
      <c r="O14" s="117">
        <f t="shared" si="7"/>
        <v>1270</v>
      </c>
      <c r="P14" s="91">
        <f t="shared" si="8"/>
        <v>-0.3491322796850394</v>
      </c>
      <c r="Q14" s="69">
        <f t="shared" si="1"/>
        <v>0</v>
      </c>
      <c r="U14" s="58">
        <f t="shared" si="6"/>
        <v>7620</v>
      </c>
    </row>
    <row r="15" spans="1:21" x14ac:dyDescent="0.25">
      <c r="A15" s="2" t="s">
        <v>157</v>
      </c>
      <c r="B15" s="2" t="s">
        <v>390</v>
      </c>
      <c r="C15" s="42" t="str">
        <f t="shared" si="0"/>
        <v>Corona Sunbrew|Constellation Brands</v>
      </c>
      <c r="D15" s="74">
        <v>4525</v>
      </c>
      <c r="E15" s="1">
        <v>8444</v>
      </c>
      <c r="F15" s="3">
        <v>0.86607699999999999</v>
      </c>
      <c r="G15" s="1">
        <v>701</v>
      </c>
      <c r="H15" s="94">
        <v>5226</v>
      </c>
      <c r="I15" s="178">
        <f t="shared" si="3"/>
        <v>9752.1199770000003</v>
      </c>
      <c r="J15" s="96">
        <f t="shared" si="2"/>
        <v>0.86607730137772676</v>
      </c>
      <c r="K15" s="59">
        <f>_xlfn.XLOOKUP(C15,'2025 Goal Data'!C:C,'2025 Goal Data'!F:F,"")</f>
        <v>1.6</v>
      </c>
      <c r="L15" s="54">
        <f t="shared" si="4"/>
        <v>8361.6</v>
      </c>
      <c r="M15" s="87">
        <f t="shared" si="5"/>
        <v>-0.73392269862227333</v>
      </c>
      <c r="N15" s="68">
        <f>_xlfn.XLOOKUP(C15,'2025 Goal Data'!C:C,'2025 Goal Data'!I:I,"")</f>
        <v>1.6</v>
      </c>
      <c r="O15" s="117">
        <f t="shared" si="7"/>
        <v>8361.6</v>
      </c>
      <c r="P15" s="91">
        <f t="shared" si="8"/>
        <v>-0.73392269862227333</v>
      </c>
      <c r="Q15" s="69">
        <f t="shared" si="1"/>
        <v>0</v>
      </c>
      <c r="U15" s="58">
        <f t="shared" si="6"/>
        <v>13587.6</v>
      </c>
    </row>
    <row r="16" spans="1:21" x14ac:dyDescent="0.25">
      <c r="A16" s="2" t="s">
        <v>28</v>
      </c>
      <c r="B16" s="2" t="s">
        <v>390</v>
      </c>
      <c r="C16" s="42" t="str">
        <f t="shared" si="0"/>
        <v>Corona Refresca|Constellation Brands</v>
      </c>
      <c r="D16" s="74">
        <v>4800</v>
      </c>
      <c r="E16" s="1">
        <v>1093</v>
      </c>
      <c r="F16" s="3">
        <v>-0.77229199999999998</v>
      </c>
      <c r="G16" s="1">
        <v>448</v>
      </c>
      <c r="H16" s="94">
        <v>5248</v>
      </c>
      <c r="I16" s="178">
        <f t="shared" si="3"/>
        <v>1195.0131839999999</v>
      </c>
      <c r="J16" s="96">
        <f t="shared" si="2"/>
        <v>-0.77229169512195117</v>
      </c>
      <c r="K16" s="59">
        <f>_xlfn.XLOOKUP(C16,'2025 Goal Data'!C:C,'2025 Goal Data'!F:F,"")</f>
        <v>-0.8</v>
      </c>
      <c r="L16" s="54">
        <f t="shared" si="4"/>
        <v>-4198.4000000000005</v>
      </c>
      <c r="M16" s="87">
        <f t="shared" si="5"/>
        <v>2.7708304878048873E-2</v>
      </c>
      <c r="N16" s="68">
        <f>_xlfn.XLOOKUP(C16,'2025 Goal Data'!C:C,'2025 Goal Data'!I:I,"")</f>
        <v>-0.8</v>
      </c>
      <c r="O16" s="117">
        <f t="shared" si="7"/>
        <v>-4198.4000000000005</v>
      </c>
      <c r="P16" s="91">
        <f t="shared" si="8"/>
        <v>2.7708304878048873E-2</v>
      </c>
      <c r="Q16" s="69">
        <f t="shared" si="1"/>
        <v>0</v>
      </c>
      <c r="U16" s="58">
        <f t="shared" si="6"/>
        <v>1049.5999999999995</v>
      </c>
    </row>
    <row r="17" spans="1:21" x14ac:dyDescent="0.25">
      <c r="A17" s="2" t="s">
        <v>341</v>
      </c>
      <c r="B17" s="2" t="s">
        <v>390</v>
      </c>
      <c r="C17" s="42" t="str">
        <f t="shared" si="0"/>
        <v>Modelo Aquas Frescas|Constellation Brands</v>
      </c>
      <c r="D17" s="74">
        <v>3607</v>
      </c>
      <c r="E17" s="1">
        <v>1744</v>
      </c>
      <c r="F17" s="3">
        <v>-0.51649599999999996</v>
      </c>
      <c r="G17" s="1">
        <v>233</v>
      </c>
      <c r="H17" s="94">
        <v>3840</v>
      </c>
      <c r="I17" s="178">
        <f t="shared" si="3"/>
        <v>1856.656432</v>
      </c>
      <c r="J17" s="96">
        <f t="shared" si="2"/>
        <v>-0.51649572083333339</v>
      </c>
      <c r="K17" s="59">
        <f>_xlfn.XLOOKUP(C17,'2025 Goal Data'!C:C,'2025 Goal Data'!F:F,"")</f>
        <v>0.184</v>
      </c>
      <c r="L17" s="54">
        <f t="shared" si="4"/>
        <v>706.56</v>
      </c>
      <c r="M17" s="87">
        <f t="shared" si="5"/>
        <v>-0.70049572083333334</v>
      </c>
      <c r="N17" s="68">
        <f>_xlfn.XLOOKUP(C17,'2025 Goal Data'!C:C,'2025 Goal Data'!I:I,"")</f>
        <v>0.184</v>
      </c>
      <c r="O17" s="117">
        <f t="shared" si="7"/>
        <v>706.56</v>
      </c>
      <c r="P17" s="91">
        <f t="shared" si="8"/>
        <v>-0.70049572083333334</v>
      </c>
      <c r="Q17" s="69">
        <f t="shared" si="1"/>
        <v>0</v>
      </c>
      <c r="U17" s="58">
        <f t="shared" si="6"/>
        <v>4546.5599999999995</v>
      </c>
    </row>
    <row r="18" spans="1:21" x14ac:dyDescent="0.25">
      <c r="A18" s="2" t="s">
        <v>236</v>
      </c>
      <c r="B18" s="2" t="s">
        <v>390</v>
      </c>
      <c r="C18" s="42" t="str">
        <f t="shared" si="0"/>
        <v>Fresca Mixed|Constellation Brands</v>
      </c>
      <c r="D18" s="74">
        <v>1036</v>
      </c>
      <c r="E18" s="1">
        <v>509</v>
      </c>
      <c r="F18" s="3">
        <v>-0.508687</v>
      </c>
      <c r="G18" s="1">
        <v>77</v>
      </c>
      <c r="H18" s="94">
        <v>1113</v>
      </c>
      <c r="I18" s="178">
        <f t="shared" si="3"/>
        <v>546.83110099999999</v>
      </c>
      <c r="J18" s="96">
        <f t="shared" si="2"/>
        <v>-0.50868724079065597</v>
      </c>
      <c r="K18" s="59">
        <f>_xlfn.XLOOKUP(C18,'2025 Goal Data'!C:C,'2025 Goal Data'!F:F,"")</f>
        <v>-0.17</v>
      </c>
      <c r="L18" s="54">
        <f t="shared" si="4"/>
        <v>-189.21</v>
      </c>
      <c r="M18" s="87">
        <f t="shared" si="5"/>
        <v>-0.33868724079065593</v>
      </c>
      <c r="N18" s="68">
        <f>_xlfn.XLOOKUP(C18,'2025 Goal Data'!C:C,'2025 Goal Data'!I:I,"")</f>
        <v>-0.17</v>
      </c>
      <c r="O18" s="117">
        <f t="shared" si="7"/>
        <v>-189.21</v>
      </c>
      <c r="P18" s="91">
        <f t="shared" si="8"/>
        <v>-0.33868724079065593</v>
      </c>
      <c r="Q18" s="69">
        <f t="shared" si="1"/>
        <v>0</v>
      </c>
      <c r="U18" s="58">
        <f t="shared" si="6"/>
        <v>923.79</v>
      </c>
    </row>
    <row r="19" spans="1:21" x14ac:dyDescent="0.25">
      <c r="A19" s="2" t="s">
        <v>29</v>
      </c>
      <c r="B19" s="5" t="s">
        <v>390</v>
      </c>
      <c r="C19" s="42" t="str">
        <f t="shared" si="0"/>
        <v>The Drop|Constellation Brands</v>
      </c>
      <c r="D19" s="74">
        <v>0</v>
      </c>
      <c r="E19" s="1">
        <v>351</v>
      </c>
      <c r="F19" s="3">
        <v>1</v>
      </c>
      <c r="G19" s="1">
        <v>0</v>
      </c>
      <c r="H19" s="94">
        <v>0</v>
      </c>
      <c r="I19" s="178">
        <f t="shared" si="3"/>
        <v>351</v>
      </c>
      <c r="J19" s="96">
        <f t="shared" si="2"/>
        <v>0</v>
      </c>
      <c r="K19" s="59" t="s">
        <v>475</v>
      </c>
      <c r="L19" s="54">
        <f t="shared" si="4"/>
        <v>0</v>
      </c>
      <c r="M19" s="87">
        <f t="shared" si="5"/>
        <v>0</v>
      </c>
      <c r="N19" s="68" t="str">
        <f>_xlfn.XLOOKUP(C19,'2025 Goal Data'!C:C,'2025 Goal Data'!I:I,"")</f>
        <v/>
      </c>
      <c r="O19" s="117">
        <f t="shared" si="7"/>
        <v>0</v>
      </c>
      <c r="P19" s="91">
        <f t="shared" si="8"/>
        <v>0</v>
      </c>
      <c r="Q19" s="69" t="s">
        <v>475</v>
      </c>
      <c r="U19" s="58" t="s">
        <v>475</v>
      </c>
    </row>
    <row r="20" spans="1:21" x14ac:dyDescent="0.25">
      <c r="A20" s="128" t="s">
        <v>310</v>
      </c>
      <c r="B20" s="2" t="s">
        <v>390</v>
      </c>
      <c r="C20" s="42" t="str">
        <f t="shared" si="0"/>
        <v>Corona Seltzer|Constellation Brands</v>
      </c>
      <c r="D20" s="74">
        <v>1270</v>
      </c>
      <c r="E20" s="1">
        <v>0</v>
      </c>
      <c r="F20" s="3">
        <v>-1</v>
      </c>
      <c r="G20" s="1">
        <v>0</v>
      </c>
      <c r="H20" s="94">
        <v>1270</v>
      </c>
      <c r="I20" s="178">
        <f t="shared" si="3"/>
        <v>0</v>
      </c>
      <c r="J20" s="96">
        <f t="shared" si="2"/>
        <v>-1</v>
      </c>
      <c r="K20" s="59">
        <f>_xlfn.XLOOKUP(C20,'2025 Goal Data'!C:C,'2025 Goal Data'!F:F,"")</f>
        <v>-1</v>
      </c>
      <c r="L20" s="54">
        <f t="shared" si="4"/>
        <v>-1270</v>
      </c>
      <c r="M20" s="87">
        <f t="shared" si="5"/>
        <v>0</v>
      </c>
      <c r="N20" s="68">
        <f>_xlfn.XLOOKUP(C20,'2025 Goal Data'!C:C,'2025 Goal Data'!I:I,"")</f>
        <v>-1</v>
      </c>
      <c r="O20" s="117">
        <f t="shared" si="7"/>
        <v>-1270</v>
      </c>
      <c r="P20" s="91">
        <f t="shared" si="8"/>
        <v>0</v>
      </c>
      <c r="Q20" s="69">
        <f t="shared" ref="Q20:Q35" si="9">P20-M20</f>
        <v>0</v>
      </c>
      <c r="U20" s="60">
        <f>(H20*K20)+H20</f>
        <v>0</v>
      </c>
    </row>
    <row r="21" spans="1:21" x14ac:dyDescent="0.25">
      <c r="A21" s="98" t="s">
        <v>51</v>
      </c>
      <c r="B21" s="99"/>
      <c r="C21" s="42" t="str">
        <f t="shared" si="0"/>
        <v>MolsonCoors Beverage Company|</v>
      </c>
      <c r="D21" s="73">
        <v>1689282.2797890001</v>
      </c>
      <c r="E21" s="82">
        <v>1556944.496722</v>
      </c>
      <c r="F21" s="83">
        <v>-7.8340000000000007E-2</v>
      </c>
      <c r="G21" s="82">
        <v>343957.89645900001</v>
      </c>
      <c r="H21" s="100">
        <v>2033240.176248</v>
      </c>
      <c r="I21" s="177">
        <f t="shared" si="3"/>
        <v>1873956.7315724019</v>
      </c>
      <c r="J21" s="96">
        <f t="shared" si="2"/>
        <v>-7.8339709462916796E-2</v>
      </c>
      <c r="K21" s="101">
        <f>_xlfn.XLOOKUP(C21,'2025 Goal Data'!C:C,'2025 Goal Data'!F:F,"")</f>
        <v>7.0000000000000001E-3</v>
      </c>
      <c r="L21" s="112">
        <f t="shared" si="4"/>
        <v>14232.681233736001</v>
      </c>
      <c r="M21" s="102">
        <f t="shared" si="5"/>
        <v>-8.5339709462916802E-2</v>
      </c>
      <c r="N21" s="103">
        <f>_xlfn.XLOOKUP(C21,'2025 Goal Data'!C:C,'2025 Goal Data'!I:I,"")</f>
        <v>-1.2399729104584417E-2</v>
      </c>
      <c r="O21" s="116">
        <f t="shared" si="7"/>
        <v>-25211.627390032678</v>
      </c>
      <c r="P21" s="104">
        <f t="shared" si="8"/>
        <v>-6.5939980358332373E-2</v>
      </c>
      <c r="Q21" s="67">
        <f t="shared" si="9"/>
        <v>1.9399729104584429E-2</v>
      </c>
      <c r="U21" s="57">
        <f>SUMIF(B:B,A21,K:K)</f>
        <v>-0.3230000000000004</v>
      </c>
    </row>
    <row r="22" spans="1:21" x14ac:dyDescent="0.25">
      <c r="A22" s="2" t="s">
        <v>237</v>
      </c>
      <c r="B22" s="2" t="s">
        <v>51</v>
      </c>
      <c r="C22" s="42" t="str">
        <f t="shared" si="0"/>
        <v>Coors Light|MolsonCoors Beverage Company</v>
      </c>
      <c r="D22" s="74">
        <v>732987.72459400003</v>
      </c>
      <c r="E22" s="1">
        <v>660826.42019099998</v>
      </c>
      <c r="F22" s="3">
        <v>-9.8447999999999994E-2</v>
      </c>
      <c r="G22" s="1">
        <v>152267.717045</v>
      </c>
      <c r="H22" s="94">
        <v>885255.44163899997</v>
      </c>
      <c r="I22" s="178">
        <f t="shared" si="3"/>
        <v>798103.68502835382</v>
      </c>
      <c r="J22" s="96">
        <f t="shared" si="2"/>
        <v>-9.8448145598845072E-2</v>
      </c>
      <c r="K22" s="59">
        <f>_xlfn.XLOOKUP(C22,'2025 Goal Data'!C:C,'2025 Goal Data'!F:F,"")</f>
        <v>-4.4999999999999998E-2</v>
      </c>
      <c r="L22" s="54">
        <f t="shared" si="4"/>
        <v>-39836.494873755</v>
      </c>
      <c r="M22" s="87">
        <f t="shared" si="5"/>
        <v>-5.3448145598845073E-2</v>
      </c>
      <c r="N22" s="68">
        <f>_xlfn.XLOOKUP(C22,'2025 Goal Data'!C:C,'2025 Goal Data'!I:I,"")</f>
        <v>-0.04</v>
      </c>
      <c r="O22" s="117">
        <f t="shared" si="7"/>
        <v>-35410.217665559998</v>
      </c>
      <c r="P22" s="91">
        <f t="shared" si="8"/>
        <v>-5.8448145598845071E-2</v>
      </c>
      <c r="Q22" s="69">
        <f t="shared" si="9"/>
        <v>-4.9999999999999975E-3</v>
      </c>
      <c r="U22" s="58">
        <f t="shared" ref="U22:U35" si="10">(H22*K22)+H22</f>
        <v>845418.94676524494</v>
      </c>
    </row>
    <row r="23" spans="1:21" x14ac:dyDescent="0.25">
      <c r="A23" s="2" t="s">
        <v>106</v>
      </c>
      <c r="B23" s="2" t="s">
        <v>51</v>
      </c>
      <c r="C23" s="42" t="str">
        <f t="shared" si="0"/>
        <v>Lite|MolsonCoors Beverage Company</v>
      </c>
      <c r="D23" s="74">
        <v>458202.82214300003</v>
      </c>
      <c r="E23" s="1">
        <v>426650.82291699998</v>
      </c>
      <c r="F23" s="3">
        <v>-6.8860000000000005E-2</v>
      </c>
      <c r="G23" s="1">
        <v>97584.109138</v>
      </c>
      <c r="H23" s="94">
        <v>555786.93128100003</v>
      </c>
      <c r="I23" s="178">
        <f t="shared" si="3"/>
        <v>517515.29029975727</v>
      </c>
      <c r="J23" s="96">
        <f t="shared" si="2"/>
        <v>-6.8860275093249768E-2</v>
      </c>
      <c r="K23" s="59">
        <f>_xlfn.XLOOKUP(C23,'2025 Goal Data'!C:C,'2025 Goal Data'!F:F,"")</f>
        <v>8.3000000000000004E-2</v>
      </c>
      <c r="L23" s="54">
        <f t="shared" si="4"/>
        <v>46130.315296323002</v>
      </c>
      <c r="M23" s="87">
        <f t="shared" si="5"/>
        <v>-0.15186027509324979</v>
      </c>
      <c r="N23" s="68">
        <f>_xlfn.XLOOKUP(C23,'2025 Goal Data'!C:C,'2025 Goal Data'!I:I,"")</f>
        <v>0.03</v>
      </c>
      <c r="O23" s="117">
        <f t="shared" si="7"/>
        <v>16673.607938429999</v>
      </c>
      <c r="P23" s="91">
        <f t="shared" si="8"/>
        <v>-9.8860275093249766E-2</v>
      </c>
      <c r="Q23" s="69">
        <f t="shared" si="9"/>
        <v>5.3000000000000019E-2</v>
      </c>
      <c r="U23" s="58">
        <f t="shared" si="10"/>
        <v>601917.24657732307</v>
      </c>
    </row>
    <row r="24" spans="1:21" x14ac:dyDescent="0.25">
      <c r="A24" s="2" t="s">
        <v>185</v>
      </c>
      <c r="B24" s="2" t="s">
        <v>51</v>
      </c>
      <c r="C24" s="42" t="str">
        <f t="shared" si="0"/>
        <v>Blue Moon|MolsonCoors Beverage Company</v>
      </c>
      <c r="D24" s="74">
        <v>111089.34813300001</v>
      </c>
      <c r="E24" s="1">
        <v>102981.830153</v>
      </c>
      <c r="F24" s="3">
        <v>-7.2982000000000005E-2</v>
      </c>
      <c r="G24" s="1">
        <v>22490.145829000001</v>
      </c>
      <c r="H24" s="94">
        <v>133579.49396200001</v>
      </c>
      <c r="I24" s="178">
        <f t="shared" si="3"/>
        <v>123830.60015910793</v>
      </c>
      <c r="J24" s="96">
        <f t="shared" si="2"/>
        <v>-7.2981963875872968E-2</v>
      </c>
      <c r="K24" s="59">
        <f>_xlfn.XLOOKUP(C24,'2025 Goal Data'!C:C,'2025 Goal Data'!F:F,"")</f>
        <v>-8.9999999999999993E-3</v>
      </c>
      <c r="L24" s="54">
        <f t="shared" si="4"/>
        <v>-1202.2154456579999</v>
      </c>
      <c r="M24" s="87">
        <f t="shared" si="5"/>
        <v>-6.3981963875872974E-2</v>
      </c>
      <c r="N24" s="68">
        <f>_xlfn.XLOOKUP(C24,'2025 Goal Data'!C:C,'2025 Goal Data'!I:I,"")</f>
        <v>-0.05</v>
      </c>
      <c r="O24" s="117">
        <f t="shared" si="7"/>
        <v>-6678.9746981000008</v>
      </c>
      <c r="P24" s="91">
        <f t="shared" si="8"/>
        <v>-2.2981963875872966E-2</v>
      </c>
      <c r="Q24" s="69">
        <f t="shared" si="9"/>
        <v>4.1000000000000009E-2</v>
      </c>
      <c r="U24" s="58">
        <f t="shared" si="10"/>
        <v>132377.27851634202</v>
      </c>
    </row>
    <row r="25" spans="1:21" x14ac:dyDescent="0.25">
      <c r="A25" s="2" t="s">
        <v>52</v>
      </c>
      <c r="B25" s="2" t="s">
        <v>51</v>
      </c>
      <c r="C25" s="42" t="str">
        <f t="shared" si="0"/>
        <v>Coors|MolsonCoors Beverage Company</v>
      </c>
      <c r="D25" s="74">
        <v>88044.166536000004</v>
      </c>
      <c r="E25" s="1">
        <v>93391.444227999993</v>
      </c>
      <c r="F25" s="3">
        <v>6.0734000000000003E-2</v>
      </c>
      <c r="G25" s="1">
        <v>19904.888866000001</v>
      </c>
      <c r="H25" s="94">
        <v>107949.055402</v>
      </c>
      <c r="I25" s="178">
        <f t="shared" si="3"/>
        <v>114505.23661438764</v>
      </c>
      <c r="J25" s="96">
        <f t="shared" si="2"/>
        <v>6.0734030399548722E-2</v>
      </c>
      <c r="K25" s="59">
        <f>_xlfn.XLOOKUP(C25,'2025 Goal Data'!C:C,'2025 Goal Data'!F:F,"")</f>
        <v>-8.9999999999999993E-3</v>
      </c>
      <c r="L25" s="54">
        <f t="shared" si="4"/>
        <v>-971.54149861799988</v>
      </c>
      <c r="M25" s="87">
        <f t="shared" si="5"/>
        <v>6.9734030399548716E-2</v>
      </c>
      <c r="N25" s="68">
        <f>_xlfn.XLOOKUP(C25,'2025 Goal Data'!C:C,'2025 Goal Data'!I:I,"")</f>
        <v>6.7000000000000004E-2</v>
      </c>
      <c r="O25" s="117">
        <f t="shared" si="7"/>
        <v>7232.586711934</v>
      </c>
      <c r="P25" s="91">
        <f t="shared" si="8"/>
        <v>-6.2659696004512822E-3</v>
      </c>
      <c r="Q25" s="69">
        <f t="shared" si="9"/>
        <v>-7.5999999999999998E-2</v>
      </c>
      <c r="U25" s="58">
        <f t="shared" si="10"/>
        <v>106977.513903382</v>
      </c>
    </row>
    <row r="26" spans="1:21" x14ac:dyDescent="0.25">
      <c r="A26" s="2" t="s">
        <v>129</v>
      </c>
      <c r="B26" s="2" t="s">
        <v>51</v>
      </c>
      <c r="C26" s="42" t="str">
        <f t="shared" si="0"/>
        <v>Miller High Life|MolsonCoors Beverage Company</v>
      </c>
      <c r="D26" s="74">
        <v>58067.441443000003</v>
      </c>
      <c r="E26" s="1">
        <v>55665.136149999998</v>
      </c>
      <c r="F26" s="3">
        <v>-4.1370999999999998E-2</v>
      </c>
      <c r="G26" s="1">
        <v>11671.443898</v>
      </c>
      <c r="H26" s="94">
        <v>69738.885341000001</v>
      </c>
      <c r="I26" s="178">
        <f t="shared" si="3"/>
        <v>66853.720742495847</v>
      </c>
      <c r="J26" s="96">
        <f t="shared" si="2"/>
        <v>-4.1370959463958412E-2</v>
      </c>
      <c r="K26" s="59">
        <f>_xlfn.XLOOKUP(C26,'2025 Goal Data'!C:C,'2025 Goal Data'!F:F,"")</f>
        <v>3.5000000000000003E-2</v>
      </c>
      <c r="L26" s="54">
        <f t="shared" si="4"/>
        <v>2440.8609869350003</v>
      </c>
      <c r="M26" s="87">
        <f t="shared" si="5"/>
        <v>-7.6370959463958416E-2</v>
      </c>
      <c r="N26" s="68">
        <f>_xlfn.XLOOKUP(C26,'2025 Goal Data'!C:C,'2025 Goal Data'!I:I,"")</f>
        <v>3.5000000000000003E-2</v>
      </c>
      <c r="O26" s="117">
        <f t="shared" si="7"/>
        <v>2440.8609869350003</v>
      </c>
      <c r="P26" s="91">
        <f t="shared" si="8"/>
        <v>-7.6370959463958416E-2</v>
      </c>
      <c r="Q26" s="69">
        <f t="shared" si="9"/>
        <v>0</v>
      </c>
      <c r="U26" s="58">
        <f t="shared" si="10"/>
        <v>72179.746327935005</v>
      </c>
    </row>
    <row r="27" spans="1:21" x14ac:dyDescent="0.25">
      <c r="A27" s="2" t="s">
        <v>282</v>
      </c>
      <c r="B27" s="2" t="s">
        <v>51</v>
      </c>
      <c r="C27" s="42" t="str">
        <f t="shared" si="0"/>
        <v>Peroni|MolsonCoors Beverage Company</v>
      </c>
      <c r="D27" s="74">
        <v>41474.709339000001</v>
      </c>
      <c r="E27" s="1">
        <v>46703.783210000001</v>
      </c>
      <c r="F27" s="3">
        <v>0.126079</v>
      </c>
      <c r="G27" s="1">
        <v>9867.8490629999997</v>
      </c>
      <c r="H27" s="94">
        <v>51342.558402000002</v>
      </c>
      <c r="I27" s="178">
        <f t="shared" si="3"/>
        <v>57815.760815013979</v>
      </c>
      <c r="J27" s="96">
        <f t="shared" si="2"/>
        <v>0.12607868821670998</v>
      </c>
      <c r="K27" s="59">
        <f>_xlfn.XLOOKUP(C27,'2025 Goal Data'!C:C,'2025 Goal Data'!F:F,"")</f>
        <v>0.2</v>
      </c>
      <c r="L27" s="54">
        <f t="shared" si="4"/>
        <v>10268.511680400001</v>
      </c>
      <c r="M27" s="87">
        <f t="shared" si="5"/>
        <v>-7.3921311783290033E-2</v>
      </c>
      <c r="N27" s="68">
        <f>_xlfn.XLOOKUP(C27,'2025 Goal Data'!C:C,'2025 Goal Data'!I:I,"")</f>
        <v>0.15</v>
      </c>
      <c r="O27" s="117">
        <f t="shared" si="7"/>
        <v>7701.3837603000002</v>
      </c>
      <c r="P27" s="91">
        <f t="shared" si="8"/>
        <v>-2.3921311783290017E-2</v>
      </c>
      <c r="Q27" s="69">
        <f t="shared" si="9"/>
        <v>5.0000000000000017E-2</v>
      </c>
      <c r="U27" s="58">
        <f t="shared" si="10"/>
        <v>61611.070082400001</v>
      </c>
    </row>
    <row r="28" spans="1:21" x14ac:dyDescent="0.25">
      <c r="A28" s="2" t="s">
        <v>391</v>
      </c>
      <c r="B28" s="2" t="s">
        <v>51</v>
      </c>
      <c r="C28" s="42" t="str">
        <f t="shared" si="0"/>
        <v>Fosters|MolsonCoors Beverage Company</v>
      </c>
      <c r="D28" s="74">
        <v>21277.806324000001</v>
      </c>
      <c r="E28" s="1">
        <v>19233.191352999998</v>
      </c>
      <c r="F28" s="3">
        <v>-9.6090999999999996E-2</v>
      </c>
      <c r="G28" s="1">
        <v>3895.2611940000002</v>
      </c>
      <c r="H28" s="94">
        <v>25173.067518</v>
      </c>
      <c r="I28" s="178">
        <f t="shared" si="3"/>
        <v>22754.153003607345</v>
      </c>
      <c r="J28" s="96">
        <f t="shared" si="2"/>
        <v>-9.6091368787812992E-2</v>
      </c>
      <c r="K28" s="59">
        <f>_xlfn.XLOOKUP(C28,'2025 Goal Data'!C:C,'2025 Goal Data'!F:F,"")</f>
        <v>8.9999999999999993E-3</v>
      </c>
      <c r="L28" s="54">
        <f t="shared" si="4"/>
        <v>226.55760766199998</v>
      </c>
      <c r="M28" s="87">
        <f t="shared" si="5"/>
        <v>-0.10509136878781299</v>
      </c>
      <c r="N28" s="68">
        <f>_xlfn.XLOOKUP(C28,'2025 Goal Data'!C:C,'2025 Goal Data'!I:I,"")</f>
        <v>8.9999999999999993E-3</v>
      </c>
      <c r="O28" s="117">
        <f t="shared" si="7"/>
        <v>226.55760766199998</v>
      </c>
      <c r="P28" s="91">
        <f t="shared" si="8"/>
        <v>-0.10509136878781299</v>
      </c>
      <c r="Q28" s="69">
        <f t="shared" si="9"/>
        <v>0</v>
      </c>
      <c r="U28" s="58">
        <f t="shared" si="10"/>
        <v>25399.625125661998</v>
      </c>
    </row>
    <row r="29" spans="1:21" x14ac:dyDescent="0.25">
      <c r="A29" s="2" t="s">
        <v>392</v>
      </c>
      <c r="B29" s="2" t="s">
        <v>51</v>
      </c>
      <c r="C29" s="42" t="str">
        <f t="shared" si="0"/>
        <v>Tyskie Gronie|MolsonCoors Beverage Company</v>
      </c>
      <c r="D29" s="74">
        <v>16781.356566999999</v>
      </c>
      <c r="E29" s="1">
        <v>16954.172369</v>
      </c>
      <c r="F29" s="3">
        <v>1.0298E-2</v>
      </c>
      <c r="G29" s="1">
        <v>3025.3435380000001</v>
      </c>
      <c r="H29" s="94">
        <v>19806.700105</v>
      </c>
      <c r="I29" s="178">
        <f t="shared" si="3"/>
        <v>20010.670894754323</v>
      </c>
      <c r="J29" s="96">
        <f t="shared" si="2"/>
        <v>1.0298070282935834E-2</v>
      </c>
      <c r="K29" s="59">
        <f>_xlfn.XLOOKUP(C29,'2025 Goal Data'!C:C,'2025 Goal Data'!F:F,"")</f>
        <v>8.9999999999999993E-3</v>
      </c>
      <c r="L29" s="54">
        <f t="shared" si="4"/>
        <v>178.26030094499998</v>
      </c>
      <c r="M29" s="87">
        <f t="shared" si="5"/>
        <v>1.2980702829358346E-3</v>
      </c>
      <c r="N29" s="68">
        <f>_xlfn.XLOOKUP(C29,'2025 Goal Data'!C:C,'2025 Goal Data'!I:I,"")</f>
        <v>8.9999999999999993E-3</v>
      </c>
      <c r="O29" s="117">
        <f t="shared" si="7"/>
        <v>178.26030094499998</v>
      </c>
      <c r="P29" s="91">
        <f t="shared" si="8"/>
        <v>1.2980702829358346E-3</v>
      </c>
      <c r="Q29" s="69">
        <f t="shared" si="9"/>
        <v>0</v>
      </c>
      <c r="U29" s="58">
        <f t="shared" si="10"/>
        <v>19984.960405944999</v>
      </c>
    </row>
    <row r="30" spans="1:21" x14ac:dyDescent="0.25">
      <c r="A30" s="2" t="s">
        <v>30</v>
      </c>
      <c r="B30" s="2" t="s">
        <v>51</v>
      </c>
      <c r="C30" s="42" t="str">
        <f t="shared" si="0"/>
        <v>Arnold Palmer|MolsonCoors Beverage Company</v>
      </c>
      <c r="D30" s="74">
        <v>18891</v>
      </c>
      <c r="E30" s="1">
        <v>15723</v>
      </c>
      <c r="F30" s="3">
        <v>-0.16769899999999999</v>
      </c>
      <c r="G30" s="1">
        <v>2763</v>
      </c>
      <c r="H30" s="94">
        <v>21654</v>
      </c>
      <c r="I30" s="178">
        <f t="shared" si="3"/>
        <v>18022.647663</v>
      </c>
      <c r="J30" s="96">
        <f t="shared" si="2"/>
        <v>-0.16769891645885293</v>
      </c>
      <c r="K30" s="59">
        <f>_xlfn.XLOOKUP(C30,'2025 Goal Data'!C:C,'2025 Goal Data'!F:F,"")</f>
        <v>0.254</v>
      </c>
      <c r="L30" s="54">
        <f t="shared" si="4"/>
        <v>5500.116</v>
      </c>
      <c r="M30" s="87">
        <f t="shared" si="5"/>
        <v>-0.42169891645885293</v>
      </c>
      <c r="N30" s="68">
        <f>_xlfn.XLOOKUP(C30,'2025 Goal Data'!C:C,'2025 Goal Data'!I:I,"")</f>
        <v>0.15</v>
      </c>
      <c r="O30" s="117">
        <f t="shared" si="7"/>
        <v>3248.1</v>
      </c>
      <c r="P30" s="91">
        <f t="shared" si="8"/>
        <v>-0.31769891645885295</v>
      </c>
      <c r="Q30" s="69">
        <f t="shared" si="9"/>
        <v>0.10399999999999998</v>
      </c>
      <c r="U30" s="58">
        <f t="shared" si="10"/>
        <v>27154.116000000002</v>
      </c>
    </row>
    <row r="31" spans="1:21" x14ac:dyDescent="0.25">
      <c r="A31" s="2" t="s">
        <v>186</v>
      </c>
      <c r="B31" s="2" t="s">
        <v>51</v>
      </c>
      <c r="C31" s="42" t="str">
        <f t="shared" si="0"/>
        <v>Keystone|MolsonCoors Beverage Company</v>
      </c>
      <c r="D31" s="74">
        <v>15121.5</v>
      </c>
      <c r="E31" s="1">
        <v>12441.5</v>
      </c>
      <c r="F31" s="3">
        <v>-0.177231</v>
      </c>
      <c r="G31" s="1">
        <v>2502</v>
      </c>
      <c r="H31" s="94">
        <v>17623.5</v>
      </c>
      <c r="I31" s="178">
        <f t="shared" si="3"/>
        <v>14500.068037999999</v>
      </c>
      <c r="J31" s="96">
        <f t="shared" si="2"/>
        <v>-0.17723108134025589</v>
      </c>
      <c r="K31" s="59">
        <f>_xlfn.XLOOKUP(C31,'2025 Goal Data'!C:C,'2025 Goal Data'!F:F,"")</f>
        <v>-3.3000000000000002E-2</v>
      </c>
      <c r="L31" s="54">
        <f t="shared" si="4"/>
        <v>-581.57550000000003</v>
      </c>
      <c r="M31" s="87">
        <f t="shared" si="5"/>
        <v>-0.14423108134025589</v>
      </c>
      <c r="N31" s="68">
        <f>_xlfn.XLOOKUP(C31,'2025 Goal Data'!C:C,'2025 Goal Data'!I:I,"")</f>
        <v>-0.2</v>
      </c>
      <c r="O31" s="117">
        <f t="shared" si="7"/>
        <v>-3524.7000000000003</v>
      </c>
      <c r="P31" s="91">
        <f t="shared" si="8"/>
        <v>2.276891865974412E-2</v>
      </c>
      <c r="Q31" s="69">
        <f t="shared" si="9"/>
        <v>0.16700000000000001</v>
      </c>
      <c r="U31" s="58">
        <f t="shared" si="10"/>
        <v>17041.924500000001</v>
      </c>
    </row>
    <row r="32" spans="1:21" x14ac:dyDescent="0.25">
      <c r="A32" s="2" t="s">
        <v>283</v>
      </c>
      <c r="B32" s="2" t="s">
        <v>51</v>
      </c>
      <c r="C32" s="42" t="str">
        <f t="shared" si="0"/>
        <v>Steel Reserve|MolsonCoors Beverage Company</v>
      </c>
      <c r="D32" s="74">
        <v>12094.416112000001</v>
      </c>
      <c r="E32" s="1">
        <v>11256.416225000001</v>
      </c>
      <c r="F32" s="3">
        <v>-6.9288000000000002E-2</v>
      </c>
      <c r="G32" s="1">
        <v>2173.9999069999999</v>
      </c>
      <c r="H32" s="94">
        <v>14268.416019</v>
      </c>
      <c r="I32" s="178">
        <f t="shared" si="3"/>
        <v>13279.784026443785</v>
      </c>
      <c r="J32" s="96">
        <f t="shared" si="2"/>
        <v>-6.9288139008544469E-2</v>
      </c>
      <c r="K32" s="59">
        <f>_xlfn.XLOOKUP(C32,'2025 Goal Data'!C:C,'2025 Goal Data'!F:F,"")</f>
        <v>-0.112</v>
      </c>
      <c r="L32" s="54">
        <f t="shared" si="4"/>
        <v>-1598.062594128</v>
      </c>
      <c r="M32" s="87">
        <f t="shared" si="5"/>
        <v>4.2711860991455533E-2</v>
      </c>
      <c r="N32" s="68">
        <f>_xlfn.XLOOKUP(C32,'2025 Goal Data'!C:C,'2025 Goal Data'!I:I,"")</f>
        <v>-0.112</v>
      </c>
      <c r="O32" s="117">
        <f t="shared" si="7"/>
        <v>-1598.062594128</v>
      </c>
      <c r="P32" s="91">
        <f t="shared" si="8"/>
        <v>4.2711860991455533E-2</v>
      </c>
      <c r="Q32" s="69">
        <f t="shared" si="9"/>
        <v>0</v>
      </c>
      <c r="U32" s="58">
        <f t="shared" si="10"/>
        <v>12670.353424872001</v>
      </c>
    </row>
    <row r="33" spans="1:21" x14ac:dyDescent="0.25">
      <c r="A33" s="2" t="s">
        <v>372</v>
      </c>
      <c r="B33" s="2" t="s">
        <v>51</v>
      </c>
      <c r="C33" s="42" t="str">
        <f t="shared" si="0"/>
        <v>Molson|MolsonCoors Beverage Company</v>
      </c>
      <c r="D33" s="74">
        <v>10629.332748999999</v>
      </c>
      <c r="E33" s="1">
        <v>8500.874511</v>
      </c>
      <c r="F33" s="3">
        <v>-0.20024400000000001</v>
      </c>
      <c r="G33" s="1">
        <v>2075.1248730000002</v>
      </c>
      <c r="H33" s="94">
        <v>12704.457622</v>
      </c>
      <c r="I33" s="178">
        <f t="shared" si="3"/>
        <v>10160.468078930988</v>
      </c>
      <c r="J33" s="96">
        <f t="shared" si="2"/>
        <v>-0.2002438528870093</v>
      </c>
      <c r="K33" s="59">
        <f>_xlfn.XLOOKUP(C33,'2025 Goal Data'!C:C,'2025 Goal Data'!F:F,"")</f>
        <v>-8.8999999999999996E-2</v>
      </c>
      <c r="L33" s="54">
        <f t="shared" si="4"/>
        <v>-1130.696728358</v>
      </c>
      <c r="M33" s="87">
        <f t="shared" si="5"/>
        <v>-0.1112438528870093</v>
      </c>
      <c r="N33" s="68">
        <f>_xlfn.XLOOKUP(C33,'2025 Goal Data'!C:C,'2025 Goal Data'!I:I,"")</f>
        <v>-8.8999999999999996E-2</v>
      </c>
      <c r="O33" s="117">
        <f t="shared" si="7"/>
        <v>-1130.696728358</v>
      </c>
      <c r="P33" s="91">
        <f t="shared" si="8"/>
        <v>-0.1112438528870093</v>
      </c>
      <c r="Q33" s="69">
        <f t="shared" si="9"/>
        <v>0</v>
      </c>
      <c r="U33" s="58">
        <f t="shared" si="10"/>
        <v>11573.760893642</v>
      </c>
    </row>
    <row r="34" spans="1:21" x14ac:dyDescent="0.25">
      <c r="A34" s="2" t="s">
        <v>1</v>
      </c>
      <c r="B34" s="2" t="s">
        <v>51</v>
      </c>
      <c r="C34" s="42" t="str">
        <f t="shared" si="0"/>
        <v>Pilsner Urquell|MolsonCoors Beverage Company</v>
      </c>
      <c r="D34" s="74">
        <v>8392.2109660000006</v>
      </c>
      <c r="E34" s="1">
        <v>8274.6603200000009</v>
      </c>
      <c r="F34" s="3">
        <v>-1.4007E-2</v>
      </c>
      <c r="G34" s="1">
        <v>1775.5961440000001</v>
      </c>
      <c r="H34" s="94">
        <v>10167.80711</v>
      </c>
      <c r="I34" s="178">
        <f t="shared" si="3"/>
        <v>10025.385688810993</v>
      </c>
      <c r="J34" s="96">
        <f t="shared" si="2"/>
        <v>-1.4007093137018312E-2</v>
      </c>
      <c r="K34" s="59">
        <f>_xlfn.XLOOKUP(C34,'2025 Goal Data'!C:C,'2025 Goal Data'!F:F,"")</f>
        <v>-7.0999999999999994E-2</v>
      </c>
      <c r="L34" s="54">
        <f t="shared" si="4"/>
        <v>-721.91430480999986</v>
      </c>
      <c r="M34" s="87">
        <f t="shared" si="5"/>
        <v>5.6992906862981682E-2</v>
      </c>
      <c r="N34" s="68">
        <f>_xlfn.XLOOKUP(C34,'2025 Goal Data'!C:C,'2025 Goal Data'!I:I,"")</f>
        <v>0</v>
      </c>
      <c r="O34" s="117">
        <f t="shared" si="7"/>
        <v>0</v>
      </c>
      <c r="P34" s="91">
        <f t="shared" si="8"/>
        <v>-1.4007093137018312E-2</v>
      </c>
      <c r="Q34" s="69">
        <f t="shared" si="9"/>
        <v>-7.0999999999999994E-2</v>
      </c>
      <c r="U34" s="58">
        <f t="shared" si="10"/>
        <v>9445.8928051900002</v>
      </c>
    </row>
    <row r="35" spans="1:21" x14ac:dyDescent="0.25">
      <c r="A35" s="2" t="s">
        <v>187</v>
      </c>
      <c r="B35" s="2" t="s">
        <v>51</v>
      </c>
      <c r="C35" s="42" t="str">
        <f t="shared" si="0"/>
        <v>Miller Genuine Draft|MolsonCoors Beverage Company</v>
      </c>
      <c r="D35" s="74">
        <v>9079.5</v>
      </c>
      <c r="E35" s="1">
        <v>7613.5</v>
      </c>
      <c r="F35" s="3">
        <v>-0.161463</v>
      </c>
      <c r="G35" s="1">
        <v>1678</v>
      </c>
      <c r="H35" s="94">
        <v>10757.5</v>
      </c>
      <c r="I35" s="178">
        <f t="shared" si="3"/>
        <v>9020.5650860000005</v>
      </c>
      <c r="J35" s="96">
        <f t="shared" si="2"/>
        <v>-0.16146269244712985</v>
      </c>
      <c r="K35" s="59">
        <f>_xlfn.XLOOKUP(C35,'2025 Goal Data'!C:C,'2025 Goal Data'!F:F,"")</f>
        <v>-8.8999999999999996E-2</v>
      </c>
      <c r="L35" s="54">
        <f t="shared" si="4"/>
        <v>-957.4174999999999</v>
      </c>
      <c r="M35" s="87">
        <f t="shared" si="5"/>
        <v>-7.2462692447129856E-2</v>
      </c>
      <c r="N35" s="68">
        <f>_xlfn.XLOOKUP(C35,'2025 Goal Data'!C:C,'2025 Goal Data'!I:I,"")</f>
        <v>-0.15</v>
      </c>
      <c r="O35" s="117">
        <f t="shared" si="7"/>
        <v>-1613.625</v>
      </c>
      <c r="P35" s="91">
        <f t="shared" si="8"/>
        <v>-1.1462692447129857E-2</v>
      </c>
      <c r="Q35" s="69">
        <f t="shared" si="9"/>
        <v>6.0999999999999999E-2</v>
      </c>
      <c r="U35" s="58">
        <f t="shared" si="10"/>
        <v>9800.0825000000004</v>
      </c>
    </row>
    <row r="36" spans="1:21" x14ac:dyDescent="0.25">
      <c r="A36" s="2" t="s">
        <v>284</v>
      </c>
      <c r="B36" s="2" t="s">
        <v>51</v>
      </c>
      <c r="C36" s="42" t="str">
        <f t="shared" si="0"/>
        <v>Miller Extra Light|MolsonCoors Beverage Company</v>
      </c>
      <c r="D36" s="74">
        <v>8896</v>
      </c>
      <c r="E36" s="1">
        <v>8861.75</v>
      </c>
      <c r="F36" s="3">
        <v>-3.8500000000000001E-3</v>
      </c>
      <c r="G36" s="1">
        <v>1584.5</v>
      </c>
      <c r="H36" s="94">
        <v>10480.5</v>
      </c>
      <c r="I36" s="178">
        <f t="shared" si="3"/>
        <v>10440.149675000001</v>
      </c>
      <c r="J36" s="96">
        <f t="shared" si="2"/>
        <v>-3.8500381661179528E-3</v>
      </c>
      <c r="K36" s="59" t="str">
        <f>_xlfn.XLOOKUP(C36,'2025 Goal Data'!C:C,'2025 Goal Data'!F:F,"")</f>
        <v/>
      </c>
      <c r="L36" s="54">
        <f t="shared" si="4"/>
        <v>0</v>
      </c>
      <c r="M36" s="87">
        <f t="shared" si="5"/>
        <v>0</v>
      </c>
      <c r="N36" s="68" t="str">
        <f>_xlfn.XLOOKUP(C36,'2025 Goal Data'!C:C,'2025 Goal Data'!I:I,"")</f>
        <v/>
      </c>
      <c r="O36" s="117">
        <f t="shared" si="7"/>
        <v>0</v>
      </c>
      <c r="P36" s="91">
        <f t="shared" si="8"/>
        <v>0</v>
      </c>
      <c r="Q36" s="69" t="s">
        <v>475</v>
      </c>
      <c r="U36" s="58" t="s">
        <v>475</v>
      </c>
    </row>
    <row r="37" spans="1:21" x14ac:dyDescent="0.25">
      <c r="A37" s="2" t="s">
        <v>238</v>
      </c>
      <c r="B37" s="2" t="s">
        <v>51</v>
      </c>
      <c r="C37" s="42" t="str">
        <f t="shared" si="0"/>
        <v>Milwaukee's Best Ice|MolsonCoors Beverage Company</v>
      </c>
      <c r="D37" s="74">
        <v>8884.5828399999991</v>
      </c>
      <c r="E37" s="1">
        <v>6488.0830249999999</v>
      </c>
      <c r="F37" s="3">
        <v>-0.269737</v>
      </c>
      <c r="G37" s="1">
        <v>1372.2499519999999</v>
      </c>
      <c r="H37" s="94">
        <v>10256.832791999999</v>
      </c>
      <c r="I37" s="178">
        <f t="shared" si="3"/>
        <v>7490.1863916973762</v>
      </c>
      <c r="J37" s="96">
        <f t="shared" si="2"/>
        <v>-0.26973691161861568</v>
      </c>
      <c r="K37" s="59">
        <f>_xlfn.XLOOKUP(C37,'2025 Goal Data'!C:C,'2025 Goal Data'!F:F,"")</f>
        <v>-9.1999999999999998E-2</v>
      </c>
      <c r="L37" s="54">
        <f t="shared" si="4"/>
        <v>-943.62861686399992</v>
      </c>
      <c r="M37" s="87">
        <f t="shared" si="5"/>
        <v>-0.17773691161861568</v>
      </c>
      <c r="N37" s="68">
        <f>_xlfn.XLOOKUP(C37,'2025 Goal Data'!C:C,'2025 Goal Data'!I:I,"")</f>
        <v>-0.15</v>
      </c>
      <c r="O37" s="117">
        <f t="shared" si="7"/>
        <v>-1538.5249187999998</v>
      </c>
      <c r="P37" s="91">
        <f t="shared" si="8"/>
        <v>-0.11973691161861569</v>
      </c>
      <c r="Q37" s="69">
        <f t="shared" ref="Q37:Q54" si="11">P37-M37</f>
        <v>5.7999999999999996E-2</v>
      </c>
      <c r="U37" s="58">
        <f t="shared" ref="U37:U54" si="12">(H37*K37)+H37</f>
        <v>9313.2041751359993</v>
      </c>
    </row>
    <row r="38" spans="1:21" x14ac:dyDescent="0.25">
      <c r="A38" s="2" t="s">
        <v>285</v>
      </c>
      <c r="B38" s="2" t="s">
        <v>51</v>
      </c>
      <c r="C38" s="42" t="str">
        <f t="shared" si="0"/>
        <v>Grolsch|MolsonCoors Beverage Company</v>
      </c>
      <c r="D38" s="74">
        <v>8664.3895300000004</v>
      </c>
      <c r="E38" s="1">
        <v>5006.3900800000001</v>
      </c>
      <c r="F38" s="3">
        <v>-0.42218800000000001</v>
      </c>
      <c r="G38" s="1">
        <v>1182.8822299999999</v>
      </c>
      <c r="H38" s="94">
        <v>9847.2717599999996</v>
      </c>
      <c r="I38" s="178">
        <f t="shared" si="3"/>
        <v>5689.8736270807603</v>
      </c>
      <c r="J38" s="96">
        <f t="shared" si="2"/>
        <v>-0.42218781346187195</v>
      </c>
      <c r="K38" s="59">
        <f>_xlfn.XLOOKUP(C38,'2025 Goal Data'!C:C,'2025 Goal Data'!F:F,"")</f>
        <v>8.9999999999999993E-3</v>
      </c>
      <c r="L38" s="54">
        <f t="shared" si="4"/>
        <v>88.625445839999983</v>
      </c>
      <c r="M38" s="87">
        <f t="shared" si="5"/>
        <v>-0.43118781346187196</v>
      </c>
      <c r="N38" s="68">
        <f>_xlfn.XLOOKUP(C38,'2025 Goal Data'!C:C,'2025 Goal Data'!I:I,"")</f>
        <v>-0.17</v>
      </c>
      <c r="O38" s="117">
        <f t="shared" si="7"/>
        <v>-1674.0361992000001</v>
      </c>
      <c r="P38" s="91">
        <f t="shared" si="8"/>
        <v>-0.25218781346187191</v>
      </c>
      <c r="Q38" s="69">
        <f t="shared" si="11"/>
        <v>0.17900000000000005</v>
      </c>
      <c r="U38" s="58">
        <f t="shared" si="12"/>
        <v>9935.8972058399995</v>
      </c>
    </row>
    <row r="39" spans="1:21" x14ac:dyDescent="0.25">
      <c r="A39" s="2" t="s">
        <v>286</v>
      </c>
      <c r="B39" s="2" t="s">
        <v>51</v>
      </c>
      <c r="C39" s="42" t="str">
        <f t="shared" si="0"/>
        <v>Cusquena|MolsonCoors Beverage Company</v>
      </c>
      <c r="D39" s="74">
        <v>6208</v>
      </c>
      <c r="E39" s="1">
        <v>5053</v>
      </c>
      <c r="F39" s="3">
        <v>-0.18604999999999999</v>
      </c>
      <c r="G39" s="1">
        <v>1121</v>
      </c>
      <c r="H39" s="94">
        <v>7329</v>
      </c>
      <c r="I39" s="178">
        <f t="shared" si="3"/>
        <v>5965.4379499999995</v>
      </c>
      <c r="J39" s="96">
        <f t="shared" si="2"/>
        <v>-0.18605021831082014</v>
      </c>
      <c r="K39" s="59">
        <f>_xlfn.XLOOKUP(C39,'2025 Goal Data'!C:C,'2025 Goal Data'!F:F,"")</f>
        <v>8.9999999999999993E-3</v>
      </c>
      <c r="L39" s="54">
        <f t="shared" si="4"/>
        <v>65.960999999999999</v>
      </c>
      <c r="M39" s="87">
        <f t="shared" si="5"/>
        <v>-0.19505021831082014</v>
      </c>
      <c r="N39" s="68">
        <f>_xlfn.XLOOKUP(C39,'2025 Goal Data'!C:C,'2025 Goal Data'!I:I,"")</f>
        <v>-0.25</v>
      </c>
      <c r="O39" s="117">
        <f t="shared" si="7"/>
        <v>-1832.25</v>
      </c>
      <c r="P39" s="91">
        <f t="shared" si="8"/>
        <v>6.3949781689179863E-2</v>
      </c>
      <c r="Q39" s="69">
        <f t="shared" si="11"/>
        <v>0.25900000000000001</v>
      </c>
      <c r="U39" s="58">
        <f t="shared" si="12"/>
        <v>7394.9610000000002</v>
      </c>
    </row>
    <row r="40" spans="1:21" x14ac:dyDescent="0.25">
      <c r="A40" s="2" t="s">
        <v>158</v>
      </c>
      <c r="B40" s="2" t="s">
        <v>51</v>
      </c>
      <c r="C40" s="42" t="str">
        <f t="shared" si="0"/>
        <v>Old English|MolsonCoors Beverage Company</v>
      </c>
      <c r="D40" s="74">
        <v>5903.6669620000002</v>
      </c>
      <c r="E40" s="1">
        <v>5106.3336529999997</v>
      </c>
      <c r="F40" s="3">
        <v>-0.13505700000000001</v>
      </c>
      <c r="G40" s="1">
        <v>1001.000056</v>
      </c>
      <c r="H40" s="94">
        <v>6904.6670180000001</v>
      </c>
      <c r="I40" s="178">
        <f t="shared" si="3"/>
        <v>5972.1416444368078</v>
      </c>
      <c r="J40" s="96">
        <f t="shared" si="2"/>
        <v>-0.13505725491644449</v>
      </c>
      <c r="K40" s="59">
        <f>_xlfn.XLOOKUP(C40,'2025 Goal Data'!C:C,'2025 Goal Data'!F:F,"")</f>
        <v>-0.16200000000000001</v>
      </c>
      <c r="L40" s="54">
        <f t="shared" si="4"/>
        <v>-1118.556056916</v>
      </c>
      <c r="M40" s="87">
        <f t="shared" si="5"/>
        <v>2.6942745083555514E-2</v>
      </c>
      <c r="N40" s="68">
        <f>_xlfn.XLOOKUP(C40,'2025 Goal Data'!C:C,'2025 Goal Data'!I:I,"")</f>
        <v>-0.16</v>
      </c>
      <c r="O40" s="117">
        <f t="shared" si="7"/>
        <v>-1104.7467228800001</v>
      </c>
      <c r="P40" s="91">
        <f t="shared" si="8"/>
        <v>2.4942745083555512E-2</v>
      </c>
      <c r="Q40" s="69">
        <f t="shared" si="11"/>
        <v>-2.0000000000000018E-3</v>
      </c>
      <c r="U40" s="58">
        <f t="shared" si="12"/>
        <v>5786.1109610840003</v>
      </c>
    </row>
    <row r="41" spans="1:21" x14ac:dyDescent="0.25">
      <c r="A41" s="2" t="s">
        <v>107</v>
      </c>
      <c r="B41" s="2" t="s">
        <v>51</v>
      </c>
      <c r="C41" s="42" t="str">
        <f t="shared" si="0"/>
        <v>Cristal|MolsonCoors Beverage Company</v>
      </c>
      <c r="D41" s="74">
        <v>1775</v>
      </c>
      <c r="E41" s="1">
        <v>495</v>
      </c>
      <c r="F41" s="3">
        <v>-0.72112699999999996</v>
      </c>
      <c r="G41" s="1">
        <v>567</v>
      </c>
      <c r="H41" s="94">
        <v>2342</v>
      </c>
      <c r="I41" s="178">
        <f t="shared" si="3"/>
        <v>653.120991</v>
      </c>
      <c r="J41" s="96">
        <f t="shared" si="2"/>
        <v>-0.72112681853116989</v>
      </c>
      <c r="K41" s="59">
        <f>_xlfn.XLOOKUP(C41,'2025 Goal Data'!C:C,'2025 Goal Data'!F:F,"")</f>
        <v>8.9999999999999993E-3</v>
      </c>
      <c r="L41" s="54">
        <f t="shared" si="4"/>
        <v>21.077999999999999</v>
      </c>
      <c r="M41" s="87">
        <f t="shared" si="5"/>
        <v>-0.7301268185311699</v>
      </c>
      <c r="N41" s="68">
        <f>_xlfn.XLOOKUP(C41,'2025 Goal Data'!C:C,'2025 Goal Data'!I:I,"")</f>
        <v>8.9999999999999993E-3</v>
      </c>
      <c r="O41" s="117">
        <f t="shared" si="7"/>
        <v>21.077999999999999</v>
      </c>
      <c r="P41" s="91">
        <f t="shared" si="8"/>
        <v>-0.7301268185311699</v>
      </c>
      <c r="Q41" s="69">
        <f t="shared" si="11"/>
        <v>0</v>
      </c>
      <c r="U41" s="58">
        <f t="shared" si="12"/>
        <v>2363.078</v>
      </c>
    </row>
    <row r="42" spans="1:21" x14ac:dyDescent="0.25">
      <c r="A42" s="2" t="s">
        <v>311</v>
      </c>
      <c r="B42" s="2" t="s">
        <v>51</v>
      </c>
      <c r="C42" s="42" t="str">
        <f t="shared" si="0"/>
        <v>George Killian's|MolsonCoors Beverage Company</v>
      </c>
      <c r="D42" s="74">
        <v>2923.1111270000001</v>
      </c>
      <c r="E42" s="1">
        <v>2563.777791</v>
      </c>
      <c r="F42" s="3">
        <v>-0.122928</v>
      </c>
      <c r="G42" s="1">
        <v>546.11111500000004</v>
      </c>
      <c r="H42" s="94">
        <v>3469.2222419999998</v>
      </c>
      <c r="I42" s="178">
        <f t="shared" si="3"/>
        <v>3042.7565588552798</v>
      </c>
      <c r="J42" s="96">
        <f t="shared" si="2"/>
        <v>-0.12292832611924664</v>
      </c>
      <c r="K42" s="59">
        <f>_xlfn.XLOOKUP(C42,'2025 Goal Data'!C:C,'2025 Goal Data'!F:F,"")</f>
        <v>-8.8999999999999996E-2</v>
      </c>
      <c r="L42" s="54">
        <f t="shared" si="4"/>
        <v>-308.76077953799995</v>
      </c>
      <c r="M42" s="87">
        <f t="shared" si="5"/>
        <v>-3.3928326119246649E-2</v>
      </c>
      <c r="N42" s="68">
        <f>_xlfn.XLOOKUP(C42,'2025 Goal Data'!C:C,'2025 Goal Data'!I:I,"")</f>
        <v>-0.2</v>
      </c>
      <c r="O42" s="117">
        <f t="shared" si="7"/>
        <v>-693.84444840000003</v>
      </c>
      <c r="P42" s="91">
        <f t="shared" si="8"/>
        <v>7.7071673880753366E-2</v>
      </c>
      <c r="Q42" s="69">
        <f t="shared" si="11"/>
        <v>0.11100000000000002</v>
      </c>
      <c r="U42" s="58">
        <f t="shared" si="12"/>
        <v>3160.4614624619999</v>
      </c>
    </row>
    <row r="43" spans="1:21" x14ac:dyDescent="0.25">
      <c r="A43" s="2" t="s">
        <v>130</v>
      </c>
      <c r="B43" s="2" t="s">
        <v>51</v>
      </c>
      <c r="C43" s="42" t="str">
        <f t="shared" si="0"/>
        <v>Hamm's|MolsonCoors Beverage Company</v>
      </c>
      <c r="D43" s="74">
        <v>2306.25</v>
      </c>
      <c r="E43" s="1">
        <v>1783.75</v>
      </c>
      <c r="F43" s="3">
        <v>-0.22655800000000001</v>
      </c>
      <c r="G43" s="1">
        <v>492.5</v>
      </c>
      <c r="H43" s="94">
        <v>2798.75</v>
      </c>
      <c r="I43" s="178">
        <f t="shared" si="3"/>
        <v>2164.6701849999999</v>
      </c>
      <c r="J43" s="96">
        <f t="shared" si="2"/>
        <v>-0.22655821884769989</v>
      </c>
      <c r="K43" s="59">
        <f>_xlfn.XLOOKUP(C43,'2025 Goal Data'!C:C,'2025 Goal Data'!F:F,"")</f>
        <v>6.7000000000000004E-2</v>
      </c>
      <c r="L43" s="54">
        <f t="shared" si="4"/>
        <v>187.51625000000001</v>
      </c>
      <c r="M43" s="87">
        <f t="shared" si="5"/>
        <v>-0.29355821884769989</v>
      </c>
      <c r="N43" s="68">
        <f>_xlfn.XLOOKUP(C43,'2025 Goal Data'!C:C,'2025 Goal Data'!I:I,"")</f>
        <v>6.7000000000000004E-2</v>
      </c>
      <c r="O43" s="117">
        <f t="shared" si="7"/>
        <v>187.51625000000001</v>
      </c>
      <c r="P43" s="91">
        <f t="shared" si="8"/>
        <v>-0.29355821884769989</v>
      </c>
      <c r="Q43" s="69">
        <f t="shared" si="11"/>
        <v>0</v>
      </c>
      <c r="U43" s="58">
        <f t="shared" si="12"/>
        <v>2986.2662500000001</v>
      </c>
    </row>
    <row r="44" spans="1:21" x14ac:dyDescent="0.25">
      <c r="A44" s="2" t="s">
        <v>239</v>
      </c>
      <c r="B44" s="2" t="s">
        <v>51</v>
      </c>
      <c r="C44" s="42" t="str">
        <f t="shared" si="0"/>
        <v>Redd's Wicked|MolsonCoors Beverage Company</v>
      </c>
      <c r="D44" s="74">
        <v>2403</v>
      </c>
      <c r="E44" s="1">
        <v>1950</v>
      </c>
      <c r="F44" s="3">
        <v>-0.18851399999999999</v>
      </c>
      <c r="G44" s="1">
        <v>437</v>
      </c>
      <c r="H44" s="94">
        <v>2840</v>
      </c>
      <c r="I44" s="178">
        <f t="shared" si="3"/>
        <v>2304.6193819999999</v>
      </c>
      <c r="J44" s="96">
        <f t="shared" si="2"/>
        <v>-0.18851430211267606</v>
      </c>
      <c r="K44" s="59">
        <f>_xlfn.XLOOKUP(C44,'2025 Goal Data'!C:C,'2025 Goal Data'!F:F,"")</f>
        <v>-8.1000000000000003E-2</v>
      </c>
      <c r="L44" s="54">
        <f t="shared" si="4"/>
        <v>-230.04000000000002</v>
      </c>
      <c r="M44" s="87">
        <f t="shared" si="5"/>
        <v>-0.10751430211267606</v>
      </c>
      <c r="N44" s="68">
        <f>_xlfn.XLOOKUP(C44,'2025 Goal Data'!C:C,'2025 Goal Data'!I:I,"")</f>
        <v>-0.2</v>
      </c>
      <c r="O44" s="117">
        <f t="shared" si="7"/>
        <v>-568</v>
      </c>
      <c r="P44" s="91">
        <f t="shared" si="8"/>
        <v>1.1485697887323953E-2</v>
      </c>
      <c r="Q44" s="69">
        <f t="shared" si="11"/>
        <v>0.11900000000000001</v>
      </c>
      <c r="U44" s="58">
        <f t="shared" si="12"/>
        <v>2609.96</v>
      </c>
    </row>
    <row r="45" spans="1:21" x14ac:dyDescent="0.25">
      <c r="A45" s="2" t="s">
        <v>215</v>
      </c>
      <c r="B45" s="2" t="s">
        <v>51</v>
      </c>
      <c r="C45" s="42" t="str">
        <f t="shared" si="0"/>
        <v>Simply Spiked|MolsonCoors Beverage Company</v>
      </c>
      <c r="D45" s="74">
        <v>5670</v>
      </c>
      <c r="E45" s="1">
        <v>3624</v>
      </c>
      <c r="F45" s="3">
        <v>-0.36084699999999997</v>
      </c>
      <c r="G45" s="1">
        <v>408</v>
      </c>
      <c r="H45" s="94">
        <v>6078</v>
      </c>
      <c r="I45" s="178">
        <f t="shared" si="3"/>
        <v>3884.7744240000002</v>
      </c>
      <c r="J45" s="96">
        <f t="shared" si="2"/>
        <v>-0.36084659032576505</v>
      </c>
      <c r="K45" s="59">
        <f>_xlfn.XLOOKUP(C45,'2025 Goal Data'!C:C,'2025 Goal Data'!F:F,"")</f>
        <v>-0.2</v>
      </c>
      <c r="L45" s="54">
        <f t="shared" si="4"/>
        <v>-1215.6000000000001</v>
      </c>
      <c r="M45" s="87">
        <f t="shared" si="5"/>
        <v>-0.16084659032576504</v>
      </c>
      <c r="N45" s="68">
        <f>_xlfn.XLOOKUP(C45,'2025 Goal Data'!C:C,'2025 Goal Data'!I:I,"")</f>
        <v>-0.2</v>
      </c>
      <c r="O45" s="117">
        <f t="shared" si="7"/>
        <v>-1215.6000000000001</v>
      </c>
      <c r="P45" s="91">
        <f t="shared" si="8"/>
        <v>-0.16084659032576504</v>
      </c>
      <c r="Q45" s="69">
        <f t="shared" si="11"/>
        <v>0</v>
      </c>
      <c r="U45" s="58">
        <f t="shared" si="12"/>
        <v>4862.3999999999996</v>
      </c>
    </row>
    <row r="46" spans="1:21" x14ac:dyDescent="0.25">
      <c r="A46" s="2" t="s">
        <v>393</v>
      </c>
      <c r="B46" s="2" t="s">
        <v>51</v>
      </c>
      <c r="C46" s="42" t="str">
        <f t="shared" si="0"/>
        <v>Topo Chico|MolsonCoors Beverage Company</v>
      </c>
      <c r="D46" s="74">
        <v>2177</v>
      </c>
      <c r="E46" s="1">
        <v>2021</v>
      </c>
      <c r="F46" s="3">
        <v>-7.1657999999999999E-2</v>
      </c>
      <c r="G46" s="1">
        <v>389</v>
      </c>
      <c r="H46" s="94">
        <v>2566</v>
      </c>
      <c r="I46" s="178">
        <f t="shared" si="3"/>
        <v>2382.1250380000001</v>
      </c>
      <c r="J46" s="96">
        <f t="shared" si="2"/>
        <v>-7.1658208106001542E-2</v>
      </c>
      <c r="K46" s="59">
        <f>_xlfn.XLOOKUP(C46,'2025 Goal Data'!C:C,'2025 Goal Data'!F:F,"")</f>
        <v>-0.191</v>
      </c>
      <c r="L46" s="54">
        <f t="shared" si="4"/>
        <v>-490.10599999999999</v>
      </c>
      <c r="M46" s="87">
        <f t="shared" si="5"/>
        <v>0.11934179189399846</v>
      </c>
      <c r="N46" s="68">
        <f>_xlfn.XLOOKUP(C46,'2025 Goal Data'!C:C,'2025 Goal Data'!I:I,"")</f>
        <v>-0.19</v>
      </c>
      <c r="O46" s="117">
        <f t="shared" si="7"/>
        <v>-487.54</v>
      </c>
      <c r="P46" s="91">
        <f t="shared" si="8"/>
        <v>0.11834179189399846</v>
      </c>
      <c r="Q46" s="69">
        <f t="shared" si="11"/>
        <v>-1.0000000000000009E-3</v>
      </c>
      <c r="U46" s="58">
        <f t="shared" si="12"/>
        <v>2075.8940000000002</v>
      </c>
    </row>
    <row r="47" spans="1:21" x14ac:dyDescent="0.25">
      <c r="A47" s="2" t="s">
        <v>2</v>
      </c>
      <c r="B47" s="2" t="s">
        <v>51</v>
      </c>
      <c r="C47" s="42" t="str">
        <f t="shared" si="0"/>
        <v>Coors Edge|MolsonCoors Beverage Company</v>
      </c>
      <c r="D47" s="74">
        <v>1805</v>
      </c>
      <c r="E47" s="1">
        <v>2078</v>
      </c>
      <c r="F47" s="3">
        <v>0.15124699999999999</v>
      </c>
      <c r="G47" s="1">
        <v>370</v>
      </c>
      <c r="H47" s="94">
        <v>2175</v>
      </c>
      <c r="I47" s="178">
        <f t="shared" si="3"/>
        <v>2503.9613899999999</v>
      </c>
      <c r="J47" s="96">
        <f t="shared" si="2"/>
        <v>0.15124661609195389</v>
      </c>
      <c r="K47" s="59">
        <f>_xlfn.XLOOKUP(C47,'2025 Goal Data'!C:C,'2025 Goal Data'!F:F,"")</f>
        <v>-0.14899999999999999</v>
      </c>
      <c r="L47" s="54">
        <f t="shared" si="4"/>
        <v>-324.07499999999999</v>
      </c>
      <c r="M47" s="87">
        <f t="shared" si="5"/>
        <v>0.30024661609195391</v>
      </c>
      <c r="N47" s="68">
        <f>_xlfn.XLOOKUP(C47,'2025 Goal Data'!C:C,'2025 Goal Data'!I:I,"")</f>
        <v>-0.2</v>
      </c>
      <c r="O47" s="117">
        <f t="shared" si="7"/>
        <v>-435</v>
      </c>
      <c r="P47" s="91">
        <f t="shared" si="8"/>
        <v>0.3512466160919539</v>
      </c>
      <c r="Q47" s="69">
        <f t="shared" si="11"/>
        <v>5.099999999999999E-2</v>
      </c>
      <c r="U47" s="58">
        <f t="shared" si="12"/>
        <v>1850.925</v>
      </c>
    </row>
    <row r="48" spans="1:21" x14ac:dyDescent="0.25">
      <c r="A48" s="2" t="s">
        <v>131</v>
      </c>
      <c r="B48" s="2" t="s">
        <v>51</v>
      </c>
      <c r="C48" s="42" t="str">
        <f t="shared" si="0"/>
        <v>Aguila|MolsonCoors Beverage Company</v>
      </c>
      <c r="D48" s="74">
        <v>1936</v>
      </c>
      <c r="E48" s="1">
        <v>1891</v>
      </c>
      <c r="F48" s="3">
        <v>-2.3244000000000001E-2</v>
      </c>
      <c r="G48" s="1">
        <v>247</v>
      </c>
      <c r="H48" s="94">
        <v>2183</v>
      </c>
      <c r="I48" s="178">
        <f t="shared" si="3"/>
        <v>2132.2587320000002</v>
      </c>
      <c r="J48" s="96">
        <f t="shared" si="2"/>
        <v>-2.3243824095281584E-2</v>
      </c>
      <c r="K48" s="59">
        <f>_xlfn.XLOOKUP(C48,'2025 Goal Data'!C:C,'2025 Goal Data'!F:F,"")</f>
        <v>8.9999999999999993E-3</v>
      </c>
      <c r="L48" s="54">
        <f t="shared" si="4"/>
        <v>19.646999999999998</v>
      </c>
      <c r="M48" s="87">
        <f t="shared" si="5"/>
        <v>-3.2243824095281585E-2</v>
      </c>
      <c r="N48" s="68">
        <f>_xlfn.XLOOKUP(C48,'2025 Goal Data'!C:C,'2025 Goal Data'!I:I,"")</f>
        <v>0.1</v>
      </c>
      <c r="O48" s="117">
        <f t="shared" si="7"/>
        <v>218.3</v>
      </c>
      <c r="P48" s="91">
        <f t="shared" si="8"/>
        <v>-0.12324382409528159</v>
      </c>
      <c r="Q48" s="69">
        <f t="shared" si="11"/>
        <v>-9.0999999999999998E-2</v>
      </c>
      <c r="U48" s="58">
        <f t="shared" si="12"/>
        <v>2202.6469999999999</v>
      </c>
    </row>
    <row r="49" spans="1:21" x14ac:dyDescent="0.25">
      <c r="A49" s="2" t="s">
        <v>85</v>
      </c>
      <c r="B49" s="2" t="s">
        <v>51</v>
      </c>
      <c r="C49" s="42" t="str">
        <f t="shared" si="0"/>
        <v>Vizzy|MolsonCoors Beverage Company</v>
      </c>
      <c r="D49" s="74">
        <v>1876</v>
      </c>
      <c r="E49" s="1">
        <v>1397</v>
      </c>
      <c r="F49" s="3">
        <v>-0.25533</v>
      </c>
      <c r="G49" s="1">
        <v>245</v>
      </c>
      <c r="H49" s="94">
        <v>2121</v>
      </c>
      <c r="I49" s="178">
        <f t="shared" si="3"/>
        <v>1579.44415</v>
      </c>
      <c r="J49" s="96">
        <f t="shared" si="2"/>
        <v>-0.25533043375766151</v>
      </c>
      <c r="K49" s="59">
        <f>_xlfn.XLOOKUP(C49,'2025 Goal Data'!C:C,'2025 Goal Data'!F:F,"")</f>
        <v>-0.441</v>
      </c>
      <c r="L49" s="54">
        <f t="shared" si="4"/>
        <v>-935.36099999999999</v>
      </c>
      <c r="M49" s="87">
        <f t="shared" si="5"/>
        <v>0.18566956624233849</v>
      </c>
      <c r="N49" s="68">
        <f>_xlfn.XLOOKUP(C49,'2025 Goal Data'!C:C,'2025 Goal Data'!I:I,"")</f>
        <v>-0.44</v>
      </c>
      <c r="O49" s="117">
        <f t="shared" si="7"/>
        <v>-933.24</v>
      </c>
      <c r="P49" s="91">
        <f t="shared" si="8"/>
        <v>0.18466956624233849</v>
      </c>
      <c r="Q49" s="69">
        <f t="shared" si="11"/>
        <v>-1.0000000000000009E-3</v>
      </c>
      <c r="U49" s="58">
        <f t="shared" si="12"/>
        <v>1185.6390000000001</v>
      </c>
    </row>
    <row r="50" spans="1:21" x14ac:dyDescent="0.25">
      <c r="A50" s="2" t="s">
        <v>53</v>
      </c>
      <c r="B50" s="2" t="s">
        <v>51</v>
      </c>
      <c r="C50" s="42" t="str">
        <f t="shared" si="0"/>
        <v>Milwaukee's Best Light|MolsonCoors Beverage Company</v>
      </c>
      <c r="D50" s="74">
        <v>692.5</v>
      </c>
      <c r="E50" s="1">
        <v>637.5</v>
      </c>
      <c r="F50" s="3">
        <v>-7.9422000000000006E-2</v>
      </c>
      <c r="G50" s="1">
        <v>147.5</v>
      </c>
      <c r="H50" s="94">
        <v>840</v>
      </c>
      <c r="I50" s="178">
        <f t="shared" si="3"/>
        <v>773.28525500000001</v>
      </c>
      <c r="J50" s="96">
        <f t="shared" si="2"/>
        <v>-7.9422315476190497E-2</v>
      </c>
      <c r="K50" s="59">
        <f>_xlfn.XLOOKUP(C50,'2025 Goal Data'!C:C,'2025 Goal Data'!F:F,"")</f>
        <v>-9.1999999999999998E-2</v>
      </c>
      <c r="L50" s="54">
        <f t="shared" si="4"/>
        <v>-77.28</v>
      </c>
      <c r="M50" s="87">
        <f t="shared" si="5"/>
        <v>1.2577684523809501E-2</v>
      </c>
      <c r="N50" s="68">
        <f>_xlfn.XLOOKUP(C50,'2025 Goal Data'!C:C,'2025 Goal Data'!I:I,"")</f>
        <v>-9.1999999999999998E-2</v>
      </c>
      <c r="O50" s="117">
        <f t="shared" si="7"/>
        <v>-77.28</v>
      </c>
      <c r="P50" s="91">
        <f t="shared" si="8"/>
        <v>1.2577684523809501E-2</v>
      </c>
      <c r="Q50" s="69">
        <f t="shared" si="11"/>
        <v>0</v>
      </c>
      <c r="U50" s="58">
        <f t="shared" si="12"/>
        <v>762.72</v>
      </c>
    </row>
    <row r="51" spans="1:21" x14ac:dyDescent="0.25">
      <c r="A51" s="2" t="s">
        <v>54</v>
      </c>
      <c r="B51" s="2" t="s">
        <v>51</v>
      </c>
      <c r="C51" s="42" t="str">
        <f t="shared" si="0"/>
        <v>Sol|MolsonCoors Beverage Company</v>
      </c>
      <c r="D51" s="74">
        <v>873</v>
      </c>
      <c r="E51" s="1">
        <v>812</v>
      </c>
      <c r="F51" s="3">
        <v>-6.9874000000000006E-2</v>
      </c>
      <c r="G51" s="1">
        <v>143</v>
      </c>
      <c r="H51" s="94">
        <v>1016</v>
      </c>
      <c r="I51" s="178">
        <f t="shared" si="3"/>
        <v>945.00801799999999</v>
      </c>
      <c r="J51" s="96">
        <f t="shared" si="2"/>
        <v>-6.9873998031496076E-2</v>
      </c>
      <c r="K51" s="59">
        <f>_xlfn.XLOOKUP(C51,'2025 Goal Data'!C:C,'2025 Goal Data'!F:F,"")</f>
        <v>-0.12</v>
      </c>
      <c r="L51" s="54">
        <f t="shared" si="4"/>
        <v>-121.92</v>
      </c>
      <c r="M51" s="87">
        <f t="shared" si="5"/>
        <v>5.0126001968503919E-2</v>
      </c>
      <c r="N51" s="68">
        <f>_xlfn.XLOOKUP(C51,'2025 Goal Data'!C:C,'2025 Goal Data'!I:I,"")</f>
        <v>-0.12</v>
      </c>
      <c r="O51" s="117">
        <f t="shared" si="7"/>
        <v>-121.92</v>
      </c>
      <c r="P51" s="91">
        <f t="shared" si="8"/>
        <v>5.0126001968503919E-2</v>
      </c>
      <c r="Q51" s="69">
        <f t="shared" si="11"/>
        <v>0</v>
      </c>
      <c r="U51" s="58">
        <f t="shared" si="12"/>
        <v>894.08</v>
      </c>
    </row>
    <row r="52" spans="1:21" x14ac:dyDescent="0.25">
      <c r="A52" s="2" t="s">
        <v>159</v>
      </c>
      <c r="B52" s="2" t="s">
        <v>51</v>
      </c>
      <c r="C52" s="42" t="str">
        <f t="shared" si="0"/>
        <v>Redd's|MolsonCoors Beverage Company</v>
      </c>
      <c r="D52" s="74">
        <v>1046</v>
      </c>
      <c r="E52" s="1">
        <v>782</v>
      </c>
      <c r="F52" s="3">
        <v>-0.25239</v>
      </c>
      <c r="G52" s="1">
        <v>139</v>
      </c>
      <c r="H52" s="94">
        <v>1185</v>
      </c>
      <c r="I52" s="178">
        <f t="shared" si="3"/>
        <v>885.91778999999997</v>
      </c>
      <c r="J52" s="96">
        <f t="shared" si="2"/>
        <v>-0.25239005063291142</v>
      </c>
      <c r="K52" s="59">
        <f>_xlfn.XLOOKUP(C52,'2025 Goal Data'!C:C,'2025 Goal Data'!F:F,"")</f>
        <v>-8.1000000000000003E-2</v>
      </c>
      <c r="L52" s="54">
        <f t="shared" si="4"/>
        <v>-95.984999999999999</v>
      </c>
      <c r="M52" s="87">
        <f t="shared" si="5"/>
        <v>-0.17139005063291141</v>
      </c>
      <c r="N52" s="68">
        <f>_xlfn.XLOOKUP(C52,'2025 Goal Data'!C:C,'2025 Goal Data'!I:I,"")</f>
        <v>-0.3</v>
      </c>
      <c r="O52" s="117">
        <f t="shared" si="7"/>
        <v>-355.5</v>
      </c>
      <c r="P52" s="91">
        <f t="shared" si="8"/>
        <v>4.7609949367088567E-2</v>
      </c>
      <c r="Q52" s="69">
        <f t="shared" si="11"/>
        <v>0.21899999999999997</v>
      </c>
      <c r="U52" s="58">
        <f t="shared" si="12"/>
        <v>1089.0150000000001</v>
      </c>
    </row>
    <row r="53" spans="1:21" x14ac:dyDescent="0.25">
      <c r="A53" s="2" t="s">
        <v>160</v>
      </c>
      <c r="B53" s="2" t="s">
        <v>51</v>
      </c>
      <c r="C53" s="42" t="str">
        <f t="shared" si="0"/>
        <v>Steel Reserve Alloy Series|MolsonCoors Beverage Company</v>
      </c>
      <c r="D53" s="74">
        <v>67</v>
      </c>
      <c r="E53" s="1">
        <v>10</v>
      </c>
      <c r="F53" s="3">
        <v>-0.850746</v>
      </c>
      <c r="G53" s="1">
        <v>0</v>
      </c>
      <c r="H53" s="94">
        <v>67</v>
      </c>
      <c r="I53" s="178">
        <f t="shared" si="3"/>
        <v>10</v>
      </c>
      <c r="J53" s="96">
        <f t="shared" si="2"/>
        <v>-0.85074626865671643</v>
      </c>
      <c r="K53" s="59">
        <f>_xlfn.XLOOKUP(C53,'2025 Goal Data'!C:C,'2025 Goal Data'!F:F,"")</f>
        <v>-0.86599999999999999</v>
      </c>
      <c r="L53" s="54">
        <f t="shared" si="4"/>
        <v>-58.021999999999998</v>
      </c>
      <c r="M53" s="87">
        <f t="shared" si="5"/>
        <v>1.5253731343283561E-2</v>
      </c>
      <c r="N53" s="68">
        <f>_xlfn.XLOOKUP(C53,'2025 Goal Data'!C:C,'2025 Goal Data'!I:I,"")</f>
        <v>-1</v>
      </c>
      <c r="O53" s="117">
        <f t="shared" si="7"/>
        <v>-67</v>
      </c>
      <c r="P53" s="91">
        <f t="shared" si="8"/>
        <v>0.14925373134328357</v>
      </c>
      <c r="Q53" s="69">
        <f t="shared" si="11"/>
        <v>0.13400000000000001</v>
      </c>
      <c r="U53" s="58">
        <f t="shared" si="12"/>
        <v>8.9780000000000015</v>
      </c>
    </row>
    <row r="54" spans="1:21" x14ac:dyDescent="0.25">
      <c r="A54" s="128" t="s">
        <v>31</v>
      </c>
      <c r="B54" s="2" t="s">
        <v>51</v>
      </c>
      <c r="C54" s="42" t="str">
        <f t="shared" si="0"/>
        <v>Lech|MolsonCoors Beverage Company</v>
      </c>
      <c r="D54" s="74">
        <v>573.89577899999995</v>
      </c>
      <c r="E54" s="1">
        <v>0</v>
      </c>
      <c r="F54" s="3">
        <v>-1</v>
      </c>
      <c r="G54" s="1">
        <v>0</v>
      </c>
      <c r="H54" s="94">
        <v>573.89577899999995</v>
      </c>
      <c r="I54" s="178">
        <f t="shared" si="3"/>
        <v>0</v>
      </c>
      <c r="J54" s="96">
        <f t="shared" si="2"/>
        <v>-1</v>
      </c>
      <c r="K54" s="59">
        <f>_xlfn.XLOOKUP(C54,'2025 Goal Data'!C:C,'2025 Goal Data'!F:F,"")</f>
        <v>8.9999999999999993E-3</v>
      </c>
      <c r="L54" s="54">
        <f t="shared" si="4"/>
        <v>5.165062010999999</v>
      </c>
      <c r="M54" s="87">
        <f t="shared" si="5"/>
        <v>-1.0089999999999999</v>
      </c>
      <c r="N54" s="68">
        <f>_xlfn.XLOOKUP(C54,'2025 Goal Data'!C:C,'2025 Goal Data'!I:I,"")</f>
        <v>-1</v>
      </c>
      <c r="O54" s="117">
        <f t="shared" si="7"/>
        <v>-573.89577899999995</v>
      </c>
      <c r="P54" s="91">
        <f t="shared" si="8"/>
        <v>0</v>
      </c>
      <c r="Q54" s="69">
        <f t="shared" si="11"/>
        <v>1.0089999999999999</v>
      </c>
      <c r="U54" s="58">
        <f t="shared" si="12"/>
        <v>579.06084101099998</v>
      </c>
    </row>
    <row r="55" spans="1:21" x14ac:dyDescent="0.25">
      <c r="A55" s="2" t="s">
        <v>240</v>
      </c>
      <c r="B55" s="5" t="s">
        <v>51</v>
      </c>
      <c r="C55" s="42" t="str">
        <f t="shared" si="0"/>
        <v>Fever Tree|MolsonCoors Beverage Company</v>
      </c>
      <c r="D55" s="74">
        <v>0</v>
      </c>
      <c r="E55" s="1">
        <v>2400.8188530000002</v>
      </c>
      <c r="F55" s="3">
        <v>1</v>
      </c>
      <c r="G55" s="1">
        <v>0</v>
      </c>
      <c r="H55" s="94">
        <v>0</v>
      </c>
      <c r="I55" s="178">
        <f t="shared" si="3"/>
        <v>2400.8188530000002</v>
      </c>
      <c r="J55" s="96">
        <f t="shared" si="2"/>
        <v>0</v>
      </c>
      <c r="K55" s="59" t="str">
        <f>_xlfn.XLOOKUP(C55,'2025 Goal Data'!C:C,'2025 Goal Data'!F:F,"")</f>
        <v/>
      </c>
      <c r="L55" s="54">
        <f t="shared" si="4"/>
        <v>0</v>
      </c>
      <c r="M55" s="87">
        <f t="shared" si="5"/>
        <v>0</v>
      </c>
      <c r="N55" s="68" t="str">
        <f>_xlfn.XLOOKUP(C55,'2025 Goal Data'!C:C,'2025 Goal Data'!I:I,"")</f>
        <v/>
      </c>
      <c r="O55" s="117">
        <f t="shared" si="7"/>
        <v>0</v>
      </c>
      <c r="P55" s="91">
        <f t="shared" si="8"/>
        <v>0</v>
      </c>
      <c r="Q55" s="69" t="s">
        <v>475</v>
      </c>
      <c r="U55" s="58" t="s">
        <v>475</v>
      </c>
    </row>
    <row r="56" spans="1:21" x14ac:dyDescent="0.25">
      <c r="A56" s="128" t="s">
        <v>287</v>
      </c>
      <c r="B56" s="2" t="s">
        <v>51</v>
      </c>
      <c r="C56" s="42" t="str">
        <f t="shared" si="0"/>
        <v>Milwaukee's Best|MolsonCoors Beverage Company</v>
      </c>
      <c r="D56" s="74">
        <v>0</v>
      </c>
      <c r="E56" s="1">
        <v>0</v>
      </c>
      <c r="F56" s="3">
        <v>1</v>
      </c>
      <c r="G56" s="1">
        <v>-2.5</v>
      </c>
      <c r="H56" s="94">
        <v>-2.5</v>
      </c>
      <c r="I56" s="178">
        <f t="shared" si="3"/>
        <v>-5</v>
      </c>
      <c r="J56" s="96">
        <f t="shared" si="2"/>
        <v>1</v>
      </c>
      <c r="K56" s="59" t="str">
        <f>_xlfn.XLOOKUP(C56,'2025 Goal Data'!C:C,'2025 Goal Data'!F:F,"")</f>
        <v/>
      </c>
      <c r="L56" s="54">
        <f t="shared" si="4"/>
        <v>0</v>
      </c>
      <c r="M56" s="87">
        <f t="shared" si="5"/>
        <v>0</v>
      </c>
      <c r="N56" s="68" t="str">
        <f>_xlfn.XLOOKUP(C56,'2025 Goal Data'!C:C,'2025 Goal Data'!I:I,"")</f>
        <v/>
      </c>
      <c r="O56" s="117">
        <f t="shared" si="7"/>
        <v>0</v>
      </c>
      <c r="P56" s="91">
        <f t="shared" si="8"/>
        <v>0</v>
      </c>
      <c r="Q56" s="69" t="s">
        <v>475</v>
      </c>
      <c r="U56" s="58" t="s">
        <v>475</v>
      </c>
    </row>
    <row r="57" spans="1:21" x14ac:dyDescent="0.25">
      <c r="A57" s="2" t="s">
        <v>108</v>
      </c>
      <c r="B57" s="2" t="s">
        <v>51</v>
      </c>
      <c r="C57" s="42" t="str">
        <f t="shared" si="0"/>
        <v>Leinenkugel|MolsonCoors Beverage Company</v>
      </c>
      <c r="D57" s="74">
        <v>21698.548644999999</v>
      </c>
      <c r="E57" s="1">
        <v>17465.341692999998</v>
      </c>
      <c r="F57" s="3">
        <v>-0.19509199999999999</v>
      </c>
      <c r="G57" s="1">
        <v>-50.826388999999999</v>
      </c>
      <c r="H57" s="94">
        <v>21647.722256000001</v>
      </c>
      <c r="I57" s="178">
        <f t="shared" si="3"/>
        <v>17424.431125882787</v>
      </c>
      <c r="J57" s="96">
        <f t="shared" si="2"/>
        <v>-0.19509170896474626</v>
      </c>
      <c r="K57" s="59">
        <f>_xlfn.XLOOKUP(C57,'2025 Goal Data'!C:C,'2025 Goal Data'!F:F,"")</f>
        <v>-0.104</v>
      </c>
      <c r="L57" s="54">
        <f t="shared" si="4"/>
        <v>-2251.363114624</v>
      </c>
      <c r="M57" s="87">
        <f t="shared" si="5"/>
        <v>-9.1091708964746262E-2</v>
      </c>
      <c r="N57" s="68">
        <f>_xlfn.XLOOKUP(C57,'2025 Goal Data'!C:C,'2025 Goal Data'!I:I,"")</f>
        <v>-0.1</v>
      </c>
      <c r="O57" s="117">
        <f t="shared" si="7"/>
        <v>-2164.7722256000002</v>
      </c>
      <c r="P57" s="91">
        <f t="shared" si="8"/>
        <v>-9.5091708964746252E-2</v>
      </c>
      <c r="Q57" s="69">
        <f t="shared" ref="Q57:Q73" si="13">P57-M57</f>
        <v>-3.9999999999999897E-3</v>
      </c>
      <c r="U57" s="58">
        <f>(H57*K57)+H57</f>
        <v>19396.359141376</v>
      </c>
    </row>
    <row r="58" spans="1:21" x14ac:dyDescent="0.25">
      <c r="A58" s="2" t="s">
        <v>86</v>
      </c>
      <c r="B58" s="2" t="s">
        <v>51</v>
      </c>
      <c r="C58" s="42" t="str">
        <f t="shared" si="0"/>
        <v>Happy Thursday Spiked Refresher|MolsonCoors Beverage Company</v>
      </c>
      <c r="D58" s="74">
        <v>770</v>
      </c>
      <c r="E58" s="1">
        <v>301</v>
      </c>
      <c r="F58" s="3">
        <v>-0.60909100000000005</v>
      </c>
      <c r="G58" s="1">
        <v>-56</v>
      </c>
      <c r="H58" s="94">
        <v>714</v>
      </c>
      <c r="I58" s="178">
        <f t="shared" si="3"/>
        <v>279.10909600000002</v>
      </c>
      <c r="J58" s="96">
        <f t="shared" si="2"/>
        <v>-0.6090909019607843</v>
      </c>
      <c r="K58" s="59">
        <f>_xlfn.XLOOKUP(C58,'2025 Goal Data'!C:C,'2025 Goal Data'!F:F,"")</f>
        <v>2.1</v>
      </c>
      <c r="L58" s="54">
        <f t="shared" si="4"/>
        <v>1499.4</v>
      </c>
      <c r="M58" s="87">
        <f t="shared" si="5"/>
        <v>-2.7090909019607845</v>
      </c>
      <c r="N58" s="68">
        <f>_xlfn.XLOOKUP(C58,'2025 Goal Data'!C:C,'2025 Goal Data'!I:I,"")</f>
        <v>2.1</v>
      </c>
      <c r="O58" s="117">
        <f t="shared" si="7"/>
        <v>1499.4</v>
      </c>
      <c r="P58" s="91">
        <f t="shared" si="8"/>
        <v>-2.7090909019607845</v>
      </c>
      <c r="Q58" s="69">
        <f t="shared" si="13"/>
        <v>0</v>
      </c>
      <c r="U58" s="58">
        <f>(H58*K58)+H58</f>
        <v>2213.4</v>
      </c>
    </row>
    <row r="59" spans="1:21" x14ac:dyDescent="0.25">
      <c r="A59" s="98" t="s">
        <v>394</v>
      </c>
      <c r="B59" s="99"/>
      <c r="C59" s="42" t="str">
        <f t="shared" si="0"/>
        <v>Heineken USA|</v>
      </c>
      <c r="D59" s="73">
        <v>507396.23265000002</v>
      </c>
      <c r="E59" s="82">
        <v>454183.66928199999</v>
      </c>
      <c r="F59" s="83">
        <v>-0.104874</v>
      </c>
      <c r="G59" s="82">
        <v>97905.357342000003</v>
      </c>
      <c r="H59" s="100">
        <v>605301.58999200002</v>
      </c>
      <c r="I59" s="177">
        <f t="shared" si="3"/>
        <v>541821.30017811502</v>
      </c>
      <c r="J59" s="96">
        <f t="shared" si="2"/>
        <v>-0.10487381970155407</v>
      </c>
      <c r="K59" s="101">
        <f>_xlfn.XLOOKUP(C59,'2025 Goal Data'!C:C,'2025 Goal Data'!F:F,"")</f>
        <v>6.4718320562764109E-3</v>
      </c>
      <c r="L59" s="112">
        <f t="shared" si="4"/>
        <v>3917.4102338253065</v>
      </c>
      <c r="M59" s="102">
        <f t="shared" si="5"/>
        <v>-0.11134565175783048</v>
      </c>
      <c r="N59" s="103">
        <f>_xlfn.XLOOKUP(C59,'2025 Goal Data'!C:C,'2025 Goal Data'!I:I,"")</f>
        <v>3.5948028904770868E-3</v>
      </c>
      <c r="O59" s="116">
        <f t="shared" si="7"/>
        <v>2175.9399053136181</v>
      </c>
      <c r="P59" s="104">
        <f t="shared" si="8"/>
        <v>-0.10846862259203116</v>
      </c>
      <c r="Q59" s="67">
        <f t="shared" si="13"/>
        <v>2.8770291657993219E-3</v>
      </c>
      <c r="U59" s="57">
        <f>SUMIF(B:B,A59,K:K)</f>
        <v>-0.80799999999999994</v>
      </c>
    </row>
    <row r="60" spans="1:21" x14ac:dyDescent="0.25">
      <c r="A60" s="2" t="s">
        <v>394</v>
      </c>
      <c r="B60" s="2" t="s">
        <v>394</v>
      </c>
      <c r="C60" s="42" t="str">
        <f t="shared" si="0"/>
        <v>Heineken USA|Heineken USA</v>
      </c>
      <c r="D60" s="74">
        <v>407887.12508999999</v>
      </c>
      <c r="E60" s="1">
        <v>361677.523178</v>
      </c>
      <c r="F60" s="3">
        <v>-0.11329</v>
      </c>
      <c r="G60" s="1">
        <v>78754.925411999997</v>
      </c>
      <c r="H60" s="94">
        <v>486642.05050200003</v>
      </c>
      <c r="I60" s="178">
        <f t="shared" si="3"/>
        <v>431510.30309007451</v>
      </c>
      <c r="J60" s="96">
        <f t="shared" si="2"/>
        <v>-0.11329014283713024</v>
      </c>
      <c r="K60" s="59">
        <f>_xlfn.XLOOKUP(C60,'2025 Goal Data'!C:C,'2025 Goal Data'!F:F,"")</f>
        <v>1.9E-2</v>
      </c>
      <c r="L60" s="54">
        <f t="shared" si="4"/>
        <v>9246.1989595380001</v>
      </c>
      <c r="M60" s="87">
        <f t="shared" si="5"/>
        <v>-0.13229014283713023</v>
      </c>
      <c r="N60" s="68">
        <f>_xlfn.XLOOKUP(C60,'2025 Goal Data'!C:C,'2025 Goal Data'!I:I,"")</f>
        <v>1.9E-2</v>
      </c>
      <c r="O60" s="117">
        <f t="shared" si="7"/>
        <v>9246.1989595380001</v>
      </c>
      <c r="P60" s="91">
        <f t="shared" si="8"/>
        <v>-0.13229014283713023</v>
      </c>
      <c r="Q60" s="69">
        <f t="shared" si="13"/>
        <v>0</v>
      </c>
      <c r="U60" s="58">
        <f t="shared" ref="U60:U73" si="14">(H60*K60)+H60</f>
        <v>495888.24946153804</v>
      </c>
    </row>
    <row r="61" spans="1:21" x14ac:dyDescent="0.25">
      <c r="A61" s="2" t="s">
        <v>241</v>
      </c>
      <c r="B61" s="2" t="s">
        <v>394</v>
      </c>
      <c r="C61" s="42" t="str">
        <f t="shared" si="0"/>
        <v>Heineken Light|Heineken USA</v>
      </c>
      <c r="D61" s="74">
        <v>32610</v>
      </c>
      <c r="E61" s="1">
        <v>29630</v>
      </c>
      <c r="F61" s="3">
        <v>-9.1383000000000006E-2</v>
      </c>
      <c r="G61" s="1">
        <v>6623</v>
      </c>
      <c r="H61" s="94">
        <v>39233</v>
      </c>
      <c r="I61" s="178">
        <f t="shared" si="3"/>
        <v>35647.770390999998</v>
      </c>
      <c r="J61" s="96">
        <f t="shared" si="2"/>
        <v>-9.1383009430836326E-2</v>
      </c>
      <c r="K61" s="59">
        <f>_xlfn.XLOOKUP(C61,'2025 Goal Data'!C:C,'2025 Goal Data'!F:F,"")</f>
        <v>-0.1</v>
      </c>
      <c r="L61" s="54">
        <f t="shared" si="4"/>
        <v>-3923.3</v>
      </c>
      <c r="M61" s="87">
        <f t="shared" si="5"/>
        <v>8.6169905691636794E-3</v>
      </c>
      <c r="N61" s="68">
        <f>_xlfn.XLOOKUP(C61,'2025 Goal Data'!C:C,'2025 Goal Data'!I:I,"")</f>
        <v>-0.1</v>
      </c>
      <c r="O61" s="117">
        <f t="shared" si="7"/>
        <v>-3923.3</v>
      </c>
      <c r="P61" s="91">
        <f t="shared" si="8"/>
        <v>8.6169905691636794E-3</v>
      </c>
      <c r="Q61" s="69">
        <f t="shared" si="13"/>
        <v>0</v>
      </c>
      <c r="U61" s="58">
        <f t="shared" si="14"/>
        <v>35309.699999999997</v>
      </c>
    </row>
    <row r="62" spans="1:21" x14ac:dyDescent="0.25">
      <c r="A62" s="2" t="s">
        <v>373</v>
      </c>
      <c r="B62" s="2" t="s">
        <v>394</v>
      </c>
      <c r="C62" s="42" t="str">
        <f t="shared" si="0"/>
        <v>Heineken 0.0|Heineken USA</v>
      </c>
      <c r="D62" s="74">
        <v>20686.852144</v>
      </c>
      <c r="E62" s="1">
        <v>22376.508795999998</v>
      </c>
      <c r="F62" s="3">
        <v>8.1678000000000001E-2</v>
      </c>
      <c r="G62" s="1">
        <v>4191.9176639999996</v>
      </c>
      <c r="H62" s="94">
        <v>24878.769808000001</v>
      </c>
      <c r="I62" s="178">
        <f t="shared" si="3"/>
        <v>26910.813910960191</v>
      </c>
      <c r="J62" s="96">
        <f t="shared" si="2"/>
        <v>8.167783691244912E-2</v>
      </c>
      <c r="K62" s="59">
        <f>_xlfn.XLOOKUP(C62,'2025 Goal Data'!C:C,'2025 Goal Data'!F:F,"")</f>
        <v>0.12</v>
      </c>
      <c r="L62" s="54">
        <f t="shared" si="4"/>
        <v>2985.45237696</v>
      </c>
      <c r="M62" s="87">
        <f t="shared" si="5"/>
        <v>-3.8322163087550876E-2</v>
      </c>
      <c r="N62" s="68">
        <f>_xlfn.XLOOKUP(C62,'2025 Goal Data'!C:C,'2025 Goal Data'!I:I,"")</f>
        <v>0.05</v>
      </c>
      <c r="O62" s="117">
        <f t="shared" si="7"/>
        <v>1243.9384904000001</v>
      </c>
      <c r="P62" s="91">
        <f t="shared" si="8"/>
        <v>3.1677836912449117E-2</v>
      </c>
      <c r="Q62" s="69">
        <f t="shared" si="13"/>
        <v>6.9999999999999993E-2</v>
      </c>
      <c r="U62" s="58">
        <f t="shared" si="14"/>
        <v>27864.222184960003</v>
      </c>
    </row>
    <row r="63" spans="1:21" x14ac:dyDescent="0.25">
      <c r="A63" s="2" t="s">
        <v>3</v>
      </c>
      <c r="B63" s="2" t="s">
        <v>394</v>
      </c>
      <c r="C63" s="42" t="str">
        <f t="shared" si="0"/>
        <v>Amstel|Heineken USA</v>
      </c>
      <c r="D63" s="74">
        <v>13347</v>
      </c>
      <c r="E63" s="1">
        <v>11163</v>
      </c>
      <c r="F63" s="3">
        <v>-0.163632</v>
      </c>
      <c r="G63" s="1">
        <v>2845</v>
      </c>
      <c r="H63" s="94">
        <v>16192</v>
      </c>
      <c r="I63" s="178">
        <f t="shared" si="3"/>
        <v>13542.46696</v>
      </c>
      <c r="J63" s="96">
        <f t="shared" si="2"/>
        <v>-0.16363222826086954</v>
      </c>
      <c r="K63" s="59">
        <f>_xlfn.XLOOKUP(C63,'2025 Goal Data'!C:C,'2025 Goal Data'!F:F,"")</f>
        <v>-8.4000000000000005E-2</v>
      </c>
      <c r="L63" s="54">
        <f t="shared" si="4"/>
        <v>-1360.1280000000002</v>
      </c>
      <c r="M63" s="87">
        <f t="shared" si="5"/>
        <v>-7.9632228260869534E-2</v>
      </c>
      <c r="N63" s="68">
        <f>_xlfn.XLOOKUP(C63,'2025 Goal Data'!C:C,'2025 Goal Data'!I:I,"")</f>
        <v>-8.4000000000000005E-2</v>
      </c>
      <c r="O63" s="117">
        <f t="shared" si="7"/>
        <v>-1360.1280000000002</v>
      </c>
      <c r="P63" s="91">
        <f t="shared" si="8"/>
        <v>-7.9632228260869534E-2</v>
      </c>
      <c r="Q63" s="69">
        <f t="shared" si="13"/>
        <v>0</v>
      </c>
      <c r="U63" s="58">
        <f t="shared" si="14"/>
        <v>14831.871999999999</v>
      </c>
    </row>
    <row r="64" spans="1:21" x14ac:dyDescent="0.25">
      <c r="A64" s="2" t="s">
        <v>242</v>
      </c>
      <c r="B64" s="2" t="s">
        <v>394</v>
      </c>
      <c r="C64" s="42" t="str">
        <f t="shared" si="0"/>
        <v>Tecate|Heineken USA</v>
      </c>
      <c r="D64" s="74">
        <v>10721</v>
      </c>
      <c r="E64" s="1">
        <v>9328</v>
      </c>
      <c r="F64" s="3">
        <v>-0.12993199999999999</v>
      </c>
      <c r="G64" s="1">
        <v>1654.75</v>
      </c>
      <c r="H64" s="94">
        <v>12375.75</v>
      </c>
      <c r="I64" s="178">
        <f t="shared" si="3"/>
        <v>10767.745022999999</v>
      </c>
      <c r="J64" s="96">
        <f t="shared" si="2"/>
        <v>-0.12993192145930554</v>
      </c>
      <c r="K64" s="59">
        <f>_xlfn.XLOOKUP(C64,'2025 Goal Data'!C:C,'2025 Goal Data'!F:F,"")</f>
        <v>-5.0000000000000001E-3</v>
      </c>
      <c r="L64" s="54">
        <f t="shared" si="4"/>
        <v>-61.878750000000004</v>
      </c>
      <c r="M64" s="87">
        <f t="shared" si="5"/>
        <v>-0.12493192145930554</v>
      </c>
      <c r="N64" s="68">
        <f>_xlfn.XLOOKUP(C64,'2025 Goal Data'!C:C,'2025 Goal Data'!I:I,"")</f>
        <v>-5.0000000000000001E-3</v>
      </c>
      <c r="O64" s="117">
        <f t="shared" si="7"/>
        <v>-61.878750000000004</v>
      </c>
      <c r="P64" s="91">
        <f t="shared" si="8"/>
        <v>-0.12493192145930554</v>
      </c>
      <c r="Q64" s="69">
        <f t="shared" si="13"/>
        <v>0</v>
      </c>
      <c r="U64" s="58">
        <f t="shared" si="14"/>
        <v>12313.87125</v>
      </c>
    </row>
    <row r="65" spans="1:21" x14ac:dyDescent="0.25">
      <c r="A65" s="2" t="s">
        <v>395</v>
      </c>
      <c r="B65" s="2" t="s">
        <v>394</v>
      </c>
      <c r="C65" s="42" t="str">
        <f t="shared" si="0"/>
        <v>Dos Equis|Heineken USA</v>
      </c>
      <c r="D65" s="74">
        <v>7497.055531</v>
      </c>
      <c r="E65" s="1">
        <v>7117.4027850000002</v>
      </c>
      <c r="F65" s="3">
        <v>-5.0639999999999998E-2</v>
      </c>
      <c r="G65" s="1">
        <v>1259.1111060000001</v>
      </c>
      <c r="H65" s="94">
        <v>8756.1666370000003</v>
      </c>
      <c r="I65" s="178">
        <f t="shared" si="3"/>
        <v>8312.7525045921611</v>
      </c>
      <c r="J65" s="96">
        <f t="shared" si="2"/>
        <v>-5.0640211726230899E-2</v>
      </c>
      <c r="K65" s="59">
        <f>_xlfn.XLOOKUP(C65,'2025 Goal Data'!C:C,'2025 Goal Data'!F:F,"")</f>
        <v>-3.4000000000000002E-2</v>
      </c>
      <c r="L65" s="54">
        <f t="shared" si="4"/>
        <v>-297.70966565800001</v>
      </c>
      <c r="M65" s="87">
        <f t="shared" si="5"/>
        <v>-1.6640211726230897E-2</v>
      </c>
      <c r="N65" s="68">
        <f>_xlfn.XLOOKUP(C65,'2025 Goal Data'!C:C,'2025 Goal Data'!I:I,"")</f>
        <v>-3.4000000000000002E-2</v>
      </c>
      <c r="O65" s="117">
        <f t="shared" si="7"/>
        <v>-297.70966565800001</v>
      </c>
      <c r="P65" s="91">
        <f t="shared" si="8"/>
        <v>-1.6640211726230897E-2</v>
      </c>
      <c r="Q65" s="69">
        <f t="shared" si="13"/>
        <v>0</v>
      </c>
      <c r="U65" s="58">
        <f t="shared" si="14"/>
        <v>8458.4569713420005</v>
      </c>
    </row>
    <row r="66" spans="1:21" x14ac:dyDescent="0.25">
      <c r="A66" s="2" t="s">
        <v>312</v>
      </c>
      <c r="B66" s="2" t="s">
        <v>394</v>
      </c>
      <c r="C66" s="42" t="str">
        <f t="shared" si="0"/>
        <v>Red Stripe|Heineken USA</v>
      </c>
      <c r="D66" s="74">
        <v>6565.2514879999999</v>
      </c>
      <c r="E66" s="1">
        <v>6273.8868519999996</v>
      </c>
      <c r="F66" s="3">
        <v>-4.4380000000000003E-2</v>
      </c>
      <c r="G66" s="1">
        <v>1108.0662279999999</v>
      </c>
      <c r="H66" s="94">
        <v>7673.3177159999996</v>
      </c>
      <c r="I66" s="178">
        <f t="shared" si="3"/>
        <v>7332.7771008013597</v>
      </c>
      <c r="J66" s="96">
        <f t="shared" si="2"/>
        <v>-4.4379840351007838E-2</v>
      </c>
      <c r="K66" s="59">
        <f>_xlfn.XLOOKUP(C66,'2025 Goal Data'!C:C,'2025 Goal Data'!F:F,"")</f>
        <v>-8.4000000000000005E-2</v>
      </c>
      <c r="L66" s="54">
        <f t="shared" si="4"/>
        <v>-644.55868814400003</v>
      </c>
      <c r="M66" s="87">
        <f t="shared" si="5"/>
        <v>3.9620159648992168E-2</v>
      </c>
      <c r="N66" s="68">
        <f>_xlfn.XLOOKUP(C66,'2025 Goal Data'!C:C,'2025 Goal Data'!I:I,"")</f>
        <v>-8.4000000000000005E-2</v>
      </c>
      <c r="O66" s="117">
        <f t="shared" si="7"/>
        <v>-644.55868814400003</v>
      </c>
      <c r="P66" s="91">
        <f t="shared" si="8"/>
        <v>3.9620159648992168E-2</v>
      </c>
      <c r="Q66" s="69">
        <f t="shared" si="13"/>
        <v>0</v>
      </c>
      <c r="U66" s="58">
        <f t="shared" si="14"/>
        <v>7028.7590278559992</v>
      </c>
    </row>
    <row r="67" spans="1:21" x14ac:dyDescent="0.25">
      <c r="A67" s="2" t="s">
        <v>32</v>
      </c>
      <c r="B67" s="2" t="s">
        <v>394</v>
      </c>
      <c r="C67" s="42" t="str">
        <f t="shared" ref="C67:C131" si="15">A67&amp;"|"&amp;B67</f>
        <v>Heineken Silver|Heineken USA</v>
      </c>
      <c r="D67" s="74">
        <v>4892</v>
      </c>
      <c r="E67" s="1">
        <v>3092</v>
      </c>
      <c r="F67" s="3">
        <v>-0.367948</v>
      </c>
      <c r="G67" s="1">
        <v>808</v>
      </c>
      <c r="H67" s="94">
        <v>5700</v>
      </c>
      <c r="I67" s="178">
        <f t="shared" ref="I67:I131" si="16">((G67*F67)+G67)+E67</f>
        <v>3602.6980159999998</v>
      </c>
      <c r="J67" s="96">
        <f t="shared" ref="J67:J130" si="17">IFERROR((I67/H67)-1,0)</f>
        <v>-0.36794771649122815</v>
      </c>
      <c r="K67" s="59">
        <f>_xlfn.XLOOKUP(C67,'2025 Goal Data'!C:C,'2025 Goal Data'!F:F,"")</f>
        <v>-0.30399999999999999</v>
      </c>
      <c r="L67" s="54">
        <f t="shared" si="4"/>
        <v>-1732.8</v>
      </c>
      <c r="M67" s="87">
        <f t="shared" si="5"/>
        <v>-6.3947716491228157E-2</v>
      </c>
      <c r="N67" s="68">
        <f>_xlfn.XLOOKUP(C67,'2025 Goal Data'!C:C,'2025 Goal Data'!I:I,"")</f>
        <v>-0.30399999999999999</v>
      </c>
      <c r="O67" s="117">
        <f t="shared" si="7"/>
        <v>-1732.8</v>
      </c>
      <c r="P67" s="91">
        <f t="shared" si="8"/>
        <v>-6.3947716491228157E-2</v>
      </c>
      <c r="Q67" s="69">
        <f t="shared" si="13"/>
        <v>0</v>
      </c>
      <c r="U67" s="58">
        <f t="shared" si="14"/>
        <v>3967.2</v>
      </c>
    </row>
    <row r="68" spans="1:21" x14ac:dyDescent="0.25">
      <c r="A68" s="2" t="s">
        <v>288</v>
      </c>
      <c r="B68" s="2" t="s">
        <v>394</v>
      </c>
      <c r="C68" s="42" t="str">
        <f t="shared" si="15"/>
        <v>Murphy's|Heineken USA</v>
      </c>
      <c r="D68" s="74">
        <v>1144.854576</v>
      </c>
      <c r="E68" s="1">
        <v>1322.611584</v>
      </c>
      <c r="F68" s="3">
        <v>0.15526599999999999</v>
      </c>
      <c r="G68" s="1">
        <v>283.41676799999999</v>
      </c>
      <c r="H68" s="94">
        <v>1428.271344</v>
      </c>
      <c r="I68" s="178">
        <f t="shared" si="16"/>
        <v>1650.033339900288</v>
      </c>
      <c r="J68" s="96">
        <f t="shared" si="17"/>
        <v>0.1552660121845082</v>
      </c>
      <c r="K68" s="59">
        <f>_xlfn.XLOOKUP(C68,'2025 Goal Data'!C:C,'2025 Goal Data'!F:F,"")</f>
        <v>-8.4000000000000005E-2</v>
      </c>
      <c r="L68" s="54">
        <f t="shared" ref="L68:L132" si="18">IFERROR(K68*H68,0)</f>
        <v>-119.97479289600001</v>
      </c>
      <c r="M68" s="87">
        <f t="shared" ref="M68:M132" si="19">IFERROR(J68-K68,0)</f>
        <v>0.23926601218450821</v>
      </c>
      <c r="N68" s="68">
        <f>_xlfn.XLOOKUP(C68,'2025 Goal Data'!C:C,'2025 Goal Data'!I:I,"")</f>
        <v>-8.4000000000000005E-2</v>
      </c>
      <c r="O68" s="117">
        <f t="shared" si="7"/>
        <v>-119.97479289600001</v>
      </c>
      <c r="P68" s="91">
        <f t="shared" si="8"/>
        <v>0.23926601218450821</v>
      </c>
      <c r="Q68" s="69">
        <f t="shared" si="13"/>
        <v>0</v>
      </c>
      <c r="U68" s="58">
        <f t="shared" si="14"/>
        <v>1308.2965511039999</v>
      </c>
    </row>
    <row r="69" spans="1:21" x14ac:dyDescent="0.25">
      <c r="A69" s="2" t="s">
        <v>87</v>
      </c>
      <c r="B69" s="2" t="s">
        <v>394</v>
      </c>
      <c r="C69" s="42" t="str">
        <f t="shared" si="15"/>
        <v>Strongbow|Heineken USA</v>
      </c>
      <c r="D69" s="74">
        <v>753.76059599999996</v>
      </c>
      <c r="E69" s="1">
        <v>541.73623999999995</v>
      </c>
      <c r="F69" s="3">
        <v>-0.28128900000000001</v>
      </c>
      <c r="G69" s="1">
        <v>139.17017200000001</v>
      </c>
      <c r="H69" s="94">
        <v>892.93076799999994</v>
      </c>
      <c r="I69" s="178">
        <f t="shared" si="16"/>
        <v>641.759373488292</v>
      </c>
      <c r="J69" s="96">
        <f t="shared" si="17"/>
        <v>-0.28128876673640157</v>
      </c>
      <c r="K69" s="59">
        <f>_xlfn.XLOOKUP(C69,'2025 Goal Data'!C:C,'2025 Goal Data'!F:F,"")</f>
        <v>-8.4000000000000005E-2</v>
      </c>
      <c r="L69" s="54">
        <f t="shared" si="18"/>
        <v>-75.006184512000004</v>
      </c>
      <c r="M69" s="87">
        <f t="shared" si="19"/>
        <v>-0.19728876673640156</v>
      </c>
      <c r="N69" s="68">
        <f>_xlfn.XLOOKUP(C69,'2025 Goal Data'!C:C,'2025 Goal Data'!I:I,"")</f>
        <v>-8.4000000000000005E-2</v>
      </c>
      <c r="O69" s="117">
        <f t="shared" ref="O69:O133" si="20">IFERROR(N69*H69,0)</f>
        <v>-75.006184512000004</v>
      </c>
      <c r="P69" s="91">
        <f t="shared" ref="P69:P133" si="21">IFERROR(J69-N69,0)</f>
        <v>-0.19728876673640156</v>
      </c>
      <c r="Q69" s="69">
        <f t="shared" si="13"/>
        <v>0</v>
      </c>
      <c r="U69" s="58">
        <f t="shared" si="14"/>
        <v>817.92458348799994</v>
      </c>
    </row>
    <row r="70" spans="1:21" x14ac:dyDescent="0.25">
      <c r="A70" s="2" t="s">
        <v>216</v>
      </c>
      <c r="B70" s="2" t="s">
        <v>394</v>
      </c>
      <c r="C70" s="42" t="str">
        <f t="shared" si="15"/>
        <v>Prestige Lager|Heineken USA</v>
      </c>
      <c r="D70" s="74">
        <v>252</v>
      </c>
      <c r="E70" s="1">
        <v>581</v>
      </c>
      <c r="F70" s="3">
        <v>1.3055559999999999</v>
      </c>
      <c r="G70" s="1">
        <v>100</v>
      </c>
      <c r="H70" s="94">
        <v>352</v>
      </c>
      <c r="I70" s="178">
        <f t="shared" si="16"/>
        <v>811.55560000000003</v>
      </c>
      <c r="J70" s="96">
        <f t="shared" si="17"/>
        <v>1.3055556818181819</v>
      </c>
      <c r="K70" s="59">
        <f>_xlfn.XLOOKUP(C70,'2025 Goal Data'!C:C,'2025 Goal Data'!F:F,"")</f>
        <v>0</v>
      </c>
      <c r="L70" s="54">
        <f t="shared" si="18"/>
        <v>0</v>
      </c>
      <c r="M70" s="87">
        <f t="shared" si="19"/>
        <v>1.3055556818181819</v>
      </c>
      <c r="N70" s="68">
        <f>_xlfn.XLOOKUP(C70,'2025 Goal Data'!C:C,'2025 Goal Data'!I:I,"")</f>
        <v>0</v>
      </c>
      <c r="O70" s="117">
        <f t="shared" si="20"/>
        <v>0</v>
      </c>
      <c r="P70" s="91">
        <f t="shared" si="21"/>
        <v>1.3055556818181819</v>
      </c>
      <c r="Q70" s="69">
        <f t="shared" si="13"/>
        <v>0</v>
      </c>
      <c r="U70" s="58">
        <f t="shared" si="14"/>
        <v>352</v>
      </c>
    </row>
    <row r="71" spans="1:21" x14ac:dyDescent="0.25">
      <c r="A71" s="2" t="s">
        <v>313</v>
      </c>
      <c r="B71" s="2" t="s">
        <v>394</v>
      </c>
      <c r="C71" s="42" t="str">
        <f t="shared" si="15"/>
        <v>Buckler|Heineken USA</v>
      </c>
      <c r="D71" s="74">
        <v>515</v>
      </c>
      <c r="E71" s="1">
        <v>300</v>
      </c>
      <c r="F71" s="3">
        <v>-0.41747600000000001</v>
      </c>
      <c r="G71" s="1">
        <v>88</v>
      </c>
      <c r="H71" s="94">
        <v>603</v>
      </c>
      <c r="I71" s="178">
        <f t="shared" si="16"/>
        <v>351.262112</v>
      </c>
      <c r="J71" s="96">
        <f t="shared" si="17"/>
        <v>-0.41747576782752904</v>
      </c>
      <c r="K71" s="59">
        <f>_xlfn.XLOOKUP(C71,'2025 Goal Data'!C:C,'2025 Goal Data'!F:F,"")</f>
        <v>-8.4000000000000005E-2</v>
      </c>
      <c r="L71" s="54">
        <f t="shared" si="18"/>
        <v>-50.652000000000001</v>
      </c>
      <c r="M71" s="87">
        <f t="shared" si="19"/>
        <v>-0.33347576782752902</v>
      </c>
      <c r="N71" s="68">
        <f>_xlfn.XLOOKUP(C71,'2025 Goal Data'!C:C,'2025 Goal Data'!I:I,"")</f>
        <v>-8.4000000000000005E-2</v>
      </c>
      <c r="O71" s="117">
        <f t="shared" si="20"/>
        <v>-50.652000000000001</v>
      </c>
      <c r="P71" s="91">
        <f t="shared" si="21"/>
        <v>-0.33347576782752902</v>
      </c>
      <c r="Q71" s="69">
        <f t="shared" si="13"/>
        <v>0</v>
      </c>
      <c r="U71" s="58">
        <f t="shared" si="14"/>
        <v>552.34799999999996</v>
      </c>
    </row>
    <row r="72" spans="1:21" x14ac:dyDescent="0.25">
      <c r="A72" s="2" t="s">
        <v>109</v>
      </c>
      <c r="B72" s="2" t="s">
        <v>394</v>
      </c>
      <c r="C72" s="42" t="str">
        <f t="shared" si="15"/>
        <v>Carta Blanca|Heineken USA</v>
      </c>
      <c r="D72" s="74">
        <v>525.33322499999997</v>
      </c>
      <c r="E72" s="1">
        <v>778.99984700000005</v>
      </c>
      <c r="F72" s="3">
        <v>0.48286800000000002</v>
      </c>
      <c r="G72" s="1">
        <v>49.999991999999999</v>
      </c>
      <c r="H72" s="94">
        <v>575.33321699999999</v>
      </c>
      <c r="I72" s="178">
        <f t="shared" si="16"/>
        <v>853.14323513705608</v>
      </c>
      <c r="J72" s="96">
        <f t="shared" si="17"/>
        <v>0.48286803182625215</v>
      </c>
      <c r="K72" s="59">
        <f>_xlfn.XLOOKUP(C72,'2025 Goal Data'!C:C,'2025 Goal Data'!F:F,"")</f>
        <v>-8.4000000000000005E-2</v>
      </c>
      <c r="L72" s="54">
        <f t="shared" si="18"/>
        <v>-48.327990228000004</v>
      </c>
      <c r="M72" s="87">
        <f t="shared" si="19"/>
        <v>0.56686803182625212</v>
      </c>
      <c r="N72" s="68">
        <f>_xlfn.XLOOKUP(C72,'2025 Goal Data'!C:C,'2025 Goal Data'!I:I,"")</f>
        <v>-8.4000000000000005E-2</v>
      </c>
      <c r="O72" s="117">
        <f t="shared" si="20"/>
        <v>-48.327990228000004</v>
      </c>
      <c r="P72" s="91">
        <f t="shared" si="21"/>
        <v>0.56686803182625212</v>
      </c>
      <c r="Q72" s="69">
        <f t="shared" si="13"/>
        <v>0</v>
      </c>
      <c r="U72" s="58">
        <f t="shared" si="14"/>
        <v>527.00522677200001</v>
      </c>
    </row>
    <row r="73" spans="1:21" x14ac:dyDescent="0.25">
      <c r="A73" s="128" t="s">
        <v>33</v>
      </c>
      <c r="B73" s="2" t="s">
        <v>394</v>
      </c>
      <c r="C73" s="42" t="str">
        <f t="shared" si="15"/>
        <v>Tecate Light|Heineken USA</v>
      </c>
      <c r="D73" s="74">
        <v>-1</v>
      </c>
      <c r="E73" s="1">
        <v>0</v>
      </c>
      <c r="F73" s="3">
        <v>1</v>
      </c>
      <c r="G73" s="1">
        <v>0</v>
      </c>
      <c r="H73" s="94">
        <v>-1</v>
      </c>
      <c r="I73" s="178">
        <f t="shared" si="16"/>
        <v>0</v>
      </c>
      <c r="J73" s="96">
        <f t="shared" si="17"/>
        <v>-1</v>
      </c>
      <c r="K73" s="59">
        <f>_xlfn.XLOOKUP(C73,'2025 Goal Data'!C:C,'2025 Goal Data'!F:F,"")</f>
        <v>0</v>
      </c>
      <c r="L73" s="54">
        <f t="shared" si="18"/>
        <v>0</v>
      </c>
      <c r="M73" s="87">
        <f t="shared" si="19"/>
        <v>-1</v>
      </c>
      <c r="N73" s="68">
        <f>_xlfn.XLOOKUP(C73,'2025 Goal Data'!C:C,'2025 Goal Data'!I:I,"")</f>
        <v>0</v>
      </c>
      <c r="O73" s="117">
        <f t="shared" si="20"/>
        <v>0</v>
      </c>
      <c r="P73" s="91">
        <f t="shared" si="21"/>
        <v>-1</v>
      </c>
      <c r="Q73" s="69">
        <f t="shared" si="13"/>
        <v>0</v>
      </c>
      <c r="U73" s="58">
        <f t="shared" si="14"/>
        <v>-1</v>
      </c>
    </row>
    <row r="74" spans="1:21" x14ac:dyDescent="0.25">
      <c r="A74" s="2" t="s">
        <v>55</v>
      </c>
      <c r="B74" s="5" t="s">
        <v>394</v>
      </c>
      <c r="C74" s="42" t="str">
        <f t="shared" si="15"/>
        <v>Newcastle|Heineken USA</v>
      </c>
      <c r="D74" s="74">
        <v>0</v>
      </c>
      <c r="E74" s="1">
        <v>1</v>
      </c>
      <c r="F74" s="3">
        <v>1</v>
      </c>
      <c r="G74" s="1">
        <v>0</v>
      </c>
      <c r="H74" s="94">
        <v>0</v>
      </c>
      <c r="I74" s="178">
        <f t="shared" si="16"/>
        <v>1</v>
      </c>
      <c r="J74" s="96">
        <f t="shared" si="17"/>
        <v>0</v>
      </c>
      <c r="K74" s="59" t="str">
        <f>_xlfn.XLOOKUP(C74,'2025 Goal Data'!C:C,'2025 Goal Data'!F:F,"")</f>
        <v/>
      </c>
      <c r="L74" s="54">
        <f t="shared" si="18"/>
        <v>0</v>
      </c>
      <c r="M74" s="87">
        <f t="shared" si="19"/>
        <v>0</v>
      </c>
      <c r="N74" s="68" t="str">
        <f>_xlfn.XLOOKUP(C74,'2025 Goal Data'!C:C,'2025 Goal Data'!I:I,"")</f>
        <v/>
      </c>
      <c r="O74" s="117">
        <f t="shared" si="20"/>
        <v>0</v>
      </c>
      <c r="P74" s="91">
        <f t="shared" si="21"/>
        <v>0</v>
      </c>
      <c r="Q74" s="69" t="s">
        <v>475</v>
      </c>
      <c r="U74" s="58" t="s">
        <v>475</v>
      </c>
    </row>
    <row r="75" spans="1:21" x14ac:dyDescent="0.25">
      <c r="A75" s="98" t="s">
        <v>88</v>
      </c>
      <c r="B75" s="99"/>
      <c r="C75" s="42" t="str">
        <f t="shared" si="15"/>
        <v>Boston Beer Company|</v>
      </c>
      <c r="D75" s="73">
        <v>333564.27518900001</v>
      </c>
      <c r="E75" s="82">
        <v>347900.602572</v>
      </c>
      <c r="F75" s="83">
        <v>4.2979000000000003E-2</v>
      </c>
      <c r="G75" s="82">
        <v>65625.412968999997</v>
      </c>
      <c r="H75" s="100">
        <v>399189.688158</v>
      </c>
      <c r="I75" s="177">
        <f t="shared" si="16"/>
        <v>416346.53016499465</v>
      </c>
      <c r="J75" s="96">
        <f t="shared" si="17"/>
        <v>4.297917134623952E-2</v>
      </c>
      <c r="K75" s="101">
        <f>_xlfn.XLOOKUP(C75,'2025 Goal Data'!C:C,'2025 Goal Data'!F:F,"")</f>
        <v>0.10912397700779543</v>
      </c>
      <c r="L75" s="112">
        <f t="shared" si="18"/>
        <v>43561.166352302622</v>
      </c>
      <c r="M75" s="102">
        <f t="shared" si="19"/>
        <v>-6.6144805661555908E-2</v>
      </c>
      <c r="N75" s="103">
        <f>_xlfn.XLOOKUP(C75,'2025 Goal Data'!C:C,'2025 Goal Data'!I:I,"")</f>
        <v>4.0534570457533815E-2</v>
      </c>
      <c r="O75" s="116">
        <f t="shared" si="20"/>
        <v>16180.982540561403</v>
      </c>
      <c r="P75" s="104">
        <f t="shared" si="21"/>
        <v>2.4446008887057044E-3</v>
      </c>
      <c r="Q75" s="67">
        <f t="shared" ref="Q75:Q92" si="22">P75-M75</f>
        <v>6.8589406550261606E-2</v>
      </c>
      <c r="U75" s="57">
        <f>SUMIF(B:B,A75,K:K)</f>
        <v>3.0190000000000001</v>
      </c>
    </row>
    <row r="76" spans="1:21" x14ac:dyDescent="0.25">
      <c r="A76" s="2" t="s">
        <v>110</v>
      </c>
      <c r="B76" s="2" t="s">
        <v>88</v>
      </c>
      <c r="C76" s="42" t="str">
        <f t="shared" si="15"/>
        <v>Samuel Adams|Boston Beer Company</v>
      </c>
      <c r="D76" s="74">
        <v>105360.084413</v>
      </c>
      <c r="E76" s="1">
        <v>100208.826179</v>
      </c>
      <c r="F76" s="3">
        <v>-4.8891999999999998E-2</v>
      </c>
      <c r="G76" s="1">
        <v>22801.97925</v>
      </c>
      <c r="H76" s="94">
        <v>128162.06366299999</v>
      </c>
      <c r="I76" s="178">
        <f t="shared" si="16"/>
        <v>121895.971059509</v>
      </c>
      <c r="J76" s="96">
        <f t="shared" si="17"/>
        <v>-4.889194527927998E-2</v>
      </c>
      <c r="K76" s="59">
        <f>_xlfn.XLOOKUP(C76,'2025 Goal Data'!C:C,'2025 Goal Data'!F:F,"")</f>
        <v>-8.0000000000000002E-3</v>
      </c>
      <c r="L76" s="54">
        <f t="shared" si="18"/>
        <v>-1025.296509304</v>
      </c>
      <c r="M76" s="87">
        <f t="shared" si="19"/>
        <v>-4.089194527927998E-2</v>
      </c>
      <c r="N76" s="68">
        <f>_xlfn.XLOOKUP(C76,'2025 Goal Data'!C:C,'2025 Goal Data'!I:I,"")</f>
        <v>-0.01</v>
      </c>
      <c r="O76" s="117">
        <f t="shared" si="20"/>
        <v>-1281.62063663</v>
      </c>
      <c r="P76" s="91">
        <f t="shared" si="21"/>
        <v>-3.8891945279279978E-2</v>
      </c>
      <c r="Q76" s="69">
        <f t="shared" si="22"/>
        <v>2.0000000000000018E-3</v>
      </c>
      <c r="U76" s="58">
        <f t="shared" ref="U76:U86" si="23">(H76*K76)+H76</f>
        <v>127136.767153696</v>
      </c>
    </row>
    <row r="77" spans="1:21" x14ac:dyDescent="0.25">
      <c r="A77" s="2" t="s">
        <v>314</v>
      </c>
      <c r="B77" s="2" t="s">
        <v>88</v>
      </c>
      <c r="C77" s="42" t="str">
        <f t="shared" si="15"/>
        <v>Twisted Tea|Boston Beer Company</v>
      </c>
      <c r="D77" s="74">
        <v>105406.576563</v>
      </c>
      <c r="E77" s="1">
        <v>91406.222278000001</v>
      </c>
      <c r="F77" s="3">
        <v>-0.132822</v>
      </c>
      <c r="G77" s="1">
        <v>17857.770844999999</v>
      </c>
      <c r="H77" s="94">
        <v>123264.347408</v>
      </c>
      <c r="I77" s="178">
        <f t="shared" si="16"/>
        <v>106892.0882838254</v>
      </c>
      <c r="J77" s="96">
        <f t="shared" si="17"/>
        <v>-0.13282234051005104</v>
      </c>
      <c r="K77" s="59">
        <f>_xlfn.XLOOKUP(C77,'2025 Goal Data'!C:C,'2025 Goal Data'!F:F,"")</f>
        <v>-1.4E-2</v>
      </c>
      <c r="L77" s="54">
        <f t="shared" si="18"/>
        <v>-1725.700863712</v>
      </c>
      <c r="M77" s="87">
        <f t="shared" si="19"/>
        <v>-0.11882234051005104</v>
      </c>
      <c r="N77" s="68">
        <f>_xlfn.XLOOKUP(C77,'2025 Goal Data'!C:C,'2025 Goal Data'!I:I,"")</f>
        <v>-1.4E-2</v>
      </c>
      <c r="O77" s="117">
        <f t="shared" si="20"/>
        <v>-1725.700863712</v>
      </c>
      <c r="P77" s="91">
        <f t="shared" si="21"/>
        <v>-0.11882234051005104</v>
      </c>
      <c r="Q77" s="69">
        <f t="shared" si="22"/>
        <v>0</v>
      </c>
      <c r="U77" s="58">
        <f t="shared" si="23"/>
        <v>121538.646544288</v>
      </c>
    </row>
    <row r="78" spans="1:21" x14ac:dyDescent="0.25">
      <c r="A78" s="2" t="s">
        <v>374</v>
      </c>
      <c r="B78" s="2" t="s">
        <v>88</v>
      </c>
      <c r="C78" s="42" t="str">
        <f t="shared" si="15"/>
        <v>Angry Orchard|Boston Beer Company</v>
      </c>
      <c r="D78" s="74">
        <v>33021.020881999997</v>
      </c>
      <c r="E78" s="1">
        <v>34055.926433000001</v>
      </c>
      <c r="F78" s="3">
        <v>3.1341000000000001E-2</v>
      </c>
      <c r="G78" s="1">
        <v>7737.3125099999997</v>
      </c>
      <c r="H78" s="94">
        <v>40758.333392</v>
      </c>
      <c r="I78" s="178">
        <f t="shared" si="16"/>
        <v>42035.734054375913</v>
      </c>
      <c r="J78" s="96">
        <f t="shared" si="17"/>
        <v>3.1340846302283731E-2</v>
      </c>
      <c r="K78" s="59">
        <f>_xlfn.XLOOKUP(C78,'2025 Goal Data'!C:C,'2025 Goal Data'!F:F,"")</f>
        <v>4.1000000000000002E-2</v>
      </c>
      <c r="L78" s="54">
        <f t="shared" si="18"/>
        <v>1671.0916690720001</v>
      </c>
      <c r="M78" s="87">
        <f t="shared" si="19"/>
        <v>-9.6591536977162704E-3</v>
      </c>
      <c r="N78" s="68">
        <f>_xlfn.XLOOKUP(C78,'2025 Goal Data'!C:C,'2025 Goal Data'!I:I,"")</f>
        <v>4.1000000000000002E-2</v>
      </c>
      <c r="O78" s="117">
        <f t="shared" si="20"/>
        <v>1671.0916690720001</v>
      </c>
      <c r="P78" s="91">
        <f t="shared" si="21"/>
        <v>-9.6591536977162704E-3</v>
      </c>
      <c r="Q78" s="69">
        <f t="shared" si="22"/>
        <v>0</v>
      </c>
      <c r="U78" s="58">
        <f t="shared" si="23"/>
        <v>42429.425061071997</v>
      </c>
    </row>
    <row r="79" spans="1:21" x14ac:dyDescent="0.25">
      <c r="A79" s="2" t="s">
        <v>243</v>
      </c>
      <c r="B79" s="2" t="s">
        <v>88</v>
      </c>
      <c r="C79" s="42" t="str">
        <f t="shared" si="15"/>
        <v>Truly|Boston Beer Company</v>
      </c>
      <c r="D79" s="74">
        <v>41511.270621000003</v>
      </c>
      <c r="E79" s="1">
        <v>31747.006775999998</v>
      </c>
      <c r="F79" s="3">
        <v>-0.23522000000000001</v>
      </c>
      <c r="G79" s="1">
        <v>6149.3680430000004</v>
      </c>
      <c r="H79" s="94">
        <v>47660.638663999998</v>
      </c>
      <c r="I79" s="178">
        <f t="shared" si="16"/>
        <v>36449.920467925534</v>
      </c>
      <c r="J79" s="96">
        <f t="shared" si="17"/>
        <v>-0.23521963847585559</v>
      </c>
      <c r="K79" s="59">
        <f>_xlfn.XLOOKUP(C79,'2025 Goal Data'!C:C,'2025 Goal Data'!F:F,"")</f>
        <v>-5.6000000000000001E-2</v>
      </c>
      <c r="L79" s="54">
        <f t="shared" si="18"/>
        <v>-2668.995765184</v>
      </c>
      <c r="M79" s="87">
        <f t="shared" si="19"/>
        <v>-0.17921963847585559</v>
      </c>
      <c r="N79" s="68">
        <f>_xlfn.XLOOKUP(C79,'2025 Goal Data'!C:C,'2025 Goal Data'!I:I,"")</f>
        <v>-0.15</v>
      </c>
      <c r="O79" s="117">
        <f t="shared" si="20"/>
        <v>-7149.0957995999997</v>
      </c>
      <c r="P79" s="91">
        <f t="shared" si="21"/>
        <v>-8.5219638475855591E-2</v>
      </c>
      <c r="Q79" s="69">
        <f t="shared" si="22"/>
        <v>9.4E-2</v>
      </c>
      <c r="U79" s="58">
        <f t="shared" si="23"/>
        <v>44991.642898815997</v>
      </c>
    </row>
    <row r="80" spans="1:21" x14ac:dyDescent="0.25">
      <c r="A80" s="2" t="s">
        <v>342</v>
      </c>
      <c r="B80" s="2" t="s">
        <v>88</v>
      </c>
      <c r="C80" s="42" t="str">
        <f t="shared" si="15"/>
        <v>Dogfish Head Beer|Boston Beer Company</v>
      </c>
      <c r="D80" s="74">
        <v>28801.800061000002</v>
      </c>
      <c r="E80" s="1">
        <v>31742.747338000001</v>
      </c>
      <c r="F80" s="3">
        <v>0.10211000000000001</v>
      </c>
      <c r="G80" s="1">
        <v>5802.7555689999999</v>
      </c>
      <c r="H80" s="94">
        <v>34604.555630000003</v>
      </c>
      <c r="I80" s="178">
        <f t="shared" si="16"/>
        <v>38138.022278150587</v>
      </c>
      <c r="J80" s="96">
        <f t="shared" si="17"/>
        <v>0.1021098691724649</v>
      </c>
      <c r="K80" s="59">
        <f>_xlfn.XLOOKUP(C80,'2025 Goal Data'!C:C,'2025 Goal Data'!F:F,"")</f>
        <v>6.0000000000000001E-3</v>
      </c>
      <c r="L80" s="54">
        <f t="shared" si="18"/>
        <v>207.62733378000001</v>
      </c>
      <c r="M80" s="87">
        <f t="shared" si="19"/>
        <v>9.610986917246489E-2</v>
      </c>
      <c r="N80" s="68">
        <f>_xlfn.XLOOKUP(C80,'2025 Goal Data'!C:C,'2025 Goal Data'!I:I,"")</f>
        <v>-0.05</v>
      </c>
      <c r="O80" s="117">
        <f t="shared" si="20"/>
        <v>-1730.2277815000002</v>
      </c>
      <c r="P80" s="91">
        <f t="shared" si="21"/>
        <v>0.15210986917246488</v>
      </c>
      <c r="Q80" s="69">
        <f t="shared" si="22"/>
        <v>5.5999999999999994E-2</v>
      </c>
      <c r="U80" s="58">
        <f t="shared" si="23"/>
        <v>34812.182963780004</v>
      </c>
    </row>
    <row r="81" spans="1:21" x14ac:dyDescent="0.25">
      <c r="A81" s="2" t="s">
        <v>396</v>
      </c>
      <c r="B81" s="2" t="s">
        <v>88</v>
      </c>
      <c r="C81" s="42" t="str">
        <f t="shared" si="15"/>
        <v>Sun Cruiser|Boston Beer Company</v>
      </c>
      <c r="D81" s="74">
        <v>13086</v>
      </c>
      <c r="E81" s="1">
        <v>48358.25</v>
      </c>
      <c r="F81" s="3">
        <v>2.6954189999999998</v>
      </c>
      <c r="G81" s="1">
        <v>3143</v>
      </c>
      <c r="H81" s="94">
        <v>16229</v>
      </c>
      <c r="I81" s="178">
        <f t="shared" si="16"/>
        <v>59972.951916999999</v>
      </c>
      <c r="J81" s="96">
        <f t="shared" si="17"/>
        <v>2.6954188130507117</v>
      </c>
      <c r="K81" s="59">
        <f>_xlfn.XLOOKUP(C81,'2025 Goal Data'!C:C,'2025 Goal Data'!F:F,"")</f>
        <v>2.77</v>
      </c>
      <c r="L81" s="54">
        <f t="shared" si="18"/>
        <v>44954.33</v>
      </c>
      <c r="M81" s="87">
        <f t="shared" si="19"/>
        <v>-7.4581186949288281E-2</v>
      </c>
      <c r="N81" s="68">
        <f>_xlfn.XLOOKUP(C81,'2025 Goal Data'!C:C,'2025 Goal Data'!I:I,"")</f>
        <v>1.5</v>
      </c>
      <c r="O81" s="117">
        <f t="shared" si="20"/>
        <v>24343.5</v>
      </c>
      <c r="P81" s="91">
        <f t="shared" si="21"/>
        <v>1.1954188130507117</v>
      </c>
      <c r="Q81" s="69">
        <f t="shared" si="22"/>
        <v>1.27</v>
      </c>
      <c r="U81" s="58">
        <f t="shared" si="23"/>
        <v>61183.33</v>
      </c>
    </row>
    <row r="82" spans="1:21" x14ac:dyDescent="0.25">
      <c r="A82" s="2" t="s">
        <v>161</v>
      </c>
      <c r="B82" s="2" t="s">
        <v>88</v>
      </c>
      <c r="C82" s="42" t="str">
        <f t="shared" si="15"/>
        <v>Hard Mountain Dew|Boston Beer Company</v>
      </c>
      <c r="D82" s="74">
        <v>0</v>
      </c>
      <c r="E82" s="1">
        <v>4876</v>
      </c>
      <c r="F82" s="3">
        <v>1</v>
      </c>
      <c r="G82" s="1">
        <v>1385</v>
      </c>
      <c r="H82" s="94">
        <v>1385</v>
      </c>
      <c r="I82" s="178">
        <f t="shared" si="16"/>
        <v>7646</v>
      </c>
      <c r="J82" s="96">
        <f t="shared" si="17"/>
        <v>4.5205776173285201</v>
      </c>
      <c r="K82" s="59">
        <f>_xlfn.XLOOKUP(C82,'2025 Goal Data'!C:C,'2025 Goal Data'!F:F,"")</f>
        <v>0</v>
      </c>
      <c r="L82" s="54">
        <f t="shared" si="18"/>
        <v>0</v>
      </c>
      <c r="M82" s="87">
        <f t="shared" si="19"/>
        <v>4.5205776173285201</v>
      </c>
      <c r="N82" s="68">
        <f>_xlfn.XLOOKUP(C82,'2025 Goal Data'!C:C,'2025 Goal Data'!I:I,"")</f>
        <v>0</v>
      </c>
      <c r="O82" s="117">
        <f t="shared" si="20"/>
        <v>0</v>
      </c>
      <c r="P82" s="91">
        <f t="shared" si="21"/>
        <v>4.5205776173285201</v>
      </c>
      <c r="Q82" s="69">
        <f t="shared" si="22"/>
        <v>0</v>
      </c>
      <c r="U82" s="58">
        <f t="shared" si="23"/>
        <v>1385</v>
      </c>
    </row>
    <row r="83" spans="1:21" x14ac:dyDescent="0.25">
      <c r="A83" s="2" t="s">
        <v>4</v>
      </c>
      <c r="B83" s="2" t="s">
        <v>88</v>
      </c>
      <c r="C83" s="42" t="str">
        <f t="shared" si="15"/>
        <v>Dogfish Head Spirits|Boston Beer Company</v>
      </c>
      <c r="D83" s="74">
        <v>6383.6337599999997</v>
      </c>
      <c r="E83" s="1">
        <v>5505.623568</v>
      </c>
      <c r="F83" s="3">
        <v>-0.137541</v>
      </c>
      <c r="G83" s="1">
        <v>748.22675200000003</v>
      </c>
      <c r="H83" s="94">
        <v>7131.8605120000002</v>
      </c>
      <c r="I83" s="178">
        <f t="shared" si="16"/>
        <v>6150.9384643031681</v>
      </c>
      <c r="J83" s="96">
        <f t="shared" si="17"/>
        <v>-0.13754083468771472</v>
      </c>
      <c r="K83" s="59">
        <f>_xlfn.XLOOKUP(C83,'2025 Goal Data'!C:C,'2025 Goal Data'!F:F,"")</f>
        <v>0.28000000000000003</v>
      </c>
      <c r="L83" s="54">
        <f t="shared" si="18"/>
        <v>1996.9209433600001</v>
      </c>
      <c r="M83" s="87">
        <f t="shared" si="19"/>
        <v>-0.41754083468771475</v>
      </c>
      <c r="N83" s="68">
        <f>_xlfn.XLOOKUP(C83,'2025 Goal Data'!C:C,'2025 Goal Data'!I:I,"")</f>
        <v>0.28000000000000003</v>
      </c>
      <c r="O83" s="117">
        <f t="shared" si="20"/>
        <v>1996.9209433600001</v>
      </c>
      <c r="P83" s="91">
        <f t="shared" si="21"/>
        <v>-0.41754083468771475</v>
      </c>
      <c r="Q83" s="69">
        <f t="shared" si="22"/>
        <v>0</v>
      </c>
      <c r="U83" s="58">
        <f t="shared" si="23"/>
        <v>9128.7814553600001</v>
      </c>
    </row>
    <row r="84" spans="1:21" x14ac:dyDescent="0.25">
      <c r="A84" s="128" t="s">
        <v>498</v>
      </c>
      <c r="B84" s="5" t="s">
        <v>88</v>
      </c>
      <c r="C84" s="42" t="str">
        <f t="shared" si="15"/>
        <v>Sinless|Boston Beer Company</v>
      </c>
      <c r="D84" s="74">
        <v>0</v>
      </c>
      <c r="E84" s="1">
        <v>0</v>
      </c>
      <c r="F84" s="3">
        <v>1</v>
      </c>
      <c r="G84" s="1">
        <v>0</v>
      </c>
      <c r="H84" s="94">
        <v>0</v>
      </c>
      <c r="I84" s="178">
        <f t="shared" si="16"/>
        <v>0</v>
      </c>
      <c r="J84" s="96">
        <f t="shared" si="17"/>
        <v>0</v>
      </c>
      <c r="K84" s="59" t="str">
        <f>_xlfn.XLOOKUP(C84,'2025 Goal Data'!C:C,'2025 Goal Data'!F:F,"")</f>
        <v/>
      </c>
      <c r="L84" s="54">
        <f t="shared" si="18"/>
        <v>0</v>
      </c>
      <c r="M84" s="87">
        <f t="shared" si="19"/>
        <v>0</v>
      </c>
      <c r="N84" s="68" t="str">
        <f>_xlfn.XLOOKUP(C84,'2025 Goal Data'!C:C,'2025 Goal Data'!I:I,"")</f>
        <v/>
      </c>
      <c r="O84" s="117">
        <f t="shared" si="20"/>
        <v>0</v>
      </c>
      <c r="P84" s="91">
        <f t="shared" si="21"/>
        <v>0</v>
      </c>
      <c r="Q84" s="69">
        <f t="shared" si="22"/>
        <v>0</v>
      </c>
      <c r="U84" s="58" t="e">
        <f t="shared" si="23"/>
        <v>#VALUE!</v>
      </c>
    </row>
    <row r="85" spans="1:21" x14ac:dyDescent="0.25">
      <c r="A85" s="128" t="s">
        <v>244</v>
      </c>
      <c r="B85" s="2" t="s">
        <v>88</v>
      </c>
      <c r="C85" s="42" t="str">
        <f t="shared" si="15"/>
        <v>Jim Beam Kentucky|Boston Beer Company</v>
      </c>
      <c r="D85" s="74">
        <v>-13</v>
      </c>
      <c r="E85" s="1">
        <v>0</v>
      </c>
      <c r="F85" s="3">
        <v>1</v>
      </c>
      <c r="G85" s="1">
        <v>0</v>
      </c>
      <c r="H85" s="94">
        <v>-13</v>
      </c>
      <c r="I85" s="178">
        <f t="shared" si="16"/>
        <v>0</v>
      </c>
      <c r="J85" s="96">
        <f t="shared" si="17"/>
        <v>-1</v>
      </c>
      <c r="K85" s="59">
        <f>_xlfn.XLOOKUP(C85,'2025 Goal Data'!C:C,'2025 Goal Data'!F:F,"")</f>
        <v>0</v>
      </c>
      <c r="L85" s="54">
        <f t="shared" si="18"/>
        <v>0</v>
      </c>
      <c r="M85" s="87">
        <f t="shared" si="19"/>
        <v>-1</v>
      </c>
      <c r="N85" s="68">
        <f>_xlfn.XLOOKUP(C85,'2025 Goal Data'!C:C,'2025 Goal Data'!I:I,"")</f>
        <v>0</v>
      </c>
      <c r="O85" s="117">
        <f t="shared" si="20"/>
        <v>0</v>
      </c>
      <c r="P85" s="91">
        <f t="shared" si="21"/>
        <v>-1</v>
      </c>
      <c r="Q85" s="69">
        <f t="shared" si="22"/>
        <v>0</v>
      </c>
      <c r="U85" s="58">
        <f t="shared" si="23"/>
        <v>-13</v>
      </c>
    </row>
    <row r="86" spans="1:21" x14ac:dyDescent="0.25">
      <c r="A86" s="128" t="s">
        <v>56</v>
      </c>
      <c r="B86" s="2" t="s">
        <v>88</v>
      </c>
      <c r="C86" s="42" t="str">
        <f t="shared" si="15"/>
        <v>Coney Island|Boston Beer Company</v>
      </c>
      <c r="D86" s="74">
        <v>6.8888889999999998</v>
      </c>
      <c r="E86" s="1">
        <v>0</v>
      </c>
      <c r="F86" s="3">
        <v>-1</v>
      </c>
      <c r="G86" s="1">
        <v>0</v>
      </c>
      <c r="H86" s="94">
        <v>6.8888889999999998</v>
      </c>
      <c r="I86" s="178">
        <f t="shared" si="16"/>
        <v>0</v>
      </c>
      <c r="J86" s="96">
        <f t="shared" si="17"/>
        <v>-1</v>
      </c>
      <c r="K86" s="59">
        <f>_xlfn.XLOOKUP(C86,'2025 Goal Data'!C:C,'2025 Goal Data'!F:F,"")</f>
        <v>0</v>
      </c>
      <c r="L86" s="54">
        <f t="shared" si="18"/>
        <v>0</v>
      </c>
      <c r="M86" s="87">
        <f t="shared" si="19"/>
        <v>-1</v>
      </c>
      <c r="N86" s="68">
        <f>_xlfn.XLOOKUP(C86,'2025 Goal Data'!C:C,'2025 Goal Data'!I:I,"")</f>
        <v>0</v>
      </c>
      <c r="O86" s="117">
        <f t="shared" si="20"/>
        <v>0</v>
      </c>
      <c r="P86" s="91">
        <f t="shared" si="21"/>
        <v>-1</v>
      </c>
      <c r="Q86" s="69">
        <f t="shared" si="22"/>
        <v>0</v>
      </c>
      <c r="U86" s="58">
        <f t="shared" si="23"/>
        <v>6.8888889999999998</v>
      </c>
    </row>
    <row r="87" spans="1:21" x14ac:dyDescent="0.25">
      <c r="A87" s="98" t="s">
        <v>34</v>
      </c>
      <c r="B87" s="99"/>
      <c r="C87" s="42" t="str">
        <f t="shared" si="15"/>
        <v>Mark Anthony|</v>
      </c>
      <c r="D87" s="73">
        <v>362806.37736899999</v>
      </c>
      <c r="E87" s="82">
        <v>320491.14580900001</v>
      </c>
      <c r="F87" s="83">
        <v>-0.116633</v>
      </c>
      <c r="G87" s="82">
        <v>65133.594246000001</v>
      </c>
      <c r="H87" s="100">
        <v>427939.97161499999</v>
      </c>
      <c r="I87" s="177">
        <f t="shared" si="16"/>
        <v>378028.01355730626</v>
      </c>
      <c r="J87" s="96">
        <f t="shared" si="17"/>
        <v>-0.11663308260112115</v>
      </c>
      <c r="K87" s="101">
        <f>_xlfn.XLOOKUP(C87,'2025 Goal Data'!C:C,'2025 Goal Data'!F:F,"")</f>
        <v>-4.4583429246902589E-2</v>
      </c>
      <c r="L87" s="112">
        <f t="shared" si="18"/>
        <v>-19079.031446418856</v>
      </c>
      <c r="M87" s="102">
        <f t="shared" si="19"/>
        <v>-7.2049653354218562E-2</v>
      </c>
      <c r="N87" s="103">
        <f>_xlfn.XLOOKUP(C87,'2025 Goal Data'!C:C,'2025 Goal Data'!I:I,"")</f>
        <v>-6.7296181445003558E-2</v>
      </c>
      <c r="O87" s="116">
        <f t="shared" si="20"/>
        <v>-28798.725977372713</v>
      </c>
      <c r="P87" s="104">
        <f t="shared" si="21"/>
        <v>-4.9336901156117594E-2</v>
      </c>
      <c r="Q87" s="67">
        <f t="shared" si="22"/>
        <v>2.2712752198100969E-2</v>
      </c>
      <c r="U87" s="57">
        <f>SUMIF(B:B,A87,K:K)</f>
        <v>0.28000000000000003</v>
      </c>
    </row>
    <row r="88" spans="1:21" x14ac:dyDescent="0.25">
      <c r="A88" s="2" t="s">
        <v>89</v>
      </c>
      <c r="B88" s="2" t="s">
        <v>34</v>
      </c>
      <c r="C88" s="42" t="str">
        <f t="shared" si="15"/>
        <v>White Claw|Mark Anthony</v>
      </c>
      <c r="D88" s="74">
        <v>286002.46395100001</v>
      </c>
      <c r="E88" s="1">
        <v>251913.59804800001</v>
      </c>
      <c r="F88" s="3">
        <v>-0.11919100000000001</v>
      </c>
      <c r="G88" s="1">
        <v>52508.199791999999</v>
      </c>
      <c r="H88" s="94">
        <v>338510.66374300001</v>
      </c>
      <c r="I88" s="178">
        <f t="shared" si="16"/>
        <v>298163.29299859173</v>
      </c>
      <c r="J88" s="96">
        <f t="shared" si="17"/>
        <v>-0.11919084113415201</v>
      </c>
      <c r="K88" s="59">
        <f>_xlfn.XLOOKUP(C88,'2025 Goal Data'!C:C,'2025 Goal Data'!F:F,"")</f>
        <v>-0.06</v>
      </c>
      <c r="L88" s="54">
        <f t="shared" si="18"/>
        <v>-20310.639824580001</v>
      </c>
      <c r="M88" s="87">
        <f t="shared" si="19"/>
        <v>-5.9190841134152017E-2</v>
      </c>
      <c r="N88" s="68">
        <f>_xlfn.XLOOKUP(C88,'2025 Goal Data'!C:C,'2025 Goal Data'!I:I,"")</f>
        <v>-0.08</v>
      </c>
      <c r="O88" s="117">
        <f t="shared" si="20"/>
        <v>-27080.853099440003</v>
      </c>
      <c r="P88" s="91">
        <f t="shared" si="21"/>
        <v>-3.9190841134152013E-2</v>
      </c>
      <c r="Q88" s="69">
        <f t="shared" si="22"/>
        <v>2.0000000000000004E-2</v>
      </c>
      <c r="U88" s="58">
        <f>(H88*K88)+H88</f>
        <v>318200.02391842002</v>
      </c>
    </row>
    <row r="89" spans="1:21" x14ac:dyDescent="0.25">
      <c r="A89" s="2" t="s">
        <v>375</v>
      </c>
      <c r="B89" s="2" t="s">
        <v>34</v>
      </c>
      <c r="C89" s="42" t="str">
        <f t="shared" si="15"/>
        <v>Mike's Hard Lemonade|Mark Anthony</v>
      </c>
      <c r="D89" s="74">
        <v>41198.615484000002</v>
      </c>
      <c r="E89" s="1">
        <v>30868.109476000001</v>
      </c>
      <c r="F89" s="3">
        <v>-0.250749</v>
      </c>
      <c r="G89" s="1">
        <v>6139.0706120000004</v>
      </c>
      <c r="H89" s="94">
        <v>47337.686095999998</v>
      </c>
      <c r="I89" s="178">
        <f t="shared" si="16"/>
        <v>35467.814271111616</v>
      </c>
      <c r="J89" s="96">
        <f t="shared" si="17"/>
        <v>-0.2507488811518267</v>
      </c>
      <c r="K89" s="59">
        <f>_xlfn.XLOOKUP(C89,'2025 Goal Data'!C:C,'2025 Goal Data'!F:F,"")</f>
        <v>-0.17</v>
      </c>
      <c r="L89" s="54">
        <f t="shared" si="18"/>
        <v>-8047.40663632</v>
      </c>
      <c r="M89" s="87">
        <f t="shared" si="19"/>
        <v>-8.0748881151826685E-2</v>
      </c>
      <c r="N89" s="68">
        <f>_xlfn.XLOOKUP(C89,'2025 Goal Data'!C:C,'2025 Goal Data'!I:I,"")</f>
        <v>-0.2</v>
      </c>
      <c r="O89" s="117">
        <f t="shared" si="20"/>
        <v>-9467.5372191999995</v>
      </c>
      <c r="P89" s="91">
        <f t="shared" si="21"/>
        <v>-5.0748881151826686E-2</v>
      </c>
      <c r="Q89" s="69">
        <f t="shared" si="22"/>
        <v>0.03</v>
      </c>
      <c r="U89" s="58">
        <f>(H89*K89)+H89</f>
        <v>39290.279459679994</v>
      </c>
    </row>
    <row r="90" spans="1:21" x14ac:dyDescent="0.25">
      <c r="A90" s="2" t="s">
        <v>111</v>
      </c>
      <c r="B90" s="2" t="s">
        <v>34</v>
      </c>
      <c r="C90" s="42" t="str">
        <f t="shared" si="15"/>
        <v>Cayman Jack|Mark Anthony</v>
      </c>
      <c r="D90" s="74">
        <v>24386.858240000001</v>
      </c>
      <c r="E90" s="1">
        <v>25115.102719999999</v>
      </c>
      <c r="F90" s="3">
        <v>2.9862E-2</v>
      </c>
      <c r="G90" s="1">
        <v>4187.9067320000004</v>
      </c>
      <c r="H90" s="94">
        <v>28574.764972000001</v>
      </c>
      <c r="I90" s="178">
        <f t="shared" si="16"/>
        <v>29428.068722830983</v>
      </c>
      <c r="J90" s="96">
        <f t="shared" si="17"/>
        <v>2.9862144156465487E-2</v>
      </c>
      <c r="K90" s="59">
        <f>_xlfn.XLOOKUP(C90,'2025 Goal Data'!C:C,'2025 Goal Data'!F:F,"")</f>
        <v>0.22</v>
      </c>
      <c r="L90" s="54">
        <f t="shared" si="18"/>
        <v>6286.4482938400006</v>
      </c>
      <c r="M90" s="87">
        <f t="shared" si="19"/>
        <v>-0.19013785584353451</v>
      </c>
      <c r="N90" s="68">
        <f>_xlfn.XLOOKUP(C90,'2025 Goal Data'!C:C,'2025 Goal Data'!I:I,"")</f>
        <v>0.22</v>
      </c>
      <c r="O90" s="117">
        <f t="shared" si="20"/>
        <v>6286.4482938400006</v>
      </c>
      <c r="P90" s="91">
        <f t="shared" si="21"/>
        <v>-0.19013785584353451</v>
      </c>
      <c r="Q90" s="69">
        <f t="shared" si="22"/>
        <v>0</v>
      </c>
      <c r="U90" s="58">
        <f>(H90*K90)+H90</f>
        <v>34861.213265840001</v>
      </c>
    </row>
    <row r="91" spans="1:21" x14ac:dyDescent="0.25">
      <c r="A91" s="2" t="s">
        <v>245</v>
      </c>
      <c r="B91" s="2" t="s">
        <v>34</v>
      </c>
      <c r="C91" s="42" t="str">
        <f t="shared" si="15"/>
        <v>Mike's Harder|Mark Anthony</v>
      </c>
      <c r="D91" s="74">
        <v>9137.1068809999997</v>
      </c>
      <c r="E91" s="1">
        <v>9493.6695359999994</v>
      </c>
      <c r="F91" s="3">
        <v>3.9024000000000003E-2</v>
      </c>
      <c r="G91" s="1">
        <v>1879.750548</v>
      </c>
      <c r="H91" s="94">
        <v>11016.857429</v>
      </c>
      <c r="I91" s="178">
        <f t="shared" si="16"/>
        <v>11446.775469385151</v>
      </c>
      <c r="J91" s="96">
        <f t="shared" si="17"/>
        <v>3.9023654717856848E-2</v>
      </c>
      <c r="K91" s="59">
        <f>_xlfn.XLOOKUP(C91,'2025 Goal Data'!C:C,'2025 Goal Data'!F:F,"")</f>
        <v>0.09</v>
      </c>
      <c r="L91" s="54">
        <f t="shared" si="18"/>
        <v>991.51716860999989</v>
      </c>
      <c r="M91" s="87">
        <f t="shared" si="19"/>
        <v>-5.0976345282143148E-2</v>
      </c>
      <c r="N91" s="68">
        <f>_xlfn.XLOOKUP(C91,'2025 Goal Data'!C:C,'2025 Goal Data'!I:I,"")</f>
        <v>0.09</v>
      </c>
      <c r="O91" s="117">
        <f t="shared" si="20"/>
        <v>991.51716860999989</v>
      </c>
      <c r="P91" s="91">
        <f t="shared" si="21"/>
        <v>-5.0976345282143148E-2</v>
      </c>
      <c r="Q91" s="69">
        <f t="shared" si="22"/>
        <v>0</v>
      </c>
      <c r="U91" s="58">
        <f>(H91*K91)+H91</f>
        <v>12008.37459761</v>
      </c>
    </row>
    <row r="92" spans="1:21" x14ac:dyDescent="0.25">
      <c r="A92" s="2" t="s">
        <v>112</v>
      </c>
      <c r="B92" s="2" t="s">
        <v>34</v>
      </c>
      <c r="C92" s="42" t="str">
        <f t="shared" si="15"/>
        <v>Mxd Cocktails|Mark Anthony</v>
      </c>
      <c r="D92" s="74">
        <v>2081.332813</v>
      </c>
      <c r="E92" s="1">
        <v>2550.666029</v>
      </c>
      <c r="F92" s="3">
        <v>0.225496</v>
      </c>
      <c r="G92" s="1">
        <v>418.666562</v>
      </c>
      <c r="H92" s="94">
        <v>2499.9993749999999</v>
      </c>
      <c r="I92" s="178">
        <f t="shared" si="16"/>
        <v>3063.7402260647518</v>
      </c>
      <c r="J92" s="96">
        <f t="shared" si="17"/>
        <v>0.22549639679999989</v>
      </c>
      <c r="K92" s="59">
        <f>_xlfn.XLOOKUP(C92,'2025 Goal Data'!C:C,'2025 Goal Data'!F:F,"")</f>
        <v>0.2</v>
      </c>
      <c r="L92" s="54">
        <f t="shared" si="18"/>
        <v>499.99987499999997</v>
      </c>
      <c r="M92" s="87">
        <f t="shared" si="19"/>
        <v>2.5496396799999876E-2</v>
      </c>
      <c r="N92" s="68">
        <f>_xlfn.XLOOKUP(C92,'2025 Goal Data'!C:C,'2025 Goal Data'!I:I,"")</f>
        <v>0.2</v>
      </c>
      <c r="O92" s="117">
        <f t="shared" si="20"/>
        <v>499.99987499999997</v>
      </c>
      <c r="P92" s="91">
        <f t="shared" si="21"/>
        <v>2.5496396799999876E-2</v>
      </c>
      <c r="Q92" s="69">
        <f t="shared" si="22"/>
        <v>0</v>
      </c>
      <c r="U92" s="58">
        <f>(H92*K92)+H92</f>
        <v>2999.9992499999998</v>
      </c>
    </row>
    <row r="93" spans="1:21" x14ac:dyDescent="0.25">
      <c r="A93" s="2" t="s">
        <v>35</v>
      </c>
      <c r="B93" s="5" t="s">
        <v>34</v>
      </c>
      <c r="C93" s="42" t="str">
        <f t="shared" si="15"/>
        <v>Dillon's Cocktails|Mark Anthony</v>
      </c>
      <c r="D93" s="74">
        <v>0</v>
      </c>
      <c r="E93" s="1">
        <v>550</v>
      </c>
      <c r="F93" s="3">
        <v>1</v>
      </c>
      <c r="G93" s="1">
        <v>0</v>
      </c>
      <c r="H93" s="94">
        <v>0</v>
      </c>
      <c r="I93" s="178">
        <f t="shared" si="16"/>
        <v>550</v>
      </c>
      <c r="J93" s="96">
        <f t="shared" si="17"/>
        <v>0</v>
      </c>
      <c r="K93" s="59" t="s">
        <v>475</v>
      </c>
      <c r="L93" s="54">
        <f t="shared" si="18"/>
        <v>0</v>
      </c>
      <c r="M93" s="87">
        <f t="shared" si="19"/>
        <v>0</v>
      </c>
      <c r="N93" s="68" t="str">
        <f>_xlfn.XLOOKUP(C93,'2025 Goal Data'!C:C,'2025 Goal Data'!I:I,"")</f>
        <v/>
      </c>
      <c r="O93" s="117">
        <f t="shared" si="20"/>
        <v>0</v>
      </c>
      <c r="P93" s="91">
        <f t="shared" si="21"/>
        <v>0</v>
      </c>
      <c r="Q93" s="69" t="s">
        <v>475</v>
      </c>
      <c r="U93" s="58" t="s">
        <v>475</v>
      </c>
    </row>
    <row r="94" spans="1:21" x14ac:dyDescent="0.25">
      <c r="A94" s="98" t="s">
        <v>260</v>
      </c>
      <c r="B94" s="99"/>
      <c r="C94" s="42" t="str">
        <f t="shared" si="15"/>
        <v>Pabst Brewing Company|</v>
      </c>
      <c r="D94" s="73">
        <v>244793.12820400001</v>
      </c>
      <c r="E94" s="82">
        <v>216663.571092</v>
      </c>
      <c r="F94" s="83">
        <v>-0.114912</v>
      </c>
      <c r="G94" s="82">
        <v>45666.654295</v>
      </c>
      <c r="H94" s="100">
        <v>290459.78249900002</v>
      </c>
      <c r="I94" s="177">
        <f t="shared" si="16"/>
        <v>257082.57880865296</v>
      </c>
      <c r="J94" s="96">
        <f t="shared" si="17"/>
        <v>-0.11491161841127517</v>
      </c>
      <c r="K94" s="101">
        <f>_xlfn.XLOOKUP(C94,'2025 Goal Data'!C:C,'2025 Goal Data'!F:F,"")</f>
        <v>-3.7049023422033633E-4</v>
      </c>
      <c r="L94" s="112">
        <f t="shared" si="18"/>
        <v>-107.61251284964247</v>
      </c>
      <c r="M94" s="102">
        <f t="shared" si="19"/>
        <v>-0.11454112817705484</v>
      </c>
      <c r="N94" s="103">
        <f>_xlfn.XLOOKUP(C94,'2025 Goal Data'!C:C,'2025 Goal Data'!I:I,"")</f>
        <v>-9.9882252894616403E-3</v>
      </c>
      <c r="O94" s="116">
        <f t="shared" si="20"/>
        <v>-2901.1777451280395</v>
      </c>
      <c r="P94" s="104">
        <f t="shared" si="21"/>
        <v>-0.10492339312181354</v>
      </c>
      <c r="Q94" s="67">
        <f t="shared" ref="Q94:Q125" si="24">P94-M94</f>
        <v>9.6177350552412999E-3</v>
      </c>
      <c r="U94" s="57">
        <f>SUMIF(B:B,A94,K:K)</f>
        <v>-0.91999999999999993</v>
      </c>
    </row>
    <row r="95" spans="1:21" x14ac:dyDescent="0.25">
      <c r="A95" s="2" t="s">
        <v>493</v>
      </c>
      <c r="B95" s="2" t="s">
        <v>260</v>
      </c>
      <c r="C95" s="42" t="str">
        <f t="shared" si="15"/>
        <v>Pabst Brand|Pabst Brewing Company</v>
      </c>
      <c r="D95" s="74">
        <v>137660.46857600001</v>
      </c>
      <c r="E95" s="1">
        <v>132741.53969999999</v>
      </c>
      <c r="F95" s="3">
        <v>-3.5732E-2</v>
      </c>
      <c r="G95" s="1">
        <v>26348.259697000001</v>
      </c>
      <c r="H95" s="94">
        <v>164008.72827299999</v>
      </c>
      <c r="I95" s="178">
        <f t="shared" si="16"/>
        <v>158148.32338150678</v>
      </c>
      <c r="J95" s="96">
        <f t="shared" si="17"/>
        <v>-3.5732274453944335E-2</v>
      </c>
      <c r="K95" s="59" t="str">
        <f>_xlfn.XLOOKUP(C95,'2025 Goal Data'!C:C,'2025 Goal Data'!F:F,"")</f>
        <v/>
      </c>
      <c r="L95" s="54">
        <f t="shared" si="18"/>
        <v>0</v>
      </c>
      <c r="M95" s="87">
        <f t="shared" si="19"/>
        <v>0</v>
      </c>
      <c r="N95" s="68" t="str">
        <f>_xlfn.XLOOKUP(C95,'2025 Goal Data'!C:C,'2025 Goal Data'!I:I,"")</f>
        <v/>
      </c>
      <c r="O95" s="117">
        <f t="shared" si="20"/>
        <v>0</v>
      </c>
      <c r="P95" s="91">
        <f t="shared" si="21"/>
        <v>0</v>
      </c>
      <c r="Q95" s="69">
        <f t="shared" si="24"/>
        <v>0</v>
      </c>
      <c r="U95" s="58" t="e">
        <f t="shared" ref="U95:U107" si="25">(H95*K95)+H95</f>
        <v>#VALUE!</v>
      </c>
    </row>
    <row r="96" spans="1:21" x14ac:dyDescent="0.25">
      <c r="A96" s="2" t="s">
        <v>5</v>
      </c>
      <c r="B96" s="2" t="s">
        <v>260</v>
      </c>
      <c r="C96" s="42" t="str">
        <f t="shared" si="15"/>
        <v>Colt 45|Pabst Brewing Company</v>
      </c>
      <c r="D96" s="74">
        <v>36386.666052</v>
      </c>
      <c r="E96" s="1">
        <v>27797.122437000002</v>
      </c>
      <c r="F96" s="3">
        <v>-0.236063</v>
      </c>
      <c r="G96" s="1">
        <v>6655.9998690000002</v>
      </c>
      <c r="H96" s="94">
        <v>43042.665921</v>
      </c>
      <c r="I96" s="178">
        <f t="shared" si="16"/>
        <v>32881.887008924255</v>
      </c>
      <c r="J96" s="96">
        <f t="shared" si="17"/>
        <v>-0.23606295508565189</v>
      </c>
      <c r="K96" s="59">
        <f>_xlfn.XLOOKUP(C96,'2025 Goal Data'!C:C,'2025 Goal Data'!F:F,"")</f>
        <v>-0.02</v>
      </c>
      <c r="L96" s="54">
        <f t="shared" si="18"/>
        <v>-860.85331842000005</v>
      </c>
      <c r="M96" s="87">
        <f t="shared" si="19"/>
        <v>-0.2160629550856519</v>
      </c>
      <c r="N96" s="68">
        <f>_xlfn.XLOOKUP(C96,'2025 Goal Data'!C:C,'2025 Goal Data'!I:I,"")</f>
        <v>-0.04</v>
      </c>
      <c r="O96" s="117">
        <f t="shared" si="20"/>
        <v>-1721.7066368400001</v>
      </c>
      <c r="P96" s="91">
        <f t="shared" si="21"/>
        <v>-0.19606295508565189</v>
      </c>
      <c r="Q96" s="69">
        <f t="shared" si="24"/>
        <v>2.0000000000000018E-2</v>
      </c>
      <c r="U96" s="58">
        <f t="shared" si="25"/>
        <v>42181.812602580001</v>
      </c>
    </row>
    <row r="97" spans="1:21" x14ac:dyDescent="0.25">
      <c r="A97" s="2" t="s">
        <v>90</v>
      </c>
      <c r="B97" s="2" t="s">
        <v>260</v>
      </c>
      <c r="C97" s="42" t="str">
        <f t="shared" si="15"/>
        <v>St Ides|Pabst Brewing Company</v>
      </c>
      <c r="D97" s="74">
        <v>15041.666797</v>
      </c>
      <c r="E97" s="1">
        <v>12083.603526999999</v>
      </c>
      <c r="F97" s="3">
        <v>-0.196658</v>
      </c>
      <c r="G97" s="1">
        <v>2623.3333560000001</v>
      </c>
      <c r="H97" s="94">
        <v>17665.000153000001</v>
      </c>
      <c r="I97" s="178">
        <f t="shared" si="16"/>
        <v>14191.03739187575</v>
      </c>
      <c r="J97" s="96">
        <f t="shared" si="17"/>
        <v>-0.1966579525069676</v>
      </c>
      <c r="K97" s="59">
        <f>_xlfn.XLOOKUP(C97,'2025 Goal Data'!C:C,'2025 Goal Data'!F:F,"")</f>
        <v>-0.05</v>
      </c>
      <c r="L97" s="54">
        <f t="shared" si="18"/>
        <v>-883.25000765000004</v>
      </c>
      <c r="M97" s="87">
        <f t="shared" si="19"/>
        <v>-0.14665795250696761</v>
      </c>
      <c r="N97" s="68">
        <f>_xlfn.XLOOKUP(C97,'2025 Goal Data'!C:C,'2025 Goal Data'!I:I,"")</f>
        <v>-0.05</v>
      </c>
      <c r="O97" s="117">
        <f t="shared" si="20"/>
        <v>-883.25000765000004</v>
      </c>
      <c r="P97" s="91">
        <f t="shared" si="21"/>
        <v>-0.14665795250696761</v>
      </c>
      <c r="Q97" s="69">
        <f t="shared" si="24"/>
        <v>0</v>
      </c>
      <c r="U97" s="58">
        <f t="shared" si="25"/>
        <v>16781.750145350001</v>
      </c>
    </row>
    <row r="98" spans="1:21" x14ac:dyDescent="0.25">
      <c r="A98" s="2" t="s">
        <v>133</v>
      </c>
      <c r="B98" s="2" t="s">
        <v>260</v>
      </c>
      <c r="C98" s="42" t="str">
        <f t="shared" si="15"/>
        <v>Old Milwaukee|Pabst Brewing Company</v>
      </c>
      <c r="D98" s="74">
        <v>14140.330962</v>
      </c>
      <c r="E98" s="1">
        <v>13405.664043999999</v>
      </c>
      <c r="F98" s="3">
        <v>-5.1955000000000001E-2</v>
      </c>
      <c r="G98" s="1">
        <v>2373.332954</v>
      </c>
      <c r="H98" s="94">
        <v>16513.663916000001</v>
      </c>
      <c r="I98" s="178">
        <f t="shared" si="16"/>
        <v>15655.690484374929</v>
      </c>
      <c r="J98" s="96">
        <f t="shared" si="17"/>
        <v>-5.1955364720350561E-2</v>
      </c>
      <c r="K98" s="59">
        <f>_xlfn.XLOOKUP(C98,'2025 Goal Data'!C:C,'2025 Goal Data'!F:F,"")</f>
        <v>-0.04</v>
      </c>
      <c r="L98" s="54">
        <f t="shared" si="18"/>
        <v>-660.54655664000006</v>
      </c>
      <c r="M98" s="87">
        <f t="shared" si="19"/>
        <v>-1.195536472035056E-2</v>
      </c>
      <c r="N98" s="68">
        <f>_xlfn.XLOOKUP(C98,'2025 Goal Data'!C:C,'2025 Goal Data'!I:I,"")</f>
        <v>-0.04</v>
      </c>
      <c r="O98" s="117">
        <f t="shared" si="20"/>
        <v>-660.54655664000006</v>
      </c>
      <c r="P98" s="91">
        <f t="shared" si="21"/>
        <v>-1.195536472035056E-2</v>
      </c>
      <c r="Q98" s="69">
        <f t="shared" si="24"/>
        <v>0</v>
      </c>
      <c r="U98" s="58">
        <f t="shared" si="25"/>
        <v>15853.117359360002</v>
      </c>
    </row>
    <row r="99" spans="1:21" x14ac:dyDescent="0.25">
      <c r="A99" s="2" t="s">
        <v>6</v>
      </c>
      <c r="B99" s="2" t="s">
        <v>260</v>
      </c>
      <c r="C99" s="42" t="str">
        <f t="shared" si="15"/>
        <v>Jack Daniels Country Cocktails|Pabst Brewing Company</v>
      </c>
      <c r="D99" s="74">
        <v>12515.559584000001</v>
      </c>
      <c r="E99" s="1">
        <v>11256.434652</v>
      </c>
      <c r="F99" s="3">
        <v>-0.100605</v>
      </c>
      <c r="G99" s="1">
        <v>2114.3536610000001</v>
      </c>
      <c r="H99" s="94">
        <v>14629.913245</v>
      </c>
      <c r="I99" s="178">
        <f t="shared" si="16"/>
        <v>13158.073762935095</v>
      </c>
      <c r="J99" s="96">
        <f t="shared" si="17"/>
        <v>-0.10060479904540298</v>
      </c>
      <c r="K99" s="59">
        <f>_xlfn.XLOOKUP(C99,'2025 Goal Data'!C:C,'2025 Goal Data'!F:F,"")</f>
        <v>0.04</v>
      </c>
      <c r="L99" s="54">
        <f t="shared" si="18"/>
        <v>585.19652980000001</v>
      </c>
      <c r="M99" s="87">
        <f t="shared" si="19"/>
        <v>-0.14060479904540299</v>
      </c>
      <c r="N99" s="68">
        <f>_xlfn.XLOOKUP(C99,'2025 Goal Data'!C:C,'2025 Goal Data'!I:I,"")</f>
        <v>0.02</v>
      </c>
      <c r="O99" s="117">
        <f t="shared" si="20"/>
        <v>292.5982649</v>
      </c>
      <c r="P99" s="91">
        <f t="shared" si="21"/>
        <v>-0.12060479904540299</v>
      </c>
      <c r="Q99" s="69">
        <f t="shared" si="24"/>
        <v>2.0000000000000004E-2</v>
      </c>
      <c r="U99" s="58">
        <f t="shared" si="25"/>
        <v>15215.109774799999</v>
      </c>
    </row>
    <row r="100" spans="1:21" x14ac:dyDescent="0.25">
      <c r="A100" s="2" t="s">
        <v>36</v>
      </c>
      <c r="B100" s="2" t="s">
        <v>260</v>
      </c>
      <c r="C100" s="42" t="str">
        <f t="shared" si="15"/>
        <v>Schlitz Malt|Pabst Brewing Company</v>
      </c>
      <c r="D100" s="74">
        <v>8848.6661540000005</v>
      </c>
      <c r="E100" s="1">
        <v>8021.2489180000002</v>
      </c>
      <c r="F100" s="3">
        <v>-9.3507999999999994E-2</v>
      </c>
      <c r="G100" s="1">
        <v>1812.999894</v>
      </c>
      <c r="H100" s="94">
        <v>10661.666047999999</v>
      </c>
      <c r="I100" s="178">
        <f t="shared" si="16"/>
        <v>9664.7188179118475</v>
      </c>
      <c r="J100" s="96">
        <f t="shared" si="17"/>
        <v>-9.3507639950434096E-2</v>
      </c>
      <c r="K100" s="59">
        <f>_xlfn.XLOOKUP(C100,'2025 Goal Data'!C:C,'2025 Goal Data'!F:F,"")</f>
        <v>0.02</v>
      </c>
      <c r="L100" s="54">
        <f t="shared" si="18"/>
        <v>213.23332095999999</v>
      </c>
      <c r="M100" s="87">
        <f t="shared" si="19"/>
        <v>-0.1135076399504341</v>
      </c>
      <c r="N100" s="68">
        <f>_xlfn.XLOOKUP(C100,'2025 Goal Data'!C:C,'2025 Goal Data'!I:I,"")</f>
        <v>0.02</v>
      </c>
      <c r="O100" s="117">
        <f t="shared" si="20"/>
        <v>213.23332095999999</v>
      </c>
      <c r="P100" s="91">
        <f t="shared" si="21"/>
        <v>-0.1135076399504341</v>
      </c>
      <c r="Q100" s="69">
        <f t="shared" si="24"/>
        <v>0</v>
      </c>
      <c r="U100" s="58">
        <f t="shared" si="25"/>
        <v>10874.899368959999</v>
      </c>
    </row>
    <row r="101" spans="1:21" x14ac:dyDescent="0.25">
      <c r="A101" s="2" t="s">
        <v>91</v>
      </c>
      <c r="B101" s="2" t="s">
        <v>260</v>
      </c>
      <c r="C101" s="42" t="str">
        <f t="shared" si="15"/>
        <v>Ballantine Ale|Pabst Brewing Company</v>
      </c>
      <c r="D101" s="74">
        <v>8751.9996159999992</v>
      </c>
      <c r="E101" s="1">
        <v>485.33333199999998</v>
      </c>
      <c r="F101" s="3">
        <v>-0.944546</v>
      </c>
      <c r="G101" s="1">
        <v>1595.6666090000001</v>
      </c>
      <c r="H101" s="94">
        <v>10347.666225000001</v>
      </c>
      <c r="I101" s="178">
        <f t="shared" si="16"/>
        <v>573.81942813548585</v>
      </c>
      <c r="J101" s="96">
        <f t="shared" si="17"/>
        <v>-0.94454600528676347</v>
      </c>
      <c r="K101" s="59">
        <f>_xlfn.XLOOKUP(C101,'2025 Goal Data'!C:C,'2025 Goal Data'!F:F,"")</f>
        <v>-1</v>
      </c>
      <c r="L101" s="54">
        <f t="shared" si="18"/>
        <v>-10347.666225000001</v>
      </c>
      <c r="M101" s="87">
        <f t="shared" si="19"/>
        <v>5.5453994713236532E-2</v>
      </c>
      <c r="N101" s="68">
        <f>_xlfn.XLOOKUP(C101,'2025 Goal Data'!C:C,'2025 Goal Data'!I:I,"")</f>
        <v>-1</v>
      </c>
      <c r="O101" s="117">
        <f t="shared" si="20"/>
        <v>-10347.666225000001</v>
      </c>
      <c r="P101" s="91">
        <f t="shared" si="21"/>
        <v>5.5453994713236532E-2</v>
      </c>
      <c r="Q101" s="69">
        <f t="shared" si="24"/>
        <v>0</v>
      </c>
      <c r="U101" s="58">
        <f t="shared" si="25"/>
        <v>0</v>
      </c>
    </row>
    <row r="102" spans="1:21" x14ac:dyDescent="0.25">
      <c r="A102" s="2" t="s">
        <v>57</v>
      </c>
      <c r="B102" s="2" t="s">
        <v>260</v>
      </c>
      <c r="C102" s="42" t="str">
        <f t="shared" si="15"/>
        <v>Schaefer|Pabst Brewing Company</v>
      </c>
      <c r="D102" s="74">
        <v>3458.75</v>
      </c>
      <c r="E102" s="1">
        <v>3930</v>
      </c>
      <c r="F102" s="3">
        <v>0.13624900000000001</v>
      </c>
      <c r="G102" s="1">
        <v>688.75</v>
      </c>
      <c r="H102" s="94">
        <v>4147.5</v>
      </c>
      <c r="I102" s="178">
        <f t="shared" si="16"/>
        <v>4712.59149875</v>
      </c>
      <c r="J102" s="96">
        <f t="shared" si="17"/>
        <v>0.13624870373719111</v>
      </c>
      <c r="K102" s="59">
        <f>_xlfn.XLOOKUP(C102,'2025 Goal Data'!C:C,'2025 Goal Data'!F:F,"")</f>
        <v>0.05</v>
      </c>
      <c r="L102" s="54">
        <f t="shared" si="18"/>
        <v>207.375</v>
      </c>
      <c r="M102" s="87">
        <f t="shared" si="19"/>
        <v>8.624870373719111E-2</v>
      </c>
      <c r="N102" s="68">
        <f>_xlfn.XLOOKUP(C102,'2025 Goal Data'!C:C,'2025 Goal Data'!I:I,"")</f>
        <v>0.05</v>
      </c>
      <c r="O102" s="117">
        <f t="shared" si="20"/>
        <v>207.375</v>
      </c>
      <c r="P102" s="91">
        <f t="shared" si="21"/>
        <v>8.624870373719111E-2</v>
      </c>
      <c r="Q102" s="69">
        <f t="shared" si="24"/>
        <v>0</v>
      </c>
      <c r="U102" s="58">
        <f t="shared" si="25"/>
        <v>4354.875</v>
      </c>
    </row>
    <row r="103" spans="1:21" x14ac:dyDescent="0.25">
      <c r="A103" s="2" t="s">
        <v>162</v>
      </c>
      <c r="B103" s="2" t="s">
        <v>260</v>
      </c>
      <c r="C103" s="42" t="str">
        <f t="shared" si="15"/>
        <v>Country Club|Pabst Brewing Company</v>
      </c>
      <c r="D103" s="74">
        <v>2826.6659599999998</v>
      </c>
      <c r="E103" s="1">
        <v>2849.332621</v>
      </c>
      <c r="F103" s="3">
        <v>8.0190000000000001E-3</v>
      </c>
      <c r="G103" s="1">
        <v>471.99988200000001</v>
      </c>
      <c r="H103" s="94">
        <v>3298.6658419999999</v>
      </c>
      <c r="I103" s="178">
        <f t="shared" si="16"/>
        <v>3325.1174700537581</v>
      </c>
      <c r="J103" s="96">
        <f t="shared" si="17"/>
        <v>8.0188868229589261E-3</v>
      </c>
      <c r="K103" s="59">
        <f>_xlfn.XLOOKUP(C103,'2025 Goal Data'!C:C,'2025 Goal Data'!F:F,"")</f>
        <v>0.02</v>
      </c>
      <c r="L103" s="54">
        <f t="shared" si="18"/>
        <v>65.973316839999995</v>
      </c>
      <c r="M103" s="87">
        <f t="shared" si="19"/>
        <v>-1.1981113177041074E-2</v>
      </c>
      <c r="N103" s="68">
        <f>_xlfn.XLOOKUP(C103,'2025 Goal Data'!C:C,'2025 Goal Data'!I:I,"")</f>
        <v>0.02</v>
      </c>
      <c r="O103" s="117">
        <f t="shared" si="20"/>
        <v>65.973316839999995</v>
      </c>
      <c r="P103" s="91">
        <f t="shared" si="21"/>
        <v>-1.1981113177041074E-2</v>
      </c>
      <c r="Q103" s="69">
        <f t="shared" si="24"/>
        <v>0</v>
      </c>
      <c r="U103" s="58">
        <f t="shared" si="25"/>
        <v>3364.6391588399997</v>
      </c>
    </row>
    <row r="104" spans="1:21" x14ac:dyDescent="0.25">
      <c r="A104" s="2" t="s">
        <v>397</v>
      </c>
      <c r="B104" s="2" t="s">
        <v>260</v>
      </c>
      <c r="C104" s="42" t="str">
        <f t="shared" si="15"/>
        <v>Small Town|Pabst Brewing Company</v>
      </c>
      <c r="D104" s="74">
        <v>1570</v>
      </c>
      <c r="E104" s="1">
        <v>1539</v>
      </c>
      <c r="F104" s="3">
        <v>-1.9744999999999999E-2</v>
      </c>
      <c r="G104" s="1">
        <v>341</v>
      </c>
      <c r="H104" s="94">
        <v>1911</v>
      </c>
      <c r="I104" s="178">
        <f t="shared" si="16"/>
        <v>1873.2669550000001</v>
      </c>
      <c r="J104" s="96">
        <f t="shared" si="17"/>
        <v>-1.9745183150183143E-2</v>
      </c>
      <c r="K104" s="59">
        <f>_xlfn.XLOOKUP(C104,'2025 Goal Data'!C:C,'2025 Goal Data'!F:F,"")</f>
        <v>0.02</v>
      </c>
      <c r="L104" s="54">
        <f t="shared" si="18"/>
        <v>38.22</v>
      </c>
      <c r="M104" s="87">
        <f t="shared" si="19"/>
        <v>-3.9745183150183147E-2</v>
      </c>
      <c r="N104" s="68">
        <f>_xlfn.XLOOKUP(C104,'2025 Goal Data'!C:C,'2025 Goal Data'!I:I,"")</f>
        <v>0.02</v>
      </c>
      <c r="O104" s="117">
        <f t="shared" si="20"/>
        <v>38.22</v>
      </c>
      <c r="P104" s="91">
        <f t="shared" si="21"/>
        <v>-3.9745183150183147E-2</v>
      </c>
      <c r="Q104" s="69">
        <f t="shared" si="24"/>
        <v>0</v>
      </c>
      <c r="U104" s="58">
        <f t="shared" si="25"/>
        <v>1949.22</v>
      </c>
    </row>
    <row r="105" spans="1:21" x14ac:dyDescent="0.25">
      <c r="A105" s="2" t="s">
        <v>376</v>
      </c>
      <c r="B105" s="2" t="s">
        <v>260</v>
      </c>
      <c r="C105" s="42" t="str">
        <f t="shared" si="15"/>
        <v>New Holland Brewing Co|Pabst Brewing Company</v>
      </c>
      <c r="D105" s="74">
        <v>1042.2083359999999</v>
      </c>
      <c r="E105" s="1">
        <v>933.33333500000003</v>
      </c>
      <c r="F105" s="3">
        <v>-0.104466</v>
      </c>
      <c r="G105" s="1">
        <v>278.33333499999998</v>
      </c>
      <c r="H105" s="94">
        <v>1320.541671</v>
      </c>
      <c r="I105" s="178">
        <f t="shared" si="16"/>
        <v>1182.59029982589</v>
      </c>
      <c r="J105" s="96">
        <f t="shared" si="17"/>
        <v>-0.10446574629458238</v>
      </c>
      <c r="K105" s="59">
        <f>_xlfn.XLOOKUP(C105,'2025 Goal Data'!C:C,'2025 Goal Data'!F:F,"")</f>
        <v>0.01</v>
      </c>
      <c r="L105" s="54">
        <f t="shared" si="18"/>
        <v>13.20541671</v>
      </c>
      <c r="M105" s="87">
        <f t="shared" si="19"/>
        <v>-0.11446574629458238</v>
      </c>
      <c r="N105" s="68">
        <f>_xlfn.XLOOKUP(C105,'2025 Goal Data'!C:C,'2025 Goal Data'!I:I,"")</f>
        <v>0.01</v>
      </c>
      <c r="O105" s="117">
        <f t="shared" si="20"/>
        <v>13.20541671</v>
      </c>
      <c r="P105" s="91">
        <f t="shared" si="21"/>
        <v>-0.11446574629458238</v>
      </c>
      <c r="Q105" s="69">
        <f t="shared" si="24"/>
        <v>0</v>
      </c>
      <c r="U105" s="58">
        <f t="shared" si="25"/>
        <v>1333.74708771</v>
      </c>
    </row>
    <row r="106" spans="1:21" x14ac:dyDescent="0.25">
      <c r="A106" s="2" t="s">
        <v>289</v>
      </c>
      <c r="B106" s="2" t="s">
        <v>260</v>
      </c>
      <c r="C106" s="42" t="str">
        <f t="shared" si="15"/>
        <v>Lone Star|Pabst Brewing Company</v>
      </c>
      <c r="D106" s="74">
        <v>893</v>
      </c>
      <c r="E106" s="1">
        <v>935</v>
      </c>
      <c r="F106" s="3">
        <v>4.7031999999999997E-2</v>
      </c>
      <c r="G106" s="1">
        <v>228</v>
      </c>
      <c r="H106" s="94">
        <v>1121</v>
      </c>
      <c r="I106" s="178">
        <f t="shared" si="16"/>
        <v>1173.7232960000001</v>
      </c>
      <c r="J106" s="96">
        <f t="shared" si="17"/>
        <v>4.7032378233720085E-2</v>
      </c>
      <c r="K106" s="59">
        <f>_xlfn.XLOOKUP(C106,'2025 Goal Data'!C:C,'2025 Goal Data'!F:F,"")</f>
        <v>0.02</v>
      </c>
      <c r="L106" s="54">
        <f t="shared" si="18"/>
        <v>22.42</v>
      </c>
      <c r="M106" s="87">
        <f t="shared" si="19"/>
        <v>2.7032378233720084E-2</v>
      </c>
      <c r="N106" s="68">
        <f>_xlfn.XLOOKUP(C106,'2025 Goal Data'!C:C,'2025 Goal Data'!I:I,"")</f>
        <v>0.02</v>
      </c>
      <c r="O106" s="117">
        <f t="shared" si="20"/>
        <v>22.42</v>
      </c>
      <c r="P106" s="91">
        <f t="shared" si="21"/>
        <v>2.7032378233720084E-2</v>
      </c>
      <c r="Q106" s="69">
        <f t="shared" si="24"/>
        <v>0</v>
      </c>
      <c r="U106" s="58">
        <f t="shared" si="25"/>
        <v>1143.42</v>
      </c>
    </row>
    <row r="107" spans="1:21" x14ac:dyDescent="0.25">
      <c r="A107" s="2" t="s">
        <v>134</v>
      </c>
      <c r="B107" s="2" t="s">
        <v>260</v>
      </c>
      <c r="C107" s="42" t="str">
        <f t="shared" si="15"/>
        <v>EL Jimador|Pabst Brewing Company</v>
      </c>
      <c r="D107" s="74">
        <v>1657.1461670000001</v>
      </c>
      <c r="E107" s="1">
        <v>685.95852600000001</v>
      </c>
      <c r="F107" s="3">
        <v>-0.58606000000000003</v>
      </c>
      <c r="G107" s="1">
        <v>134.62503799999999</v>
      </c>
      <c r="H107" s="94">
        <v>1791.771205</v>
      </c>
      <c r="I107" s="178">
        <f t="shared" si="16"/>
        <v>741.68521422972003</v>
      </c>
      <c r="J107" s="96">
        <f t="shared" si="17"/>
        <v>-0.58606031162906203</v>
      </c>
      <c r="K107" s="59">
        <f>_xlfn.XLOOKUP(C107,'2025 Goal Data'!C:C,'2025 Goal Data'!F:F,"")</f>
        <v>0.01</v>
      </c>
      <c r="L107" s="54">
        <f t="shared" si="18"/>
        <v>17.917712050000002</v>
      </c>
      <c r="M107" s="87">
        <f t="shared" si="19"/>
        <v>-0.59606031162906203</v>
      </c>
      <c r="N107" s="68">
        <f>_xlfn.XLOOKUP(C107,'2025 Goal Data'!C:C,'2025 Goal Data'!I:I,"")</f>
        <v>0.01</v>
      </c>
      <c r="O107" s="117">
        <f t="shared" si="20"/>
        <v>17.917712050000002</v>
      </c>
      <c r="P107" s="91">
        <f t="shared" si="21"/>
        <v>-0.59606031162906203</v>
      </c>
      <c r="Q107" s="69">
        <f t="shared" si="24"/>
        <v>0</v>
      </c>
      <c r="U107" s="58">
        <f t="shared" si="25"/>
        <v>1809.6889170500001</v>
      </c>
    </row>
    <row r="108" spans="1:21" x14ac:dyDescent="0.25">
      <c r="A108" s="98" t="s">
        <v>135</v>
      </c>
      <c r="B108" s="99"/>
      <c r="C108" s="42" t="str">
        <f t="shared" si="15"/>
        <v>DG Yuengling Inc|</v>
      </c>
      <c r="D108" s="73">
        <v>197011.74968099999</v>
      </c>
      <c r="E108" s="82">
        <v>183878.194667</v>
      </c>
      <c r="F108" s="83">
        <v>-6.6664000000000001E-2</v>
      </c>
      <c r="G108" s="82">
        <v>39897.000120999997</v>
      </c>
      <c r="H108" s="100">
        <v>236908.74980200001</v>
      </c>
      <c r="I108" s="177">
        <f t="shared" si="16"/>
        <v>221115.50117193366</v>
      </c>
      <c r="J108" s="96">
        <f t="shared" si="17"/>
        <v>-6.6663846916864777E-2</v>
      </c>
      <c r="K108" s="101">
        <f>_xlfn.XLOOKUP(C108,'2025 Goal Data'!C:C,'2025 Goal Data'!F:F,"")</f>
        <v>1.2893983182814713E-2</v>
      </c>
      <c r="L108" s="112">
        <f t="shared" si="18"/>
        <v>3054.6974358086463</v>
      </c>
      <c r="M108" s="102">
        <f t="shared" si="19"/>
        <v>-7.9557830099679483E-2</v>
      </c>
      <c r="N108" s="103">
        <f>_xlfn.XLOOKUP(C108,'2025 Goal Data'!C:C,'2025 Goal Data'!I:I,"")</f>
        <v>6.8028357366710923E-3</v>
      </c>
      <c r="O108" s="116">
        <f t="shared" si="20"/>
        <v>1611.6513094831162</v>
      </c>
      <c r="P108" s="104">
        <f t="shared" si="21"/>
        <v>-7.346668265353587E-2</v>
      </c>
      <c r="Q108" s="67">
        <f t="shared" si="24"/>
        <v>6.0911474461436133E-3</v>
      </c>
      <c r="U108" s="57">
        <f>SUMIF(B:B,A108,K:K)</f>
        <v>0.20800000000000002</v>
      </c>
    </row>
    <row r="109" spans="1:21" x14ac:dyDescent="0.25">
      <c r="A109" s="2" t="s">
        <v>261</v>
      </c>
      <c r="B109" s="2" t="s">
        <v>135</v>
      </c>
      <c r="C109" s="42" t="str">
        <f t="shared" si="15"/>
        <v>Yuengling Lager|DG Yuengling Inc</v>
      </c>
      <c r="D109" s="74">
        <v>167528.666409</v>
      </c>
      <c r="E109" s="1">
        <v>156957.278043</v>
      </c>
      <c r="F109" s="3">
        <v>-6.3102000000000005E-2</v>
      </c>
      <c r="G109" s="1">
        <v>34565.333462000002</v>
      </c>
      <c r="H109" s="94">
        <v>202093.99987100001</v>
      </c>
      <c r="I109" s="178">
        <f t="shared" si="16"/>
        <v>189341.46983288089</v>
      </c>
      <c r="J109" s="96">
        <f t="shared" si="17"/>
        <v>-6.3101972578400556E-2</v>
      </c>
      <c r="K109" s="59">
        <f>_xlfn.XLOOKUP(C109,'2025 Goal Data'!C:C,'2025 Goal Data'!F:F,"")</f>
        <v>1.2E-2</v>
      </c>
      <c r="L109" s="54">
        <f t="shared" si="18"/>
        <v>2425.1279984520002</v>
      </c>
      <c r="M109" s="87">
        <f t="shared" si="19"/>
        <v>-7.5101972578400553E-2</v>
      </c>
      <c r="N109" s="68">
        <f>_xlfn.XLOOKUP(C109,'2025 Goal Data'!C:C,'2025 Goal Data'!I:I,"")</f>
        <v>0.01</v>
      </c>
      <c r="O109" s="117">
        <f t="shared" si="20"/>
        <v>2020.9399987100001</v>
      </c>
      <c r="P109" s="91">
        <f t="shared" si="21"/>
        <v>-7.3101972578400551E-2</v>
      </c>
      <c r="Q109" s="69">
        <f t="shared" si="24"/>
        <v>2.0000000000000018E-3</v>
      </c>
      <c r="U109" s="58">
        <f t="shared" ref="U109:U119" si="26">(H109*K109)+H109</f>
        <v>204519.127869452</v>
      </c>
    </row>
    <row r="110" spans="1:21" x14ac:dyDescent="0.25">
      <c r="A110" s="2" t="s">
        <v>217</v>
      </c>
      <c r="B110" s="2" t="s">
        <v>135</v>
      </c>
      <c r="C110" s="42" t="str">
        <f t="shared" si="15"/>
        <v>Yuengling Light Lager|DG Yuengling Inc</v>
      </c>
      <c r="D110" s="74">
        <v>6889</v>
      </c>
      <c r="E110" s="1">
        <v>6300</v>
      </c>
      <c r="F110" s="3">
        <v>-8.5499000000000006E-2</v>
      </c>
      <c r="G110" s="1">
        <v>1331</v>
      </c>
      <c r="H110" s="94">
        <v>8220</v>
      </c>
      <c r="I110" s="178">
        <f t="shared" si="16"/>
        <v>7517.2008310000001</v>
      </c>
      <c r="J110" s="96">
        <f t="shared" si="17"/>
        <v>-8.5498682360097278E-2</v>
      </c>
      <c r="K110" s="59">
        <f>_xlfn.XLOOKUP(C110,'2025 Goal Data'!C:C,'2025 Goal Data'!F:F,"")</f>
        <v>1.2E-2</v>
      </c>
      <c r="L110" s="54">
        <f t="shared" si="18"/>
        <v>98.64</v>
      </c>
      <c r="M110" s="87">
        <f t="shared" si="19"/>
        <v>-9.7498682360097275E-2</v>
      </c>
      <c r="N110" s="68">
        <f>_xlfn.XLOOKUP(C110,'2025 Goal Data'!C:C,'2025 Goal Data'!I:I,"")</f>
        <v>-0.05</v>
      </c>
      <c r="O110" s="117">
        <f t="shared" si="20"/>
        <v>-411</v>
      </c>
      <c r="P110" s="91">
        <f t="shared" si="21"/>
        <v>-3.5498682360097275E-2</v>
      </c>
      <c r="Q110" s="69">
        <f t="shared" si="24"/>
        <v>6.2E-2</v>
      </c>
      <c r="U110" s="58">
        <f t="shared" si="26"/>
        <v>8318.64</v>
      </c>
    </row>
    <row r="111" spans="1:21" x14ac:dyDescent="0.25">
      <c r="A111" s="2" t="s">
        <v>290</v>
      </c>
      <c r="B111" s="2" t="s">
        <v>135</v>
      </c>
      <c r="C111" s="42" t="str">
        <f t="shared" si="15"/>
        <v>Yuengling Flight|DG Yuengling Inc</v>
      </c>
      <c r="D111" s="74">
        <v>7907.083302</v>
      </c>
      <c r="E111" s="1">
        <v>7665.5833240000002</v>
      </c>
      <c r="F111" s="3">
        <v>-3.0542E-2</v>
      </c>
      <c r="G111" s="1">
        <v>1302.222219</v>
      </c>
      <c r="H111" s="94">
        <v>9209.3055210000002</v>
      </c>
      <c r="I111" s="178">
        <f t="shared" si="16"/>
        <v>8928.0330719873018</v>
      </c>
      <c r="J111" s="96">
        <f t="shared" si="17"/>
        <v>-3.0542199775141832E-2</v>
      </c>
      <c r="K111" s="59">
        <f>_xlfn.XLOOKUP(C111,'2025 Goal Data'!C:C,'2025 Goal Data'!F:F,"")</f>
        <v>0.1</v>
      </c>
      <c r="L111" s="54">
        <f t="shared" si="18"/>
        <v>920.93055210000011</v>
      </c>
      <c r="M111" s="87">
        <f t="shared" si="19"/>
        <v>-0.13054219977514184</v>
      </c>
      <c r="N111" s="68">
        <f>_xlfn.XLOOKUP(C111,'2025 Goal Data'!C:C,'2025 Goal Data'!I:I,"")</f>
        <v>0.1</v>
      </c>
      <c r="O111" s="117">
        <f t="shared" si="20"/>
        <v>920.93055210000011</v>
      </c>
      <c r="P111" s="91">
        <f t="shared" si="21"/>
        <v>-0.13054219977514184</v>
      </c>
      <c r="Q111" s="69">
        <f t="shared" si="24"/>
        <v>0</v>
      </c>
      <c r="U111" s="58">
        <f t="shared" si="26"/>
        <v>10130.236073100001</v>
      </c>
    </row>
    <row r="112" spans="1:21" x14ac:dyDescent="0.25">
      <c r="A112" s="2" t="s">
        <v>343</v>
      </c>
      <c r="B112" s="2" t="s">
        <v>135</v>
      </c>
      <c r="C112" s="42" t="str">
        <f t="shared" si="15"/>
        <v>Yuengling Black &amp; Tan|DG Yuengling Inc</v>
      </c>
      <c r="D112" s="74">
        <v>4863.4444199999998</v>
      </c>
      <c r="E112" s="1">
        <v>4726.1110840000001</v>
      </c>
      <c r="F112" s="3">
        <v>-2.8237999999999999E-2</v>
      </c>
      <c r="G112" s="1">
        <v>1181.44444</v>
      </c>
      <c r="H112" s="94">
        <v>6044.88886</v>
      </c>
      <c r="I112" s="178">
        <f t="shared" si="16"/>
        <v>5874.1938959032796</v>
      </c>
      <c r="J112" s="96">
        <f t="shared" si="17"/>
        <v>-2.8237899496587393E-2</v>
      </c>
      <c r="K112" s="59">
        <f>_xlfn.XLOOKUP(C112,'2025 Goal Data'!C:C,'2025 Goal Data'!F:F,"")</f>
        <v>-2.9000000000000001E-2</v>
      </c>
      <c r="L112" s="54">
        <f t="shared" si="18"/>
        <v>-175.30177694</v>
      </c>
      <c r="M112" s="87">
        <f t="shared" si="19"/>
        <v>7.621005034126084E-4</v>
      </c>
      <c r="N112" s="68">
        <f>_xlfn.XLOOKUP(C112,'2025 Goal Data'!C:C,'2025 Goal Data'!I:I,"")</f>
        <v>-0.05</v>
      </c>
      <c r="O112" s="117">
        <f t="shared" si="20"/>
        <v>-302.24444299999999</v>
      </c>
      <c r="P112" s="91">
        <f t="shared" si="21"/>
        <v>2.176210050341261E-2</v>
      </c>
      <c r="Q112" s="69">
        <f t="shared" si="24"/>
        <v>2.1000000000000001E-2</v>
      </c>
      <c r="U112" s="58">
        <f t="shared" si="26"/>
        <v>5869.5870830599997</v>
      </c>
    </row>
    <row r="113" spans="1:21" x14ac:dyDescent="0.25">
      <c r="A113" s="2" t="s">
        <v>136</v>
      </c>
      <c r="B113" s="2" t="s">
        <v>135</v>
      </c>
      <c r="C113" s="42" t="str">
        <f t="shared" si="15"/>
        <v>Yuengling Premium|DG Yuengling Inc</v>
      </c>
      <c r="D113" s="74">
        <v>3782</v>
      </c>
      <c r="E113" s="1">
        <v>3356</v>
      </c>
      <c r="F113" s="3">
        <v>-0.112639</v>
      </c>
      <c r="G113" s="1">
        <v>770</v>
      </c>
      <c r="H113" s="94">
        <v>4552</v>
      </c>
      <c r="I113" s="178">
        <f t="shared" si="16"/>
        <v>4039.2679699999999</v>
      </c>
      <c r="J113" s="96">
        <f t="shared" si="17"/>
        <v>-0.11263884666080848</v>
      </c>
      <c r="K113" s="59">
        <f>_xlfn.XLOOKUP(C113,'2025 Goal Data'!C:C,'2025 Goal Data'!F:F,"")</f>
        <v>-2.9000000000000001E-2</v>
      </c>
      <c r="L113" s="54">
        <f t="shared" si="18"/>
        <v>-132.00800000000001</v>
      </c>
      <c r="M113" s="87">
        <f t="shared" si="19"/>
        <v>-8.363884666080848E-2</v>
      </c>
      <c r="N113" s="68">
        <f>_xlfn.XLOOKUP(C113,'2025 Goal Data'!C:C,'2025 Goal Data'!I:I,"")</f>
        <v>-0.05</v>
      </c>
      <c r="O113" s="117">
        <f t="shared" si="20"/>
        <v>-227.60000000000002</v>
      </c>
      <c r="P113" s="91">
        <f t="shared" si="21"/>
        <v>-6.2638846660808475E-2</v>
      </c>
      <c r="Q113" s="69">
        <f t="shared" si="24"/>
        <v>2.1000000000000005E-2</v>
      </c>
      <c r="U113" s="58">
        <f t="shared" si="26"/>
        <v>4419.9920000000002</v>
      </c>
    </row>
    <row r="114" spans="1:21" x14ac:dyDescent="0.25">
      <c r="A114" s="2" t="s">
        <v>163</v>
      </c>
      <c r="B114" s="2" t="s">
        <v>135</v>
      </c>
      <c r="C114" s="42" t="str">
        <f t="shared" si="15"/>
        <v>Yuengling Golden Pilsner|DG Yuengling Inc</v>
      </c>
      <c r="D114" s="74">
        <v>2470</v>
      </c>
      <c r="E114" s="1">
        <v>2097</v>
      </c>
      <c r="F114" s="3">
        <v>-0.15101200000000001</v>
      </c>
      <c r="G114" s="1">
        <v>492</v>
      </c>
      <c r="H114" s="94">
        <v>2962</v>
      </c>
      <c r="I114" s="178">
        <f t="shared" si="16"/>
        <v>2514.702096</v>
      </c>
      <c r="J114" s="96">
        <f t="shared" si="17"/>
        <v>-0.15101212153950039</v>
      </c>
      <c r="K114" s="59">
        <f>_xlfn.XLOOKUP(C114,'2025 Goal Data'!C:C,'2025 Goal Data'!F:F,"")</f>
        <v>-2.9000000000000001E-2</v>
      </c>
      <c r="L114" s="54">
        <f t="shared" si="18"/>
        <v>-85.89800000000001</v>
      </c>
      <c r="M114" s="87">
        <f t="shared" si="19"/>
        <v>-0.12201212153950039</v>
      </c>
      <c r="N114" s="68">
        <f>_xlfn.XLOOKUP(C114,'2025 Goal Data'!C:C,'2025 Goal Data'!I:I,"")</f>
        <v>-0.1</v>
      </c>
      <c r="O114" s="117">
        <f t="shared" si="20"/>
        <v>-296.2</v>
      </c>
      <c r="P114" s="91">
        <f t="shared" si="21"/>
        <v>-5.1012121539500382E-2</v>
      </c>
      <c r="Q114" s="69">
        <f t="shared" si="24"/>
        <v>7.1000000000000008E-2</v>
      </c>
      <c r="U114" s="58">
        <f t="shared" si="26"/>
        <v>2876.1019999999999</v>
      </c>
    </row>
    <row r="115" spans="1:21" x14ac:dyDescent="0.25">
      <c r="A115" s="2" t="s">
        <v>188</v>
      </c>
      <c r="B115" s="2" t="s">
        <v>135</v>
      </c>
      <c r="C115" s="42" t="str">
        <f t="shared" si="15"/>
        <v>Yuengling Premium Light|DG Yuengling Inc</v>
      </c>
      <c r="D115" s="74">
        <v>1635</v>
      </c>
      <c r="E115" s="1">
        <v>1400</v>
      </c>
      <c r="F115" s="3">
        <v>-0.143731</v>
      </c>
      <c r="G115" s="1">
        <v>255</v>
      </c>
      <c r="H115" s="94">
        <v>1890</v>
      </c>
      <c r="I115" s="178">
        <f t="shared" si="16"/>
        <v>1618.3485949999999</v>
      </c>
      <c r="J115" s="96">
        <f t="shared" si="17"/>
        <v>-0.14373090211640216</v>
      </c>
      <c r="K115" s="59">
        <f>_xlfn.XLOOKUP(C115,'2025 Goal Data'!C:C,'2025 Goal Data'!F:F,"")</f>
        <v>-2.9000000000000001E-2</v>
      </c>
      <c r="L115" s="54">
        <f t="shared" si="18"/>
        <v>-54.81</v>
      </c>
      <c r="M115" s="87">
        <f t="shared" si="19"/>
        <v>-0.11473090211640216</v>
      </c>
      <c r="N115" s="68">
        <f>_xlfn.XLOOKUP(C115,'2025 Goal Data'!C:C,'2025 Goal Data'!I:I,"")</f>
        <v>-0.08</v>
      </c>
      <c r="O115" s="117">
        <f t="shared" si="20"/>
        <v>-151.20000000000002</v>
      </c>
      <c r="P115" s="91">
        <f t="shared" si="21"/>
        <v>-6.3730902116402158E-2</v>
      </c>
      <c r="Q115" s="69">
        <f t="shared" si="24"/>
        <v>5.1000000000000004E-2</v>
      </c>
      <c r="U115" s="58">
        <f t="shared" si="26"/>
        <v>1835.19</v>
      </c>
    </row>
    <row r="116" spans="1:21" x14ac:dyDescent="0.25">
      <c r="A116" s="2" t="s">
        <v>377</v>
      </c>
      <c r="B116" s="2" t="s">
        <v>135</v>
      </c>
      <c r="C116" s="42" t="str">
        <f t="shared" si="15"/>
        <v>Yuengling Oktoberfest|DG Yuengling Inc</v>
      </c>
      <c r="D116" s="74">
        <v>1674.444438</v>
      </c>
      <c r="E116" s="1">
        <v>993.222216</v>
      </c>
      <c r="F116" s="3">
        <v>-0.406835</v>
      </c>
      <c r="G116" s="1">
        <v>0</v>
      </c>
      <c r="H116" s="94">
        <v>1674.444438</v>
      </c>
      <c r="I116" s="178">
        <f t="shared" si="16"/>
        <v>993.222216</v>
      </c>
      <c r="J116" s="96">
        <f t="shared" si="17"/>
        <v>-0.40683477250142119</v>
      </c>
      <c r="K116" s="59">
        <f>_xlfn.XLOOKUP(C116,'2025 Goal Data'!C:C,'2025 Goal Data'!F:F,"")</f>
        <v>0</v>
      </c>
      <c r="L116" s="54">
        <f t="shared" si="18"/>
        <v>0</v>
      </c>
      <c r="M116" s="87">
        <f t="shared" si="19"/>
        <v>-0.40683477250142119</v>
      </c>
      <c r="N116" s="68">
        <f>_xlfn.XLOOKUP(C116,'2025 Goal Data'!C:C,'2025 Goal Data'!I:I,"")</f>
        <v>0</v>
      </c>
      <c r="O116" s="117">
        <f t="shared" si="20"/>
        <v>0</v>
      </c>
      <c r="P116" s="91">
        <f t="shared" si="21"/>
        <v>-0.40683477250142119</v>
      </c>
      <c r="Q116" s="69">
        <f t="shared" si="24"/>
        <v>0</v>
      </c>
      <c r="U116" s="58">
        <f t="shared" si="26"/>
        <v>1674.444438</v>
      </c>
    </row>
    <row r="117" spans="1:21" x14ac:dyDescent="0.25">
      <c r="A117" s="128" t="s">
        <v>344</v>
      </c>
      <c r="B117" s="2" t="s">
        <v>135</v>
      </c>
      <c r="C117" s="42" t="str">
        <f t="shared" si="15"/>
        <v>Yuengling Hershey's Chocolate Porter|DG Yuengling Inc</v>
      </c>
      <c r="D117" s="74">
        <v>-22.888888000000001</v>
      </c>
      <c r="E117" s="1">
        <v>0</v>
      </c>
      <c r="F117" s="3">
        <v>1</v>
      </c>
      <c r="G117" s="1">
        <v>0</v>
      </c>
      <c r="H117" s="94">
        <v>-22.888888000000001</v>
      </c>
      <c r="I117" s="178">
        <f t="shared" si="16"/>
        <v>0</v>
      </c>
      <c r="J117" s="96">
        <f t="shared" si="17"/>
        <v>-1</v>
      </c>
      <c r="K117" s="59">
        <f>_xlfn.XLOOKUP(C117,'2025 Goal Data'!C:C,'2025 Goal Data'!F:F,"")</f>
        <v>0</v>
      </c>
      <c r="L117" s="54">
        <f t="shared" si="18"/>
        <v>0</v>
      </c>
      <c r="M117" s="87">
        <f t="shared" si="19"/>
        <v>-1</v>
      </c>
      <c r="N117" s="68">
        <f>_xlfn.XLOOKUP(C117,'2025 Goal Data'!C:C,'2025 Goal Data'!I:I,"")</f>
        <v>0</v>
      </c>
      <c r="O117" s="117">
        <f t="shared" si="20"/>
        <v>0</v>
      </c>
      <c r="P117" s="91">
        <f t="shared" si="21"/>
        <v>-1</v>
      </c>
      <c r="Q117" s="69">
        <f t="shared" si="24"/>
        <v>0</v>
      </c>
      <c r="U117" s="58">
        <f t="shared" si="26"/>
        <v>-22.888888000000001</v>
      </c>
    </row>
    <row r="118" spans="1:21" x14ac:dyDescent="0.25">
      <c r="A118" s="128" t="s">
        <v>137</v>
      </c>
      <c r="B118" s="2" t="s">
        <v>135</v>
      </c>
      <c r="C118" s="42" t="str">
        <f t="shared" si="15"/>
        <v>Yuengling Bongo Fizz|DG Yuengling Inc</v>
      </c>
      <c r="D118" s="74">
        <v>-5</v>
      </c>
      <c r="E118" s="1">
        <v>0</v>
      </c>
      <c r="F118" s="3">
        <v>1</v>
      </c>
      <c r="G118" s="1">
        <v>0</v>
      </c>
      <c r="H118" s="94">
        <v>-5</v>
      </c>
      <c r="I118" s="178">
        <f t="shared" si="16"/>
        <v>0</v>
      </c>
      <c r="J118" s="96">
        <f t="shared" si="17"/>
        <v>-1</v>
      </c>
      <c r="K118" s="59">
        <f>_xlfn.XLOOKUP(C118,'2025 Goal Data'!C:C,'2025 Goal Data'!F:F,"")</f>
        <v>0</v>
      </c>
      <c r="L118" s="54">
        <f t="shared" si="18"/>
        <v>0</v>
      </c>
      <c r="M118" s="87">
        <f t="shared" si="19"/>
        <v>-1</v>
      </c>
      <c r="N118" s="68">
        <f>_xlfn.XLOOKUP(C118,'2025 Goal Data'!C:C,'2025 Goal Data'!I:I,"")</f>
        <v>0</v>
      </c>
      <c r="O118" s="117">
        <f t="shared" si="20"/>
        <v>0</v>
      </c>
      <c r="P118" s="91">
        <f t="shared" si="21"/>
        <v>-1</v>
      </c>
      <c r="Q118" s="69">
        <f t="shared" si="24"/>
        <v>0</v>
      </c>
      <c r="U118" s="58">
        <f t="shared" si="26"/>
        <v>-5</v>
      </c>
    </row>
    <row r="119" spans="1:21" x14ac:dyDescent="0.25">
      <c r="A119" s="2" t="s">
        <v>315</v>
      </c>
      <c r="B119" s="2" t="s">
        <v>135</v>
      </c>
      <c r="C119" s="42" t="str">
        <f t="shared" si="15"/>
        <v>Dg Yuengling Inc|DG Yuengling Inc</v>
      </c>
      <c r="D119" s="74">
        <v>290</v>
      </c>
      <c r="E119" s="1">
        <v>383</v>
      </c>
      <c r="F119" s="3">
        <v>0.32068999999999998</v>
      </c>
      <c r="G119" s="1">
        <v>0</v>
      </c>
      <c r="H119" s="94">
        <v>290</v>
      </c>
      <c r="I119" s="178">
        <f t="shared" si="16"/>
        <v>383</v>
      </c>
      <c r="J119" s="96">
        <f t="shared" si="17"/>
        <v>0.32068965517241388</v>
      </c>
      <c r="K119" s="59">
        <f>_xlfn.XLOOKUP(C119,'2025 Goal Data'!C:C,'2025 Goal Data'!F:F,"")</f>
        <v>0.2</v>
      </c>
      <c r="L119" s="54">
        <f t="shared" si="18"/>
        <v>58</v>
      </c>
      <c r="M119" s="87">
        <f t="shared" si="19"/>
        <v>0.12068965517241387</v>
      </c>
      <c r="N119" s="68">
        <f>_xlfn.XLOOKUP(C119,'2025 Goal Data'!C:C,'2025 Goal Data'!I:I,"")</f>
        <v>0.2</v>
      </c>
      <c r="O119" s="117">
        <f t="shared" si="20"/>
        <v>58</v>
      </c>
      <c r="P119" s="91">
        <f t="shared" si="21"/>
        <v>0.12068965517241387</v>
      </c>
      <c r="Q119" s="69">
        <f t="shared" si="24"/>
        <v>0</v>
      </c>
      <c r="U119" s="58">
        <f t="shared" si="26"/>
        <v>348</v>
      </c>
    </row>
    <row r="120" spans="1:21" x14ac:dyDescent="0.25">
      <c r="A120" s="98" t="s">
        <v>316</v>
      </c>
      <c r="B120" s="99"/>
      <c r="C120" s="42" t="str">
        <f t="shared" si="15"/>
        <v>Sapporo|</v>
      </c>
      <c r="D120" s="73">
        <v>62192.679717999999</v>
      </c>
      <c r="E120" s="82">
        <v>68667.340133999998</v>
      </c>
      <c r="F120" s="83">
        <v>0.104106</v>
      </c>
      <c r="G120" s="82">
        <v>13480.140361</v>
      </c>
      <c r="H120" s="100">
        <v>75672.820078999997</v>
      </c>
      <c r="I120" s="177">
        <f t="shared" si="16"/>
        <v>83550.843987422268</v>
      </c>
      <c r="J120" s="96">
        <f t="shared" si="17"/>
        <v>0.10410638721006915</v>
      </c>
      <c r="K120" s="101">
        <f>_xlfn.XLOOKUP(C120,'2025 Goal Data'!C:C,'2025 Goal Data'!F:F,"")</f>
        <v>0.18</v>
      </c>
      <c r="L120" s="112">
        <f t="shared" si="18"/>
        <v>13621.107614219998</v>
      </c>
      <c r="M120" s="102">
        <f t="shared" si="19"/>
        <v>-7.5893612789930842E-2</v>
      </c>
      <c r="N120" s="103">
        <f>_xlfn.XLOOKUP(C120,'2025 Goal Data'!C:C,'2025 Goal Data'!I:I,"")</f>
        <v>0.18</v>
      </c>
      <c r="O120" s="116">
        <f t="shared" si="20"/>
        <v>13621.107614219998</v>
      </c>
      <c r="P120" s="104">
        <f t="shared" si="21"/>
        <v>-7.5893612789930842E-2</v>
      </c>
      <c r="Q120" s="67">
        <f t="shared" si="24"/>
        <v>0</v>
      </c>
      <c r="U120" s="57">
        <f>SUMIF(B:B,A120,K:K)</f>
        <v>0.18</v>
      </c>
    </row>
    <row r="121" spans="1:21" x14ac:dyDescent="0.25">
      <c r="A121" s="2" t="s">
        <v>316</v>
      </c>
      <c r="B121" s="2" t="s">
        <v>316</v>
      </c>
      <c r="C121" s="42" t="str">
        <f t="shared" si="15"/>
        <v>Sapporo|Sapporo</v>
      </c>
      <c r="D121" s="74">
        <v>62192.679717999999</v>
      </c>
      <c r="E121" s="1">
        <v>68667.340133999998</v>
      </c>
      <c r="F121" s="3">
        <v>0.104106</v>
      </c>
      <c r="G121" s="1">
        <v>13480.140361</v>
      </c>
      <c r="H121" s="94">
        <v>75672.820078999997</v>
      </c>
      <c r="I121" s="178">
        <f t="shared" si="16"/>
        <v>83550.843987422268</v>
      </c>
      <c r="J121" s="96">
        <f t="shared" si="17"/>
        <v>0.10410638721006915</v>
      </c>
      <c r="K121" s="59">
        <f>_xlfn.XLOOKUP(C121,'2025 Goal Data'!C:C,'2025 Goal Data'!F:F,"")</f>
        <v>0.18</v>
      </c>
      <c r="L121" s="54">
        <f t="shared" si="18"/>
        <v>13621.107614219998</v>
      </c>
      <c r="M121" s="87">
        <f t="shared" si="19"/>
        <v>-7.5893612789930842E-2</v>
      </c>
      <c r="N121" s="68">
        <f>_xlfn.XLOOKUP(C121,'2025 Goal Data'!C:C,'2025 Goal Data'!I:I,"")</f>
        <v>0.18</v>
      </c>
      <c r="O121" s="117">
        <f t="shared" si="20"/>
        <v>13621.107614219998</v>
      </c>
      <c r="P121" s="91">
        <f t="shared" si="21"/>
        <v>-7.5893612789930842E-2</v>
      </c>
      <c r="Q121" s="69">
        <f t="shared" si="24"/>
        <v>0</v>
      </c>
      <c r="U121" s="58">
        <f>(H121*K121)+H121</f>
        <v>89293.927693220001</v>
      </c>
    </row>
    <row r="122" spans="1:21" x14ac:dyDescent="0.25">
      <c r="A122" s="98" t="s">
        <v>189</v>
      </c>
      <c r="B122" s="99"/>
      <c r="C122" s="42" t="str">
        <f t="shared" si="15"/>
        <v>New Belgium Brewing Company|</v>
      </c>
      <c r="D122" s="73">
        <v>54320.458442000003</v>
      </c>
      <c r="E122" s="82">
        <f>SUM(E123:E127)</f>
        <v>47876.931944000004</v>
      </c>
      <c r="F122" s="83">
        <v>-5.7865E-2</v>
      </c>
      <c r="G122" s="82">
        <v>10027.722244000001</v>
      </c>
      <c r="H122" s="100">
        <v>64348.180686</v>
      </c>
      <c r="I122" s="177">
        <f t="shared" si="16"/>
        <v>57324.400040350942</v>
      </c>
      <c r="J122" s="96">
        <f t="shared" si="17"/>
        <v>-0.10915274636781136</v>
      </c>
      <c r="K122" s="101">
        <f>_xlfn.XLOOKUP(C122,'2025 Goal Data'!C:C,'2025 Goal Data'!F:F,"")</f>
        <v>5.7003356799850823E-2</v>
      </c>
      <c r="L122" s="112">
        <f t="shared" si="18"/>
        <v>3668.0623030653273</v>
      </c>
      <c r="M122" s="102">
        <f t="shared" si="19"/>
        <v>-0.16615610316766219</v>
      </c>
      <c r="N122" s="103">
        <f>_xlfn.XLOOKUP(C122,'2025 Goal Data'!C:C,'2025 Goal Data'!I:I,"")</f>
        <v>5.7003356799850823E-2</v>
      </c>
      <c r="O122" s="116">
        <f t="shared" si="20"/>
        <v>3668.0623030653273</v>
      </c>
      <c r="P122" s="104">
        <f t="shared" si="21"/>
        <v>-0.16615610316766219</v>
      </c>
      <c r="Q122" s="67">
        <f t="shared" si="24"/>
        <v>0</v>
      </c>
      <c r="U122" s="57">
        <f>SUMIF(B:B,A122,K:K)</f>
        <v>-2.2499999999999992E-2</v>
      </c>
    </row>
    <row r="123" spans="1:21" x14ac:dyDescent="0.25">
      <c r="A123" s="2" t="s">
        <v>138</v>
      </c>
      <c r="B123" s="2" t="s">
        <v>189</v>
      </c>
      <c r="C123" s="42" t="str">
        <f t="shared" si="15"/>
        <v>Voodoo Family|New Belgium Brewing Company</v>
      </c>
      <c r="D123" s="74">
        <v>39729.826452000001</v>
      </c>
      <c r="E123" s="1">
        <v>35909.500046000001</v>
      </c>
      <c r="F123" s="3">
        <v>-9.6157999999999993E-2</v>
      </c>
      <c r="G123" s="1">
        <v>7487.3819569999996</v>
      </c>
      <c r="H123" s="94">
        <v>47217.208408999999</v>
      </c>
      <c r="I123" s="178">
        <f t="shared" si="16"/>
        <v>42676.910328778795</v>
      </c>
      <c r="J123" s="96">
        <f t="shared" si="17"/>
        <v>-9.6157698288571125E-2</v>
      </c>
      <c r="K123" s="59">
        <f>_xlfn.XLOOKUP(C123,'2025 Goal Data'!C:C,'2025 Goal Data'!F:F,"")</f>
        <v>0.1125</v>
      </c>
      <c r="L123" s="54">
        <f t="shared" si="18"/>
        <v>5311.9359460124997</v>
      </c>
      <c r="M123" s="87">
        <f t="shared" si="19"/>
        <v>-0.20865769828857111</v>
      </c>
      <c r="N123" s="68">
        <f>_xlfn.XLOOKUP(C123,'2025 Goal Data'!C:C,'2025 Goal Data'!I:I,"")</f>
        <v>0.1125</v>
      </c>
      <c r="O123" s="117">
        <f t="shared" si="20"/>
        <v>5311.9359460124997</v>
      </c>
      <c r="P123" s="91">
        <f t="shared" si="21"/>
        <v>-0.20865769828857111</v>
      </c>
      <c r="Q123" s="69">
        <f t="shared" si="24"/>
        <v>0</v>
      </c>
      <c r="U123" s="58">
        <f>(H123*K123)+H123</f>
        <v>52529.144355012497</v>
      </c>
    </row>
    <row r="124" spans="1:21" x14ac:dyDescent="0.25">
      <c r="A124" s="2" t="s">
        <v>291</v>
      </c>
      <c r="B124" s="2" t="s">
        <v>189</v>
      </c>
      <c r="C124" s="42" t="str">
        <f t="shared" si="15"/>
        <v>Fat Tire Family|New Belgium Brewing Company</v>
      </c>
      <c r="D124" s="74">
        <v>8145.9236380000002</v>
      </c>
      <c r="E124" s="1">
        <v>6402.895853</v>
      </c>
      <c r="F124" s="3">
        <v>-0.213975</v>
      </c>
      <c r="G124" s="1">
        <v>1555.11806</v>
      </c>
      <c r="H124" s="94">
        <v>9701.0416980000009</v>
      </c>
      <c r="I124" s="178">
        <f t="shared" si="16"/>
        <v>7625.2575261114998</v>
      </c>
      <c r="J124" s="96">
        <f t="shared" si="17"/>
        <v>-0.21397538908800395</v>
      </c>
      <c r="K124" s="59">
        <f>_xlfn.XLOOKUP(C124,'2025 Goal Data'!C:C,'2025 Goal Data'!F:F,"")</f>
        <v>-0.15</v>
      </c>
      <c r="L124" s="54">
        <f t="shared" si="18"/>
        <v>-1455.1562547000001</v>
      </c>
      <c r="M124" s="87">
        <f t="shared" si="19"/>
        <v>-6.3975389088003959E-2</v>
      </c>
      <c r="N124" s="68">
        <f>_xlfn.XLOOKUP(C124,'2025 Goal Data'!C:C,'2025 Goal Data'!I:I,"")</f>
        <v>-0.15</v>
      </c>
      <c r="O124" s="117">
        <f t="shared" si="20"/>
        <v>-1455.1562547000001</v>
      </c>
      <c r="P124" s="91">
        <f t="shared" si="21"/>
        <v>-6.3975389088003959E-2</v>
      </c>
      <c r="Q124" s="69">
        <f t="shared" si="24"/>
        <v>0</v>
      </c>
      <c r="U124" s="58">
        <f>(H124*K124)+H124</f>
        <v>8245.8854433000015</v>
      </c>
    </row>
    <row r="125" spans="1:21" x14ac:dyDescent="0.25">
      <c r="A125" s="2" t="s">
        <v>189</v>
      </c>
      <c r="B125" s="2" t="s">
        <v>189</v>
      </c>
      <c r="C125" s="42" t="str">
        <f t="shared" si="15"/>
        <v>New Belgium Brewing Company|New Belgium Brewing Company</v>
      </c>
      <c r="D125" s="74">
        <v>2589.7083520000001</v>
      </c>
      <c r="E125" s="1">
        <v>3220.7777980000001</v>
      </c>
      <c r="F125" s="3">
        <v>0.24368400000000001</v>
      </c>
      <c r="G125" s="1">
        <v>555.22222699999998</v>
      </c>
      <c r="H125" s="94">
        <v>3144.9305789999999</v>
      </c>
      <c r="I125" s="178">
        <f t="shared" si="16"/>
        <v>3911.2987981642682</v>
      </c>
      <c r="J125" s="96">
        <f t="shared" si="17"/>
        <v>0.24368366802168073</v>
      </c>
      <c r="K125" s="59">
        <f>_xlfn.XLOOKUP(C125,'2025 Goal Data'!C:C,'2025 Goal Data'!F:F,"")</f>
        <v>1.4999999999999999E-2</v>
      </c>
      <c r="L125" s="54">
        <f t="shared" si="18"/>
        <v>47.173958684999995</v>
      </c>
      <c r="M125" s="87">
        <f t="shared" si="19"/>
        <v>0.22868366802168072</v>
      </c>
      <c r="N125" s="68">
        <f>_xlfn.XLOOKUP(C125,'2025 Goal Data'!C:C,'2025 Goal Data'!I:I,"")</f>
        <v>1.4999999999999999E-2</v>
      </c>
      <c r="O125" s="117">
        <f t="shared" si="20"/>
        <v>47.173958684999995</v>
      </c>
      <c r="P125" s="91">
        <f t="shared" si="21"/>
        <v>0.22868366802168072</v>
      </c>
      <c r="Q125" s="69">
        <f t="shared" si="24"/>
        <v>0</v>
      </c>
      <c r="U125" s="58">
        <f>(H125*K125)+H125</f>
        <v>3192.1045376849997</v>
      </c>
    </row>
    <row r="126" spans="1:21" x14ac:dyDescent="0.25">
      <c r="A126" s="2" t="s">
        <v>7</v>
      </c>
      <c r="B126" s="2" t="s">
        <v>189</v>
      </c>
      <c r="C126" s="42" t="str">
        <f t="shared" si="15"/>
        <v>Voodoo Hardcharged|New Belgium Brewing Company</v>
      </c>
      <c r="D126" s="74">
        <v>3855</v>
      </c>
      <c r="E126" s="1">
        <v>1979</v>
      </c>
      <c r="F126" s="3">
        <v>-0.48664099999999999</v>
      </c>
      <c r="G126" s="1">
        <v>430</v>
      </c>
      <c r="H126" s="94">
        <v>4285</v>
      </c>
      <c r="I126" s="178">
        <f t="shared" si="16"/>
        <v>2199.7443699999999</v>
      </c>
      <c r="J126" s="96">
        <f t="shared" si="17"/>
        <v>-0.48664075379229876</v>
      </c>
      <c r="K126" s="59" t="str">
        <f>_xlfn.XLOOKUP(C126,'2025 Goal Data'!C:C,'2025 Goal Data'!F:F,"")</f>
        <v/>
      </c>
      <c r="L126" s="54">
        <f t="shared" si="18"/>
        <v>0</v>
      </c>
      <c r="M126" s="87">
        <f t="shared" si="19"/>
        <v>0</v>
      </c>
      <c r="N126" s="68" t="str">
        <f>_xlfn.XLOOKUP(C126,'2025 Goal Data'!C:C,'2025 Goal Data'!I:I,"")</f>
        <v/>
      </c>
      <c r="O126" s="117">
        <f t="shared" si="20"/>
        <v>0</v>
      </c>
      <c r="P126" s="91">
        <f t="shared" si="21"/>
        <v>0</v>
      </c>
      <c r="Q126" s="69" t="s">
        <v>475</v>
      </c>
      <c r="U126" s="58" t="s">
        <v>475</v>
      </c>
    </row>
    <row r="127" spans="1:21" x14ac:dyDescent="0.25">
      <c r="A127" s="2" t="s">
        <v>218</v>
      </c>
      <c r="B127" s="5" t="s">
        <v>189</v>
      </c>
      <c r="C127" s="42" t="str">
        <f t="shared" si="15"/>
        <v>Lightstrike|New Belgium Brewing Company</v>
      </c>
      <c r="D127" s="74">
        <v>0</v>
      </c>
      <c r="E127" s="1">
        <v>364.75824699999998</v>
      </c>
      <c r="F127" s="3">
        <v>1</v>
      </c>
      <c r="G127" s="1">
        <v>0</v>
      </c>
      <c r="H127" s="94">
        <v>0</v>
      </c>
      <c r="I127" s="178">
        <f t="shared" si="16"/>
        <v>364.75824699999998</v>
      </c>
      <c r="J127" s="96">
        <f t="shared" si="17"/>
        <v>0</v>
      </c>
      <c r="K127" s="59">
        <f>_xlfn.XLOOKUP(C127,'2025 Goal Data'!C:C,'2025 Goal Data'!F:F,"")</f>
        <v>0</v>
      </c>
      <c r="L127" s="54">
        <f t="shared" si="18"/>
        <v>0</v>
      </c>
      <c r="M127" s="87">
        <f t="shared" si="19"/>
        <v>0</v>
      </c>
      <c r="N127" s="68">
        <f>_xlfn.XLOOKUP(C127,'2025 Goal Data'!C:C,'2025 Goal Data'!I:I,"")</f>
        <v>0</v>
      </c>
      <c r="O127" s="117">
        <f t="shared" si="20"/>
        <v>0</v>
      </c>
      <c r="P127" s="91">
        <f t="shared" si="21"/>
        <v>0</v>
      </c>
      <c r="Q127" s="69">
        <f>P127-M127</f>
        <v>0</v>
      </c>
      <c r="U127" s="58">
        <f>(H127*K127)+H127</f>
        <v>0</v>
      </c>
    </row>
    <row r="128" spans="1:21" x14ac:dyDescent="0.25">
      <c r="A128" s="98" t="s">
        <v>494</v>
      </c>
      <c r="B128" s="98"/>
      <c r="C128" s="98"/>
      <c r="D128" s="82">
        <f>SUM(D129:D130)</f>
        <v>0</v>
      </c>
      <c r="E128" s="82">
        <f>SUM(E129:E130)</f>
        <v>3300.2777900000001</v>
      </c>
      <c r="F128" s="132">
        <v>1</v>
      </c>
      <c r="G128" s="131" t="s">
        <v>495</v>
      </c>
      <c r="H128" s="133" t="s">
        <v>495</v>
      </c>
      <c r="I128" s="179">
        <f>((G128*F128)+G128)+E128</f>
        <v>3300.2777900000001</v>
      </c>
      <c r="J128" s="96">
        <f t="shared" si="17"/>
        <v>0</v>
      </c>
      <c r="K128" s="98"/>
      <c r="L128" s="98"/>
      <c r="M128" s="98"/>
      <c r="N128" s="98"/>
      <c r="O128" s="98"/>
      <c r="P128" s="98"/>
      <c r="Q128" s="69"/>
      <c r="U128" s="58"/>
    </row>
    <row r="129" spans="1:21" x14ac:dyDescent="0.25">
      <c r="A129" s="2" t="s">
        <v>292</v>
      </c>
      <c r="B129" s="5" t="s">
        <v>398</v>
      </c>
      <c r="C129" s="42" t="str">
        <f t="shared" si="15"/>
        <v>Kirin Light|Kirin Ichiban</v>
      </c>
      <c r="D129" s="74">
        <v>0</v>
      </c>
      <c r="E129" s="1">
        <v>226</v>
      </c>
      <c r="F129" s="3">
        <v>1</v>
      </c>
      <c r="G129" s="1">
        <v>0</v>
      </c>
      <c r="H129" s="94">
        <v>0</v>
      </c>
      <c r="I129" s="178">
        <f t="shared" si="16"/>
        <v>226</v>
      </c>
      <c r="J129" s="96">
        <f t="shared" si="17"/>
        <v>0</v>
      </c>
      <c r="K129" s="59" t="str">
        <f>_xlfn.XLOOKUP(C129,'2025 Goal Data'!C:C,'2025 Goal Data'!F:F,"")</f>
        <v/>
      </c>
      <c r="L129" s="54">
        <f t="shared" si="18"/>
        <v>0</v>
      </c>
      <c r="M129" s="87">
        <f t="shared" si="19"/>
        <v>0</v>
      </c>
      <c r="N129" s="68" t="str">
        <f>_xlfn.XLOOKUP(C129,'2025 Goal Data'!C:C,'2025 Goal Data'!I:I,"")</f>
        <v/>
      </c>
      <c r="O129" s="117">
        <f t="shared" si="20"/>
        <v>0</v>
      </c>
      <c r="P129" s="91">
        <f t="shared" si="21"/>
        <v>0</v>
      </c>
      <c r="Q129" s="69" t="s">
        <v>475</v>
      </c>
      <c r="U129" s="58" t="s">
        <v>475</v>
      </c>
    </row>
    <row r="130" spans="1:21" x14ac:dyDescent="0.25">
      <c r="A130" s="2" t="s">
        <v>398</v>
      </c>
      <c r="B130" s="5" t="s">
        <v>398</v>
      </c>
      <c r="C130" s="42" t="str">
        <f t="shared" si="15"/>
        <v>Kirin Ichiban|Kirin Ichiban</v>
      </c>
      <c r="D130" s="74">
        <v>0</v>
      </c>
      <c r="E130" s="1">
        <v>3074.2777900000001</v>
      </c>
      <c r="F130" s="3">
        <v>1</v>
      </c>
      <c r="G130" s="1">
        <v>0</v>
      </c>
      <c r="H130" s="94">
        <v>0</v>
      </c>
      <c r="I130" s="178">
        <f t="shared" si="16"/>
        <v>3074.2777900000001</v>
      </c>
      <c r="J130" s="96">
        <f t="shared" si="17"/>
        <v>0</v>
      </c>
      <c r="K130" s="59" t="str">
        <f>_xlfn.XLOOKUP(C130,'2025 Goal Data'!C:C,'2025 Goal Data'!F:F,"")</f>
        <v/>
      </c>
      <c r="L130" s="54">
        <f t="shared" si="18"/>
        <v>0</v>
      </c>
      <c r="M130" s="87">
        <f t="shared" si="19"/>
        <v>0</v>
      </c>
      <c r="N130" s="68" t="str">
        <f>_xlfn.XLOOKUP(C130,'2025 Goal Data'!C:C,'2025 Goal Data'!I:I,"")</f>
        <v/>
      </c>
      <c r="O130" s="117">
        <f t="shared" si="20"/>
        <v>0</v>
      </c>
      <c r="P130" s="91">
        <f t="shared" si="21"/>
        <v>0</v>
      </c>
      <c r="Q130" s="69" t="s">
        <v>475</v>
      </c>
      <c r="U130" s="58" t="s">
        <v>475</v>
      </c>
    </row>
    <row r="131" spans="1:21" x14ac:dyDescent="0.25">
      <c r="A131" s="98" t="s">
        <v>345</v>
      </c>
      <c r="B131" s="99"/>
      <c r="C131" s="42" t="str">
        <f t="shared" si="15"/>
        <v>Sierra Nevada Brewing Company|</v>
      </c>
      <c r="D131" s="73">
        <v>37579.472102</v>
      </c>
      <c r="E131" s="82">
        <v>38876.699994000002</v>
      </c>
      <c r="F131" s="83">
        <v>3.4520000000000002E-2</v>
      </c>
      <c r="G131" s="82">
        <v>8543.2916499999992</v>
      </c>
      <c r="H131" s="100">
        <v>46122.763751999999</v>
      </c>
      <c r="I131" s="177">
        <f t="shared" si="16"/>
        <v>47714.906071758</v>
      </c>
      <c r="J131" s="96">
        <f t="shared" ref="J131:J194" si="27">IFERROR((I131/H131)-1,0)</f>
        <v>3.4519664266410288E-2</v>
      </c>
      <c r="K131" s="101">
        <f>_xlfn.XLOOKUP(C131,'2025 Goal Data'!C:C,'2025 Goal Data'!F:F,"")</f>
        <v>4.1987770240765943E-2</v>
      </c>
      <c r="L131" s="112">
        <f t="shared" si="18"/>
        <v>1936.5920072881038</v>
      </c>
      <c r="M131" s="102">
        <f t="shared" si="19"/>
        <v>-7.4681059743556544E-3</v>
      </c>
      <c r="N131" s="103">
        <f>_xlfn.XLOOKUP(C131,'2025 Goal Data'!C:C,'2025 Goal Data'!I:I,"")</f>
        <v>4.1987770240765943E-2</v>
      </c>
      <c r="O131" s="116">
        <f t="shared" si="20"/>
        <v>1936.5920072881038</v>
      </c>
      <c r="P131" s="104">
        <f t="shared" si="21"/>
        <v>-7.4681059743556544E-3</v>
      </c>
      <c r="Q131" s="67">
        <f t="shared" ref="Q131:Q164" si="28">P131-M131</f>
        <v>0</v>
      </c>
      <c r="U131" s="57">
        <f>SUMIF(B:B,A131,K:K)</f>
        <v>4.2000000000000003E-2</v>
      </c>
    </row>
    <row r="132" spans="1:21" x14ac:dyDescent="0.25">
      <c r="A132" s="2" t="s">
        <v>293</v>
      </c>
      <c r="B132" s="2" t="s">
        <v>345</v>
      </c>
      <c r="C132" s="42" t="str">
        <f t="shared" ref="C132:C195" si="29">A132&amp;"|"&amp;B132</f>
        <v>Sierra Nevada|Sierra Nevada Brewing Company</v>
      </c>
      <c r="D132" s="74">
        <v>37566.472102</v>
      </c>
      <c r="E132" s="1">
        <v>38876.699994000002</v>
      </c>
      <c r="F132" s="3">
        <v>3.4877999999999999E-2</v>
      </c>
      <c r="G132" s="1">
        <v>8543.2916499999992</v>
      </c>
      <c r="H132" s="94">
        <v>46109.763751999999</v>
      </c>
      <c r="I132" s="178">
        <f t="shared" ref="I132:I195" si="30">((G132*F132)+G132)+E132</f>
        <v>47717.964570168704</v>
      </c>
      <c r="J132" s="96">
        <f t="shared" si="27"/>
        <v>3.4877663369050627E-2</v>
      </c>
      <c r="K132" s="59">
        <f>_xlfn.XLOOKUP(C132,'2025 Goal Data'!C:C,'2025 Goal Data'!F:F,"")</f>
        <v>4.2000000000000003E-2</v>
      </c>
      <c r="L132" s="54">
        <f t="shared" si="18"/>
        <v>1936.610077584</v>
      </c>
      <c r="M132" s="87">
        <f t="shared" si="19"/>
        <v>-7.122336630949376E-3</v>
      </c>
      <c r="N132" s="68">
        <f>_xlfn.XLOOKUP(C132,'2025 Goal Data'!C:C,'2025 Goal Data'!I:I,"")</f>
        <v>4.2000000000000003E-2</v>
      </c>
      <c r="O132" s="117">
        <f t="shared" si="20"/>
        <v>1936.610077584</v>
      </c>
      <c r="P132" s="91">
        <f t="shared" si="21"/>
        <v>-7.122336630949376E-3</v>
      </c>
      <c r="Q132" s="69">
        <f t="shared" si="28"/>
        <v>0</v>
      </c>
      <c r="U132" s="58">
        <f>(H132*K132)+H132</f>
        <v>48046.373829584001</v>
      </c>
    </row>
    <row r="133" spans="1:21" x14ac:dyDescent="0.25">
      <c r="A133" s="128" t="s">
        <v>294</v>
      </c>
      <c r="B133" s="2" t="s">
        <v>345</v>
      </c>
      <c r="C133" s="42" t="str">
        <f t="shared" si="29"/>
        <v>Strainge Beast|Sierra Nevada Brewing Company</v>
      </c>
      <c r="D133" s="74">
        <v>13</v>
      </c>
      <c r="E133" s="1">
        <v>0</v>
      </c>
      <c r="F133" s="3">
        <v>-1</v>
      </c>
      <c r="G133" s="1">
        <v>0</v>
      </c>
      <c r="H133" s="94">
        <v>13</v>
      </c>
      <c r="I133" s="178">
        <f t="shared" si="30"/>
        <v>0</v>
      </c>
      <c r="J133" s="96">
        <f t="shared" si="27"/>
        <v>-1</v>
      </c>
      <c r="K133" s="59">
        <f>_xlfn.XLOOKUP(C133,'2025 Goal Data'!C:C,'2025 Goal Data'!F:F,"")</f>
        <v>0</v>
      </c>
      <c r="L133" s="54">
        <f t="shared" ref="L133:L196" si="31">IFERROR(K133*H133,0)</f>
        <v>0</v>
      </c>
      <c r="M133" s="87">
        <f t="shared" ref="M133:M196" si="32">IFERROR(J133-K133,0)</f>
        <v>-1</v>
      </c>
      <c r="N133" s="68">
        <f>_xlfn.XLOOKUP(C133,'2025 Goal Data'!C:C,'2025 Goal Data'!I:I,"")</f>
        <v>0</v>
      </c>
      <c r="O133" s="117">
        <f t="shared" si="20"/>
        <v>0</v>
      </c>
      <c r="P133" s="91">
        <f t="shared" si="21"/>
        <v>-1</v>
      </c>
      <c r="Q133" s="69">
        <f t="shared" si="28"/>
        <v>0</v>
      </c>
      <c r="U133" s="58">
        <f>(H133*K133)+H133</f>
        <v>13</v>
      </c>
    </row>
    <row r="134" spans="1:21" x14ac:dyDescent="0.25">
      <c r="A134" s="98" t="s">
        <v>139</v>
      </c>
      <c r="B134" s="99"/>
      <c r="C134" s="42" t="str">
        <f t="shared" si="29"/>
        <v>Total Beverage Solutions|</v>
      </c>
      <c r="D134" s="73">
        <v>22607.881569000001</v>
      </c>
      <c r="E134" s="82">
        <v>25724.029988999999</v>
      </c>
      <c r="F134" s="83">
        <v>0.13783500000000001</v>
      </c>
      <c r="G134" s="82">
        <v>6202.8345650000001</v>
      </c>
      <c r="H134" s="100">
        <v>28810.716133999998</v>
      </c>
      <c r="I134" s="177">
        <f t="shared" si="30"/>
        <v>32781.832256266774</v>
      </c>
      <c r="J134" s="96">
        <f t="shared" si="27"/>
        <v>0.13783468983543923</v>
      </c>
      <c r="K134" s="101">
        <f>_xlfn.XLOOKUP(C134,'2025 Goal Data'!C:C,'2025 Goal Data'!F:F,"")</f>
        <v>-4.116352528723663E-2</v>
      </c>
      <c r="L134" s="112">
        <f t="shared" si="31"/>
        <v>-1185.9506421253052</v>
      </c>
      <c r="M134" s="102">
        <f t="shared" si="32"/>
        <v>0.17899821512267586</v>
      </c>
      <c r="N134" s="103">
        <f>_xlfn.XLOOKUP(C134,'2025 Goal Data'!C:C,'2025 Goal Data'!I:I,"")</f>
        <v>-4.116352528723663E-2</v>
      </c>
      <c r="O134" s="116">
        <f t="shared" ref="O134:O197" si="33">IFERROR(N134*H134,0)</f>
        <v>-1185.9506421253052</v>
      </c>
      <c r="P134" s="104">
        <f t="shared" ref="P134:P197" si="34">IFERROR(J134-N134,0)</f>
        <v>0.17899821512267586</v>
      </c>
      <c r="Q134" s="67">
        <f t="shared" si="28"/>
        <v>0</v>
      </c>
      <c r="U134" s="57">
        <f>SUMIF(B:B,A134,K:K)</f>
        <v>-0.54</v>
      </c>
    </row>
    <row r="135" spans="1:21" x14ac:dyDescent="0.25">
      <c r="A135" s="2" t="s">
        <v>190</v>
      </c>
      <c r="B135" s="2" t="s">
        <v>139</v>
      </c>
      <c r="C135" s="42" t="str">
        <f t="shared" si="29"/>
        <v>Carib|Total Beverage Solutions</v>
      </c>
      <c r="D135" s="74">
        <v>9564</v>
      </c>
      <c r="E135" s="1">
        <v>8978</v>
      </c>
      <c r="F135" s="3">
        <v>-6.1270999999999999E-2</v>
      </c>
      <c r="G135" s="1">
        <v>3011</v>
      </c>
      <c r="H135" s="94">
        <v>12575</v>
      </c>
      <c r="I135" s="178">
        <f t="shared" si="30"/>
        <v>11804.513019</v>
      </c>
      <c r="J135" s="96">
        <f t="shared" si="27"/>
        <v>-6.127133049701794E-2</v>
      </c>
      <c r="K135" s="59">
        <f>_xlfn.XLOOKUP(C135,'2025 Goal Data'!C:C,'2025 Goal Data'!F:F,"")</f>
        <v>-7.0000000000000007E-2</v>
      </c>
      <c r="L135" s="54">
        <f t="shared" si="31"/>
        <v>-880.25000000000011</v>
      </c>
      <c r="M135" s="87">
        <f t="shared" si="32"/>
        <v>8.7286695029820671E-3</v>
      </c>
      <c r="N135" s="68">
        <f>_xlfn.XLOOKUP(C135,'2025 Goal Data'!C:C,'2025 Goal Data'!I:I,"")</f>
        <v>-7.0000000000000007E-2</v>
      </c>
      <c r="O135" s="117">
        <f t="shared" si="33"/>
        <v>-880.25000000000011</v>
      </c>
      <c r="P135" s="91">
        <f t="shared" si="34"/>
        <v>8.7286695029820671E-3</v>
      </c>
      <c r="Q135" s="69">
        <f t="shared" si="28"/>
        <v>0</v>
      </c>
      <c r="U135" s="58">
        <f t="shared" ref="U135:U141" si="35">(H135*K135)+H135</f>
        <v>11694.75</v>
      </c>
    </row>
    <row r="136" spans="1:21" x14ac:dyDescent="0.25">
      <c r="A136" s="2" t="s">
        <v>399</v>
      </c>
      <c r="B136" s="2" t="s">
        <v>139</v>
      </c>
      <c r="C136" s="42" t="str">
        <f t="shared" si="29"/>
        <v>Magners|Total Beverage Solutions</v>
      </c>
      <c r="D136" s="74">
        <v>2468.8055399999998</v>
      </c>
      <c r="E136" s="1">
        <v>6724.8346929999998</v>
      </c>
      <c r="F136" s="3">
        <v>1.723922</v>
      </c>
      <c r="G136" s="1">
        <v>1480.7860989999999</v>
      </c>
      <c r="H136" s="94">
        <v>3949.5916390000002</v>
      </c>
      <c r="I136" s="178">
        <f t="shared" si="30"/>
        <v>10758.380525360277</v>
      </c>
      <c r="J136" s="96">
        <f t="shared" si="27"/>
        <v>1.7239222453094412</v>
      </c>
      <c r="K136" s="59">
        <f>_xlfn.XLOOKUP(C136,'2025 Goal Data'!C:C,'2025 Goal Data'!F:F,"")</f>
        <v>0</v>
      </c>
      <c r="L136" s="54">
        <f t="shared" si="31"/>
        <v>0</v>
      </c>
      <c r="M136" s="87">
        <f t="shared" si="32"/>
        <v>1.7239222453094412</v>
      </c>
      <c r="N136" s="68">
        <f>_xlfn.XLOOKUP(C136,'2025 Goal Data'!C:C,'2025 Goal Data'!I:I,"")</f>
        <v>0</v>
      </c>
      <c r="O136" s="117">
        <f t="shared" si="33"/>
        <v>0</v>
      </c>
      <c r="P136" s="91">
        <f t="shared" si="34"/>
        <v>1.7239222453094412</v>
      </c>
      <c r="Q136" s="69">
        <f t="shared" si="28"/>
        <v>0</v>
      </c>
      <c r="U136" s="58">
        <f t="shared" si="35"/>
        <v>3949.5916390000002</v>
      </c>
    </row>
    <row r="137" spans="1:21" x14ac:dyDescent="0.25">
      <c r="A137" s="2" t="s">
        <v>58</v>
      </c>
      <c r="B137" s="2" t="s">
        <v>139</v>
      </c>
      <c r="C137" s="42" t="str">
        <f t="shared" si="29"/>
        <v>Weihenstephaner|Total Beverage Solutions</v>
      </c>
      <c r="D137" s="74">
        <v>7279.4335899999996</v>
      </c>
      <c r="E137" s="1">
        <v>7107.2334540000002</v>
      </c>
      <c r="F137" s="3">
        <v>-2.3656E-2</v>
      </c>
      <c r="G137" s="1">
        <v>1389.8887130000001</v>
      </c>
      <c r="H137" s="94">
        <v>8669.3223030000008</v>
      </c>
      <c r="I137" s="178">
        <f t="shared" si="30"/>
        <v>8464.2429596052716</v>
      </c>
      <c r="J137" s="96">
        <f t="shared" si="27"/>
        <v>-2.3655752575234446E-2</v>
      </c>
      <c r="K137" s="59">
        <f>_xlfn.XLOOKUP(C137,'2025 Goal Data'!C:C,'2025 Goal Data'!F:F,"")</f>
        <v>0.03</v>
      </c>
      <c r="L137" s="54">
        <f t="shared" si="31"/>
        <v>260.07966909000004</v>
      </c>
      <c r="M137" s="87">
        <f t="shared" si="32"/>
        <v>-5.3655752575234444E-2</v>
      </c>
      <c r="N137" s="68">
        <f>_xlfn.XLOOKUP(C137,'2025 Goal Data'!C:C,'2025 Goal Data'!I:I,"")</f>
        <v>0.03</v>
      </c>
      <c r="O137" s="117">
        <f t="shared" si="33"/>
        <v>260.07966909000004</v>
      </c>
      <c r="P137" s="91">
        <f t="shared" si="34"/>
        <v>-5.3655752575234444E-2</v>
      </c>
      <c r="Q137" s="69">
        <f t="shared" si="28"/>
        <v>0</v>
      </c>
      <c r="U137" s="58">
        <f t="shared" si="35"/>
        <v>8929.4019720900014</v>
      </c>
    </row>
    <row r="138" spans="1:21" x14ac:dyDescent="0.25">
      <c r="A138" s="2" t="s">
        <v>92</v>
      </c>
      <c r="B138" s="2" t="s">
        <v>139</v>
      </c>
      <c r="C138" s="42" t="str">
        <f t="shared" si="29"/>
        <v>Mackeson|Total Beverage Solutions</v>
      </c>
      <c r="D138" s="74">
        <v>302</v>
      </c>
      <c r="E138" s="1">
        <v>361</v>
      </c>
      <c r="F138" s="3">
        <v>0.19536400000000001</v>
      </c>
      <c r="G138" s="1">
        <v>132</v>
      </c>
      <c r="H138" s="94">
        <v>434</v>
      </c>
      <c r="I138" s="178">
        <f t="shared" si="30"/>
        <v>518.788048</v>
      </c>
      <c r="J138" s="96">
        <f t="shared" si="27"/>
        <v>0.1953641658986176</v>
      </c>
      <c r="K138" s="59">
        <f>_xlfn.XLOOKUP(C138,'2025 Goal Data'!C:C,'2025 Goal Data'!F:F,"")</f>
        <v>-0.2</v>
      </c>
      <c r="L138" s="54">
        <f t="shared" si="31"/>
        <v>-86.800000000000011</v>
      </c>
      <c r="M138" s="87">
        <f t="shared" si="32"/>
        <v>0.39536416589861761</v>
      </c>
      <c r="N138" s="68">
        <f>_xlfn.XLOOKUP(C138,'2025 Goal Data'!C:C,'2025 Goal Data'!I:I,"")</f>
        <v>-0.2</v>
      </c>
      <c r="O138" s="117">
        <f t="shared" si="33"/>
        <v>-86.800000000000011</v>
      </c>
      <c r="P138" s="91">
        <f t="shared" si="34"/>
        <v>0.39536416589861761</v>
      </c>
      <c r="Q138" s="69">
        <f t="shared" si="28"/>
        <v>0</v>
      </c>
      <c r="U138" s="58">
        <f t="shared" si="35"/>
        <v>347.2</v>
      </c>
    </row>
    <row r="139" spans="1:21" x14ac:dyDescent="0.25">
      <c r="A139" s="2" t="s">
        <v>378</v>
      </c>
      <c r="B139" s="2" t="s">
        <v>139</v>
      </c>
      <c r="C139" s="42" t="str">
        <f t="shared" si="29"/>
        <v>Rekorderlig|Total Beverage Solutions</v>
      </c>
      <c r="D139" s="74">
        <v>509.04525999999998</v>
      </c>
      <c r="E139" s="1">
        <v>337.18410799999998</v>
      </c>
      <c r="F139" s="3">
        <v>-0.337615</v>
      </c>
      <c r="G139" s="1">
        <v>125.159752</v>
      </c>
      <c r="H139" s="94">
        <v>634.20501200000001</v>
      </c>
      <c r="I139" s="178">
        <f t="shared" si="30"/>
        <v>420.08805032852001</v>
      </c>
      <c r="J139" s="96">
        <f t="shared" si="27"/>
        <v>-0.33761474226804122</v>
      </c>
      <c r="K139" s="59">
        <f>_xlfn.XLOOKUP(C139,'2025 Goal Data'!C:C,'2025 Goal Data'!F:F,"")</f>
        <v>-0.05</v>
      </c>
      <c r="L139" s="54">
        <f t="shared" si="31"/>
        <v>-31.710250600000002</v>
      </c>
      <c r="M139" s="87">
        <f t="shared" si="32"/>
        <v>-0.28761474226804123</v>
      </c>
      <c r="N139" s="68">
        <f>_xlfn.XLOOKUP(C139,'2025 Goal Data'!C:C,'2025 Goal Data'!I:I,"")</f>
        <v>-0.05</v>
      </c>
      <c r="O139" s="117">
        <f t="shared" si="33"/>
        <v>-31.710250600000002</v>
      </c>
      <c r="P139" s="91">
        <f t="shared" si="34"/>
        <v>-0.28761474226804123</v>
      </c>
      <c r="Q139" s="69">
        <f t="shared" si="28"/>
        <v>0</v>
      </c>
      <c r="U139" s="58">
        <f t="shared" si="35"/>
        <v>602.49476140000002</v>
      </c>
    </row>
    <row r="140" spans="1:21" x14ac:dyDescent="0.25">
      <c r="A140" s="2" t="s">
        <v>164</v>
      </c>
      <c r="B140" s="2" t="s">
        <v>139</v>
      </c>
      <c r="C140" s="42" t="str">
        <f t="shared" si="29"/>
        <v>Banks|Total Beverage Solutions</v>
      </c>
      <c r="D140" s="74">
        <v>344</v>
      </c>
      <c r="E140" s="1">
        <v>327</v>
      </c>
      <c r="F140" s="3">
        <v>-4.9418999999999998E-2</v>
      </c>
      <c r="G140" s="1">
        <v>72</v>
      </c>
      <c r="H140" s="94">
        <v>416</v>
      </c>
      <c r="I140" s="178">
        <f t="shared" si="30"/>
        <v>395.44183199999998</v>
      </c>
      <c r="J140" s="96">
        <f t="shared" si="27"/>
        <v>-4.9418673076923159E-2</v>
      </c>
      <c r="K140" s="59">
        <f>_xlfn.XLOOKUP(C140,'2025 Goal Data'!C:C,'2025 Goal Data'!F:F,"")</f>
        <v>-0.05</v>
      </c>
      <c r="L140" s="54">
        <f t="shared" si="31"/>
        <v>-20.8</v>
      </c>
      <c r="M140" s="87">
        <f t="shared" si="32"/>
        <v>5.8132692307684419E-4</v>
      </c>
      <c r="N140" s="68">
        <f>_xlfn.XLOOKUP(C140,'2025 Goal Data'!C:C,'2025 Goal Data'!I:I,"")</f>
        <v>-0.05</v>
      </c>
      <c r="O140" s="117">
        <f t="shared" si="33"/>
        <v>-20.8</v>
      </c>
      <c r="P140" s="91">
        <f t="shared" si="34"/>
        <v>5.8132692307684419E-4</v>
      </c>
      <c r="Q140" s="69">
        <f t="shared" si="28"/>
        <v>0</v>
      </c>
      <c r="U140" s="58">
        <f t="shared" si="35"/>
        <v>395.2</v>
      </c>
    </row>
    <row r="141" spans="1:21" x14ac:dyDescent="0.25">
      <c r="A141" s="2" t="s">
        <v>59</v>
      </c>
      <c r="B141" s="2" t="s">
        <v>139</v>
      </c>
      <c r="C141" s="42" t="str">
        <f t="shared" si="29"/>
        <v>Shipyard|Total Beverage Solutions</v>
      </c>
      <c r="D141" s="74">
        <v>2140.5971789999999</v>
      </c>
      <c r="E141" s="1">
        <v>1888.777734</v>
      </c>
      <c r="F141" s="3">
        <v>-0.11763999999999999</v>
      </c>
      <c r="G141" s="1">
        <v>-7.9999989999999999</v>
      </c>
      <c r="H141" s="94">
        <v>2132.5971800000002</v>
      </c>
      <c r="I141" s="178">
        <f t="shared" si="30"/>
        <v>1881.7188548823601</v>
      </c>
      <c r="J141" s="96">
        <f t="shared" si="27"/>
        <v>-0.11763980908839056</v>
      </c>
      <c r="K141" s="59">
        <f>_xlfn.XLOOKUP(C141,'2025 Goal Data'!C:C,'2025 Goal Data'!F:F,"")</f>
        <v>-0.2</v>
      </c>
      <c r="L141" s="54">
        <f t="shared" si="31"/>
        <v>-426.51943600000004</v>
      </c>
      <c r="M141" s="87">
        <f t="shared" si="32"/>
        <v>8.2360190911609454E-2</v>
      </c>
      <c r="N141" s="68">
        <f>_xlfn.XLOOKUP(C141,'2025 Goal Data'!C:C,'2025 Goal Data'!I:I,"")</f>
        <v>-0.2</v>
      </c>
      <c r="O141" s="117">
        <f t="shared" si="33"/>
        <v>-426.51943600000004</v>
      </c>
      <c r="P141" s="91">
        <f t="shared" si="34"/>
        <v>8.2360190911609454E-2</v>
      </c>
      <c r="Q141" s="69">
        <f t="shared" si="28"/>
        <v>0</v>
      </c>
      <c r="U141" s="58">
        <f t="shared" si="35"/>
        <v>1706.0777440000002</v>
      </c>
    </row>
    <row r="142" spans="1:21" x14ac:dyDescent="0.25">
      <c r="A142" s="98" t="s">
        <v>8</v>
      </c>
      <c r="B142" s="99"/>
      <c r="C142" s="42" t="str">
        <f t="shared" si="29"/>
        <v>FX Matt|</v>
      </c>
      <c r="D142" s="73">
        <v>26188.563483000002</v>
      </c>
      <c r="E142" s="82">
        <v>24339.047766</v>
      </c>
      <c r="F142" s="83">
        <v>-7.0623000000000005E-2</v>
      </c>
      <c r="G142" s="82">
        <v>6001.6972269999997</v>
      </c>
      <c r="H142" s="100">
        <v>32190.260709999999</v>
      </c>
      <c r="I142" s="177">
        <f t="shared" si="30"/>
        <v>29916.887129737577</v>
      </c>
      <c r="J142" s="96">
        <f t="shared" si="27"/>
        <v>-7.0623024794458811E-2</v>
      </c>
      <c r="K142" s="101">
        <f>_xlfn.XLOOKUP(C142,'2025 Goal Data'!C:C,'2025 Goal Data'!F:F,"")</f>
        <v>0</v>
      </c>
      <c r="L142" s="112">
        <f t="shared" si="31"/>
        <v>0</v>
      </c>
      <c r="M142" s="102">
        <f t="shared" si="32"/>
        <v>-7.0623024794458811E-2</v>
      </c>
      <c r="N142" s="103">
        <f>_xlfn.XLOOKUP(C142,'2025 Goal Data'!C:C,'2025 Goal Data'!I:I,"")</f>
        <v>9.303305863408164E-3</v>
      </c>
      <c r="O142" s="116">
        <f t="shared" si="33"/>
        <v>299.47584120798041</v>
      </c>
      <c r="P142" s="104">
        <f t="shared" si="34"/>
        <v>-7.9926330657866973E-2</v>
      </c>
      <c r="Q142" s="67">
        <f t="shared" si="28"/>
        <v>-9.3033058634081622E-3</v>
      </c>
      <c r="U142" s="57">
        <f>SUMIF(B:B,A142,K:K)</f>
        <v>0</v>
      </c>
    </row>
    <row r="143" spans="1:21" x14ac:dyDescent="0.25">
      <c r="A143" s="2" t="s">
        <v>191</v>
      </c>
      <c r="B143" s="2" t="s">
        <v>8</v>
      </c>
      <c r="C143" s="42" t="str">
        <f t="shared" si="29"/>
        <v>Flying Dog Brewing Co|FX Matt</v>
      </c>
      <c r="D143" s="74">
        <v>13034.216676</v>
      </c>
      <c r="E143" s="1">
        <v>11361.806591</v>
      </c>
      <c r="F143" s="3">
        <v>-0.12830900000000001</v>
      </c>
      <c r="G143" s="1">
        <v>3160.6166739999999</v>
      </c>
      <c r="H143" s="94">
        <v>16194.833350000001</v>
      </c>
      <c r="I143" s="178">
        <f t="shared" si="30"/>
        <v>14116.887700175734</v>
      </c>
      <c r="J143" s="96">
        <f t="shared" si="27"/>
        <v>-0.12830917150649579</v>
      </c>
      <c r="K143" s="59">
        <f>_xlfn.XLOOKUP(C143,'2025 Goal Data'!C:C,'2025 Goal Data'!F:F,"")</f>
        <v>0</v>
      </c>
      <c r="L143" s="54">
        <f t="shared" si="31"/>
        <v>0</v>
      </c>
      <c r="M143" s="87">
        <f t="shared" si="32"/>
        <v>-0.12830917150649579</v>
      </c>
      <c r="N143" s="68">
        <f>_xlfn.XLOOKUP(C143,'2025 Goal Data'!C:C,'2025 Goal Data'!I:I,"")</f>
        <v>-3.5000000000000003E-2</v>
      </c>
      <c r="O143" s="117">
        <f t="shared" si="33"/>
        <v>-566.81916725000008</v>
      </c>
      <c r="P143" s="91">
        <f t="shared" si="34"/>
        <v>-9.3309171506495786E-2</v>
      </c>
      <c r="Q143" s="69">
        <f t="shared" si="28"/>
        <v>3.5000000000000003E-2</v>
      </c>
      <c r="U143" s="58">
        <f t="shared" ref="U143:U148" si="36">(H143*K143)+H143</f>
        <v>16194.833350000001</v>
      </c>
    </row>
    <row r="144" spans="1:21" x14ac:dyDescent="0.25">
      <c r="A144" s="2" t="s">
        <v>60</v>
      </c>
      <c r="B144" s="2" t="s">
        <v>8</v>
      </c>
      <c r="C144" s="42" t="str">
        <f t="shared" si="29"/>
        <v>Saranac|FX Matt</v>
      </c>
      <c r="D144" s="74">
        <v>9880.5139070000005</v>
      </c>
      <c r="E144" s="1">
        <v>8746.7222249999995</v>
      </c>
      <c r="F144" s="3">
        <v>-0.11475</v>
      </c>
      <c r="G144" s="1">
        <v>1976.9722260000001</v>
      </c>
      <c r="H144" s="94">
        <v>11857.486133</v>
      </c>
      <c r="I144" s="178">
        <f t="shared" si="30"/>
        <v>10496.8368880665</v>
      </c>
      <c r="J144" s="96">
        <f t="shared" si="27"/>
        <v>-0.11475022864641959</v>
      </c>
      <c r="K144" s="59">
        <f>_xlfn.XLOOKUP(C144,'2025 Goal Data'!C:C,'2025 Goal Data'!F:F,"")</f>
        <v>0</v>
      </c>
      <c r="L144" s="54">
        <f t="shared" si="31"/>
        <v>0</v>
      </c>
      <c r="M144" s="87">
        <f t="shared" si="32"/>
        <v>-0.11475022864641959</v>
      </c>
      <c r="N144" s="68">
        <f>_xlfn.XLOOKUP(C144,'2025 Goal Data'!C:C,'2025 Goal Data'!I:I,"")</f>
        <v>-4.4999999999999998E-2</v>
      </c>
      <c r="O144" s="117">
        <f t="shared" si="33"/>
        <v>-533.58687598500001</v>
      </c>
      <c r="P144" s="91">
        <f t="shared" si="34"/>
        <v>-6.9750228646419596E-2</v>
      </c>
      <c r="Q144" s="69">
        <f t="shared" si="28"/>
        <v>4.4999999999999998E-2</v>
      </c>
      <c r="U144" s="58">
        <f t="shared" si="36"/>
        <v>11857.486133</v>
      </c>
    </row>
    <row r="145" spans="1:21" x14ac:dyDescent="0.25">
      <c r="A145" s="2" t="s">
        <v>262</v>
      </c>
      <c r="B145" s="2" t="s">
        <v>8</v>
      </c>
      <c r="C145" s="42" t="str">
        <f t="shared" si="29"/>
        <v>Friday Beers|FX Matt</v>
      </c>
      <c r="D145" s="74">
        <v>0</v>
      </c>
      <c r="E145" s="1">
        <v>977.77777900000001</v>
      </c>
      <c r="F145" s="3">
        <v>1</v>
      </c>
      <c r="G145" s="1">
        <v>517</v>
      </c>
      <c r="H145" s="94">
        <v>517</v>
      </c>
      <c r="I145" s="178">
        <f t="shared" si="30"/>
        <v>2011.777779</v>
      </c>
      <c r="J145" s="96">
        <f t="shared" si="27"/>
        <v>2.8912529574468087</v>
      </c>
      <c r="K145" s="59">
        <f>_xlfn.XLOOKUP(C145,'2025 Goal Data'!C:C,'2025 Goal Data'!F:F,"")</f>
        <v>0</v>
      </c>
      <c r="L145" s="54">
        <f t="shared" si="31"/>
        <v>0</v>
      </c>
      <c r="M145" s="87">
        <f t="shared" si="32"/>
        <v>2.8912529574468087</v>
      </c>
      <c r="N145" s="68">
        <f>_xlfn.XLOOKUP(C145,'2025 Goal Data'!C:C,'2025 Goal Data'!I:I,"")</f>
        <v>2.5</v>
      </c>
      <c r="O145" s="117">
        <f t="shared" si="33"/>
        <v>1292.5</v>
      </c>
      <c r="P145" s="91">
        <f t="shared" si="34"/>
        <v>0.39125295744680866</v>
      </c>
      <c r="Q145" s="69">
        <f t="shared" si="28"/>
        <v>-2.5</v>
      </c>
      <c r="U145" s="58">
        <f t="shared" si="36"/>
        <v>517</v>
      </c>
    </row>
    <row r="146" spans="1:21" x14ac:dyDescent="0.25">
      <c r="A146" s="2" t="s">
        <v>246</v>
      </c>
      <c r="B146" s="2" t="s">
        <v>8</v>
      </c>
      <c r="C146" s="42" t="str">
        <f t="shared" si="29"/>
        <v>Kingfisher Premium|FX Matt</v>
      </c>
      <c r="D146" s="74">
        <v>1594</v>
      </c>
      <c r="E146" s="1">
        <v>1418</v>
      </c>
      <c r="F146" s="3">
        <v>-0.110414</v>
      </c>
      <c r="G146" s="1">
        <v>290</v>
      </c>
      <c r="H146" s="94">
        <v>1884</v>
      </c>
      <c r="I146" s="178">
        <f t="shared" si="30"/>
        <v>1675.9799399999999</v>
      </c>
      <c r="J146" s="96">
        <f t="shared" si="27"/>
        <v>-0.11041404458598725</v>
      </c>
      <c r="K146" s="59">
        <f>_xlfn.XLOOKUP(C146,'2025 Goal Data'!C:C,'2025 Goal Data'!F:F,"")</f>
        <v>0</v>
      </c>
      <c r="L146" s="54">
        <f t="shared" si="31"/>
        <v>0</v>
      </c>
      <c r="M146" s="87">
        <f t="shared" si="32"/>
        <v>-0.11041404458598725</v>
      </c>
      <c r="N146" s="68">
        <f>_xlfn.XLOOKUP(C146,'2025 Goal Data'!C:C,'2025 Goal Data'!I:I,"")</f>
        <v>0</v>
      </c>
      <c r="O146" s="117">
        <f t="shared" si="33"/>
        <v>0</v>
      </c>
      <c r="P146" s="91">
        <f t="shared" si="34"/>
        <v>-0.11041404458598725</v>
      </c>
      <c r="Q146" s="69">
        <f t="shared" si="28"/>
        <v>0</v>
      </c>
      <c r="U146" s="58">
        <f t="shared" si="36"/>
        <v>1884</v>
      </c>
    </row>
    <row r="147" spans="1:21" x14ac:dyDescent="0.25">
      <c r="A147" s="2" t="s">
        <v>37</v>
      </c>
      <c r="B147" s="2" t="s">
        <v>8</v>
      </c>
      <c r="C147" s="42" t="str">
        <f t="shared" si="29"/>
        <v>Mckenzie's|FX Matt</v>
      </c>
      <c r="D147" s="74">
        <v>304</v>
      </c>
      <c r="E147" s="1">
        <v>261</v>
      </c>
      <c r="F147" s="3">
        <v>-0.14144699999999999</v>
      </c>
      <c r="G147" s="1">
        <v>37</v>
      </c>
      <c r="H147" s="94">
        <v>341</v>
      </c>
      <c r="I147" s="178">
        <f t="shared" si="30"/>
        <v>292.76646099999999</v>
      </c>
      <c r="J147" s="96">
        <f t="shared" si="27"/>
        <v>-0.14144732844574781</v>
      </c>
      <c r="K147" s="59">
        <f>_xlfn.XLOOKUP(C147,'2025 Goal Data'!C:C,'2025 Goal Data'!F:F,"")</f>
        <v>0</v>
      </c>
      <c r="L147" s="54">
        <f t="shared" si="31"/>
        <v>0</v>
      </c>
      <c r="M147" s="87">
        <f t="shared" si="32"/>
        <v>-0.14144732844574781</v>
      </c>
      <c r="N147" s="68">
        <f>_xlfn.XLOOKUP(C147,'2025 Goal Data'!C:C,'2025 Goal Data'!I:I,"")</f>
        <v>0</v>
      </c>
      <c r="O147" s="117">
        <f t="shared" si="33"/>
        <v>0</v>
      </c>
      <c r="P147" s="91">
        <f t="shared" si="34"/>
        <v>-0.14144732844574781</v>
      </c>
      <c r="Q147" s="69">
        <f t="shared" si="28"/>
        <v>0</v>
      </c>
      <c r="U147" s="58">
        <f t="shared" si="36"/>
        <v>341</v>
      </c>
    </row>
    <row r="148" spans="1:21" x14ac:dyDescent="0.25">
      <c r="A148" s="2" t="s">
        <v>400</v>
      </c>
      <c r="B148" s="2" t="s">
        <v>8</v>
      </c>
      <c r="C148" s="42" t="str">
        <f t="shared" si="29"/>
        <v>Right Coast|FX Matt</v>
      </c>
      <c r="D148" s="74">
        <v>1375.8329000000001</v>
      </c>
      <c r="E148" s="1">
        <v>1573.7411709999999</v>
      </c>
      <c r="F148" s="3">
        <v>0.143846</v>
      </c>
      <c r="G148" s="1">
        <v>20.108326999999999</v>
      </c>
      <c r="H148" s="94">
        <v>1395.941227</v>
      </c>
      <c r="I148" s="178">
        <f t="shared" si="30"/>
        <v>1596.7420004056419</v>
      </c>
      <c r="J148" s="96">
        <f t="shared" si="27"/>
        <v>0.14384615163002268</v>
      </c>
      <c r="K148" s="59">
        <f>_xlfn.XLOOKUP(C148,'2025 Goal Data'!C:C,'2025 Goal Data'!F:F,"")</f>
        <v>0</v>
      </c>
      <c r="L148" s="54">
        <f t="shared" si="31"/>
        <v>0</v>
      </c>
      <c r="M148" s="87">
        <f t="shared" si="32"/>
        <v>0.14384615163002268</v>
      </c>
      <c r="N148" s="68">
        <f>_xlfn.XLOOKUP(C148,'2025 Goal Data'!C:C,'2025 Goal Data'!I:I,"")</f>
        <v>1</v>
      </c>
      <c r="O148" s="117">
        <f t="shared" si="33"/>
        <v>1395.941227</v>
      </c>
      <c r="P148" s="91">
        <f t="shared" si="34"/>
        <v>-0.85615384836997732</v>
      </c>
      <c r="Q148" s="69">
        <f t="shared" si="28"/>
        <v>-1</v>
      </c>
      <c r="U148" s="58">
        <f t="shared" si="36"/>
        <v>1395.941227</v>
      </c>
    </row>
    <row r="149" spans="1:21" x14ac:dyDescent="0.25">
      <c r="A149" s="98" t="s">
        <v>346</v>
      </c>
      <c r="B149" s="99"/>
      <c r="C149" s="42" t="str">
        <f t="shared" si="29"/>
        <v>Famosa|</v>
      </c>
      <c r="D149" s="73">
        <v>31501.464778000001</v>
      </c>
      <c r="E149" s="82">
        <v>34001.381474000002</v>
      </c>
      <c r="F149" s="83">
        <v>7.9358999999999999E-2</v>
      </c>
      <c r="G149" s="82">
        <v>5835.7568540000002</v>
      </c>
      <c r="H149" s="100">
        <v>37337.221632000001</v>
      </c>
      <c r="I149" s="177">
        <f t="shared" si="30"/>
        <v>40300.258156176584</v>
      </c>
      <c r="J149" s="96">
        <f t="shared" si="27"/>
        <v>7.9358784469305554E-2</v>
      </c>
      <c r="K149" s="101">
        <f>_xlfn.XLOOKUP(C149,'2025 Goal Data'!C:C,'2025 Goal Data'!F:F,"")</f>
        <v>0.29368208479524327</v>
      </c>
      <c r="L149" s="112">
        <f t="shared" si="31"/>
        <v>10965.273089347815</v>
      </c>
      <c r="M149" s="102">
        <f t="shared" si="32"/>
        <v>-0.21432330032593772</v>
      </c>
      <c r="N149" s="103">
        <f>_xlfn.XLOOKUP(C149,'2025 Goal Data'!C:C,'2025 Goal Data'!I:I,"")</f>
        <v>0.19710207033237809</v>
      </c>
      <c r="O149" s="116">
        <f t="shared" si="33"/>
        <v>7359.2436841260524</v>
      </c>
      <c r="P149" s="104">
        <f t="shared" si="34"/>
        <v>-0.11774328586307253</v>
      </c>
      <c r="Q149" s="67">
        <f t="shared" si="28"/>
        <v>9.6580014462865182E-2</v>
      </c>
      <c r="U149" s="57">
        <f>SUMIF(B:B,A149,K:K)</f>
        <v>0.29799999999999999</v>
      </c>
    </row>
    <row r="150" spans="1:21" x14ac:dyDescent="0.25">
      <c r="A150" s="2" t="s">
        <v>346</v>
      </c>
      <c r="B150" s="2" t="s">
        <v>346</v>
      </c>
      <c r="C150" s="42" t="str">
        <f t="shared" si="29"/>
        <v>Famosa|Famosa</v>
      </c>
      <c r="D150" s="74">
        <v>30965.464778000001</v>
      </c>
      <c r="E150" s="1">
        <v>34007.381474000002</v>
      </c>
      <c r="F150" s="3">
        <v>9.8236000000000004E-2</v>
      </c>
      <c r="G150" s="1">
        <v>5830.7568540000002</v>
      </c>
      <c r="H150" s="94">
        <v>36796.221632000001</v>
      </c>
      <c r="I150" s="178">
        <f t="shared" si="30"/>
        <v>40410.928558309548</v>
      </c>
      <c r="J150" s="96">
        <f t="shared" si="27"/>
        <v>9.8235817863592922E-2</v>
      </c>
      <c r="K150" s="59">
        <f>_xlfn.XLOOKUP(C150,'2025 Goal Data'!C:C,'2025 Goal Data'!F:F,"")</f>
        <v>0.29799999999999999</v>
      </c>
      <c r="L150" s="54">
        <f t="shared" si="31"/>
        <v>10965.274046336001</v>
      </c>
      <c r="M150" s="87">
        <f t="shared" si="32"/>
        <v>-0.19976418213640706</v>
      </c>
      <c r="N150" s="68">
        <f>_xlfn.XLOOKUP(C150,'2025 Goal Data'!C:C,'2025 Goal Data'!I:I,"")</f>
        <v>0.2</v>
      </c>
      <c r="O150" s="117">
        <f t="shared" si="33"/>
        <v>7359.2443264000003</v>
      </c>
      <c r="P150" s="91">
        <f t="shared" si="34"/>
        <v>-0.10176418213640709</v>
      </c>
      <c r="Q150" s="69">
        <f t="shared" si="28"/>
        <v>9.7999999999999976E-2</v>
      </c>
      <c r="U150" s="58">
        <f>(H150*K150)+H150</f>
        <v>47761.495678336003</v>
      </c>
    </row>
    <row r="151" spans="1:21" x14ac:dyDescent="0.25">
      <c r="A151" s="128" t="s">
        <v>317</v>
      </c>
      <c r="B151" s="2" t="s">
        <v>346</v>
      </c>
      <c r="C151" s="42" t="str">
        <f t="shared" si="29"/>
        <v>Monte Carlo|Famosa</v>
      </c>
      <c r="D151" s="74">
        <v>536</v>
      </c>
      <c r="E151" s="1">
        <v>-6</v>
      </c>
      <c r="F151" s="3">
        <v>-1.0111939999999999</v>
      </c>
      <c r="G151" s="1">
        <v>5</v>
      </c>
      <c r="H151" s="94">
        <v>541</v>
      </c>
      <c r="I151" s="178">
        <f t="shared" si="30"/>
        <v>-6.0559699999999994</v>
      </c>
      <c r="J151" s="96">
        <f t="shared" si="27"/>
        <v>-1.0111940295748614</v>
      </c>
      <c r="K151" s="59">
        <f>_xlfn.XLOOKUP(C151,'2025 Goal Data'!C:C,'2025 Goal Data'!F:F,"")</f>
        <v>0</v>
      </c>
      <c r="L151" s="54">
        <f t="shared" si="31"/>
        <v>0</v>
      </c>
      <c r="M151" s="87">
        <f t="shared" si="32"/>
        <v>-1.0111940295748614</v>
      </c>
      <c r="N151" s="68">
        <f>_xlfn.XLOOKUP(C151,'2025 Goal Data'!C:C,'2025 Goal Data'!I:I,"")</f>
        <v>0</v>
      </c>
      <c r="O151" s="117">
        <f t="shared" si="33"/>
        <v>0</v>
      </c>
      <c r="P151" s="91">
        <f t="shared" si="34"/>
        <v>-1.0111940295748614</v>
      </c>
      <c r="Q151" s="69">
        <f t="shared" si="28"/>
        <v>0</v>
      </c>
      <c r="U151" s="58">
        <f>(H151*K151)+H151</f>
        <v>541</v>
      </c>
    </row>
    <row r="152" spans="1:21" x14ac:dyDescent="0.25">
      <c r="A152" s="98" t="s">
        <v>379</v>
      </c>
      <c r="B152" s="99"/>
      <c r="C152" s="42" t="str">
        <f t="shared" si="29"/>
        <v>Radeberger USA|</v>
      </c>
      <c r="D152" s="73">
        <v>32598.900809999999</v>
      </c>
      <c r="E152" s="82">
        <v>29220.599891999998</v>
      </c>
      <c r="F152" s="83">
        <v>-0.103632</v>
      </c>
      <c r="G152" s="82">
        <v>5387.2788419999997</v>
      </c>
      <c r="H152" s="100">
        <v>37986.179651999999</v>
      </c>
      <c r="I152" s="177">
        <f t="shared" si="30"/>
        <v>34049.584253045854</v>
      </c>
      <c r="J152" s="96">
        <f t="shared" si="27"/>
        <v>-0.10363230614445007</v>
      </c>
      <c r="K152" s="101">
        <f>_xlfn.XLOOKUP(C152,'2025 Goal Data'!C:C,'2025 Goal Data'!F:F,"")</f>
        <v>4.5053180286436401E-2</v>
      </c>
      <c r="L152" s="112">
        <f t="shared" si="31"/>
        <v>1711.3982002545179</v>
      </c>
      <c r="M152" s="102">
        <f t="shared" si="32"/>
        <v>-0.14868548643088647</v>
      </c>
      <c r="N152" s="103">
        <f>_xlfn.XLOOKUP(C152,'2025 Goal Data'!C:C,'2025 Goal Data'!I:I,"")</f>
        <v>5.1439948399326037E-2</v>
      </c>
      <c r="O152" s="116">
        <f t="shared" si="33"/>
        <v>1954.0071211864085</v>
      </c>
      <c r="P152" s="104">
        <f t="shared" si="34"/>
        <v>-0.1550722545437761</v>
      </c>
      <c r="Q152" s="67">
        <f t="shared" si="28"/>
        <v>-6.3867681128896292E-3</v>
      </c>
      <c r="U152" s="57">
        <f>SUMIF(B:B,A152,K:K)</f>
        <v>0.19000000000000003</v>
      </c>
    </row>
    <row r="153" spans="1:21" x14ac:dyDescent="0.25">
      <c r="A153" s="2" t="s">
        <v>165</v>
      </c>
      <c r="B153" s="2" t="s">
        <v>379</v>
      </c>
      <c r="C153" s="42" t="str">
        <f t="shared" si="29"/>
        <v>Dab|Radeberger USA</v>
      </c>
      <c r="D153" s="74">
        <v>13959.27317</v>
      </c>
      <c r="E153" s="1">
        <v>13597.284024</v>
      </c>
      <c r="F153" s="3">
        <v>-2.5932E-2</v>
      </c>
      <c r="G153" s="1">
        <v>2499.6297840000002</v>
      </c>
      <c r="H153" s="94">
        <v>16458.902954000001</v>
      </c>
      <c r="I153" s="178">
        <f t="shared" si="30"/>
        <v>16032.093408441313</v>
      </c>
      <c r="J153" s="96">
        <f t="shared" si="27"/>
        <v>-2.5931834384803953E-2</v>
      </c>
      <c r="K153" s="59">
        <f>_xlfn.XLOOKUP(C153,'2025 Goal Data'!C:C,'2025 Goal Data'!F:F,"")</f>
        <v>0.02</v>
      </c>
      <c r="L153" s="54">
        <f t="shared" si="31"/>
        <v>329.17805908000003</v>
      </c>
      <c r="M153" s="87">
        <f t="shared" si="32"/>
        <v>-4.5931834384803957E-2</v>
      </c>
      <c r="N153" s="68">
        <f>_xlfn.XLOOKUP(C153,'2025 Goal Data'!C:C,'2025 Goal Data'!I:I,"")</f>
        <v>0.05</v>
      </c>
      <c r="O153" s="117">
        <f t="shared" si="33"/>
        <v>822.94514770000012</v>
      </c>
      <c r="P153" s="91">
        <f t="shared" si="34"/>
        <v>-7.5931834384803956E-2</v>
      </c>
      <c r="Q153" s="69">
        <f t="shared" si="28"/>
        <v>-0.03</v>
      </c>
      <c r="U153" s="58">
        <f>(H153*K153)+H153</f>
        <v>16788.081013080002</v>
      </c>
    </row>
    <row r="154" spans="1:21" x14ac:dyDescent="0.25">
      <c r="A154" s="2" t="s">
        <v>61</v>
      </c>
      <c r="B154" s="2" t="s">
        <v>379</v>
      </c>
      <c r="C154" s="42" t="str">
        <f t="shared" si="29"/>
        <v>Schofferhofer|Radeberger USA</v>
      </c>
      <c r="D154" s="74">
        <v>10379.386762</v>
      </c>
      <c r="E154" s="1">
        <v>8398.3891779999994</v>
      </c>
      <c r="F154" s="3">
        <v>-0.190859</v>
      </c>
      <c r="G154" s="1">
        <v>1321.1905380000001</v>
      </c>
      <c r="H154" s="94">
        <v>11700.577300000001</v>
      </c>
      <c r="I154" s="178">
        <f t="shared" si="30"/>
        <v>9467.4186111078579</v>
      </c>
      <c r="J154" s="96">
        <f t="shared" si="27"/>
        <v>-0.19085884667350073</v>
      </c>
      <c r="K154" s="59">
        <f>_xlfn.XLOOKUP(C154,'2025 Goal Data'!C:C,'2025 Goal Data'!F:F,"")</f>
        <v>7.0000000000000007E-2</v>
      </c>
      <c r="L154" s="54">
        <f t="shared" si="31"/>
        <v>819.04041100000018</v>
      </c>
      <c r="M154" s="87">
        <f t="shared" si="32"/>
        <v>-0.26085884667350073</v>
      </c>
      <c r="N154" s="68">
        <f>_xlfn.XLOOKUP(C154,'2025 Goal Data'!C:C,'2025 Goal Data'!I:I,"")</f>
        <v>0.03</v>
      </c>
      <c r="O154" s="117">
        <f t="shared" si="33"/>
        <v>351.01731899999999</v>
      </c>
      <c r="P154" s="91">
        <f t="shared" si="34"/>
        <v>-0.22085884667350072</v>
      </c>
      <c r="Q154" s="69">
        <f t="shared" si="28"/>
        <v>4.0000000000000008E-2</v>
      </c>
      <c r="U154" s="58">
        <f>(H154*K154)+H154</f>
        <v>12519.617711000001</v>
      </c>
    </row>
    <row r="155" spans="1:21" x14ac:dyDescent="0.25">
      <c r="A155" s="2" t="s">
        <v>401</v>
      </c>
      <c r="B155" s="2" t="s">
        <v>379</v>
      </c>
      <c r="C155" s="42" t="str">
        <f t="shared" si="29"/>
        <v>Radeberger|Radeberger USA</v>
      </c>
      <c r="D155" s="74">
        <v>5646.5284819999997</v>
      </c>
      <c r="E155" s="1">
        <v>5028.2803940000003</v>
      </c>
      <c r="F155" s="3">
        <v>-0.10949200000000001</v>
      </c>
      <c r="G155" s="1">
        <v>1062.9722959999999</v>
      </c>
      <c r="H155" s="94">
        <v>6709.5007779999996</v>
      </c>
      <c r="I155" s="178">
        <f t="shared" si="30"/>
        <v>5974.8657273663684</v>
      </c>
      <c r="J155" s="96">
        <f t="shared" si="27"/>
        <v>-0.10949176025770058</v>
      </c>
      <c r="K155" s="59">
        <f>_xlfn.XLOOKUP(C155,'2025 Goal Data'!C:C,'2025 Goal Data'!F:F,"")</f>
        <v>7.0000000000000007E-2</v>
      </c>
      <c r="L155" s="54">
        <f t="shared" si="31"/>
        <v>469.66505446000002</v>
      </c>
      <c r="M155" s="87">
        <f t="shared" si="32"/>
        <v>-0.17949176025770058</v>
      </c>
      <c r="N155" s="68">
        <f>_xlfn.XLOOKUP(C155,'2025 Goal Data'!C:C,'2025 Goal Data'!I:I,"")</f>
        <v>0.1</v>
      </c>
      <c r="O155" s="117">
        <f t="shared" si="33"/>
        <v>670.95007780000003</v>
      </c>
      <c r="P155" s="91">
        <f t="shared" si="34"/>
        <v>-0.20949176025770058</v>
      </c>
      <c r="Q155" s="69">
        <f t="shared" si="28"/>
        <v>-0.03</v>
      </c>
      <c r="U155" s="58">
        <f>(H155*K155)+H155</f>
        <v>7179.1658324599994</v>
      </c>
    </row>
    <row r="156" spans="1:21" x14ac:dyDescent="0.25">
      <c r="A156" s="2" t="s">
        <v>402</v>
      </c>
      <c r="B156" s="2" t="s">
        <v>379</v>
      </c>
      <c r="C156" s="42" t="str">
        <f t="shared" si="29"/>
        <v>Clausthaler|Radeberger USA</v>
      </c>
      <c r="D156" s="74">
        <v>2613.7123959999999</v>
      </c>
      <c r="E156" s="1">
        <v>2196.6462959999999</v>
      </c>
      <c r="F156" s="3">
        <v>-0.15956799999999999</v>
      </c>
      <c r="G156" s="1">
        <v>503.48622399999999</v>
      </c>
      <c r="H156" s="94">
        <v>3117.1986200000001</v>
      </c>
      <c r="I156" s="178">
        <f t="shared" si="30"/>
        <v>2619.7922302087677</v>
      </c>
      <c r="J156" s="96">
        <f t="shared" si="27"/>
        <v>-0.1595683979198067</v>
      </c>
      <c r="K156" s="59">
        <f>_xlfn.XLOOKUP(C156,'2025 Goal Data'!C:C,'2025 Goal Data'!F:F,"")</f>
        <v>0.03</v>
      </c>
      <c r="L156" s="54">
        <f t="shared" si="31"/>
        <v>93.515958600000005</v>
      </c>
      <c r="M156" s="87">
        <f t="shared" si="32"/>
        <v>-0.1895683979198067</v>
      </c>
      <c r="N156" s="68">
        <f>_xlfn.XLOOKUP(C156,'2025 Goal Data'!C:C,'2025 Goal Data'!I:I,"")</f>
        <v>3.5000000000000003E-2</v>
      </c>
      <c r="O156" s="117">
        <f t="shared" si="33"/>
        <v>109.10195170000001</v>
      </c>
      <c r="P156" s="91">
        <f t="shared" si="34"/>
        <v>-0.19456839791980671</v>
      </c>
      <c r="Q156" s="69">
        <f t="shared" si="28"/>
        <v>-5.0000000000000044E-3</v>
      </c>
      <c r="U156" s="58">
        <f>(H156*K156)+H156</f>
        <v>3210.7145786000001</v>
      </c>
    </row>
    <row r="157" spans="1:21" x14ac:dyDescent="0.25">
      <c r="A157" s="98" t="s">
        <v>93</v>
      </c>
      <c r="B157" s="99"/>
      <c r="C157" s="42" t="str">
        <f t="shared" si="29"/>
        <v>Montauk Brewing Co|</v>
      </c>
      <c r="D157" s="73">
        <v>27889.638978999999</v>
      </c>
      <c r="E157" s="82">
        <v>24623.493160000002</v>
      </c>
      <c r="F157" s="83">
        <v>-0.11711000000000001</v>
      </c>
      <c r="G157" s="82">
        <v>4689.4167070000003</v>
      </c>
      <c r="H157" s="100">
        <v>32579.055686</v>
      </c>
      <c r="I157" s="177">
        <f t="shared" si="30"/>
        <v>28763.732276443232</v>
      </c>
      <c r="J157" s="96">
        <f t="shared" si="27"/>
        <v>-0.11710969913705338</v>
      </c>
      <c r="K157" s="101">
        <f>_xlfn.XLOOKUP(C157,'2025 Goal Data'!C:C,'2025 Goal Data'!F:F,"")</f>
        <v>4.8000000000000001E-2</v>
      </c>
      <c r="L157" s="112">
        <f t="shared" si="31"/>
        <v>1563.794672928</v>
      </c>
      <c r="M157" s="102">
        <f t="shared" si="32"/>
        <v>-0.16510969913705337</v>
      </c>
      <c r="N157" s="103">
        <f>_xlfn.XLOOKUP(C157,'2025 Goal Data'!C:C,'2025 Goal Data'!I:I,"")</f>
        <v>4.8000000000000001E-2</v>
      </c>
      <c r="O157" s="116">
        <f t="shared" si="33"/>
        <v>1563.794672928</v>
      </c>
      <c r="P157" s="104">
        <f t="shared" si="34"/>
        <v>-0.16510969913705337</v>
      </c>
      <c r="Q157" s="67">
        <f t="shared" si="28"/>
        <v>0</v>
      </c>
      <c r="U157" s="57">
        <f>SUMIF(B:B,A157,K:K)</f>
        <v>4.8000000000000001E-2</v>
      </c>
    </row>
    <row r="158" spans="1:21" x14ac:dyDescent="0.25">
      <c r="A158" s="2" t="s">
        <v>347</v>
      </c>
      <c r="B158" s="2" t="s">
        <v>93</v>
      </c>
      <c r="C158" s="42" t="str">
        <f t="shared" si="29"/>
        <v>Montauk|Montauk Brewing Co</v>
      </c>
      <c r="D158" s="74">
        <v>27889.638978999999</v>
      </c>
      <c r="E158" s="1">
        <v>24623.493160000002</v>
      </c>
      <c r="F158" s="3">
        <v>-0.11711000000000001</v>
      </c>
      <c r="G158" s="1">
        <v>4689.4167070000003</v>
      </c>
      <c r="H158" s="94">
        <v>32579.055686</v>
      </c>
      <c r="I158" s="178">
        <f t="shared" si="30"/>
        <v>28763.732276443232</v>
      </c>
      <c r="J158" s="96">
        <f t="shared" si="27"/>
        <v>-0.11710969913705338</v>
      </c>
      <c r="K158" s="59">
        <f>_xlfn.XLOOKUP(C158,'2025 Goal Data'!C:C,'2025 Goal Data'!F:F,"")</f>
        <v>4.8000000000000001E-2</v>
      </c>
      <c r="L158" s="54">
        <f t="shared" si="31"/>
        <v>1563.794672928</v>
      </c>
      <c r="M158" s="87">
        <f t="shared" si="32"/>
        <v>-0.16510969913705337</v>
      </c>
      <c r="N158" s="68">
        <f>_xlfn.XLOOKUP(C158,'2025 Goal Data'!C:C,'2025 Goal Data'!I:I,"")</f>
        <v>4.8000000000000001E-2</v>
      </c>
      <c r="O158" s="117">
        <f t="shared" si="33"/>
        <v>1563.794672928</v>
      </c>
      <c r="P158" s="91">
        <f t="shared" si="34"/>
        <v>-0.16510969913705337</v>
      </c>
      <c r="Q158" s="69">
        <f t="shared" si="28"/>
        <v>0</v>
      </c>
      <c r="U158" s="58">
        <f>(H158*K158)+H158</f>
        <v>34142.850358928001</v>
      </c>
    </row>
    <row r="159" spans="1:21" x14ac:dyDescent="0.25">
      <c r="A159" s="98" t="s">
        <v>113</v>
      </c>
      <c r="B159" s="99"/>
      <c r="C159" s="42" t="str">
        <f t="shared" si="29"/>
        <v>Cape May|</v>
      </c>
      <c r="D159" s="73">
        <v>25056.225010999999</v>
      </c>
      <c r="E159" s="82">
        <v>23384.511178000001</v>
      </c>
      <c r="F159" s="83">
        <v>-6.6719000000000001E-2</v>
      </c>
      <c r="G159" s="82">
        <v>4370.9472509999996</v>
      </c>
      <c r="H159" s="100">
        <v>29427.172262</v>
      </c>
      <c r="I159" s="177">
        <f t="shared" si="30"/>
        <v>27463.833199360532</v>
      </c>
      <c r="J159" s="96">
        <f t="shared" si="27"/>
        <v>-6.6718577142214075E-2</v>
      </c>
      <c r="K159" s="101">
        <f>_xlfn.XLOOKUP(C159,'2025 Goal Data'!C:C,'2025 Goal Data'!F:F,"")</f>
        <v>0.06</v>
      </c>
      <c r="L159" s="112">
        <f t="shared" si="31"/>
        <v>1765.6303357199999</v>
      </c>
      <c r="M159" s="102">
        <f t="shared" si="32"/>
        <v>-0.12671857714221407</v>
      </c>
      <c r="N159" s="103">
        <f>_xlfn.XLOOKUP(C159,'2025 Goal Data'!C:C,'2025 Goal Data'!I:I,"")</f>
        <v>0.06</v>
      </c>
      <c r="O159" s="116">
        <f t="shared" si="33"/>
        <v>1765.6303357199999</v>
      </c>
      <c r="P159" s="104">
        <f t="shared" si="34"/>
        <v>-0.12671857714221407</v>
      </c>
      <c r="Q159" s="67">
        <f t="shared" si="28"/>
        <v>0</v>
      </c>
      <c r="U159" s="57">
        <f>SUMIF(B:B,A159,K:K)</f>
        <v>0.06</v>
      </c>
    </row>
    <row r="160" spans="1:21" x14ac:dyDescent="0.25">
      <c r="A160" s="2" t="s">
        <v>113</v>
      </c>
      <c r="B160" s="2" t="s">
        <v>113</v>
      </c>
      <c r="C160" s="42" t="str">
        <f t="shared" si="29"/>
        <v>Cape May|Cape May</v>
      </c>
      <c r="D160" s="74">
        <v>25056.225010999999</v>
      </c>
      <c r="E160" s="1">
        <v>23384.511178000001</v>
      </c>
      <c r="F160" s="3">
        <v>-6.6719000000000001E-2</v>
      </c>
      <c r="G160" s="1">
        <v>4370.9472509999996</v>
      </c>
      <c r="H160" s="94">
        <v>29427.172262</v>
      </c>
      <c r="I160" s="178">
        <f t="shared" si="30"/>
        <v>27463.833199360532</v>
      </c>
      <c r="J160" s="96">
        <f t="shared" si="27"/>
        <v>-6.6718577142214075E-2</v>
      </c>
      <c r="K160" s="59">
        <f>_xlfn.XLOOKUP(C160,'2025 Goal Data'!C:C,'2025 Goal Data'!F:F,"")</f>
        <v>0.06</v>
      </c>
      <c r="L160" s="54">
        <f t="shared" si="31"/>
        <v>1765.6303357199999</v>
      </c>
      <c r="M160" s="87">
        <f t="shared" si="32"/>
        <v>-0.12671857714221407</v>
      </c>
      <c r="N160" s="68">
        <f>_xlfn.XLOOKUP(C160,'2025 Goal Data'!C:C,'2025 Goal Data'!I:I,"")</f>
        <v>0.06</v>
      </c>
      <c r="O160" s="117">
        <f t="shared" si="33"/>
        <v>1765.6303357199999</v>
      </c>
      <c r="P160" s="91">
        <f t="shared" si="34"/>
        <v>-0.12671857714221407</v>
      </c>
      <c r="Q160" s="69">
        <f t="shared" si="28"/>
        <v>0</v>
      </c>
      <c r="U160" s="58">
        <f>(H160*K160)+H160</f>
        <v>31192.802597720001</v>
      </c>
    </row>
    <row r="161" spans="1:21" x14ac:dyDescent="0.25">
      <c r="A161" s="98" t="s">
        <v>219</v>
      </c>
      <c r="B161" s="99"/>
      <c r="C161" s="42" t="str">
        <f t="shared" si="29"/>
        <v>Victory Brewing Company|</v>
      </c>
      <c r="D161" s="73">
        <v>19081.847246000001</v>
      </c>
      <c r="E161" s="82">
        <v>17895.173621999998</v>
      </c>
      <c r="F161" s="83">
        <v>-6.2189000000000001E-2</v>
      </c>
      <c r="G161" s="82">
        <v>4104.5555619999996</v>
      </c>
      <c r="H161" s="100">
        <v>23186.402807999999</v>
      </c>
      <c r="I161" s="177">
        <f t="shared" si="30"/>
        <v>21744.470978154779</v>
      </c>
      <c r="J161" s="96">
        <f t="shared" si="27"/>
        <v>-6.218868195232552E-2</v>
      </c>
      <c r="K161" s="101">
        <f>_xlfn.XLOOKUP(C161,'2025 Goal Data'!C:C,'2025 Goal Data'!F:F,"")</f>
        <v>3.9677930647804706E-2</v>
      </c>
      <c r="L161" s="112">
        <f t="shared" si="31"/>
        <v>919.98848258788826</v>
      </c>
      <c r="M161" s="102">
        <f t="shared" si="32"/>
        <v>-0.10186661260013022</v>
      </c>
      <c r="N161" s="103">
        <f>_xlfn.XLOOKUP(C161,'2025 Goal Data'!C:C,'2025 Goal Data'!I:I,"")</f>
        <v>3.9677930647804706E-2</v>
      </c>
      <c r="O161" s="116">
        <f t="shared" si="33"/>
        <v>919.98848258788826</v>
      </c>
      <c r="P161" s="104">
        <f t="shared" si="34"/>
        <v>-0.10186661260013022</v>
      </c>
      <c r="Q161" s="67">
        <f t="shared" si="28"/>
        <v>0</v>
      </c>
      <c r="U161" s="57">
        <f>SUMIF(B:B,A161,K:K)</f>
        <v>6.7500000000000004E-2</v>
      </c>
    </row>
    <row r="162" spans="1:21" x14ac:dyDescent="0.25">
      <c r="A162" s="2" t="s">
        <v>9</v>
      </c>
      <c r="B162" s="2" t="s">
        <v>219</v>
      </c>
      <c r="C162" s="42" t="str">
        <f t="shared" si="29"/>
        <v>Monkey Family|Victory Brewing Company</v>
      </c>
      <c r="D162" s="74">
        <v>13324.7639</v>
      </c>
      <c r="E162" s="1">
        <v>13395.361118000001</v>
      </c>
      <c r="F162" s="3">
        <v>5.2979999999999998E-3</v>
      </c>
      <c r="G162" s="1">
        <v>3282.6736129999999</v>
      </c>
      <c r="H162" s="94">
        <v>16607.437513000001</v>
      </c>
      <c r="I162" s="178">
        <f t="shared" si="30"/>
        <v>16695.426335801676</v>
      </c>
      <c r="J162" s="96">
        <f t="shared" si="27"/>
        <v>5.2981576918653683E-3</v>
      </c>
      <c r="K162" s="59">
        <f>_xlfn.XLOOKUP(C162,'2025 Goal Data'!C:C,'2025 Goal Data'!F:F,"")</f>
        <v>4.7500000000000001E-2</v>
      </c>
      <c r="L162" s="54">
        <f t="shared" si="31"/>
        <v>788.85328186750007</v>
      </c>
      <c r="M162" s="87">
        <f t="shared" si="32"/>
        <v>-4.2201842308134632E-2</v>
      </c>
      <c r="N162" s="68">
        <f>_xlfn.XLOOKUP(C162,'2025 Goal Data'!C:C,'2025 Goal Data'!I:I,"")</f>
        <v>4.7500000000000001E-2</v>
      </c>
      <c r="O162" s="117">
        <f t="shared" si="33"/>
        <v>788.85328186750007</v>
      </c>
      <c r="P162" s="91">
        <f t="shared" si="34"/>
        <v>-4.2201842308134632E-2</v>
      </c>
      <c r="Q162" s="69">
        <f t="shared" si="28"/>
        <v>0</v>
      </c>
      <c r="U162" s="58">
        <f>(H162*K162)+H162</f>
        <v>17396.290794867502</v>
      </c>
    </row>
    <row r="163" spans="1:21" x14ac:dyDescent="0.25">
      <c r="A163" s="2" t="s">
        <v>220</v>
      </c>
      <c r="B163" s="2" t="s">
        <v>219</v>
      </c>
      <c r="C163" s="42" t="str">
        <f t="shared" si="29"/>
        <v>Victory|Victory Brewing Company</v>
      </c>
      <c r="D163" s="74">
        <v>5757.0833460000003</v>
      </c>
      <c r="E163" s="1">
        <v>4499.8125040000004</v>
      </c>
      <c r="F163" s="3">
        <v>-0.218387</v>
      </c>
      <c r="G163" s="1">
        <v>821.88194899999996</v>
      </c>
      <c r="H163" s="94">
        <v>6578.965295</v>
      </c>
      <c r="I163" s="178">
        <f t="shared" si="30"/>
        <v>5142.2061198037372</v>
      </c>
      <c r="J163" s="96">
        <f t="shared" si="27"/>
        <v>-0.21838679956074503</v>
      </c>
      <c r="K163" s="59">
        <f>_xlfn.XLOOKUP(C163,'2025 Goal Data'!C:C,'2025 Goal Data'!F:F,"")</f>
        <v>0.02</v>
      </c>
      <c r="L163" s="54">
        <f t="shared" si="31"/>
        <v>131.57930590000001</v>
      </c>
      <c r="M163" s="87">
        <f t="shared" si="32"/>
        <v>-0.23838679956074502</v>
      </c>
      <c r="N163" s="68">
        <f>_xlfn.XLOOKUP(C163,'2025 Goal Data'!C:C,'2025 Goal Data'!I:I,"")</f>
        <v>0.02</v>
      </c>
      <c r="O163" s="117">
        <f t="shared" si="33"/>
        <v>131.57930590000001</v>
      </c>
      <c r="P163" s="91">
        <f t="shared" si="34"/>
        <v>-0.23838679956074502</v>
      </c>
      <c r="Q163" s="69">
        <f t="shared" si="28"/>
        <v>0</v>
      </c>
      <c r="U163" s="58">
        <f>(H163*K163)+H163</f>
        <v>6710.5446008999998</v>
      </c>
    </row>
    <row r="164" spans="1:21" x14ac:dyDescent="0.25">
      <c r="A164" s="98" t="s">
        <v>318</v>
      </c>
      <c r="B164" s="99"/>
      <c r="C164" s="42" t="str">
        <f t="shared" si="29"/>
        <v>Lagunitas Brewing Co|</v>
      </c>
      <c r="D164" s="73">
        <v>19219.555525</v>
      </c>
      <c r="E164" s="82">
        <v>17696.133303999999</v>
      </c>
      <c r="F164" s="83">
        <v>-7.9264000000000001E-2</v>
      </c>
      <c r="G164" s="82">
        <v>4057.622218</v>
      </c>
      <c r="H164" s="100">
        <v>23277.177743</v>
      </c>
      <c r="I164" s="177">
        <f t="shared" si="30"/>
        <v>21432.132154512448</v>
      </c>
      <c r="J164" s="96">
        <f t="shared" si="27"/>
        <v>-7.9264144857183139E-2</v>
      </c>
      <c r="K164" s="101">
        <f>_xlfn.XLOOKUP(C164,'2025 Goal Data'!C:C,'2025 Goal Data'!F:F,"")</f>
        <v>-2.0138801368053814E-2</v>
      </c>
      <c r="L164" s="112">
        <f t="shared" si="31"/>
        <v>-468.7744589751602</v>
      </c>
      <c r="M164" s="102">
        <f t="shared" si="32"/>
        <v>-5.9125343489129324E-2</v>
      </c>
      <c r="N164" s="103">
        <f>_xlfn.XLOOKUP(C164,'2025 Goal Data'!C:C,'2025 Goal Data'!I:I,"")</f>
        <v>-2.0138801368053814E-2</v>
      </c>
      <c r="O164" s="116">
        <f t="shared" si="33"/>
        <v>-468.7744589751602</v>
      </c>
      <c r="P164" s="104">
        <f t="shared" si="34"/>
        <v>-5.9125343489129324E-2</v>
      </c>
      <c r="Q164" s="67">
        <f t="shared" si="28"/>
        <v>0</v>
      </c>
      <c r="U164" s="57">
        <f>SUMIF(B:B,A164,K:K)</f>
        <v>0</v>
      </c>
    </row>
    <row r="165" spans="1:21" x14ac:dyDescent="0.25">
      <c r="A165" s="2" t="s">
        <v>348</v>
      </c>
      <c r="B165" s="2" t="s">
        <v>318</v>
      </c>
      <c r="C165" s="42" t="str">
        <f t="shared" si="29"/>
        <v>Lagunitas|Lagunitas Brewing Co</v>
      </c>
      <c r="D165" s="74">
        <v>18589.555525</v>
      </c>
      <c r="E165" s="1">
        <v>17134.133303999999</v>
      </c>
      <c r="F165" s="3">
        <v>-7.8292E-2</v>
      </c>
      <c r="G165" s="1">
        <v>3962.622218</v>
      </c>
      <c r="H165" s="94">
        <v>22552.177743</v>
      </c>
      <c r="I165" s="178">
        <f t="shared" si="30"/>
        <v>20786.513903308343</v>
      </c>
      <c r="J165" s="96">
        <f t="shared" si="27"/>
        <v>-7.8292387538480779E-2</v>
      </c>
      <c r="K165" s="59" t="str">
        <f>_xlfn.XLOOKUP(C165,'2025 Goal Data'!C:C,'2025 Goal Data'!F:F,"")</f>
        <v/>
      </c>
      <c r="L165" s="54">
        <f t="shared" si="31"/>
        <v>0</v>
      </c>
      <c r="M165" s="87">
        <f t="shared" si="32"/>
        <v>0</v>
      </c>
      <c r="N165" s="68" t="str">
        <f>_xlfn.XLOOKUP(C165,'2025 Goal Data'!C:C,'2025 Goal Data'!I:I,"")</f>
        <v/>
      </c>
      <c r="O165" s="117">
        <f t="shared" si="33"/>
        <v>0</v>
      </c>
      <c r="P165" s="91">
        <f t="shared" si="34"/>
        <v>0</v>
      </c>
      <c r="Q165" s="69" t="s">
        <v>475</v>
      </c>
      <c r="U165" s="58" t="s">
        <v>475</v>
      </c>
    </row>
    <row r="166" spans="1:21" x14ac:dyDescent="0.25">
      <c r="A166" s="2" t="s">
        <v>247</v>
      </c>
      <c r="B166" s="2" t="s">
        <v>318</v>
      </c>
      <c r="C166" s="42" t="str">
        <f t="shared" si="29"/>
        <v>Lagunitas NA|Lagunitas Brewing Co</v>
      </c>
      <c r="D166" s="74">
        <v>630</v>
      </c>
      <c r="E166" s="1">
        <v>562</v>
      </c>
      <c r="F166" s="3">
        <v>-0.10793700000000001</v>
      </c>
      <c r="G166" s="1">
        <v>95</v>
      </c>
      <c r="H166" s="94">
        <v>725</v>
      </c>
      <c r="I166" s="178">
        <f t="shared" si="30"/>
        <v>646.74598500000002</v>
      </c>
      <c r="J166" s="96">
        <f t="shared" si="27"/>
        <v>-0.10793657241379306</v>
      </c>
      <c r="K166" s="59" t="str">
        <f>_xlfn.XLOOKUP(C166,'2025 Goal Data'!C:C,'2025 Goal Data'!F:F,"")</f>
        <v/>
      </c>
      <c r="L166" s="54">
        <f t="shared" si="31"/>
        <v>0</v>
      </c>
      <c r="M166" s="87">
        <f t="shared" si="32"/>
        <v>0</v>
      </c>
      <c r="N166" s="68" t="str">
        <f>_xlfn.XLOOKUP(C166,'2025 Goal Data'!C:C,'2025 Goal Data'!I:I,"")</f>
        <v/>
      </c>
      <c r="O166" s="117">
        <f t="shared" si="33"/>
        <v>0</v>
      </c>
      <c r="P166" s="91">
        <f t="shared" si="34"/>
        <v>0</v>
      </c>
      <c r="Q166" s="69" t="s">
        <v>475</v>
      </c>
      <c r="U166" s="58" t="s">
        <v>475</v>
      </c>
    </row>
    <row r="167" spans="1:21" x14ac:dyDescent="0.25">
      <c r="A167" s="98" t="s">
        <v>38</v>
      </c>
      <c r="B167" s="99"/>
      <c r="C167" s="42" t="str">
        <f t="shared" si="29"/>
        <v>Sixpoint Brewing|</v>
      </c>
      <c r="D167" s="73">
        <v>19001.062637999999</v>
      </c>
      <c r="E167" s="82">
        <v>16678.340424999999</v>
      </c>
      <c r="F167" s="83">
        <v>-0.122242</v>
      </c>
      <c r="G167" s="82">
        <v>3917.6875300000002</v>
      </c>
      <c r="H167" s="100">
        <v>22918.750167999999</v>
      </c>
      <c r="I167" s="177">
        <f t="shared" si="30"/>
        <v>20117.121995957739</v>
      </c>
      <c r="J167" s="96">
        <f t="shared" si="27"/>
        <v>-0.12224175190643671</v>
      </c>
      <c r="K167" s="101">
        <f>_xlfn.XLOOKUP(C167,'2025 Goal Data'!C:C,'2025 Goal Data'!F:F,"")</f>
        <v>3.5000000000000003E-2</v>
      </c>
      <c r="L167" s="112">
        <f t="shared" si="31"/>
        <v>802.15625588</v>
      </c>
      <c r="M167" s="102">
        <f t="shared" si="32"/>
        <v>-0.15724175190643672</v>
      </c>
      <c r="N167" s="103">
        <f>_xlfn.XLOOKUP(C167,'2025 Goal Data'!C:C,'2025 Goal Data'!I:I,"")</f>
        <v>3.5000000000000003E-2</v>
      </c>
      <c r="O167" s="116">
        <f t="shared" si="33"/>
        <v>802.15625588</v>
      </c>
      <c r="P167" s="104">
        <f t="shared" si="34"/>
        <v>-0.15724175190643672</v>
      </c>
      <c r="Q167" s="67">
        <f>P167-M167</f>
        <v>0</v>
      </c>
      <c r="U167" s="57">
        <f>SUMIF(B:B,A167,K:K)</f>
        <v>3.5000000000000003E-2</v>
      </c>
    </row>
    <row r="168" spans="1:21" x14ac:dyDescent="0.25">
      <c r="A168" s="2" t="s">
        <v>403</v>
      </c>
      <c r="B168" s="2" t="s">
        <v>38</v>
      </c>
      <c r="C168" s="42" t="str">
        <f t="shared" si="29"/>
        <v>Sixpoint|Sixpoint Brewing</v>
      </c>
      <c r="D168" s="74">
        <v>19001.062637999999</v>
      </c>
      <c r="E168" s="1">
        <v>16678.340424999999</v>
      </c>
      <c r="F168" s="3">
        <v>-0.122242</v>
      </c>
      <c r="G168" s="1">
        <v>3917.6875300000002</v>
      </c>
      <c r="H168" s="94">
        <v>22918.750167999999</v>
      </c>
      <c r="I168" s="178">
        <f t="shared" si="30"/>
        <v>20117.121995957739</v>
      </c>
      <c r="J168" s="96">
        <f t="shared" si="27"/>
        <v>-0.12224175190643671</v>
      </c>
      <c r="K168" s="59">
        <f>_xlfn.XLOOKUP(C168,'2025 Goal Data'!C:C,'2025 Goal Data'!F:F,"")</f>
        <v>3.5000000000000003E-2</v>
      </c>
      <c r="L168" s="54">
        <f t="shared" si="31"/>
        <v>802.15625588</v>
      </c>
      <c r="M168" s="87">
        <f t="shared" si="32"/>
        <v>-0.15724175190643672</v>
      </c>
      <c r="N168" s="68">
        <f>_xlfn.XLOOKUP(C168,'2025 Goal Data'!C:C,'2025 Goal Data'!I:I,"")</f>
        <v>3.5000000000000003E-2</v>
      </c>
      <c r="O168" s="117">
        <f t="shared" si="33"/>
        <v>802.15625588</v>
      </c>
      <c r="P168" s="91">
        <f t="shared" si="34"/>
        <v>-0.15724175190643672</v>
      </c>
      <c r="Q168" s="69">
        <f>P168-M168</f>
        <v>0</v>
      </c>
      <c r="U168" s="58">
        <f>(H168*K168)+H168</f>
        <v>23720.906423879998</v>
      </c>
    </row>
    <row r="169" spans="1:21" x14ac:dyDescent="0.25">
      <c r="A169" s="98" t="s">
        <v>39</v>
      </c>
      <c r="B169" s="99"/>
      <c r="C169" s="42" t="str">
        <f t="shared" si="29"/>
        <v>Stone Brewing|</v>
      </c>
      <c r="D169" s="73">
        <v>16783.968976</v>
      </c>
      <c r="E169" s="82">
        <v>15637.163420000001</v>
      </c>
      <c r="F169" s="83">
        <v>-6.8326999999999999E-2</v>
      </c>
      <c r="G169" s="82">
        <v>3590.0915570000002</v>
      </c>
      <c r="H169" s="100">
        <v>20374.060533</v>
      </c>
      <c r="I169" s="177">
        <f t="shared" si="30"/>
        <v>18981.954791184864</v>
      </c>
      <c r="J169" s="96">
        <f t="shared" si="27"/>
        <v>-6.8327358680432604E-2</v>
      </c>
      <c r="K169" s="101">
        <f>_xlfn.XLOOKUP(C169,'2025 Goal Data'!C:C,'2025 Goal Data'!F:F,"")</f>
        <v>0.02</v>
      </c>
      <c r="L169" s="112">
        <f t="shared" si="31"/>
        <v>407.48121065999999</v>
      </c>
      <c r="M169" s="102">
        <f t="shared" si="32"/>
        <v>-8.8327358680432608E-2</v>
      </c>
      <c r="N169" s="103">
        <f>_xlfn.XLOOKUP(C169,'2025 Goal Data'!C:C,'2025 Goal Data'!I:I,"")</f>
        <v>0</v>
      </c>
      <c r="O169" s="116">
        <f t="shared" si="33"/>
        <v>0</v>
      </c>
      <c r="P169" s="104">
        <f t="shared" si="34"/>
        <v>-6.8327358680432604E-2</v>
      </c>
      <c r="Q169" s="67">
        <f>P169-M169</f>
        <v>2.0000000000000004E-2</v>
      </c>
      <c r="U169" s="57">
        <f>SUMIF(B:B,A169,K:K)</f>
        <v>0.02</v>
      </c>
    </row>
    <row r="170" spans="1:21" x14ac:dyDescent="0.25">
      <c r="A170" s="2" t="s">
        <v>39</v>
      </c>
      <c r="B170" s="2" t="s">
        <v>39</v>
      </c>
      <c r="C170" s="42" t="str">
        <f t="shared" si="29"/>
        <v>Stone Brewing|Stone Brewing</v>
      </c>
      <c r="D170" s="74">
        <v>14930.857835000001</v>
      </c>
      <c r="E170" s="1">
        <v>14052.71895</v>
      </c>
      <c r="F170" s="3">
        <v>-5.8813999999999998E-2</v>
      </c>
      <c r="G170" s="1">
        <v>3245.6471069999998</v>
      </c>
      <c r="H170" s="94">
        <v>18176.504942</v>
      </c>
      <c r="I170" s="178">
        <f t="shared" si="30"/>
        <v>17107.476568048904</v>
      </c>
      <c r="J170" s="96">
        <f t="shared" si="27"/>
        <v>-5.8813747602319277E-2</v>
      </c>
      <c r="K170" s="59">
        <f>_xlfn.XLOOKUP(C170,'2025 Goal Data'!C:C,'2025 Goal Data'!F:F,"")</f>
        <v>0.02</v>
      </c>
      <c r="L170" s="54">
        <f t="shared" si="31"/>
        <v>363.53009883999999</v>
      </c>
      <c r="M170" s="87">
        <f t="shared" si="32"/>
        <v>-7.8813747602319281E-2</v>
      </c>
      <c r="N170" s="68">
        <f>_xlfn.XLOOKUP(C170,'2025 Goal Data'!C:C,'2025 Goal Data'!I:I,"")</f>
        <v>0</v>
      </c>
      <c r="O170" s="117">
        <f t="shared" si="33"/>
        <v>0</v>
      </c>
      <c r="P170" s="91">
        <f t="shared" si="34"/>
        <v>-5.8813747602319277E-2</v>
      </c>
      <c r="Q170" s="69">
        <f>P170-M170</f>
        <v>2.0000000000000004E-2</v>
      </c>
      <c r="U170" s="58">
        <f>(H170*K170)+H170</f>
        <v>18540.035040840001</v>
      </c>
    </row>
    <row r="171" spans="1:21" x14ac:dyDescent="0.25">
      <c r="A171" s="2" t="s">
        <v>221</v>
      </c>
      <c r="B171" s="2" t="s">
        <v>39</v>
      </c>
      <c r="C171" s="42" t="str">
        <f t="shared" si="29"/>
        <v>Stone Premium &amp; Smooth Beer Co|Stone Brewing</v>
      </c>
      <c r="D171" s="74">
        <v>1853.1111410000001</v>
      </c>
      <c r="E171" s="1">
        <v>1584.4444699999999</v>
      </c>
      <c r="F171" s="3">
        <v>-0.144981</v>
      </c>
      <c r="G171" s="1">
        <v>344.44445000000002</v>
      </c>
      <c r="H171" s="94">
        <v>2197.5555909999998</v>
      </c>
      <c r="I171" s="178">
        <f t="shared" si="30"/>
        <v>1878.9510191945499</v>
      </c>
      <c r="J171" s="96">
        <f t="shared" si="27"/>
        <v>-0.14498134796238249</v>
      </c>
      <c r="K171" s="59" t="str">
        <f>_xlfn.XLOOKUP(C171,'2025 Goal Data'!C:C,'2025 Goal Data'!F:F,"")</f>
        <v/>
      </c>
      <c r="L171" s="54">
        <f t="shared" si="31"/>
        <v>0</v>
      </c>
      <c r="M171" s="87">
        <f t="shared" si="32"/>
        <v>0</v>
      </c>
      <c r="N171" s="68" t="str">
        <f>_xlfn.XLOOKUP(C171,'2025 Goal Data'!C:C,'2025 Goal Data'!I:I,"")</f>
        <v/>
      </c>
      <c r="O171" s="117">
        <f t="shared" si="33"/>
        <v>0</v>
      </c>
      <c r="P171" s="91">
        <f t="shared" si="34"/>
        <v>0</v>
      </c>
      <c r="Q171" s="69" t="s">
        <v>475</v>
      </c>
      <c r="U171" s="58" t="s">
        <v>475</v>
      </c>
    </row>
    <row r="172" spans="1:21" x14ac:dyDescent="0.25">
      <c r="A172" s="98" t="s">
        <v>166</v>
      </c>
      <c r="B172" s="99"/>
      <c r="C172" s="42" t="str">
        <f t="shared" si="29"/>
        <v>US Beverage|</v>
      </c>
      <c r="D172" s="73">
        <v>18891.831253</v>
      </c>
      <c r="E172" s="82">
        <v>18593.67756</v>
      </c>
      <c r="F172" s="83">
        <v>-1.5782000000000001E-2</v>
      </c>
      <c r="G172" s="82">
        <v>3405.2912900000001</v>
      </c>
      <c r="H172" s="100">
        <v>22297.122543000001</v>
      </c>
      <c r="I172" s="177">
        <f t="shared" si="30"/>
        <v>21945.226542861219</v>
      </c>
      <c r="J172" s="96">
        <f t="shared" si="27"/>
        <v>-1.5782126122334872E-2</v>
      </c>
      <c r="K172" s="101">
        <f>_xlfn.XLOOKUP(C172,'2025 Goal Data'!C:C,'2025 Goal Data'!F:F,"")</f>
        <v>0.12907018538713197</v>
      </c>
      <c r="L172" s="112">
        <f t="shared" si="31"/>
        <v>2877.8937402246097</v>
      </c>
      <c r="M172" s="102">
        <f t="shared" si="32"/>
        <v>-0.14485231150946684</v>
      </c>
      <c r="N172" s="103">
        <f>_xlfn.XLOOKUP(C172,'2025 Goal Data'!C:C,'2025 Goal Data'!I:I,"")</f>
        <v>4.9997382769901844E-2</v>
      </c>
      <c r="O172" s="116">
        <f t="shared" si="33"/>
        <v>1114.7977704497782</v>
      </c>
      <c r="P172" s="104">
        <f t="shared" si="34"/>
        <v>-6.5779508892236715E-2</v>
      </c>
      <c r="Q172" s="67">
        <f t="shared" ref="Q172:Q187" si="37">P172-M172</f>
        <v>7.9072802617230126E-2</v>
      </c>
      <c r="U172" s="57">
        <f>SUMIF(B:B,A172,K:K)</f>
        <v>12.016</v>
      </c>
    </row>
    <row r="173" spans="1:21" x14ac:dyDescent="0.25">
      <c r="A173" s="2" t="s">
        <v>263</v>
      </c>
      <c r="B173" s="2" t="s">
        <v>166</v>
      </c>
      <c r="C173" s="42" t="str">
        <f t="shared" si="29"/>
        <v>Dragon Stout|US Beverage</v>
      </c>
      <c r="D173" s="74">
        <v>6378.5060569999996</v>
      </c>
      <c r="E173" s="1">
        <v>7058.9226289999997</v>
      </c>
      <c r="F173" s="3">
        <v>0.106673</v>
      </c>
      <c r="G173" s="1">
        <v>1336.874814</v>
      </c>
      <c r="H173" s="94">
        <v>7715.3808710000003</v>
      </c>
      <c r="I173" s="178">
        <f t="shared" si="30"/>
        <v>8538.4058900338223</v>
      </c>
      <c r="J173" s="96">
        <f t="shared" si="27"/>
        <v>0.10667328454611313</v>
      </c>
      <c r="K173" s="59">
        <f>_xlfn.XLOOKUP(C173,'2025 Goal Data'!C:C,'2025 Goal Data'!F:F,"")</f>
        <v>0.01</v>
      </c>
      <c r="L173" s="54">
        <f t="shared" si="31"/>
        <v>77.153808710000007</v>
      </c>
      <c r="M173" s="87">
        <f t="shared" si="32"/>
        <v>9.6673284546113139E-2</v>
      </c>
      <c r="N173" s="68">
        <f>_xlfn.XLOOKUP(C173,'2025 Goal Data'!C:C,'2025 Goal Data'!I:I,"")</f>
        <v>0.01</v>
      </c>
      <c r="O173" s="117">
        <f t="shared" si="33"/>
        <v>77.153808710000007</v>
      </c>
      <c r="P173" s="91">
        <f t="shared" si="34"/>
        <v>9.6673284546113139E-2</v>
      </c>
      <c r="Q173" s="69">
        <f t="shared" si="37"/>
        <v>0</v>
      </c>
      <c r="U173" s="58">
        <f t="shared" ref="U173:U185" si="38">(H173*K173)+H173</f>
        <v>7792.5346797100001</v>
      </c>
    </row>
    <row r="174" spans="1:21" x14ac:dyDescent="0.25">
      <c r="A174" s="2" t="s">
        <v>380</v>
      </c>
      <c r="B174" s="2" t="s">
        <v>166</v>
      </c>
      <c r="C174" s="42" t="str">
        <f t="shared" si="29"/>
        <v>Moosehead|US Beverage</v>
      </c>
      <c r="D174" s="74">
        <v>2603.3524499999999</v>
      </c>
      <c r="E174" s="1">
        <v>2028</v>
      </c>
      <c r="F174" s="3">
        <v>-0.22100400000000001</v>
      </c>
      <c r="G174" s="1">
        <v>456.61147</v>
      </c>
      <c r="H174" s="94">
        <v>3059.9639200000001</v>
      </c>
      <c r="I174" s="178">
        <f t="shared" si="30"/>
        <v>2383.69850868412</v>
      </c>
      <c r="J174" s="96">
        <f t="shared" si="27"/>
        <v>-0.22100437423323605</v>
      </c>
      <c r="K174" s="59">
        <f>_xlfn.XLOOKUP(C174,'2025 Goal Data'!C:C,'2025 Goal Data'!F:F,"")</f>
        <v>8.7999999999999995E-2</v>
      </c>
      <c r="L174" s="54">
        <f t="shared" si="31"/>
        <v>269.27682496</v>
      </c>
      <c r="M174" s="87">
        <f t="shared" si="32"/>
        <v>-0.30900437423323601</v>
      </c>
      <c r="N174" s="68">
        <f>_xlfn.XLOOKUP(C174,'2025 Goal Data'!C:C,'2025 Goal Data'!I:I,"")</f>
        <v>0.05</v>
      </c>
      <c r="O174" s="117">
        <f t="shared" si="33"/>
        <v>152.99819600000001</v>
      </c>
      <c r="P174" s="91">
        <f t="shared" si="34"/>
        <v>-0.27100437423323603</v>
      </c>
      <c r="Q174" s="69">
        <f t="shared" si="37"/>
        <v>3.7999999999999978E-2</v>
      </c>
      <c r="U174" s="58">
        <f t="shared" si="38"/>
        <v>3329.24074496</v>
      </c>
    </row>
    <row r="175" spans="1:21" x14ac:dyDescent="0.25">
      <c r="A175" s="2" t="s">
        <v>264</v>
      </c>
      <c r="B175" s="2" t="s">
        <v>166</v>
      </c>
      <c r="C175" s="42" t="str">
        <f t="shared" si="29"/>
        <v>Birra Moretti|US Beverage</v>
      </c>
      <c r="D175" s="74">
        <v>1367</v>
      </c>
      <c r="E175" s="1">
        <v>1527</v>
      </c>
      <c r="F175" s="3">
        <v>0.117045</v>
      </c>
      <c r="G175" s="1">
        <v>363</v>
      </c>
      <c r="H175" s="94">
        <v>1730</v>
      </c>
      <c r="I175" s="178">
        <f t="shared" si="30"/>
        <v>1932.487335</v>
      </c>
      <c r="J175" s="96">
        <f t="shared" si="27"/>
        <v>0.11704470231213882</v>
      </c>
      <c r="K175" s="59">
        <f>_xlfn.XLOOKUP(C175,'2025 Goal Data'!C:C,'2025 Goal Data'!F:F,"")</f>
        <v>0.42</v>
      </c>
      <c r="L175" s="54">
        <f t="shared" si="31"/>
        <v>726.6</v>
      </c>
      <c r="M175" s="87">
        <f t="shared" si="32"/>
        <v>-0.30295529768786117</v>
      </c>
      <c r="N175" s="68">
        <f>_xlfn.XLOOKUP(C175,'2025 Goal Data'!C:C,'2025 Goal Data'!I:I,"")</f>
        <v>0.3</v>
      </c>
      <c r="O175" s="117">
        <f t="shared" si="33"/>
        <v>519</v>
      </c>
      <c r="P175" s="91">
        <f t="shared" si="34"/>
        <v>-0.18295529768786117</v>
      </c>
      <c r="Q175" s="69">
        <f t="shared" si="37"/>
        <v>0.12</v>
      </c>
      <c r="U175" s="58">
        <f t="shared" si="38"/>
        <v>2456.6</v>
      </c>
    </row>
    <row r="176" spans="1:21" x14ac:dyDescent="0.25">
      <c r="A176" s="2" t="s">
        <v>10</v>
      </c>
      <c r="B176" s="2" t="s">
        <v>166</v>
      </c>
      <c r="C176" s="42" t="str">
        <f t="shared" si="29"/>
        <v>Estrella|US Beverage</v>
      </c>
      <c r="D176" s="74">
        <v>1698.7121529999999</v>
      </c>
      <c r="E176" s="1">
        <v>1719.3927200000001</v>
      </c>
      <c r="F176" s="3">
        <v>1.2174000000000001E-2</v>
      </c>
      <c r="G176" s="1">
        <v>281.23617200000001</v>
      </c>
      <c r="H176" s="94">
        <v>1979.9483250000001</v>
      </c>
      <c r="I176" s="178">
        <f t="shared" si="30"/>
        <v>2004.052661157928</v>
      </c>
      <c r="J176" s="96">
        <f t="shared" si="27"/>
        <v>1.2174224879292206E-2</v>
      </c>
      <c r="K176" s="59">
        <f>_xlfn.XLOOKUP(C176,'2025 Goal Data'!C:C,'2025 Goal Data'!F:F,"")</f>
        <v>0.12</v>
      </c>
      <c r="L176" s="54">
        <f t="shared" si="31"/>
        <v>237.59379899999999</v>
      </c>
      <c r="M176" s="87">
        <f t="shared" si="32"/>
        <v>-0.10782577512070779</v>
      </c>
      <c r="N176" s="68">
        <f>_xlfn.XLOOKUP(C176,'2025 Goal Data'!C:C,'2025 Goal Data'!I:I,"")</f>
        <v>0.12</v>
      </c>
      <c r="O176" s="117">
        <f t="shared" si="33"/>
        <v>237.59379899999999</v>
      </c>
      <c r="P176" s="91">
        <f t="shared" si="34"/>
        <v>-0.10782577512070779</v>
      </c>
      <c r="Q176" s="69">
        <f t="shared" si="37"/>
        <v>0</v>
      </c>
      <c r="U176" s="58">
        <f t="shared" si="38"/>
        <v>2217.5421240000001</v>
      </c>
    </row>
    <row r="177" spans="1:21" x14ac:dyDescent="0.25">
      <c r="A177" s="2" t="s">
        <v>192</v>
      </c>
      <c r="B177" s="2" t="s">
        <v>166</v>
      </c>
      <c r="C177" s="42" t="str">
        <f t="shared" si="29"/>
        <v>Daura|US Beverage</v>
      </c>
      <c r="D177" s="74">
        <v>1257.2016880000001</v>
      </c>
      <c r="E177" s="1">
        <v>1466.4239600000001</v>
      </c>
      <c r="F177" s="3">
        <v>0.16641900000000001</v>
      </c>
      <c r="G177" s="1">
        <v>257.79172799999998</v>
      </c>
      <c r="H177" s="94">
        <v>1514.993416</v>
      </c>
      <c r="I177" s="178">
        <f t="shared" si="30"/>
        <v>1767.117129582032</v>
      </c>
      <c r="J177" s="96">
        <f t="shared" si="27"/>
        <v>0.16641901602959308</v>
      </c>
      <c r="K177" s="59">
        <f>_xlfn.XLOOKUP(C177,'2025 Goal Data'!C:C,'2025 Goal Data'!F:F,"")</f>
        <v>0.25</v>
      </c>
      <c r="L177" s="54">
        <f t="shared" si="31"/>
        <v>378.74835400000001</v>
      </c>
      <c r="M177" s="87">
        <f t="shared" si="32"/>
        <v>-8.3580983970406919E-2</v>
      </c>
      <c r="N177" s="68">
        <f>_xlfn.XLOOKUP(C177,'2025 Goal Data'!C:C,'2025 Goal Data'!I:I,"")</f>
        <v>0.25</v>
      </c>
      <c r="O177" s="117">
        <f t="shared" si="33"/>
        <v>378.74835400000001</v>
      </c>
      <c r="P177" s="91">
        <f t="shared" si="34"/>
        <v>-8.3580983970406919E-2</v>
      </c>
      <c r="Q177" s="69">
        <f t="shared" si="37"/>
        <v>0</v>
      </c>
      <c r="U177" s="58">
        <f t="shared" si="38"/>
        <v>1893.7417700000001</v>
      </c>
    </row>
    <row r="178" spans="1:21" x14ac:dyDescent="0.25">
      <c r="A178" s="2" t="s">
        <v>94</v>
      </c>
      <c r="B178" s="2" t="s">
        <v>166</v>
      </c>
      <c r="C178" s="42" t="str">
        <f t="shared" si="29"/>
        <v>Czechvar|US Beverage</v>
      </c>
      <c r="D178" s="74">
        <v>1231.7052040000001</v>
      </c>
      <c r="E178" s="1">
        <v>972.84818800000005</v>
      </c>
      <c r="F178" s="3">
        <v>-0.21016199999999999</v>
      </c>
      <c r="G178" s="1">
        <v>228.96812</v>
      </c>
      <c r="H178" s="94">
        <v>1460.6733240000001</v>
      </c>
      <c r="I178" s="178">
        <f t="shared" si="30"/>
        <v>1153.6959099645601</v>
      </c>
      <c r="J178" s="96">
        <f t="shared" si="27"/>
        <v>-0.21016158027367382</v>
      </c>
      <c r="K178" s="59">
        <f>_xlfn.XLOOKUP(C178,'2025 Goal Data'!C:C,'2025 Goal Data'!F:F,"")</f>
        <v>0.1</v>
      </c>
      <c r="L178" s="54">
        <f t="shared" si="31"/>
        <v>146.06733240000003</v>
      </c>
      <c r="M178" s="87">
        <f t="shared" si="32"/>
        <v>-0.3101615802736738</v>
      </c>
      <c r="N178" s="68">
        <f>_xlfn.XLOOKUP(C178,'2025 Goal Data'!C:C,'2025 Goal Data'!I:I,"")</f>
        <v>0.1</v>
      </c>
      <c r="O178" s="117">
        <f t="shared" si="33"/>
        <v>146.06733240000003</v>
      </c>
      <c r="P178" s="91">
        <f t="shared" si="34"/>
        <v>-0.3101615802736738</v>
      </c>
      <c r="Q178" s="69">
        <f t="shared" si="37"/>
        <v>0</v>
      </c>
      <c r="U178" s="58">
        <f t="shared" si="38"/>
        <v>1606.7406564</v>
      </c>
    </row>
    <row r="179" spans="1:21" x14ac:dyDescent="0.25">
      <c r="A179" s="2" t="s">
        <v>265</v>
      </c>
      <c r="B179" s="2" t="s">
        <v>166</v>
      </c>
      <c r="C179" s="42" t="str">
        <f t="shared" si="29"/>
        <v>Malibu Splash|US Beverage</v>
      </c>
      <c r="D179" s="74">
        <v>2599</v>
      </c>
      <c r="E179" s="1">
        <v>2295</v>
      </c>
      <c r="F179" s="3">
        <v>-0.116968</v>
      </c>
      <c r="G179" s="1">
        <v>209</v>
      </c>
      <c r="H179" s="94">
        <v>2808</v>
      </c>
      <c r="I179" s="178">
        <f t="shared" si="30"/>
        <v>2479.553688</v>
      </c>
      <c r="J179" s="96">
        <f t="shared" si="27"/>
        <v>-0.11696805982905989</v>
      </c>
      <c r="K179" s="59">
        <f>_xlfn.XLOOKUP(C179,'2025 Goal Data'!C:C,'2025 Goal Data'!F:F,"")</f>
        <v>0.16800000000000001</v>
      </c>
      <c r="L179" s="54">
        <f t="shared" si="31"/>
        <v>471.74400000000003</v>
      </c>
      <c r="M179" s="87">
        <f t="shared" si="32"/>
        <v>-0.28496805982905993</v>
      </c>
      <c r="N179" s="68">
        <f>_xlfn.XLOOKUP(C179,'2025 Goal Data'!C:C,'2025 Goal Data'!I:I,"")</f>
        <v>-0.1</v>
      </c>
      <c r="O179" s="117">
        <f t="shared" si="33"/>
        <v>-280.8</v>
      </c>
      <c r="P179" s="91">
        <f t="shared" si="34"/>
        <v>-1.6968059829059884E-2</v>
      </c>
      <c r="Q179" s="69">
        <f t="shared" si="37"/>
        <v>0.26800000000000002</v>
      </c>
      <c r="U179" s="58">
        <f t="shared" si="38"/>
        <v>3279.7440000000001</v>
      </c>
    </row>
    <row r="180" spans="1:21" x14ac:dyDescent="0.25">
      <c r="A180" s="2" t="s">
        <v>349</v>
      </c>
      <c r="B180" s="2" t="s">
        <v>166</v>
      </c>
      <c r="C180" s="42" t="str">
        <f t="shared" si="29"/>
        <v>Krusovice|US Beverage</v>
      </c>
      <c r="D180" s="74">
        <v>823.277648</v>
      </c>
      <c r="E180" s="1">
        <v>830.32625800000005</v>
      </c>
      <c r="F180" s="3">
        <v>8.5620000000000002E-3</v>
      </c>
      <c r="G180" s="1">
        <v>122.645814</v>
      </c>
      <c r="H180" s="94">
        <v>945.92346199999997</v>
      </c>
      <c r="I180" s="178">
        <f t="shared" si="30"/>
        <v>954.02216545946806</v>
      </c>
      <c r="J180" s="96">
        <f t="shared" si="27"/>
        <v>8.561690014903256E-3</v>
      </c>
      <c r="K180" s="59">
        <f>_xlfn.XLOOKUP(C180,'2025 Goal Data'!C:C,'2025 Goal Data'!F:F,"")</f>
        <v>0.14000000000000001</v>
      </c>
      <c r="L180" s="54">
        <f t="shared" si="31"/>
        <v>132.42928467999999</v>
      </c>
      <c r="M180" s="87">
        <f t="shared" si="32"/>
        <v>-0.13143830998509676</v>
      </c>
      <c r="N180" s="68">
        <f>_xlfn.XLOOKUP(C180,'2025 Goal Data'!C:C,'2025 Goal Data'!I:I,"")</f>
        <v>0.05</v>
      </c>
      <c r="O180" s="117">
        <f t="shared" si="33"/>
        <v>47.296173100000004</v>
      </c>
      <c r="P180" s="91">
        <f t="shared" si="34"/>
        <v>-4.1438309985096747E-2</v>
      </c>
      <c r="Q180" s="69">
        <f t="shared" si="37"/>
        <v>9.0000000000000011E-2</v>
      </c>
      <c r="U180" s="58">
        <f t="shared" si="38"/>
        <v>1078.3527466799999</v>
      </c>
    </row>
    <row r="181" spans="1:21" x14ac:dyDescent="0.25">
      <c r="A181" s="2" t="s">
        <v>295</v>
      </c>
      <c r="B181" s="2" t="s">
        <v>166</v>
      </c>
      <c r="C181" s="42" t="str">
        <f t="shared" si="29"/>
        <v>Innis &amp; Gunn|US Beverage</v>
      </c>
      <c r="D181" s="74">
        <v>661.52079100000003</v>
      </c>
      <c r="E181" s="1">
        <v>518.66653699999995</v>
      </c>
      <c r="F181" s="3">
        <v>-0.215948</v>
      </c>
      <c r="G181" s="1">
        <v>121.333303</v>
      </c>
      <c r="H181" s="94">
        <v>782.85409400000003</v>
      </c>
      <c r="I181" s="178">
        <f t="shared" si="30"/>
        <v>613.79815588375595</v>
      </c>
      <c r="J181" s="96">
        <f t="shared" si="27"/>
        <v>-0.21594820722269104</v>
      </c>
      <c r="K181" s="59">
        <f>_xlfn.XLOOKUP(C181,'2025 Goal Data'!C:C,'2025 Goal Data'!F:F,"")</f>
        <v>0.14000000000000001</v>
      </c>
      <c r="L181" s="54">
        <f t="shared" si="31"/>
        <v>109.59957316000002</v>
      </c>
      <c r="M181" s="87">
        <f t="shared" si="32"/>
        <v>-0.35594820722269105</v>
      </c>
      <c r="N181" s="68">
        <f>_xlfn.XLOOKUP(C181,'2025 Goal Data'!C:C,'2025 Goal Data'!I:I,"")</f>
        <v>0.05</v>
      </c>
      <c r="O181" s="117">
        <f t="shared" si="33"/>
        <v>39.142704700000003</v>
      </c>
      <c r="P181" s="91">
        <f t="shared" si="34"/>
        <v>-0.26594820722269102</v>
      </c>
      <c r="Q181" s="69">
        <f t="shared" si="37"/>
        <v>9.0000000000000024E-2</v>
      </c>
      <c r="U181" s="58">
        <f t="shared" si="38"/>
        <v>892.45366716000001</v>
      </c>
    </row>
    <row r="182" spans="1:21" x14ac:dyDescent="0.25">
      <c r="A182" s="2" t="s">
        <v>40</v>
      </c>
      <c r="B182" s="2" t="s">
        <v>166</v>
      </c>
      <c r="C182" s="42" t="str">
        <f t="shared" si="29"/>
        <v>Tagus|US Beverage</v>
      </c>
      <c r="D182" s="74">
        <v>72.298634000000007</v>
      </c>
      <c r="E182" s="1">
        <v>90.506972000000005</v>
      </c>
      <c r="F182" s="3">
        <v>0.25184899999999999</v>
      </c>
      <c r="G182" s="1">
        <v>13.753477</v>
      </c>
      <c r="H182" s="94">
        <v>86.052110999999996</v>
      </c>
      <c r="I182" s="178">
        <f t="shared" si="30"/>
        <v>107.724248428973</v>
      </c>
      <c r="J182" s="96">
        <f t="shared" si="27"/>
        <v>0.25184899216444556</v>
      </c>
      <c r="K182" s="59">
        <f>_xlfn.XLOOKUP(C182,'2025 Goal Data'!C:C,'2025 Goal Data'!F:F,"")</f>
        <v>0.91</v>
      </c>
      <c r="L182" s="54">
        <f t="shared" si="31"/>
        <v>78.307421009999999</v>
      </c>
      <c r="M182" s="87">
        <f t="shared" si="32"/>
        <v>-0.65815100783555447</v>
      </c>
      <c r="N182" s="68">
        <f>_xlfn.XLOOKUP(C182,'2025 Goal Data'!C:C,'2025 Goal Data'!I:I,"")</f>
        <v>0.91</v>
      </c>
      <c r="O182" s="117">
        <f t="shared" si="33"/>
        <v>78.307421009999999</v>
      </c>
      <c r="P182" s="91">
        <f t="shared" si="34"/>
        <v>-0.65815100783555447</v>
      </c>
      <c r="Q182" s="69">
        <f t="shared" si="37"/>
        <v>0</v>
      </c>
      <c r="U182" s="58">
        <f t="shared" si="38"/>
        <v>164.35953201000001</v>
      </c>
    </row>
    <row r="183" spans="1:21" x14ac:dyDescent="0.25">
      <c r="A183" s="2" t="s">
        <v>140</v>
      </c>
      <c r="B183" s="2" t="s">
        <v>166</v>
      </c>
      <c r="C183" s="42" t="str">
        <f t="shared" si="29"/>
        <v>Sagres Cerveja|US Beverage</v>
      </c>
      <c r="D183" s="74">
        <v>139.17017200000001</v>
      </c>
      <c r="E183" s="1">
        <v>76.590295999999995</v>
      </c>
      <c r="F183" s="3">
        <v>-0.44966400000000001</v>
      </c>
      <c r="G183" s="1">
        <v>13.076392</v>
      </c>
      <c r="H183" s="94">
        <v>152.24656400000001</v>
      </c>
      <c r="I183" s="178">
        <f t="shared" si="30"/>
        <v>83.786705267711994</v>
      </c>
      <c r="J183" s="96">
        <f t="shared" si="27"/>
        <v>-0.44966439263803692</v>
      </c>
      <c r="K183" s="59">
        <f>_xlfn.XLOOKUP(C183,'2025 Goal Data'!C:C,'2025 Goal Data'!F:F,"")</f>
        <v>0</v>
      </c>
      <c r="L183" s="54">
        <f t="shared" si="31"/>
        <v>0</v>
      </c>
      <c r="M183" s="87">
        <f t="shared" si="32"/>
        <v>-0.44966439263803692</v>
      </c>
      <c r="N183" s="68">
        <f>_xlfn.XLOOKUP(C183,'2025 Goal Data'!C:C,'2025 Goal Data'!I:I,"")</f>
        <v>0</v>
      </c>
      <c r="O183" s="117">
        <f t="shared" si="33"/>
        <v>0</v>
      </c>
      <c r="P183" s="91">
        <f t="shared" si="34"/>
        <v>-0.44966439263803692</v>
      </c>
      <c r="Q183" s="69">
        <f t="shared" si="37"/>
        <v>0</v>
      </c>
      <c r="U183" s="58">
        <f t="shared" si="38"/>
        <v>152.24656400000001</v>
      </c>
    </row>
    <row r="184" spans="1:21" x14ac:dyDescent="0.25">
      <c r="A184" s="2" t="s">
        <v>248</v>
      </c>
      <c r="B184" s="2" t="s">
        <v>166</v>
      </c>
      <c r="C184" s="42" t="str">
        <f t="shared" si="29"/>
        <v>Dewey Crush|US Beverage</v>
      </c>
      <c r="D184" s="74">
        <v>66</v>
      </c>
      <c r="E184" s="1">
        <v>10</v>
      </c>
      <c r="F184" s="3">
        <v>-0.84848500000000004</v>
      </c>
      <c r="G184" s="1">
        <v>1</v>
      </c>
      <c r="H184" s="94">
        <v>67</v>
      </c>
      <c r="I184" s="178">
        <f t="shared" si="30"/>
        <v>10.151515</v>
      </c>
      <c r="J184" s="96">
        <f t="shared" si="27"/>
        <v>-0.84848485074626867</v>
      </c>
      <c r="K184" s="59">
        <f>_xlfn.XLOOKUP(C184,'2025 Goal Data'!C:C,'2025 Goal Data'!F:F,"")</f>
        <v>9.67</v>
      </c>
      <c r="L184" s="54">
        <f t="shared" si="31"/>
        <v>647.89</v>
      </c>
      <c r="M184" s="87">
        <f t="shared" si="32"/>
        <v>-10.518484850746269</v>
      </c>
      <c r="N184" s="68">
        <f>_xlfn.XLOOKUP(C184,'2025 Goal Data'!C:C,'2025 Goal Data'!I:I,"")</f>
        <v>1</v>
      </c>
      <c r="O184" s="117">
        <f t="shared" si="33"/>
        <v>67</v>
      </c>
      <c r="P184" s="91">
        <f t="shared" si="34"/>
        <v>-1.8484848507462686</v>
      </c>
      <c r="Q184" s="69">
        <f t="shared" si="37"/>
        <v>8.67</v>
      </c>
      <c r="U184" s="58">
        <f t="shared" si="38"/>
        <v>714.89</v>
      </c>
    </row>
    <row r="185" spans="1:21" x14ac:dyDescent="0.25">
      <c r="A185" s="128" t="s">
        <v>167</v>
      </c>
      <c r="B185" s="2" t="s">
        <v>166</v>
      </c>
      <c r="C185" s="42" t="str">
        <f t="shared" si="29"/>
        <v>Superior Cerveza|US Beverage</v>
      </c>
      <c r="D185" s="74">
        <v>-5.9135439999999999</v>
      </c>
      <c r="E185" s="1">
        <v>0</v>
      </c>
      <c r="F185" s="3">
        <v>1</v>
      </c>
      <c r="G185" s="1">
        <v>0</v>
      </c>
      <c r="H185" s="94">
        <v>-5.9135439999999999</v>
      </c>
      <c r="I185" s="178">
        <f t="shared" si="30"/>
        <v>0</v>
      </c>
      <c r="J185" s="96">
        <f t="shared" si="27"/>
        <v>-1</v>
      </c>
      <c r="K185" s="59">
        <f>_xlfn.XLOOKUP(C185,'2025 Goal Data'!C:C,'2025 Goal Data'!F:F,"")</f>
        <v>0</v>
      </c>
      <c r="L185" s="54">
        <f t="shared" si="31"/>
        <v>0</v>
      </c>
      <c r="M185" s="87">
        <f t="shared" si="32"/>
        <v>-1</v>
      </c>
      <c r="N185" s="68">
        <f>_xlfn.XLOOKUP(C185,'2025 Goal Data'!C:C,'2025 Goal Data'!I:I,"")</f>
        <v>0</v>
      </c>
      <c r="O185" s="117">
        <f t="shared" si="33"/>
        <v>0</v>
      </c>
      <c r="P185" s="91">
        <f t="shared" si="34"/>
        <v>-1</v>
      </c>
      <c r="Q185" s="69">
        <f t="shared" si="37"/>
        <v>0</v>
      </c>
      <c r="U185" s="58">
        <f t="shared" si="38"/>
        <v>-5.9135439999999999</v>
      </c>
    </row>
    <row r="186" spans="1:21" x14ac:dyDescent="0.25">
      <c r="A186" s="98" t="s">
        <v>319</v>
      </c>
      <c r="B186" s="99"/>
      <c r="C186" s="42" t="str">
        <f t="shared" si="29"/>
        <v>Warwick Valley|</v>
      </c>
      <c r="D186" s="73">
        <v>14115.388211</v>
      </c>
      <c r="E186" s="82">
        <v>11479.339588000001</v>
      </c>
      <c r="F186" s="83">
        <v>-0.18675</v>
      </c>
      <c r="G186" s="82">
        <v>3097.9929080000002</v>
      </c>
      <c r="H186" s="100">
        <v>17213.381119000001</v>
      </c>
      <c r="I186" s="177">
        <f t="shared" si="30"/>
        <v>13998.782320431001</v>
      </c>
      <c r="J186" s="96">
        <f t="shared" si="27"/>
        <v>-0.18674999271472303</v>
      </c>
      <c r="K186" s="101">
        <f>_xlfn.XLOOKUP(C186,'2025 Goal Data'!C:C,'2025 Goal Data'!F:F,"")</f>
        <v>0.1</v>
      </c>
      <c r="L186" s="112">
        <f t="shared" si="31"/>
        <v>1721.3381119000003</v>
      </c>
      <c r="M186" s="102">
        <f t="shared" si="32"/>
        <v>-0.28674999271472301</v>
      </c>
      <c r="N186" s="103">
        <f>_xlfn.XLOOKUP(C186,'2025 Goal Data'!C:C,'2025 Goal Data'!I:I,"")</f>
        <v>0.1</v>
      </c>
      <c r="O186" s="116">
        <f t="shared" si="33"/>
        <v>1721.3381119000003</v>
      </c>
      <c r="P186" s="104">
        <f t="shared" si="34"/>
        <v>-0.28674999271472301</v>
      </c>
      <c r="Q186" s="67">
        <f t="shared" si="37"/>
        <v>0</v>
      </c>
      <c r="U186" s="57">
        <f>SUMIF(B:B,A186,K:K)</f>
        <v>0.1</v>
      </c>
    </row>
    <row r="187" spans="1:21" x14ac:dyDescent="0.25">
      <c r="A187" s="2" t="s">
        <v>11</v>
      </c>
      <c r="B187" s="2" t="s">
        <v>319</v>
      </c>
      <c r="C187" s="42" t="str">
        <f t="shared" si="29"/>
        <v>Doc's|Warwick Valley</v>
      </c>
      <c r="D187" s="74">
        <v>14115.388211</v>
      </c>
      <c r="E187" s="1">
        <v>11472.839588000001</v>
      </c>
      <c r="F187" s="3">
        <v>-0.18720999999999999</v>
      </c>
      <c r="G187" s="1">
        <v>3097.9929080000002</v>
      </c>
      <c r="H187" s="94">
        <v>17213.381119000001</v>
      </c>
      <c r="I187" s="178">
        <f t="shared" si="30"/>
        <v>13990.857243693321</v>
      </c>
      <c r="J187" s="96">
        <f t="shared" si="27"/>
        <v>-0.1872103948102144</v>
      </c>
      <c r="K187" s="59">
        <f>_xlfn.XLOOKUP(C187,'2025 Goal Data'!C:C,'2025 Goal Data'!F:F,"")</f>
        <v>0.1</v>
      </c>
      <c r="L187" s="54">
        <f t="shared" si="31"/>
        <v>1721.3381119000003</v>
      </c>
      <c r="M187" s="87">
        <f t="shared" si="32"/>
        <v>-0.28721039481021438</v>
      </c>
      <c r="N187" s="68">
        <f>_xlfn.XLOOKUP(C187,'2025 Goal Data'!C:C,'2025 Goal Data'!I:I,"")</f>
        <v>0.1</v>
      </c>
      <c r="O187" s="117">
        <f t="shared" si="33"/>
        <v>1721.3381119000003</v>
      </c>
      <c r="P187" s="91">
        <f t="shared" si="34"/>
        <v>-0.28721039481021438</v>
      </c>
      <c r="Q187" s="69">
        <f t="shared" si="37"/>
        <v>0</v>
      </c>
      <c r="U187" s="58">
        <f>(H187*K187)+H187</f>
        <v>18934.719230900002</v>
      </c>
    </row>
    <row r="188" spans="1:21" x14ac:dyDescent="0.25">
      <c r="A188" s="2" t="s">
        <v>41</v>
      </c>
      <c r="B188" s="5" t="s">
        <v>319</v>
      </c>
      <c r="C188" s="42" t="str">
        <f t="shared" si="29"/>
        <v>Warwick Gin|Warwick Valley</v>
      </c>
      <c r="D188" s="74">
        <v>0</v>
      </c>
      <c r="E188" s="1">
        <v>4</v>
      </c>
      <c r="F188" s="3">
        <v>1</v>
      </c>
      <c r="G188" s="1">
        <v>0</v>
      </c>
      <c r="H188" s="94">
        <v>0</v>
      </c>
      <c r="I188" s="178">
        <f t="shared" si="30"/>
        <v>4</v>
      </c>
      <c r="J188" s="96">
        <f t="shared" si="27"/>
        <v>0</v>
      </c>
      <c r="K188" s="59" t="str">
        <f>_xlfn.XLOOKUP(C188,'2025 Goal Data'!C:C,'2025 Goal Data'!F:F,"")</f>
        <v/>
      </c>
      <c r="L188" s="54">
        <f t="shared" si="31"/>
        <v>0</v>
      </c>
      <c r="M188" s="87">
        <f t="shared" si="32"/>
        <v>0</v>
      </c>
      <c r="N188" s="68" t="str">
        <f>_xlfn.XLOOKUP(C188,'2025 Goal Data'!C:C,'2025 Goal Data'!I:I,"")</f>
        <v/>
      </c>
      <c r="O188" s="117">
        <f t="shared" si="33"/>
        <v>0</v>
      </c>
      <c r="P188" s="91">
        <f t="shared" si="34"/>
        <v>0</v>
      </c>
      <c r="Q188" s="69" t="s">
        <v>475</v>
      </c>
      <c r="U188" s="58" t="s">
        <v>475</v>
      </c>
    </row>
    <row r="189" spans="1:21" x14ac:dyDescent="0.25">
      <c r="A189" s="2" t="s">
        <v>168</v>
      </c>
      <c r="B189" s="5" t="s">
        <v>319</v>
      </c>
      <c r="C189" s="42" t="str">
        <f t="shared" si="29"/>
        <v>Gin Pig|Warwick Valley</v>
      </c>
      <c r="D189" s="74">
        <v>0</v>
      </c>
      <c r="E189" s="1">
        <v>2.5</v>
      </c>
      <c r="F189" s="3">
        <v>1</v>
      </c>
      <c r="G189" s="1">
        <v>0</v>
      </c>
      <c r="H189" s="94">
        <v>0</v>
      </c>
      <c r="I189" s="178">
        <f t="shared" si="30"/>
        <v>2.5</v>
      </c>
      <c r="J189" s="96">
        <f t="shared" si="27"/>
        <v>0</v>
      </c>
      <c r="K189" s="59" t="str">
        <f>_xlfn.XLOOKUP(C189,'2025 Goal Data'!C:C,'2025 Goal Data'!F:F,"")</f>
        <v/>
      </c>
      <c r="L189" s="54">
        <f t="shared" si="31"/>
        <v>0</v>
      </c>
      <c r="M189" s="87">
        <f t="shared" si="32"/>
        <v>0</v>
      </c>
      <c r="N189" s="68" t="str">
        <f>_xlfn.XLOOKUP(C189,'2025 Goal Data'!C:C,'2025 Goal Data'!I:I,"")</f>
        <v/>
      </c>
      <c r="O189" s="117">
        <f t="shared" si="33"/>
        <v>0</v>
      </c>
      <c r="P189" s="91">
        <f t="shared" si="34"/>
        <v>0</v>
      </c>
      <c r="Q189" s="69" t="s">
        <v>475</v>
      </c>
      <c r="U189" s="58" t="s">
        <v>475</v>
      </c>
    </row>
    <row r="190" spans="1:21" x14ac:dyDescent="0.25">
      <c r="A190" s="98" t="s">
        <v>12</v>
      </c>
      <c r="B190" s="99"/>
      <c r="C190" s="42" t="str">
        <f t="shared" si="29"/>
        <v>FIFCO|</v>
      </c>
      <c r="D190" s="73">
        <v>15983.416665999999</v>
      </c>
      <c r="E190" s="82">
        <v>13883.25</v>
      </c>
      <c r="F190" s="83">
        <v>-0.13139700000000001</v>
      </c>
      <c r="G190" s="82">
        <v>2898.5</v>
      </c>
      <c r="H190" s="100">
        <v>18881.916666000001</v>
      </c>
      <c r="I190" s="177">
        <f t="shared" si="30"/>
        <v>16400.895795500001</v>
      </c>
      <c r="J190" s="96">
        <f t="shared" si="27"/>
        <v>-0.13139666456464594</v>
      </c>
      <c r="K190" s="101">
        <f>_xlfn.XLOOKUP(C190,'2025 Goal Data'!C:C,'2025 Goal Data'!F:F,"")</f>
        <v>5.1403527355542615E-3</v>
      </c>
      <c r="L190" s="112">
        <f t="shared" si="31"/>
        <v>97.059711986580709</v>
      </c>
      <c r="M190" s="102">
        <f t="shared" si="32"/>
        <v>-0.13653701730020021</v>
      </c>
      <c r="N190" s="103">
        <f>_xlfn.XLOOKUP(C190,'2025 Goal Data'!C:C,'2025 Goal Data'!I:I,"")</f>
        <v>7.6558444997616654E-3</v>
      </c>
      <c r="O190" s="116">
        <f t="shared" si="33"/>
        <v>144.55701785235422</v>
      </c>
      <c r="P190" s="104">
        <f t="shared" si="34"/>
        <v>-0.13905250906440761</v>
      </c>
      <c r="Q190" s="67">
        <f t="shared" ref="Q190:Q221" si="39">P190-M190</f>
        <v>-2.5154917642074004E-3</v>
      </c>
      <c r="U190" s="57">
        <f>SUMIF(B:B,A190,K:K)</f>
        <v>4.7E-2</v>
      </c>
    </row>
    <row r="191" spans="1:21" x14ac:dyDescent="0.25">
      <c r="A191" s="2" t="s">
        <v>114</v>
      </c>
      <c r="B191" s="2" t="s">
        <v>12</v>
      </c>
      <c r="C191" s="42" t="str">
        <f t="shared" si="29"/>
        <v>Genesee|FIFCO</v>
      </c>
      <c r="D191" s="74">
        <v>13639.416665999999</v>
      </c>
      <c r="E191" s="1">
        <v>12042.25</v>
      </c>
      <c r="F191" s="3">
        <v>-0.11709899999999999</v>
      </c>
      <c r="G191" s="1">
        <v>2476.5</v>
      </c>
      <c r="H191" s="94">
        <v>16115.916665999999</v>
      </c>
      <c r="I191" s="178">
        <f t="shared" si="30"/>
        <v>14228.7543265</v>
      </c>
      <c r="J191" s="96">
        <f t="shared" si="27"/>
        <v>-0.11709928629014166</v>
      </c>
      <c r="K191" s="59">
        <f>_xlfn.XLOOKUP(C191,'2025 Goal Data'!C:C,'2025 Goal Data'!F:F,"")</f>
        <v>0</v>
      </c>
      <c r="L191" s="54">
        <f t="shared" si="31"/>
        <v>0</v>
      </c>
      <c r="M191" s="87">
        <f t="shared" si="32"/>
        <v>-0.11709928629014166</v>
      </c>
      <c r="N191" s="68">
        <f>_xlfn.XLOOKUP(C191,'2025 Goal Data'!C:C,'2025 Goal Data'!I:I,"")</f>
        <v>0</v>
      </c>
      <c r="O191" s="117">
        <f t="shared" si="33"/>
        <v>0</v>
      </c>
      <c r="P191" s="91">
        <f t="shared" si="34"/>
        <v>-0.11709928629014166</v>
      </c>
      <c r="Q191" s="69">
        <f t="shared" si="39"/>
        <v>0</v>
      </c>
      <c r="U191" s="58">
        <f>(H191*K191)+H191</f>
        <v>16115.916665999999</v>
      </c>
    </row>
    <row r="192" spans="1:21" x14ac:dyDescent="0.25">
      <c r="A192" s="2" t="s">
        <v>169</v>
      </c>
      <c r="B192" s="2" t="s">
        <v>12</v>
      </c>
      <c r="C192" s="42" t="str">
        <f t="shared" si="29"/>
        <v>Imperial|FIFCO</v>
      </c>
      <c r="D192" s="74">
        <v>1771</v>
      </c>
      <c r="E192" s="1">
        <v>1736</v>
      </c>
      <c r="F192" s="3">
        <v>-1.9762999999999999E-2</v>
      </c>
      <c r="G192" s="1">
        <v>294</v>
      </c>
      <c r="H192" s="94">
        <v>2065</v>
      </c>
      <c r="I192" s="178">
        <f t="shared" si="30"/>
        <v>2024.189678</v>
      </c>
      <c r="J192" s="96">
        <f t="shared" si="27"/>
        <v>-1.9762867796610184E-2</v>
      </c>
      <c r="K192" s="59">
        <f>_xlfn.XLOOKUP(C192,'2025 Goal Data'!C:C,'2025 Goal Data'!F:F,"")</f>
        <v>4.7E-2</v>
      </c>
      <c r="L192" s="54">
        <f t="shared" si="31"/>
        <v>97.055000000000007</v>
      </c>
      <c r="M192" s="87">
        <f t="shared" si="32"/>
        <v>-6.6762867796610184E-2</v>
      </c>
      <c r="N192" s="68">
        <f>_xlfn.XLOOKUP(C192,'2025 Goal Data'!C:C,'2025 Goal Data'!I:I,"")</f>
        <v>7.0000000000000007E-2</v>
      </c>
      <c r="O192" s="117">
        <f t="shared" si="33"/>
        <v>144.55000000000001</v>
      </c>
      <c r="P192" s="91">
        <f t="shared" si="34"/>
        <v>-8.9762867796610191E-2</v>
      </c>
      <c r="Q192" s="69">
        <f t="shared" si="39"/>
        <v>-2.3000000000000007E-2</v>
      </c>
      <c r="U192" s="58">
        <f>(H192*K192)+H192</f>
        <v>2162.0549999999998</v>
      </c>
    </row>
    <row r="193" spans="1:21" x14ac:dyDescent="0.25">
      <c r="A193" s="2" t="s">
        <v>193</v>
      </c>
      <c r="B193" s="2" t="s">
        <v>12</v>
      </c>
      <c r="C193" s="42" t="str">
        <f t="shared" si="29"/>
        <v>Honey Brown|FIFCO</v>
      </c>
      <c r="D193" s="74">
        <v>573</v>
      </c>
      <c r="E193" s="1">
        <v>105</v>
      </c>
      <c r="F193" s="3">
        <v>-0.81675399999999998</v>
      </c>
      <c r="G193" s="1">
        <v>128</v>
      </c>
      <c r="H193" s="94">
        <v>701</v>
      </c>
      <c r="I193" s="178">
        <f t="shared" si="30"/>
        <v>128.455488</v>
      </c>
      <c r="J193" s="96">
        <f t="shared" si="27"/>
        <v>-0.81675394008559199</v>
      </c>
      <c r="K193" s="59">
        <f>_xlfn.XLOOKUP(C193,'2025 Goal Data'!C:C,'2025 Goal Data'!F:F,"")</f>
        <v>0</v>
      </c>
      <c r="L193" s="54">
        <f t="shared" si="31"/>
        <v>0</v>
      </c>
      <c r="M193" s="87">
        <f t="shared" si="32"/>
        <v>-0.81675394008559199</v>
      </c>
      <c r="N193" s="68">
        <f>_xlfn.XLOOKUP(C193,'2025 Goal Data'!C:C,'2025 Goal Data'!I:I,"")</f>
        <v>0</v>
      </c>
      <c r="O193" s="117">
        <f t="shared" si="33"/>
        <v>0</v>
      </c>
      <c r="P193" s="91">
        <f t="shared" si="34"/>
        <v>-0.81675394008559199</v>
      </c>
      <c r="Q193" s="69">
        <f t="shared" si="39"/>
        <v>0</v>
      </c>
      <c r="U193" s="58">
        <f>(H193*K193)+H193</f>
        <v>701</v>
      </c>
    </row>
    <row r="194" spans="1:21" x14ac:dyDescent="0.25">
      <c r="A194" s="98" t="s">
        <v>13</v>
      </c>
      <c r="B194" s="99"/>
      <c r="C194" s="42" t="str">
        <f t="shared" si="29"/>
        <v>Athletic Brewing Company|</v>
      </c>
      <c r="D194" s="73">
        <v>15723</v>
      </c>
      <c r="E194" s="82">
        <v>19508</v>
      </c>
      <c r="F194" s="83">
        <v>0.24073</v>
      </c>
      <c r="G194" s="82">
        <v>2871</v>
      </c>
      <c r="H194" s="100">
        <v>18594</v>
      </c>
      <c r="I194" s="177">
        <f t="shared" si="30"/>
        <v>23070.135829999999</v>
      </c>
      <c r="J194" s="96">
        <f t="shared" si="27"/>
        <v>0.24073011885554485</v>
      </c>
      <c r="K194" s="101">
        <f>_xlfn.XLOOKUP(C194,'2025 Goal Data'!C:C,'2025 Goal Data'!F:F,"")</f>
        <v>0.68</v>
      </c>
      <c r="L194" s="112">
        <f t="shared" si="31"/>
        <v>12643.92</v>
      </c>
      <c r="M194" s="102">
        <f t="shared" si="32"/>
        <v>-0.4392698811444552</v>
      </c>
      <c r="N194" s="103">
        <f>_xlfn.XLOOKUP(C194,'2025 Goal Data'!C:C,'2025 Goal Data'!I:I,"")</f>
        <v>0.5</v>
      </c>
      <c r="O194" s="116">
        <f t="shared" si="33"/>
        <v>9297</v>
      </c>
      <c r="P194" s="104">
        <f t="shared" si="34"/>
        <v>-0.25926988114445515</v>
      </c>
      <c r="Q194" s="67">
        <f t="shared" si="39"/>
        <v>0.18000000000000005</v>
      </c>
      <c r="U194" s="57">
        <f>SUMIF(B:B,A194,K:K)</f>
        <v>0.68</v>
      </c>
    </row>
    <row r="195" spans="1:21" x14ac:dyDescent="0.25">
      <c r="A195" s="2" t="s">
        <v>62</v>
      </c>
      <c r="B195" s="2" t="s">
        <v>13</v>
      </c>
      <c r="C195" s="42" t="str">
        <f t="shared" si="29"/>
        <v>Athletic|Athletic Brewing Company</v>
      </c>
      <c r="D195" s="74">
        <v>15723</v>
      </c>
      <c r="E195" s="1">
        <v>19508</v>
      </c>
      <c r="F195" s="3">
        <v>0.24073</v>
      </c>
      <c r="G195" s="1">
        <v>2871</v>
      </c>
      <c r="H195" s="94">
        <v>18594</v>
      </c>
      <c r="I195" s="178">
        <f t="shared" si="30"/>
        <v>23070.135829999999</v>
      </c>
      <c r="J195" s="96">
        <f t="shared" ref="J195:J258" si="40">IFERROR((I195/H195)-1,0)</f>
        <v>0.24073011885554485</v>
      </c>
      <c r="K195" s="59">
        <f>_xlfn.XLOOKUP(C195,'2025 Goal Data'!C:C,'2025 Goal Data'!F:F,"")</f>
        <v>0.68</v>
      </c>
      <c r="L195" s="54">
        <f t="shared" si="31"/>
        <v>12643.92</v>
      </c>
      <c r="M195" s="87">
        <f t="shared" si="32"/>
        <v>-0.4392698811444552</v>
      </c>
      <c r="N195" s="68">
        <f>_xlfn.XLOOKUP(C195,'2025 Goal Data'!C:C,'2025 Goal Data'!I:I,"")</f>
        <v>0.5</v>
      </c>
      <c r="O195" s="117">
        <f t="shared" si="33"/>
        <v>9297</v>
      </c>
      <c r="P195" s="91">
        <f t="shared" si="34"/>
        <v>-0.25926988114445515</v>
      </c>
      <c r="Q195" s="69">
        <f t="shared" si="39"/>
        <v>0.18000000000000005</v>
      </c>
      <c r="U195" s="58">
        <f>(H195*K195)+H195</f>
        <v>31237.919999999998</v>
      </c>
    </row>
    <row r="196" spans="1:21" x14ac:dyDescent="0.25">
      <c r="A196" s="98" t="s">
        <v>63</v>
      </c>
      <c r="B196" s="99"/>
      <c r="C196" s="42" t="str">
        <f t="shared" ref="C196:C259" si="41">A196&amp;"|"&amp;B196</f>
        <v>Phusion Projects|</v>
      </c>
      <c r="D196" s="73">
        <v>13846.656392999999</v>
      </c>
      <c r="E196" s="82">
        <v>18691.192985000001</v>
      </c>
      <c r="F196" s="83">
        <v>0.34987000000000001</v>
      </c>
      <c r="G196" s="82">
        <v>2526.1048900000001</v>
      </c>
      <c r="H196" s="100">
        <v>16372.761283</v>
      </c>
      <c r="I196" s="177">
        <f t="shared" ref="I196:I259" si="42">((G196*F196)+G196)+E196</f>
        <v>22101.106192864303</v>
      </c>
      <c r="J196" s="96">
        <f t="shared" si="40"/>
        <v>0.34987042263983303</v>
      </c>
      <c r="K196" s="101">
        <f>_xlfn.XLOOKUP(C196,'2025 Goal Data'!C:C,'2025 Goal Data'!F:F,"")</f>
        <v>4.0976082360678914E-2</v>
      </c>
      <c r="L196" s="112">
        <f t="shared" si="31"/>
        <v>670.89161480394296</v>
      </c>
      <c r="M196" s="102">
        <f t="shared" si="32"/>
        <v>0.30889434027915413</v>
      </c>
      <c r="N196" s="103">
        <f>_xlfn.XLOOKUP(C196,'2025 Goal Data'!C:C,'2025 Goal Data'!I:I,"")</f>
        <v>4.0976082360678914E-2</v>
      </c>
      <c r="O196" s="116">
        <f t="shared" si="33"/>
        <v>670.89161480394296</v>
      </c>
      <c r="P196" s="104">
        <f t="shared" si="34"/>
        <v>0.30889434027915413</v>
      </c>
      <c r="Q196" s="67">
        <f t="shared" si="39"/>
        <v>0</v>
      </c>
      <c r="U196" s="57">
        <f>SUMIF(B:B,A196,K:K)</f>
        <v>-1.65</v>
      </c>
    </row>
    <row r="197" spans="1:21" x14ac:dyDescent="0.25">
      <c r="A197" s="2" t="s">
        <v>64</v>
      </c>
      <c r="B197" s="2" t="s">
        <v>63</v>
      </c>
      <c r="C197" s="42" t="str">
        <f t="shared" si="41"/>
        <v>Four Loko|Phusion Projects</v>
      </c>
      <c r="D197" s="74">
        <v>10894.212041999999</v>
      </c>
      <c r="E197" s="1">
        <v>16112.192985</v>
      </c>
      <c r="F197" s="3">
        <v>0.478968</v>
      </c>
      <c r="G197" s="1">
        <v>2125.771557</v>
      </c>
      <c r="H197" s="94">
        <v>13019.983598999999</v>
      </c>
      <c r="I197" s="178">
        <f t="shared" si="42"/>
        <v>19256.141093113176</v>
      </c>
      <c r="J197" s="96">
        <f t="shared" si="40"/>
        <v>0.47896815281642491</v>
      </c>
      <c r="K197" s="59">
        <f>_xlfn.XLOOKUP(C197,'2025 Goal Data'!C:C,'2025 Goal Data'!F:F,"")</f>
        <v>0.05</v>
      </c>
      <c r="L197" s="54">
        <f t="shared" ref="L197:L260" si="43">IFERROR(K197*H197,0)</f>
        <v>650.99917994999998</v>
      </c>
      <c r="M197" s="87">
        <f t="shared" ref="M197:M260" si="44">IFERROR(J197-K197,0)</f>
        <v>0.42896815281642492</v>
      </c>
      <c r="N197" s="68">
        <f>_xlfn.XLOOKUP(C197,'2025 Goal Data'!C:C,'2025 Goal Data'!I:I,"")</f>
        <v>0.05</v>
      </c>
      <c r="O197" s="117">
        <f t="shared" si="33"/>
        <v>650.99917994999998</v>
      </c>
      <c r="P197" s="91">
        <f t="shared" si="34"/>
        <v>0.42896815281642492</v>
      </c>
      <c r="Q197" s="69">
        <f t="shared" si="39"/>
        <v>0</v>
      </c>
      <c r="U197" s="58">
        <f>(H197*K197)+H197</f>
        <v>13670.98277895</v>
      </c>
    </row>
    <row r="198" spans="1:21" x14ac:dyDescent="0.25">
      <c r="A198" s="2" t="s">
        <v>115</v>
      </c>
      <c r="B198" s="2" t="s">
        <v>63</v>
      </c>
      <c r="C198" s="42" t="str">
        <f t="shared" si="41"/>
        <v>Earthquake|Phusion Projects</v>
      </c>
      <c r="D198" s="74">
        <v>1265</v>
      </c>
      <c r="E198" s="1">
        <v>1408</v>
      </c>
      <c r="F198" s="3">
        <v>0.113043</v>
      </c>
      <c r="G198" s="1">
        <v>284</v>
      </c>
      <c r="H198" s="94">
        <v>1549</v>
      </c>
      <c r="I198" s="178">
        <f t="shared" si="42"/>
        <v>1724.104212</v>
      </c>
      <c r="J198" s="96">
        <f t="shared" si="40"/>
        <v>0.11304339057456425</v>
      </c>
      <c r="K198" s="59">
        <f>_xlfn.XLOOKUP(C198,'2025 Goal Data'!C:C,'2025 Goal Data'!F:F,"")</f>
        <v>0.03</v>
      </c>
      <c r="L198" s="54">
        <f t="shared" si="43"/>
        <v>46.47</v>
      </c>
      <c r="M198" s="87">
        <f t="shared" si="44"/>
        <v>8.3043390574564252E-2</v>
      </c>
      <c r="N198" s="68">
        <f>_xlfn.XLOOKUP(C198,'2025 Goal Data'!C:C,'2025 Goal Data'!I:I,"")</f>
        <v>0.03</v>
      </c>
      <c r="O198" s="117">
        <f t="shared" ref="O198:O261" si="45">IFERROR(N198*H198,0)</f>
        <v>46.47</v>
      </c>
      <c r="P198" s="91">
        <f t="shared" ref="P198:P261" si="46">IFERROR(J198-N198,0)</f>
        <v>8.3043390574564252E-2</v>
      </c>
      <c r="Q198" s="69">
        <f t="shared" si="39"/>
        <v>0</v>
      </c>
      <c r="U198" s="58">
        <f>(H198*K198)+H198</f>
        <v>1595.47</v>
      </c>
    </row>
    <row r="199" spans="1:21" x14ac:dyDescent="0.25">
      <c r="A199" s="2" t="s">
        <v>42</v>
      </c>
      <c r="B199" s="2" t="s">
        <v>63</v>
      </c>
      <c r="C199" s="42" t="str">
        <f t="shared" si="41"/>
        <v>Mamita's|Phusion Projects</v>
      </c>
      <c r="D199" s="74">
        <v>1525</v>
      </c>
      <c r="E199" s="1">
        <v>1171</v>
      </c>
      <c r="F199" s="3">
        <v>-0.232131</v>
      </c>
      <c r="G199" s="1">
        <v>115</v>
      </c>
      <c r="H199" s="94">
        <v>1640</v>
      </c>
      <c r="I199" s="178">
        <f t="shared" si="42"/>
        <v>1259.3049350000001</v>
      </c>
      <c r="J199" s="96">
        <f t="shared" si="40"/>
        <v>-0.23213113719512191</v>
      </c>
      <c r="K199" s="59">
        <f>_xlfn.XLOOKUP(C199,'2025 Goal Data'!C:C,'2025 Goal Data'!F:F,"")</f>
        <v>7.0000000000000007E-2</v>
      </c>
      <c r="L199" s="54">
        <f t="shared" si="43"/>
        <v>114.80000000000001</v>
      </c>
      <c r="M199" s="87">
        <f t="shared" si="44"/>
        <v>-0.30213113719512191</v>
      </c>
      <c r="N199" s="68">
        <f>_xlfn.XLOOKUP(C199,'2025 Goal Data'!C:C,'2025 Goal Data'!I:I,"")</f>
        <v>7.0000000000000007E-2</v>
      </c>
      <c r="O199" s="117">
        <f t="shared" si="45"/>
        <v>114.80000000000001</v>
      </c>
      <c r="P199" s="91">
        <f t="shared" si="46"/>
        <v>-0.30213113719512191</v>
      </c>
      <c r="Q199" s="69">
        <f t="shared" si="39"/>
        <v>0</v>
      </c>
      <c r="U199" s="58">
        <f>(H199*K199)+H199</f>
        <v>1754.8</v>
      </c>
    </row>
    <row r="200" spans="1:21" x14ac:dyDescent="0.25">
      <c r="A200" s="128" t="s">
        <v>320</v>
      </c>
      <c r="B200" s="2" t="s">
        <v>63</v>
      </c>
      <c r="C200" s="42" t="str">
        <f t="shared" si="41"/>
        <v>Pirate Water|Phusion Projects</v>
      </c>
      <c r="D200" s="74">
        <v>110.666639</v>
      </c>
      <c r="E200" s="1">
        <v>0</v>
      </c>
      <c r="F200" s="3">
        <v>-1</v>
      </c>
      <c r="G200" s="1">
        <v>1.3333330000000001</v>
      </c>
      <c r="H200" s="94">
        <v>111.999972</v>
      </c>
      <c r="I200" s="178">
        <f t="shared" si="42"/>
        <v>0</v>
      </c>
      <c r="J200" s="96">
        <f t="shared" si="40"/>
        <v>-1</v>
      </c>
      <c r="K200" s="59">
        <f>_xlfn.XLOOKUP(C200,'2025 Goal Data'!C:C,'2025 Goal Data'!F:F,"")</f>
        <v>-0.8</v>
      </c>
      <c r="L200" s="54">
        <f t="shared" si="43"/>
        <v>-89.599977600000003</v>
      </c>
      <c r="M200" s="87">
        <f t="shared" si="44"/>
        <v>-0.19999999999999996</v>
      </c>
      <c r="N200" s="68">
        <f>_xlfn.XLOOKUP(C200,'2025 Goal Data'!C:C,'2025 Goal Data'!I:I,"")</f>
        <v>-0.8</v>
      </c>
      <c r="O200" s="117">
        <f t="shared" si="45"/>
        <v>-89.599977600000003</v>
      </c>
      <c r="P200" s="91">
        <f t="shared" si="46"/>
        <v>-0.19999999999999996</v>
      </c>
      <c r="Q200" s="69">
        <f t="shared" si="39"/>
        <v>0</v>
      </c>
      <c r="U200" s="58">
        <f>(H200*K200)+H200</f>
        <v>22.399994399999997</v>
      </c>
    </row>
    <row r="201" spans="1:21" x14ac:dyDescent="0.25">
      <c r="A201" s="128" t="s">
        <v>116</v>
      </c>
      <c r="B201" s="2" t="s">
        <v>63</v>
      </c>
      <c r="C201" s="42" t="str">
        <f t="shared" si="41"/>
        <v>Basic|Phusion Projects</v>
      </c>
      <c r="D201" s="74">
        <v>51.777712000000001</v>
      </c>
      <c r="E201" s="1">
        <v>0</v>
      </c>
      <c r="F201" s="3">
        <v>-1</v>
      </c>
      <c r="G201" s="1">
        <v>0</v>
      </c>
      <c r="H201" s="94">
        <v>51.777712000000001</v>
      </c>
      <c r="I201" s="178">
        <f t="shared" si="42"/>
        <v>0</v>
      </c>
      <c r="J201" s="96">
        <f t="shared" si="40"/>
        <v>-1</v>
      </c>
      <c r="K201" s="59">
        <f>_xlfn.XLOOKUP(C201,'2025 Goal Data'!C:C,'2025 Goal Data'!F:F,"")</f>
        <v>-1</v>
      </c>
      <c r="L201" s="54">
        <f t="shared" si="43"/>
        <v>-51.777712000000001</v>
      </c>
      <c r="M201" s="87">
        <f t="shared" si="44"/>
        <v>0</v>
      </c>
      <c r="N201" s="68">
        <f>_xlfn.XLOOKUP(C201,'2025 Goal Data'!C:C,'2025 Goal Data'!I:I,"")</f>
        <v>-1</v>
      </c>
      <c r="O201" s="117">
        <f t="shared" si="45"/>
        <v>-51.777712000000001</v>
      </c>
      <c r="P201" s="91">
        <f t="shared" si="46"/>
        <v>0</v>
      </c>
      <c r="Q201" s="69">
        <f t="shared" si="39"/>
        <v>0</v>
      </c>
      <c r="U201" s="58">
        <f>(H201*K201)+H201</f>
        <v>0</v>
      </c>
    </row>
    <row r="202" spans="1:21" x14ac:dyDescent="0.25">
      <c r="A202" s="98" t="s">
        <v>266</v>
      </c>
      <c r="B202" s="99"/>
      <c r="C202" s="42" t="str">
        <f t="shared" si="41"/>
        <v>Paulaner|</v>
      </c>
      <c r="D202" s="73">
        <v>14564.406451999999</v>
      </c>
      <c r="E202" s="82">
        <v>13999.002603999999</v>
      </c>
      <c r="F202" s="83">
        <v>-3.8821000000000001E-2</v>
      </c>
      <c r="G202" s="82">
        <v>2406.4044260000001</v>
      </c>
      <c r="H202" s="100">
        <v>16970.810878</v>
      </c>
      <c r="I202" s="177">
        <f t="shared" si="42"/>
        <v>16311.988003778253</v>
      </c>
      <c r="J202" s="96">
        <f t="shared" si="40"/>
        <v>-3.882094255589208E-2</v>
      </c>
      <c r="K202" s="101">
        <f>_xlfn.XLOOKUP(C202,'2025 Goal Data'!C:C,'2025 Goal Data'!F:F,"")</f>
        <v>9.2871412575873669E-2</v>
      </c>
      <c r="L202" s="112">
        <f t="shared" si="43"/>
        <v>1576.1031787978629</v>
      </c>
      <c r="M202" s="102">
        <f t="shared" si="44"/>
        <v>-0.13169235513176575</v>
      </c>
      <c r="N202" s="103">
        <f>_xlfn.XLOOKUP(C202,'2025 Goal Data'!C:C,'2025 Goal Data'!I:I,"")</f>
        <v>7.7717543756261429E-2</v>
      </c>
      <c r="O202" s="116">
        <f t="shared" si="45"/>
        <v>1318.9297369902024</v>
      </c>
      <c r="P202" s="104">
        <f t="shared" si="46"/>
        <v>-0.11653848631215351</v>
      </c>
      <c r="Q202" s="67">
        <f t="shared" si="39"/>
        <v>1.515386881961224E-2</v>
      </c>
      <c r="U202" s="57">
        <f>SUMIF(B:B,A202,K:K)</f>
        <v>0.93300000000000005</v>
      </c>
    </row>
    <row r="203" spans="1:21" x14ac:dyDescent="0.25">
      <c r="A203" s="2" t="s">
        <v>266</v>
      </c>
      <c r="B203" s="2" t="s">
        <v>266</v>
      </c>
      <c r="C203" s="42" t="str">
        <f t="shared" si="41"/>
        <v>Paulaner|Paulaner</v>
      </c>
      <c r="D203" s="74">
        <v>7490.0530820000004</v>
      </c>
      <c r="E203" s="1">
        <v>8158.3446020000001</v>
      </c>
      <c r="F203" s="3">
        <v>8.9223999999999998E-2</v>
      </c>
      <c r="G203" s="1">
        <v>1090.362654</v>
      </c>
      <c r="H203" s="94">
        <v>8580.4157360000008</v>
      </c>
      <c r="I203" s="178">
        <f t="shared" si="42"/>
        <v>9345.9937734404957</v>
      </c>
      <c r="J203" s="96">
        <f t="shared" si="40"/>
        <v>8.9223886230644478E-2</v>
      </c>
      <c r="K203" s="59">
        <f>_xlfn.XLOOKUP(C203,'2025 Goal Data'!C:C,'2025 Goal Data'!F:F,"")</f>
        <v>0.1</v>
      </c>
      <c r="L203" s="54">
        <f t="shared" si="43"/>
        <v>858.04157360000011</v>
      </c>
      <c r="M203" s="87">
        <f t="shared" si="44"/>
        <v>-1.0776113769355528E-2</v>
      </c>
      <c r="N203" s="68">
        <f>_xlfn.XLOOKUP(C203,'2025 Goal Data'!C:C,'2025 Goal Data'!I:I,"")</f>
        <v>0.1</v>
      </c>
      <c r="O203" s="117">
        <f t="shared" si="45"/>
        <v>858.04157360000011</v>
      </c>
      <c r="P203" s="91">
        <f t="shared" si="46"/>
        <v>-1.0776113769355528E-2</v>
      </c>
      <c r="Q203" s="69">
        <f t="shared" si="39"/>
        <v>0</v>
      </c>
      <c r="U203" s="58">
        <f>(H203*K203)+H203</f>
        <v>9438.4573096000004</v>
      </c>
    </row>
    <row r="204" spans="1:21" x14ac:dyDescent="0.25">
      <c r="A204" s="2" t="s">
        <v>222</v>
      </c>
      <c r="B204" s="2" t="s">
        <v>266</v>
      </c>
      <c r="C204" s="42" t="str">
        <f t="shared" si="41"/>
        <v>Tsingtao|Paulaner</v>
      </c>
      <c r="D204" s="74">
        <v>2785.9513900000002</v>
      </c>
      <c r="E204" s="1">
        <v>2981.1492939999998</v>
      </c>
      <c r="F204" s="3">
        <v>7.0065000000000002E-2</v>
      </c>
      <c r="G204" s="1">
        <v>938.34027000000003</v>
      </c>
      <c r="H204" s="94">
        <v>3724.2916599999999</v>
      </c>
      <c r="I204" s="178">
        <f>((G204*F204)+G204)+E204</f>
        <v>3985.2343750175496</v>
      </c>
      <c r="J204" s="96">
        <f t="shared" si="40"/>
        <v>7.0065059033950661E-2</v>
      </c>
      <c r="K204" s="59">
        <f>_xlfn.XLOOKUP(C204,'2025 Goal Data'!C:C,'2025 Goal Data'!F:F,"")</f>
        <v>0.10299999999999999</v>
      </c>
      <c r="L204" s="54">
        <f t="shared" si="43"/>
        <v>383.60204097999997</v>
      </c>
      <c r="M204" s="87">
        <f t="shared" si="44"/>
        <v>-3.2934940966049334E-2</v>
      </c>
      <c r="N204" s="68">
        <f>_xlfn.XLOOKUP(C204,'2025 Goal Data'!C:C,'2025 Goal Data'!I:I,"")</f>
        <v>0.05</v>
      </c>
      <c r="O204" s="117">
        <f t="shared" si="45"/>
        <v>186.214583</v>
      </c>
      <c r="P204" s="91">
        <f t="shared" si="46"/>
        <v>2.0065059033950658E-2</v>
      </c>
      <c r="Q204" s="69">
        <f t="shared" si="39"/>
        <v>5.2999999999999992E-2</v>
      </c>
      <c r="U204" s="58">
        <f>(H204*K204)+H204</f>
        <v>4107.8937009800002</v>
      </c>
    </row>
    <row r="205" spans="1:21" x14ac:dyDescent="0.25">
      <c r="A205" s="2" t="s">
        <v>194</v>
      </c>
      <c r="B205" s="2" t="s">
        <v>266</v>
      </c>
      <c r="C205" s="42" t="str">
        <f t="shared" si="41"/>
        <v>Hacker-Pschorr|Paulaner</v>
      </c>
      <c r="D205" s="74">
        <v>4223.0200199999999</v>
      </c>
      <c r="E205" s="1">
        <v>2742.755208</v>
      </c>
      <c r="F205" s="3">
        <v>-0.35052299999999997</v>
      </c>
      <c r="G205" s="1">
        <v>375.83344599999998</v>
      </c>
      <c r="H205" s="94">
        <v>4598.8534659999996</v>
      </c>
      <c r="I205" s="178">
        <f t="shared" si="42"/>
        <v>2986.850387007742</v>
      </c>
      <c r="J205" s="96">
        <f t="shared" si="40"/>
        <v>-0.35052281854815193</v>
      </c>
      <c r="K205" s="59">
        <f>_xlfn.XLOOKUP(C205,'2025 Goal Data'!C:C,'2025 Goal Data'!F:F,"")</f>
        <v>6.3E-2</v>
      </c>
      <c r="L205" s="54">
        <f t="shared" si="43"/>
        <v>289.72776835799999</v>
      </c>
      <c r="M205" s="87">
        <f t="shared" si="44"/>
        <v>-0.41352281854815193</v>
      </c>
      <c r="N205" s="68">
        <f>_xlfn.XLOOKUP(C205,'2025 Goal Data'!C:C,'2025 Goal Data'!I:I,"")</f>
        <v>0.05</v>
      </c>
      <c r="O205" s="117">
        <f t="shared" si="45"/>
        <v>229.9426733</v>
      </c>
      <c r="P205" s="91">
        <f t="shared" si="46"/>
        <v>-0.40052281854815192</v>
      </c>
      <c r="Q205" s="69">
        <f t="shared" si="39"/>
        <v>1.3000000000000012E-2</v>
      </c>
      <c r="U205" s="58">
        <f>(H205*K205)+H205</f>
        <v>4888.5812343579992</v>
      </c>
    </row>
    <row r="206" spans="1:21" x14ac:dyDescent="0.25">
      <c r="A206" s="2" t="s">
        <v>43</v>
      </c>
      <c r="B206" s="2" t="s">
        <v>266</v>
      </c>
      <c r="C206" s="42" t="str">
        <f t="shared" si="41"/>
        <v>Fuller's|Paulaner</v>
      </c>
      <c r="D206" s="74">
        <v>65.381960000000007</v>
      </c>
      <c r="E206" s="1">
        <v>116.7535</v>
      </c>
      <c r="F206" s="3">
        <v>0.78571400000000002</v>
      </c>
      <c r="G206" s="1">
        <v>1.8680559999999999</v>
      </c>
      <c r="H206" s="94">
        <v>67.250016000000002</v>
      </c>
      <c r="I206" s="178">
        <f t="shared" si="42"/>
        <v>120.08931375198401</v>
      </c>
      <c r="J206" s="96">
        <f t="shared" si="40"/>
        <v>0.78571427777777791</v>
      </c>
      <c r="K206" s="59">
        <f>_xlfn.XLOOKUP(C206,'2025 Goal Data'!C:C,'2025 Goal Data'!F:F,"")</f>
        <v>0.66700000000000004</v>
      </c>
      <c r="L206" s="54">
        <f t="shared" si="43"/>
        <v>44.855760672000002</v>
      </c>
      <c r="M206" s="87">
        <f t="shared" si="44"/>
        <v>0.11871427777777788</v>
      </c>
      <c r="N206" s="68">
        <f>_xlfn.XLOOKUP(C206,'2025 Goal Data'!C:C,'2025 Goal Data'!I:I,"")</f>
        <v>0.66700000000000004</v>
      </c>
      <c r="O206" s="117">
        <f t="shared" si="45"/>
        <v>44.855760672000002</v>
      </c>
      <c r="P206" s="91">
        <f t="shared" si="46"/>
        <v>0.11871427777777788</v>
      </c>
      <c r="Q206" s="69">
        <f t="shared" si="39"/>
        <v>0</v>
      </c>
      <c r="U206" s="58">
        <f>(H206*K206)+H206</f>
        <v>112.105776672</v>
      </c>
    </row>
    <row r="207" spans="1:21" x14ac:dyDescent="0.25">
      <c r="A207" s="98" t="s">
        <v>141</v>
      </c>
      <c r="B207" s="99"/>
      <c r="C207" s="42" t="str">
        <f t="shared" si="41"/>
        <v>Pride &amp; Clarke|</v>
      </c>
      <c r="D207" s="73">
        <v>11835.892612</v>
      </c>
      <c r="E207" s="82">
        <v>10877.074226000001</v>
      </c>
      <c r="F207" s="83">
        <v>-8.1008999999999998E-2</v>
      </c>
      <c r="G207" s="82">
        <v>2142.4926660000001</v>
      </c>
      <c r="H207" s="100">
        <v>13978.385278</v>
      </c>
      <c r="I207" s="177">
        <f t="shared" si="42"/>
        <v>12846.005703620007</v>
      </c>
      <c r="J207" s="96">
        <f t="shared" si="40"/>
        <v>-8.1009326317696972E-2</v>
      </c>
      <c r="K207" s="101">
        <f>_xlfn.XLOOKUP(C207,'2025 Goal Data'!C:C,'2025 Goal Data'!F:F,"")</f>
        <v>5.000000000000001E-2</v>
      </c>
      <c r="L207" s="112">
        <f t="shared" si="43"/>
        <v>698.91926390000015</v>
      </c>
      <c r="M207" s="102">
        <f t="shared" si="44"/>
        <v>-0.13100932631769699</v>
      </c>
      <c r="N207" s="103">
        <f>_xlfn.XLOOKUP(C207,'2025 Goal Data'!C:C,'2025 Goal Data'!I:I,"")</f>
        <v>5.000000000000001E-2</v>
      </c>
      <c r="O207" s="116">
        <f t="shared" si="45"/>
        <v>698.91926390000015</v>
      </c>
      <c r="P207" s="104">
        <f t="shared" si="46"/>
        <v>-0.13100932631769699</v>
      </c>
      <c r="Q207" s="67">
        <f t="shared" si="39"/>
        <v>0</v>
      </c>
      <c r="U207" s="57">
        <f>SUMIF(B:B,A207,K:K)</f>
        <v>0.05</v>
      </c>
    </row>
    <row r="208" spans="1:21" x14ac:dyDescent="0.25">
      <c r="A208" s="2" t="s">
        <v>141</v>
      </c>
      <c r="B208" s="2" t="s">
        <v>141</v>
      </c>
      <c r="C208" s="42" t="str">
        <f t="shared" si="41"/>
        <v>Pride &amp; Clarke|Pride &amp; Clarke</v>
      </c>
      <c r="D208" s="74">
        <v>11835.892612</v>
      </c>
      <c r="E208" s="1">
        <v>10877.074226000001</v>
      </c>
      <c r="F208" s="3">
        <v>-8.1008999999999998E-2</v>
      </c>
      <c r="G208" s="1">
        <v>2142.4926660000001</v>
      </c>
      <c r="H208" s="94">
        <v>13978.385278</v>
      </c>
      <c r="I208" s="178">
        <f t="shared" si="42"/>
        <v>12846.005703620007</v>
      </c>
      <c r="J208" s="96">
        <f t="shared" si="40"/>
        <v>-8.1009326317696972E-2</v>
      </c>
      <c r="K208" s="59">
        <f>_xlfn.XLOOKUP(C208,'2025 Goal Data'!C:C,'2025 Goal Data'!F:F,"")</f>
        <v>0.05</v>
      </c>
      <c r="L208" s="54">
        <f t="shared" si="43"/>
        <v>698.91926390000003</v>
      </c>
      <c r="M208" s="87">
        <f t="shared" si="44"/>
        <v>-0.13100932631769696</v>
      </c>
      <c r="N208" s="68">
        <f>_xlfn.XLOOKUP(C208,'2025 Goal Data'!C:C,'2025 Goal Data'!I:I,"")</f>
        <v>0.05</v>
      </c>
      <c r="O208" s="117">
        <f t="shared" si="45"/>
        <v>698.91926390000003</v>
      </c>
      <c r="P208" s="91">
        <f t="shared" si="46"/>
        <v>-0.13100932631769696</v>
      </c>
      <c r="Q208" s="69">
        <f t="shared" si="39"/>
        <v>0</v>
      </c>
      <c r="U208" s="58">
        <f>(H208*K208)+H208</f>
        <v>14677.304541899999</v>
      </c>
    </row>
    <row r="209" spans="1:21" x14ac:dyDescent="0.25">
      <c r="A209" s="98" t="s">
        <v>14</v>
      </c>
      <c r="B209" s="99"/>
      <c r="C209" s="42" t="str">
        <f t="shared" si="41"/>
        <v>Hofbrauhaus USA|</v>
      </c>
      <c r="D209" s="73">
        <v>14665.146384</v>
      </c>
      <c r="E209" s="82">
        <v>14966.708248000001</v>
      </c>
      <c r="F209" s="83">
        <v>2.0563000000000001E-2</v>
      </c>
      <c r="G209" s="82">
        <v>1979.9091559999999</v>
      </c>
      <c r="H209" s="100">
        <v>16645.055540000001</v>
      </c>
      <c r="I209" s="177">
        <f t="shared" si="42"/>
        <v>16987.330275974829</v>
      </c>
      <c r="J209" s="96">
        <f t="shared" si="40"/>
        <v>2.0563147725899844E-2</v>
      </c>
      <c r="K209" s="101">
        <f>_xlfn.XLOOKUP(C209,'2025 Goal Data'!C:C,'2025 Goal Data'!F:F,"")</f>
        <v>0.05</v>
      </c>
      <c r="L209" s="112">
        <f t="shared" si="43"/>
        <v>832.25277700000015</v>
      </c>
      <c r="M209" s="102">
        <f t="shared" si="44"/>
        <v>-2.9436852274100159E-2</v>
      </c>
      <c r="N209" s="103">
        <f>_xlfn.XLOOKUP(C209,'2025 Goal Data'!C:C,'2025 Goal Data'!I:I,"")</f>
        <v>0.03</v>
      </c>
      <c r="O209" s="116">
        <f t="shared" si="45"/>
        <v>499.35166620000001</v>
      </c>
      <c r="P209" s="104">
        <f t="shared" si="46"/>
        <v>-9.4368522741001548E-3</v>
      </c>
      <c r="Q209" s="67">
        <f t="shared" si="39"/>
        <v>2.0000000000000004E-2</v>
      </c>
      <c r="U209" s="57">
        <f>SUMIF(B:B,A209,K:K)</f>
        <v>0.05</v>
      </c>
    </row>
    <row r="210" spans="1:21" x14ac:dyDescent="0.25">
      <c r="A210" s="2" t="s">
        <v>142</v>
      </c>
      <c r="B210" s="2" t="s">
        <v>14</v>
      </c>
      <c r="C210" s="42" t="str">
        <f t="shared" si="41"/>
        <v>Hofbrau Usa|Hofbrauhaus USA</v>
      </c>
      <c r="D210" s="74">
        <v>14665.146384</v>
      </c>
      <c r="E210" s="1">
        <v>14966.708248000001</v>
      </c>
      <c r="F210" s="3">
        <v>2.0563000000000001E-2</v>
      </c>
      <c r="G210" s="1">
        <v>1979.9091559999999</v>
      </c>
      <c r="H210" s="94">
        <v>16645.055540000001</v>
      </c>
      <c r="I210" s="178">
        <f t="shared" si="42"/>
        <v>16987.330275974829</v>
      </c>
      <c r="J210" s="96">
        <f t="shared" si="40"/>
        <v>2.0563147725899844E-2</v>
      </c>
      <c r="K210" s="59">
        <f>_xlfn.XLOOKUP(C210,'2025 Goal Data'!C:C,'2025 Goal Data'!F:F,"")</f>
        <v>0.05</v>
      </c>
      <c r="L210" s="54">
        <f t="shared" si="43"/>
        <v>832.25277700000015</v>
      </c>
      <c r="M210" s="87">
        <f t="shared" si="44"/>
        <v>-2.9436852274100159E-2</v>
      </c>
      <c r="N210" s="68">
        <f>_xlfn.XLOOKUP(C210,'2025 Goal Data'!C:C,'2025 Goal Data'!I:I,"")</f>
        <v>0.03</v>
      </c>
      <c r="O210" s="117">
        <f t="shared" si="45"/>
        <v>499.35166620000001</v>
      </c>
      <c r="P210" s="91">
        <f t="shared" si="46"/>
        <v>-9.4368522741001548E-3</v>
      </c>
      <c r="Q210" s="69">
        <f t="shared" si="39"/>
        <v>2.0000000000000004E-2</v>
      </c>
      <c r="U210" s="58">
        <f>(H210*K210)+H210</f>
        <v>17477.308317000003</v>
      </c>
    </row>
    <row r="211" spans="1:21" x14ac:dyDescent="0.25">
      <c r="A211" s="98" t="s">
        <v>249</v>
      </c>
      <c r="B211" s="99"/>
      <c r="C211" s="42" t="str">
        <f t="shared" si="41"/>
        <v>Garage Beer|</v>
      </c>
      <c r="D211" s="73">
        <v>2384.0638100000001</v>
      </c>
      <c r="E211" s="82">
        <v>11398.777419</v>
      </c>
      <c r="F211" s="83">
        <v>3.7812380000000001</v>
      </c>
      <c r="G211" s="82">
        <v>1684.391605</v>
      </c>
      <c r="H211" s="100">
        <v>4068.4554149999999</v>
      </c>
      <c r="I211" s="177">
        <f t="shared" si="42"/>
        <v>19452.25456770699</v>
      </c>
      <c r="J211" s="96">
        <f t="shared" si="40"/>
        <v>3.7812382301126899</v>
      </c>
      <c r="K211" s="101">
        <f>_xlfn.XLOOKUP(C211,'2025 Goal Data'!C:C,'2025 Goal Data'!F:F,"")</f>
        <v>2.5</v>
      </c>
      <c r="L211" s="112">
        <f t="shared" si="43"/>
        <v>10171.138537499999</v>
      </c>
      <c r="M211" s="102">
        <f t="shared" si="44"/>
        <v>1.2812382301126899</v>
      </c>
      <c r="N211" s="103">
        <f>_xlfn.XLOOKUP(C211,'2025 Goal Data'!C:C,'2025 Goal Data'!I:I,"")</f>
        <v>2.5</v>
      </c>
      <c r="O211" s="116">
        <f t="shared" si="45"/>
        <v>10171.138537499999</v>
      </c>
      <c r="P211" s="104">
        <f t="shared" si="46"/>
        <v>1.2812382301126899</v>
      </c>
      <c r="Q211" s="67">
        <f t="shared" si="39"/>
        <v>0</v>
      </c>
      <c r="U211" s="57">
        <f>SUMIF(B:B,A211,K:K)</f>
        <v>2.5</v>
      </c>
    </row>
    <row r="212" spans="1:21" x14ac:dyDescent="0.25">
      <c r="A212" s="2" t="s">
        <v>249</v>
      </c>
      <c r="B212" s="2" t="s">
        <v>249</v>
      </c>
      <c r="C212" s="42" t="str">
        <f t="shared" si="41"/>
        <v>Garage Beer|Garage Beer</v>
      </c>
      <c r="D212" s="74">
        <v>2384.0638100000001</v>
      </c>
      <c r="E212" s="1">
        <v>11398.777419</v>
      </c>
      <c r="F212" s="3">
        <v>3.7812380000000001</v>
      </c>
      <c r="G212" s="1">
        <v>1684.391605</v>
      </c>
      <c r="H212" s="94">
        <v>4068.4554149999999</v>
      </c>
      <c r="I212" s="178">
        <f t="shared" si="42"/>
        <v>19452.25456770699</v>
      </c>
      <c r="J212" s="96">
        <f t="shared" si="40"/>
        <v>3.7812382301126899</v>
      </c>
      <c r="K212" s="59">
        <f>_xlfn.XLOOKUP(C212,'2025 Goal Data'!C:C,'2025 Goal Data'!F:F,"")</f>
        <v>2.5</v>
      </c>
      <c r="L212" s="54">
        <f t="shared" si="43"/>
        <v>10171.138537499999</v>
      </c>
      <c r="M212" s="87">
        <f t="shared" si="44"/>
        <v>1.2812382301126899</v>
      </c>
      <c r="N212" s="68">
        <f>_xlfn.XLOOKUP(C212,'2025 Goal Data'!C:C,'2025 Goal Data'!I:I,"")</f>
        <v>2.5</v>
      </c>
      <c r="O212" s="117">
        <f t="shared" si="45"/>
        <v>10171.138537499999</v>
      </c>
      <c r="P212" s="91">
        <f t="shared" si="46"/>
        <v>1.2812382301126899</v>
      </c>
      <c r="Q212" s="69">
        <f t="shared" si="39"/>
        <v>0</v>
      </c>
      <c r="U212" s="58">
        <f>(H212*K212)+H212</f>
        <v>14239.593952499999</v>
      </c>
    </row>
    <row r="213" spans="1:21" x14ac:dyDescent="0.25">
      <c r="A213" s="98" t="s">
        <v>65</v>
      </c>
      <c r="B213" s="99"/>
      <c r="C213" s="42" t="str">
        <f t="shared" si="41"/>
        <v>Red Bull|</v>
      </c>
      <c r="D213" s="73">
        <v>6210.0982059999997</v>
      </c>
      <c r="E213" s="82">
        <v>5993.3690049999996</v>
      </c>
      <c r="F213" s="83">
        <v>-3.4898999999999999E-2</v>
      </c>
      <c r="G213" s="82">
        <v>1274.4238130000001</v>
      </c>
      <c r="H213" s="100">
        <v>7484.522019</v>
      </c>
      <c r="I213" s="177">
        <f t="shared" si="42"/>
        <v>7223.3167013501125</v>
      </c>
      <c r="J213" s="96">
        <f t="shared" si="40"/>
        <v>-3.4899398650548252E-2</v>
      </c>
      <c r="K213" s="101">
        <f>_xlfn.XLOOKUP(C213,'2025 Goal Data'!C:C,'2025 Goal Data'!F:F,"")</f>
        <v>0</v>
      </c>
      <c r="L213" s="112">
        <f t="shared" si="43"/>
        <v>0</v>
      </c>
      <c r="M213" s="102">
        <f t="shared" si="44"/>
        <v>-3.4899398650548252E-2</v>
      </c>
      <c r="N213" s="103">
        <f>_xlfn.XLOOKUP(C213,'2025 Goal Data'!C:C,'2025 Goal Data'!I:I,"")</f>
        <v>0</v>
      </c>
      <c r="O213" s="116">
        <f t="shared" si="45"/>
        <v>0</v>
      </c>
      <c r="P213" s="104">
        <f t="shared" si="46"/>
        <v>-3.4899398650548252E-2</v>
      </c>
      <c r="Q213" s="67">
        <f t="shared" si="39"/>
        <v>0</v>
      </c>
      <c r="U213" s="57">
        <f>SUMIF(B:B,A213,K:K)</f>
        <v>0</v>
      </c>
    </row>
    <row r="214" spans="1:21" x14ac:dyDescent="0.25">
      <c r="A214" s="2" t="s">
        <v>65</v>
      </c>
      <c r="B214" s="2" t="s">
        <v>65</v>
      </c>
      <c r="C214" s="42" t="str">
        <f t="shared" si="41"/>
        <v>Red Bull|Red Bull</v>
      </c>
      <c r="D214" s="74">
        <v>6210.0982059999997</v>
      </c>
      <c r="E214" s="1">
        <v>5993.3690049999996</v>
      </c>
      <c r="F214" s="3">
        <v>-3.4898999999999999E-2</v>
      </c>
      <c r="G214" s="1">
        <v>1274.4238130000001</v>
      </c>
      <c r="H214" s="94">
        <v>7484.522019</v>
      </c>
      <c r="I214" s="178">
        <f t="shared" si="42"/>
        <v>7223.3167013501125</v>
      </c>
      <c r="J214" s="96">
        <f t="shared" si="40"/>
        <v>-3.4899398650548252E-2</v>
      </c>
      <c r="K214" s="59">
        <f>_xlfn.XLOOKUP(C214,'2025 Goal Data'!C:C,'2025 Goal Data'!F:F,"")</f>
        <v>0</v>
      </c>
      <c r="L214" s="54">
        <f t="shared" si="43"/>
        <v>0</v>
      </c>
      <c r="M214" s="87">
        <f t="shared" si="44"/>
        <v>-3.4899398650548252E-2</v>
      </c>
      <c r="N214" s="68">
        <f>_xlfn.XLOOKUP(C214,'2025 Goal Data'!C:C,'2025 Goal Data'!I:I,"")</f>
        <v>0</v>
      </c>
      <c r="O214" s="117">
        <f t="shared" si="45"/>
        <v>0</v>
      </c>
      <c r="P214" s="91">
        <f t="shared" si="46"/>
        <v>-3.4899398650548252E-2</v>
      </c>
      <c r="Q214" s="69">
        <f t="shared" si="39"/>
        <v>0</v>
      </c>
      <c r="U214" s="58">
        <f>(H214*K214)+H214</f>
        <v>7484.522019</v>
      </c>
    </row>
    <row r="215" spans="1:21" x14ac:dyDescent="0.25">
      <c r="A215" s="98" t="s">
        <v>223</v>
      </c>
      <c r="B215" s="99"/>
      <c r="C215" s="42" t="str">
        <f t="shared" si="41"/>
        <v>Beak &amp; Skiff|</v>
      </c>
      <c r="D215" s="73">
        <v>5139.6654660000004</v>
      </c>
      <c r="E215" s="82">
        <v>5885.1666949999999</v>
      </c>
      <c r="F215" s="83">
        <v>0.14504900000000001</v>
      </c>
      <c r="G215" s="82">
        <v>1268.067765</v>
      </c>
      <c r="H215" s="100">
        <v>6407.7332310000002</v>
      </c>
      <c r="I215" s="177">
        <f t="shared" si="42"/>
        <v>7337.1664212454853</v>
      </c>
      <c r="J215" s="96">
        <f t="shared" si="40"/>
        <v>0.14504867115081765</v>
      </c>
      <c r="K215" s="101">
        <f>_xlfn.XLOOKUP(C215,'2025 Goal Data'!C:C,'2025 Goal Data'!F:F,"")</f>
        <v>0.1</v>
      </c>
      <c r="L215" s="112">
        <f t="shared" si="43"/>
        <v>640.77332310000008</v>
      </c>
      <c r="M215" s="102">
        <f t="shared" si="44"/>
        <v>4.5048671150817649E-2</v>
      </c>
      <c r="N215" s="103">
        <f>_xlfn.XLOOKUP(C215,'2025 Goal Data'!C:C,'2025 Goal Data'!I:I,"")</f>
        <v>0.1</v>
      </c>
      <c r="O215" s="116">
        <f t="shared" si="45"/>
        <v>640.77332310000008</v>
      </c>
      <c r="P215" s="104">
        <f t="shared" si="46"/>
        <v>4.5048671150817649E-2</v>
      </c>
      <c r="Q215" s="67">
        <f t="shared" si="39"/>
        <v>0</v>
      </c>
      <c r="U215" s="57">
        <f>SUMIF(B:B,A215,K:K)</f>
        <v>0.2</v>
      </c>
    </row>
    <row r="216" spans="1:21" x14ac:dyDescent="0.25">
      <c r="A216" s="2" t="s">
        <v>15</v>
      </c>
      <c r="B216" s="2" t="s">
        <v>223</v>
      </c>
      <c r="C216" s="42" t="str">
        <f t="shared" si="41"/>
        <v>1911 Hard Cider|Beak &amp; Skiff</v>
      </c>
      <c r="D216" s="74">
        <v>5060.6654660000004</v>
      </c>
      <c r="E216" s="1">
        <v>5849.1666949999999</v>
      </c>
      <c r="F216" s="3">
        <v>0.15581</v>
      </c>
      <c r="G216" s="1">
        <v>1254.067765</v>
      </c>
      <c r="H216" s="94">
        <v>6314.7332310000002</v>
      </c>
      <c r="I216" s="178">
        <f t="shared" si="42"/>
        <v>7298.6307584646502</v>
      </c>
      <c r="J216" s="96">
        <f t="shared" si="40"/>
        <v>0.15580983257290182</v>
      </c>
      <c r="K216" s="59">
        <f>_xlfn.XLOOKUP(C216,'2025 Goal Data'!C:C,'2025 Goal Data'!F:F,"")</f>
        <v>0.1</v>
      </c>
      <c r="L216" s="54">
        <f t="shared" si="43"/>
        <v>631.47332310000002</v>
      </c>
      <c r="M216" s="87">
        <f t="shared" si="44"/>
        <v>5.5809832572901813E-2</v>
      </c>
      <c r="N216" s="68">
        <f>_xlfn.XLOOKUP(C216,'2025 Goal Data'!C:C,'2025 Goal Data'!I:I,"")</f>
        <v>0.1</v>
      </c>
      <c r="O216" s="117">
        <f t="shared" si="45"/>
        <v>631.47332310000002</v>
      </c>
      <c r="P216" s="91">
        <f t="shared" si="46"/>
        <v>5.5809832572901813E-2</v>
      </c>
      <c r="Q216" s="69">
        <f t="shared" si="39"/>
        <v>0</v>
      </c>
      <c r="U216" s="58">
        <f>(H216*K216)+H216</f>
        <v>6946.2065541000002</v>
      </c>
    </row>
    <row r="217" spans="1:21" x14ac:dyDescent="0.25">
      <c r="A217" s="2" t="s">
        <v>170</v>
      </c>
      <c r="B217" s="2" t="s">
        <v>223</v>
      </c>
      <c r="C217" s="42" t="str">
        <f t="shared" si="41"/>
        <v>1911 Spirits|Beak &amp; Skiff</v>
      </c>
      <c r="D217" s="74">
        <v>79</v>
      </c>
      <c r="E217" s="1">
        <v>36</v>
      </c>
      <c r="F217" s="3">
        <v>-0.54430400000000001</v>
      </c>
      <c r="G217" s="1">
        <v>14</v>
      </c>
      <c r="H217" s="94">
        <v>93</v>
      </c>
      <c r="I217" s="178">
        <f t="shared" si="42"/>
        <v>42.379744000000002</v>
      </c>
      <c r="J217" s="96">
        <f t="shared" si="40"/>
        <v>-0.54430382795698917</v>
      </c>
      <c r="K217" s="59">
        <f>_xlfn.XLOOKUP(C217,'2025 Goal Data'!C:C,'2025 Goal Data'!F:F,"")</f>
        <v>0.1</v>
      </c>
      <c r="L217" s="54">
        <f t="shared" si="43"/>
        <v>9.3000000000000007</v>
      </c>
      <c r="M217" s="87">
        <f t="shared" si="44"/>
        <v>-0.64430382795698915</v>
      </c>
      <c r="N217" s="68">
        <f>_xlfn.XLOOKUP(C217,'2025 Goal Data'!C:C,'2025 Goal Data'!I:I,"")</f>
        <v>0.1</v>
      </c>
      <c r="O217" s="117">
        <f t="shared" si="45"/>
        <v>9.3000000000000007</v>
      </c>
      <c r="P217" s="91">
        <f t="shared" si="46"/>
        <v>-0.64430382795698915</v>
      </c>
      <c r="Q217" s="69">
        <f t="shared" si="39"/>
        <v>0</v>
      </c>
      <c r="U217" s="58">
        <f>(H217*K217)+H217</f>
        <v>102.3</v>
      </c>
    </row>
    <row r="218" spans="1:21" x14ac:dyDescent="0.25">
      <c r="A218" s="98" t="s">
        <v>224</v>
      </c>
      <c r="B218" s="99"/>
      <c r="C218" s="42" t="str">
        <f t="shared" si="41"/>
        <v>Southern Tier Brewing Company|</v>
      </c>
      <c r="D218" s="73">
        <v>6278.3000249999996</v>
      </c>
      <c r="E218" s="82">
        <v>5015.8777669999999</v>
      </c>
      <c r="F218" s="83">
        <v>-0.20107700000000001</v>
      </c>
      <c r="G218" s="82">
        <v>1184.84167</v>
      </c>
      <c r="H218" s="100">
        <v>7463.1416950000003</v>
      </c>
      <c r="I218" s="177">
        <f t="shared" si="42"/>
        <v>5962.4750285214104</v>
      </c>
      <c r="J218" s="96">
        <f t="shared" si="40"/>
        <v>-0.20107707019471099</v>
      </c>
      <c r="K218" s="101">
        <f>_xlfn.XLOOKUP(C218,'2025 Goal Data'!C:C,'2025 Goal Data'!F:F,"")</f>
        <v>0</v>
      </c>
      <c r="L218" s="112">
        <f t="shared" si="43"/>
        <v>0</v>
      </c>
      <c r="M218" s="102">
        <f t="shared" si="44"/>
        <v>-0.20107707019471099</v>
      </c>
      <c r="N218" s="103">
        <f>_xlfn.XLOOKUP(C218,'2025 Goal Data'!C:C,'2025 Goal Data'!I:I,"")</f>
        <v>-7.0000000000000007E-2</v>
      </c>
      <c r="O218" s="116">
        <f t="shared" si="45"/>
        <v>-522.41991865000011</v>
      </c>
      <c r="P218" s="104">
        <f t="shared" si="46"/>
        <v>-0.13107707019471099</v>
      </c>
      <c r="Q218" s="67">
        <f t="shared" si="39"/>
        <v>7.0000000000000007E-2</v>
      </c>
      <c r="U218" s="57">
        <f>SUMIF(B:B,A218,K:K)</f>
        <v>0</v>
      </c>
    </row>
    <row r="219" spans="1:21" x14ac:dyDescent="0.25">
      <c r="A219" s="2" t="s">
        <v>350</v>
      </c>
      <c r="B219" s="2" t="s">
        <v>224</v>
      </c>
      <c r="C219" s="42" t="str">
        <f t="shared" si="41"/>
        <v>Southern Tier|Southern Tier Brewing Company</v>
      </c>
      <c r="D219" s="74">
        <v>6278.3000249999996</v>
      </c>
      <c r="E219" s="1">
        <v>5015.8777669999999</v>
      </c>
      <c r="F219" s="3">
        <v>-0.20107700000000001</v>
      </c>
      <c r="G219" s="1">
        <v>1184.84167</v>
      </c>
      <c r="H219" s="94">
        <v>7463.1416950000003</v>
      </c>
      <c r="I219" s="178">
        <f t="shared" si="42"/>
        <v>5962.4750285214104</v>
      </c>
      <c r="J219" s="96">
        <f t="shared" si="40"/>
        <v>-0.20107707019471099</v>
      </c>
      <c r="K219" s="59">
        <f>_xlfn.XLOOKUP(C219,'2025 Goal Data'!C:C,'2025 Goal Data'!F:F,"")</f>
        <v>0</v>
      </c>
      <c r="L219" s="54">
        <f t="shared" si="43"/>
        <v>0</v>
      </c>
      <c r="M219" s="87">
        <f t="shared" si="44"/>
        <v>-0.20107707019471099</v>
      </c>
      <c r="N219" s="68">
        <f>_xlfn.XLOOKUP(C219,'2025 Goal Data'!C:C,'2025 Goal Data'!I:I,"")</f>
        <v>-7.0000000000000007E-2</v>
      </c>
      <c r="O219" s="117">
        <f t="shared" si="45"/>
        <v>-522.41991865000011</v>
      </c>
      <c r="P219" s="91">
        <f t="shared" si="46"/>
        <v>-0.13107707019471099</v>
      </c>
      <c r="Q219" s="69">
        <f t="shared" si="39"/>
        <v>7.0000000000000007E-2</v>
      </c>
      <c r="U219" s="58">
        <f>(H219*K219)+H219</f>
        <v>7463.1416950000003</v>
      </c>
    </row>
    <row r="220" spans="1:21" x14ac:dyDescent="0.25">
      <c r="A220" s="98" t="s">
        <v>143</v>
      </c>
      <c r="B220" s="99"/>
      <c r="C220" s="42" t="str">
        <f t="shared" si="41"/>
        <v>Narragansett|</v>
      </c>
      <c r="D220" s="73">
        <v>8119.7767240000003</v>
      </c>
      <c r="E220" s="82">
        <v>7664.1935190000004</v>
      </c>
      <c r="F220" s="83">
        <v>-5.6107999999999998E-2</v>
      </c>
      <c r="G220" s="82">
        <v>1179.5276389999999</v>
      </c>
      <c r="H220" s="100">
        <v>9299.3043629999993</v>
      </c>
      <c r="I220" s="177">
        <f t="shared" si="42"/>
        <v>8777.5402212309891</v>
      </c>
      <c r="J220" s="96">
        <f t="shared" si="40"/>
        <v>-5.6107868008385853E-2</v>
      </c>
      <c r="K220" s="101">
        <f>_xlfn.XLOOKUP(C220,'2025 Goal Data'!C:C,'2025 Goal Data'!F:F,"")</f>
        <v>4.5504409550440959E-2</v>
      </c>
      <c r="L220" s="112">
        <f t="shared" si="43"/>
        <v>423.15935426815446</v>
      </c>
      <c r="M220" s="102">
        <f t="shared" si="44"/>
        <v>-0.10161227755882682</v>
      </c>
      <c r="N220" s="103">
        <f>_xlfn.XLOOKUP(C220,'2025 Goal Data'!C:C,'2025 Goal Data'!I:I,"")</f>
        <v>0</v>
      </c>
      <c r="O220" s="116">
        <f t="shared" si="45"/>
        <v>0</v>
      </c>
      <c r="P220" s="104">
        <f t="shared" si="46"/>
        <v>-5.6107868008385853E-2</v>
      </c>
      <c r="Q220" s="67">
        <f t="shared" si="39"/>
        <v>4.5504409550440966E-2</v>
      </c>
      <c r="U220" s="57">
        <f>SUMIF(B:B,A220,K:K)</f>
        <v>0.05</v>
      </c>
    </row>
    <row r="221" spans="1:21" x14ac:dyDescent="0.25">
      <c r="A221" s="2" t="s">
        <v>143</v>
      </c>
      <c r="B221" s="2" t="s">
        <v>143</v>
      </c>
      <c r="C221" s="42" t="str">
        <f t="shared" si="41"/>
        <v>Narragansett|Narragansett</v>
      </c>
      <c r="D221" s="74">
        <v>7276.4435249999997</v>
      </c>
      <c r="E221" s="1">
        <v>6963.8603069999999</v>
      </c>
      <c r="F221" s="3">
        <v>-4.2958000000000003E-2</v>
      </c>
      <c r="G221" s="1">
        <v>1186.1943040000001</v>
      </c>
      <c r="H221" s="94">
        <v>8462.6378289999993</v>
      </c>
      <c r="I221" s="178">
        <f t="shared" si="42"/>
        <v>8099.0980760887678</v>
      </c>
      <c r="J221" s="96">
        <f t="shared" si="40"/>
        <v>-4.2958207624748335E-2</v>
      </c>
      <c r="K221" s="59">
        <f>_xlfn.XLOOKUP(C221,'2025 Goal Data'!C:C,'2025 Goal Data'!F:F,"")</f>
        <v>0.05</v>
      </c>
      <c r="L221" s="54">
        <f t="shared" si="43"/>
        <v>423.13189145000001</v>
      </c>
      <c r="M221" s="87">
        <f t="shared" si="44"/>
        <v>-9.2958207624748337E-2</v>
      </c>
      <c r="N221" s="68">
        <f>_xlfn.XLOOKUP(C221,'2025 Goal Data'!C:C,'2025 Goal Data'!I:I,"")</f>
        <v>0</v>
      </c>
      <c r="O221" s="117">
        <f t="shared" si="45"/>
        <v>0</v>
      </c>
      <c r="P221" s="91">
        <f t="shared" si="46"/>
        <v>-4.2958207624748335E-2</v>
      </c>
      <c r="Q221" s="69">
        <f t="shared" si="39"/>
        <v>0.05</v>
      </c>
      <c r="U221" s="58">
        <f>(H221*K221)+H221</f>
        <v>8885.76972045</v>
      </c>
    </row>
    <row r="222" spans="1:21" x14ac:dyDescent="0.25">
      <c r="A222" s="2" t="s">
        <v>16</v>
      </c>
      <c r="B222" s="2" t="s">
        <v>143</v>
      </c>
      <c r="C222" s="42" t="str">
        <f t="shared" si="41"/>
        <v>Del's Shandy|Narragansett</v>
      </c>
      <c r="D222" s="74">
        <v>843.33319900000004</v>
      </c>
      <c r="E222" s="1">
        <v>700.333212</v>
      </c>
      <c r="F222" s="3">
        <v>-0.16956499999999999</v>
      </c>
      <c r="G222" s="1">
        <v>-6.6666650000000001</v>
      </c>
      <c r="H222" s="94">
        <v>836.66653399999996</v>
      </c>
      <c r="I222" s="178">
        <f t="shared" si="42"/>
        <v>694.79698005072498</v>
      </c>
      <c r="J222" s="96">
        <f t="shared" si="40"/>
        <v>-0.16956523081067199</v>
      </c>
      <c r="K222" s="59">
        <f>_xlfn.XLOOKUP(C222,'2025 Goal Data'!C:C,'2025 Goal Data'!F:F,"")</f>
        <v>0</v>
      </c>
      <c r="L222" s="54">
        <f t="shared" si="43"/>
        <v>0</v>
      </c>
      <c r="M222" s="87">
        <f t="shared" si="44"/>
        <v>-0.16956523081067199</v>
      </c>
      <c r="N222" s="68">
        <f>_xlfn.XLOOKUP(C222,'2025 Goal Data'!C:C,'2025 Goal Data'!I:I,"")</f>
        <v>0</v>
      </c>
      <c r="O222" s="117">
        <f t="shared" si="45"/>
        <v>0</v>
      </c>
      <c r="P222" s="91">
        <f t="shared" si="46"/>
        <v>-0.16956523081067199</v>
      </c>
      <c r="Q222" s="69">
        <f t="shared" ref="Q222:Q253" si="47">P222-M222</f>
        <v>0</v>
      </c>
      <c r="U222" s="58">
        <f>(H222*K222)+H222</f>
        <v>836.66653399999996</v>
      </c>
    </row>
    <row r="223" spans="1:21" x14ac:dyDescent="0.25">
      <c r="A223" s="98" t="s">
        <v>17</v>
      </c>
      <c r="B223" s="99"/>
      <c r="C223" s="42" t="str">
        <f t="shared" si="41"/>
        <v>Great Lakes|</v>
      </c>
      <c r="D223" s="73">
        <v>4471.0139010000003</v>
      </c>
      <c r="E223" s="82">
        <v>3472.3958429999998</v>
      </c>
      <c r="F223" s="83">
        <v>-0.223354</v>
      </c>
      <c r="G223" s="82">
        <v>1163.2222260000001</v>
      </c>
      <c r="H223" s="100">
        <v>5634.2361270000001</v>
      </c>
      <c r="I223" s="177">
        <f t="shared" si="42"/>
        <v>4375.8077319339955</v>
      </c>
      <c r="J223" s="96">
        <f t="shared" si="40"/>
        <v>-0.22335386141085756</v>
      </c>
      <c r="K223" s="101">
        <f>_xlfn.XLOOKUP(C223,'2025 Goal Data'!C:C,'2025 Goal Data'!F:F,"")</f>
        <v>0.01</v>
      </c>
      <c r="L223" s="112">
        <f t="shared" si="43"/>
        <v>56.342361270000005</v>
      </c>
      <c r="M223" s="102">
        <f t="shared" si="44"/>
        <v>-0.23335386141085757</v>
      </c>
      <c r="N223" s="103">
        <f>_xlfn.XLOOKUP(C223,'2025 Goal Data'!C:C,'2025 Goal Data'!I:I,"")</f>
        <v>0.01</v>
      </c>
      <c r="O223" s="116">
        <f t="shared" si="45"/>
        <v>56.342361270000005</v>
      </c>
      <c r="P223" s="104">
        <f t="shared" si="46"/>
        <v>-0.23335386141085757</v>
      </c>
      <c r="Q223" s="67">
        <f t="shared" si="47"/>
        <v>0</v>
      </c>
      <c r="U223" s="57">
        <f>SUMIF(B:B,A223,K:K)</f>
        <v>0.01</v>
      </c>
    </row>
    <row r="224" spans="1:21" x14ac:dyDescent="0.25">
      <c r="A224" s="2" t="s">
        <v>17</v>
      </c>
      <c r="B224" s="2" t="s">
        <v>17</v>
      </c>
      <c r="C224" s="42" t="str">
        <f t="shared" si="41"/>
        <v>Great Lakes|Great Lakes</v>
      </c>
      <c r="D224" s="74">
        <v>4471.0139010000003</v>
      </c>
      <c r="E224" s="1">
        <v>3472.3958429999998</v>
      </c>
      <c r="F224" s="3">
        <v>-0.223354</v>
      </c>
      <c r="G224" s="1">
        <v>1163.2222260000001</v>
      </c>
      <c r="H224" s="94">
        <v>5634.2361270000001</v>
      </c>
      <c r="I224" s="178">
        <f t="shared" si="42"/>
        <v>4375.8077319339955</v>
      </c>
      <c r="J224" s="96">
        <f t="shared" si="40"/>
        <v>-0.22335386141085756</v>
      </c>
      <c r="K224" s="59">
        <f>_xlfn.XLOOKUP(C224,'2025 Goal Data'!C:C,'2025 Goal Data'!F:F,"")</f>
        <v>0.01</v>
      </c>
      <c r="L224" s="54">
        <f t="shared" si="43"/>
        <v>56.342361270000005</v>
      </c>
      <c r="M224" s="87">
        <f t="shared" si="44"/>
        <v>-0.23335386141085757</v>
      </c>
      <c r="N224" s="68">
        <f>_xlfn.XLOOKUP(C224,'2025 Goal Data'!C:C,'2025 Goal Data'!I:I,"")</f>
        <v>0.01</v>
      </c>
      <c r="O224" s="117">
        <f t="shared" si="45"/>
        <v>56.342361270000005</v>
      </c>
      <c r="P224" s="91">
        <f t="shared" si="46"/>
        <v>-0.23335386141085757</v>
      </c>
      <c r="Q224" s="69">
        <f t="shared" si="47"/>
        <v>0</v>
      </c>
      <c r="U224" s="58">
        <f>(H224*K224)+H224</f>
        <v>5690.57848827</v>
      </c>
    </row>
    <row r="225" spans="1:21" x14ac:dyDescent="0.25">
      <c r="A225" s="98" t="s">
        <v>321</v>
      </c>
      <c r="B225" s="99"/>
      <c r="C225" s="42" t="str">
        <f t="shared" si="41"/>
        <v>Saratoga|</v>
      </c>
      <c r="D225" s="73">
        <v>4947.0011059999997</v>
      </c>
      <c r="E225" s="82">
        <v>5456.1678869999996</v>
      </c>
      <c r="F225" s="83">
        <v>0.102924</v>
      </c>
      <c r="G225" s="82">
        <v>1118.000262</v>
      </c>
      <c r="H225" s="100">
        <v>6065.0013680000002</v>
      </c>
      <c r="I225" s="177">
        <f t="shared" si="42"/>
        <v>6689.2372079660872</v>
      </c>
      <c r="J225" s="96">
        <f t="shared" si="40"/>
        <v>0.10292427026639484</v>
      </c>
      <c r="K225" s="101">
        <f>_xlfn.XLOOKUP(C225,'2025 Goal Data'!C:C,'2025 Goal Data'!F:F,"")</f>
        <v>0.15</v>
      </c>
      <c r="L225" s="112">
        <f t="shared" si="43"/>
        <v>909.75020519999998</v>
      </c>
      <c r="M225" s="102">
        <f t="shared" si="44"/>
        <v>-4.7075729733605159E-2</v>
      </c>
      <c r="N225" s="103">
        <f>_xlfn.XLOOKUP(C225,'2025 Goal Data'!C:C,'2025 Goal Data'!I:I,"")</f>
        <v>0.15</v>
      </c>
      <c r="O225" s="116">
        <f t="shared" si="45"/>
        <v>909.75020519999998</v>
      </c>
      <c r="P225" s="104">
        <f t="shared" si="46"/>
        <v>-4.7075729733605159E-2</v>
      </c>
      <c r="Q225" s="67">
        <f t="shared" si="47"/>
        <v>0</v>
      </c>
      <c r="U225" s="57">
        <f>SUMIF(B:B,A225,K:K)</f>
        <v>0.15</v>
      </c>
    </row>
    <row r="226" spans="1:21" x14ac:dyDescent="0.25">
      <c r="A226" s="2" t="s">
        <v>321</v>
      </c>
      <c r="B226" s="2" t="s">
        <v>321</v>
      </c>
      <c r="C226" s="42" t="str">
        <f t="shared" si="41"/>
        <v>Saratoga|Saratoga</v>
      </c>
      <c r="D226" s="74">
        <v>4947.0011059999997</v>
      </c>
      <c r="E226" s="1">
        <v>5456.1678869999996</v>
      </c>
      <c r="F226" s="3">
        <v>0.102924</v>
      </c>
      <c r="G226" s="1">
        <v>1118.000262</v>
      </c>
      <c r="H226" s="94">
        <v>6065.0013680000002</v>
      </c>
      <c r="I226" s="178">
        <f t="shared" si="42"/>
        <v>6689.2372079660872</v>
      </c>
      <c r="J226" s="96">
        <f t="shared" si="40"/>
        <v>0.10292427026639484</v>
      </c>
      <c r="K226" s="59">
        <f>_xlfn.XLOOKUP(C226,'2025 Goal Data'!C:C,'2025 Goal Data'!F:F,"")</f>
        <v>0.15</v>
      </c>
      <c r="L226" s="54">
        <f t="shared" si="43"/>
        <v>909.75020519999998</v>
      </c>
      <c r="M226" s="87">
        <f t="shared" si="44"/>
        <v>-4.7075729733605159E-2</v>
      </c>
      <c r="N226" s="68">
        <f>_xlfn.XLOOKUP(C226,'2025 Goal Data'!C:C,'2025 Goal Data'!I:I,"")</f>
        <v>0.15</v>
      </c>
      <c r="O226" s="117">
        <f t="shared" si="45"/>
        <v>909.75020519999998</v>
      </c>
      <c r="P226" s="91">
        <f t="shared" si="46"/>
        <v>-4.7075729733605159E-2</v>
      </c>
      <c r="Q226" s="69">
        <f t="shared" si="47"/>
        <v>0</v>
      </c>
      <c r="U226" s="58">
        <f>(H226*K226)+H226</f>
        <v>6974.7515732000002</v>
      </c>
    </row>
    <row r="227" spans="1:21" x14ac:dyDescent="0.25">
      <c r="A227" s="98" t="s">
        <v>250</v>
      </c>
      <c r="B227" s="99"/>
      <c r="C227" s="42" t="str">
        <f t="shared" si="41"/>
        <v>Vinaio Imports LTD|</v>
      </c>
      <c r="D227" s="73">
        <v>6214.1784960000005</v>
      </c>
      <c r="E227" s="82">
        <v>4703.8963139999996</v>
      </c>
      <c r="F227" s="83">
        <v>-0.243038</v>
      </c>
      <c r="G227" s="82">
        <v>1065.0070639999999</v>
      </c>
      <c r="H227" s="100">
        <v>7279.1855599999999</v>
      </c>
      <c r="I227" s="177">
        <f t="shared" si="42"/>
        <v>5510.0661911795678</v>
      </c>
      <c r="J227" s="96">
        <f t="shared" si="40"/>
        <v>-0.24303809186318259</v>
      </c>
      <c r="K227" s="101">
        <f>_xlfn.XLOOKUP(C227,'2025 Goal Data'!C:C,'2025 Goal Data'!F:F,"")</f>
        <v>0</v>
      </c>
      <c r="L227" s="112">
        <f t="shared" si="43"/>
        <v>0</v>
      </c>
      <c r="M227" s="102">
        <f t="shared" si="44"/>
        <v>-0.24303809186318259</v>
      </c>
      <c r="N227" s="103">
        <f>_xlfn.XLOOKUP(C227,'2025 Goal Data'!C:C,'2025 Goal Data'!I:I,"")</f>
        <v>0.61156911239351475</v>
      </c>
      <c r="O227" s="116">
        <f t="shared" si="45"/>
        <v>4451.7250518768897</v>
      </c>
      <c r="P227" s="104">
        <f t="shared" si="46"/>
        <v>-0.85460720425669734</v>
      </c>
      <c r="Q227" s="67">
        <f t="shared" si="47"/>
        <v>-0.61156911239351475</v>
      </c>
      <c r="U227" s="57">
        <f>SUMIF(B:B,A227,K:K)</f>
        <v>0</v>
      </c>
    </row>
    <row r="228" spans="1:21" x14ac:dyDescent="0.25">
      <c r="A228" s="2" t="s">
        <v>404</v>
      </c>
      <c r="B228" s="2" t="s">
        <v>250</v>
      </c>
      <c r="C228" s="42" t="str">
        <f t="shared" si="41"/>
        <v>Cerveza Republica La Tuya 5.0 La Dura|Vinaio Imports LTD</v>
      </c>
      <c r="D228" s="74">
        <v>369.96530000000001</v>
      </c>
      <c r="E228" s="1">
        <v>3236.5383259999999</v>
      </c>
      <c r="F228" s="3">
        <v>7.748221</v>
      </c>
      <c r="G228" s="1">
        <v>707.27434000000005</v>
      </c>
      <c r="H228" s="94">
        <v>1077.23964</v>
      </c>
      <c r="I228" s="178">
        <f t="shared" si="42"/>
        <v>9423.9305599491399</v>
      </c>
      <c r="J228" s="96">
        <f t="shared" si="40"/>
        <v>7.7482211107169618</v>
      </c>
      <c r="K228" s="59">
        <f>_xlfn.XLOOKUP(C228,'2025 Goal Data'!C:C,'2025 Goal Data'!F:F,"")</f>
        <v>0</v>
      </c>
      <c r="L228" s="54">
        <f t="shared" si="43"/>
        <v>0</v>
      </c>
      <c r="M228" s="87">
        <f t="shared" si="44"/>
        <v>7.7482211107169618</v>
      </c>
      <c r="N228" s="68">
        <f>_xlfn.XLOOKUP(C228,'2025 Goal Data'!C:C,'2025 Goal Data'!I:I,"")</f>
        <v>1</v>
      </c>
      <c r="O228" s="117">
        <f t="shared" si="45"/>
        <v>1077.23964</v>
      </c>
      <c r="P228" s="91">
        <f t="shared" si="46"/>
        <v>6.7482211107169618</v>
      </c>
      <c r="Q228" s="69">
        <f t="shared" si="47"/>
        <v>-1</v>
      </c>
      <c r="U228" s="58">
        <f>(H228*K228)+H228</f>
        <v>1077.23964</v>
      </c>
    </row>
    <row r="229" spans="1:21" x14ac:dyDescent="0.25">
      <c r="A229" s="2" t="s">
        <v>225</v>
      </c>
      <c r="B229" s="2" t="s">
        <v>250</v>
      </c>
      <c r="C229" s="42" t="str">
        <f t="shared" si="41"/>
        <v>Cerveza Republica LA Tuya|Vinaio Imports LTD</v>
      </c>
      <c r="D229" s="74">
        <v>5844.2131959999997</v>
      </c>
      <c r="E229" s="1">
        <v>1467.357988</v>
      </c>
      <c r="F229" s="3">
        <v>-0.74892099999999995</v>
      </c>
      <c r="G229" s="1">
        <v>357.73272400000002</v>
      </c>
      <c r="H229" s="94">
        <v>6201.9459200000001</v>
      </c>
      <c r="I229" s="178">
        <f t="shared" si="42"/>
        <v>1557.1771626091959</v>
      </c>
      <c r="J229" s="96">
        <f t="shared" si="40"/>
        <v>-0.7489211962349398</v>
      </c>
      <c r="K229" s="59">
        <f>_xlfn.XLOOKUP(C229,'2025 Goal Data'!C:C,'2025 Goal Data'!F:F,"")</f>
        <v>0</v>
      </c>
      <c r="L229" s="54">
        <f t="shared" si="43"/>
        <v>0</v>
      </c>
      <c r="M229" s="87">
        <f t="shared" si="44"/>
        <v>-0.7489211962349398</v>
      </c>
      <c r="N229" s="68">
        <f>_xlfn.XLOOKUP(C229,'2025 Goal Data'!C:C,'2025 Goal Data'!I:I,"")</f>
        <v>0.5</v>
      </c>
      <c r="O229" s="117">
        <f t="shared" si="45"/>
        <v>3100.9729600000001</v>
      </c>
      <c r="P229" s="91">
        <f t="shared" si="46"/>
        <v>-1.2489211962349398</v>
      </c>
      <c r="Q229" s="69">
        <f t="shared" si="47"/>
        <v>-0.5</v>
      </c>
      <c r="U229" s="58">
        <f>(H229*K229)+H229</f>
        <v>6201.9459200000001</v>
      </c>
    </row>
    <row r="230" spans="1:21" x14ac:dyDescent="0.25">
      <c r="A230" s="214" t="s">
        <v>500</v>
      </c>
      <c r="B230" s="99"/>
      <c r="C230" s="42" t="str">
        <f t="shared" si="41"/>
        <v>Columbian Roots|</v>
      </c>
      <c r="D230" s="73">
        <v>4041.810164</v>
      </c>
      <c r="E230" s="82">
        <v>4901.8349719999997</v>
      </c>
      <c r="F230" s="83">
        <v>0.212782</v>
      </c>
      <c r="G230" s="82">
        <v>1063.8407130000001</v>
      </c>
      <c r="H230" s="100">
        <v>5105.650877</v>
      </c>
      <c r="I230" s="177">
        <f t="shared" si="42"/>
        <v>6192.0418395935658</v>
      </c>
      <c r="J230" s="96">
        <f t="shared" si="40"/>
        <v>0.21278207005644534</v>
      </c>
      <c r="K230" s="101" t="str">
        <f>_xlfn.XLOOKUP(C230,'2025 Goal Data'!C:C,'2025 Goal Data'!F:F,"")</f>
        <v/>
      </c>
      <c r="L230" s="112">
        <f t="shared" si="43"/>
        <v>0</v>
      </c>
      <c r="M230" s="102">
        <f t="shared" si="44"/>
        <v>0</v>
      </c>
      <c r="N230" s="103" t="str">
        <f>_xlfn.XLOOKUP(C230,'2025 Goal Data'!C:C,'2025 Goal Data'!I:I,"")</f>
        <v/>
      </c>
      <c r="O230" s="116">
        <f t="shared" si="45"/>
        <v>0</v>
      </c>
      <c r="P230" s="104">
        <f t="shared" si="46"/>
        <v>0</v>
      </c>
      <c r="Q230" s="67">
        <f t="shared" si="47"/>
        <v>0</v>
      </c>
      <c r="U230" s="57">
        <f>SUMIF(B:B,A230,K:K)</f>
        <v>0</v>
      </c>
    </row>
    <row r="231" spans="1:21" x14ac:dyDescent="0.25">
      <c r="A231" s="2" t="s">
        <v>96</v>
      </c>
      <c r="B231" s="2" t="s">
        <v>95</v>
      </c>
      <c r="C231" s="42" t="str">
        <f t="shared" si="41"/>
        <v>Poker Import|Food &amp; Bev Enterprise LLC</v>
      </c>
      <c r="D231" s="74">
        <v>1460.371161</v>
      </c>
      <c r="E231" s="1">
        <v>1657.921229</v>
      </c>
      <c r="F231" s="3">
        <v>0.13527400000000001</v>
      </c>
      <c r="G231" s="1">
        <v>366.645915</v>
      </c>
      <c r="H231" s="94">
        <v>1827.0170760000001</v>
      </c>
      <c r="I231" s="178">
        <f t="shared" si="42"/>
        <v>2074.1648035057101</v>
      </c>
      <c r="J231" s="96">
        <f t="shared" si="40"/>
        <v>0.13527390124169258</v>
      </c>
      <c r="K231" s="59">
        <f>_xlfn.XLOOKUP(C231,'2025 Goal Data'!C:C,'2025 Goal Data'!F:F,"")</f>
        <v>0</v>
      </c>
      <c r="L231" s="54">
        <f t="shared" si="43"/>
        <v>0</v>
      </c>
      <c r="M231" s="87">
        <f t="shared" si="44"/>
        <v>0.13527390124169258</v>
      </c>
      <c r="N231" s="68">
        <f>_xlfn.XLOOKUP(C231,'2025 Goal Data'!C:C,'2025 Goal Data'!I:I,"")</f>
        <v>0</v>
      </c>
      <c r="O231" s="117">
        <f t="shared" si="45"/>
        <v>0</v>
      </c>
      <c r="P231" s="91">
        <f t="shared" si="46"/>
        <v>0.13527390124169258</v>
      </c>
      <c r="Q231" s="69">
        <f t="shared" si="47"/>
        <v>0</v>
      </c>
      <c r="U231" s="58">
        <f>(H231*K231)+H231</f>
        <v>1827.0170760000001</v>
      </c>
    </row>
    <row r="232" spans="1:21" x14ac:dyDescent="0.25">
      <c r="A232" s="2" t="s">
        <v>144</v>
      </c>
      <c r="B232" s="2" t="s">
        <v>95</v>
      </c>
      <c r="C232" s="42" t="str">
        <f t="shared" si="41"/>
        <v>Aguila Import|Food &amp; Bev Enterprise LLC</v>
      </c>
      <c r="D232" s="74">
        <v>1264.0128669999999</v>
      </c>
      <c r="E232" s="1">
        <v>1177.642026</v>
      </c>
      <c r="F232" s="3">
        <v>-6.8331000000000003E-2</v>
      </c>
      <c r="G232" s="1">
        <v>339.40427299999999</v>
      </c>
      <c r="H232" s="94">
        <v>1603.41714</v>
      </c>
      <c r="I232" s="178">
        <f t="shared" si="42"/>
        <v>1493.854465621637</v>
      </c>
      <c r="J232" s="96">
        <f t="shared" si="40"/>
        <v>-6.8330736678019366E-2</v>
      </c>
      <c r="K232" s="59">
        <f>_xlfn.XLOOKUP(C232,'2025 Goal Data'!C:C,'2025 Goal Data'!F:F,"")</f>
        <v>0</v>
      </c>
      <c r="L232" s="54">
        <f t="shared" si="43"/>
        <v>0</v>
      </c>
      <c r="M232" s="87">
        <f t="shared" si="44"/>
        <v>-6.8330736678019366E-2</v>
      </c>
      <c r="N232" s="68">
        <f>_xlfn.XLOOKUP(C232,'2025 Goal Data'!C:C,'2025 Goal Data'!I:I,"")</f>
        <v>0</v>
      </c>
      <c r="O232" s="117">
        <f t="shared" si="45"/>
        <v>0</v>
      </c>
      <c r="P232" s="91">
        <f t="shared" si="46"/>
        <v>-6.8330736678019366E-2</v>
      </c>
      <c r="Q232" s="69">
        <f t="shared" si="47"/>
        <v>0</v>
      </c>
      <c r="U232" s="58">
        <f>(H232*K232)+H232</f>
        <v>1603.41714</v>
      </c>
    </row>
    <row r="233" spans="1:21" x14ac:dyDescent="0.25">
      <c r="A233" s="2" t="s">
        <v>226</v>
      </c>
      <c r="B233" s="2" t="s">
        <v>95</v>
      </c>
      <c r="C233" s="42" t="str">
        <f t="shared" si="41"/>
        <v>Food &amp; Bev|Food &amp; Bev Enterprise LLC</v>
      </c>
      <c r="D233" s="74">
        <v>1070.683636</v>
      </c>
      <c r="E233" s="1">
        <v>1787.7629669999999</v>
      </c>
      <c r="F233" s="3">
        <v>0.66974</v>
      </c>
      <c r="G233" s="1">
        <v>328.97927499999997</v>
      </c>
      <c r="H233" s="94">
        <v>1399.6629109999999</v>
      </c>
      <c r="I233" s="178">
        <f t="shared" si="42"/>
        <v>2337.0728216384996</v>
      </c>
      <c r="J233" s="96">
        <f t="shared" si="40"/>
        <v>0.66973976610465447</v>
      </c>
      <c r="K233" s="59">
        <f>_xlfn.XLOOKUP(C233,'2025 Goal Data'!C:C,'2025 Goal Data'!F:F,"")</f>
        <v>0</v>
      </c>
      <c r="L233" s="54">
        <f t="shared" si="43"/>
        <v>0</v>
      </c>
      <c r="M233" s="87">
        <f t="shared" si="44"/>
        <v>0.66973976610465447</v>
      </c>
      <c r="N233" s="68">
        <f>_xlfn.XLOOKUP(C233,'2025 Goal Data'!C:C,'2025 Goal Data'!I:I,"")</f>
        <v>0</v>
      </c>
      <c r="O233" s="117">
        <f t="shared" si="45"/>
        <v>0</v>
      </c>
      <c r="P233" s="91">
        <f t="shared" si="46"/>
        <v>0.66973976610465447</v>
      </c>
      <c r="Q233" s="69">
        <f t="shared" si="47"/>
        <v>0</v>
      </c>
      <c r="U233" s="58">
        <f>(H233*K233)+H233</f>
        <v>1399.6629109999999</v>
      </c>
    </row>
    <row r="234" spans="1:21" x14ac:dyDescent="0.25">
      <c r="A234" s="2" t="s">
        <v>322</v>
      </c>
      <c r="B234" s="2" t="s">
        <v>95</v>
      </c>
      <c r="C234" s="42" t="str">
        <f t="shared" si="41"/>
        <v>Costenita|Food &amp; Bev Enterprise LLC</v>
      </c>
      <c r="D234" s="74">
        <v>246.74250000000001</v>
      </c>
      <c r="E234" s="1">
        <v>278.50875000000002</v>
      </c>
      <c r="F234" s="3">
        <v>0.128743</v>
      </c>
      <c r="G234" s="1">
        <v>28.811250000000001</v>
      </c>
      <c r="H234" s="94">
        <v>275.55374999999998</v>
      </c>
      <c r="I234" s="178">
        <f t="shared" si="42"/>
        <v>311.02924675874999</v>
      </c>
      <c r="J234" s="96">
        <f t="shared" si="40"/>
        <v>0.12874256568364606</v>
      </c>
      <c r="K234" s="59">
        <f>_xlfn.XLOOKUP(C234,'2025 Goal Data'!C:C,'2025 Goal Data'!F:F,"")</f>
        <v>0</v>
      </c>
      <c r="L234" s="54">
        <f t="shared" si="43"/>
        <v>0</v>
      </c>
      <c r="M234" s="87">
        <f t="shared" si="44"/>
        <v>0.12874256568364606</v>
      </c>
      <c r="N234" s="68">
        <f>_xlfn.XLOOKUP(C234,'2025 Goal Data'!C:C,'2025 Goal Data'!I:I,"")</f>
        <v>0</v>
      </c>
      <c r="O234" s="117">
        <f t="shared" si="45"/>
        <v>0</v>
      </c>
      <c r="P234" s="91">
        <f t="shared" si="46"/>
        <v>0.12874256568364606</v>
      </c>
      <c r="Q234" s="69">
        <f t="shared" si="47"/>
        <v>0</v>
      </c>
      <c r="U234" s="58">
        <f>(H234*K234)+H234</f>
        <v>275.55374999999998</v>
      </c>
    </row>
    <row r="235" spans="1:21" x14ac:dyDescent="0.25">
      <c r="A235" s="98" t="s">
        <v>267</v>
      </c>
      <c r="B235" s="99"/>
      <c r="C235" s="42" t="str">
        <f t="shared" si="41"/>
        <v>Artisanal Imports|</v>
      </c>
      <c r="D235" s="73">
        <v>4448</v>
      </c>
      <c r="E235" s="82">
        <v>9226</v>
      </c>
      <c r="F235" s="83">
        <v>1.0741909999999999</v>
      </c>
      <c r="G235" s="82">
        <v>957</v>
      </c>
      <c r="H235" s="100">
        <v>5405</v>
      </c>
      <c r="I235" s="177">
        <f t="shared" si="42"/>
        <v>11211.000787000001</v>
      </c>
      <c r="J235" s="96">
        <f t="shared" si="40"/>
        <v>1.0741907098982426</v>
      </c>
      <c r="K235" s="101">
        <f>_xlfn.XLOOKUP(C235,'2025 Goal Data'!C:C,'2025 Goal Data'!F:F,"")</f>
        <v>0.58843663274745606</v>
      </c>
      <c r="L235" s="112">
        <f t="shared" si="43"/>
        <v>3180.5</v>
      </c>
      <c r="M235" s="102">
        <f t="shared" si="44"/>
        <v>0.48575407715078656</v>
      </c>
      <c r="N235" s="103">
        <f>_xlfn.XLOOKUP(C235,'2025 Goal Data'!C:C,'2025 Goal Data'!I:I,"")</f>
        <v>0.58843663274745606</v>
      </c>
      <c r="O235" s="116">
        <f t="shared" si="45"/>
        <v>3180.5</v>
      </c>
      <c r="P235" s="104">
        <f t="shared" si="46"/>
        <v>0.48575407715078656</v>
      </c>
      <c r="Q235" s="67">
        <f t="shared" si="47"/>
        <v>0</v>
      </c>
      <c r="U235" s="57">
        <f>SUMIF(B:B,A235,K:K)</f>
        <v>1.25</v>
      </c>
    </row>
    <row r="236" spans="1:21" x14ac:dyDescent="0.25">
      <c r="A236" s="2" t="s">
        <v>66</v>
      </c>
      <c r="B236" s="2" t="s">
        <v>267</v>
      </c>
      <c r="C236" s="42" t="str">
        <f t="shared" si="41"/>
        <v>Tona|Artisanal Imports</v>
      </c>
      <c r="D236" s="74">
        <v>2366</v>
      </c>
      <c r="E236" s="1">
        <v>4033</v>
      </c>
      <c r="F236" s="3">
        <v>0.704565</v>
      </c>
      <c r="G236" s="1">
        <v>600</v>
      </c>
      <c r="H236" s="94">
        <v>2966</v>
      </c>
      <c r="I236" s="178">
        <f t="shared" si="42"/>
        <v>5055.7389999999996</v>
      </c>
      <c r="J236" s="96">
        <f t="shared" si="40"/>
        <v>0.70456473364801075</v>
      </c>
      <c r="K236" s="59">
        <f>_xlfn.XLOOKUP(C236,'2025 Goal Data'!C:C,'2025 Goal Data'!F:F,"")</f>
        <v>0.25</v>
      </c>
      <c r="L236" s="54">
        <f t="shared" si="43"/>
        <v>741.5</v>
      </c>
      <c r="M236" s="87">
        <f t="shared" si="44"/>
        <v>0.45456473364801075</v>
      </c>
      <c r="N236" s="68">
        <f>_xlfn.XLOOKUP(C236,'2025 Goal Data'!C:C,'2025 Goal Data'!I:I,"")</f>
        <v>0.25</v>
      </c>
      <c r="O236" s="117">
        <f t="shared" si="45"/>
        <v>741.5</v>
      </c>
      <c r="P236" s="91">
        <f t="shared" si="46"/>
        <v>0.45456473364801075</v>
      </c>
      <c r="Q236" s="69">
        <f t="shared" si="47"/>
        <v>0</v>
      </c>
      <c r="U236" s="58">
        <f>(H236*K236)+H236</f>
        <v>3707.5</v>
      </c>
    </row>
    <row r="237" spans="1:21" x14ac:dyDescent="0.25">
      <c r="A237" s="2" t="s">
        <v>67</v>
      </c>
      <c r="B237" s="2" t="s">
        <v>267</v>
      </c>
      <c r="C237" s="42" t="str">
        <f t="shared" si="41"/>
        <v>Palma|Artisanal Imports</v>
      </c>
      <c r="D237" s="74">
        <v>2082</v>
      </c>
      <c r="E237" s="1">
        <v>5193</v>
      </c>
      <c r="F237" s="3">
        <v>1.4942359999999999</v>
      </c>
      <c r="G237" s="1">
        <v>357</v>
      </c>
      <c r="H237" s="94">
        <v>2439</v>
      </c>
      <c r="I237" s="178">
        <f t="shared" si="42"/>
        <v>6083.4422519999998</v>
      </c>
      <c r="J237" s="96">
        <f t="shared" si="40"/>
        <v>1.4942362656826567</v>
      </c>
      <c r="K237" s="59">
        <f>_xlfn.XLOOKUP(C237,'2025 Goal Data'!C:C,'2025 Goal Data'!F:F,"")</f>
        <v>1</v>
      </c>
      <c r="L237" s="54">
        <f t="shared" si="43"/>
        <v>2439</v>
      </c>
      <c r="M237" s="87">
        <f t="shared" si="44"/>
        <v>0.49423626568265666</v>
      </c>
      <c r="N237" s="68">
        <f>_xlfn.XLOOKUP(C237,'2025 Goal Data'!C:C,'2025 Goal Data'!I:I,"")</f>
        <v>1</v>
      </c>
      <c r="O237" s="117">
        <f t="shared" si="45"/>
        <v>2439</v>
      </c>
      <c r="P237" s="91">
        <f t="shared" si="46"/>
        <v>0.49423626568265666</v>
      </c>
      <c r="Q237" s="69">
        <f t="shared" si="47"/>
        <v>0</v>
      </c>
      <c r="U237" s="58">
        <f>(H237*K237)+H237</f>
        <v>4878</v>
      </c>
    </row>
    <row r="238" spans="1:21" x14ac:dyDescent="0.25">
      <c r="A238" s="98" t="s">
        <v>351</v>
      </c>
      <c r="B238" s="99"/>
      <c r="C238" s="42" t="str">
        <f t="shared" si="41"/>
        <v>Evil Genius|</v>
      </c>
      <c r="D238" s="73">
        <v>5001.2556210000002</v>
      </c>
      <c r="E238" s="82">
        <v>3933.4805980000001</v>
      </c>
      <c r="F238" s="83">
        <v>-0.213501</v>
      </c>
      <c r="G238" s="82">
        <v>936.54167800000005</v>
      </c>
      <c r="H238" s="100">
        <v>5937.7972989999998</v>
      </c>
      <c r="I238" s="177">
        <f t="shared" si="42"/>
        <v>4670.0696912053218</v>
      </c>
      <c r="J238" s="96">
        <f t="shared" si="40"/>
        <v>-0.21350132784225884</v>
      </c>
      <c r="K238" s="101">
        <f>_xlfn.XLOOKUP(C238,'2025 Goal Data'!C:C,'2025 Goal Data'!F:F,"")</f>
        <v>-0.02</v>
      </c>
      <c r="L238" s="112">
        <f t="shared" si="43"/>
        <v>-118.75594597999999</v>
      </c>
      <c r="M238" s="102">
        <f t="shared" si="44"/>
        <v>-0.19350132784225885</v>
      </c>
      <c r="N238" s="103">
        <f>_xlfn.XLOOKUP(C238,'2025 Goal Data'!C:C,'2025 Goal Data'!I:I,"")</f>
        <v>-0.02</v>
      </c>
      <c r="O238" s="116">
        <f t="shared" si="45"/>
        <v>-118.75594597999999</v>
      </c>
      <c r="P238" s="104">
        <f t="shared" si="46"/>
        <v>-0.19350132784225885</v>
      </c>
      <c r="Q238" s="67">
        <f t="shared" si="47"/>
        <v>0</v>
      </c>
      <c r="U238" s="57">
        <f>SUMIF(B:B,A238,K:K)</f>
        <v>-0.02</v>
      </c>
    </row>
    <row r="239" spans="1:21" x14ac:dyDescent="0.25">
      <c r="A239" s="2" t="s">
        <v>351</v>
      </c>
      <c r="B239" s="2" t="s">
        <v>351</v>
      </c>
      <c r="C239" s="42" t="str">
        <f t="shared" si="41"/>
        <v>Evil Genius|Evil Genius</v>
      </c>
      <c r="D239" s="74">
        <v>5001.2556210000002</v>
      </c>
      <c r="E239" s="1">
        <v>3933.4805980000001</v>
      </c>
      <c r="F239" s="3">
        <v>-0.213501</v>
      </c>
      <c r="G239" s="1">
        <v>936.54167800000005</v>
      </c>
      <c r="H239" s="94">
        <v>5937.7972989999998</v>
      </c>
      <c r="I239" s="178">
        <f t="shared" si="42"/>
        <v>4670.0696912053218</v>
      </c>
      <c r="J239" s="96">
        <f t="shared" si="40"/>
        <v>-0.21350132784225884</v>
      </c>
      <c r="K239" s="59">
        <f>_xlfn.XLOOKUP(C239,'2025 Goal Data'!C:C,'2025 Goal Data'!F:F,"")</f>
        <v>-0.02</v>
      </c>
      <c r="L239" s="54">
        <f t="shared" si="43"/>
        <v>-118.75594597999999</v>
      </c>
      <c r="M239" s="87">
        <f t="shared" si="44"/>
        <v>-0.19350132784225885</v>
      </c>
      <c r="N239" s="68">
        <f>_xlfn.XLOOKUP(C239,'2025 Goal Data'!C:C,'2025 Goal Data'!I:I,"")</f>
        <v>-0.02</v>
      </c>
      <c r="O239" s="117">
        <f t="shared" si="45"/>
        <v>-118.75594597999999</v>
      </c>
      <c r="P239" s="91">
        <f t="shared" si="46"/>
        <v>-0.19350132784225885</v>
      </c>
      <c r="Q239" s="69">
        <f t="shared" si="47"/>
        <v>0</v>
      </c>
      <c r="U239" s="58">
        <f>(H239*K239)+H239</f>
        <v>5819.0413530199994</v>
      </c>
    </row>
    <row r="240" spans="1:21" x14ac:dyDescent="0.25">
      <c r="A240" s="98" t="s">
        <v>405</v>
      </c>
      <c r="B240" s="99"/>
      <c r="C240" s="42" t="str">
        <f t="shared" si="41"/>
        <v>Harpoon Brewery|</v>
      </c>
      <c r="D240" s="73">
        <v>3933.3194520000002</v>
      </c>
      <c r="E240" s="82">
        <v>3047.6805559999998</v>
      </c>
      <c r="F240" s="83">
        <v>-0.225163</v>
      </c>
      <c r="G240" s="82">
        <v>907.76388999999995</v>
      </c>
      <c r="H240" s="100">
        <v>4841.0833419999999</v>
      </c>
      <c r="I240" s="177">
        <f t="shared" si="42"/>
        <v>3751.0496052359299</v>
      </c>
      <c r="J240" s="96">
        <f t="shared" si="40"/>
        <v>-0.2251631834773874</v>
      </c>
      <c r="K240" s="101">
        <f>_xlfn.XLOOKUP(C240,'2025 Goal Data'!C:C,'2025 Goal Data'!F:F,"")</f>
        <v>0</v>
      </c>
      <c r="L240" s="112">
        <f t="shared" si="43"/>
        <v>0</v>
      </c>
      <c r="M240" s="102">
        <f t="shared" si="44"/>
        <v>-0.2251631834773874</v>
      </c>
      <c r="N240" s="103">
        <f>_xlfn.XLOOKUP(C240,'2025 Goal Data'!C:C,'2025 Goal Data'!I:I,"")</f>
        <v>-9.4677856004257904E-2</v>
      </c>
      <c r="O240" s="116">
        <f t="shared" si="45"/>
        <v>-458.34339155848761</v>
      </c>
      <c r="P240" s="104">
        <f t="shared" si="46"/>
        <v>-0.13048532747312949</v>
      </c>
      <c r="Q240" s="67">
        <f t="shared" si="47"/>
        <v>9.4677856004257904E-2</v>
      </c>
      <c r="U240" s="57">
        <f>SUMIF(B:B,A240,K:K)</f>
        <v>0</v>
      </c>
    </row>
    <row r="241" spans="1:21" x14ac:dyDescent="0.25">
      <c r="A241" s="2" t="s">
        <v>323</v>
      </c>
      <c r="B241" s="2" t="s">
        <v>405</v>
      </c>
      <c r="C241" s="42" t="str">
        <f t="shared" si="41"/>
        <v>Long Trail|Harpoon Brewery</v>
      </c>
      <c r="D241" s="74">
        <v>3923.4305629999999</v>
      </c>
      <c r="E241" s="1">
        <v>3047.6805559999998</v>
      </c>
      <c r="F241" s="3">
        <v>-0.22320999999999999</v>
      </c>
      <c r="G241" s="1">
        <v>900.875001</v>
      </c>
      <c r="H241" s="94">
        <v>4824.3055640000002</v>
      </c>
      <c r="I241" s="178">
        <f t="shared" si="42"/>
        <v>3747.4712480267899</v>
      </c>
      <c r="J241" s="96">
        <f t="shared" si="40"/>
        <v>-0.22321022200765606</v>
      </c>
      <c r="K241" s="59">
        <f>_xlfn.XLOOKUP(C241,'2025 Goal Data'!C:C,'2025 Goal Data'!F:F,"")</f>
        <v>0</v>
      </c>
      <c r="L241" s="54">
        <f t="shared" si="43"/>
        <v>0</v>
      </c>
      <c r="M241" s="87">
        <f t="shared" si="44"/>
        <v>-0.22321022200765606</v>
      </c>
      <c r="N241" s="68">
        <f>_xlfn.XLOOKUP(C241,'2025 Goal Data'!C:C,'2025 Goal Data'!I:I,"")</f>
        <v>-9.5000000000000001E-2</v>
      </c>
      <c r="O241" s="117">
        <f t="shared" si="45"/>
        <v>-458.30902858000002</v>
      </c>
      <c r="P241" s="91">
        <f t="shared" si="46"/>
        <v>-0.12821022200765606</v>
      </c>
      <c r="Q241" s="69">
        <f t="shared" si="47"/>
        <v>9.5000000000000001E-2</v>
      </c>
      <c r="U241" s="58">
        <f>(H241*K241)+H241</f>
        <v>4824.3055640000002</v>
      </c>
    </row>
    <row r="242" spans="1:21" x14ac:dyDescent="0.25">
      <c r="A242" s="128" t="s">
        <v>268</v>
      </c>
      <c r="B242" s="2" t="s">
        <v>405</v>
      </c>
      <c r="C242" s="42" t="str">
        <f t="shared" si="41"/>
        <v>Shed|Harpoon Brewery</v>
      </c>
      <c r="D242" s="74">
        <v>6.8888889999999998</v>
      </c>
      <c r="E242" s="1">
        <v>0</v>
      </c>
      <c r="F242" s="3">
        <v>-1</v>
      </c>
      <c r="G242" s="1">
        <v>6.8888889999999998</v>
      </c>
      <c r="H242" s="94">
        <v>13.777778</v>
      </c>
      <c r="I242" s="178">
        <f t="shared" si="42"/>
        <v>0</v>
      </c>
      <c r="J242" s="96">
        <f t="shared" si="40"/>
        <v>-1</v>
      </c>
      <c r="K242" s="59">
        <f>_xlfn.XLOOKUP(C242,'2025 Goal Data'!C:C,'2025 Goal Data'!F:F,"")</f>
        <v>0</v>
      </c>
      <c r="L242" s="54">
        <f t="shared" si="43"/>
        <v>0</v>
      </c>
      <c r="M242" s="87">
        <f t="shared" si="44"/>
        <v>-1</v>
      </c>
      <c r="N242" s="68">
        <f>_xlfn.XLOOKUP(C242,'2025 Goal Data'!C:C,'2025 Goal Data'!I:I,"")</f>
        <v>0</v>
      </c>
      <c r="O242" s="117">
        <f t="shared" si="45"/>
        <v>0</v>
      </c>
      <c r="P242" s="91">
        <f t="shared" si="46"/>
        <v>-1</v>
      </c>
      <c r="Q242" s="69">
        <f t="shared" si="47"/>
        <v>0</v>
      </c>
      <c r="U242" s="58">
        <f>(H242*K242)+H242</f>
        <v>13.777778</v>
      </c>
    </row>
    <row r="243" spans="1:21" x14ac:dyDescent="0.25">
      <c r="A243" s="128" t="s">
        <v>68</v>
      </c>
      <c r="B243" s="2" t="s">
        <v>405</v>
      </c>
      <c r="C243" s="42" t="str">
        <f t="shared" si="41"/>
        <v>Otter Creek|Harpoon Brewery</v>
      </c>
      <c r="D243" s="74">
        <v>3</v>
      </c>
      <c r="E243" s="1">
        <v>0</v>
      </c>
      <c r="F243" s="3">
        <v>-1</v>
      </c>
      <c r="G243" s="1">
        <v>0</v>
      </c>
      <c r="H243" s="94">
        <v>3</v>
      </c>
      <c r="I243" s="178">
        <f t="shared" si="42"/>
        <v>0</v>
      </c>
      <c r="J243" s="96">
        <f t="shared" si="40"/>
        <v>-1</v>
      </c>
      <c r="K243" s="59">
        <f>_xlfn.XLOOKUP(C243,'2025 Goal Data'!C:C,'2025 Goal Data'!F:F,"")</f>
        <v>0</v>
      </c>
      <c r="L243" s="54">
        <f t="shared" si="43"/>
        <v>0</v>
      </c>
      <c r="M243" s="87">
        <f t="shared" si="44"/>
        <v>-1</v>
      </c>
      <c r="N243" s="68">
        <f>_xlfn.XLOOKUP(C243,'2025 Goal Data'!C:C,'2025 Goal Data'!I:I,"")</f>
        <v>0</v>
      </c>
      <c r="O243" s="117">
        <f t="shared" si="45"/>
        <v>0</v>
      </c>
      <c r="P243" s="91">
        <f t="shared" si="46"/>
        <v>-1</v>
      </c>
      <c r="Q243" s="69">
        <f t="shared" si="47"/>
        <v>0</v>
      </c>
      <c r="U243" s="58">
        <f>(H243*K243)+H243</f>
        <v>3</v>
      </c>
    </row>
    <row r="244" spans="1:21" x14ac:dyDescent="0.25">
      <c r="A244" s="98" t="s">
        <v>227</v>
      </c>
      <c r="B244" s="99"/>
      <c r="C244" s="42" t="str">
        <f t="shared" si="41"/>
        <v>Gambrinus Imports|</v>
      </c>
      <c r="D244" s="73">
        <v>1822.5555429999999</v>
      </c>
      <c r="E244" s="82">
        <v>1905.6666520000001</v>
      </c>
      <c r="F244" s="83">
        <v>4.5601000000000003E-2</v>
      </c>
      <c r="G244" s="82">
        <v>903.22221200000001</v>
      </c>
      <c r="H244" s="100">
        <v>2725.7777550000001</v>
      </c>
      <c r="I244" s="177">
        <f t="shared" si="42"/>
        <v>2850.076700089412</v>
      </c>
      <c r="J244" s="96">
        <f t="shared" si="40"/>
        <v>4.5601276502240662E-2</v>
      </c>
      <c r="K244" s="101">
        <f>_xlfn.XLOOKUP(C244,'2025 Goal Data'!C:C,'2025 Goal Data'!F:F,"")</f>
        <v>0.1</v>
      </c>
      <c r="L244" s="112">
        <f t="shared" si="43"/>
        <v>272.57777550000003</v>
      </c>
      <c r="M244" s="102">
        <f t="shared" si="44"/>
        <v>-5.4398723497759344E-2</v>
      </c>
      <c r="N244" s="103">
        <f>_xlfn.XLOOKUP(C244,'2025 Goal Data'!C:C,'2025 Goal Data'!I:I,"")</f>
        <v>0.05</v>
      </c>
      <c r="O244" s="116">
        <f t="shared" si="45"/>
        <v>136.28888775000001</v>
      </c>
      <c r="P244" s="104">
        <f t="shared" si="46"/>
        <v>-4.3987234977593409E-3</v>
      </c>
      <c r="Q244" s="67">
        <f t="shared" si="47"/>
        <v>0.05</v>
      </c>
      <c r="U244" s="57">
        <f>SUMIF(B:B,A244,K:K)</f>
        <v>0.1</v>
      </c>
    </row>
    <row r="245" spans="1:21" x14ac:dyDescent="0.25">
      <c r="A245" s="2" t="s">
        <v>228</v>
      </c>
      <c r="B245" s="2" t="s">
        <v>227</v>
      </c>
      <c r="C245" s="42" t="str">
        <f t="shared" si="41"/>
        <v>Shiner|Gambrinus Imports</v>
      </c>
      <c r="D245" s="74">
        <v>1822.5555429999999</v>
      </c>
      <c r="E245" s="1">
        <v>1905.6666520000001</v>
      </c>
      <c r="F245" s="3">
        <v>4.5601000000000003E-2</v>
      </c>
      <c r="G245" s="1">
        <v>903.22221200000001</v>
      </c>
      <c r="H245" s="94">
        <v>2725.7777550000001</v>
      </c>
      <c r="I245" s="178">
        <v>2525</v>
      </c>
      <c r="J245" s="96">
        <f t="shared" si="40"/>
        <v>-7.365888676422927E-2</v>
      </c>
      <c r="K245" s="59">
        <f>_xlfn.XLOOKUP(C245,'2025 Goal Data'!C:C,'2025 Goal Data'!F:F,"")</f>
        <v>0.1</v>
      </c>
      <c r="L245" s="54">
        <f t="shared" si="43"/>
        <v>272.57777550000003</v>
      </c>
      <c r="M245" s="87">
        <f t="shared" si="44"/>
        <v>-0.17365888676422928</v>
      </c>
      <c r="N245" s="68">
        <f>_xlfn.XLOOKUP(C245,'2025 Goal Data'!C:C,'2025 Goal Data'!I:I,"")</f>
        <v>0.05</v>
      </c>
      <c r="O245" s="117">
        <f t="shared" si="45"/>
        <v>136.28888775000001</v>
      </c>
      <c r="P245" s="91">
        <f t="shared" si="46"/>
        <v>-0.12365888676422927</v>
      </c>
      <c r="Q245" s="69">
        <f t="shared" si="47"/>
        <v>0.05</v>
      </c>
      <c r="U245" s="58">
        <f>(H245*K245)+H245</f>
        <v>2998.3555305</v>
      </c>
    </row>
    <row r="246" spans="1:21" x14ac:dyDescent="0.25">
      <c r="A246" s="98" t="s">
        <v>251</v>
      </c>
      <c r="B246" s="99"/>
      <c r="C246" s="42" t="str">
        <f t="shared" si="41"/>
        <v>Bell's|</v>
      </c>
      <c r="D246" s="73">
        <v>4198.7777139999998</v>
      </c>
      <c r="E246" s="82">
        <v>3939.1111110000002</v>
      </c>
      <c r="F246" s="83">
        <v>-6.1843000000000002E-2</v>
      </c>
      <c r="G246" s="82">
        <v>837.33333400000004</v>
      </c>
      <c r="H246" s="100">
        <v>5036.1110479999998</v>
      </c>
      <c r="I246" s="177">
        <f t="shared" si="42"/>
        <v>4724.6612396254386</v>
      </c>
      <c r="J246" s="96">
        <f t="shared" si="40"/>
        <v>-6.1843316282361949E-2</v>
      </c>
      <c r="K246" s="101">
        <f>_xlfn.XLOOKUP(C246,'2025 Goal Data'!C:C,'2025 Goal Data'!F:F,"")</f>
        <v>0.19690168818272091</v>
      </c>
      <c r="L246" s="112">
        <f t="shared" si="43"/>
        <v>991.61876722685179</v>
      </c>
      <c r="M246" s="102">
        <f t="shared" si="44"/>
        <v>-0.25874500446508286</v>
      </c>
      <c r="N246" s="103">
        <f>_xlfn.XLOOKUP(C246,'2025 Goal Data'!C:C,'2025 Goal Data'!I:I,"")</f>
        <v>0.10228003972194638</v>
      </c>
      <c r="O246" s="116">
        <f t="shared" si="45"/>
        <v>515.09363803357303</v>
      </c>
      <c r="P246" s="104">
        <f t="shared" si="46"/>
        <v>-0.16412335600430833</v>
      </c>
      <c r="Q246" s="67">
        <f t="shared" si="47"/>
        <v>9.4621648460774532E-2</v>
      </c>
      <c r="U246" s="57">
        <f>SUMIF(B:B,A246,K:K)</f>
        <v>0.13</v>
      </c>
    </row>
    <row r="247" spans="1:21" x14ac:dyDescent="0.25">
      <c r="A247" s="2" t="s">
        <v>296</v>
      </c>
      <c r="B247" s="2" t="s">
        <v>251</v>
      </c>
      <c r="C247" s="42" t="str">
        <f t="shared" si="41"/>
        <v>Bell's Hearted Family|Bell's</v>
      </c>
      <c r="D247" s="74">
        <v>3047.3332740000001</v>
      </c>
      <c r="E247" s="1">
        <v>2980.3333349999998</v>
      </c>
      <c r="F247" s="3">
        <v>-2.1985999999999999E-2</v>
      </c>
      <c r="G247" s="1">
        <v>568.000001</v>
      </c>
      <c r="H247" s="94">
        <v>3615.333275</v>
      </c>
      <c r="I247" s="178">
        <f t="shared" si="42"/>
        <v>3535.8452879780139</v>
      </c>
      <c r="J247" s="96">
        <f t="shared" si="40"/>
        <v>-2.198635118140968E-2</v>
      </c>
      <c r="K247" s="59">
        <f>_xlfn.XLOOKUP(C247,'2025 Goal Data'!C:C,'2025 Goal Data'!F:F,"")</f>
        <v>0.44</v>
      </c>
      <c r="L247" s="54">
        <f t="shared" si="43"/>
        <v>1590.746641</v>
      </c>
      <c r="M247" s="87">
        <f t="shared" si="44"/>
        <v>-0.46198635118140968</v>
      </c>
      <c r="N247" s="68">
        <f>_xlfn.XLOOKUP(C247,'2025 Goal Data'!C:C,'2025 Goal Data'!I:I,"")</f>
        <v>0.3</v>
      </c>
      <c r="O247" s="117">
        <f t="shared" si="45"/>
        <v>1084.5999824999999</v>
      </c>
      <c r="P247" s="91">
        <f t="shared" si="46"/>
        <v>-0.32198635118140967</v>
      </c>
      <c r="Q247" s="69">
        <f t="shared" si="47"/>
        <v>0.14000000000000001</v>
      </c>
      <c r="U247" s="58">
        <f>(H247*K247)+H247</f>
        <v>5206.0799159999997</v>
      </c>
    </row>
    <row r="248" spans="1:21" x14ac:dyDescent="0.25">
      <c r="A248" s="2" t="s">
        <v>251</v>
      </c>
      <c r="B248" s="2" t="s">
        <v>251</v>
      </c>
      <c r="C248" s="42" t="str">
        <f t="shared" si="41"/>
        <v>Bell's|Bell's</v>
      </c>
      <c r="D248" s="74">
        <v>1151.44444</v>
      </c>
      <c r="E248" s="1">
        <v>958.77777600000002</v>
      </c>
      <c r="F248" s="3">
        <v>-0.167326</v>
      </c>
      <c r="G248" s="1">
        <v>269.33333299999998</v>
      </c>
      <c r="H248" s="94">
        <v>1420.777773</v>
      </c>
      <c r="I248" s="178">
        <f t="shared" si="42"/>
        <v>1183.0446397224421</v>
      </c>
      <c r="J248" s="96">
        <f t="shared" si="40"/>
        <v>-0.16732605041784954</v>
      </c>
      <c r="K248" s="59">
        <f>_xlfn.XLOOKUP(C248,'2025 Goal Data'!C:C,'2025 Goal Data'!F:F,"")</f>
        <v>-0.31</v>
      </c>
      <c r="L248" s="54">
        <f t="shared" si="43"/>
        <v>-440.44110963000003</v>
      </c>
      <c r="M248" s="87">
        <f t="shared" si="44"/>
        <v>0.14267394958215046</v>
      </c>
      <c r="N248" s="68">
        <f>_xlfn.XLOOKUP(C248,'2025 Goal Data'!C:C,'2025 Goal Data'!I:I,"")</f>
        <v>-0.31</v>
      </c>
      <c r="O248" s="117">
        <f t="shared" si="45"/>
        <v>-440.44110963000003</v>
      </c>
      <c r="P248" s="91">
        <f t="shared" si="46"/>
        <v>0.14267394958215046</v>
      </c>
      <c r="Q248" s="69">
        <f t="shared" si="47"/>
        <v>0</v>
      </c>
      <c r="U248" s="58">
        <f>(H248*K248)+H248</f>
        <v>980.33666337</v>
      </c>
    </row>
    <row r="249" spans="1:21" x14ac:dyDescent="0.25">
      <c r="A249" s="98" t="s">
        <v>69</v>
      </c>
      <c r="B249" s="99"/>
      <c r="C249" s="42" t="str">
        <f t="shared" si="41"/>
        <v>Flying Fish|</v>
      </c>
      <c r="D249" s="73">
        <v>3765.0763529999999</v>
      </c>
      <c r="E249" s="82">
        <v>3037.5</v>
      </c>
      <c r="F249" s="83">
        <v>-0.193243</v>
      </c>
      <c r="G249" s="82">
        <v>771.46526600000004</v>
      </c>
      <c r="H249" s="100">
        <v>4536.5416189999996</v>
      </c>
      <c r="I249" s="177">
        <f t="shared" si="42"/>
        <v>3659.8850036023623</v>
      </c>
      <c r="J249" s="96">
        <f t="shared" si="40"/>
        <v>-0.19324337546601866</v>
      </c>
      <c r="K249" s="101">
        <f>_xlfn.XLOOKUP(C249,'2025 Goal Data'!C:C,'2025 Goal Data'!F:F,"")</f>
        <v>4.8963844797178134E-3</v>
      </c>
      <c r="L249" s="112">
        <f t="shared" si="43"/>
        <v>22.212651974865519</v>
      </c>
      <c r="M249" s="102">
        <f t="shared" si="44"/>
        <v>-0.19813975994573649</v>
      </c>
      <c r="N249" s="103">
        <f>_xlfn.XLOOKUP(C249,'2025 Goal Data'!C:C,'2025 Goal Data'!I:I,"")</f>
        <v>4.8963844797178134E-3</v>
      </c>
      <c r="O249" s="116">
        <f t="shared" si="45"/>
        <v>22.212651974865519</v>
      </c>
      <c r="P249" s="104">
        <f t="shared" si="46"/>
        <v>-0.19813975994573649</v>
      </c>
      <c r="Q249" s="67">
        <f t="shared" si="47"/>
        <v>0</v>
      </c>
      <c r="U249" s="57">
        <f>SUMIF(B:B,A249,K:K)</f>
        <v>5.0000000000000001E-3</v>
      </c>
    </row>
    <row r="250" spans="1:21" x14ac:dyDescent="0.25">
      <c r="A250" s="2" t="s">
        <v>69</v>
      </c>
      <c r="B250" s="2" t="s">
        <v>69</v>
      </c>
      <c r="C250" s="42" t="str">
        <f t="shared" si="41"/>
        <v>Flying Fish|Flying Fish</v>
      </c>
      <c r="D250" s="74">
        <v>3691.513852</v>
      </c>
      <c r="E250" s="1">
        <v>2871.9236089999999</v>
      </c>
      <c r="F250" s="3">
        <v>-0.22202</v>
      </c>
      <c r="G250" s="1">
        <v>750.74998800000003</v>
      </c>
      <c r="H250" s="94">
        <v>4442.2638399999996</v>
      </c>
      <c r="I250" s="178">
        <f t="shared" si="42"/>
        <v>3455.9920846642399</v>
      </c>
      <c r="J250" s="96">
        <f t="shared" si="40"/>
        <v>-0.22202007599255069</v>
      </c>
      <c r="K250" s="59">
        <f>_xlfn.XLOOKUP(C250,'2025 Goal Data'!C:C,'2025 Goal Data'!F:F,"")</f>
        <v>5.0000000000000001E-3</v>
      </c>
      <c r="L250" s="54">
        <f t="shared" si="43"/>
        <v>22.211319199999998</v>
      </c>
      <c r="M250" s="87">
        <f t="shared" si="44"/>
        <v>-0.2270200759925507</v>
      </c>
      <c r="N250" s="68">
        <f>_xlfn.XLOOKUP(C250,'2025 Goal Data'!C:C,'2025 Goal Data'!I:I,"")</f>
        <v>5.0000000000000001E-3</v>
      </c>
      <c r="O250" s="117">
        <f t="shared" si="45"/>
        <v>22.211319199999998</v>
      </c>
      <c r="P250" s="91">
        <f t="shared" si="46"/>
        <v>-0.2270200759925507</v>
      </c>
      <c r="Q250" s="69">
        <f t="shared" si="47"/>
        <v>0</v>
      </c>
      <c r="U250" s="58">
        <f>(H250*K250)+H250</f>
        <v>4464.4751591999993</v>
      </c>
    </row>
    <row r="251" spans="1:21" x14ac:dyDescent="0.25">
      <c r="A251" s="2" t="s">
        <v>70</v>
      </c>
      <c r="B251" s="2" t="s">
        <v>69</v>
      </c>
      <c r="C251" s="42" t="str">
        <f t="shared" si="41"/>
        <v>Big Mans Brew|Flying Fish</v>
      </c>
      <c r="D251" s="74">
        <v>73.562500999999997</v>
      </c>
      <c r="E251" s="1">
        <v>165.576391</v>
      </c>
      <c r="F251" s="3">
        <v>1.250826</v>
      </c>
      <c r="G251" s="1">
        <v>20.715278000000001</v>
      </c>
      <c r="H251" s="94">
        <v>94.277778999999995</v>
      </c>
      <c r="I251" s="178">
        <f t="shared" si="42"/>
        <v>212.20287731962799</v>
      </c>
      <c r="J251" s="96">
        <f t="shared" si="40"/>
        <v>1.2508260119240613</v>
      </c>
      <c r="K251" s="59">
        <f>_xlfn.XLOOKUP(C251,'2025 Goal Data'!C:C,'2025 Goal Data'!F:F,"")</f>
        <v>0</v>
      </c>
      <c r="L251" s="54">
        <f t="shared" si="43"/>
        <v>0</v>
      </c>
      <c r="M251" s="87">
        <f t="shared" si="44"/>
        <v>1.2508260119240613</v>
      </c>
      <c r="N251" s="68">
        <f>_xlfn.XLOOKUP(C251,'2025 Goal Data'!C:C,'2025 Goal Data'!I:I,"")</f>
        <v>0</v>
      </c>
      <c r="O251" s="117">
        <f t="shared" si="45"/>
        <v>0</v>
      </c>
      <c r="P251" s="91">
        <f t="shared" si="46"/>
        <v>1.2508260119240613</v>
      </c>
      <c r="Q251" s="69">
        <f t="shared" si="47"/>
        <v>0</v>
      </c>
      <c r="U251" s="58">
        <f>(H251*K251)+H251</f>
        <v>94.277778999999995</v>
      </c>
    </row>
    <row r="252" spans="1:21" x14ac:dyDescent="0.25">
      <c r="A252" s="98" t="s">
        <v>269</v>
      </c>
      <c r="B252" s="99"/>
      <c r="C252" s="42" t="str">
        <f t="shared" si="41"/>
        <v>Global Beer|</v>
      </c>
      <c r="D252" s="73">
        <v>3845.3422700000001</v>
      </c>
      <c r="E252" s="82">
        <v>3142.5014190000002</v>
      </c>
      <c r="F252" s="83">
        <v>-0.182777</v>
      </c>
      <c r="G252" s="82">
        <v>620.11964499999999</v>
      </c>
      <c r="H252" s="100">
        <v>4465.4619149999999</v>
      </c>
      <c r="I252" s="177">
        <f t="shared" si="42"/>
        <v>3649.2774556458353</v>
      </c>
      <c r="J252" s="96">
        <f t="shared" si="40"/>
        <v>-0.18277716278634182</v>
      </c>
      <c r="K252" s="101">
        <f>_xlfn.XLOOKUP(C252,'2025 Goal Data'!C:C,'2025 Goal Data'!F:F,"")</f>
        <v>0.12210987117572565</v>
      </c>
      <c r="L252" s="112">
        <f t="shared" si="43"/>
        <v>545.2769791807591</v>
      </c>
      <c r="M252" s="102">
        <f t="shared" si="44"/>
        <v>-0.30488703396206746</v>
      </c>
      <c r="N252" s="103">
        <f>_xlfn.XLOOKUP(C252,'2025 Goal Data'!C:C,'2025 Goal Data'!I:I,"")</f>
        <v>-1.1416594113072033E-2</v>
      </c>
      <c r="O252" s="116">
        <f t="shared" si="45"/>
        <v>-50.980366210936367</v>
      </c>
      <c r="P252" s="104">
        <f t="shared" si="46"/>
        <v>-0.17136056867326979</v>
      </c>
      <c r="Q252" s="67">
        <f t="shared" si="47"/>
        <v>0.13352646528879766</v>
      </c>
      <c r="U252" s="57">
        <f>SUMIF(B:B,A252,K:K)</f>
        <v>1.4100000000000004</v>
      </c>
    </row>
    <row r="253" spans="1:21" x14ac:dyDescent="0.25">
      <c r="A253" s="2" t="s">
        <v>18</v>
      </c>
      <c r="B253" s="2" t="s">
        <v>269</v>
      </c>
      <c r="C253" s="42" t="str">
        <f t="shared" si="41"/>
        <v>Stiegl|Global Beer</v>
      </c>
      <c r="D253" s="74">
        <v>1713.056746</v>
      </c>
      <c r="E253" s="1">
        <v>1481.0017760000001</v>
      </c>
      <c r="F253" s="3">
        <v>-0.135463</v>
      </c>
      <c r="G253" s="1">
        <v>244.68658600000001</v>
      </c>
      <c r="H253" s="94">
        <v>1957.743332</v>
      </c>
      <c r="I253" s="178">
        <f t="shared" si="42"/>
        <v>1692.5423830006821</v>
      </c>
      <c r="J253" s="96">
        <f t="shared" si="40"/>
        <v>-0.13546257298621101</v>
      </c>
      <c r="K253" s="59">
        <f>_xlfn.XLOOKUP(C253,'2025 Goal Data'!C:C,'2025 Goal Data'!F:F,"")</f>
        <v>0.12</v>
      </c>
      <c r="L253" s="54">
        <f t="shared" si="43"/>
        <v>234.92919984</v>
      </c>
      <c r="M253" s="87">
        <f t="shared" si="44"/>
        <v>-0.255462572986211</v>
      </c>
      <c r="N253" s="68">
        <f>_xlfn.XLOOKUP(C253,'2025 Goal Data'!C:C,'2025 Goal Data'!I:I,"")</f>
        <v>0.05</v>
      </c>
      <c r="O253" s="117">
        <f t="shared" si="45"/>
        <v>97.8871666</v>
      </c>
      <c r="P253" s="91">
        <f t="shared" si="46"/>
        <v>-0.18546257298621099</v>
      </c>
      <c r="Q253" s="69">
        <f t="shared" si="47"/>
        <v>7.0000000000000007E-2</v>
      </c>
      <c r="U253" s="58">
        <f t="shared" ref="U253:U261" si="48">(H253*K253)+H253</f>
        <v>2192.6725318399999</v>
      </c>
    </row>
    <row r="254" spans="1:21" x14ac:dyDescent="0.25">
      <c r="A254" s="2" t="s">
        <v>71</v>
      </c>
      <c r="B254" s="2" t="s">
        <v>269</v>
      </c>
      <c r="C254" s="42" t="str">
        <f t="shared" si="41"/>
        <v>Sullivan's|Global Beer</v>
      </c>
      <c r="D254" s="74">
        <v>1259.0558920000001</v>
      </c>
      <c r="E254" s="1">
        <v>1031.43777</v>
      </c>
      <c r="F254" s="3">
        <v>-0.180785</v>
      </c>
      <c r="G254" s="1">
        <v>229.24311399999999</v>
      </c>
      <c r="H254" s="94">
        <v>1488.299006</v>
      </c>
      <c r="I254" s="178">
        <f t="shared" si="42"/>
        <v>1219.2371676355101</v>
      </c>
      <c r="J254" s="96">
        <f t="shared" si="40"/>
        <v>-0.18078480015089782</v>
      </c>
      <c r="K254" s="59">
        <f>_xlfn.XLOOKUP(C254,'2025 Goal Data'!C:C,'2025 Goal Data'!F:F,"")</f>
        <v>0.08</v>
      </c>
      <c r="L254" s="54">
        <f t="shared" si="43"/>
        <v>119.06392047999999</v>
      </c>
      <c r="M254" s="87">
        <f t="shared" si="44"/>
        <v>-0.26078480015089783</v>
      </c>
      <c r="N254" s="68">
        <f>_xlfn.XLOOKUP(C254,'2025 Goal Data'!C:C,'2025 Goal Data'!I:I,"")</f>
        <v>-0.1</v>
      </c>
      <c r="O254" s="117">
        <f t="shared" si="45"/>
        <v>-148.8299006</v>
      </c>
      <c r="P254" s="91">
        <f t="shared" si="46"/>
        <v>-8.0784800150897812E-2</v>
      </c>
      <c r="Q254" s="69">
        <f t="shared" ref="Q254:Q285" si="49">P254-M254</f>
        <v>0.18000000000000002</v>
      </c>
      <c r="U254" s="58">
        <f t="shared" si="48"/>
        <v>1607.3629264799999</v>
      </c>
    </row>
    <row r="255" spans="1:21" x14ac:dyDescent="0.25">
      <c r="A255" s="2" t="s">
        <v>195</v>
      </c>
      <c r="B255" s="2" t="s">
        <v>269</v>
      </c>
      <c r="C255" s="42" t="str">
        <f t="shared" si="41"/>
        <v>Yard House|Global Beer</v>
      </c>
      <c r="D255" s="74">
        <v>332.90973700000001</v>
      </c>
      <c r="E255" s="1">
        <v>270.25001099999997</v>
      </c>
      <c r="F255" s="3">
        <v>-0.188218</v>
      </c>
      <c r="G255" s="1">
        <v>55.375002000000002</v>
      </c>
      <c r="H255" s="94">
        <v>388.284739</v>
      </c>
      <c r="I255" s="178">
        <f t="shared" si="42"/>
        <v>315.202440873564</v>
      </c>
      <c r="J255" s="96">
        <f t="shared" si="40"/>
        <v>-0.18821831193946559</v>
      </c>
      <c r="K255" s="59">
        <f>_xlfn.XLOOKUP(C255,'2025 Goal Data'!C:C,'2025 Goal Data'!F:F,"")</f>
        <v>0.09</v>
      </c>
      <c r="L255" s="54">
        <f t="shared" si="43"/>
        <v>34.945626509999997</v>
      </c>
      <c r="M255" s="87">
        <f t="shared" si="44"/>
        <v>-0.27821831193946556</v>
      </c>
      <c r="N255" s="68">
        <f>_xlfn.XLOOKUP(C255,'2025 Goal Data'!C:C,'2025 Goal Data'!I:I,"")</f>
        <v>0</v>
      </c>
      <c r="O255" s="117">
        <f t="shared" si="45"/>
        <v>0</v>
      </c>
      <c r="P255" s="91">
        <f t="shared" si="46"/>
        <v>-0.18821831193946559</v>
      </c>
      <c r="Q255" s="69">
        <f t="shared" si="49"/>
        <v>8.9999999999999969E-2</v>
      </c>
      <c r="U255" s="58">
        <f t="shared" si="48"/>
        <v>423.23036551000001</v>
      </c>
    </row>
    <row r="256" spans="1:21" x14ac:dyDescent="0.25">
      <c r="A256" s="2" t="s">
        <v>352</v>
      </c>
      <c r="B256" s="2" t="s">
        <v>269</v>
      </c>
      <c r="C256" s="42" t="str">
        <f t="shared" si="41"/>
        <v>Bavik|Global Beer</v>
      </c>
      <c r="D256" s="74">
        <v>137.77778000000001</v>
      </c>
      <c r="E256" s="1">
        <v>68.888890000000004</v>
      </c>
      <c r="F256" s="3">
        <v>-0.5</v>
      </c>
      <c r="G256" s="1">
        <v>34.444445000000002</v>
      </c>
      <c r="H256" s="94">
        <v>172.22222500000001</v>
      </c>
      <c r="I256" s="178">
        <f t="shared" si="42"/>
        <v>86.111112500000004</v>
      </c>
      <c r="J256" s="96">
        <f t="shared" si="40"/>
        <v>-0.5</v>
      </c>
      <c r="K256" s="59">
        <f>_xlfn.XLOOKUP(C256,'2025 Goal Data'!C:C,'2025 Goal Data'!F:F,"")</f>
        <v>0.38</v>
      </c>
      <c r="L256" s="54">
        <f t="shared" si="43"/>
        <v>65.4444455</v>
      </c>
      <c r="M256" s="87">
        <f t="shared" si="44"/>
        <v>-0.88</v>
      </c>
      <c r="N256" s="68">
        <f>_xlfn.XLOOKUP(C256,'2025 Goal Data'!C:C,'2025 Goal Data'!I:I,"")</f>
        <v>0</v>
      </c>
      <c r="O256" s="117">
        <f t="shared" si="45"/>
        <v>0</v>
      </c>
      <c r="P256" s="91">
        <f t="shared" si="46"/>
        <v>-0.5</v>
      </c>
      <c r="Q256" s="69">
        <f t="shared" si="49"/>
        <v>0.38</v>
      </c>
      <c r="U256" s="58">
        <f t="shared" si="48"/>
        <v>237.66667050000001</v>
      </c>
    </row>
    <row r="257" spans="1:21" x14ac:dyDescent="0.25">
      <c r="A257" s="2" t="s">
        <v>406</v>
      </c>
      <c r="B257" s="2" t="s">
        <v>269</v>
      </c>
      <c r="C257" s="42" t="str">
        <f t="shared" si="41"/>
        <v>Petrus|Global Beer</v>
      </c>
      <c r="D257" s="74">
        <v>143.21876399999999</v>
      </c>
      <c r="E257" s="1">
        <v>105.31251</v>
      </c>
      <c r="F257" s="3">
        <v>-0.26467400000000002</v>
      </c>
      <c r="G257" s="1">
        <v>28.083335999999999</v>
      </c>
      <c r="H257" s="94">
        <v>171.3021</v>
      </c>
      <c r="I257" s="178">
        <f t="shared" si="42"/>
        <v>125.962917127536</v>
      </c>
      <c r="J257" s="96">
        <f t="shared" si="40"/>
        <v>-0.26467382987402954</v>
      </c>
      <c r="K257" s="59">
        <f>_xlfn.XLOOKUP(C257,'2025 Goal Data'!C:C,'2025 Goal Data'!F:F,"")</f>
        <v>0.38</v>
      </c>
      <c r="L257" s="54">
        <f t="shared" si="43"/>
        <v>65.094797999999997</v>
      </c>
      <c r="M257" s="87">
        <f t="shared" si="44"/>
        <v>-0.64467382987402955</v>
      </c>
      <c r="N257" s="68">
        <f>_xlfn.XLOOKUP(C257,'2025 Goal Data'!C:C,'2025 Goal Data'!I:I,"")</f>
        <v>0</v>
      </c>
      <c r="O257" s="117">
        <f t="shared" si="45"/>
        <v>0</v>
      </c>
      <c r="P257" s="91">
        <f t="shared" si="46"/>
        <v>-0.26467382987402954</v>
      </c>
      <c r="Q257" s="69">
        <f t="shared" si="49"/>
        <v>0.38</v>
      </c>
      <c r="U257" s="58">
        <f t="shared" si="48"/>
        <v>236.39689799999999</v>
      </c>
    </row>
    <row r="258" spans="1:21" x14ac:dyDescent="0.25">
      <c r="A258" s="2" t="s">
        <v>353</v>
      </c>
      <c r="B258" s="2" t="s">
        <v>269</v>
      </c>
      <c r="C258" s="42" t="str">
        <f t="shared" si="41"/>
        <v>Gulden Draak|Global Beer</v>
      </c>
      <c r="D258" s="74">
        <v>135.37155300000001</v>
      </c>
      <c r="E258" s="1">
        <v>107.836827</v>
      </c>
      <c r="F258" s="3">
        <v>-0.203401</v>
      </c>
      <c r="G258" s="1">
        <v>14.944448</v>
      </c>
      <c r="H258" s="94">
        <v>150.316001</v>
      </c>
      <c r="I258" s="178">
        <f t="shared" si="42"/>
        <v>119.741559332352</v>
      </c>
      <c r="J258" s="96">
        <f t="shared" si="40"/>
        <v>-0.20340111142025397</v>
      </c>
      <c r="K258" s="59">
        <f>_xlfn.XLOOKUP(C258,'2025 Goal Data'!C:C,'2025 Goal Data'!F:F,"")</f>
        <v>0.09</v>
      </c>
      <c r="L258" s="54">
        <f t="shared" si="43"/>
        <v>13.52844009</v>
      </c>
      <c r="M258" s="87">
        <f t="shared" si="44"/>
        <v>-0.29340111142025393</v>
      </c>
      <c r="N258" s="68">
        <f>_xlfn.XLOOKUP(C258,'2025 Goal Data'!C:C,'2025 Goal Data'!I:I,"")</f>
        <v>0</v>
      </c>
      <c r="O258" s="117">
        <f t="shared" si="45"/>
        <v>0</v>
      </c>
      <c r="P258" s="91">
        <f t="shared" si="46"/>
        <v>-0.20340111142025397</v>
      </c>
      <c r="Q258" s="69">
        <f t="shared" si="49"/>
        <v>8.9999999999999969E-2</v>
      </c>
      <c r="U258" s="58">
        <f t="shared" si="48"/>
        <v>163.84444109</v>
      </c>
    </row>
    <row r="259" spans="1:21" x14ac:dyDescent="0.25">
      <c r="A259" s="2" t="s">
        <v>117</v>
      </c>
      <c r="B259" s="2" t="s">
        <v>269</v>
      </c>
      <c r="C259" s="42" t="str">
        <f t="shared" si="41"/>
        <v>Piraat|Global Beer</v>
      </c>
      <c r="D259" s="74">
        <v>44.833343999999997</v>
      </c>
      <c r="E259" s="1">
        <v>54.291674999999998</v>
      </c>
      <c r="F259" s="3">
        <v>0.21096599999999999</v>
      </c>
      <c r="G259" s="1">
        <v>7.4722239999999998</v>
      </c>
      <c r="H259" s="94">
        <v>52.305568000000001</v>
      </c>
      <c r="I259" s="178">
        <f t="shared" si="42"/>
        <v>63.340284208383999</v>
      </c>
      <c r="J259" s="96">
        <f t="shared" ref="J259:J322" si="50">IFERROR((I259/H259)-1,0)</f>
        <v>0.21096637758305192</v>
      </c>
      <c r="K259" s="59">
        <f>_xlfn.XLOOKUP(C259,'2025 Goal Data'!C:C,'2025 Goal Data'!F:F,"")</f>
        <v>0.09</v>
      </c>
      <c r="L259" s="54">
        <f t="shared" si="43"/>
        <v>4.7075011199999999</v>
      </c>
      <c r="M259" s="87">
        <f t="shared" si="44"/>
        <v>0.12096637758305193</v>
      </c>
      <c r="N259" s="68">
        <f>_xlfn.XLOOKUP(C259,'2025 Goal Data'!C:C,'2025 Goal Data'!I:I,"")</f>
        <v>0</v>
      </c>
      <c r="O259" s="117">
        <f t="shared" si="45"/>
        <v>0</v>
      </c>
      <c r="P259" s="91">
        <f t="shared" si="46"/>
        <v>0.21096637758305192</v>
      </c>
      <c r="Q259" s="69">
        <f t="shared" si="49"/>
        <v>0.09</v>
      </c>
      <c r="U259" s="58">
        <f t="shared" si="48"/>
        <v>57.013069119999997</v>
      </c>
    </row>
    <row r="260" spans="1:21" x14ac:dyDescent="0.25">
      <c r="A260" s="2" t="s">
        <v>72</v>
      </c>
      <c r="B260" s="2" t="s">
        <v>269</v>
      </c>
      <c r="C260" s="42" t="str">
        <f t="shared" ref="C260:C323" si="51">A260&amp;"|"&amp;B260</f>
        <v>Baptist Wit|Global Beer</v>
      </c>
      <c r="D260" s="74">
        <v>76.316370000000006</v>
      </c>
      <c r="E260" s="1">
        <v>23.481960000000001</v>
      </c>
      <c r="F260" s="3">
        <v>-0.69230800000000003</v>
      </c>
      <c r="G260" s="1">
        <v>5.8704900000000002</v>
      </c>
      <c r="H260" s="94">
        <v>82.186859999999996</v>
      </c>
      <c r="I260" s="178">
        <f t="shared" ref="I260:I323" si="52">((G260*F260)+G260)+E260</f>
        <v>25.288262809080003</v>
      </c>
      <c r="J260" s="96">
        <f t="shared" si="50"/>
        <v>-0.69230771428571425</v>
      </c>
      <c r="K260" s="59">
        <f>_xlfn.XLOOKUP(C260,'2025 Goal Data'!C:C,'2025 Goal Data'!F:F,"")</f>
        <v>0.09</v>
      </c>
      <c r="L260" s="54">
        <f t="shared" si="43"/>
        <v>7.3968173999999998</v>
      </c>
      <c r="M260" s="87">
        <f t="shared" si="44"/>
        <v>-0.78230771428571422</v>
      </c>
      <c r="N260" s="68">
        <f>_xlfn.XLOOKUP(C260,'2025 Goal Data'!C:C,'2025 Goal Data'!I:I,"")</f>
        <v>0</v>
      </c>
      <c r="O260" s="117">
        <f t="shared" si="45"/>
        <v>0</v>
      </c>
      <c r="P260" s="91">
        <f t="shared" si="46"/>
        <v>-0.69230771428571425</v>
      </c>
      <c r="Q260" s="69">
        <f t="shared" si="49"/>
        <v>8.9999999999999969E-2</v>
      </c>
      <c r="U260" s="58">
        <f t="shared" si="48"/>
        <v>89.583677399999999</v>
      </c>
    </row>
    <row r="261" spans="1:21" x14ac:dyDescent="0.25">
      <c r="A261" s="128" t="s">
        <v>171</v>
      </c>
      <c r="B261" s="2" t="s">
        <v>269</v>
      </c>
      <c r="C261" s="42" t="str">
        <f t="shared" si="51"/>
        <v>Van Steenberge|Global Beer</v>
      </c>
      <c r="D261" s="74">
        <v>2.8020839999999998</v>
      </c>
      <c r="E261" s="1">
        <v>0</v>
      </c>
      <c r="F261" s="3">
        <v>-1</v>
      </c>
      <c r="G261" s="1">
        <v>0</v>
      </c>
      <c r="H261" s="94">
        <v>2.8020839999999998</v>
      </c>
      <c r="I261" s="178">
        <f t="shared" si="52"/>
        <v>0</v>
      </c>
      <c r="J261" s="96">
        <f t="shared" si="50"/>
        <v>-1</v>
      </c>
      <c r="K261" s="59">
        <f>_xlfn.XLOOKUP(C261,'2025 Goal Data'!C:C,'2025 Goal Data'!F:F,"")</f>
        <v>0.09</v>
      </c>
      <c r="L261" s="54">
        <f t="shared" ref="L261:L324" si="53">IFERROR(K261*H261,0)</f>
        <v>0.25218755999999998</v>
      </c>
      <c r="M261" s="87">
        <f t="shared" ref="M261:M324" si="54">IFERROR(J261-K261,0)</f>
        <v>-1.0900000000000001</v>
      </c>
      <c r="N261" s="68">
        <f>_xlfn.XLOOKUP(C261,'2025 Goal Data'!C:C,'2025 Goal Data'!I:I,"")</f>
        <v>0</v>
      </c>
      <c r="O261" s="117">
        <f t="shared" si="45"/>
        <v>0</v>
      </c>
      <c r="P261" s="91">
        <f t="shared" si="46"/>
        <v>-1</v>
      </c>
      <c r="Q261" s="69">
        <f t="shared" si="49"/>
        <v>9.000000000000008E-2</v>
      </c>
      <c r="U261" s="58">
        <f t="shared" si="48"/>
        <v>3.0542715599999997</v>
      </c>
    </row>
    <row r="262" spans="1:21" x14ac:dyDescent="0.25">
      <c r="A262" s="98" t="s">
        <v>324</v>
      </c>
      <c r="B262" s="99"/>
      <c r="C262" s="42" t="str">
        <f t="shared" si="51"/>
        <v>Vermont Hard Cider|</v>
      </c>
      <c r="D262" s="73">
        <v>3543.68055</v>
      </c>
      <c r="E262" s="82">
        <v>2952.2222200000001</v>
      </c>
      <c r="F262" s="83">
        <v>-0.166905</v>
      </c>
      <c r="G262" s="82">
        <v>592.08332800000005</v>
      </c>
      <c r="H262" s="100">
        <v>4135.7638779999997</v>
      </c>
      <c r="I262" s="177">
        <f t="shared" si="52"/>
        <v>3445.4838801401602</v>
      </c>
      <c r="J262" s="96">
        <f t="shared" si="50"/>
        <v>-0.166905079260388</v>
      </c>
      <c r="K262" s="101">
        <f>_xlfn.XLOOKUP(C262,'2025 Goal Data'!C:C,'2025 Goal Data'!F:F,"")</f>
        <v>-0.20360909530720853</v>
      </c>
      <c r="L262" s="112">
        <f t="shared" si="53"/>
        <v>-842.07914160381233</v>
      </c>
      <c r="M262" s="102">
        <f t="shared" si="54"/>
        <v>3.6704016046820526E-2</v>
      </c>
      <c r="N262" s="103">
        <f>_xlfn.XLOOKUP(C262,'2025 Goal Data'!C:C,'2025 Goal Data'!I:I,"")</f>
        <v>-0.20360909530720853</v>
      </c>
      <c r="O262" s="116">
        <f t="shared" ref="O262:O325" si="55">IFERROR(N262*H262,0)</f>
        <v>-842.07914160381233</v>
      </c>
      <c r="P262" s="104">
        <f t="shared" ref="P262:P325" si="56">IFERROR(J262-N262,0)</f>
        <v>3.6704016046820526E-2</v>
      </c>
      <c r="Q262" s="67">
        <f t="shared" si="49"/>
        <v>0</v>
      </c>
      <c r="U262" s="57">
        <f>SUMIF(B:B,A262,K:K)</f>
        <v>-0.97</v>
      </c>
    </row>
    <row r="263" spans="1:21" x14ac:dyDescent="0.25">
      <c r="A263" s="2" t="s">
        <v>252</v>
      </c>
      <c r="B263" s="2" t="s">
        <v>324</v>
      </c>
      <c r="C263" s="42" t="str">
        <f t="shared" si="51"/>
        <v>Woodchuck|Vermont Hard Cider</v>
      </c>
      <c r="D263" s="74">
        <v>2549.4583259999999</v>
      </c>
      <c r="E263" s="1">
        <v>2847.4444410000001</v>
      </c>
      <c r="F263" s="3">
        <v>0.116882</v>
      </c>
      <c r="G263" s="1">
        <v>550.41666099999998</v>
      </c>
      <c r="H263" s="94">
        <v>3099.8749870000001</v>
      </c>
      <c r="I263" s="178">
        <f t="shared" si="52"/>
        <v>3462.194902171002</v>
      </c>
      <c r="J263" s="96">
        <f t="shared" si="50"/>
        <v>0.11688210546892019</v>
      </c>
      <c r="K263" s="59">
        <f>_xlfn.XLOOKUP(C263,'2025 Goal Data'!C:C,'2025 Goal Data'!F:F,"")</f>
        <v>0.02</v>
      </c>
      <c r="L263" s="54">
        <f t="shared" si="53"/>
        <v>61.997499740000002</v>
      </c>
      <c r="M263" s="87">
        <f t="shared" si="54"/>
        <v>9.688210546892019E-2</v>
      </c>
      <c r="N263" s="68">
        <f>_xlfn.XLOOKUP(C263,'2025 Goal Data'!C:C,'2025 Goal Data'!I:I,"")</f>
        <v>0.02</v>
      </c>
      <c r="O263" s="117">
        <f t="shared" si="55"/>
        <v>61.997499740000002</v>
      </c>
      <c r="P263" s="91">
        <f t="shared" si="56"/>
        <v>9.688210546892019E-2</v>
      </c>
      <c r="Q263" s="69">
        <f t="shared" si="49"/>
        <v>0</v>
      </c>
      <c r="U263" s="58">
        <f>(H263*K263)+H263</f>
        <v>3161.8724867400001</v>
      </c>
    </row>
    <row r="264" spans="1:21" x14ac:dyDescent="0.25">
      <c r="A264" s="2" t="s">
        <v>172</v>
      </c>
      <c r="B264" s="2" t="s">
        <v>324</v>
      </c>
      <c r="C264" s="42" t="str">
        <f t="shared" si="51"/>
        <v>Day Chaser|Vermont Hard Cider</v>
      </c>
      <c r="D264" s="74">
        <v>884</v>
      </c>
      <c r="E264" s="1">
        <v>29</v>
      </c>
      <c r="F264" s="3">
        <v>-0.96719500000000003</v>
      </c>
      <c r="G264" s="1">
        <v>21</v>
      </c>
      <c r="H264" s="94">
        <v>905</v>
      </c>
      <c r="I264" s="178">
        <f t="shared" si="52"/>
        <v>29.688904999999998</v>
      </c>
      <c r="J264" s="96">
        <f t="shared" si="50"/>
        <v>-0.96719458011049719</v>
      </c>
      <c r="K264" s="59">
        <f>_xlfn.XLOOKUP(C264,'2025 Goal Data'!C:C,'2025 Goal Data'!F:F,"")</f>
        <v>-1</v>
      </c>
      <c r="L264" s="54">
        <f t="shared" si="53"/>
        <v>-905</v>
      </c>
      <c r="M264" s="87">
        <f t="shared" si="54"/>
        <v>3.2805419889502807E-2</v>
      </c>
      <c r="N264" s="68">
        <f>_xlfn.XLOOKUP(C264,'2025 Goal Data'!C:C,'2025 Goal Data'!I:I,"")</f>
        <v>-1</v>
      </c>
      <c r="O264" s="117">
        <f t="shared" si="55"/>
        <v>-905</v>
      </c>
      <c r="P264" s="91">
        <f t="shared" si="56"/>
        <v>3.2805419889502807E-2</v>
      </c>
      <c r="Q264" s="69">
        <f t="shared" si="49"/>
        <v>0</v>
      </c>
      <c r="U264" s="58">
        <f>(H264*K264)+H264</f>
        <v>0</v>
      </c>
    </row>
    <row r="265" spans="1:21" x14ac:dyDescent="0.25">
      <c r="A265" s="2" t="s">
        <v>118</v>
      </c>
      <c r="B265" s="2" t="s">
        <v>324</v>
      </c>
      <c r="C265" s="42" t="str">
        <f t="shared" si="51"/>
        <v>Wyder's|Vermont Hard Cider</v>
      </c>
      <c r="D265" s="74">
        <v>110.222224</v>
      </c>
      <c r="E265" s="1">
        <v>75.777778999999995</v>
      </c>
      <c r="F265" s="3">
        <v>-0.3125</v>
      </c>
      <c r="G265" s="1">
        <v>20.666667</v>
      </c>
      <c r="H265" s="94">
        <v>130.888891</v>
      </c>
      <c r="I265" s="178">
        <f t="shared" si="52"/>
        <v>89.986112562499997</v>
      </c>
      <c r="J265" s="96">
        <f t="shared" si="50"/>
        <v>-0.3125</v>
      </c>
      <c r="K265" s="59">
        <f>_xlfn.XLOOKUP(C265,'2025 Goal Data'!C:C,'2025 Goal Data'!F:F,"")</f>
        <v>0.01</v>
      </c>
      <c r="L265" s="54">
        <f t="shared" si="53"/>
        <v>1.3088889100000001</v>
      </c>
      <c r="M265" s="87">
        <f t="shared" si="54"/>
        <v>-0.32250000000000001</v>
      </c>
      <c r="N265" s="68">
        <f>_xlfn.XLOOKUP(C265,'2025 Goal Data'!C:C,'2025 Goal Data'!I:I,"")</f>
        <v>0.01</v>
      </c>
      <c r="O265" s="117">
        <f t="shared" si="55"/>
        <v>1.3088889100000001</v>
      </c>
      <c r="P265" s="91">
        <f t="shared" si="56"/>
        <v>-0.32250000000000001</v>
      </c>
      <c r="Q265" s="69">
        <f t="shared" si="49"/>
        <v>0</v>
      </c>
      <c r="U265" s="58">
        <f>(H265*K265)+H265</f>
        <v>132.19777991000001</v>
      </c>
    </row>
    <row r="266" spans="1:21" x14ac:dyDescent="0.25">
      <c r="A266" s="98" t="s">
        <v>381</v>
      </c>
      <c r="B266" s="99"/>
      <c r="C266" s="42" t="str">
        <f t="shared" si="51"/>
        <v>Travelers Club|</v>
      </c>
      <c r="D266" s="73">
        <v>3681.8656590000001</v>
      </c>
      <c r="E266" s="82">
        <v>3372.3630170000001</v>
      </c>
      <c r="F266" s="83">
        <v>-8.4060999999999997E-2</v>
      </c>
      <c r="G266" s="82">
        <v>552.84721000000002</v>
      </c>
      <c r="H266" s="100">
        <v>4234.712869</v>
      </c>
      <c r="I266" s="177">
        <f t="shared" si="52"/>
        <v>3878.7373376801902</v>
      </c>
      <c r="J266" s="96">
        <f t="shared" si="50"/>
        <v>-8.4061314741245008E-2</v>
      </c>
      <c r="K266" s="101">
        <f>_xlfn.XLOOKUP(C266,'2025 Goal Data'!C:C,'2025 Goal Data'!F:F,"")</f>
        <v>0</v>
      </c>
      <c r="L266" s="112">
        <f t="shared" si="53"/>
        <v>0</v>
      </c>
      <c r="M266" s="102">
        <f t="shared" si="54"/>
        <v>-8.4061314741245008E-2</v>
      </c>
      <c r="N266" s="103">
        <f>_xlfn.XLOOKUP(C266,'2025 Goal Data'!C:C,'2025 Goal Data'!I:I,"")</f>
        <v>0</v>
      </c>
      <c r="O266" s="116">
        <f t="shared" si="55"/>
        <v>0</v>
      </c>
      <c r="P266" s="104">
        <f t="shared" si="56"/>
        <v>-8.4061314741245008E-2</v>
      </c>
      <c r="Q266" s="67">
        <f t="shared" si="49"/>
        <v>0</v>
      </c>
      <c r="U266" s="57">
        <f>SUMIF(B:B,A266,K:K)</f>
        <v>0</v>
      </c>
    </row>
    <row r="267" spans="1:21" x14ac:dyDescent="0.25">
      <c r="A267" s="2" t="s">
        <v>381</v>
      </c>
      <c r="B267" s="2" t="s">
        <v>381</v>
      </c>
      <c r="C267" s="42" t="str">
        <f t="shared" si="51"/>
        <v>Travelers Club|Travelers Club</v>
      </c>
      <c r="D267" s="74">
        <v>3681.8656590000001</v>
      </c>
      <c r="E267" s="1">
        <v>3372.3630170000001</v>
      </c>
      <c r="F267" s="3">
        <v>-8.4060999999999997E-2</v>
      </c>
      <c r="G267" s="1">
        <v>552.84721000000002</v>
      </c>
      <c r="H267" s="94">
        <v>4234.712869</v>
      </c>
      <c r="I267" s="178">
        <f t="shared" si="52"/>
        <v>3878.7373376801902</v>
      </c>
      <c r="J267" s="96">
        <f t="shared" si="50"/>
        <v>-8.4061314741245008E-2</v>
      </c>
      <c r="K267" s="59">
        <f>_xlfn.XLOOKUP(C267,'2025 Goal Data'!C:C,'2025 Goal Data'!F:F,"")</f>
        <v>0</v>
      </c>
      <c r="L267" s="54">
        <f t="shared" si="53"/>
        <v>0</v>
      </c>
      <c r="M267" s="87">
        <f t="shared" si="54"/>
        <v>-8.4061314741245008E-2</v>
      </c>
      <c r="N267" s="68">
        <f>_xlfn.XLOOKUP(C267,'2025 Goal Data'!C:C,'2025 Goal Data'!I:I,"")</f>
        <v>0</v>
      </c>
      <c r="O267" s="117">
        <f t="shared" si="55"/>
        <v>0</v>
      </c>
      <c r="P267" s="91">
        <f t="shared" si="56"/>
        <v>-8.4061314741245008E-2</v>
      </c>
      <c r="Q267" s="69">
        <f t="shared" si="49"/>
        <v>0</v>
      </c>
      <c r="U267" s="58">
        <f>(H267*K267)+H267</f>
        <v>4234.712869</v>
      </c>
    </row>
    <row r="268" spans="1:21" x14ac:dyDescent="0.25">
      <c r="A268" s="98" t="s">
        <v>325</v>
      </c>
      <c r="B268" s="99"/>
      <c r="C268" s="42" t="str">
        <f t="shared" si="51"/>
        <v>BJ'S Private Label Brew|</v>
      </c>
      <c r="D268" s="73">
        <v>2401.2778239999998</v>
      </c>
      <c r="E268" s="82">
        <v>3089.9445019999998</v>
      </c>
      <c r="F268" s="83">
        <v>0.28679199999999999</v>
      </c>
      <c r="G268" s="82">
        <v>491.284582</v>
      </c>
      <c r="H268" s="100">
        <v>2892.562406</v>
      </c>
      <c r="I268" s="177">
        <f t="shared" si="52"/>
        <v>3722.1255718409438</v>
      </c>
      <c r="J268" s="96">
        <f t="shared" si="50"/>
        <v>0.28679179544067668</v>
      </c>
      <c r="K268" s="101">
        <f>_xlfn.XLOOKUP(C268,'2025 Goal Data'!C:C,'2025 Goal Data'!F:F,"")</f>
        <v>0.3</v>
      </c>
      <c r="L268" s="112">
        <f t="shared" si="53"/>
        <v>867.76872179999998</v>
      </c>
      <c r="M268" s="102">
        <f t="shared" si="54"/>
        <v>-1.3208204559323311E-2</v>
      </c>
      <c r="N268" s="103">
        <f>_xlfn.XLOOKUP(C268,'2025 Goal Data'!C:C,'2025 Goal Data'!I:I,"")</f>
        <v>0.3</v>
      </c>
      <c r="O268" s="116">
        <f t="shared" si="55"/>
        <v>867.76872179999998</v>
      </c>
      <c r="P268" s="104">
        <f t="shared" si="56"/>
        <v>-1.3208204559323311E-2</v>
      </c>
      <c r="Q268" s="67">
        <f t="shared" si="49"/>
        <v>0</v>
      </c>
      <c r="U268" s="57">
        <f>SUMIF(B:B,A268,K:K)</f>
        <v>0.3</v>
      </c>
    </row>
    <row r="269" spans="1:21" x14ac:dyDescent="0.25">
      <c r="A269" s="2" t="s">
        <v>270</v>
      </c>
      <c r="B269" s="2" t="s">
        <v>325</v>
      </c>
      <c r="C269" s="42" t="str">
        <f t="shared" si="51"/>
        <v>BJ'S Private Label Brewa|BJ'S Private Label Brew</v>
      </c>
      <c r="D269" s="74">
        <v>2401.2778239999998</v>
      </c>
      <c r="E269" s="1">
        <v>3089.9445019999998</v>
      </c>
      <c r="F269" s="3">
        <v>0.28679199999999999</v>
      </c>
      <c r="G269" s="1">
        <v>491.284582</v>
      </c>
      <c r="H269" s="94">
        <v>2892.562406</v>
      </c>
      <c r="I269" s="178">
        <f t="shared" si="52"/>
        <v>3722.1255718409438</v>
      </c>
      <c r="J269" s="96">
        <f t="shared" si="50"/>
        <v>0.28679179544067668</v>
      </c>
      <c r="K269" s="59">
        <f>_xlfn.XLOOKUP(C269,'2025 Goal Data'!C:C,'2025 Goal Data'!F:F,"")</f>
        <v>0.3</v>
      </c>
      <c r="L269" s="54">
        <f t="shared" si="53"/>
        <v>867.76872179999998</v>
      </c>
      <c r="M269" s="87">
        <f t="shared" si="54"/>
        <v>-1.3208204559323311E-2</v>
      </c>
      <c r="N269" s="68">
        <f>_xlfn.XLOOKUP(C269,'2025 Goal Data'!C:C,'2025 Goal Data'!I:I,"")</f>
        <v>0.3</v>
      </c>
      <c r="O269" s="117">
        <f t="shared" si="55"/>
        <v>867.76872179999998</v>
      </c>
      <c r="P269" s="91">
        <f t="shared" si="56"/>
        <v>-1.3208204559323311E-2</v>
      </c>
      <c r="Q269" s="69">
        <f t="shared" si="49"/>
        <v>0</v>
      </c>
      <c r="U269" s="58">
        <f>(H269*K269)+H269</f>
        <v>3760.3311278000001</v>
      </c>
    </row>
    <row r="270" spans="1:21" x14ac:dyDescent="0.25">
      <c r="A270" s="98" t="s">
        <v>297</v>
      </c>
      <c r="B270" s="99"/>
      <c r="C270" s="42" t="str">
        <f t="shared" si="51"/>
        <v>River Horse Brewing Co|</v>
      </c>
      <c r="D270" s="73">
        <v>2421.8472430000002</v>
      </c>
      <c r="E270" s="82">
        <v>1482.888909</v>
      </c>
      <c r="F270" s="83">
        <v>-0.38770300000000002</v>
      </c>
      <c r="G270" s="82">
        <v>344.29167000000001</v>
      </c>
      <c r="H270" s="100">
        <v>2766.1389129999998</v>
      </c>
      <c r="I270" s="177">
        <f t="shared" si="52"/>
        <v>1693.6976656659899</v>
      </c>
      <c r="J270" s="96">
        <f t="shared" si="50"/>
        <v>-0.38770332259665874</v>
      </c>
      <c r="K270" s="101">
        <f>_xlfn.XLOOKUP(C270,'2025 Goal Data'!C:C,'2025 Goal Data'!F:F,"")</f>
        <v>-3.0730296456977585E-2</v>
      </c>
      <c r="L270" s="112">
        <f t="shared" si="53"/>
        <v>-85.004268837671717</v>
      </c>
      <c r="M270" s="102">
        <f t="shared" si="54"/>
        <v>-0.35697302613968118</v>
      </c>
      <c r="N270" s="103">
        <f>_xlfn.XLOOKUP(C270,'2025 Goal Data'!C:C,'2025 Goal Data'!I:I,"")</f>
        <v>-7.9193781634128713E-2</v>
      </c>
      <c r="O270" s="116">
        <f t="shared" si="55"/>
        <v>-219.06100104578815</v>
      </c>
      <c r="P270" s="104">
        <f t="shared" si="56"/>
        <v>-0.30850954096253003</v>
      </c>
      <c r="Q270" s="67">
        <f t="shared" si="49"/>
        <v>4.8463485177151155E-2</v>
      </c>
      <c r="U270" s="57">
        <f>SUMIF(B:B,A270,K:K)</f>
        <v>-1</v>
      </c>
    </row>
    <row r="271" spans="1:21" x14ac:dyDescent="0.25">
      <c r="A271" s="2" t="s">
        <v>297</v>
      </c>
      <c r="B271" s="2" t="s">
        <v>297</v>
      </c>
      <c r="C271" s="42" t="str">
        <f t="shared" si="51"/>
        <v>River Horse Brewing Co|River Horse Brewing Co</v>
      </c>
      <c r="D271" s="74">
        <v>2308.8472430000002</v>
      </c>
      <c r="E271" s="1">
        <v>1476.888909</v>
      </c>
      <c r="F271" s="3">
        <v>-0.36033500000000002</v>
      </c>
      <c r="G271" s="1">
        <v>372.29167000000001</v>
      </c>
      <c r="H271" s="94">
        <v>2681.1389129999998</v>
      </c>
      <c r="I271" s="178">
        <f t="shared" si="52"/>
        <v>1715.03086009055</v>
      </c>
      <c r="J271" s="96">
        <f t="shared" si="50"/>
        <v>-0.36033494878803018</v>
      </c>
      <c r="K271" s="59">
        <f>_xlfn.XLOOKUP(C271,'2025 Goal Data'!C:C,'2025 Goal Data'!F:F,"")</f>
        <v>0</v>
      </c>
      <c r="L271" s="54">
        <f t="shared" si="53"/>
        <v>0</v>
      </c>
      <c r="M271" s="87">
        <f t="shared" si="54"/>
        <v>-0.36033494878803018</v>
      </c>
      <c r="N271" s="68">
        <f>_xlfn.XLOOKUP(C271,'2025 Goal Data'!C:C,'2025 Goal Data'!I:I,"")</f>
        <v>-0.05</v>
      </c>
      <c r="O271" s="117">
        <f t="shared" si="55"/>
        <v>-134.05694564999999</v>
      </c>
      <c r="P271" s="91">
        <f t="shared" si="56"/>
        <v>-0.3103349487880302</v>
      </c>
      <c r="Q271" s="69">
        <f t="shared" si="49"/>
        <v>4.9999999999999989E-2</v>
      </c>
      <c r="U271" s="58">
        <f>(H271*K271)+H271</f>
        <v>2681.1389129999998</v>
      </c>
    </row>
    <row r="272" spans="1:21" x14ac:dyDescent="0.25">
      <c r="A272" s="2" t="s">
        <v>73</v>
      </c>
      <c r="B272" s="2" t="s">
        <v>297</v>
      </c>
      <c r="C272" s="42" t="str">
        <f t="shared" si="51"/>
        <v>The Garden State Experience|River Horse Brewing Co</v>
      </c>
      <c r="D272" s="74">
        <v>113</v>
      </c>
      <c r="E272" s="1">
        <v>6</v>
      </c>
      <c r="F272" s="3">
        <v>-0.94690300000000005</v>
      </c>
      <c r="G272" s="1">
        <v>-28</v>
      </c>
      <c r="H272" s="94">
        <v>85</v>
      </c>
      <c r="I272" s="178">
        <f t="shared" si="52"/>
        <v>4.5132840000000023</v>
      </c>
      <c r="J272" s="96">
        <f t="shared" si="50"/>
        <v>-0.94690254117647055</v>
      </c>
      <c r="K272" s="59">
        <f>_xlfn.XLOOKUP(C272,'2025 Goal Data'!C:C,'2025 Goal Data'!F:F,"")</f>
        <v>-1</v>
      </c>
      <c r="L272" s="54">
        <f t="shared" si="53"/>
        <v>-85</v>
      </c>
      <c r="M272" s="87">
        <f t="shared" si="54"/>
        <v>5.3097458823529453E-2</v>
      </c>
      <c r="N272" s="68">
        <f>_xlfn.XLOOKUP(C272,'2025 Goal Data'!C:C,'2025 Goal Data'!I:I,"")</f>
        <v>-1</v>
      </c>
      <c r="O272" s="117">
        <f t="shared" si="55"/>
        <v>-85</v>
      </c>
      <c r="P272" s="91">
        <f t="shared" si="56"/>
        <v>5.3097458823529453E-2</v>
      </c>
      <c r="Q272" s="69">
        <f t="shared" si="49"/>
        <v>0</v>
      </c>
      <c r="U272" s="58">
        <f>(H272*K272)+H272</f>
        <v>0</v>
      </c>
    </row>
    <row r="273" spans="1:21" x14ac:dyDescent="0.25">
      <c r="A273" s="98" t="s">
        <v>407</v>
      </c>
      <c r="B273" s="99"/>
      <c r="C273" s="42" t="str">
        <f t="shared" si="51"/>
        <v>Pampa Beverages|</v>
      </c>
      <c r="D273" s="73">
        <v>1666</v>
      </c>
      <c r="E273" s="82">
        <v>1191</v>
      </c>
      <c r="F273" s="83">
        <v>-0.28511399999999998</v>
      </c>
      <c r="G273" s="82">
        <v>300</v>
      </c>
      <c r="H273" s="100">
        <v>1966</v>
      </c>
      <c r="I273" s="177">
        <f t="shared" si="52"/>
        <v>1405.4657999999999</v>
      </c>
      <c r="J273" s="96">
        <f t="shared" si="50"/>
        <v>-0.285114038657172</v>
      </c>
      <c r="K273" s="101">
        <f>_xlfn.XLOOKUP(C273,'2025 Goal Data'!C:C,'2025 Goal Data'!F:F,"")</f>
        <v>0.1</v>
      </c>
      <c r="L273" s="112">
        <f t="shared" si="53"/>
        <v>196.60000000000002</v>
      </c>
      <c r="M273" s="102">
        <f t="shared" si="54"/>
        <v>-0.38511403865717198</v>
      </c>
      <c r="N273" s="103">
        <f>_xlfn.XLOOKUP(C273,'2025 Goal Data'!C:C,'2025 Goal Data'!I:I,"")</f>
        <v>0.1</v>
      </c>
      <c r="O273" s="116">
        <f t="shared" si="55"/>
        <v>196.60000000000002</v>
      </c>
      <c r="P273" s="104">
        <f t="shared" si="56"/>
        <v>-0.38511403865717198</v>
      </c>
      <c r="Q273" s="67">
        <f t="shared" si="49"/>
        <v>0</v>
      </c>
      <c r="U273" s="57">
        <f>SUMIF(B:B,A273,K:K)</f>
        <v>0.1</v>
      </c>
    </row>
    <row r="274" spans="1:21" x14ac:dyDescent="0.25">
      <c r="A274" s="2" t="s">
        <v>44</v>
      </c>
      <c r="B274" s="2" t="s">
        <v>407</v>
      </c>
      <c r="C274" s="42" t="str">
        <f t="shared" si="51"/>
        <v>Quilmes|Pampa Beverages</v>
      </c>
      <c r="D274" s="74">
        <v>1666</v>
      </c>
      <c r="E274" s="1">
        <v>1191</v>
      </c>
      <c r="F274" s="3">
        <v>-0.28511399999999998</v>
      </c>
      <c r="G274" s="1">
        <v>300</v>
      </c>
      <c r="H274" s="94">
        <v>1966</v>
      </c>
      <c r="I274" s="178">
        <f t="shared" si="52"/>
        <v>1405.4657999999999</v>
      </c>
      <c r="J274" s="96">
        <f t="shared" si="50"/>
        <v>-0.285114038657172</v>
      </c>
      <c r="K274" s="59">
        <f>_xlfn.XLOOKUP(C274,'2025 Goal Data'!C:C,'2025 Goal Data'!F:F,"")</f>
        <v>0.1</v>
      </c>
      <c r="L274" s="54">
        <f t="shared" si="53"/>
        <v>196.60000000000002</v>
      </c>
      <c r="M274" s="87">
        <f t="shared" si="54"/>
        <v>-0.38511403865717198</v>
      </c>
      <c r="N274" s="68">
        <f>_xlfn.XLOOKUP(C274,'2025 Goal Data'!C:C,'2025 Goal Data'!I:I,"")</f>
        <v>0.1</v>
      </c>
      <c r="O274" s="117">
        <f t="shared" si="55"/>
        <v>196.60000000000002</v>
      </c>
      <c r="P274" s="91">
        <f t="shared" si="56"/>
        <v>-0.38511403865717198</v>
      </c>
      <c r="Q274" s="69">
        <f t="shared" si="49"/>
        <v>0</v>
      </c>
      <c r="U274" s="58">
        <f>(H274*K274)+H274</f>
        <v>2162.6</v>
      </c>
    </row>
    <row r="275" spans="1:21" x14ac:dyDescent="0.25">
      <c r="A275" s="98" t="s">
        <v>74</v>
      </c>
      <c r="B275" s="99"/>
      <c r="C275" s="42" t="str">
        <f t="shared" si="51"/>
        <v>Global Village Imp.|</v>
      </c>
      <c r="D275" s="73">
        <v>1262.2777759999999</v>
      </c>
      <c r="E275" s="82">
        <v>1152</v>
      </c>
      <c r="F275" s="83">
        <v>-8.7363999999999997E-2</v>
      </c>
      <c r="G275" s="82">
        <v>273</v>
      </c>
      <c r="H275" s="100">
        <v>1535.2777759999999</v>
      </c>
      <c r="I275" s="177">
        <f t="shared" si="52"/>
        <v>1401.1496280000001</v>
      </c>
      <c r="J275" s="96">
        <f t="shared" si="50"/>
        <v>-8.7364091434617208E-2</v>
      </c>
      <c r="K275" s="101">
        <f>_xlfn.XLOOKUP(C275,'2025 Goal Data'!C:C,'2025 Goal Data'!F:F,"")</f>
        <v>-0.2553745928338762</v>
      </c>
      <c r="L275" s="112">
        <f t="shared" si="53"/>
        <v>-392.07093693289897</v>
      </c>
      <c r="M275" s="102">
        <f t="shared" si="54"/>
        <v>0.16801050139925899</v>
      </c>
      <c r="N275" s="103">
        <f>_xlfn.XLOOKUP(C275,'2025 Goal Data'!C:C,'2025 Goal Data'!I:I,"")</f>
        <v>-0.30501628664495112</v>
      </c>
      <c r="O275" s="116">
        <f t="shared" si="55"/>
        <v>-468.28472620403903</v>
      </c>
      <c r="P275" s="104">
        <f t="shared" si="56"/>
        <v>0.21765219521033391</v>
      </c>
      <c r="Q275" s="67">
        <f t="shared" si="49"/>
        <v>4.9641693811074916E-2</v>
      </c>
      <c r="U275" s="57">
        <f>SUMIF(B:B,A275,K:K)</f>
        <v>-1.25</v>
      </c>
    </row>
    <row r="276" spans="1:21" x14ac:dyDescent="0.25">
      <c r="A276" s="2" t="s">
        <v>196</v>
      </c>
      <c r="B276" s="2" t="s">
        <v>74</v>
      </c>
      <c r="C276" s="42" t="str">
        <f t="shared" si="51"/>
        <v>Augustiner|Global Village Imp.</v>
      </c>
      <c r="D276" s="74">
        <v>1251</v>
      </c>
      <c r="E276" s="1">
        <v>1152</v>
      </c>
      <c r="F276" s="3">
        <v>-7.9136999999999999E-2</v>
      </c>
      <c r="G276" s="1">
        <v>273</v>
      </c>
      <c r="H276" s="94">
        <v>1524</v>
      </c>
      <c r="I276" s="178">
        <f t="shared" si="52"/>
        <v>1403.3955989999999</v>
      </c>
      <c r="J276" s="96">
        <f t="shared" si="50"/>
        <v>-7.9136746062992147E-2</v>
      </c>
      <c r="K276" s="59">
        <f>_xlfn.XLOOKUP(C276,'2025 Goal Data'!C:C,'2025 Goal Data'!F:F,"")</f>
        <v>-0.25</v>
      </c>
      <c r="L276" s="54">
        <f t="shared" si="53"/>
        <v>-381</v>
      </c>
      <c r="M276" s="87">
        <f t="shared" si="54"/>
        <v>0.17086325393700785</v>
      </c>
      <c r="N276" s="68">
        <f>_xlfn.XLOOKUP(C276,'2025 Goal Data'!C:C,'2025 Goal Data'!I:I,"")</f>
        <v>-0.3</v>
      </c>
      <c r="O276" s="117">
        <f t="shared" si="55"/>
        <v>-457.2</v>
      </c>
      <c r="P276" s="91">
        <f t="shared" si="56"/>
        <v>0.22086325393700784</v>
      </c>
      <c r="Q276" s="69">
        <f t="shared" si="49"/>
        <v>4.9999999999999989E-2</v>
      </c>
      <c r="U276" s="58">
        <f>(H276*K276)+H276</f>
        <v>1143</v>
      </c>
    </row>
    <row r="277" spans="1:21" x14ac:dyDescent="0.25">
      <c r="A277" s="128" t="s">
        <v>119</v>
      </c>
      <c r="B277" s="2" t="s">
        <v>74</v>
      </c>
      <c r="C277" s="42" t="str">
        <f t="shared" si="51"/>
        <v>Oranjeboom|Global Village Imp.</v>
      </c>
      <c r="D277" s="74">
        <v>11.277775999999999</v>
      </c>
      <c r="E277" s="1">
        <v>0</v>
      </c>
      <c r="F277" s="3">
        <v>-1</v>
      </c>
      <c r="G277" s="1">
        <v>0</v>
      </c>
      <c r="H277" s="94">
        <v>11.277775999999999</v>
      </c>
      <c r="I277" s="178">
        <f t="shared" si="52"/>
        <v>0</v>
      </c>
      <c r="J277" s="96">
        <f t="shared" si="50"/>
        <v>-1</v>
      </c>
      <c r="K277" s="59">
        <f>_xlfn.XLOOKUP(C277,'2025 Goal Data'!C:C,'2025 Goal Data'!F:F,"")</f>
        <v>-1</v>
      </c>
      <c r="L277" s="54">
        <f t="shared" si="53"/>
        <v>-11.277775999999999</v>
      </c>
      <c r="M277" s="87">
        <f t="shared" si="54"/>
        <v>0</v>
      </c>
      <c r="N277" s="68">
        <f>_xlfn.XLOOKUP(C277,'2025 Goal Data'!C:C,'2025 Goal Data'!I:I,"")</f>
        <v>-1</v>
      </c>
      <c r="O277" s="117">
        <f t="shared" si="55"/>
        <v>-11.277775999999999</v>
      </c>
      <c r="P277" s="91">
        <f t="shared" si="56"/>
        <v>0</v>
      </c>
      <c r="Q277" s="69">
        <f t="shared" si="49"/>
        <v>0</v>
      </c>
      <c r="U277" s="58">
        <f>(H277*K277)+H277</f>
        <v>0</v>
      </c>
    </row>
    <row r="278" spans="1:21" x14ac:dyDescent="0.25">
      <c r="A278" s="98" t="s">
        <v>382</v>
      </c>
      <c r="B278" s="99"/>
      <c r="C278" s="42" t="str">
        <f t="shared" si="51"/>
        <v>Newburgh Brewing|</v>
      </c>
      <c r="D278" s="73">
        <v>1049.3818249999999</v>
      </c>
      <c r="E278" s="82">
        <v>1023.416566</v>
      </c>
      <c r="F278" s="83">
        <v>-2.4743000000000001E-2</v>
      </c>
      <c r="G278" s="82">
        <v>238.47913399999999</v>
      </c>
      <c r="H278" s="100">
        <v>1287.8609590000001</v>
      </c>
      <c r="I278" s="177">
        <f t="shared" si="52"/>
        <v>1255.9950107874379</v>
      </c>
      <c r="J278" s="96">
        <f t="shared" si="50"/>
        <v>-2.4743314089826551E-2</v>
      </c>
      <c r="K278" s="101">
        <f>_xlfn.XLOOKUP(C278,'2025 Goal Data'!C:C,'2025 Goal Data'!F:F,"")</f>
        <v>-0.20000000000000004</v>
      </c>
      <c r="L278" s="112">
        <f t="shared" si="53"/>
        <v>-257.57219180000004</v>
      </c>
      <c r="M278" s="102">
        <f t="shared" si="54"/>
        <v>0.17525668591017349</v>
      </c>
      <c r="N278" s="103">
        <f>_xlfn.XLOOKUP(C278,'2025 Goal Data'!C:C,'2025 Goal Data'!I:I,"")</f>
        <v>-0.20000000000000004</v>
      </c>
      <c r="O278" s="116">
        <f t="shared" si="55"/>
        <v>-257.57219180000004</v>
      </c>
      <c r="P278" s="104">
        <f t="shared" si="56"/>
        <v>0.17525668591017349</v>
      </c>
      <c r="Q278" s="67">
        <f t="shared" si="49"/>
        <v>0</v>
      </c>
      <c r="U278" s="57">
        <f>SUMIF(B:B,A278,K:K)</f>
        <v>-0.2</v>
      </c>
    </row>
    <row r="279" spans="1:21" x14ac:dyDescent="0.25">
      <c r="A279" s="2" t="s">
        <v>197</v>
      </c>
      <c r="B279" s="2" t="s">
        <v>382</v>
      </c>
      <c r="C279" s="42" t="str">
        <f t="shared" si="51"/>
        <v>Newburgh|Newburgh Brewing</v>
      </c>
      <c r="D279" s="74">
        <v>1049.3818249999999</v>
      </c>
      <c r="E279" s="1">
        <v>1023.416566</v>
      </c>
      <c r="F279" s="3">
        <v>-2.4743000000000001E-2</v>
      </c>
      <c r="G279" s="1">
        <v>238.47913399999999</v>
      </c>
      <c r="H279" s="94">
        <v>1287.8609590000001</v>
      </c>
      <c r="I279" s="178">
        <f t="shared" si="52"/>
        <v>1255.9950107874379</v>
      </c>
      <c r="J279" s="96">
        <f t="shared" si="50"/>
        <v>-2.4743314089826551E-2</v>
      </c>
      <c r="K279" s="59">
        <f>_xlfn.XLOOKUP(C279,'2025 Goal Data'!C:C,'2025 Goal Data'!F:F,"")</f>
        <v>-0.2</v>
      </c>
      <c r="L279" s="54">
        <f t="shared" si="53"/>
        <v>-257.57219180000004</v>
      </c>
      <c r="M279" s="87">
        <f t="shared" si="54"/>
        <v>0.17525668591017346</v>
      </c>
      <c r="N279" s="68">
        <f>_xlfn.XLOOKUP(C279,'2025 Goal Data'!C:C,'2025 Goal Data'!I:I,"")</f>
        <v>-0.2</v>
      </c>
      <c r="O279" s="117">
        <f t="shared" si="55"/>
        <v>-257.57219180000004</v>
      </c>
      <c r="P279" s="91">
        <f t="shared" si="56"/>
        <v>0.17525668591017346</v>
      </c>
      <c r="Q279" s="69">
        <f t="shared" si="49"/>
        <v>0</v>
      </c>
      <c r="U279" s="58">
        <f>(H279*K279)+H279</f>
        <v>1030.2887672000002</v>
      </c>
    </row>
    <row r="280" spans="1:21" x14ac:dyDescent="0.25">
      <c r="A280" s="98" t="s">
        <v>19</v>
      </c>
      <c r="B280" s="99"/>
      <c r="C280" s="42" t="str">
        <f t="shared" si="51"/>
        <v>Citizen Cider|</v>
      </c>
      <c r="D280" s="73">
        <v>1181.3330390000001</v>
      </c>
      <c r="E280" s="82">
        <v>639.66650700000002</v>
      </c>
      <c r="F280" s="83">
        <v>-0.45852100000000001</v>
      </c>
      <c r="G280" s="82">
        <v>237.33327399999999</v>
      </c>
      <c r="H280" s="100">
        <v>1418.6663129999999</v>
      </c>
      <c r="I280" s="177">
        <f t="shared" si="52"/>
        <v>768.17749087224604</v>
      </c>
      <c r="J280" s="96">
        <f t="shared" si="50"/>
        <v>-0.45852137050621145</v>
      </c>
      <c r="K280" s="101">
        <f>_xlfn.XLOOKUP(C280,'2025 Goal Data'!C:C,'2025 Goal Data'!F:F,"")</f>
        <v>0.06</v>
      </c>
      <c r="L280" s="112">
        <f t="shared" si="53"/>
        <v>85.119978779999997</v>
      </c>
      <c r="M280" s="102">
        <f t="shared" si="54"/>
        <v>-0.5185213705062115</v>
      </c>
      <c r="N280" s="103">
        <f>_xlfn.XLOOKUP(C280,'2025 Goal Data'!C:C,'2025 Goal Data'!I:I,"")</f>
        <v>0.06</v>
      </c>
      <c r="O280" s="116">
        <f t="shared" si="55"/>
        <v>85.119978779999997</v>
      </c>
      <c r="P280" s="104">
        <f t="shared" si="56"/>
        <v>-0.5185213705062115</v>
      </c>
      <c r="Q280" s="67">
        <f t="shared" si="49"/>
        <v>0</v>
      </c>
      <c r="U280" s="57">
        <f>SUMIF(B:B,A280,K:K)</f>
        <v>0.06</v>
      </c>
    </row>
    <row r="281" spans="1:21" x14ac:dyDescent="0.25">
      <c r="A281" s="2" t="s">
        <v>19</v>
      </c>
      <c r="B281" s="2" t="s">
        <v>19</v>
      </c>
      <c r="C281" s="42" t="str">
        <f t="shared" si="51"/>
        <v>Citizen Cider|Citizen Cider</v>
      </c>
      <c r="D281" s="74">
        <v>1181.3330390000001</v>
      </c>
      <c r="E281" s="1">
        <v>639.66650700000002</v>
      </c>
      <c r="F281" s="3">
        <v>-0.45852100000000001</v>
      </c>
      <c r="G281" s="1">
        <v>237.33327399999999</v>
      </c>
      <c r="H281" s="94">
        <v>1418.6663129999999</v>
      </c>
      <c r="I281" s="178">
        <f t="shared" si="52"/>
        <v>768.17749087224604</v>
      </c>
      <c r="J281" s="96">
        <f t="shared" si="50"/>
        <v>-0.45852137050621145</v>
      </c>
      <c r="K281" s="59">
        <f>_xlfn.XLOOKUP(C281,'2025 Goal Data'!C:C,'2025 Goal Data'!F:F,"")</f>
        <v>0.06</v>
      </c>
      <c r="L281" s="54">
        <f t="shared" si="53"/>
        <v>85.119978779999997</v>
      </c>
      <c r="M281" s="87">
        <f t="shared" si="54"/>
        <v>-0.5185213705062115</v>
      </c>
      <c r="N281" s="68">
        <f>_xlfn.XLOOKUP(C281,'2025 Goal Data'!C:C,'2025 Goal Data'!I:I,"")</f>
        <v>0.06</v>
      </c>
      <c r="O281" s="117">
        <f t="shared" si="55"/>
        <v>85.119978779999997</v>
      </c>
      <c r="P281" s="91">
        <f t="shared" si="56"/>
        <v>-0.5185213705062115</v>
      </c>
      <c r="Q281" s="69">
        <f t="shared" si="49"/>
        <v>0</v>
      </c>
      <c r="U281" s="58">
        <f>(H281*K281)+H281</f>
        <v>1503.7862917799998</v>
      </c>
    </row>
    <row r="282" spans="1:21" x14ac:dyDescent="0.25">
      <c r="A282" s="98" t="s">
        <v>145</v>
      </c>
      <c r="B282" s="99"/>
      <c r="C282" s="42" t="str">
        <f t="shared" si="51"/>
        <v>Jersey Girl|</v>
      </c>
      <c r="D282" s="73">
        <v>3671.8258099999998</v>
      </c>
      <c r="E282" s="82">
        <v>-12.090268</v>
      </c>
      <c r="F282" s="83">
        <v>-1.003293</v>
      </c>
      <c r="G282" s="82">
        <v>211.16664800000001</v>
      </c>
      <c r="H282" s="100">
        <v>3882.9924580000002</v>
      </c>
      <c r="I282" s="177">
        <f t="shared" si="52"/>
        <v>-12.785639771863989</v>
      </c>
      <c r="J282" s="96">
        <f t="shared" si="50"/>
        <v>-1.0032927284588262</v>
      </c>
      <c r="K282" s="101">
        <f>_xlfn.XLOOKUP(C282,'2025 Goal Data'!C:C,'2025 Goal Data'!F:F,"")</f>
        <v>-1</v>
      </c>
      <c r="L282" s="112">
        <f t="shared" si="53"/>
        <v>-3882.9924580000002</v>
      </c>
      <c r="M282" s="102">
        <f t="shared" si="54"/>
        <v>-3.2927284588262218E-3</v>
      </c>
      <c r="N282" s="103">
        <f>_xlfn.XLOOKUP(C282,'2025 Goal Data'!C:C,'2025 Goal Data'!I:I,"")</f>
        <v>-1</v>
      </c>
      <c r="O282" s="116">
        <f t="shared" si="55"/>
        <v>-3882.9924580000002</v>
      </c>
      <c r="P282" s="104">
        <f t="shared" si="56"/>
        <v>-3.2927284588262218E-3</v>
      </c>
      <c r="Q282" s="67">
        <f t="shared" si="49"/>
        <v>0</v>
      </c>
      <c r="U282" s="57">
        <f>SUMIF(B:B,A282,K:K)</f>
        <v>-1</v>
      </c>
    </row>
    <row r="283" spans="1:21" x14ac:dyDescent="0.25">
      <c r="A283" s="128" t="s">
        <v>145</v>
      </c>
      <c r="B283" s="2" t="s">
        <v>145</v>
      </c>
      <c r="C283" s="42" t="str">
        <f t="shared" si="51"/>
        <v>Jersey Girl|Jersey Girl</v>
      </c>
      <c r="D283" s="74">
        <v>3671.8258099999998</v>
      </c>
      <c r="E283" s="1">
        <v>-12.090268</v>
      </c>
      <c r="F283" s="3">
        <v>-1.003293</v>
      </c>
      <c r="G283" s="1">
        <v>211.16664800000001</v>
      </c>
      <c r="H283" s="94">
        <v>3882.9924580000002</v>
      </c>
      <c r="I283" s="178">
        <f t="shared" si="52"/>
        <v>-12.785639771863989</v>
      </c>
      <c r="J283" s="96">
        <f t="shared" si="50"/>
        <v>-1.0032927284588262</v>
      </c>
      <c r="K283" s="59">
        <f>_xlfn.XLOOKUP(C283,'2025 Goal Data'!C:C,'2025 Goal Data'!F:F,"")</f>
        <v>-1</v>
      </c>
      <c r="L283" s="54">
        <f t="shared" si="53"/>
        <v>-3882.9924580000002</v>
      </c>
      <c r="M283" s="87">
        <f t="shared" si="54"/>
        <v>-3.2927284588262218E-3</v>
      </c>
      <c r="N283" s="68">
        <f>_xlfn.XLOOKUP(C283,'2025 Goal Data'!C:C,'2025 Goal Data'!I:I,"")</f>
        <v>-1</v>
      </c>
      <c r="O283" s="117">
        <f t="shared" si="55"/>
        <v>-3882.9924580000002</v>
      </c>
      <c r="P283" s="91">
        <f t="shared" si="56"/>
        <v>-3.2927284588262218E-3</v>
      </c>
      <c r="Q283" s="69">
        <f t="shared" si="49"/>
        <v>0</v>
      </c>
      <c r="U283" s="58">
        <f>(H283*K283)+H283</f>
        <v>0</v>
      </c>
    </row>
    <row r="284" spans="1:21" x14ac:dyDescent="0.25">
      <c r="A284" s="98" t="s">
        <v>229</v>
      </c>
      <c r="B284" s="99"/>
      <c r="C284" s="42" t="str">
        <f t="shared" si="51"/>
        <v>Prestige|</v>
      </c>
      <c r="D284" s="73">
        <v>1968.9983480000001</v>
      </c>
      <c r="E284" s="82">
        <v>2222.3839760000001</v>
      </c>
      <c r="F284" s="83">
        <v>0.128688</v>
      </c>
      <c r="G284" s="82">
        <v>205.38259600000001</v>
      </c>
      <c r="H284" s="100">
        <v>2174.380944</v>
      </c>
      <c r="I284" s="177">
        <f t="shared" si="52"/>
        <v>2454.1968475140479</v>
      </c>
      <c r="J284" s="96">
        <f t="shared" si="50"/>
        <v>0.12868761763488301</v>
      </c>
      <c r="K284" s="101">
        <f>_xlfn.XLOOKUP(C284,'2025 Goal Data'!C:C,'2025 Goal Data'!F:F,"")</f>
        <v>8.6062557497700101E-2</v>
      </c>
      <c r="L284" s="112">
        <f t="shared" si="53"/>
        <v>187.13278501490342</v>
      </c>
      <c r="M284" s="102">
        <f t="shared" si="54"/>
        <v>4.262506013718291E-2</v>
      </c>
      <c r="N284" s="103">
        <f>_xlfn.XLOOKUP(C284,'2025 Goal Data'!C:C,'2025 Goal Data'!I:I,"")</f>
        <v>8.6062557497700101E-2</v>
      </c>
      <c r="O284" s="116">
        <f t="shared" si="55"/>
        <v>187.13278501490342</v>
      </c>
      <c r="P284" s="104">
        <f t="shared" si="56"/>
        <v>4.262506013718291E-2</v>
      </c>
      <c r="Q284" s="67">
        <f t="shared" si="49"/>
        <v>0</v>
      </c>
      <c r="U284" s="57">
        <f>SUMIF(B:B,A284,K:K)</f>
        <v>0.1</v>
      </c>
    </row>
    <row r="285" spans="1:21" x14ac:dyDescent="0.25">
      <c r="A285" s="2" t="s">
        <v>120</v>
      </c>
      <c r="B285" s="2" t="s">
        <v>229</v>
      </c>
      <c r="C285" s="42" t="str">
        <f t="shared" si="51"/>
        <v>Mythos|Prestige</v>
      </c>
      <c r="D285" s="74">
        <v>1689.6566519999999</v>
      </c>
      <c r="E285" s="1">
        <v>1982.0074159999999</v>
      </c>
      <c r="F285" s="3">
        <v>0.17302400000000001</v>
      </c>
      <c r="G285" s="1">
        <v>182.13545999999999</v>
      </c>
      <c r="H285" s="94">
        <v>1871.7921120000001</v>
      </c>
      <c r="I285" s="178">
        <f t="shared" si="52"/>
        <v>2195.6566818310398</v>
      </c>
      <c r="J285" s="96">
        <f t="shared" si="50"/>
        <v>0.17302379241516941</v>
      </c>
      <c r="K285" s="59">
        <f>_xlfn.XLOOKUP(C285,'2025 Goal Data'!C:C,'2025 Goal Data'!F:F,"")</f>
        <v>0.1</v>
      </c>
      <c r="L285" s="54">
        <f t="shared" si="53"/>
        <v>187.17921120000003</v>
      </c>
      <c r="M285" s="87">
        <f t="shared" si="54"/>
        <v>7.3023792415169403E-2</v>
      </c>
      <c r="N285" s="68">
        <f>_xlfn.XLOOKUP(C285,'2025 Goal Data'!C:C,'2025 Goal Data'!I:I,"")</f>
        <v>0.1</v>
      </c>
      <c r="O285" s="117">
        <f t="shared" si="55"/>
        <v>187.17921120000003</v>
      </c>
      <c r="P285" s="91">
        <f t="shared" si="56"/>
        <v>7.3023792415169403E-2</v>
      </c>
      <c r="Q285" s="69">
        <f t="shared" si="49"/>
        <v>0</v>
      </c>
      <c r="U285" s="58">
        <f>(H285*K285)+H285</f>
        <v>2058.9713231999999</v>
      </c>
    </row>
    <row r="286" spans="1:21" x14ac:dyDescent="0.25">
      <c r="A286" s="2" t="s">
        <v>383</v>
      </c>
      <c r="B286" s="2" t="s">
        <v>229</v>
      </c>
      <c r="C286" s="42" t="str">
        <f t="shared" si="51"/>
        <v>Greek Wines|Prestige</v>
      </c>
      <c r="D286" s="74">
        <v>129.972624</v>
      </c>
      <c r="E286" s="1">
        <v>123.632496</v>
      </c>
      <c r="F286" s="3">
        <v>-4.8779999999999997E-2</v>
      </c>
      <c r="G286" s="1">
        <v>21.133759999999999</v>
      </c>
      <c r="H286" s="94">
        <v>151.10638399999999</v>
      </c>
      <c r="I286" s="178">
        <f t="shared" si="52"/>
        <v>143.7353511872</v>
      </c>
      <c r="J286" s="96">
        <f t="shared" si="50"/>
        <v>-4.8780419580419565E-2</v>
      </c>
      <c r="K286" s="59">
        <f>_xlfn.XLOOKUP(C286,'2025 Goal Data'!C:C,'2025 Goal Data'!F:F,"")</f>
        <v>0</v>
      </c>
      <c r="L286" s="54">
        <f t="shared" si="53"/>
        <v>0</v>
      </c>
      <c r="M286" s="87">
        <f t="shared" si="54"/>
        <v>-4.8780419580419565E-2</v>
      </c>
      <c r="N286" s="68">
        <f>_xlfn.XLOOKUP(C286,'2025 Goal Data'!C:C,'2025 Goal Data'!I:I,"")</f>
        <v>0</v>
      </c>
      <c r="O286" s="117">
        <f t="shared" si="55"/>
        <v>0</v>
      </c>
      <c r="P286" s="91">
        <f t="shared" si="56"/>
        <v>-4.8780419580419565E-2</v>
      </c>
      <c r="Q286" s="69">
        <f t="shared" ref="Q286:Q312" si="57">P286-M286</f>
        <v>0</v>
      </c>
      <c r="U286" s="58">
        <f>(H286*K286)+H286</f>
        <v>151.10638399999999</v>
      </c>
    </row>
    <row r="287" spans="1:21" x14ac:dyDescent="0.25">
      <c r="A287" s="2" t="s">
        <v>253</v>
      </c>
      <c r="B287" s="2" t="s">
        <v>229</v>
      </c>
      <c r="C287" s="42" t="str">
        <f t="shared" si="51"/>
        <v>Greek Spirits|Prestige</v>
      </c>
      <c r="D287" s="74">
        <v>7.3968160000000003</v>
      </c>
      <c r="E287" s="1">
        <v>8.3968159999999994</v>
      </c>
      <c r="F287" s="3">
        <v>0.13519300000000001</v>
      </c>
      <c r="G287" s="1">
        <v>2.1133760000000001</v>
      </c>
      <c r="H287" s="94">
        <v>9.510192</v>
      </c>
      <c r="I287" s="178">
        <f t="shared" si="52"/>
        <v>10.795905641568</v>
      </c>
      <c r="J287" s="96">
        <f t="shared" si="50"/>
        <v>0.13519323706272179</v>
      </c>
      <c r="K287" s="59">
        <f>_xlfn.XLOOKUP(C287,'2025 Goal Data'!C:C,'2025 Goal Data'!F:F,"")</f>
        <v>0</v>
      </c>
      <c r="L287" s="54">
        <f t="shared" si="53"/>
        <v>0</v>
      </c>
      <c r="M287" s="87">
        <f t="shared" si="54"/>
        <v>0.13519323706272179</v>
      </c>
      <c r="N287" s="68">
        <f>_xlfn.XLOOKUP(C287,'2025 Goal Data'!C:C,'2025 Goal Data'!I:I,"")</f>
        <v>0</v>
      </c>
      <c r="O287" s="117">
        <f t="shared" si="55"/>
        <v>0</v>
      </c>
      <c r="P287" s="91">
        <f t="shared" si="56"/>
        <v>0.13519323706272179</v>
      </c>
      <c r="Q287" s="69">
        <f t="shared" si="57"/>
        <v>0</v>
      </c>
      <c r="U287" s="58">
        <f>(H287*K287)+H287</f>
        <v>9.510192</v>
      </c>
    </row>
    <row r="288" spans="1:21" x14ac:dyDescent="0.25">
      <c r="A288" s="2" t="s">
        <v>121</v>
      </c>
      <c r="B288" s="2" t="s">
        <v>229</v>
      </c>
      <c r="C288" s="42" t="str">
        <f t="shared" si="51"/>
        <v>Fix Hellas|Prestige</v>
      </c>
      <c r="D288" s="74">
        <v>141.97225599999999</v>
      </c>
      <c r="E288" s="1">
        <v>108.34724799999999</v>
      </c>
      <c r="F288" s="3">
        <v>-0.236842</v>
      </c>
      <c r="G288" s="1">
        <v>0</v>
      </c>
      <c r="H288" s="94">
        <v>141.97225599999999</v>
      </c>
      <c r="I288" s="178">
        <f t="shared" si="52"/>
        <v>108.34724799999999</v>
      </c>
      <c r="J288" s="96">
        <f t="shared" si="50"/>
        <v>-0.23684210526315785</v>
      </c>
      <c r="K288" s="59">
        <f>_xlfn.XLOOKUP(C288,'2025 Goal Data'!C:C,'2025 Goal Data'!F:F,"")</f>
        <v>0</v>
      </c>
      <c r="L288" s="54">
        <f t="shared" si="53"/>
        <v>0</v>
      </c>
      <c r="M288" s="87">
        <f t="shared" si="54"/>
        <v>-0.23684210526315785</v>
      </c>
      <c r="N288" s="68">
        <f>_xlfn.XLOOKUP(C288,'2025 Goal Data'!C:C,'2025 Goal Data'!I:I,"")</f>
        <v>0</v>
      </c>
      <c r="O288" s="117">
        <f t="shared" si="55"/>
        <v>0</v>
      </c>
      <c r="P288" s="91">
        <f t="shared" si="56"/>
        <v>-0.23684210526315785</v>
      </c>
      <c r="Q288" s="69">
        <f t="shared" si="57"/>
        <v>0</v>
      </c>
      <c r="U288" s="58">
        <f>(H288*K288)+H288</f>
        <v>141.97225599999999</v>
      </c>
    </row>
    <row r="289" spans="1:21" x14ac:dyDescent="0.25">
      <c r="A289" s="98" t="s">
        <v>45</v>
      </c>
      <c r="B289" s="99"/>
      <c r="C289" s="42" t="str">
        <f t="shared" si="51"/>
        <v>Bold Rock Hard Cider|</v>
      </c>
      <c r="D289" s="73">
        <v>944.19445199999996</v>
      </c>
      <c r="E289" s="82">
        <v>437.59027500000002</v>
      </c>
      <c r="F289" s="83">
        <v>-0.53654599999999997</v>
      </c>
      <c r="G289" s="82">
        <v>179.25000199999999</v>
      </c>
      <c r="H289" s="100">
        <v>1123.444454</v>
      </c>
      <c r="I289" s="177">
        <f t="shared" si="52"/>
        <v>520.66440542690805</v>
      </c>
      <c r="J289" s="96">
        <f t="shared" si="50"/>
        <v>-0.53654637434624064</v>
      </c>
      <c r="K289" s="101">
        <f>_xlfn.XLOOKUP(C289,'2025 Goal Data'!C:C,'2025 Goal Data'!F:F,"")</f>
        <v>0</v>
      </c>
      <c r="L289" s="112">
        <f t="shared" si="53"/>
        <v>0</v>
      </c>
      <c r="M289" s="102">
        <f t="shared" si="54"/>
        <v>-0.53654637434624064</v>
      </c>
      <c r="N289" s="103">
        <f>_xlfn.XLOOKUP(C289,'2025 Goal Data'!C:C,'2025 Goal Data'!I:I,"")</f>
        <v>0.1</v>
      </c>
      <c r="O289" s="116">
        <f t="shared" si="55"/>
        <v>112.3444454</v>
      </c>
      <c r="P289" s="104">
        <f t="shared" si="56"/>
        <v>-0.63654637434624062</v>
      </c>
      <c r="Q289" s="67">
        <f t="shared" si="57"/>
        <v>-9.9999999999999978E-2</v>
      </c>
      <c r="U289" s="57">
        <f>SUMIF(B:B,A289,K:K)</f>
        <v>0</v>
      </c>
    </row>
    <row r="290" spans="1:21" x14ac:dyDescent="0.25">
      <c r="A290" s="2" t="s">
        <v>146</v>
      </c>
      <c r="B290" s="2" t="s">
        <v>45</v>
      </c>
      <c r="C290" s="42" t="str">
        <f t="shared" si="51"/>
        <v>Bold Rock|Bold Rock Hard Cider</v>
      </c>
      <c r="D290" s="74">
        <v>944.19445199999996</v>
      </c>
      <c r="E290" s="1">
        <v>437.59027500000002</v>
      </c>
      <c r="F290" s="3">
        <v>-0.53654599999999997</v>
      </c>
      <c r="G290" s="1">
        <v>179.25000199999999</v>
      </c>
      <c r="H290" s="94">
        <v>1123.444454</v>
      </c>
      <c r="I290" s="178">
        <f t="shared" si="52"/>
        <v>520.66440542690805</v>
      </c>
      <c r="J290" s="96">
        <f t="shared" si="50"/>
        <v>-0.53654637434624064</v>
      </c>
      <c r="K290" s="59">
        <f>_xlfn.XLOOKUP(C290,'2025 Goal Data'!C:C,'2025 Goal Data'!F:F,"")</f>
        <v>0</v>
      </c>
      <c r="L290" s="54">
        <f t="shared" si="53"/>
        <v>0</v>
      </c>
      <c r="M290" s="87">
        <f t="shared" si="54"/>
        <v>-0.53654637434624064</v>
      </c>
      <c r="N290" s="68">
        <f>_xlfn.XLOOKUP(C290,'2025 Goal Data'!C:C,'2025 Goal Data'!I:I,"")</f>
        <v>0.1</v>
      </c>
      <c r="O290" s="117">
        <f t="shared" si="55"/>
        <v>112.3444454</v>
      </c>
      <c r="P290" s="91">
        <f t="shared" si="56"/>
        <v>-0.63654637434624062</v>
      </c>
      <c r="Q290" s="69">
        <f t="shared" si="57"/>
        <v>-9.9999999999999978E-2</v>
      </c>
      <c r="U290" s="58">
        <f>(H290*K290)+H290</f>
        <v>1123.444454</v>
      </c>
    </row>
    <row r="291" spans="1:21" x14ac:dyDescent="0.25">
      <c r="A291" s="98" t="s">
        <v>408</v>
      </c>
      <c r="B291" s="99"/>
      <c r="C291" s="42" t="str">
        <f t="shared" si="51"/>
        <v>Ithaca|</v>
      </c>
      <c r="D291" s="73">
        <v>1018.249943</v>
      </c>
      <c r="E291" s="82">
        <v>636.77776800000004</v>
      </c>
      <c r="F291" s="83">
        <v>-0.374635</v>
      </c>
      <c r="G291" s="82">
        <v>177.499987</v>
      </c>
      <c r="H291" s="100">
        <v>1195.7499299999999</v>
      </c>
      <c r="I291" s="177">
        <f t="shared" si="52"/>
        <v>747.78004737025503</v>
      </c>
      <c r="J291" s="96">
        <f t="shared" si="50"/>
        <v>-0.37463508998887829</v>
      </c>
      <c r="K291" s="101">
        <f>_xlfn.XLOOKUP(C291,'2025 Goal Data'!C:C,'2025 Goal Data'!F:F,"")</f>
        <v>0</v>
      </c>
      <c r="L291" s="112">
        <f t="shared" si="53"/>
        <v>0</v>
      </c>
      <c r="M291" s="102">
        <f t="shared" si="54"/>
        <v>-0.37463508998887829</v>
      </c>
      <c r="N291" s="103">
        <f>_xlfn.XLOOKUP(C291,'2025 Goal Data'!C:C,'2025 Goal Data'!I:I,"")</f>
        <v>0</v>
      </c>
      <c r="O291" s="116">
        <f t="shared" si="55"/>
        <v>0</v>
      </c>
      <c r="P291" s="104">
        <f t="shared" si="56"/>
        <v>-0.37463508998887829</v>
      </c>
      <c r="Q291" s="67">
        <f t="shared" si="57"/>
        <v>0</v>
      </c>
      <c r="U291" s="57">
        <f>SUMIF(B:B,A291,K:K)</f>
        <v>0</v>
      </c>
    </row>
    <row r="292" spans="1:21" x14ac:dyDescent="0.25">
      <c r="A292" s="2" t="s">
        <v>408</v>
      </c>
      <c r="B292" s="2" t="s">
        <v>408</v>
      </c>
      <c r="C292" s="42" t="str">
        <f t="shared" si="51"/>
        <v>Ithaca|Ithaca</v>
      </c>
      <c r="D292" s="74">
        <v>1018.249943</v>
      </c>
      <c r="E292" s="1">
        <v>636.77776800000004</v>
      </c>
      <c r="F292" s="3">
        <v>-0.374635</v>
      </c>
      <c r="G292" s="1">
        <v>177.499987</v>
      </c>
      <c r="H292" s="94">
        <v>1195.7499299999999</v>
      </c>
      <c r="I292" s="178">
        <f t="shared" si="52"/>
        <v>747.78004737025503</v>
      </c>
      <c r="J292" s="96">
        <f t="shared" si="50"/>
        <v>-0.37463508998887829</v>
      </c>
      <c r="K292" s="59">
        <f>_xlfn.XLOOKUP(C292,'2025 Goal Data'!C:C,'2025 Goal Data'!F:F,"")</f>
        <v>0</v>
      </c>
      <c r="L292" s="54">
        <f t="shared" si="53"/>
        <v>0</v>
      </c>
      <c r="M292" s="87">
        <f t="shared" si="54"/>
        <v>-0.37463508998887829</v>
      </c>
      <c r="N292" s="68">
        <f>_xlfn.XLOOKUP(C292,'2025 Goal Data'!C:C,'2025 Goal Data'!I:I,"")</f>
        <v>0</v>
      </c>
      <c r="O292" s="117">
        <f t="shared" si="55"/>
        <v>0</v>
      </c>
      <c r="P292" s="91">
        <f t="shared" si="56"/>
        <v>-0.37463508998887829</v>
      </c>
      <c r="Q292" s="69">
        <f t="shared" si="57"/>
        <v>0</v>
      </c>
      <c r="U292" s="58">
        <f>(H292*K292)+H292</f>
        <v>1195.7499299999999</v>
      </c>
    </row>
    <row r="293" spans="1:21" x14ac:dyDescent="0.25">
      <c r="A293" s="98" t="s">
        <v>147</v>
      </c>
      <c r="B293" s="99"/>
      <c r="C293" s="42" t="str">
        <f t="shared" si="51"/>
        <v>Duclaw Brewing|</v>
      </c>
      <c r="D293" s="73">
        <v>1448.1873900000001</v>
      </c>
      <c r="E293" s="82">
        <v>888.24995799999999</v>
      </c>
      <c r="F293" s="83">
        <v>-0.38664700000000002</v>
      </c>
      <c r="G293" s="82">
        <v>166.24999299999999</v>
      </c>
      <c r="H293" s="100">
        <v>1614.437383</v>
      </c>
      <c r="I293" s="177">
        <f t="shared" si="52"/>
        <v>990.21988995652896</v>
      </c>
      <c r="J293" s="96">
        <f t="shared" si="50"/>
        <v>-0.38664707570356793</v>
      </c>
      <c r="K293" s="101">
        <f>_xlfn.XLOOKUP(C293,'2025 Goal Data'!C:C,'2025 Goal Data'!F:F,"")</f>
        <v>0.01</v>
      </c>
      <c r="L293" s="112">
        <f t="shared" si="53"/>
        <v>16.144373829999999</v>
      </c>
      <c r="M293" s="102">
        <f t="shared" si="54"/>
        <v>-0.39664707570356794</v>
      </c>
      <c r="N293" s="103">
        <f>_xlfn.XLOOKUP(C293,'2025 Goal Data'!C:C,'2025 Goal Data'!I:I,"")</f>
        <v>0</v>
      </c>
      <c r="O293" s="116">
        <f t="shared" si="55"/>
        <v>0</v>
      </c>
      <c r="P293" s="104">
        <f t="shared" si="56"/>
        <v>-0.38664707570356793</v>
      </c>
      <c r="Q293" s="67">
        <f t="shared" si="57"/>
        <v>1.0000000000000009E-2</v>
      </c>
      <c r="U293" s="57">
        <f>SUMIF(B:B,A293,K:K)</f>
        <v>0.01</v>
      </c>
    </row>
    <row r="294" spans="1:21" x14ac:dyDescent="0.25">
      <c r="A294" s="2" t="s">
        <v>326</v>
      </c>
      <c r="B294" s="2" t="s">
        <v>147</v>
      </c>
      <c r="C294" s="42" t="str">
        <f t="shared" si="51"/>
        <v>Duclaw|Duclaw Brewing</v>
      </c>
      <c r="D294" s="74">
        <v>1448.1873900000001</v>
      </c>
      <c r="E294" s="1">
        <v>888.24995799999999</v>
      </c>
      <c r="F294" s="3">
        <v>-0.38664700000000002</v>
      </c>
      <c r="G294" s="1">
        <v>166.24999299999999</v>
      </c>
      <c r="H294" s="94">
        <v>1614.437383</v>
      </c>
      <c r="I294" s="178">
        <f t="shared" si="52"/>
        <v>990.21988995652896</v>
      </c>
      <c r="J294" s="96">
        <f t="shared" si="50"/>
        <v>-0.38664707570356793</v>
      </c>
      <c r="K294" s="59">
        <f>_xlfn.XLOOKUP(C294,'2025 Goal Data'!C:C,'2025 Goal Data'!F:F,"")</f>
        <v>0.01</v>
      </c>
      <c r="L294" s="54">
        <f t="shared" si="53"/>
        <v>16.144373829999999</v>
      </c>
      <c r="M294" s="87">
        <f t="shared" si="54"/>
        <v>-0.39664707570356794</v>
      </c>
      <c r="N294" s="68">
        <f>_xlfn.XLOOKUP(C294,'2025 Goal Data'!C:C,'2025 Goal Data'!I:I,"")</f>
        <v>0</v>
      </c>
      <c r="O294" s="117">
        <f t="shared" si="55"/>
        <v>0</v>
      </c>
      <c r="P294" s="91">
        <f t="shared" si="56"/>
        <v>-0.38664707570356793</v>
      </c>
      <c r="Q294" s="69">
        <f t="shared" si="57"/>
        <v>1.0000000000000009E-2</v>
      </c>
      <c r="U294" s="58">
        <f>(H294*K294)+H294</f>
        <v>1630.5817568299999</v>
      </c>
    </row>
    <row r="295" spans="1:21" x14ac:dyDescent="0.25">
      <c r="A295" s="98" t="s">
        <v>20</v>
      </c>
      <c r="B295" s="99"/>
      <c r="C295" s="42" t="str">
        <f t="shared" si="51"/>
        <v>Forged Irish Stout|</v>
      </c>
      <c r="D295" s="73">
        <v>2333.9589989999999</v>
      </c>
      <c r="E295" s="82">
        <v>939.86829599999999</v>
      </c>
      <c r="F295" s="83">
        <v>-0.59730700000000003</v>
      </c>
      <c r="G295" s="82">
        <v>157.40280899999999</v>
      </c>
      <c r="H295" s="100">
        <v>2491.3618080000001</v>
      </c>
      <c r="I295" s="177">
        <f t="shared" si="52"/>
        <v>1003.253305364637</v>
      </c>
      <c r="J295" s="96">
        <f t="shared" si="50"/>
        <v>-0.59730726298239989</v>
      </c>
      <c r="K295" s="101">
        <f>_xlfn.XLOOKUP(C295,'2025 Goal Data'!C:C,'2025 Goal Data'!F:F,"")</f>
        <v>0</v>
      </c>
      <c r="L295" s="112">
        <f t="shared" si="53"/>
        <v>0</v>
      </c>
      <c r="M295" s="102">
        <f t="shared" si="54"/>
        <v>-0.59730726298239989</v>
      </c>
      <c r="N295" s="103">
        <f>_xlfn.XLOOKUP(C295,'2025 Goal Data'!C:C,'2025 Goal Data'!I:I,"")</f>
        <v>0</v>
      </c>
      <c r="O295" s="116">
        <f t="shared" si="55"/>
        <v>0</v>
      </c>
      <c r="P295" s="104">
        <f t="shared" si="56"/>
        <v>-0.59730726298239989</v>
      </c>
      <c r="Q295" s="67">
        <f t="shared" si="57"/>
        <v>0</v>
      </c>
      <c r="U295" s="57">
        <f>SUMIF(B:B,A295,K:K)</f>
        <v>0</v>
      </c>
    </row>
    <row r="296" spans="1:21" x14ac:dyDescent="0.25">
      <c r="A296" s="2" t="s">
        <v>20</v>
      </c>
      <c r="B296" s="2" t="s">
        <v>20</v>
      </c>
      <c r="C296" s="42" t="str">
        <f t="shared" si="51"/>
        <v>Forged Irish Stout|Forged Irish Stout</v>
      </c>
      <c r="D296" s="74">
        <v>2333.9589989999999</v>
      </c>
      <c r="E296" s="1">
        <v>939.86829599999999</v>
      </c>
      <c r="F296" s="3">
        <v>-0.59730700000000003</v>
      </c>
      <c r="G296" s="1">
        <v>157.40280899999999</v>
      </c>
      <c r="H296" s="94">
        <v>2491.3618080000001</v>
      </c>
      <c r="I296" s="178">
        <f t="shared" si="52"/>
        <v>1003.253305364637</v>
      </c>
      <c r="J296" s="96">
        <f t="shared" si="50"/>
        <v>-0.59730726298239989</v>
      </c>
      <c r="K296" s="59">
        <f>_xlfn.XLOOKUP(C296,'2025 Goal Data'!C:C,'2025 Goal Data'!F:F,"")</f>
        <v>0</v>
      </c>
      <c r="L296" s="54">
        <f t="shared" si="53"/>
        <v>0</v>
      </c>
      <c r="M296" s="87">
        <f t="shared" si="54"/>
        <v>-0.59730726298239989</v>
      </c>
      <c r="N296" s="68">
        <f>_xlfn.XLOOKUP(C296,'2025 Goal Data'!C:C,'2025 Goal Data'!I:I,"")</f>
        <v>0</v>
      </c>
      <c r="O296" s="117">
        <f t="shared" si="55"/>
        <v>0</v>
      </c>
      <c r="P296" s="91">
        <f t="shared" si="56"/>
        <v>-0.59730726298239989</v>
      </c>
      <c r="Q296" s="69">
        <f t="shared" si="57"/>
        <v>0</v>
      </c>
      <c r="U296" s="58">
        <f>(H296*K296)+H296</f>
        <v>2491.3618080000001</v>
      </c>
    </row>
    <row r="297" spans="1:21" x14ac:dyDescent="0.25">
      <c r="A297" s="98" t="s">
        <v>198</v>
      </c>
      <c r="B297" s="99"/>
      <c r="C297" s="42" t="str">
        <f t="shared" si="51"/>
        <v>Talkhouse Encore|</v>
      </c>
      <c r="D297" s="73">
        <v>525</v>
      </c>
      <c r="E297" s="82">
        <v>1285</v>
      </c>
      <c r="F297" s="83">
        <v>1.447619</v>
      </c>
      <c r="G297" s="82">
        <v>148</v>
      </c>
      <c r="H297" s="100">
        <v>673</v>
      </c>
      <c r="I297" s="177">
        <f t="shared" si="52"/>
        <v>1647.2476120000001</v>
      </c>
      <c r="J297" s="96">
        <f t="shared" si="50"/>
        <v>1.4476190371471027</v>
      </c>
      <c r="K297" s="101">
        <f>_xlfn.XLOOKUP(C297,'2025 Goal Data'!C:C,'2025 Goal Data'!F:F,"")</f>
        <v>16</v>
      </c>
      <c r="L297" s="112">
        <f t="shared" si="53"/>
        <v>10768</v>
      </c>
      <c r="M297" s="102">
        <f t="shared" si="54"/>
        <v>-14.552380962852897</v>
      </c>
      <c r="N297" s="103">
        <f>_xlfn.XLOOKUP(C297,'2025 Goal Data'!C:C,'2025 Goal Data'!I:I,"")</f>
        <v>16</v>
      </c>
      <c r="O297" s="116">
        <f t="shared" si="55"/>
        <v>10768</v>
      </c>
      <c r="P297" s="104">
        <f t="shared" si="56"/>
        <v>-14.552380962852897</v>
      </c>
      <c r="Q297" s="67">
        <f t="shared" si="57"/>
        <v>0</v>
      </c>
      <c r="U297" s="57">
        <f>SUMIF(B:B,A297,K:K)</f>
        <v>16</v>
      </c>
    </row>
    <row r="298" spans="1:21" x14ac:dyDescent="0.25">
      <c r="A298" s="2" t="s">
        <v>198</v>
      </c>
      <c r="B298" s="2" t="s">
        <v>198</v>
      </c>
      <c r="C298" s="42" t="str">
        <f t="shared" si="51"/>
        <v>Talkhouse Encore|Talkhouse Encore</v>
      </c>
      <c r="D298" s="74">
        <v>525</v>
      </c>
      <c r="E298" s="1">
        <v>1285</v>
      </c>
      <c r="F298" s="3">
        <v>1.447619</v>
      </c>
      <c r="G298" s="1">
        <v>148</v>
      </c>
      <c r="H298" s="94">
        <v>673</v>
      </c>
      <c r="I298" s="178">
        <f t="shared" si="52"/>
        <v>1647.2476120000001</v>
      </c>
      <c r="J298" s="96">
        <f t="shared" si="50"/>
        <v>1.4476190371471027</v>
      </c>
      <c r="K298" s="59">
        <f>_xlfn.XLOOKUP(C298,'2025 Goal Data'!C:C,'2025 Goal Data'!F:F,"")</f>
        <v>16</v>
      </c>
      <c r="L298" s="54">
        <f t="shared" si="53"/>
        <v>10768</v>
      </c>
      <c r="M298" s="87">
        <f t="shared" si="54"/>
        <v>-14.552380962852897</v>
      </c>
      <c r="N298" s="68">
        <f>_xlfn.XLOOKUP(C298,'2025 Goal Data'!C:C,'2025 Goal Data'!I:I,"")</f>
        <v>16</v>
      </c>
      <c r="O298" s="117">
        <f t="shared" si="55"/>
        <v>10768</v>
      </c>
      <c r="P298" s="91">
        <f t="shared" si="56"/>
        <v>-14.552380962852897</v>
      </c>
      <c r="Q298" s="69">
        <f t="shared" si="57"/>
        <v>0</v>
      </c>
      <c r="U298" s="58">
        <f>(H298*K298)+H298</f>
        <v>11441</v>
      </c>
    </row>
    <row r="299" spans="1:21" x14ac:dyDescent="0.25">
      <c r="A299" s="98" t="s">
        <v>75</v>
      </c>
      <c r="B299" s="99"/>
      <c r="C299" s="42" t="str">
        <f t="shared" si="51"/>
        <v>Cricket Hill|</v>
      </c>
      <c r="D299" s="73">
        <v>1041.1689739999999</v>
      </c>
      <c r="E299" s="82">
        <v>501.66643499999998</v>
      </c>
      <c r="F299" s="83">
        <v>-0.51817000000000002</v>
      </c>
      <c r="G299" s="82">
        <v>131.34341900000001</v>
      </c>
      <c r="H299" s="100">
        <v>1172.512393</v>
      </c>
      <c r="I299" s="177">
        <f t="shared" si="52"/>
        <v>564.95163457676995</v>
      </c>
      <c r="J299" s="96">
        <f t="shared" si="50"/>
        <v>-0.51817001001475127</v>
      </c>
      <c r="K299" s="101">
        <f>_xlfn.XLOOKUP(C299,'2025 Goal Data'!C:C,'2025 Goal Data'!F:F,"")</f>
        <v>-0.1</v>
      </c>
      <c r="L299" s="112">
        <f t="shared" si="53"/>
        <v>-117.25123930000001</v>
      </c>
      <c r="M299" s="102">
        <f t="shared" si="54"/>
        <v>-0.41817001001475129</v>
      </c>
      <c r="N299" s="103">
        <f>_xlfn.XLOOKUP(C299,'2025 Goal Data'!C:C,'2025 Goal Data'!I:I,"")</f>
        <v>-0.1</v>
      </c>
      <c r="O299" s="116">
        <f t="shared" si="55"/>
        <v>-117.25123930000001</v>
      </c>
      <c r="P299" s="104">
        <f t="shared" si="56"/>
        <v>-0.41817001001475129</v>
      </c>
      <c r="Q299" s="67">
        <f t="shared" si="57"/>
        <v>0</v>
      </c>
      <c r="U299" s="57">
        <f>SUMIF(B:B,A299,K:K)</f>
        <v>-0.1</v>
      </c>
    </row>
    <row r="300" spans="1:21" x14ac:dyDescent="0.25">
      <c r="A300" s="2" t="s">
        <v>75</v>
      </c>
      <c r="B300" s="2" t="s">
        <v>75</v>
      </c>
      <c r="C300" s="42" t="str">
        <f t="shared" si="51"/>
        <v>Cricket Hill|Cricket Hill</v>
      </c>
      <c r="D300" s="74">
        <v>1041.1689739999999</v>
      </c>
      <c r="E300" s="1">
        <v>501.66643499999998</v>
      </c>
      <c r="F300" s="3">
        <v>-0.51817000000000002</v>
      </c>
      <c r="G300" s="1">
        <v>131.34341900000001</v>
      </c>
      <c r="H300" s="94">
        <v>1172.512393</v>
      </c>
      <c r="I300" s="178">
        <f t="shared" si="52"/>
        <v>564.95163457676995</v>
      </c>
      <c r="J300" s="96">
        <f t="shared" si="50"/>
        <v>-0.51817001001475127</v>
      </c>
      <c r="K300" s="59">
        <f>_xlfn.XLOOKUP(C300,'2025 Goal Data'!C:C,'2025 Goal Data'!F:F,"")</f>
        <v>-0.1</v>
      </c>
      <c r="L300" s="54">
        <f t="shared" si="53"/>
        <v>-117.25123930000001</v>
      </c>
      <c r="M300" s="87">
        <f t="shared" si="54"/>
        <v>-0.41817001001475129</v>
      </c>
      <c r="N300" s="68">
        <f>_xlfn.XLOOKUP(C300,'2025 Goal Data'!C:C,'2025 Goal Data'!I:I,"")</f>
        <v>-0.1</v>
      </c>
      <c r="O300" s="117">
        <f t="shared" si="55"/>
        <v>-117.25123930000001</v>
      </c>
      <c r="P300" s="91">
        <f t="shared" si="56"/>
        <v>-0.41817001001475129</v>
      </c>
      <c r="Q300" s="69">
        <f t="shared" si="57"/>
        <v>0</v>
      </c>
      <c r="U300" s="58">
        <f>(H300*K300)+H300</f>
        <v>1055.2611537</v>
      </c>
    </row>
    <row r="301" spans="1:21" x14ac:dyDescent="0.25">
      <c r="A301" s="98" t="s">
        <v>46</v>
      </c>
      <c r="B301" s="99"/>
      <c r="C301" s="42" t="str">
        <f t="shared" si="51"/>
        <v>HOP WTR|</v>
      </c>
      <c r="D301" s="73">
        <v>794.72224000000006</v>
      </c>
      <c r="E301" s="82">
        <v>848.70140000000004</v>
      </c>
      <c r="F301" s="83">
        <v>6.7921999999999996E-2</v>
      </c>
      <c r="G301" s="82">
        <v>120.142364</v>
      </c>
      <c r="H301" s="100">
        <v>914.86460399999999</v>
      </c>
      <c r="I301" s="177">
        <f t="shared" si="52"/>
        <v>977.00407364760804</v>
      </c>
      <c r="J301" s="96">
        <f t="shared" si="50"/>
        <v>6.7922039366175024E-2</v>
      </c>
      <c r="K301" s="101">
        <f>_xlfn.XLOOKUP(C301,'2025 Goal Data'!C:C,'2025 Goal Data'!F:F,"")</f>
        <v>1</v>
      </c>
      <c r="L301" s="112">
        <f t="shared" si="53"/>
        <v>914.86460399999999</v>
      </c>
      <c r="M301" s="102">
        <f t="shared" si="54"/>
        <v>-0.93207796063382498</v>
      </c>
      <c r="N301" s="103">
        <f>_xlfn.XLOOKUP(C301,'2025 Goal Data'!C:C,'2025 Goal Data'!I:I,"")</f>
        <v>0.5</v>
      </c>
      <c r="O301" s="116">
        <f t="shared" si="55"/>
        <v>457.43230199999999</v>
      </c>
      <c r="P301" s="104">
        <f t="shared" si="56"/>
        <v>-0.43207796063382498</v>
      </c>
      <c r="Q301" s="67">
        <f t="shared" si="57"/>
        <v>0.5</v>
      </c>
      <c r="U301" s="57">
        <f>SUMIF(B:B,A301,K:K)</f>
        <v>1</v>
      </c>
    </row>
    <row r="302" spans="1:21" x14ac:dyDescent="0.25">
      <c r="A302" s="2" t="s">
        <v>46</v>
      </c>
      <c r="B302" s="2" t="s">
        <v>46</v>
      </c>
      <c r="C302" s="42" t="str">
        <f t="shared" si="51"/>
        <v>HOP WTR|HOP WTR</v>
      </c>
      <c r="D302" s="74">
        <v>794.72224000000006</v>
      </c>
      <c r="E302" s="1">
        <v>848.70140000000004</v>
      </c>
      <c r="F302" s="3">
        <v>6.7921999999999996E-2</v>
      </c>
      <c r="G302" s="1">
        <v>120.142364</v>
      </c>
      <c r="H302" s="94">
        <v>914.86460399999999</v>
      </c>
      <c r="I302" s="178">
        <f t="shared" si="52"/>
        <v>977.00407364760804</v>
      </c>
      <c r="J302" s="96">
        <f t="shared" si="50"/>
        <v>6.7922039366175024E-2</v>
      </c>
      <c r="K302" s="59">
        <f>_xlfn.XLOOKUP(C302,'2025 Goal Data'!C:C,'2025 Goal Data'!F:F,"")</f>
        <v>1</v>
      </c>
      <c r="L302" s="54">
        <f t="shared" si="53"/>
        <v>914.86460399999999</v>
      </c>
      <c r="M302" s="87">
        <f t="shared" si="54"/>
        <v>-0.93207796063382498</v>
      </c>
      <c r="N302" s="68">
        <f>_xlfn.XLOOKUP(C302,'2025 Goal Data'!C:C,'2025 Goal Data'!I:I,"")</f>
        <v>0.5</v>
      </c>
      <c r="O302" s="117">
        <f t="shared" si="55"/>
        <v>457.43230199999999</v>
      </c>
      <c r="P302" s="91">
        <f t="shared" si="56"/>
        <v>-0.43207796063382498</v>
      </c>
      <c r="Q302" s="69">
        <f t="shared" si="57"/>
        <v>0.5</v>
      </c>
      <c r="U302" s="58">
        <f>(H302*K302)+H302</f>
        <v>1829.729208</v>
      </c>
    </row>
    <row r="303" spans="1:21" x14ac:dyDescent="0.25">
      <c r="A303" s="98" t="s">
        <v>327</v>
      </c>
      <c r="B303" s="99"/>
      <c r="C303" s="42" t="str">
        <f t="shared" si="51"/>
        <v>Crook &amp; Marker|</v>
      </c>
      <c r="D303" s="73">
        <v>976.54132700000002</v>
      </c>
      <c r="E303" s="82">
        <v>1284.1662200000001</v>
      </c>
      <c r="F303" s="83">
        <v>0.31501499999999999</v>
      </c>
      <c r="G303" s="82">
        <v>99.666632000000007</v>
      </c>
      <c r="H303" s="100">
        <v>1076.2079590000001</v>
      </c>
      <c r="I303" s="177">
        <f t="shared" si="52"/>
        <v>1415.2293360794802</v>
      </c>
      <c r="J303" s="96">
        <f t="shared" si="50"/>
        <v>0.31501474621549419</v>
      </c>
      <c r="K303" s="101">
        <f>_xlfn.XLOOKUP(C303,'2025 Goal Data'!C:C,'2025 Goal Data'!F:F,"")</f>
        <v>0</v>
      </c>
      <c r="L303" s="112">
        <f t="shared" si="53"/>
        <v>0</v>
      </c>
      <c r="M303" s="102">
        <f t="shared" si="54"/>
        <v>0.31501474621549419</v>
      </c>
      <c r="N303" s="103">
        <f>_xlfn.XLOOKUP(C303,'2025 Goal Data'!C:C,'2025 Goal Data'!I:I,"")</f>
        <v>-0.5</v>
      </c>
      <c r="O303" s="116">
        <f t="shared" si="55"/>
        <v>-538.10397950000004</v>
      </c>
      <c r="P303" s="104">
        <f t="shared" si="56"/>
        <v>0.81501474621549419</v>
      </c>
      <c r="Q303" s="67">
        <f t="shared" si="57"/>
        <v>0.5</v>
      </c>
      <c r="U303" s="57">
        <f>SUMIF(B:B,A303,K:K)</f>
        <v>0</v>
      </c>
    </row>
    <row r="304" spans="1:21" x14ac:dyDescent="0.25">
      <c r="A304" s="2" t="s">
        <v>76</v>
      </c>
      <c r="B304" s="2" t="s">
        <v>327</v>
      </c>
      <c r="C304" s="42" t="str">
        <f t="shared" si="51"/>
        <v>Crook&amp;Marker|Crook &amp; Marker</v>
      </c>
      <c r="D304" s="74">
        <v>976.54132700000002</v>
      </c>
      <c r="E304" s="1">
        <v>53.666648000000002</v>
      </c>
      <c r="F304" s="3">
        <v>-0.945044</v>
      </c>
      <c r="G304" s="1">
        <v>99.666632000000007</v>
      </c>
      <c r="H304" s="94">
        <v>1076.2079590000001</v>
      </c>
      <c r="I304" s="178">
        <f t="shared" si="52"/>
        <v>59.143927428192008</v>
      </c>
      <c r="J304" s="96">
        <f t="shared" si="50"/>
        <v>-0.94504414603739983</v>
      </c>
      <c r="K304" s="59">
        <f>_xlfn.XLOOKUP(C304,'2025 Goal Data'!C:C,'2025 Goal Data'!F:F,"")</f>
        <v>0</v>
      </c>
      <c r="L304" s="54">
        <f t="shared" si="53"/>
        <v>0</v>
      </c>
      <c r="M304" s="87">
        <f t="shared" si="54"/>
        <v>-0.94504414603739983</v>
      </c>
      <c r="N304" s="68">
        <f>_xlfn.XLOOKUP(C304,'2025 Goal Data'!C:C,'2025 Goal Data'!I:I,"")</f>
        <v>-0.5</v>
      </c>
      <c r="O304" s="117">
        <f t="shared" si="55"/>
        <v>-538.10397950000004</v>
      </c>
      <c r="P304" s="91">
        <f t="shared" si="56"/>
        <v>-0.44504414603739983</v>
      </c>
      <c r="Q304" s="69">
        <f t="shared" si="57"/>
        <v>0.5</v>
      </c>
      <c r="U304" s="58">
        <f>(H304*K304)+H304</f>
        <v>1076.2079590000001</v>
      </c>
    </row>
    <row r="305" spans="1:21" x14ac:dyDescent="0.25">
      <c r="A305" s="2" t="s">
        <v>328</v>
      </c>
      <c r="B305" s="5" t="s">
        <v>327</v>
      </c>
      <c r="C305" s="42" t="str">
        <f t="shared" si="51"/>
        <v>Crooked Tea|Crook &amp; Marker</v>
      </c>
      <c r="D305" s="74">
        <v>0</v>
      </c>
      <c r="E305" s="1">
        <v>1230.4995719999999</v>
      </c>
      <c r="F305" s="3">
        <v>1</v>
      </c>
      <c r="G305" s="1">
        <v>0</v>
      </c>
      <c r="H305" s="94">
        <v>0</v>
      </c>
      <c r="I305" s="178">
        <f t="shared" si="52"/>
        <v>1230.4995719999999</v>
      </c>
      <c r="J305" s="96">
        <f t="shared" si="50"/>
        <v>0</v>
      </c>
      <c r="K305" s="59">
        <f>_xlfn.XLOOKUP(C305,'2025 Goal Data'!C:C,'2025 Goal Data'!F:F,"")</f>
        <v>0</v>
      </c>
      <c r="L305" s="54">
        <f t="shared" si="53"/>
        <v>0</v>
      </c>
      <c r="M305" s="87">
        <f t="shared" si="54"/>
        <v>0</v>
      </c>
      <c r="N305" s="68">
        <f>_xlfn.XLOOKUP(C305,'2025 Goal Data'!C:C,'2025 Goal Data'!I:I,"")</f>
        <v>0</v>
      </c>
      <c r="O305" s="117">
        <f t="shared" si="55"/>
        <v>0</v>
      </c>
      <c r="P305" s="91">
        <f t="shared" si="56"/>
        <v>0</v>
      </c>
      <c r="Q305" s="69">
        <f t="shared" si="57"/>
        <v>0</v>
      </c>
      <c r="U305" s="58">
        <f>(H305*K305)+H305</f>
        <v>0</v>
      </c>
    </row>
    <row r="306" spans="1:21" x14ac:dyDescent="0.25">
      <c r="A306" s="98" t="s">
        <v>254</v>
      </c>
      <c r="B306" s="99"/>
      <c r="C306" s="42" t="str">
        <f t="shared" si="51"/>
        <v>Unibroue|</v>
      </c>
      <c r="D306" s="73">
        <v>402.15016600000001</v>
      </c>
      <c r="E306" s="82">
        <v>274.39094499999999</v>
      </c>
      <c r="F306" s="83">
        <v>-0.31768999999999997</v>
      </c>
      <c r="G306" s="82">
        <v>75.071696000000003</v>
      </c>
      <c r="H306" s="100">
        <v>477.22186199999999</v>
      </c>
      <c r="I306" s="177">
        <f t="shared" si="52"/>
        <v>325.61311389776</v>
      </c>
      <c r="J306" s="96">
        <f t="shared" si="50"/>
        <v>-0.31769028239163111</v>
      </c>
      <c r="K306" s="101">
        <f>_xlfn.XLOOKUP(C306,'2025 Goal Data'!C:C,'2025 Goal Data'!F:F,"")</f>
        <v>0</v>
      </c>
      <c r="L306" s="112">
        <f t="shared" si="53"/>
        <v>0</v>
      </c>
      <c r="M306" s="102">
        <f t="shared" si="54"/>
        <v>-0.31769028239163111</v>
      </c>
      <c r="N306" s="103">
        <f>_xlfn.XLOOKUP(C306,'2025 Goal Data'!C:C,'2025 Goal Data'!I:I,"")</f>
        <v>0</v>
      </c>
      <c r="O306" s="116">
        <f t="shared" si="55"/>
        <v>0</v>
      </c>
      <c r="P306" s="104">
        <f t="shared" si="56"/>
        <v>-0.31769028239163111</v>
      </c>
      <c r="Q306" s="67">
        <f t="shared" si="57"/>
        <v>0</v>
      </c>
      <c r="U306" s="57">
        <f>SUMIF(B:B,A306,K:K)</f>
        <v>0</v>
      </c>
    </row>
    <row r="307" spans="1:21" x14ac:dyDescent="0.25">
      <c r="A307" s="2" t="s">
        <v>254</v>
      </c>
      <c r="B307" s="2" t="s">
        <v>254</v>
      </c>
      <c r="C307" s="42" t="str">
        <f t="shared" si="51"/>
        <v>Unibroue|Unibroue</v>
      </c>
      <c r="D307" s="74">
        <v>402.15016600000001</v>
      </c>
      <c r="E307" s="1">
        <v>274.39094499999999</v>
      </c>
      <c r="F307" s="3">
        <v>-0.31768999999999997</v>
      </c>
      <c r="G307" s="1">
        <v>75.071696000000003</v>
      </c>
      <c r="H307" s="94">
        <v>477.22186199999999</v>
      </c>
      <c r="I307" s="178">
        <f t="shared" si="52"/>
        <v>325.61311389776</v>
      </c>
      <c r="J307" s="96">
        <f t="shared" si="50"/>
        <v>-0.31769028239163111</v>
      </c>
      <c r="K307" s="59">
        <f>_xlfn.XLOOKUP(C307,'2025 Goal Data'!C:C,'2025 Goal Data'!F:F,"")</f>
        <v>0</v>
      </c>
      <c r="L307" s="54">
        <f t="shared" si="53"/>
        <v>0</v>
      </c>
      <c r="M307" s="87">
        <f t="shared" si="54"/>
        <v>-0.31769028239163111</v>
      </c>
      <c r="N307" s="68">
        <f>_xlfn.XLOOKUP(C307,'2025 Goal Data'!C:C,'2025 Goal Data'!I:I,"")</f>
        <v>0</v>
      </c>
      <c r="O307" s="117">
        <f t="shared" si="55"/>
        <v>0</v>
      </c>
      <c r="P307" s="91">
        <f t="shared" si="56"/>
        <v>-0.31769028239163111</v>
      </c>
      <c r="Q307" s="69">
        <f t="shared" si="57"/>
        <v>0</v>
      </c>
      <c r="U307" s="58">
        <f>(H307*K307)+H307</f>
        <v>477.22186199999999</v>
      </c>
    </row>
    <row r="308" spans="1:21" x14ac:dyDescent="0.25">
      <c r="A308" s="98" t="s">
        <v>409</v>
      </c>
      <c r="B308" s="99"/>
      <c r="C308" s="42" t="str">
        <f t="shared" si="51"/>
        <v>Southern Tier Distilling Company|</v>
      </c>
      <c r="D308" s="73">
        <v>678</v>
      </c>
      <c r="E308" s="82">
        <v>503</v>
      </c>
      <c r="F308" s="83">
        <v>-0.25811200000000001</v>
      </c>
      <c r="G308" s="82">
        <v>75</v>
      </c>
      <c r="H308" s="100">
        <v>753</v>
      </c>
      <c r="I308" s="177">
        <f t="shared" si="52"/>
        <v>558.64160000000004</v>
      </c>
      <c r="J308" s="96">
        <f t="shared" si="50"/>
        <v>-0.2581120849933598</v>
      </c>
      <c r="K308" s="101">
        <f>_xlfn.XLOOKUP(C308,'2025 Goal Data'!C:C,'2025 Goal Data'!F:F,"")</f>
        <v>0.3</v>
      </c>
      <c r="L308" s="112">
        <f t="shared" si="53"/>
        <v>225.9</v>
      </c>
      <c r="M308" s="102">
        <f t="shared" si="54"/>
        <v>-0.55811208499335985</v>
      </c>
      <c r="N308" s="103">
        <f>_xlfn.XLOOKUP(C308,'2025 Goal Data'!C:C,'2025 Goal Data'!I:I,"")</f>
        <v>0.3</v>
      </c>
      <c r="O308" s="116">
        <f t="shared" si="55"/>
        <v>225.9</v>
      </c>
      <c r="P308" s="104">
        <f t="shared" si="56"/>
        <v>-0.55811208499335985</v>
      </c>
      <c r="Q308" s="67">
        <f t="shared" si="57"/>
        <v>0</v>
      </c>
      <c r="U308" s="57">
        <f>SUMIF(B:B,A308,K:K)</f>
        <v>0.3</v>
      </c>
    </row>
    <row r="309" spans="1:21" x14ac:dyDescent="0.25">
      <c r="A309" s="2" t="s">
        <v>77</v>
      </c>
      <c r="B309" s="2" t="s">
        <v>409</v>
      </c>
      <c r="C309" s="42" t="str">
        <f t="shared" si="51"/>
        <v>Southern Tier Distilling|Southern Tier Distilling Company</v>
      </c>
      <c r="D309" s="74">
        <v>678</v>
      </c>
      <c r="E309" s="1">
        <v>503</v>
      </c>
      <c r="F309" s="3">
        <v>-0.25811200000000001</v>
      </c>
      <c r="G309" s="1">
        <v>75</v>
      </c>
      <c r="H309" s="94">
        <v>753</v>
      </c>
      <c r="I309" s="178">
        <f t="shared" si="52"/>
        <v>558.64160000000004</v>
      </c>
      <c r="J309" s="96">
        <f t="shared" si="50"/>
        <v>-0.2581120849933598</v>
      </c>
      <c r="K309" s="59">
        <f>_xlfn.XLOOKUP(C309,'2025 Goal Data'!C:C,'2025 Goal Data'!F:F,"")</f>
        <v>0.3</v>
      </c>
      <c r="L309" s="54">
        <f t="shared" si="53"/>
        <v>225.9</v>
      </c>
      <c r="M309" s="87">
        <f t="shared" si="54"/>
        <v>-0.55811208499335985</v>
      </c>
      <c r="N309" s="68">
        <f>_xlfn.XLOOKUP(C309,'2025 Goal Data'!C:C,'2025 Goal Data'!I:I,"")</f>
        <v>0.3</v>
      </c>
      <c r="O309" s="117">
        <f t="shared" si="55"/>
        <v>225.9</v>
      </c>
      <c r="P309" s="91">
        <f t="shared" si="56"/>
        <v>-0.55811208499335985</v>
      </c>
      <c r="Q309" s="69">
        <f t="shared" si="57"/>
        <v>0</v>
      </c>
      <c r="U309" s="58">
        <f>(H309*K309)+H309</f>
        <v>978.9</v>
      </c>
    </row>
    <row r="310" spans="1:21" x14ac:dyDescent="0.25">
      <c r="A310" s="98" t="s">
        <v>199</v>
      </c>
      <c r="B310" s="99"/>
      <c r="C310" s="42" t="str">
        <f t="shared" si="51"/>
        <v>Efes|</v>
      </c>
      <c r="D310" s="73">
        <v>322.23966000000001</v>
      </c>
      <c r="E310" s="82">
        <v>88.732659999999996</v>
      </c>
      <c r="F310" s="83">
        <v>-0.724638</v>
      </c>
      <c r="G310" s="82">
        <v>73.788212000000001</v>
      </c>
      <c r="H310" s="100">
        <v>396.027872</v>
      </c>
      <c r="I310" s="177">
        <f t="shared" si="52"/>
        <v>109.05112963274399</v>
      </c>
      <c r="J310" s="96">
        <f t="shared" si="50"/>
        <v>-0.7246377405660378</v>
      </c>
      <c r="K310" s="101">
        <f>_xlfn.XLOOKUP(C310,'2025 Goal Data'!C:C,'2025 Goal Data'!F:F,"")</f>
        <v>0</v>
      </c>
      <c r="L310" s="112">
        <f t="shared" si="53"/>
        <v>0</v>
      </c>
      <c r="M310" s="102">
        <f t="shared" si="54"/>
        <v>-0.7246377405660378</v>
      </c>
      <c r="N310" s="103">
        <f>_xlfn.XLOOKUP(C310,'2025 Goal Data'!C:C,'2025 Goal Data'!I:I,"")</f>
        <v>0</v>
      </c>
      <c r="O310" s="116">
        <f t="shared" si="55"/>
        <v>0</v>
      </c>
      <c r="P310" s="104">
        <f t="shared" si="56"/>
        <v>-0.7246377405660378</v>
      </c>
      <c r="Q310" s="67">
        <f t="shared" si="57"/>
        <v>0</v>
      </c>
      <c r="U310" s="57">
        <f>SUMIF(B:B,A310,K:K)</f>
        <v>0</v>
      </c>
    </row>
    <row r="311" spans="1:21" x14ac:dyDescent="0.25">
      <c r="A311" s="2" t="s">
        <v>199</v>
      </c>
      <c r="B311" s="2" t="s">
        <v>199</v>
      </c>
      <c r="C311" s="42" t="str">
        <f t="shared" si="51"/>
        <v>Efes|Efes</v>
      </c>
      <c r="D311" s="74">
        <v>322.23966000000001</v>
      </c>
      <c r="E311" s="1">
        <v>88.732659999999996</v>
      </c>
      <c r="F311" s="3">
        <v>-0.724638</v>
      </c>
      <c r="G311" s="1">
        <v>73.788212000000001</v>
      </c>
      <c r="H311" s="94">
        <v>396.027872</v>
      </c>
      <c r="I311" s="178">
        <f t="shared" si="52"/>
        <v>109.05112963274399</v>
      </c>
      <c r="J311" s="96">
        <f t="shared" si="50"/>
        <v>-0.7246377405660378</v>
      </c>
      <c r="K311" s="59">
        <f>_xlfn.XLOOKUP(C311,'2025 Goal Data'!C:C,'2025 Goal Data'!F:F,"")</f>
        <v>0</v>
      </c>
      <c r="L311" s="54">
        <f t="shared" si="53"/>
        <v>0</v>
      </c>
      <c r="M311" s="87">
        <f t="shared" si="54"/>
        <v>-0.7246377405660378</v>
      </c>
      <c r="N311" s="68">
        <f>_xlfn.XLOOKUP(C311,'2025 Goal Data'!C:C,'2025 Goal Data'!I:I,"")</f>
        <v>0</v>
      </c>
      <c r="O311" s="117">
        <f t="shared" si="55"/>
        <v>0</v>
      </c>
      <c r="P311" s="91">
        <f t="shared" si="56"/>
        <v>-0.7246377405660378</v>
      </c>
      <c r="Q311" s="69">
        <f t="shared" si="57"/>
        <v>0</v>
      </c>
      <c r="U311" s="58">
        <f>(H311*K311)+H311</f>
        <v>396.027872</v>
      </c>
    </row>
    <row r="312" spans="1:21" x14ac:dyDescent="0.25">
      <c r="A312" s="98" t="s">
        <v>329</v>
      </c>
      <c r="B312" s="99"/>
      <c r="C312" s="42" t="str">
        <f t="shared" si="51"/>
        <v>Cerveceria La Tropical|</v>
      </c>
      <c r="D312" s="73">
        <v>563</v>
      </c>
      <c r="E312" s="82">
        <v>149</v>
      </c>
      <c r="F312" s="83">
        <v>-0.73534600000000006</v>
      </c>
      <c r="G312" s="82">
        <v>69</v>
      </c>
      <c r="H312" s="100">
        <v>632</v>
      </c>
      <c r="I312" s="177">
        <f t="shared" si="52"/>
        <v>167.26112599999999</v>
      </c>
      <c r="J312" s="96">
        <f t="shared" si="50"/>
        <v>-0.73534631962025321</v>
      </c>
      <c r="K312" s="101" t="str">
        <f>_xlfn.XLOOKUP(C312,'2025 Goal Data'!C:C,'2025 Goal Data'!F:F,"")</f>
        <v/>
      </c>
      <c r="L312" s="112">
        <f t="shared" si="53"/>
        <v>0</v>
      </c>
      <c r="M312" s="102">
        <f t="shared" si="54"/>
        <v>0</v>
      </c>
      <c r="N312" s="103" t="str">
        <f>_xlfn.XLOOKUP(C312,'2025 Goal Data'!C:C,'2025 Goal Data'!I:I,"")</f>
        <v/>
      </c>
      <c r="O312" s="116">
        <f t="shared" si="55"/>
        <v>0</v>
      </c>
      <c r="P312" s="104">
        <f t="shared" si="56"/>
        <v>0</v>
      </c>
      <c r="Q312" s="67">
        <f t="shared" si="57"/>
        <v>0</v>
      </c>
      <c r="U312" s="57">
        <f>SUMIF(B:B,A312,K:K)</f>
        <v>0</v>
      </c>
    </row>
    <row r="313" spans="1:21" x14ac:dyDescent="0.25">
      <c r="A313" s="2" t="s">
        <v>410</v>
      </c>
      <c r="B313" s="2" t="s">
        <v>329</v>
      </c>
      <c r="C313" s="42" t="str">
        <f t="shared" si="51"/>
        <v>La Tropical|Cerveceria La Tropical</v>
      </c>
      <c r="D313" s="74">
        <v>563</v>
      </c>
      <c r="E313" s="1">
        <v>149</v>
      </c>
      <c r="F313" s="3">
        <v>-0.73534600000000006</v>
      </c>
      <c r="G313" s="1">
        <v>69</v>
      </c>
      <c r="H313" s="94">
        <v>632</v>
      </c>
      <c r="I313" s="178">
        <f t="shared" si="52"/>
        <v>167.26112599999999</v>
      </c>
      <c r="J313" s="96">
        <f t="shared" si="50"/>
        <v>-0.73534631962025321</v>
      </c>
      <c r="K313" s="59" t="str">
        <f>_xlfn.XLOOKUP(C313,'2025 Goal Data'!C:C,'2025 Goal Data'!F:F,"")</f>
        <v/>
      </c>
      <c r="L313" s="54">
        <f t="shared" si="53"/>
        <v>0</v>
      </c>
      <c r="M313" s="87">
        <f t="shared" si="54"/>
        <v>0</v>
      </c>
      <c r="N313" s="68" t="str">
        <f>_xlfn.XLOOKUP(C313,'2025 Goal Data'!C:C,'2025 Goal Data'!I:I,"")</f>
        <v/>
      </c>
      <c r="O313" s="117">
        <f t="shared" si="55"/>
        <v>0</v>
      </c>
      <c r="P313" s="91">
        <f t="shared" si="56"/>
        <v>0</v>
      </c>
      <c r="Q313" s="69" t="s">
        <v>475</v>
      </c>
      <c r="U313" s="58" t="s">
        <v>475</v>
      </c>
    </row>
    <row r="314" spans="1:21" x14ac:dyDescent="0.25">
      <c r="A314" s="98" t="s">
        <v>354</v>
      </c>
      <c r="B314" s="99"/>
      <c r="C314" s="42" t="str">
        <f t="shared" si="51"/>
        <v>Barn Brew Co|</v>
      </c>
      <c r="D314" s="73">
        <v>429.58328</v>
      </c>
      <c r="E314" s="82">
        <v>560.95830999999998</v>
      </c>
      <c r="F314" s="83">
        <v>0.30581999999999998</v>
      </c>
      <c r="G314" s="82">
        <v>61.708328000000002</v>
      </c>
      <c r="H314" s="100">
        <v>491.291608</v>
      </c>
      <c r="I314" s="177">
        <f t="shared" si="52"/>
        <v>641.53827886895999</v>
      </c>
      <c r="J314" s="96">
        <f t="shared" si="50"/>
        <v>0.30581973805862361</v>
      </c>
      <c r="K314" s="101">
        <f>_xlfn.XLOOKUP(C314,'2025 Goal Data'!C:C,'2025 Goal Data'!F:F,"")</f>
        <v>0.4</v>
      </c>
      <c r="L314" s="112">
        <f t="shared" si="53"/>
        <v>196.5166432</v>
      </c>
      <c r="M314" s="102">
        <f t="shared" si="54"/>
        <v>-9.4180261941376409E-2</v>
      </c>
      <c r="N314" s="103">
        <f>_xlfn.XLOOKUP(C314,'2025 Goal Data'!C:C,'2025 Goal Data'!I:I,"")</f>
        <v>0.4</v>
      </c>
      <c r="O314" s="116">
        <f t="shared" si="55"/>
        <v>196.5166432</v>
      </c>
      <c r="P314" s="104">
        <f t="shared" si="56"/>
        <v>-9.4180261941376409E-2</v>
      </c>
      <c r="Q314" s="67">
        <f t="shared" ref="Q314:Q320" si="58">P314-M314</f>
        <v>0</v>
      </c>
      <c r="U314" s="57">
        <f>SUMIF(B:B,A314,K:K)</f>
        <v>0.4</v>
      </c>
    </row>
    <row r="315" spans="1:21" x14ac:dyDescent="0.25">
      <c r="A315" s="2" t="s">
        <v>47</v>
      </c>
      <c r="B315" s="2" t="s">
        <v>354</v>
      </c>
      <c r="C315" s="42" t="str">
        <f t="shared" si="51"/>
        <v>Barn Brew|Barn Brew Co</v>
      </c>
      <c r="D315" s="74">
        <v>429.58328</v>
      </c>
      <c r="E315" s="1">
        <v>560.95830999999998</v>
      </c>
      <c r="F315" s="3">
        <v>0.30581999999999998</v>
      </c>
      <c r="G315" s="1">
        <v>61.708328000000002</v>
      </c>
      <c r="H315" s="94">
        <v>491.291608</v>
      </c>
      <c r="I315" s="178">
        <f t="shared" si="52"/>
        <v>641.53827886895999</v>
      </c>
      <c r="J315" s="96">
        <f t="shared" si="50"/>
        <v>0.30581973805862361</v>
      </c>
      <c r="K315" s="59">
        <f>_xlfn.XLOOKUP(C315,'2025 Goal Data'!C:C,'2025 Goal Data'!F:F,"")</f>
        <v>0.4</v>
      </c>
      <c r="L315" s="54">
        <f t="shared" si="53"/>
        <v>196.5166432</v>
      </c>
      <c r="M315" s="87">
        <f t="shared" si="54"/>
        <v>-9.4180261941376409E-2</v>
      </c>
      <c r="N315" s="68">
        <f>_xlfn.XLOOKUP(C315,'2025 Goal Data'!C:C,'2025 Goal Data'!I:I,"")</f>
        <v>0.4</v>
      </c>
      <c r="O315" s="117">
        <f t="shared" si="55"/>
        <v>196.5166432</v>
      </c>
      <c r="P315" s="91">
        <f t="shared" si="56"/>
        <v>-9.4180261941376409E-2</v>
      </c>
      <c r="Q315" s="69">
        <f t="shared" si="58"/>
        <v>0</v>
      </c>
      <c r="U315" s="58">
        <f>(H315*K315)+H315</f>
        <v>687.80825119999997</v>
      </c>
    </row>
    <row r="316" spans="1:21" x14ac:dyDescent="0.25">
      <c r="A316" s="98" t="s">
        <v>355</v>
      </c>
      <c r="B316" s="99"/>
      <c r="C316" s="42" t="str">
        <f t="shared" si="51"/>
        <v>XYZ Beverage|</v>
      </c>
      <c r="D316" s="73">
        <v>446</v>
      </c>
      <c r="E316" s="82">
        <v>302</v>
      </c>
      <c r="F316" s="83">
        <v>-0.32286999999999999</v>
      </c>
      <c r="G316" s="82">
        <v>58</v>
      </c>
      <c r="H316" s="100">
        <v>504</v>
      </c>
      <c r="I316" s="177">
        <f t="shared" si="52"/>
        <v>341.27354000000003</v>
      </c>
      <c r="J316" s="96">
        <f t="shared" si="50"/>
        <v>-0.32286996031746029</v>
      </c>
      <c r="K316" s="101">
        <f>_xlfn.XLOOKUP(C316,'2025 Goal Data'!C:C,'2025 Goal Data'!F:F,"")</f>
        <v>-0.3</v>
      </c>
      <c r="L316" s="112">
        <f t="shared" si="53"/>
        <v>-151.19999999999999</v>
      </c>
      <c r="M316" s="102">
        <f t="shared" si="54"/>
        <v>-2.2869960317460303E-2</v>
      </c>
      <c r="N316" s="103">
        <f>_xlfn.XLOOKUP(C316,'2025 Goal Data'!C:C,'2025 Goal Data'!I:I,"")</f>
        <v>-0.3</v>
      </c>
      <c r="O316" s="116">
        <f t="shared" si="55"/>
        <v>-151.19999999999999</v>
      </c>
      <c r="P316" s="104">
        <f t="shared" si="56"/>
        <v>-2.2869960317460303E-2</v>
      </c>
      <c r="Q316" s="67">
        <f t="shared" si="58"/>
        <v>0</v>
      </c>
      <c r="U316" s="57">
        <f>SUMIF(B:B,A316,K:K)</f>
        <v>-0.3</v>
      </c>
    </row>
    <row r="317" spans="1:21" x14ac:dyDescent="0.25">
      <c r="A317" s="2" t="s">
        <v>271</v>
      </c>
      <c r="B317" s="2" t="s">
        <v>355</v>
      </c>
      <c r="C317" s="42" t="str">
        <f t="shared" si="51"/>
        <v>Press|XYZ Beverage</v>
      </c>
      <c r="D317" s="74">
        <v>446</v>
      </c>
      <c r="E317" s="1">
        <v>302</v>
      </c>
      <c r="F317" s="3">
        <v>-0.32286999999999999</v>
      </c>
      <c r="G317" s="1">
        <v>58</v>
      </c>
      <c r="H317" s="94">
        <v>504</v>
      </c>
      <c r="I317" s="178">
        <f t="shared" si="52"/>
        <v>341.27354000000003</v>
      </c>
      <c r="J317" s="96">
        <f t="shared" si="50"/>
        <v>-0.32286996031746029</v>
      </c>
      <c r="K317" s="59">
        <f>_xlfn.XLOOKUP(C317,'2025 Goal Data'!C:C,'2025 Goal Data'!F:F,"")</f>
        <v>-0.3</v>
      </c>
      <c r="L317" s="54">
        <f t="shared" si="53"/>
        <v>-151.19999999999999</v>
      </c>
      <c r="M317" s="87">
        <f t="shared" si="54"/>
        <v>-2.2869960317460303E-2</v>
      </c>
      <c r="N317" s="68">
        <f>_xlfn.XLOOKUP(C317,'2025 Goal Data'!C:C,'2025 Goal Data'!I:I,"")</f>
        <v>-0.3</v>
      </c>
      <c r="O317" s="117">
        <f t="shared" si="55"/>
        <v>-151.19999999999999</v>
      </c>
      <c r="P317" s="91">
        <f t="shared" si="56"/>
        <v>-2.2869960317460303E-2</v>
      </c>
      <c r="Q317" s="69">
        <f t="shared" si="58"/>
        <v>0</v>
      </c>
      <c r="U317" s="58">
        <f>(H317*K317)+H317</f>
        <v>352.8</v>
      </c>
    </row>
    <row r="318" spans="1:21" x14ac:dyDescent="0.25">
      <c r="A318" s="98" t="s">
        <v>356</v>
      </c>
      <c r="B318" s="99"/>
      <c r="C318" s="42" t="str">
        <f t="shared" si="51"/>
        <v>Defiant Brewing Co.|</v>
      </c>
      <c r="D318" s="73">
        <v>407.18621999999999</v>
      </c>
      <c r="E318" s="82">
        <v>183.57990000000001</v>
      </c>
      <c r="F318" s="83">
        <v>-0.54915000000000003</v>
      </c>
      <c r="G318" s="82">
        <v>56.745489999999997</v>
      </c>
      <c r="H318" s="100">
        <v>463.93171000000001</v>
      </c>
      <c r="I318" s="177">
        <f t="shared" si="52"/>
        <v>209.16360416650002</v>
      </c>
      <c r="J318" s="96">
        <f t="shared" si="50"/>
        <v>-0.54915001570705302</v>
      </c>
      <c r="K318" s="101">
        <f>_xlfn.XLOOKUP(C318,'2025 Goal Data'!C:C,'2025 Goal Data'!F:F,"")</f>
        <v>-0.3</v>
      </c>
      <c r="L318" s="112">
        <f t="shared" si="53"/>
        <v>-139.17951299999999</v>
      </c>
      <c r="M318" s="102">
        <f t="shared" si="54"/>
        <v>-0.24915001570705303</v>
      </c>
      <c r="N318" s="103">
        <f>_xlfn.XLOOKUP(C318,'2025 Goal Data'!C:C,'2025 Goal Data'!I:I,"")</f>
        <v>-0.3</v>
      </c>
      <c r="O318" s="116">
        <f t="shared" si="55"/>
        <v>-139.17951299999999</v>
      </c>
      <c r="P318" s="104">
        <f t="shared" si="56"/>
        <v>-0.24915001570705303</v>
      </c>
      <c r="Q318" s="67">
        <f t="shared" si="58"/>
        <v>0</v>
      </c>
      <c r="U318" s="57">
        <f>SUMIF(B:B,A318,K:K)</f>
        <v>-0.3</v>
      </c>
    </row>
    <row r="319" spans="1:21" x14ac:dyDescent="0.25">
      <c r="A319" s="2" t="s">
        <v>200</v>
      </c>
      <c r="B319" s="2" t="s">
        <v>356</v>
      </c>
      <c r="C319" s="42" t="str">
        <f t="shared" si="51"/>
        <v>Defiant|Defiant Brewing Co.</v>
      </c>
      <c r="D319" s="74">
        <v>407.18621999999999</v>
      </c>
      <c r="E319" s="1">
        <v>183.57990000000001</v>
      </c>
      <c r="F319" s="3">
        <v>-0.54915000000000003</v>
      </c>
      <c r="G319" s="1">
        <v>56.745489999999997</v>
      </c>
      <c r="H319" s="94">
        <v>463.93171000000001</v>
      </c>
      <c r="I319" s="178">
        <f t="shared" si="52"/>
        <v>209.16360416650002</v>
      </c>
      <c r="J319" s="96">
        <f t="shared" si="50"/>
        <v>-0.54915001570705302</v>
      </c>
      <c r="K319" s="59">
        <f>_xlfn.XLOOKUP(C319,'2025 Goal Data'!C:C,'2025 Goal Data'!F:F,"")</f>
        <v>-0.3</v>
      </c>
      <c r="L319" s="54">
        <f t="shared" si="53"/>
        <v>-139.17951299999999</v>
      </c>
      <c r="M319" s="87">
        <f t="shared" si="54"/>
        <v>-0.24915001570705303</v>
      </c>
      <c r="N319" s="68">
        <f>_xlfn.XLOOKUP(C319,'2025 Goal Data'!C:C,'2025 Goal Data'!I:I,"")</f>
        <v>-0.3</v>
      </c>
      <c r="O319" s="117">
        <f t="shared" si="55"/>
        <v>-139.17951299999999</v>
      </c>
      <c r="P319" s="91">
        <f t="shared" si="56"/>
        <v>-0.24915001570705303</v>
      </c>
      <c r="Q319" s="69">
        <f t="shared" si="58"/>
        <v>0</v>
      </c>
      <c r="U319" s="58">
        <f>(H319*K319)+H319</f>
        <v>324.75219700000002</v>
      </c>
    </row>
    <row r="320" spans="1:21" x14ac:dyDescent="0.25">
      <c r="A320" s="98" t="s">
        <v>201</v>
      </c>
      <c r="B320" s="99"/>
      <c r="C320" s="42" t="str">
        <f t="shared" si="51"/>
        <v>Brewt's LLC|</v>
      </c>
      <c r="D320" s="73">
        <v>0</v>
      </c>
      <c r="E320" s="82">
        <v>54.000027000000003</v>
      </c>
      <c r="F320" s="83">
        <v>1</v>
      </c>
      <c r="G320" s="82">
        <v>54.666694</v>
      </c>
      <c r="H320" s="100">
        <v>54.666694</v>
      </c>
      <c r="I320" s="177">
        <f t="shared" si="52"/>
        <v>163.333415</v>
      </c>
      <c r="J320" s="96">
        <f t="shared" si="50"/>
        <v>1.9878048780487805</v>
      </c>
      <c r="K320" s="101" t="str">
        <f>_xlfn.XLOOKUP(C320,'2025 Goal Data'!C:C,'2025 Goal Data'!F:F,"")</f>
        <v/>
      </c>
      <c r="L320" s="112">
        <f t="shared" si="53"/>
        <v>0</v>
      </c>
      <c r="M320" s="102">
        <f t="shared" si="54"/>
        <v>0</v>
      </c>
      <c r="N320" s="103" t="str">
        <f>_xlfn.XLOOKUP(C320,'2025 Goal Data'!C:C,'2025 Goal Data'!I:I,"")</f>
        <v/>
      </c>
      <c r="O320" s="116">
        <f t="shared" si="55"/>
        <v>0</v>
      </c>
      <c r="P320" s="104">
        <f t="shared" si="56"/>
        <v>0</v>
      </c>
      <c r="Q320" s="67">
        <f t="shared" si="58"/>
        <v>0</v>
      </c>
      <c r="U320" s="57">
        <f>SUMIF(B:B,A320,K:K)</f>
        <v>0</v>
      </c>
    </row>
    <row r="321" spans="1:21" x14ac:dyDescent="0.25">
      <c r="A321" s="2" t="s">
        <v>173</v>
      </c>
      <c r="B321" s="2" t="s">
        <v>201</v>
      </c>
      <c r="C321" s="42" t="str">
        <f t="shared" si="51"/>
        <v>Brewt's|Brewt's LLC</v>
      </c>
      <c r="D321" s="74">
        <v>0</v>
      </c>
      <c r="E321" s="1">
        <v>54.000027000000003</v>
      </c>
      <c r="F321" s="3">
        <v>1</v>
      </c>
      <c r="G321" s="1">
        <v>54.666694</v>
      </c>
      <c r="H321" s="94">
        <v>54.666694</v>
      </c>
      <c r="I321" s="178">
        <f t="shared" si="52"/>
        <v>163.333415</v>
      </c>
      <c r="J321" s="96">
        <f t="shared" si="50"/>
        <v>1.9878048780487805</v>
      </c>
      <c r="K321" s="59" t="str">
        <f>_xlfn.XLOOKUP(C321,'2025 Goal Data'!C:C,'2025 Goal Data'!F:F,"")</f>
        <v/>
      </c>
      <c r="L321" s="54">
        <f t="shared" si="53"/>
        <v>0</v>
      </c>
      <c r="M321" s="87">
        <f t="shared" si="54"/>
        <v>0</v>
      </c>
      <c r="N321" s="68" t="str">
        <f>_xlfn.XLOOKUP(C321,'2025 Goal Data'!C:C,'2025 Goal Data'!I:I,"")</f>
        <v/>
      </c>
      <c r="O321" s="117">
        <f t="shared" si="55"/>
        <v>0</v>
      </c>
      <c r="P321" s="91">
        <f t="shared" si="56"/>
        <v>0</v>
      </c>
      <c r="Q321" s="69" t="s">
        <v>475</v>
      </c>
      <c r="U321" s="58" t="s">
        <v>475</v>
      </c>
    </row>
    <row r="322" spans="1:21" x14ac:dyDescent="0.25">
      <c r="A322" s="98" t="s">
        <v>21</v>
      </c>
      <c r="B322" s="99"/>
      <c r="C322" s="42" t="str">
        <f t="shared" si="51"/>
        <v>Hygrade Beverage|</v>
      </c>
      <c r="D322" s="73">
        <v>1333.000004</v>
      </c>
      <c r="E322" s="82">
        <v>-6.8888889999999998</v>
      </c>
      <c r="F322" s="83">
        <v>-1.0051680000000001</v>
      </c>
      <c r="G322" s="82">
        <v>48.222223</v>
      </c>
      <c r="H322" s="100">
        <v>1381.222227</v>
      </c>
      <c r="I322" s="177">
        <f t="shared" si="52"/>
        <v>-7.138101448464</v>
      </c>
      <c r="J322" s="96">
        <f t="shared" si="50"/>
        <v>-1.0051679601652284</v>
      </c>
      <c r="K322" s="101">
        <f>_xlfn.XLOOKUP(C322,'2025 Goal Data'!C:C,'2025 Goal Data'!F:F,"")</f>
        <v>-1</v>
      </c>
      <c r="L322" s="112">
        <f t="shared" si="53"/>
        <v>-1381.222227</v>
      </c>
      <c r="M322" s="102">
        <f t="shared" si="54"/>
        <v>-5.167960165228358E-3</v>
      </c>
      <c r="N322" s="103">
        <f>_xlfn.XLOOKUP(C322,'2025 Goal Data'!C:C,'2025 Goal Data'!I:I,"")</f>
        <v>-1</v>
      </c>
      <c r="O322" s="116">
        <f t="shared" si="55"/>
        <v>-1381.222227</v>
      </c>
      <c r="P322" s="104">
        <f t="shared" si="56"/>
        <v>-5.167960165228358E-3</v>
      </c>
      <c r="Q322" s="67">
        <f t="shared" ref="Q322:Q329" si="59">P322-M322</f>
        <v>0</v>
      </c>
      <c r="U322" s="57">
        <f>SUMIF(B:B,A322,K:K)</f>
        <v>-1</v>
      </c>
    </row>
    <row r="323" spans="1:21" x14ac:dyDescent="0.25">
      <c r="A323" s="128" t="s">
        <v>230</v>
      </c>
      <c r="B323" s="2" t="s">
        <v>21</v>
      </c>
      <c r="C323" s="42" t="str">
        <f t="shared" si="51"/>
        <v>Soda Birch|Hygrade Beverage</v>
      </c>
      <c r="D323" s="74">
        <v>1333.000004</v>
      </c>
      <c r="E323" s="1">
        <v>-6.8888889999999998</v>
      </c>
      <c r="F323" s="3">
        <v>-1.0051680000000001</v>
      </c>
      <c r="G323" s="1">
        <v>48.222223</v>
      </c>
      <c r="H323" s="94">
        <v>1381.222227</v>
      </c>
      <c r="I323" s="178">
        <f t="shared" si="52"/>
        <v>-7.138101448464</v>
      </c>
      <c r="J323" s="96">
        <f t="shared" ref="J323:J386" si="60">IFERROR((I323/H323)-1,0)</f>
        <v>-1.0051679601652284</v>
      </c>
      <c r="K323" s="59">
        <f>_xlfn.XLOOKUP(C323,'2025 Goal Data'!C:C,'2025 Goal Data'!F:F,"")</f>
        <v>-1</v>
      </c>
      <c r="L323" s="54">
        <f t="shared" si="53"/>
        <v>-1381.222227</v>
      </c>
      <c r="M323" s="87">
        <f t="shared" si="54"/>
        <v>-5.167960165228358E-3</v>
      </c>
      <c r="N323" s="68">
        <f>_xlfn.XLOOKUP(C323,'2025 Goal Data'!C:C,'2025 Goal Data'!I:I,"")</f>
        <v>-1</v>
      </c>
      <c r="O323" s="117">
        <f t="shared" si="55"/>
        <v>-1381.222227</v>
      </c>
      <c r="P323" s="91">
        <f t="shared" si="56"/>
        <v>-5.167960165228358E-3</v>
      </c>
      <c r="Q323" s="69">
        <f t="shared" si="59"/>
        <v>0</v>
      </c>
      <c r="U323" s="58">
        <f>(H323*K323)+H323</f>
        <v>0</v>
      </c>
    </row>
    <row r="324" spans="1:21" x14ac:dyDescent="0.25">
      <c r="A324" s="98" t="s">
        <v>97</v>
      </c>
      <c r="B324" s="99"/>
      <c r="C324" s="42" t="str">
        <f t="shared" ref="C324:C387" si="61">A324&amp;"|"&amp;B324</f>
        <v>GUSH INC|</v>
      </c>
      <c r="D324" s="73">
        <v>91.561621000000002</v>
      </c>
      <c r="E324" s="82">
        <v>96.239952000000002</v>
      </c>
      <c r="F324" s="83">
        <v>5.1095000000000002E-2</v>
      </c>
      <c r="G324" s="82">
        <v>44.778311000000002</v>
      </c>
      <c r="H324" s="100">
        <v>136.339932</v>
      </c>
      <c r="I324" s="177">
        <f t="shared" ref="I324:I387" si="62">((G324*F324)+G324)+E324</f>
        <v>143.30621080054499</v>
      </c>
      <c r="J324" s="96">
        <f t="shared" si="60"/>
        <v>5.109492647058822E-2</v>
      </c>
      <c r="K324" s="101">
        <f>_xlfn.XLOOKUP(C324,'2025 Goal Data'!C:C,'2025 Goal Data'!F:F,"")</f>
        <v>0</v>
      </c>
      <c r="L324" s="112">
        <f t="shared" si="53"/>
        <v>0</v>
      </c>
      <c r="M324" s="102">
        <f t="shared" si="54"/>
        <v>5.109492647058822E-2</v>
      </c>
      <c r="N324" s="103">
        <f>_xlfn.XLOOKUP(C324,'2025 Goal Data'!C:C,'2025 Goal Data'!I:I,"")</f>
        <v>5</v>
      </c>
      <c r="O324" s="116">
        <f t="shared" si="55"/>
        <v>681.69965999999999</v>
      </c>
      <c r="P324" s="104">
        <f t="shared" si="56"/>
        <v>-4.9489050735294118</v>
      </c>
      <c r="Q324" s="67">
        <f t="shared" si="59"/>
        <v>-5</v>
      </c>
      <c r="U324" s="57">
        <f>SUMIF(B:B,A324,K:K)</f>
        <v>0</v>
      </c>
    </row>
    <row r="325" spans="1:21" x14ac:dyDescent="0.25">
      <c r="A325" s="2" t="s">
        <v>272</v>
      </c>
      <c r="B325" s="2" t="s">
        <v>97</v>
      </c>
      <c r="C325" s="42" t="str">
        <f t="shared" si="61"/>
        <v>Gush|GUSH INC</v>
      </c>
      <c r="D325" s="74">
        <v>91.561621000000002</v>
      </c>
      <c r="E325" s="1">
        <v>96.239952000000002</v>
      </c>
      <c r="F325" s="3">
        <v>5.1095000000000002E-2</v>
      </c>
      <c r="G325" s="1">
        <v>44.778311000000002</v>
      </c>
      <c r="H325" s="94">
        <v>136.339932</v>
      </c>
      <c r="I325" s="178">
        <f t="shared" si="62"/>
        <v>143.30621080054499</v>
      </c>
      <c r="J325" s="96">
        <f t="shared" si="60"/>
        <v>5.109492647058822E-2</v>
      </c>
      <c r="K325" s="59">
        <f>_xlfn.XLOOKUP(C325,'2025 Goal Data'!C:C,'2025 Goal Data'!F:F,"")</f>
        <v>0</v>
      </c>
      <c r="L325" s="54">
        <f t="shared" ref="L325:L388" si="63">IFERROR(K325*H325,0)</f>
        <v>0</v>
      </c>
      <c r="M325" s="87">
        <f t="shared" ref="M325:M388" si="64">IFERROR(J325-K325,0)</f>
        <v>5.109492647058822E-2</v>
      </c>
      <c r="N325" s="68">
        <f>_xlfn.XLOOKUP(C325,'2025 Goal Data'!C:C,'2025 Goal Data'!I:I,"")</f>
        <v>5</v>
      </c>
      <c r="O325" s="117">
        <f t="shared" si="55"/>
        <v>681.69965999999999</v>
      </c>
      <c r="P325" s="91">
        <f t="shared" si="56"/>
        <v>-4.9489050735294118</v>
      </c>
      <c r="Q325" s="69">
        <f t="shared" si="59"/>
        <v>-5</v>
      </c>
      <c r="U325" s="58">
        <f>(H325*K325)+H325</f>
        <v>136.339932</v>
      </c>
    </row>
    <row r="326" spans="1:21" x14ac:dyDescent="0.25">
      <c r="A326" s="98" t="s">
        <v>98</v>
      </c>
      <c r="B326" s="99"/>
      <c r="C326" s="42" t="str">
        <f t="shared" si="61"/>
        <v>Caravella Inc|</v>
      </c>
      <c r="D326" s="73">
        <v>668.38770599999998</v>
      </c>
      <c r="E326" s="82">
        <v>743.97686899999997</v>
      </c>
      <c r="F326" s="83">
        <v>0.113092</v>
      </c>
      <c r="G326" s="82">
        <v>43.973578000000003</v>
      </c>
      <c r="H326" s="100">
        <v>712.36128399999996</v>
      </c>
      <c r="I326" s="177">
        <f t="shared" si="62"/>
        <v>792.92350688317595</v>
      </c>
      <c r="J326" s="96">
        <f t="shared" si="60"/>
        <v>0.11309180424686871</v>
      </c>
      <c r="K326" s="101">
        <f>_xlfn.XLOOKUP(C326,'2025 Goal Data'!C:C,'2025 Goal Data'!F:F,"")</f>
        <v>0</v>
      </c>
      <c r="L326" s="112">
        <f t="shared" si="63"/>
        <v>0</v>
      </c>
      <c r="M326" s="102">
        <f t="shared" si="64"/>
        <v>0.11309180424686871</v>
      </c>
      <c r="N326" s="103">
        <f>_xlfn.XLOOKUP(C326,'2025 Goal Data'!C:C,'2025 Goal Data'!I:I,"")</f>
        <v>-0.05</v>
      </c>
      <c r="O326" s="116">
        <f t="shared" ref="O326:O389" si="65">IFERROR(N326*H326,0)</f>
        <v>-35.618064199999999</v>
      </c>
      <c r="P326" s="104">
        <f t="shared" ref="P326:P389" si="66">IFERROR(J326-N326,0)</f>
        <v>0.1630918042468687</v>
      </c>
      <c r="Q326" s="67">
        <f t="shared" si="59"/>
        <v>4.9999999999999989E-2</v>
      </c>
      <c r="U326" s="57">
        <f>SUMIF(B:B,A326,K:K)</f>
        <v>0</v>
      </c>
    </row>
    <row r="327" spans="1:21" x14ac:dyDescent="0.25">
      <c r="A327" s="2" t="s">
        <v>330</v>
      </c>
      <c r="B327" s="2" t="s">
        <v>98</v>
      </c>
      <c r="C327" s="42" t="str">
        <f t="shared" si="61"/>
        <v>Caravella|Caravella Inc</v>
      </c>
      <c r="D327" s="74">
        <v>357.72143399999999</v>
      </c>
      <c r="E327" s="1">
        <v>307.56472500000001</v>
      </c>
      <c r="F327" s="3">
        <v>-0.140212</v>
      </c>
      <c r="G327" s="1">
        <v>39.746825999999999</v>
      </c>
      <c r="H327" s="94">
        <v>397.46825999999999</v>
      </c>
      <c r="I327" s="178">
        <f t="shared" si="62"/>
        <v>341.73856903288799</v>
      </c>
      <c r="J327" s="96">
        <f t="shared" si="60"/>
        <v>-0.14021167619047614</v>
      </c>
      <c r="K327" s="59">
        <f>_xlfn.XLOOKUP(C327,'2025 Goal Data'!C:C,'2025 Goal Data'!F:F,"")</f>
        <v>0</v>
      </c>
      <c r="L327" s="54">
        <f t="shared" si="63"/>
        <v>0</v>
      </c>
      <c r="M327" s="87">
        <f t="shared" si="64"/>
        <v>-0.14021167619047614</v>
      </c>
      <c r="N327" s="68">
        <f>_xlfn.XLOOKUP(C327,'2025 Goal Data'!C:C,'2025 Goal Data'!I:I,"")</f>
        <v>-0.05</v>
      </c>
      <c r="O327" s="117">
        <f t="shared" si="65"/>
        <v>-19.873412999999999</v>
      </c>
      <c r="P327" s="91">
        <f t="shared" si="66"/>
        <v>-9.0211676190476139E-2</v>
      </c>
      <c r="Q327" s="69">
        <f t="shared" si="59"/>
        <v>0.05</v>
      </c>
      <c r="U327" s="58">
        <f>(H327*K327)+H327</f>
        <v>397.46825999999999</v>
      </c>
    </row>
    <row r="328" spans="1:21" x14ac:dyDescent="0.25">
      <c r="A328" s="2" t="s">
        <v>148</v>
      </c>
      <c r="B328" s="2" t="s">
        <v>98</v>
      </c>
      <c r="C328" s="42" t="str">
        <f t="shared" si="61"/>
        <v>Dancing Vines|Caravella Inc</v>
      </c>
      <c r="D328" s="74">
        <v>81.364975999999999</v>
      </c>
      <c r="E328" s="1">
        <v>30.643951999999999</v>
      </c>
      <c r="F328" s="3">
        <v>-0.62337699999999996</v>
      </c>
      <c r="G328" s="1">
        <v>2.1133760000000001</v>
      </c>
      <c r="H328" s="94">
        <v>83.478352000000001</v>
      </c>
      <c r="I328" s="178">
        <f t="shared" si="62"/>
        <v>31.439898009247997</v>
      </c>
      <c r="J328" s="96">
        <f t="shared" si="60"/>
        <v>-0.62337663291139245</v>
      </c>
      <c r="K328" s="59">
        <f>_xlfn.XLOOKUP(C328,'2025 Goal Data'!C:C,'2025 Goal Data'!F:F,"")</f>
        <v>0</v>
      </c>
      <c r="L328" s="54">
        <f t="shared" si="63"/>
        <v>0</v>
      </c>
      <c r="M328" s="87">
        <f t="shared" si="64"/>
        <v>-0.62337663291139245</v>
      </c>
      <c r="N328" s="68">
        <f>_xlfn.XLOOKUP(C328,'2025 Goal Data'!C:C,'2025 Goal Data'!I:I,"")</f>
        <v>-0.05</v>
      </c>
      <c r="O328" s="117">
        <f t="shared" si="65"/>
        <v>-4.1739176000000002</v>
      </c>
      <c r="P328" s="91">
        <f t="shared" si="66"/>
        <v>-0.5733766329113924</v>
      </c>
      <c r="Q328" s="69">
        <f t="shared" si="59"/>
        <v>5.0000000000000044E-2</v>
      </c>
      <c r="U328" s="58">
        <f>(H328*K328)+H328</f>
        <v>83.478352000000001</v>
      </c>
    </row>
    <row r="329" spans="1:21" x14ac:dyDescent="0.25">
      <c r="A329" s="2" t="s">
        <v>357</v>
      </c>
      <c r="B329" s="2" t="s">
        <v>98</v>
      </c>
      <c r="C329" s="42" t="str">
        <f t="shared" si="61"/>
        <v>2 Canos|Caravella Inc</v>
      </c>
      <c r="D329" s="74">
        <v>229.30129600000001</v>
      </c>
      <c r="E329" s="1">
        <v>330.74334399999998</v>
      </c>
      <c r="F329" s="3">
        <v>0.44239600000000001</v>
      </c>
      <c r="G329" s="1">
        <v>2.1133760000000001</v>
      </c>
      <c r="H329" s="94">
        <v>231.414672</v>
      </c>
      <c r="I329" s="178">
        <f t="shared" si="62"/>
        <v>333.79166908889596</v>
      </c>
      <c r="J329" s="96">
        <f t="shared" si="60"/>
        <v>0.44239631050228301</v>
      </c>
      <c r="K329" s="59">
        <f>_xlfn.XLOOKUP(C329,'2025 Goal Data'!C:C,'2025 Goal Data'!F:F,"")</f>
        <v>0</v>
      </c>
      <c r="L329" s="54">
        <f t="shared" si="63"/>
        <v>0</v>
      </c>
      <c r="M329" s="87">
        <f t="shared" si="64"/>
        <v>0.44239631050228301</v>
      </c>
      <c r="N329" s="68">
        <f>_xlfn.XLOOKUP(C329,'2025 Goal Data'!C:C,'2025 Goal Data'!I:I,"")</f>
        <v>-0.05</v>
      </c>
      <c r="O329" s="117">
        <f t="shared" si="65"/>
        <v>-11.570733600000001</v>
      </c>
      <c r="P329" s="91">
        <f t="shared" si="66"/>
        <v>0.492396310502283</v>
      </c>
      <c r="Q329" s="69">
        <f t="shared" si="59"/>
        <v>4.9999999999999989E-2</v>
      </c>
      <c r="U329" s="58">
        <f>(H329*K329)+H329</f>
        <v>231.414672</v>
      </c>
    </row>
    <row r="330" spans="1:21" x14ac:dyDescent="0.25">
      <c r="A330" s="2" t="s">
        <v>78</v>
      </c>
      <c r="B330" s="5" t="s">
        <v>98</v>
      </c>
      <c r="C330" s="42" t="str">
        <f t="shared" si="61"/>
        <v>Poca Loca|Caravella Inc</v>
      </c>
      <c r="D330" s="74">
        <v>0</v>
      </c>
      <c r="E330" s="1">
        <v>75.024848000000006</v>
      </c>
      <c r="F330" s="3">
        <v>1</v>
      </c>
      <c r="G330" s="1">
        <v>0</v>
      </c>
      <c r="H330" s="94">
        <v>0</v>
      </c>
      <c r="I330" s="178">
        <f t="shared" si="62"/>
        <v>75.024848000000006</v>
      </c>
      <c r="J330" s="96">
        <f t="shared" si="60"/>
        <v>0</v>
      </c>
      <c r="K330" s="59" t="str">
        <f>_xlfn.XLOOKUP(C330,'2025 Goal Data'!C:C,'2025 Goal Data'!F:F,"")</f>
        <v/>
      </c>
      <c r="L330" s="54">
        <f t="shared" si="63"/>
        <v>0</v>
      </c>
      <c r="M330" s="87">
        <f t="shared" si="64"/>
        <v>0</v>
      </c>
      <c r="N330" s="68" t="str">
        <f>_xlfn.XLOOKUP(C330,'2025 Goal Data'!C:C,'2025 Goal Data'!I:I,"")</f>
        <v/>
      </c>
      <c r="O330" s="117">
        <f t="shared" si="65"/>
        <v>0</v>
      </c>
      <c r="P330" s="91">
        <f t="shared" si="66"/>
        <v>0</v>
      </c>
      <c r="Q330" s="69" t="s">
        <v>475</v>
      </c>
      <c r="U330" s="58" t="s">
        <v>475</v>
      </c>
    </row>
    <row r="331" spans="1:21" x14ac:dyDescent="0.25">
      <c r="A331" s="98" t="s">
        <v>22</v>
      </c>
      <c r="B331" s="99"/>
      <c r="C331" s="42" t="str">
        <f t="shared" si="61"/>
        <v>Little Water Distillery|</v>
      </c>
      <c r="D331" s="73">
        <v>26.5</v>
      </c>
      <c r="E331" s="82">
        <v>15</v>
      </c>
      <c r="F331" s="83">
        <v>-0.43396200000000001</v>
      </c>
      <c r="G331" s="82">
        <v>40</v>
      </c>
      <c r="H331" s="100">
        <v>66.5</v>
      </c>
      <c r="I331" s="177">
        <f t="shared" si="62"/>
        <v>37.64152</v>
      </c>
      <c r="J331" s="96">
        <f t="shared" si="60"/>
        <v>-0.43396210526315793</v>
      </c>
      <c r="K331" s="101">
        <f>_xlfn.XLOOKUP(C331,'2025 Goal Data'!C:C,'2025 Goal Data'!F:F,"")</f>
        <v>0</v>
      </c>
      <c r="L331" s="112">
        <f t="shared" si="63"/>
        <v>0</v>
      </c>
      <c r="M331" s="102">
        <f t="shared" si="64"/>
        <v>-0.43396210526315793</v>
      </c>
      <c r="N331" s="103">
        <f>_xlfn.XLOOKUP(C331,'2025 Goal Data'!C:C,'2025 Goal Data'!I:I,"")</f>
        <v>12</v>
      </c>
      <c r="O331" s="116">
        <f t="shared" si="65"/>
        <v>798</v>
      </c>
      <c r="P331" s="104">
        <f t="shared" si="66"/>
        <v>-12.433962105263157</v>
      </c>
      <c r="Q331" s="67">
        <f t="shared" ref="Q331:Q339" si="67">P331-M331</f>
        <v>-12</v>
      </c>
      <c r="U331" s="57">
        <f>SUMIF(B:B,A331,K:K)</f>
        <v>0</v>
      </c>
    </row>
    <row r="332" spans="1:21" x14ac:dyDescent="0.25">
      <c r="A332" s="2" t="s">
        <v>273</v>
      </c>
      <c r="B332" s="2" t="s">
        <v>22</v>
      </c>
      <c r="C332" s="42" t="str">
        <f t="shared" si="61"/>
        <v>48 Blocks|Little Water Distillery</v>
      </c>
      <c r="D332" s="74">
        <v>22</v>
      </c>
      <c r="E332" s="1">
        <v>12</v>
      </c>
      <c r="F332" s="3">
        <v>-0.45454499999999998</v>
      </c>
      <c r="G332" s="1">
        <v>35</v>
      </c>
      <c r="H332" s="94">
        <v>57</v>
      </c>
      <c r="I332" s="178">
        <f t="shared" si="62"/>
        <v>31.090924999999999</v>
      </c>
      <c r="J332" s="96">
        <f t="shared" si="60"/>
        <v>-0.45454517543859652</v>
      </c>
      <c r="K332" s="59">
        <f>_xlfn.XLOOKUP(C332,'2025 Goal Data'!C:C,'2025 Goal Data'!F:F,"")</f>
        <v>0</v>
      </c>
      <c r="L332" s="54">
        <f t="shared" si="63"/>
        <v>0</v>
      </c>
      <c r="M332" s="87">
        <f t="shared" si="64"/>
        <v>-0.45454517543859652</v>
      </c>
      <c r="N332" s="68">
        <f>_xlfn.XLOOKUP(C332,'2025 Goal Data'!C:C,'2025 Goal Data'!I:I,"")</f>
        <v>12</v>
      </c>
      <c r="O332" s="117">
        <f t="shared" si="65"/>
        <v>684</v>
      </c>
      <c r="P332" s="91">
        <f t="shared" si="66"/>
        <v>-12.454545175438597</v>
      </c>
      <c r="Q332" s="69">
        <f t="shared" si="67"/>
        <v>-12</v>
      </c>
      <c r="U332" s="58">
        <f>(H332*K332)+H332</f>
        <v>57</v>
      </c>
    </row>
    <row r="333" spans="1:21" x14ac:dyDescent="0.25">
      <c r="A333" s="128" t="s">
        <v>274</v>
      </c>
      <c r="B333" s="2" t="s">
        <v>22</v>
      </c>
      <c r="C333" s="42" t="str">
        <f t="shared" si="61"/>
        <v>Whitecap|Little Water Distillery</v>
      </c>
      <c r="D333" s="74">
        <v>2.5</v>
      </c>
      <c r="E333" s="1">
        <v>0.5</v>
      </c>
      <c r="F333" s="3">
        <v>-0.8</v>
      </c>
      <c r="G333" s="1">
        <v>4.5</v>
      </c>
      <c r="H333" s="94">
        <v>7</v>
      </c>
      <c r="I333" s="178">
        <f t="shared" si="62"/>
        <v>1.4</v>
      </c>
      <c r="J333" s="96">
        <f t="shared" si="60"/>
        <v>-0.8</v>
      </c>
      <c r="K333" s="59">
        <f>_xlfn.XLOOKUP(C333,'2025 Goal Data'!C:C,'2025 Goal Data'!F:F,"")</f>
        <v>0</v>
      </c>
      <c r="L333" s="54">
        <f t="shared" si="63"/>
        <v>0</v>
      </c>
      <c r="M333" s="87">
        <f t="shared" si="64"/>
        <v>-0.8</v>
      </c>
      <c r="N333" s="68">
        <f>_xlfn.XLOOKUP(C333,'2025 Goal Data'!C:C,'2025 Goal Data'!I:I,"")</f>
        <v>12</v>
      </c>
      <c r="O333" s="117">
        <f t="shared" si="65"/>
        <v>84</v>
      </c>
      <c r="P333" s="91">
        <f t="shared" si="66"/>
        <v>-12.8</v>
      </c>
      <c r="Q333" s="69">
        <f t="shared" si="67"/>
        <v>-12</v>
      </c>
      <c r="U333" s="58">
        <f>(H333*K333)+H333</f>
        <v>7</v>
      </c>
    </row>
    <row r="334" spans="1:21" x14ac:dyDescent="0.25">
      <c r="A334" s="2" t="s">
        <v>149</v>
      </c>
      <c r="B334" s="2" t="s">
        <v>22</v>
      </c>
      <c r="C334" s="42" t="str">
        <f t="shared" si="61"/>
        <v>Rusted Revolver|Little Water Distillery</v>
      </c>
      <c r="D334" s="74">
        <v>2</v>
      </c>
      <c r="E334" s="1">
        <v>2.5</v>
      </c>
      <c r="F334" s="3">
        <v>0.25</v>
      </c>
      <c r="G334" s="1">
        <v>0.5</v>
      </c>
      <c r="H334" s="94">
        <v>2.5</v>
      </c>
      <c r="I334" s="178">
        <f t="shared" si="62"/>
        <v>3.125</v>
      </c>
      <c r="J334" s="96">
        <f t="shared" si="60"/>
        <v>0.25</v>
      </c>
      <c r="K334" s="59">
        <f>_xlfn.XLOOKUP(C334,'2025 Goal Data'!C:C,'2025 Goal Data'!F:F,"")</f>
        <v>0</v>
      </c>
      <c r="L334" s="54">
        <f t="shared" si="63"/>
        <v>0</v>
      </c>
      <c r="M334" s="87">
        <f t="shared" si="64"/>
        <v>0.25</v>
      </c>
      <c r="N334" s="68">
        <f>_xlfn.XLOOKUP(C334,'2025 Goal Data'!C:C,'2025 Goal Data'!I:I,"")</f>
        <v>12</v>
      </c>
      <c r="O334" s="117">
        <f t="shared" si="65"/>
        <v>30</v>
      </c>
      <c r="P334" s="91">
        <f t="shared" si="66"/>
        <v>-11.75</v>
      </c>
      <c r="Q334" s="69">
        <f t="shared" si="67"/>
        <v>-12</v>
      </c>
      <c r="U334" s="58">
        <f>(H334*K334)+H334</f>
        <v>2.5</v>
      </c>
    </row>
    <row r="335" spans="1:21" x14ac:dyDescent="0.25">
      <c r="A335" s="98" t="s">
        <v>231</v>
      </c>
      <c r="B335" s="99"/>
      <c r="C335" s="42" t="str">
        <f t="shared" si="61"/>
        <v>Ever Grand Group LLC|</v>
      </c>
      <c r="D335" s="73">
        <v>407.23620799999998</v>
      </c>
      <c r="E335" s="82">
        <v>198.013936</v>
      </c>
      <c r="F335" s="83">
        <v>-0.51376100000000002</v>
      </c>
      <c r="G335" s="82">
        <v>34.559035999999999</v>
      </c>
      <c r="H335" s="100">
        <v>441.79524400000003</v>
      </c>
      <c r="I335" s="177">
        <f t="shared" si="62"/>
        <v>214.817887105604</v>
      </c>
      <c r="J335" s="96">
        <f t="shared" si="60"/>
        <v>-0.51376143128964058</v>
      </c>
      <c r="K335" s="101">
        <f>_xlfn.XLOOKUP(C335,'2025 Goal Data'!C:C,'2025 Goal Data'!F:F,"")</f>
        <v>0</v>
      </c>
      <c r="L335" s="112">
        <f t="shared" si="63"/>
        <v>0</v>
      </c>
      <c r="M335" s="102">
        <f t="shared" si="64"/>
        <v>-0.51376143128964058</v>
      </c>
      <c r="N335" s="103">
        <f>_xlfn.XLOOKUP(C335,'2025 Goal Data'!C:C,'2025 Goal Data'!I:I,"")</f>
        <v>0.2</v>
      </c>
      <c r="O335" s="116">
        <f t="shared" si="65"/>
        <v>88.359048800000011</v>
      </c>
      <c r="P335" s="104">
        <f t="shared" si="66"/>
        <v>-0.71376143128964054</v>
      </c>
      <c r="Q335" s="67">
        <f t="shared" si="67"/>
        <v>-0.19999999999999996</v>
      </c>
      <c r="U335" s="57">
        <f>SUMIF(B:B,A335,K:K)</f>
        <v>0</v>
      </c>
    </row>
    <row r="336" spans="1:21" x14ac:dyDescent="0.25">
      <c r="A336" s="2" t="s">
        <v>232</v>
      </c>
      <c r="B336" s="2" t="s">
        <v>231</v>
      </c>
      <c r="C336" s="42" t="str">
        <f t="shared" si="61"/>
        <v>Snow Beer|Ever Grand Group LLC</v>
      </c>
      <c r="D336" s="74">
        <v>407.23620799999998</v>
      </c>
      <c r="E336" s="1">
        <v>198.013936</v>
      </c>
      <c r="F336" s="3">
        <v>-0.51376100000000002</v>
      </c>
      <c r="G336" s="1">
        <v>34.559035999999999</v>
      </c>
      <c r="H336" s="94">
        <v>441.79524400000003</v>
      </c>
      <c r="I336" s="178">
        <f t="shared" si="62"/>
        <v>214.817887105604</v>
      </c>
      <c r="J336" s="96">
        <f t="shared" si="60"/>
        <v>-0.51376143128964058</v>
      </c>
      <c r="K336" s="59">
        <f>_xlfn.XLOOKUP(C336,'2025 Goal Data'!C:C,'2025 Goal Data'!F:F,"")</f>
        <v>0</v>
      </c>
      <c r="L336" s="54">
        <f t="shared" si="63"/>
        <v>0</v>
      </c>
      <c r="M336" s="87">
        <f t="shared" si="64"/>
        <v>-0.51376143128964058</v>
      </c>
      <c r="N336" s="68">
        <f>_xlfn.XLOOKUP(C336,'2025 Goal Data'!C:C,'2025 Goal Data'!I:I,"")</f>
        <v>0.2</v>
      </c>
      <c r="O336" s="117">
        <f t="shared" si="65"/>
        <v>88.359048800000011</v>
      </c>
      <c r="P336" s="91">
        <f t="shared" si="66"/>
        <v>-0.71376143128964054</v>
      </c>
      <c r="Q336" s="69">
        <f t="shared" si="67"/>
        <v>-0.19999999999999996</v>
      </c>
      <c r="U336" s="58">
        <f>(H336*K336)+H336</f>
        <v>441.79524400000003</v>
      </c>
    </row>
    <row r="337" spans="1:21" x14ac:dyDescent="0.25">
      <c r="A337" s="98" t="s">
        <v>411</v>
      </c>
      <c r="B337" s="99"/>
      <c r="C337" s="42" t="str">
        <f t="shared" si="61"/>
        <v>OVO Vodka LLC|</v>
      </c>
      <c r="D337" s="73">
        <v>153.30775</v>
      </c>
      <c r="E337" s="82">
        <v>214.97422399999999</v>
      </c>
      <c r="F337" s="83">
        <v>0.40223999999999999</v>
      </c>
      <c r="G337" s="82">
        <v>32.757328000000001</v>
      </c>
      <c r="H337" s="100">
        <v>186.065078</v>
      </c>
      <c r="I337" s="177">
        <f t="shared" si="62"/>
        <v>260.90785961472</v>
      </c>
      <c r="J337" s="96">
        <f t="shared" si="60"/>
        <v>0.40223980995896502</v>
      </c>
      <c r="K337" s="101">
        <f>_xlfn.XLOOKUP(C337,'2025 Goal Data'!C:C,'2025 Goal Data'!F:F,"")</f>
        <v>0</v>
      </c>
      <c r="L337" s="112">
        <f t="shared" si="63"/>
        <v>0</v>
      </c>
      <c r="M337" s="102">
        <f t="shared" si="64"/>
        <v>0.40223980995896502</v>
      </c>
      <c r="N337" s="103">
        <f>_xlfn.XLOOKUP(C337,'2025 Goal Data'!C:C,'2025 Goal Data'!I:I,"")</f>
        <v>0</v>
      </c>
      <c r="O337" s="116">
        <f t="shared" si="65"/>
        <v>0</v>
      </c>
      <c r="P337" s="104">
        <f t="shared" si="66"/>
        <v>0.40223980995896502</v>
      </c>
      <c r="Q337" s="67">
        <f t="shared" si="67"/>
        <v>0</v>
      </c>
      <c r="U337" s="57">
        <f>SUMIF(B:B,A337,K:K)</f>
        <v>0</v>
      </c>
    </row>
    <row r="338" spans="1:21" x14ac:dyDescent="0.25">
      <c r="A338" s="2" t="s">
        <v>275</v>
      </c>
      <c r="B338" s="2" t="s">
        <v>411</v>
      </c>
      <c r="C338" s="42" t="str">
        <f t="shared" si="61"/>
        <v>OVO Vodka|OVO Vodka LLC</v>
      </c>
      <c r="D338" s="74">
        <v>153.30775</v>
      </c>
      <c r="E338" s="1">
        <v>214.97422399999999</v>
      </c>
      <c r="F338" s="3">
        <v>0.40223999999999999</v>
      </c>
      <c r="G338" s="1">
        <v>32.757328000000001</v>
      </c>
      <c r="H338" s="94">
        <v>186.065078</v>
      </c>
      <c r="I338" s="178">
        <f t="shared" si="62"/>
        <v>260.90785961472</v>
      </c>
      <c r="J338" s="96">
        <f t="shared" si="60"/>
        <v>0.40223980995896502</v>
      </c>
      <c r="K338" s="59">
        <f>_xlfn.XLOOKUP(C338,'2025 Goal Data'!C:C,'2025 Goal Data'!F:F,"")</f>
        <v>0</v>
      </c>
      <c r="L338" s="54">
        <f t="shared" si="63"/>
        <v>0</v>
      </c>
      <c r="M338" s="87">
        <f t="shared" si="64"/>
        <v>0.40223980995896502</v>
      </c>
      <c r="N338" s="68">
        <f>_xlfn.XLOOKUP(C338,'2025 Goal Data'!C:C,'2025 Goal Data'!I:I,"")</f>
        <v>0</v>
      </c>
      <c r="O338" s="117">
        <f t="shared" si="65"/>
        <v>0</v>
      </c>
      <c r="P338" s="91">
        <f t="shared" si="66"/>
        <v>0.40223980995896502</v>
      </c>
      <c r="Q338" s="69">
        <f t="shared" si="67"/>
        <v>0</v>
      </c>
      <c r="U338" s="58">
        <f>(H338*K338)+H338</f>
        <v>186.065078</v>
      </c>
    </row>
    <row r="339" spans="1:21" x14ac:dyDescent="0.25">
      <c r="A339" s="98" t="s">
        <v>358</v>
      </c>
      <c r="B339" s="99"/>
      <c r="C339" s="42" t="str">
        <f t="shared" si="61"/>
        <v>Buzbee's Beverages USA LLC|</v>
      </c>
      <c r="D339" s="73">
        <v>0</v>
      </c>
      <c r="E339" s="82">
        <v>31.166685000000001</v>
      </c>
      <c r="F339" s="83">
        <v>1</v>
      </c>
      <c r="G339" s="82">
        <v>31.166685000000001</v>
      </c>
      <c r="H339" s="100">
        <v>31.166685000000001</v>
      </c>
      <c r="I339" s="177">
        <f t="shared" si="62"/>
        <v>93.500055000000003</v>
      </c>
      <c r="J339" s="96">
        <f t="shared" si="60"/>
        <v>2</v>
      </c>
      <c r="K339" s="101" t="str">
        <f>_xlfn.XLOOKUP(C339,'2025 Goal Data'!C:C,'2025 Goal Data'!F:F,"")</f>
        <v/>
      </c>
      <c r="L339" s="112">
        <f t="shared" si="63"/>
        <v>0</v>
      </c>
      <c r="M339" s="102">
        <f t="shared" si="64"/>
        <v>0</v>
      </c>
      <c r="N339" s="103" t="str">
        <f>_xlfn.XLOOKUP(C339,'2025 Goal Data'!C:C,'2025 Goal Data'!I:I,"")</f>
        <v/>
      </c>
      <c r="O339" s="116">
        <f t="shared" si="65"/>
        <v>0</v>
      </c>
      <c r="P339" s="104">
        <f t="shared" si="66"/>
        <v>0</v>
      </c>
      <c r="Q339" s="67">
        <f t="shared" si="67"/>
        <v>0</v>
      </c>
      <c r="U339" s="57">
        <f>SUMIF(B:B,A339,K:K)</f>
        <v>0</v>
      </c>
    </row>
    <row r="340" spans="1:21" x14ac:dyDescent="0.25">
      <c r="A340" s="2" t="s">
        <v>276</v>
      </c>
      <c r="B340" s="2" t="s">
        <v>358</v>
      </c>
      <c r="C340" s="42" t="str">
        <f t="shared" si="61"/>
        <v>Buzbee's|Buzbee's Beverages USA LLC</v>
      </c>
      <c r="D340" s="74">
        <v>0</v>
      </c>
      <c r="E340" s="1">
        <v>31.166685000000001</v>
      </c>
      <c r="F340" s="3">
        <v>1</v>
      </c>
      <c r="G340" s="1">
        <v>31.166685000000001</v>
      </c>
      <c r="H340" s="94">
        <v>31.166685000000001</v>
      </c>
      <c r="I340" s="178">
        <f t="shared" si="62"/>
        <v>93.500055000000003</v>
      </c>
      <c r="J340" s="96">
        <f t="shared" si="60"/>
        <v>2</v>
      </c>
      <c r="K340" s="59" t="str">
        <f>_xlfn.XLOOKUP(C340,'2025 Goal Data'!C:C,'2025 Goal Data'!F:F,"")</f>
        <v/>
      </c>
      <c r="L340" s="54">
        <f t="shared" si="63"/>
        <v>0</v>
      </c>
      <c r="M340" s="87">
        <f t="shared" si="64"/>
        <v>0</v>
      </c>
      <c r="N340" s="68" t="str">
        <f>_xlfn.XLOOKUP(C340,'2025 Goal Data'!C:C,'2025 Goal Data'!I:I,"")</f>
        <v/>
      </c>
      <c r="O340" s="117">
        <f t="shared" si="65"/>
        <v>0</v>
      </c>
      <c r="P340" s="91">
        <f t="shared" si="66"/>
        <v>0</v>
      </c>
      <c r="Q340" s="69" t="s">
        <v>475</v>
      </c>
      <c r="U340" s="58" t="s">
        <v>475</v>
      </c>
    </row>
    <row r="341" spans="1:21" x14ac:dyDescent="0.25">
      <c r="A341" s="98" t="s">
        <v>150</v>
      </c>
      <c r="B341" s="99"/>
      <c r="C341" s="42" t="str">
        <f t="shared" si="61"/>
        <v>Molly's|</v>
      </c>
      <c r="D341" s="73">
        <v>322.08368300000001</v>
      </c>
      <c r="E341" s="82">
        <v>354.18922600000002</v>
      </c>
      <c r="F341" s="83">
        <v>9.9681000000000006E-2</v>
      </c>
      <c r="G341" s="82">
        <v>30.566880000000001</v>
      </c>
      <c r="H341" s="100">
        <v>352.65056299999998</v>
      </c>
      <c r="I341" s="177">
        <f t="shared" si="62"/>
        <v>387.80304316528003</v>
      </c>
      <c r="J341" s="96">
        <f t="shared" si="60"/>
        <v>9.9680771430613158E-2</v>
      </c>
      <c r="K341" s="101">
        <f>_xlfn.XLOOKUP(C341,'2025 Goal Data'!C:C,'2025 Goal Data'!F:F,"")</f>
        <v>0</v>
      </c>
      <c r="L341" s="112">
        <f t="shared" si="63"/>
        <v>0</v>
      </c>
      <c r="M341" s="102">
        <f t="shared" si="64"/>
        <v>9.9680771430613158E-2</v>
      </c>
      <c r="N341" s="103">
        <f>_xlfn.XLOOKUP(C341,'2025 Goal Data'!C:C,'2025 Goal Data'!I:I,"")</f>
        <v>0</v>
      </c>
      <c r="O341" s="116">
        <f t="shared" si="65"/>
        <v>0</v>
      </c>
      <c r="P341" s="104">
        <f t="shared" si="66"/>
        <v>9.9680771430613158E-2</v>
      </c>
      <c r="Q341" s="67">
        <f>P341-M341</f>
        <v>0</v>
      </c>
      <c r="U341" s="57">
        <f>SUMIF(B:B,A341,K:K)</f>
        <v>0</v>
      </c>
    </row>
    <row r="342" spans="1:21" x14ac:dyDescent="0.25">
      <c r="A342" s="2" t="s">
        <v>150</v>
      </c>
      <c r="B342" s="2" t="s">
        <v>150</v>
      </c>
      <c r="C342" s="42" t="str">
        <f t="shared" si="61"/>
        <v>Molly's|Molly's</v>
      </c>
      <c r="D342" s="74">
        <v>322.08368300000001</v>
      </c>
      <c r="E342" s="1">
        <v>354.18922600000002</v>
      </c>
      <c r="F342" s="3">
        <v>9.9681000000000006E-2</v>
      </c>
      <c r="G342" s="1">
        <v>30.566880000000001</v>
      </c>
      <c r="H342" s="94">
        <v>352.65056299999998</v>
      </c>
      <c r="I342" s="178">
        <f t="shared" si="62"/>
        <v>387.80304316528003</v>
      </c>
      <c r="J342" s="96">
        <f t="shared" si="60"/>
        <v>9.9680771430613158E-2</v>
      </c>
      <c r="K342" s="59">
        <f>_xlfn.XLOOKUP(C342,'2025 Goal Data'!C:C,'2025 Goal Data'!F:F,"")</f>
        <v>0</v>
      </c>
      <c r="L342" s="54">
        <f t="shared" si="63"/>
        <v>0</v>
      </c>
      <c r="M342" s="87">
        <f t="shared" si="64"/>
        <v>9.9680771430613158E-2</v>
      </c>
      <c r="N342" s="68">
        <f>_xlfn.XLOOKUP(C342,'2025 Goal Data'!C:C,'2025 Goal Data'!I:I,"")</f>
        <v>0</v>
      </c>
      <c r="O342" s="117">
        <f t="shared" si="65"/>
        <v>0</v>
      </c>
      <c r="P342" s="91">
        <f t="shared" si="66"/>
        <v>9.9680771430613158E-2</v>
      </c>
      <c r="Q342" s="69">
        <f>P342-M342</f>
        <v>0</v>
      </c>
      <c r="U342" s="58">
        <f>(H342*K342)+H342</f>
        <v>352.65056299999998</v>
      </c>
    </row>
    <row r="343" spans="1:21" x14ac:dyDescent="0.25">
      <c r="A343" s="98" t="s">
        <v>174</v>
      </c>
      <c r="B343" s="99"/>
      <c r="C343" s="42" t="str">
        <f t="shared" si="61"/>
        <v>Emergent Beverage Partners|</v>
      </c>
      <c r="D343" s="73">
        <v>108</v>
      </c>
      <c r="E343" s="82">
        <v>1149.375</v>
      </c>
      <c r="F343" s="83">
        <v>9.6423609999999993</v>
      </c>
      <c r="G343" s="82">
        <v>27</v>
      </c>
      <c r="H343" s="100">
        <v>135</v>
      </c>
      <c r="I343" s="177">
        <f t="shared" si="62"/>
        <v>1436.7187469999999</v>
      </c>
      <c r="J343" s="96">
        <f t="shared" si="60"/>
        <v>9.6423610888888884</v>
      </c>
      <c r="K343" s="101">
        <f>_xlfn.XLOOKUP(C343,'2025 Goal Data'!C:C,'2025 Goal Data'!F:F,"")</f>
        <v>0</v>
      </c>
      <c r="L343" s="112">
        <f t="shared" si="63"/>
        <v>0</v>
      </c>
      <c r="M343" s="102">
        <f t="shared" si="64"/>
        <v>9.6423610888888884</v>
      </c>
      <c r="N343" s="103">
        <f>_xlfn.XLOOKUP(C343,'2025 Goal Data'!C:C,'2025 Goal Data'!I:I,"")</f>
        <v>0</v>
      </c>
      <c r="O343" s="116">
        <f t="shared" si="65"/>
        <v>0</v>
      </c>
      <c r="P343" s="104">
        <f t="shared" si="66"/>
        <v>9.6423610888888884</v>
      </c>
      <c r="Q343" s="67">
        <f>P343-M343</f>
        <v>0</v>
      </c>
      <c r="U343" s="57">
        <f>SUMIF(B:B,A343,K:K)</f>
        <v>0</v>
      </c>
    </row>
    <row r="344" spans="1:21" x14ac:dyDescent="0.25">
      <c r="A344" s="2" t="s">
        <v>175</v>
      </c>
      <c r="B344" s="2" t="s">
        <v>174</v>
      </c>
      <c r="C344" s="42" t="str">
        <f t="shared" si="61"/>
        <v>Hectare's|Emergent Beverage Partners</v>
      </c>
      <c r="D344" s="74">
        <v>59</v>
      </c>
      <c r="E344" s="1">
        <v>467.375</v>
      </c>
      <c r="F344" s="3">
        <v>6.9216100000000003</v>
      </c>
      <c r="G344" s="1">
        <v>17</v>
      </c>
      <c r="H344" s="94">
        <v>76</v>
      </c>
      <c r="I344" s="178">
        <f t="shared" si="62"/>
        <v>602.04237000000001</v>
      </c>
      <c r="J344" s="96">
        <f t="shared" si="60"/>
        <v>6.9216101315789471</v>
      </c>
      <c r="K344" s="59">
        <f>_xlfn.XLOOKUP(C344,'2025 Goal Data'!C:C,'2025 Goal Data'!F:F,"")</f>
        <v>0</v>
      </c>
      <c r="L344" s="54">
        <f t="shared" si="63"/>
        <v>0</v>
      </c>
      <c r="M344" s="87">
        <f t="shared" si="64"/>
        <v>6.9216101315789471</v>
      </c>
      <c r="N344" s="68">
        <f>_xlfn.XLOOKUP(C344,'2025 Goal Data'!C:C,'2025 Goal Data'!I:I,"")</f>
        <v>0</v>
      </c>
      <c r="O344" s="117">
        <f t="shared" si="65"/>
        <v>0</v>
      </c>
      <c r="P344" s="91">
        <f t="shared" si="66"/>
        <v>6.9216101315789471</v>
      </c>
      <c r="Q344" s="69">
        <f>P344-M344</f>
        <v>0</v>
      </c>
      <c r="U344" s="58">
        <f>(H344*K344)+H344</f>
        <v>76</v>
      </c>
    </row>
    <row r="345" spans="1:21" x14ac:dyDescent="0.25">
      <c r="A345" s="2" t="s">
        <v>359</v>
      </c>
      <c r="B345" s="2" t="s">
        <v>174</v>
      </c>
      <c r="C345" s="42" t="str">
        <f t="shared" si="61"/>
        <v>Crooked Beverage|Emergent Beverage Partners</v>
      </c>
      <c r="D345" s="74">
        <v>49</v>
      </c>
      <c r="E345" s="1">
        <v>132</v>
      </c>
      <c r="F345" s="3">
        <v>1.693878</v>
      </c>
      <c r="G345" s="1">
        <v>10</v>
      </c>
      <c r="H345" s="94">
        <v>59</v>
      </c>
      <c r="I345" s="178">
        <f t="shared" si="62"/>
        <v>158.93878000000001</v>
      </c>
      <c r="J345" s="96">
        <f t="shared" si="60"/>
        <v>1.6938776271186442</v>
      </c>
      <c r="K345" s="59">
        <f>_xlfn.XLOOKUP(C345,'2025 Goal Data'!C:C,'2025 Goal Data'!F:F,"")</f>
        <v>0</v>
      </c>
      <c r="L345" s="54">
        <f t="shared" si="63"/>
        <v>0</v>
      </c>
      <c r="M345" s="87">
        <f t="shared" si="64"/>
        <v>1.6938776271186442</v>
      </c>
      <c r="N345" s="68">
        <f>_xlfn.XLOOKUP(C345,'2025 Goal Data'!C:C,'2025 Goal Data'!I:I,"")</f>
        <v>0</v>
      </c>
      <c r="O345" s="117">
        <f t="shared" si="65"/>
        <v>0</v>
      </c>
      <c r="P345" s="91">
        <f t="shared" si="66"/>
        <v>1.6938776271186442</v>
      </c>
      <c r="Q345" s="69">
        <f>P345-M345</f>
        <v>0</v>
      </c>
      <c r="U345" s="58">
        <f>(H345*K345)+H345</f>
        <v>59</v>
      </c>
    </row>
    <row r="346" spans="1:21" x14ac:dyDescent="0.25">
      <c r="A346" s="2" t="s">
        <v>48</v>
      </c>
      <c r="B346" s="5" t="s">
        <v>174</v>
      </c>
      <c r="C346" s="42" t="str">
        <f t="shared" si="61"/>
        <v>Lark Infused D9|Emergent Beverage Partners</v>
      </c>
      <c r="D346" s="74">
        <v>0</v>
      </c>
      <c r="E346" s="1">
        <v>92</v>
      </c>
      <c r="F346" s="3">
        <v>1</v>
      </c>
      <c r="G346" s="1">
        <v>0</v>
      </c>
      <c r="H346" s="94">
        <v>0</v>
      </c>
      <c r="I346" s="178">
        <f t="shared" si="62"/>
        <v>92</v>
      </c>
      <c r="J346" s="96">
        <f t="shared" si="60"/>
        <v>0</v>
      </c>
      <c r="K346" s="59" t="str">
        <f>_xlfn.XLOOKUP(C346,'2025 Goal Data'!C:C,'2025 Goal Data'!F:F,"")</f>
        <v/>
      </c>
      <c r="L346" s="54">
        <f t="shared" si="63"/>
        <v>0</v>
      </c>
      <c r="M346" s="87">
        <f t="shared" si="64"/>
        <v>0</v>
      </c>
      <c r="N346" s="68" t="str">
        <f>_xlfn.XLOOKUP(C346,'2025 Goal Data'!C:C,'2025 Goal Data'!I:I,"")</f>
        <v/>
      </c>
      <c r="O346" s="117">
        <f t="shared" si="65"/>
        <v>0</v>
      </c>
      <c r="P346" s="91">
        <f t="shared" si="66"/>
        <v>0</v>
      </c>
      <c r="Q346" s="69" t="s">
        <v>475</v>
      </c>
      <c r="U346" s="58" t="s">
        <v>475</v>
      </c>
    </row>
    <row r="347" spans="1:21" x14ac:dyDescent="0.25">
      <c r="A347" s="2" t="s">
        <v>151</v>
      </c>
      <c r="B347" s="5" t="s">
        <v>174</v>
      </c>
      <c r="C347" s="42" t="str">
        <f t="shared" si="61"/>
        <v>Boldt Infused D9|Emergent Beverage Partners</v>
      </c>
      <c r="D347" s="74">
        <v>0</v>
      </c>
      <c r="E347" s="1">
        <v>358</v>
      </c>
      <c r="F347" s="3">
        <v>1</v>
      </c>
      <c r="G347" s="1">
        <v>0</v>
      </c>
      <c r="H347" s="94">
        <v>0</v>
      </c>
      <c r="I347" s="178">
        <f t="shared" si="62"/>
        <v>358</v>
      </c>
      <c r="J347" s="96">
        <f t="shared" si="60"/>
        <v>0</v>
      </c>
      <c r="K347" s="59" t="str">
        <f>_xlfn.XLOOKUP(C347,'2025 Goal Data'!C:C,'2025 Goal Data'!F:F,"")</f>
        <v/>
      </c>
      <c r="L347" s="54">
        <f t="shared" si="63"/>
        <v>0</v>
      </c>
      <c r="M347" s="87">
        <f t="shared" si="64"/>
        <v>0</v>
      </c>
      <c r="N347" s="68" t="str">
        <f>_xlfn.XLOOKUP(C347,'2025 Goal Data'!C:C,'2025 Goal Data'!I:I,"")</f>
        <v/>
      </c>
      <c r="O347" s="117">
        <f t="shared" si="65"/>
        <v>0</v>
      </c>
      <c r="P347" s="91">
        <f t="shared" si="66"/>
        <v>0</v>
      </c>
      <c r="Q347" s="69" t="s">
        <v>475</v>
      </c>
      <c r="U347" s="58" t="s">
        <v>475</v>
      </c>
    </row>
    <row r="348" spans="1:21" x14ac:dyDescent="0.25">
      <c r="A348" s="2" t="s">
        <v>79</v>
      </c>
      <c r="B348" s="5" t="s">
        <v>174</v>
      </c>
      <c r="C348" s="42" t="str">
        <f t="shared" si="61"/>
        <v>Beckett's D9|Emergent Beverage Partners</v>
      </c>
      <c r="D348" s="74">
        <v>0</v>
      </c>
      <c r="E348" s="1">
        <v>100</v>
      </c>
      <c r="F348" s="3">
        <v>1</v>
      </c>
      <c r="G348" s="1">
        <v>0</v>
      </c>
      <c r="H348" s="94">
        <v>0</v>
      </c>
      <c r="I348" s="178">
        <f t="shared" si="62"/>
        <v>100</v>
      </c>
      <c r="J348" s="96">
        <f t="shared" si="60"/>
        <v>0</v>
      </c>
      <c r="K348" s="59" t="str">
        <f>_xlfn.XLOOKUP(C348,'2025 Goal Data'!C:C,'2025 Goal Data'!F:F,"")</f>
        <v/>
      </c>
      <c r="L348" s="54">
        <f t="shared" si="63"/>
        <v>0</v>
      </c>
      <c r="M348" s="87">
        <f t="shared" si="64"/>
        <v>0</v>
      </c>
      <c r="N348" s="68" t="str">
        <f>_xlfn.XLOOKUP(C348,'2025 Goal Data'!C:C,'2025 Goal Data'!I:I,"")</f>
        <v/>
      </c>
      <c r="O348" s="117">
        <f t="shared" si="65"/>
        <v>0</v>
      </c>
      <c r="P348" s="91">
        <f t="shared" si="66"/>
        <v>0</v>
      </c>
      <c r="Q348" s="69" t="s">
        <v>475</v>
      </c>
      <c r="U348" s="58" t="s">
        <v>475</v>
      </c>
    </row>
    <row r="349" spans="1:21" x14ac:dyDescent="0.25">
      <c r="A349" s="98" t="s">
        <v>331</v>
      </c>
      <c r="B349" s="99"/>
      <c r="C349" s="42" t="str">
        <f t="shared" si="61"/>
        <v>2 Towns Ciderhouse|</v>
      </c>
      <c r="D349" s="73">
        <v>315.5</v>
      </c>
      <c r="E349" s="82">
        <v>10</v>
      </c>
      <c r="F349" s="83">
        <v>-0.96830400000000005</v>
      </c>
      <c r="G349" s="82">
        <v>14</v>
      </c>
      <c r="H349" s="100">
        <v>329.5</v>
      </c>
      <c r="I349" s="177">
        <f t="shared" si="62"/>
        <v>10.443743999999999</v>
      </c>
      <c r="J349" s="96">
        <f t="shared" si="60"/>
        <v>-0.96830426707132022</v>
      </c>
      <c r="K349" s="101">
        <f>_xlfn.XLOOKUP(C349,'2025 Goal Data'!C:C,'2025 Goal Data'!F:F,"")</f>
        <v>-1</v>
      </c>
      <c r="L349" s="112">
        <f t="shared" si="63"/>
        <v>-329.5</v>
      </c>
      <c r="M349" s="102">
        <f t="shared" si="64"/>
        <v>3.1695732928679776E-2</v>
      </c>
      <c r="N349" s="103">
        <f>_xlfn.XLOOKUP(C349,'2025 Goal Data'!C:C,'2025 Goal Data'!I:I,"")</f>
        <v>-1</v>
      </c>
      <c r="O349" s="116">
        <f t="shared" si="65"/>
        <v>-329.5</v>
      </c>
      <c r="P349" s="104">
        <f t="shared" si="66"/>
        <v>3.1695732928679776E-2</v>
      </c>
      <c r="Q349" s="67">
        <f t="shared" ref="Q349:Q366" si="68">P349-M349</f>
        <v>0</v>
      </c>
      <c r="U349" s="57">
        <f>SUMIF(B:B,A349,K:K)</f>
        <v>-1</v>
      </c>
    </row>
    <row r="350" spans="1:21" x14ac:dyDescent="0.25">
      <c r="A350" s="2" t="s">
        <v>277</v>
      </c>
      <c r="B350" s="2" t="s">
        <v>331</v>
      </c>
      <c r="C350" s="42" t="str">
        <f t="shared" si="61"/>
        <v>Craftwell|2 Towns Ciderhouse</v>
      </c>
      <c r="D350" s="74">
        <v>315.5</v>
      </c>
      <c r="E350" s="1">
        <v>10</v>
      </c>
      <c r="F350" s="3">
        <v>-0.96830400000000005</v>
      </c>
      <c r="G350" s="1">
        <v>14</v>
      </c>
      <c r="H350" s="94">
        <v>329.5</v>
      </c>
      <c r="I350" s="178">
        <f t="shared" si="62"/>
        <v>10.443743999999999</v>
      </c>
      <c r="J350" s="96">
        <f t="shared" si="60"/>
        <v>-0.96830426707132022</v>
      </c>
      <c r="K350" s="59">
        <f>_xlfn.XLOOKUP(C350,'2025 Goal Data'!C:C,'2025 Goal Data'!F:F,"")</f>
        <v>-1</v>
      </c>
      <c r="L350" s="54">
        <f t="shared" si="63"/>
        <v>-329.5</v>
      </c>
      <c r="M350" s="87">
        <f t="shared" si="64"/>
        <v>3.1695732928679776E-2</v>
      </c>
      <c r="N350" s="68">
        <f>_xlfn.XLOOKUP(C350,'2025 Goal Data'!C:C,'2025 Goal Data'!I:I,"")</f>
        <v>-1</v>
      </c>
      <c r="O350" s="117">
        <f t="shared" si="65"/>
        <v>-329.5</v>
      </c>
      <c r="P350" s="91">
        <f t="shared" si="66"/>
        <v>3.1695732928679776E-2</v>
      </c>
      <c r="Q350" s="69">
        <f t="shared" si="68"/>
        <v>0</v>
      </c>
      <c r="U350" s="58">
        <f>(H350*K350)+H350</f>
        <v>0</v>
      </c>
    </row>
    <row r="351" spans="1:21" x14ac:dyDescent="0.25">
      <c r="A351" s="98" t="s">
        <v>298</v>
      </c>
      <c r="B351" s="99"/>
      <c r="C351" s="42" t="str">
        <f t="shared" si="61"/>
        <v>Kimo Spirits|</v>
      </c>
      <c r="D351" s="73">
        <v>92</v>
      </c>
      <c r="E351" s="82">
        <v>1</v>
      </c>
      <c r="F351" s="83">
        <v>-0.98912999999999995</v>
      </c>
      <c r="G351" s="82">
        <v>11</v>
      </c>
      <c r="H351" s="100">
        <v>103</v>
      </c>
      <c r="I351" s="177">
        <f t="shared" si="62"/>
        <v>1.1195700000000013</v>
      </c>
      <c r="J351" s="96">
        <f t="shared" si="60"/>
        <v>-0.9891303883495145</v>
      </c>
      <c r="K351" s="101">
        <f>_xlfn.XLOOKUP(C351,'2025 Goal Data'!C:C,'2025 Goal Data'!F:F,"")</f>
        <v>0</v>
      </c>
      <c r="L351" s="112">
        <f t="shared" si="63"/>
        <v>0</v>
      </c>
      <c r="M351" s="102">
        <f t="shared" si="64"/>
        <v>-0.9891303883495145</v>
      </c>
      <c r="N351" s="103">
        <f>_xlfn.XLOOKUP(C351,'2025 Goal Data'!C:C,'2025 Goal Data'!I:I,"")</f>
        <v>1</v>
      </c>
      <c r="O351" s="116">
        <f t="shared" si="65"/>
        <v>103</v>
      </c>
      <c r="P351" s="104">
        <f t="shared" si="66"/>
        <v>-1.9891303883495146</v>
      </c>
      <c r="Q351" s="67">
        <f t="shared" si="68"/>
        <v>-1</v>
      </c>
      <c r="U351" s="57">
        <f>SUMIF(B:B,A351,K:K)</f>
        <v>0</v>
      </c>
    </row>
    <row r="352" spans="1:21" x14ac:dyDescent="0.25">
      <c r="A352" s="2" t="s">
        <v>23</v>
      </c>
      <c r="B352" s="2" t="s">
        <v>298</v>
      </c>
      <c r="C352" s="42" t="str">
        <f t="shared" si="61"/>
        <v>Trusted Friend Cocktails|Kimo Spirits</v>
      </c>
      <c r="D352" s="74">
        <v>92</v>
      </c>
      <c r="E352" s="1">
        <v>1</v>
      </c>
      <c r="F352" s="3">
        <v>-0.98912999999999995</v>
      </c>
      <c r="G352" s="1">
        <v>11</v>
      </c>
      <c r="H352" s="94">
        <v>103</v>
      </c>
      <c r="I352" s="178">
        <f t="shared" si="62"/>
        <v>1.1195700000000013</v>
      </c>
      <c r="J352" s="96">
        <f t="shared" si="60"/>
        <v>-0.9891303883495145</v>
      </c>
      <c r="K352" s="59">
        <f>_xlfn.XLOOKUP(C352,'2025 Goal Data'!C:C,'2025 Goal Data'!F:F,"")</f>
        <v>0</v>
      </c>
      <c r="L352" s="54">
        <f t="shared" si="63"/>
        <v>0</v>
      </c>
      <c r="M352" s="87">
        <f t="shared" si="64"/>
        <v>-0.9891303883495145</v>
      </c>
      <c r="N352" s="68">
        <f>_xlfn.XLOOKUP(C352,'2025 Goal Data'!C:C,'2025 Goal Data'!I:I,"")</f>
        <v>1</v>
      </c>
      <c r="O352" s="117">
        <f t="shared" si="65"/>
        <v>103</v>
      </c>
      <c r="P352" s="91">
        <f t="shared" si="66"/>
        <v>-1.9891303883495146</v>
      </c>
      <c r="Q352" s="69">
        <f t="shared" si="68"/>
        <v>-1</v>
      </c>
      <c r="U352" s="58">
        <f>(H352*K352)+H352</f>
        <v>103</v>
      </c>
    </row>
    <row r="353" spans="1:21" x14ac:dyDescent="0.25">
      <c r="A353" s="98" t="s">
        <v>122</v>
      </c>
      <c r="B353" s="99"/>
      <c r="C353" s="42" t="str">
        <f t="shared" si="61"/>
        <v>Point Brewing|</v>
      </c>
      <c r="D353" s="73">
        <v>2610.555468</v>
      </c>
      <c r="E353" s="82">
        <v>2588.3332479999999</v>
      </c>
      <c r="F353" s="83">
        <v>-8.5120000000000005E-3</v>
      </c>
      <c r="G353" s="82">
        <v>6.4444439999999998</v>
      </c>
      <c r="H353" s="100">
        <v>2616.9999120000002</v>
      </c>
      <c r="I353" s="177">
        <f t="shared" si="62"/>
        <v>2594.7228368926717</v>
      </c>
      <c r="J353" s="96">
        <f t="shared" si="60"/>
        <v>-8.5124477861765468E-3</v>
      </c>
      <c r="K353" s="101">
        <f>_xlfn.XLOOKUP(C353,'2025 Goal Data'!C:C,'2025 Goal Data'!F:F,"")</f>
        <v>0</v>
      </c>
      <c r="L353" s="112">
        <f t="shared" si="63"/>
        <v>0</v>
      </c>
      <c r="M353" s="102">
        <f t="shared" si="64"/>
        <v>-8.5124477861765468E-3</v>
      </c>
      <c r="N353" s="103">
        <f>_xlfn.XLOOKUP(C353,'2025 Goal Data'!C:C,'2025 Goal Data'!I:I,"")</f>
        <v>0</v>
      </c>
      <c r="O353" s="116">
        <f t="shared" si="65"/>
        <v>0</v>
      </c>
      <c r="P353" s="104">
        <f t="shared" si="66"/>
        <v>-8.5124477861765468E-3</v>
      </c>
      <c r="Q353" s="67">
        <f t="shared" si="68"/>
        <v>0</v>
      </c>
      <c r="U353" s="57">
        <f>SUMIF(B:B,A353,K:K)</f>
        <v>0</v>
      </c>
    </row>
    <row r="354" spans="1:21" x14ac:dyDescent="0.25">
      <c r="A354" s="2" t="s">
        <v>412</v>
      </c>
      <c r="B354" s="2" t="s">
        <v>122</v>
      </c>
      <c r="C354" s="42" t="str">
        <f t="shared" si="61"/>
        <v>Whole Hog|Point Brewing</v>
      </c>
      <c r="D354" s="74">
        <v>2610.555468</v>
      </c>
      <c r="E354" s="1">
        <v>2588.3332479999999</v>
      </c>
      <c r="F354" s="3">
        <v>-8.5120000000000005E-3</v>
      </c>
      <c r="G354" s="1">
        <v>6.4444439999999998</v>
      </c>
      <c r="H354" s="94">
        <v>2616.9999120000002</v>
      </c>
      <c r="I354" s="178">
        <f t="shared" si="62"/>
        <v>2594.7228368926717</v>
      </c>
      <c r="J354" s="96">
        <f t="shared" si="60"/>
        <v>-8.5124477861765468E-3</v>
      </c>
      <c r="K354" s="59">
        <f>_xlfn.XLOOKUP(C354,'2025 Goal Data'!C:C,'2025 Goal Data'!F:F,"")</f>
        <v>0</v>
      </c>
      <c r="L354" s="54">
        <f t="shared" si="63"/>
        <v>0</v>
      </c>
      <c r="M354" s="87">
        <f t="shared" si="64"/>
        <v>-8.5124477861765468E-3</v>
      </c>
      <c r="N354" s="68">
        <f>_xlfn.XLOOKUP(C354,'2025 Goal Data'!C:C,'2025 Goal Data'!I:I,"")</f>
        <v>0</v>
      </c>
      <c r="O354" s="117">
        <f t="shared" si="65"/>
        <v>0</v>
      </c>
      <c r="P354" s="91">
        <f t="shared" si="66"/>
        <v>-8.5124477861765468E-3</v>
      </c>
      <c r="Q354" s="69">
        <f t="shared" si="68"/>
        <v>0</v>
      </c>
      <c r="U354" s="58">
        <f>(H354*K354)+H354</f>
        <v>2616.9999120000002</v>
      </c>
    </row>
    <row r="355" spans="1:21" x14ac:dyDescent="0.25">
      <c r="A355" s="98" t="s">
        <v>360</v>
      </c>
      <c r="B355" s="99"/>
      <c r="C355" s="42" t="str">
        <f t="shared" si="61"/>
        <v>Primos Imports LLC|</v>
      </c>
      <c r="D355" s="73">
        <v>32.366289000000002</v>
      </c>
      <c r="E355" s="82">
        <v>25.072177</v>
      </c>
      <c r="F355" s="83">
        <v>-0.22536100000000001</v>
      </c>
      <c r="G355" s="82">
        <v>4.0015559999999999</v>
      </c>
      <c r="H355" s="100">
        <v>36.367845000000003</v>
      </c>
      <c r="I355" s="177">
        <f t="shared" si="62"/>
        <v>28.171938338284001</v>
      </c>
      <c r="J355" s="96">
        <f t="shared" si="60"/>
        <v>-0.22536135043789374</v>
      </c>
      <c r="K355" s="101">
        <f>_xlfn.XLOOKUP(C355,'2025 Goal Data'!C:C,'2025 Goal Data'!F:F,"")</f>
        <v>0</v>
      </c>
      <c r="L355" s="112">
        <f t="shared" si="63"/>
        <v>0</v>
      </c>
      <c r="M355" s="102">
        <f t="shared" si="64"/>
        <v>-0.22536135043789374</v>
      </c>
      <c r="N355" s="103">
        <f>_xlfn.XLOOKUP(C355,'2025 Goal Data'!C:C,'2025 Goal Data'!I:I,"")</f>
        <v>0</v>
      </c>
      <c r="O355" s="116">
        <f t="shared" si="65"/>
        <v>0</v>
      </c>
      <c r="P355" s="104">
        <f t="shared" si="66"/>
        <v>-0.22536135043789374</v>
      </c>
      <c r="Q355" s="67">
        <f t="shared" si="68"/>
        <v>0</v>
      </c>
      <c r="U355" s="57">
        <f>SUMIF(B:B,A355,K:K)</f>
        <v>0</v>
      </c>
    </row>
    <row r="356" spans="1:21" x14ac:dyDescent="0.25">
      <c r="A356" s="2" t="s">
        <v>413</v>
      </c>
      <c r="B356" s="2" t="s">
        <v>360</v>
      </c>
      <c r="C356" s="42" t="str">
        <f t="shared" si="61"/>
        <v>Charro|Primos Imports LLC</v>
      </c>
      <c r="D356" s="74">
        <v>12</v>
      </c>
      <c r="E356" s="1">
        <v>14</v>
      </c>
      <c r="F356" s="3">
        <v>0.16666700000000001</v>
      </c>
      <c r="G356" s="1">
        <v>3</v>
      </c>
      <c r="H356" s="94">
        <v>15</v>
      </c>
      <c r="I356" s="178">
        <f t="shared" si="62"/>
        <v>17.500001000000001</v>
      </c>
      <c r="J356" s="96">
        <f t="shared" si="60"/>
        <v>0.16666673333333337</v>
      </c>
      <c r="K356" s="59">
        <f>_xlfn.XLOOKUP(C356,'2025 Goal Data'!C:C,'2025 Goal Data'!F:F,"")</f>
        <v>0</v>
      </c>
      <c r="L356" s="54">
        <f t="shared" si="63"/>
        <v>0</v>
      </c>
      <c r="M356" s="87">
        <f t="shared" si="64"/>
        <v>0.16666673333333337</v>
      </c>
      <c r="N356" s="68">
        <f>_xlfn.XLOOKUP(C356,'2025 Goal Data'!C:C,'2025 Goal Data'!I:I,"")</f>
        <v>0</v>
      </c>
      <c r="O356" s="117">
        <f t="shared" si="65"/>
        <v>0</v>
      </c>
      <c r="P356" s="91">
        <f t="shared" si="66"/>
        <v>0.16666673333333337</v>
      </c>
      <c r="Q356" s="69">
        <f t="shared" si="68"/>
        <v>0</v>
      </c>
      <c r="U356" s="58">
        <f>(H356*K356)+H356</f>
        <v>15</v>
      </c>
    </row>
    <row r="357" spans="1:21" x14ac:dyDescent="0.25">
      <c r="A357" s="2" t="s">
        <v>332</v>
      </c>
      <c r="B357" s="2" t="s">
        <v>360</v>
      </c>
      <c r="C357" s="42" t="str">
        <f t="shared" si="61"/>
        <v>Monte Xanic|Primos Imports LLC</v>
      </c>
      <c r="D357" s="74">
        <v>11.517894</v>
      </c>
      <c r="E357" s="1">
        <v>9.6250459999999993</v>
      </c>
      <c r="F357" s="3">
        <v>-0.16434000000000001</v>
      </c>
      <c r="G357" s="1">
        <v>1.0015559999999999</v>
      </c>
      <c r="H357" s="94">
        <v>12.519450000000001</v>
      </c>
      <c r="I357" s="178">
        <f t="shared" si="62"/>
        <v>10.462006286959999</v>
      </c>
      <c r="J357" s="96">
        <f t="shared" si="60"/>
        <v>-0.16433978433876895</v>
      </c>
      <c r="K357" s="59">
        <f>_xlfn.XLOOKUP(C357,'2025 Goal Data'!C:C,'2025 Goal Data'!F:F,"")</f>
        <v>0</v>
      </c>
      <c r="L357" s="54">
        <f t="shared" si="63"/>
        <v>0</v>
      </c>
      <c r="M357" s="87">
        <f t="shared" si="64"/>
        <v>-0.16433978433876895</v>
      </c>
      <c r="N357" s="68">
        <f>_xlfn.XLOOKUP(C357,'2025 Goal Data'!C:C,'2025 Goal Data'!I:I,"")</f>
        <v>0</v>
      </c>
      <c r="O357" s="117">
        <f t="shared" si="65"/>
        <v>0</v>
      </c>
      <c r="P357" s="91">
        <f t="shared" si="66"/>
        <v>-0.16433978433876895</v>
      </c>
      <c r="Q357" s="69">
        <f t="shared" si="68"/>
        <v>0</v>
      </c>
      <c r="U357" s="58">
        <f>(H357*K357)+H357</f>
        <v>12.519450000000001</v>
      </c>
    </row>
    <row r="358" spans="1:21" x14ac:dyDescent="0.25">
      <c r="A358" s="128" t="s">
        <v>202</v>
      </c>
      <c r="B358" s="2" t="s">
        <v>360</v>
      </c>
      <c r="C358" s="42" t="str">
        <f t="shared" si="61"/>
        <v>Rompe Corazon|Primos Imports LLC</v>
      </c>
      <c r="D358" s="74">
        <v>6.0093360000000002</v>
      </c>
      <c r="E358" s="1">
        <v>0.50077799999999995</v>
      </c>
      <c r="F358" s="3">
        <v>-0.91666700000000001</v>
      </c>
      <c r="G358" s="1">
        <v>0</v>
      </c>
      <c r="H358" s="94">
        <v>6.0093360000000002</v>
      </c>
      <c r="I358" s="178">
        <f t="shared" si="62"/>
        <v>0.50077799999999995</v>
      </c>
      <c r="J358" s="96">
        <f t="shared" si="60"/>
        <v>-0.91666666666666674</v>
      </c>
      <c r="K358" s="59">
        <f>_xlfn.XLOOKUP(C358,'2025 Goal Data'!C:C,'2025 Goal Data'!F:F,"")</f>
        <v>0</v>
      </c>
      <c r="L358" s="54">
        <f t="shared" si="63"/>
        <v>0</v>
      </c>
      <c r="M358" s="87">
        <f t="shared" si="64"/>
        <v>-0.91666666666666674</v>
      </c>
      <c r="N358" s="68">
        <f>_xlfn.XLOOKUP(C358,'2025 Goal Data'!C:C,'2025 Goal Data'!I:I,"")</f>
        <v>0</v>
      </c>
      <c r="O358" s="117">
        <f t="shared" si="65"/>
        <v>0</v>
      </c>
      <c r="P358" s="91">
        <f t="shared" si="66"/>
        <v>-0.91666666666666674</v>
      </c>
      <c r="Q358" s="69">
        <f t="shared" si="68"/>
        <v>0</v>
      </c>
      <c r="U358" s="58">
        <f>(H358*K358)+H358</f>
        <v>6.0093360000000002</v>
      </c>
    </row>
    <row r="359" spans="1:21" x14ac:dyDescent="0.25">
      <c r="A359" s="128" t="s">
        <v>255</v>
      </c>
      <c r="B359" s="2" t="s">
        <v>360</v>
      </c>
      <c r="C359" s="42" t="str">
        <f t="shared" si="61"/>
        <v>Guaname Rompope|Primos Imports LLC</v>
      </c>
      <c r="D359" s="74">
        <v>2.8390590000000002</v>
      </c>
      <c r="E359" s="1">
        <v>0.946353</v>
      </c>
      <c r="F359" s="3">
        <v>-0.66666700000000001</v>
      </c>
      <c r="G359" s="1">
        <v>0</v>
      </c>
      <c r="H359" s="94">
        <v>2.8390590000000002</v>
      </c>
      <c r="I359" s="178">
        <f t="shared" si="62"/>
        <v>0.946353</v>
      </c>
      <c r="J359" s="96">
        <f t="shared" si="60"/>
        <v>-0.66666666666666674</v>
      </c>
      <c r="K359" s="59">
        <f>_xlfn.XLOOKUP(C359,'2025 Goal Data'!C:C,'2025 Goal Data'!F:F,"")</f>
        <v>0</v>
      </c>
      <c r="L359" s="54">
        <f t="shared" si="63"/>
        <v>0</v>
      </c>
      <c r="M359" s="87">
        <f t="shared" si="64"/>
        <v>-0.66666666666666674</v>
      </c>
      <c r="N359" s="68">
        <f>_xlfn.XLOOKUP(C359,'2025 Goal Data'!C:C,'2025 Goal Data'!I:I,"")</f>
        <v>0</v>
      </c>
      <c r="O359" s="117">
        <f t="shared" si="65"/>
        <v>0</v>
      </c>
      <c r="P359" s="91">
        <f t="shared" si="66"/>
        <v>-0.66666666666666674</v>
      </c>
      <c r="Q359" s="69">
        <f t="shared" si="68"/>
        <v>0</v>
      </c>
      <c r="U359" s="58">
        <f>(H359*K359)+H359</f>
        <v>2.8390590000000002</v>
      </c>
    </row>
    <row r="360" spans="1:21" x14ac:dyDescent="0.25">
      <c r="A360" s="98" t="s">
        <v>203</v>
      </c>
      <c r="B360" s="99"/>
      <c r="C360" s="42" t="str">
        <f t="shared" si="61"/>
        <v>Oceano|</v>
      </c>
      <c r="D360" s="73">
        <v>13.736943999999999</v>
      </c>
      <c r="E360" s="82">
        <v>6.340128</v>
      </c>
      <c r="F360" s="83">
        <v>-0.538462</v>
      </c>
      <c r="G360" s="82">
        <v>3.170064</v>
      </c>
      <c r="H360" s="100">
        <v>16.907008000000001</v>
      </c>
      <c r="I360" s="177">
        <f t="shared" si="62"/>
        <v>7.8032329984319997</v>
      </c>
      <c r="J360" s="96">
        <f t="shared" si="60"/>
        <v>-0.53846162500000005</v>
      </c>
      <c r="K360" s="101">
        <f>_xlfn.XLOOKUP(C360,'2025 Goal Data'!C:C,'2025 Goal Data'!F:F,"")</f>
        <v>0</v>
      </c>
      <c r="L360" s="112">
        <f t="shared" si="63"/>
        <v>0</v>
      </c>
      <c r="M360" s="102">
        <f t="shared" si="64"/>
        <v>-0.53846162500000005</v>
      </c>
      <c r="N360" s="103">
        <f>_xlfn.XLOOKUP(C360,'2025 Goal Data'!C:C,'2025 Goal Data'!I:I,"")</f>
        <v>0</v>
      </c>
      <c r="O360" s="116">
        <f t="shared" si="65"/>
        <v>0</v>
      </c>
      <c r="P360" s="104">
        <f t="shared" si="66"/>
        <v>-0.53846162500000005</v>
      </c>
      <c r="Q360" s="67">
        <f t="shared" si="68"/>
        <v>0</v>
      </c>
      <c r="U360" s="57">
        <f>SUMIF(B:B,A360,K:K)</f>
        <v>0</v>
      </c>
    </row>
    <row r="361" spans="1:21" x14ac:dyDescent="0.25">
      <c r="A361" s="2" t="s">
        <v>203</v>
      </c>
      <c r="B361" s="2" t="s">
        <v>203</v>
      </c>
      <c r="C361" s="42" t="str">
        <f t="shared" si="61"/>
        <v>Oceano|Oceano</v>
      </c>
      <c r="D361" s="74">
        <v>13.736943999999999</v>
      </c>
      <c r="E361" s="1">
        <v>6.340128</v>
      </c>
      <c r="F361" s="3">
        <v>-0.538462</v>
      </c>
      <c r="G361" s="1">
        <v>3.170064</v>
      </c>
      <c r="H361" s="94">
        <v>16.907008000000001</v>
      </c>
      <c r="I361" s="178">
        <f t="shared" si="62"/>
        <v>7.8032329984319997</v>
      </c>
      <c r="J361" s="96">
        <f t="shared" si="60"/>
        <v>-0.53846162500000005</v>
      </c>
      <c r="K361" s="59">
        <f>_xlfn.XLOOKUP(C361,'2025 Goal Data'!C:C,'2025 Goal Data'!F:F,"")</f>
        <v>0</v>
      </c>
      <c r="L361" s="54">
        <f t="shared" si="63"/>
        <v>0</v>
      </c>
      <c r="M361" s="87">
        <f t="shared" si="64"/>
        <v>-0.53846162500000005</v>
      </c>
      <c r="N361" s="68">
        <f>_xlfn.XLOOKUP(C361,'2025 Goal Data'!C:C,'2025 Goal Data'!I:I,"")</f>
        <v>0</v>
      </c>
      <c r="O361" s="117">
        <f t="shared" si="65"/>
        <v>0</v>
      </c>
      <c r="P361" s="91">
        <f t="shared" si="66"/>
        <v>-0.53846162500000005</v>
      </c>
      <c r="Q361" s="69">
        <f t="shared" si="68"/>
        <v>0</v>
      </c>
      <c r="U361" s="58">
        <f>(H361*K361)+H361</f>
        <v>16.907008000000001</v>
      </c>
    </row>
    <row r="362" spans="1:21" x14ac:dyDescent="0.25">
      <c r="A362" s="98" t="s">
        <v>176</v>
      </c>
      <c r="B362" s="99"/>
      <c r="C362" s="42" t="str">
        <f t="shared" si="61"/>
        <v>Island Brands USA|</v>
      </c>
      <c r="D362" s="73">
        <v>133.444447</v>
      </c>
      <c r="E362" s="82">
        <v>-16.000001000000001</v>
      </c>
      <c r="F362" s="83">
        <v>-1.1198999999999999</v>
      </c>
      <c r="G362" s="82">
        <v>2.8888889999999998</v>
      </c>
      <c r="H362" s="100">
        <v>136.333336</v>
      </c>
      <c r="I362" s="177">
        <f t="shared" si="62"/>
        <v>-16.346378791100001</v>
      </c>
      <c r="J362" s="96">
        <f t="shared" si="60"/>
        <v>-1.1199000865870399</v>
      </c>
      <c r="K362" s="101">
        <f>_xlfn.XLOOKUP(C362,'2025 Goal Data'!C:C,'2025 Goal Data'!F:F,"")</f>
        <v>0</v>
      </c>
      <c r="L362" s="112">
        <f t="shared" si="63"/>
        <v>0</v>
      </c>
      <c r="M362" s="102">
        <f t="shared" si="64"/>
        <v>-1.1199000865870399</v>
      </c>
      <c r="N362" s="103">
        <f>_xlfn.XLOOKUP(C362,'2025 Goal Data'!C:C,'2025 Goal Data'!I:I,"")</f>
        <v>0</v>
      </c>
      <c r="O362" s="116">
        <f t="shared" si="65"/>
        <v>0</v>
      </c>
      <c r="P362" s="104">
        <f t="shared" si="66"/>
        <v>-1.1199000865870399</v>
      </c>
      <c r="Q362" s="67">
        <f t="shared" si="68"/>
        <v>0</v>
      </c>
      <c r="U362" s="57">
        <f>SUMIF(B:B,A362,K:K)</f>
        <v>0</v>
      </c>
    </row>
    <row r="363" spans="1:21" x14ac:dyDescent="0.25">
      <c r="A363" s="128" t="s">
        <v>204</v>
      </c>
      <c r="B363" s="2" t="s">
        <v>176</v>
      </c>
      <c r="C363" s="42" t="str">
        <f t="shared" si="61"/>
        <v>Island Brands|Island Brands USA</v>
      </c>
      <c r="D363" s="74">
        <v>133.444447</v>
      </c>
      <c r="E363" s="1">
        <v>-16.000001000000001</v>
      </c>
      <c r="F363" s="3">
        <v>-1.1198999999999999</v>
      </c>
      <c r="G363" s="1">
        <v>2.8888889999999998</v>
      </c>
      <c r="H363" s="94">
        <v>136.333336</v>
      </c>
      <c r="I363" s="178">
        <f t="shared" si="62"/>
        <v>-16.346378791100001</v>
      </c>
      <c r="J363" s="96">
        <f t="shared" si="60"/>
        <v>-1.1199000865870399</v>
      </c>
      <c r="K363" s="59">
        <f>_xlfn.XLOOKUP(C363,'2025 Goal Data'!C:C,'2025 Goal Data'!F:F,"")</f>
        <v>0</v>
      </c>
      <c r="L363" s="54">
        <f t="shared" si="63"/>
        <v>0</v>
      </c>
      <c r="M363" s="87">
        <f t="shared" si="64"/>
        <v>-1.1199000865870399</v>
      </c>
      <c r="N363" s="68">
        <f>_xlfn.XLOOKUP(C363,'2025 Goal Data'!C:C,'2025 Goal Data'!I:I,"")</f>
        <v>0</v>
      </c>
      <c r="O363" s="117">
        <f t="shared" si="65"/>
        <v>0</v>
      </c>
      <c r="P363" s="91">
        <f t="shared" si="66"/>
        <v>-1.1199000865870399</v>
      </c>
      <c r="Q363" s="69">
        <f t="shared" si="68"/>
        <v>0</v>
      </c>
      <c r="U363" s="58">
        <f>(H363*K363)+H363</f>
        <v>136.333336</v>
      </c>
    </row>
    <row r="364" spans="1:21" x14ac:dyDescent="0.25">
      <c r="A364" s="98" t="s">
        <v>152</v>
      </c>
      <c r="B364" s="99"/>
      <c r="C364" s="42" t="str">
        <f t="shared" si="61"/>
        <v>Eleven20|</v>
      </c>
      <c r="D364" s="73">
        <v>5.3036469999999998</v>
      </c>
      <c r="E364" s="82">
        <v>5</v>
      </c>
      <c r="F364" s="83">
        <v>-5.7251999999999997E-2</v>
      </c>
      <c r="G364" s="82">
        <v>0.25</v>
      </c>
      <c r="H364" s="100">
        <v>5.5536469999999998</v>
      </c>
      <c r="I364" s="177">
        <f t="shared" si="62"/>
        <v>5.2356870000000004</v>
      </c>
      <c r="J364" s="96">
        <f t="shared" si="60"/>
        <v>-5.7252468513032895E-2</v>
      </c>
      <c r="K364" s="101">
        <f>_xlfn.XLOOKUP(C364,'2025 Goal Data'!C:C,'2025 Goal Data'!F:F,"")</f>
        <v>-1</v>
      </c>
      <c r="L364" s="112">
        <f t="shared" si="63"/>
        <v>-5.5536469999999998</v>
      </c>
      <c r="M364" s="102">
        <f t="shared" si="64"/>
        <v>0.94274753148696711</v>
      </c>
      <c r="N364" s="103">
        <f>_xlfn.XLOOKUP(C364,'2025 Goal Data'!C:C,'2025 Goal Data'!I:I,"")</f>
        <v>-1</v>
      </c>
      <c r="O364" s="116">
        <f t="shared" si="65"/>
        <v>-5.5536469999999998</v>
      </c>
      <c r="P364" s="104">
        <f t="shared" si="66"/>
        <v>0.94274753148696711</v>
      </c>
      <c r="Q364" s="67">
        <f t="shared" si="68"/>
        <v>0</v>
      </c>
      <c r="U364" s="57">
        <f>SUMIF(B:B,A364,K:K)</f>
        <v>-1</v>
      </c>
    </row>
    <row r="365" spans="1:21" x14ac:dyDescent="0.25">
      <c r="A365" s="2" t="s">
        <v>205</v>
      </c>
      <c r="B365" s="2" t="s">
        <v>152</v>
      </c>
      <c r="C365" s="42" t="str">
        <f t="shared" si="61"/>
        <v>Eleven20 Tequila|Eleven20</v>
      </c>
      <c r="D365" s="74">
        <v>5.3036469999999998</v>
      </c>
      <c r="E365" s="1">
        <v>5</v>
      </c>
      <c r="F365" s="3">
        <v>-5.7251999999999997E-2</v>
      </c>
      <c r="G365" s="1">
        <v>0.25</v>
      </c>
      <c r="H365" s="94">
        <v>5.5536469999999998</v>
      </c>
      <c r="I365" s="178">
        <f t="shared" si="62"/>
        <v>5.2356870000000004</v>
      </c>
      <c r="J365" s="96">
        <f t="shared" si="60"/>
        <v>-5.7252468513032895E-2</v>
      </c>
      <c r="K365" s="59">
        <f>_xlfn.XLOOKUP(C365,'2025 Goal Data'!C:C,'2025 Goal Data'!F:F,"")</f>
        <v>-1</v>
      </c>
      <c r="L365" s="54">
        <f t="shared" si="63"/>
        <v>-5.5536469999999998</v>
      </c>
      <c r="M365" s="87">
        <f t="shared" si="64"/>
        <v>0.94274753148696711</v>
      </c>
      <c r="N365" s="68">
        <f>_xlfn.XLOOKUP(C365,'2025 Goal Data'!C:C,'2025 Goal Data'!I:I,"")</f>
        <v>-1</v>
      </c>
      <c r="O365" s="117">
        <f t="shared" si="65"/>
        <v>-5.5536469999999998</v>
      </c>
      <c r="P365" s="91">
        <f t="shared" si="66"/>
        <v>0.94274753148696711</v>
      </c>
      <c r="Q365" s="69">
        <f t="shared" si="68"/>
        <v>0</v>
      </c>
      <c r="U365" s="58">
        <f>(H365*K365)+H365</f>
        <v>0</v>
      </c>
    </row>
    <row r="366" spans="1:21" x14ac:dyDescent="0.25">
      <c r="A366" s="98" t="s">
        <v>278</v>
      </c>
      <c r="B366" s="99"/>
      <c r="C366" s="42" t="str">
        <f t="shared" si="61"/>
        <v>Waterloo Gin|</v>
      </c>
      <c r="D366" s="73">
        <v>0</v>
      </c>
      <c r="E366" s="82">
        <v>17.5</v>
      </c>
      <c r="F366" s="83">
        <v>1</v>
      </c>
      <c r="G366" s="82">
        <v>0</v>
      </c>
      <c r="H366" s="100">
        <v>0</v>
      </c>
      <c r="I366" s="177">
        <f t="shared" si="62"/>
        <v>17.5</v>
      </c>
      <c r="J366" s="96">
        <f t="shared" si="60"/>
        <v>0</v>
      </c>
      <c r="K366" s="101" t="str">
        <f>_xlfn.XLOOKUP(C366,'2025 Goal Data'!C:C,'2025 Goal Data'!F:F,"")</f>
        <v/>
      </c>
      <c r="L366" s="112">
        <f t="shared" si="63"/>
        <v>0</v>
      </c>
      <c r="M366" s="102">
        <f t="shared" si="64"/>
        <v>0</v>
      </c>
      <c r="N366" s="103" t="str">
        <f>_xlfn.XLOOKUP(C366,'2025 Goal Data'!C:C,'2025 Goal Data'!I:I,"")</f>
        <v/>
      </c>
      <c r="O366" s="116">
        <f t="shared" si="65"/>
        <v>0</v>
      </c>
      <c r="P366" s="104">
        <f t="shared" si="66"/>
        <v>0</v>
      </c>
      <c r="Q366" s="67">
        <f t="shared" si="68"/>
        <v>0</v>
      </c>
      <c r="U366" s="57">
        <f>SUMIF(B:B,A366,K:K)</f>
        <v>0</v>
      </c>
    </row>
    <row r="367" spans="1:21" x14ac:dyDescent="0.25">
      <c r="A367" s="2" t="s">
        <v>278</v>
      </c>
      <c r="B367" s="5" t="s">
        <v>278</v>
      </c>
      <c r="C367" s="42" t="str">
        <f t="shared" si="61"/>
        <v>Waterloo Gin|Waterloo Gin</v>
      </c>
      <c r="D367" s="74">
        <v>0</v>
      </c>
      <c r="E367" s="1">
        <v>17.5</v>
      </c>
      <c r="F367" s="3">
        <v>1</v>
      </c>
      <c r="G367" s="1">
        <v>0</v>
      </c>
      <c r="H367" s="94">
        <v>0</v>
      </c>
      <c r="I367" s="178">
        <f t="shared" si="62"/>
        <v>17.5</v>
      </c>
      <c r="J367" s="96">
        <f t="shared" si="60"/>
        <v>0</v>
      </c>
      <c r="K367" s="59" t="str">
        <f>_xlfn.XLOOKUP(C367,'2025 Goal Data'!C:C,'2025 Goal Data'!F:F,"")</f>
        <v/>
      </c>
      <c r="L367" s="54">
        <f t="shared" si="63"/>
        <v>0</v>
      </c>
      <c r="M367" s="87">
        <f t="shared" si="64"/>
        <v>0</v>
      </c>
      <c r="N367" s="68" t="str">
        <f>_xlfn.XLOOKUP(C367,'2025 Goal Data'!C:C,'2025 Goal Data'!I:I,"")</f>
        <v/>
      </c>
      <c r="O367" s="117">
        <f t="shared" si="65"/>
        <v>0</v>
      </c>
      <c r="P367" s="91">
        <f t="shared" si="66"/>
        <v>0</v>
      </c>
      <c r="Q367" s="69" t="s">
        <v>475</v>
      </c>
      <c r="U367" s="58" t="s">
        <v>475</v>
      </c>
    </row>
    <row r="368" spans="1:21" x14ac:dyDescent="0.25">
      <c r="A368" s="98" t="s">
        <v>384</v>
      </c>
      <c r="B368" s="99"/>
      <c r="C368" s="42" t="str">
        <f t="shared" si="61"/>
        <v>Waterbird Spirits|</v>
      </c>
      <c r="D368" s="73">
        <v>337</v>
      </c>
      <c r="E368" s="82">
        <v>0</v>
      </c>
      <c r="F368" s="83">
        <v>-1</v>
      </c>
      <c r="G368" s="82">
        <v>0</v>
      </c>
      <c r="H368" s="100">
        <v>337</v>
      </c>
      <c r="I368" s="177">
        <f t="shared" si="62"/>
        <v>0</v>
      </c>
      <c r="J368" s="96">
        <f t="shared" si="60"/>
        <v>-1</v>
      </c>
      <c r="K368" s="101">
        <f>_xlfn.XLOOKUP(C368,'2025 Goal Data'!C:C,'2025 Goal Data'!F:F,"")</f>
        <v>-1</v>
      </c>
      <c r="L368" s="112">
        <f t="shared" si="63"/>
        <v>-337</v>
      </c>
      <c r="M368" s="102">
        <f t="shared" si="64"/>
        <v>0</v>
      </c>
      <c r="N368" s="103">
        <f>_xlfn.XLOOKUP(C368,'2025 Goal Data'!C:C,'2025 Goal Data'!I:I,"")</f>
        <v>-1</v>
      </c>
      <c r="O368" s="116">
        <f t="shared" si="65"/>
        <v>-337</v>
      </c>
      <c r="P368" s="104">
        <f t="shared" si="66"/>
        <v>0</v>
      </c>
      <c r="Q368" s="67">
        <f>P368-M368</f>
        <v>0</v>
      </c>
      <c r="U368" s="57">
        <f>SUMIF(B:B,A368,K:K)</f>
        <v>-1</v>
      </c>
    </row>
    <row r="369" spans="1:21" x14ac:dyDescent="0.25">
      <c r="A369" s="128" t="s">
        <v>384</v>
      </c>
      <c r="B369" s="2" t="s">
        <v>384</v>
      </c>
      <c r="C369" s="42" t="str">
        <f t="shared" si="61"/>
        <v>Waterbird Spirits|Waterbird Spirits</v>
      </c>
      <c r="D369" s="74">
        <v>337</v>
      </c>
      <c r="E369" s="1">
        <v>0</v>
      </c>
      <c r="F369" s="3">
        <v>-1</v>
      </c>
      <c r="G369" s="1">
        <v>0</v>
      </c>
      <c r="H369" s="94">
        <v>337</v>
      </c>
      <c r="I369" s="178">
        <f t="shared" si="62"/>
        <v>0</v>
      </c>
      <c r="J369" s="96">
        <f t="shared" si="60"/>
        <v>-1</v>
      </c>
      <c r="K369" s="59">
        <f>_xlfn.XLOOKUP(C369,'2025 Goal Data'!C:C,'2025 Goal Data'!F:F,"")</f>
        <v>-1</v>
      </c>
      <c r="L369" s="54">
        <f t="shared" si="63"/>
        <v>-337</v>
      </c>
      <c r="M369" s="87">
        <f t="shared" si="64"/>
        <v>0</v>
      </c>
      <c r="N369" s="68">
        <f>_xlfn.XLOOKUP(C369,'2025 Goal Data'!C:C,'2025 Goal Data'!I:I,"")</f>
        <v>-1</v>
      </c>
      <c r="O369" s="117">
        <f t="shared" si="65"/>
        <v>-337</v>
      </c>
      <c r="P369" s="91">
        <f t="shared" si="66"/>
        <v>0</v>
      </c>
      <c r="Q369" s="69">
        <f>P369-M369</f>
        <v>0</v>
      </c>
      <c r="U369" s="58">
        <f>(H369*K369)+H369</f>
        <v>0</v>
      </c>
    </row>
    <row r="370" spans="1:21" x14ac:dyDescent="0.25">
      <c r="A370" s="98" t="s">
        <v>24</v>
      </c>
      <c r="B370" s="99"/>
      <c r="C370" s="42" t="str">
        <f t="shared" si="61"/>
        <v>Viva Beverages Inc|</v>
      </c>
      <c r="D370" s="73">
        <v>0</v>
      </c>
      <c r="E370" s="82">
        <v>102</v>
      </c>
      <c r="F370" s="83">
        <v>1</v>
      </c>
      <c r="G370" s="82">
        <v>0</v>
      </c>
      <c r="H370" s="100">
        <v>0</v>
      </c>
      <c r="I370" s="177">
        <f t="shared" si="62"/>
        <v>102</v>
      </c>
      <c r="J370" s="96">
        <f t="shared" si="60"/>
        <v>0</v>
      </c>
      <c r="K370" s="101" t="str">
        <f>_xlfn.XLOOKUP(C370,'2025 Goal Data'!C:C,'2025 Goal Data'!F:F,"")</f>
        <v/>
      </c>
      <c r="L370" s="112">
        <f t="shared" si="63"/>
        <v>0</v>
      </c>
      <c r="M370" s="102">
        <f t="shared" si="64"/>
        <v>0</v>
      </c>
      <c r="N370" s="103" t="str">
        <f>_xlfn.XLOOKUP(C370,'2025 Goal Data'!C:C,'2025 Goal Data'!I:I,"")</f>
        <v/>
      </c>
      <c r="O370" s="116">
        <f t="shared" si="65"/>
        <v>0</v>
      </c>
      <c r="P370" s="104">
        <f t="shared" si="66"/>
        <v>0</v>
      </c>
      <c r="Q370" s="67">
        <f>P370-M370</f>
        <v>0</v>
      </c>
      <c r="U370" s="57">
        <f>SUMIF(B:B,A370,K:K)</f>
        <v>0</v>
      </c>
    </row>
    <row r="371" spans="1:21" x14ac:dyDescent="0.25">
      <c r="A371" s="2" t="s">
        <v>414</v>
      </c>
      <c r="B371" s="5" t="s">
        <v>24</v>
      </c>
      <c r="C371" s="42" t="str">
        <f t="shared" si="61"/>
        <v>Viva Tequila Seltzer|Viva Beverages Inc</v>
      </c>
      <c r="D371" s="74">
        <v>0</v>
      </c>
      <c r="E371" s="1">
        <v>102</v>
      </c>
      <c r="F371" s="3">
        <v>1</v>
      </c>
      <c r="G371" s="1">
        <v>0</v>
      </c>
      <c r="H371" s="94">
        <v>0</v>
      </c>
      <c r="I371" s="178">
        <f t="shared" si="62"/>
        <v>102</v>
      </c>
      <c r="J371" s="96">
        <f t="shared" si="60"/>
        <v>0</v>
      </c>
      <c r="K371" s="59" t="str">
        <f>_xlfn.XLOOKUP(C371,'2025 Goal Data'!C:C,'2025 Goal Data'!F:F,"")</f>
        <v/>
      </c>
      <c r="L371" s="54">
        <f t="shared" si="63"/>
        <v>0</v>
      </c>
      <c r="M371" s="87">
        <f t="shared" si="64"/>
        <v>0</v>
      </c>
      <c r="N371" s="68" t="str">
        <f>_xlfn.XLOOKUP(C371,'2025 Goal Data'!C:C,'2025 Goal Data'!I:I,"")</f>
        <v/>
      </c>
      <c r="O371" s="117">
        <f t="shared" si="65"/>
        <v>0</v>
      </c>
      <c r="P371" s="91">
        <f t="shared" si="66"/>
        <v>0</v>
      </c>
      <c r="Q371" s="69" t="s">
        <v>475</v>
      </c>
      <c r="U371" s="58" t="s">
        <v>475</v>
      </c>
    </row>
    <row r="372" spans="1:21" x14ac:dyDescent="0.25">
      <c r="A372" s="98" t="s">
        <v>80</v>
      </c>
      <c r="B372" s="99"/>
      <c r="C372" s="42" t="str">
        <f t="shared" si="61"/>
        <v>Trinity Flavors|</v>
      </c>
      <c r="D372" s="73">
        <v>27</v>
      </c>
      <c r="E372" s="82">
        <v>1</v>
      </c>
      <c r="F372" s="83">
        <v>-0.96296300000000001</v>
      </c>
      <c r="G372" s="82">
        <v>0</v>
      </c>
      <c r="H372" s="100">
        <v>27</v>
      </c>
      <c r="I372" s="177">
        <f t="shared" si="62"/>
        <v>1</v>
      </c>
      <c r="J372" s="96">
        <f t="shared" si="60"/>
        <v>-0.96296296296296302</v>
      </c>
      <c r="K372" s="101">
        <f>_xlfn.XLOOKUP(C372,'2025 Goal Data'!C:C,'2025 Goal Data'!F:F,"")</f>
        <v>0</v>
      </c>
      <c r="L372" s="112">
        <f t="shared" si="63"/>
        <v>0</v>
      </c>
      <c r="M372" s="102">
        <f t="shared" si="64"/>
        <v>-0.96296296296296302</v>
      </c>
      <c r="N372" s="103">
        <f>_xlfn.XLOOKUP(C372,'2025 Goal Data'!C:C,'2025 Goal Data'!I:I,"")</f>
        <v>0</v>
      </c>
      <c r="O372" s="116">
        <f t="shared" si="65"/>
        <v>0</v>
      </c>
      <c r="P372" s="104">
        <f t="shared" si="66"/>
        <v>-0.96296296296296302</v>
      </c>
      <c r="Q372" s="67">
        <f>P372-M372</f>
        <v>0</v>
      </c>
      <c r="U372" s="57">
        <f>SUMIF(B:B,A372,K:K)</f>
        <v>0</v>
      </c>
    </row>
    <row r="373" spans="1:21" x14ac:dyDescent="0.25">
      <c r="A373" s="2" t="s">
        <v>99</v>
      </c>
      <c r="B373" s="2" t="s">
        <v>80</v>
      </c>
      <c r="C373" s="42" t="str">
        <f t="shared" si="61"/>
        <v>Trinity|Trinity Flavors</v>
      </c>
      <c r="D373" s="74">
        <v>27</v>
      </c>
      <c r="E373" s="1">
        <v>1</v>
      </c>
      <c r="F373" s="3">
        <v>-0.96296300000000001</v>
      </c>
      <c r="G373" s="1">
        <v>0</v>
      </c>
      <c r="H373" s="94">
        <v>27</v>
      </c>
      <c r="I373" s="178">
        <f t="shared" si="62"/>
        <v>1</v>
      </c>
      <c r="J373" s="96">
        <f t="shared" si="60"/>
        <v>-0.96296296296296302</v>
      </c>
      <c r="K373" s="59">
        <f>_xlfn.XLOOKUP(C373,'2025 Goal Data'!C:C,'2025 Goal Data'!F:F,"")</f>
        <v>0</v>
      </c>
      <c r="L373" s="54">
        <f t="shared" si="63"/>
        <v>0</v>
      </c>
      <c r="M373" s="87">
        <f t="shared" si="64"/>
        <v>-0.96296296296296302</v>
      </c>
      <c r="N373" s="68">
        <f>_xlfn.XLOOKUP(C373,'2025 Goal Data'!C:C,'2025 Goal Data'!I:I,"")</f>
        <v>0</v>
      </c>
      <c r="O373" s="117">
        <f t="shared" si="65"/>
        <v>0</v>
      </c>
      <c r="P373" s="91">
        <f t="shared" si="66"/>
        <v>-0.96296296296296302</v>
      </c>
      <c r="Q373" s="69">
        <f>P373-M373</f>
        <v>0</v>
      </c>
      <c r="U373" s="58">
        <f>(H373*K373)+H373</f>
        <v>27</v>
      </c>
    </row>
    <row r="374" spans="1:21" x14ac:dyDescent="0.25">
      <c r="A374" s="98" t="s">
        <v>81</v>
      </c>
      <c r="B374" s="99"/>
      <c r="C374" s="42" t="str">
        <f t="shared" si="61"/>
        <v>Tilray Alternative Beverage|</v>
      </c>
      <c r="D374" s="73">
        <v>0</v>
      </c>
      <c r="E374" s="82">
        <v>1725</v>
      </c>
      <c r="F374" s="83">
        <v>1</v>
      </c>
      <c r="G374" s="82">
        <v>0</v>
      </c>
      <c r="H374" s="100">
        <v>0</v>
      </c>
      <c r="I374" s="177">
        <f t="shared" si="62"/>
        <v>1725</v>
      </c>
      <c r="J374" s="96">
        <f t="shared" si="60"/>
        <v>0</v>
      </c>
      <c r="K374" s="101" t="str">
        <f>_xlfn.XLOOKUP(C374,'2025 Goal Data'!C:C,'2025 Goal Data'!F:F,"")</f>
        <v/>
      </c>
      <c r="L374" s="112">
        <f t="shared" si="63"/>
        <v>0</v>
      </c>
      <c r="M374" s="102">
        <f t="shared" si="64"/>
        <v>0</v>
      </c>
      <c r="N374" s="103" t="str">
        <f>_xlfn.XLOOKUP(C374,'2025 Goal Data'!C:C,'2025 Goal Data'!I:I,"")</f>
        <v/>
      </c>
      <c r="O374" s="116">
        <f t="shared" si="65"/>
        <v>0</v>
      </c>
      <c r="P374" s="104">
        <f t="shared" si="66"/>
        <v>0</v>
      </c>
      <c r="Q374" s="67">
        <f>P374-M374</f>
        <v>0</v>
      </c>
      <c r="U374" s="57">
        <f>SUMIF(B:B,A374,K:K)</f>
        <v>0</v>
      </c>
    </row>
    <row r="375" spans="1:21" x14ac:dyDescent="0.25">
      <c r="A375" s="2" t="s">
        <v>206</v>
      </c>
      <c r="B375" s="5" t="s">
        <v>81</v>
      </c>
      <c r="C375" s="42" t="str">
        <f t="shared" si="61"/>
        <v>Herb &amp; Bloom|Tilray Alternative Beverage</v>
      </c>
      <c r="D375" s="74">
        <v>0</v>
      </c>
      <c r="E375" s="1">
        <v>961</v>
      </c>
      <c r="F375" s="3">
        <v>1</v>
      </c>
      <c r="G375" s="1">
        <v>0</v>
      </c>
      <c r="H375" s="94">
        <v>0</v>
      </c>
      <c r="I375" s="178">
        <f t="shared" si="62"/>
        <v>961</v>
      </c>
      <c r="J375" s="96">
        <f t="shared" si="60"/>
        <v>0</v>
      </c>
      <c r="K375" s="59" t="str">
        <f>_xlfn.XLOOKUP(C375,'2025 Goal Data'!C:C,'2025 Goal Data'!F:F,"")</f>
        <v/>
      </c>
      <c r="L375" s="54">
        <f t="shared" si="63"/>
        <v>0</v>
      </c>
      <c r="M375" s="87">
        <f t="shared" si="64"/>
        <v>0</v>
      </c>
      <c r="N375" s="68" t="str">
        <f>_xlfn.XLOOKUP(C375,'2025 Goal Data'!C:C,'2025 Goal Data'!I:I,"")</f>
        <v/>
      </c>
      <c r="O375" s="117">
        <f t="shared" si="65"/>
        <v>0</v>
      </c>
      <c r="P375" s="91">
        <f t="shared" si="66"/>
        <v>0</v>
      </c>
      <c r="Q375" s="69" t="s">
        <v>475</v>
      </c>
      <c r="U375" s="58" t="s">
        <v>475</v>
      </c>
    </row>
    <row r="376" spans="1:21" x14ac:dyDescent="0.25">
      <c r="A376" s="2" t="s">
        <v>123</v>
      </c>
      <c r="B376" s="5" t="s">
        <v>81</v>
      </c>
      <c r="C376" s="42" t="str">
        <f t="shared" si="61"/>
        <v>Happy Flower|Tilray Alternative Beverage</v>
      </c>
      <c r="D376" s="74">
        <v>0</v>
      </c>
      <c r="E376" s="1">
        <v>151</v>
      </c>
      <c r="F376" s="3">
        <v>1</v>
      </c>
      <c r="G376" s="1">
        <v>0</v>
      </c>
      <c r="H376" s="94">
        <v>0</v>
      </c>
      <c r="I376" s="178">
        <f t="shared" si="62"/>
        <v>151</v>
      </c>
      <c r="J376" s="96">
        <f t="shared" si="60"/>
        <v>0</v>
      </c>
      <c r="K376" s="59" t="str">
        <f>_xlfn.XLOOKUP(C376,'2025 Goal Data'!C:C,'2025 Goal Data'!F:F,"")</f>
        <v/>
      </c>
      <c r="L376" s="54">
        <f t="shared" si="63"/>
        <v>0</v>
      </c>
      <c r="M376" s="87">
        <f t="shared" si="64"/>
        <v>0</v>
      </c>
      <c r="N376" s="68" t="str">
        <f>_xlfn.XLOOKUP(C376,'2025 Goal Data'!C:C,'2025 Goal Data'!I:I,"")</f>
        <v/>
      </c>
      <c r="O376" s="117">
        <f t="shared" si="65"/>
        <v>0</v>
      </c>
      <c r="P376" s="91">
        <f t="shared" si="66"/>
        <v>0</v>
      </c>
      <c r="Q376" s="69" t="s">
        <v>475</v>
      </c>
      <c r="U376" s="58" t="s">
        <v>475</v>
      </c>
    </row>
    <row r="377" spans="1:21" x14ac:dyDescent="0.25">
      <c r="A377" s="2" t="s">
        <v>279</v>
      </c>
      <c r="B377" s="5" t="s">
        <v>81</v>
      </c>
      <c r="C377" s="42" t="str">
        <f t="shared" si="61"/>
        <v>Fizzy Jane|Tilray Alternative Beverage</v>
      </c>
      <c r="D377" s="74">
        <v>0</v>
      </c>
      <c r="E377" s="1">
        <v>613</v>
      </c>
      <c r="F377" s="3">
        <v>1</v>
      </c>
      <c r="G377" s="1">
        <v>0</v>
      </c>
      <c r="H377" s="94">
        <v>0</v>
      </c>
      <c r="I377" s="178">
        <f t="shared" si="62"/>
        <v>613</v>
      </c>
      <c r="J377" s="96">
        <f t="shared" si="60"/>
        <v>0</v>
      </c>
      <c r="K377" s="59" t="str">
        <f>_xlfn.XLOOKUP(C377,'2025 Goal Data'!C:C,'2025 Goal Data'!F:F,"")</f>
        <v/>
      </c>
      <c r="L377" s="54">
        <f t="shared" si="63"/>
        <v>0</v>
      </c>
      <c r="M377" s="87">
        <f t="shared" si="64"/>
        <v>0</v>
      </c>
      <c r="N377" s="68" t="str">
        <f>_xlfn.XLOOKUP(C377,'2025 Goal Data'!C:C,'2025 Goal Data'!I:I,"")</f>
        <v/>
      </c>
      <c r="O377" s="117">
        <f t="shared" si="65"/>
        <v>0</v>
      </c>
      <c r="P377" s="91">
        <f t="shared" si="66"/>
        <v>0</v>
      </c>
      <c r="Q377" s="69" t="s">
        <v>475</v>
      </c>
      <c r="U377" s="58" t="s">
        <v>475</v>
      </c>
    </row>
    <row r="378" spans="1:21" x14ac:dyDescent="0.25">
      <c r="A378" s="98" t="s">
        <v>333</v>
      </c>
      <c r="B378" s="99"/>
      <c r="C378" s="42" t="str">
        <f t="shared" si="61"/>
        <v>The Old G LLC|</v>
      </c>
      <c r="D378" s="73">
        <v>0</v>
      </c>
      <c r="E378" s="82">
        <v>0.5</v>
      </c>
      <c r="F378" s="83">
        <v>1</v>
      </c>
      <c r="G378" s="82">
        <v>0</v>
      </c>
      <c r="H378" s="100">
        <v>0</v>
      </c>
      <c r="I378" s="177">
        <f t="shared" si="62"/>
        <v>0.5</v>
      </c>
      <c r="J378" s="96">
        <f t="shared" si="60"/>
        <v>0</v>
      </c>
      <c r="K378" s="101" t="str">
        <f>_xlfn.XLOOKUP(C378,'2025 Goal Data'!C:C,'2025 Goal Data'!F:F,"")</f>
        <v/>
      </c>
      <c r="L378" s="112">
        <f t="shared" si="63"/>
        <v>0</v>
      </c>
      <c r="M378" s="102">
        <f t="shared" si="64"/>
        <v>0</v>
      </c>
      <c r="N378" s="103" t="str">
        <f>_xlfn.XLOOKUP(C378,'2025 Goal Data'!C:C,'2025 Goal Data'!I:I,"")</f>
        <v/>
      </c>
      <c r="O378" s="116">
        <f t="shared" si="65"/>
        <v>0</v>
      </c>
      <c r="P378" s="104">
        <f t="shared" si="66"/>
        <v>0</v>
      </c>
      <c r="Q378" s="67">
        <f>P378-M378</f>
        <v>0</v>
      </c>
      <c r="U378" s="57">
        <f>SUMIF(B:B,A378,K:K)</f>
        <v>0</v>
      </c>
    </row>
    <row r="379" spans="1:21" x14ac:dyDescent="0.25">
      <c r="A379" s="128" t="s">
        <v>415</v>
      </c>
      <c r="B379" s="5" t="s">
        <v>333</v>
      </c>
      <c r="C379" s="42" t="str">
        <f t="shared" si="61"/>
        <v>The Old G|The Old G LLC</v>
      </c>
      <c r="D379" s="74">
        <v>0</v>
      </c>
      <c r="E379" s="1">
        <v>0.5</v>
      </c>
      <c r="F379" s="3">
        <v>1</v>
      </c>
      <c r="G379" s="1">
        <v>0</v>
      </c>
      <c r="H379" s="94">
        <v>0</v>
      </c>
      <c r="I379" s="178">
        <f t="shared" si="62"/>
        <v>0.5</v>
      </c>
      <c r="J379" s="96">
        <f t="shared" si="60"/>
        <v>0</v>
      </c>
      <c r="K379" s="59" t="str">
        <f>_xlfn.XLOOKUP(C379,'2025 Goal Data'!C:C,'2025 Goal Data'!F:F,"")</f>
        <v/>
      </c>
      <c r="L379" s="54">
        <f t="shared" si="63"/>
        <v>0</v>
      </c>
      <c r="M379" s="87">
        <f t="shared" si="64"/>
        <v>0</v>
      </c>
      <c r="N379" s="68" t="str">
        <f>_xlfn.XLOOKUP(C379,'2025 Goal Data'!C:C,'2025 Goal Data'!I:I,"")</f>
        <v/>
      </c>
      <c r="O379" s="117">
        <f t="shared" si="65"/>
        <v>0</v>
      </c>
      <c r="P379" s="91">
        <f t="shared" si="66"/>
        <v>0</v>
      </c>
      <c r="Q379" s="69" t="s">
        <v>475</v>
      </c>
      <c r="U379" s="58" t="s">
        <v>475</v>
      </c>
    </row>
    <row r="380" spans="1:21" x14ac:dyDescent="0.25">
      <c r="A380" s="98" t="s">
        <v>207</v>
      </c>
      <c r="B380" s="99"/>
      <c r="C380" s="42" t="str">
        <f t="shared" si="61"/>
        <v>Stewart's|</v>
      </c>
      <c r="D380" s="73">
        <v>7</v>
      </c>
      <c r="E380" s="82">
        <v>0</v>
      </c>
      <c r="F380" s="83">
        <v>-1</v>
      </c>
      <c r="G380" s="82">
        <v>0</v>
      </c>
      <c r="H380" s="100">
        <v>7</v>
      </c>
      <c r="I380" s="177">
        <f t="shared" si="62"/>
        <v>0</v>
      </c>
      <c r="J380" s="96">
        <f t="shared" si="60"/>
        <v>-1</v>
      </c>
      <c r="K380" s="101">
        <f>_xlfn.XLOOKUP(C380,'2025 Goal Data'!C:C,'2025 Goal Data'!F:F,"")</f>
        <v>-1</v>
      </c>
      <c r="L380" s="112">
        <f t="shared" si="63"/>
        <v>-7</v>
      </c>
      <c r="M380" s="102">
        <f t="shared" si="64"/>
        <v>0</v>
      </c>
      <c r="N380" s="103">
        <f>_xlfn.XLOOKUP(C380,'2025 Goal Data'!C:C,'2025 Goal Data'!I:I,"")</f>
        <v>-1</v>
      </c>
      <c r="O380" s="116">
        <f t="shared" si="65"/>
        <v>-7</v>
      </c>
      <c r="P380" s="104">
        <f t="shared" si="66"/>
        <v>0</v>
      </c>
      <c r="Q380" s="67">
        <f>P380-M380</f>
        <v>0</v>
      </c>
      <c r="U380" s="57">
        <f>SUMIF(B:B,A380,K:K)</f>
        <v>-1</v>
      </c>
    </row>
    <row r="381" spans="1:21" x14ac:dyDescent="0.25">
      <c r="A381" s="128" t="s">
        <v>207</v>
      </c>
      <c r="B381" s="2" t="s">
        <v>207</v>
      </c>
      <c r="C381" s="42" t="str">
        <f t="shared" si="61"/>
        <v>Stewart's|Stewart's</v>
      </c>
      <c r="D381" s="74">
        <v>7</v>
      </c>
      <c r="E381" s="1">
        <v>0</v>
      </c>
      <c r="F381" s="3">
        <v>-1</v>
      </c>
      <c r="G381" s="1">
        <v>0</v>
      </c>
      <c r="H381" s="94">
        <v>7</v>
      </c>
      <c r="I381" s="178">
        <f t="shared" si="62"/>
        <v>0</v>
      </c>
      <c r="J381" s="96">
        <f t="shared" si="60"/>
        <v>-1</v>
      </c>
      <c r="K381" s="59">
        <f>_xlfn.XLOOKUP(C381,'2025 Goal Data'!C:C,'2025 Goal Data'!F:F,"")</f>
        <v>-1</v>
      </c>
      <c r="L381" s="54">
        <f t="shared" si="63"/>
        <v>-7</v>
      </c>
      <c r="M381" s="87">
        <f t="shared" si="64"/>
        <v>0</v>
      </c>
      <c r="N381" s="68">
        <f>_xlfn.XLOOKUP(C381,'2025 Goal Data'!C:C,'2025 Goal Data'!I:I,"")</f>
        <v>-1</v>
      </c>
      <c r="O381" s="117">
        <f t="shared" si="65"/>
        <v>-7</v>
      </c>
      <c r="P381" s="91">
        <f t="shared" si="66"/>
        <v>0</v>
      </c>
      <c r="Q381" s="69">
        <f>P381-M381</f>
        <v>0</v>
      </c>
      <c r="U381" s="58">
        <f>(H381*K381)+H381</f>
        <v>0</v>
      </c>
    </row>
    <row r="382" spans="1:21" x14ac:dyDescent="0.25">
      <c r="A382" s="98" t="s">
        <v>25</v>
      </c>
      <c r="B382" s="99"/>
      <c r="C382" s="42" t="str">
        <f t="shared" si="61"/>
        <v>Source Brewing|</v>
      </c>
      <c r="D382" s="73">
        <v>0</v>
      </c>
      <c r="E382" s="82">
        <v>6.8888889999999998</v>
      </c>
      <c r="F382" s="83">
        <v>1</v>
      </c>
      <c r="G382" s="82">
        <v>0</v>
      </c>
      <c r="H382" s="100">
        <v>0</v>
      </c>
      <c r="I382" s="177">
        <f t="shared" si="62"/>
        <v>6.8888889999999998</v>
      </c>
      <c r="J382" s="96">
        <f t="shared" si="60"/>
        <v>0</v>
      </c>
      <c r="K382" s="101" t="str">
        <f>_xlfn.XLOOKUP(C382,'2025 Goal Data'!C:C,'2025 Goal Data'!F:F,"")</f>
        <v/>
      </c>
      <c r="L382" s="112">
        <f t="shared" si="63"/>
        <v>0</v>
      </c>
      <c r="M382" s="102">
        <f t="shared" si="64"/>
        <v>0</v>
      </c>
      <c r="N382" s="103" t="str">
        <f>_xlfn.XLOOKUP(C382,'2025 Goal Data'!C:C,'2025 Goal Data'!I:I,"")</f>
        <v/>
      </c>
      <c r="O382" s="116">
        <f t="shared" si="65"/>
        <v>0</v>
      </c>
      <c r="P382" s="104">
        <f t="shared" si="66"/>
        <v>0</v>
      </c>
      <c r="Q382" s="67">
        <f>P382-M382</f>
        <v>0</v>
      </c>
      <c r="U382" s="57">
        <f>SUMIF(B:B,A382,K:K)</f>
        <v>0</v>
      </c>
    </row>
    <row r="383" spans="1:21" x14ac:dyDescent="0.25">
      <c r="A383" s="2" t="s">
        <v>177</v>
      </c>
      <c r="B383" s="5" t="s">
        <v>25</v>
      </c>
      <c r="C383" s="42" t="str">
        <f t="shared" si="61"/>
        <v>Source of Hoppiness|Source Brewing</v>
      </c>
      <c r="D383" s="74">
        <v>0</v>
      </c>
      <c r="E383" s="1">
        <v>6.8888889999999998</v>
      </c>
      <c r="F383" s="3">
        <v>1</v>
      </c>
      <c r="G383" s="1">
        <v>0</v>
      </c>
      <c r="H383" s="94">
        <v>0</v>
      </c>
      <c r="I383" s="178">
        <f t="shared" si="62"/>
        <v>6.8888889999999998</v>
      </c>
      <c r="J383" s="96">
        <f t="shared" si="60"/>
        <v>0</v>
      </c>
      <c r="K383" s="59" t="str">
        <f>_xlfn.XLOOKUP(C383,'2025 Goal Data'!C:C,'2025 Goal Data'!F:F,"")</f>
        <v/>
      </c>
      <c r="L383" s="54">
        <f t="shared" si="63"/>
        <v>0</v>
      </c>
      <c r="M383" s="87">
        <f t="shared" si="64"/>
        <v>0</v>
      </c>
      <c r="N383" s="68" t="str">
        <f>_xlfn.XLOOKUP(C383,'2025 Goal Data'!C:C,'2025 Goal Data'!I:I,"")</f>
        <v/>
      </c>
      <c r="O383" s="117">
        <f t="shared" si="65"/>
        <v>0</v>
      </c>
      <c r="P383" s="91">
        <f t="shared" si="66"/>
        <v>0</v>
      </c>
      <c r="Q383" s="69" t="s">
        <v>475</v>
      </c>
      <c r="U383" s="58" t="s">
        <v>475</v>
      </c>
    </row>
    <row r="384" spans="1:21" x14ac:dyDescent="0.25">
      <c r="A384" s="98" t="s">
        <v>208</v>
      </c>
      <c r="B384" s="99"/>
      <c r="C384" s="42" t="str">
        <f t="shared" si="61"/>
        <v>Seafarer|</v>
      </c>
      <c r="D384" s="73">
        <v>54.666652999999997</v>
      </c>
      <c r="E384" s="82">
        <v>0</v>
      </c>
      <c r="F384" s="83">
        <v>-1</v>
      </c>
      <c r="G384" s="82">
        <v>0</v>
      </c>
      <c r="H384" s="100">
        <v>54.666652999999997</v>
      </c>
      <c r="I384" s="177">
        <f t="shared" si="62"/>
        <v>0</v>
      </c>
      <c r="J384" s="96">
        <f t="shared" si="60"/>
        <v>-1</v>
      </c>
      <c r="K384" s="101">
        <f>_xlfn.XLOOKUP(C384,'2025 Goal Data'!C:C,'2025 Goal Data'!F:F,"")</f>
        <v>0</v>
      </c>
      <c r="L384" s="112">
        <f t="shared" si="63"/>
        <v>0</v>
      </c>
      <c r="M384" s="102">
        <f t="shared" si="64"/>
        <v>-1</v>
      </c>
      <c r="N384" s="103">
        <f>_xlfn.XLOOKUP(C384,'2025 Goal Data'!C:C,'2025 Goal Data'!I:I,"")</f>
        <v>0</v>
      </c>
      <c r="O384" s="116">
        <f t="shared" si="65"/>
        <v>0</v>
      </c>
      <c r="P384" s="104">
        <f t="shared" si="66"/>
        <v>-1</v>
      </c>
      <c r="Q384" s="67">
        <f>P384-M384</f>
        <v>0</v>
      </c>
      <c r="U384" s="57">
        <f>SUMIF(B:B,A384,K:K)</f>
        <v>0</v>
      </c>
    </row>
    <row r="385" spans="1:21" x14ac:dyDescent="0.25">
      <c r="A385" s="128" t="s">
        <v>208</v>
      </c>
      <c r="B385" s="2" t="s">
        <v>208</v>
      </c>
      <c r="C385" s="42" t="str">
        <f t="shared" si="61"/>
        <v>Seafarer|Seafarer</v>
      </c>
      <c r="D385" s="74">
        <v>54.666652999999997</v>
      </c>
      <c r="E385" s="1">
        <v>0</v>
      </c>
      <c r="F385" s="3">
        <v>-1</v>
      </c>
      <c r="G385" s="1">
        <v>0</v>
      </c>
      <c r="H385" s="94">
        <v>54.666652999999997</v>
      </c>
      <c r="I385" s="178">
        <f t="shared" si="62"/>
        <v>0</v>
      </c>
      <c r="J385" s="96">
        <f t="shared" si="60"/>
        <v>-1</v>
      </c>
      <c r="K385" s="59">
        <f>_xlfn.XLOOKUP(C385,'2025 Goal Data'!C:C,'2025 Goal Data'!F:F,"")</f>
        <v>0</v>
      </c>
      <c r="L385" s="54">
        <f t="shared" si="63"/>
        <v>0</v>
      </c>
      <c r="M385" s="87">
        <f t="shared" si="64"/>
        <v>-1</v>
      </c>
      <c r="N385" s="68">
        <f>_xlfn.XLOOKUP(C385,'2025 Goal Data'!C:C,'2025 Goal Data'!I:I,"")</f>
        <v>0</v>
      </c>
      <c r="O385" s="117">
        <f t="shared" si="65"/>
        <v>0</v>
      </c>
      <c r="P385" s="91">
        <f t="shared" si="66"/>
        <v>-1</v>
      </c>
      <c r="Q385" s="69">
        <f>P385-M385</f>
        <v>0</v>
      </c>
      <c r="U385" s="58">
        <f>(H385*K385)+H385</f>
        <v>54.666652999999997</v>
      </c>
    </row>
    <row r="386" spans="1:21" x14ac:dyDescent="0.25">
      <c r="A386" s="98" t="s">
        <v>49</v>
      </c>
      <c r="B386" s="99"/>
      <c r="C386" s="42" t="str">
        <f t="shared" si="61"/>
        <v>Savorian INC|</v>
      </c>
      <c r="D386" s="73">
        <v>0</v>
      </c>
      <c r="E386" s="82">
        <v>28.530576</v>
      </c>
      <c r="F386" s="83">
        <v>1</v>
      </c>
      <c r="G386" s="82">
        <v>0</v>
      </c>
      <c r="H386" s="100">
        <v>0</v>
      </c>
      <c r="I386" s="177">
        <f t="shared" si="62"/>
        <v>28.530576</v>
      </c>
      <c r="J386" s="96">
        <f t="shared" si="60"/>
        <v>0</v>
      </c>
      <c r="K386" s="101" t="str">
        <f>_xlfn.XLOOKUP(C386,'2025 Goal Data'!C:C,'2025 Goal Data'!F:F,"")</f>
        <v/>
      </c>
      <c r="L386" s="112">
        <f t="shared" si="63"/>
        <v>0</v>
      </c>
      <c r="M386" s="102">
        <f t="shared" si="64"/>
        <v>0</v>
      </c>
      <c r="N386" s="103" t="str">
        <f>_xlfn.XLOOKUP(C386,'2025 Goal Data'!C:C,'2025 Goal Data'!I:I,"")</f>
        <v/>
      </c>
      <c r="O386" s="116">
        <f t="shared" si="65"/>
        <v>0</v>
      </c>
      <c r="P386" s="104">
        <f t="shared" si="66"/>
        <v>0</v>
      </c>
      <c r="Q386" s="67">
        <f>P386-M386</f>
        <v>0</v>
      </c>
      <c r="U386" s="57">
        <f>SUMIF(B:B,A386,K:K)</f>
        <v>0</v>
      </c>
    </row>
    <row r="387" spans="1:21" x14ac:dyDescent="0.25">
      <c r="A387" s="2" t="s">
        <v>361</v>
      </c>
      <c r="B387" s="5" t="s">
        <v>49</v>
      </c>
      <c r="C387" s="42" t="str">
        <f t="shared" si="61"/>
        <v>Stoney River|Savorian INC</v>
      </c>
      <c r="D387" s="74">
        <v>0</v>
      </c>
      <c r="E387" s="1">
        <v>5.2834399999999997</v>
      </c>
      <c r="F387" s="3">
        <v>1</v>
      </c>
      <c r="G387" s="1">
        <v>0</v>
      </c>
      <c r="H387" s="94">
        <v>0</v>
      </c>
      <c r="I387" s="178">
        <f t="shared" si="62"/>
        <v>5.2834399999999997</v>
      </c>
      <c r="J387" s="96">
        <f t="shared" ref="J387:J450" si="69">IFERROR((I387/H387)-1,0)</f>
        <v>0</v>
      </c>
      <c r="K387" s="59" t="str">
        <f>_xlfn.XLOOKUP(C387,'2025 Goal Data'!C:C,'2025 Goal Data'!F:F,"")</f>
        <v/>
      </c>
      <c r="L387" s="54">
        <f t="shared" si="63"/>
        <v>0</v>
      </c>
      <c r="M387" s="87">
        <f t="shared" si="64"/>
        <v>0</v>
      </c>
      <c r="N387" s="68" t="str">
        <f>_xlfn.XLOOKUP(C387,'2025 Goal Data'!C:C,'2025 Goal Data'!I:I,"")</f>
        <v/>
      </c>
      <c r="O387" s="117">
        <f t="shared" si="65"/>
        <v>0</v>
      </c>
      <c r="P387" s="91">
        <f t="shared" si="66"/>
        <v>0</v>
      </c>
      <c r="Q387" s="69" t="s">
        <v>475</v>
      </c>
      <c r="U387" s="58" t="s">
        <v>475</v>
      </c>
    </row>
    <row r="388" spans="1:21" x14ac:dyDescent="0.25">
      <c r="A388" s="2" t="s">
        <v>124</v>
      </c>
      <c r="B388" s="5" t="s">
        <v>49</v>
      </c>
      <c r="C388" s="42" t="str">
        <f t="shared" ref="C388:C451" si="70">A388&amp;"|"&amp;B388</f>
        <v>Les Domaniales Rose D' Anjou Loire|Savorian INC</v>
      </c>
      <c r="D388" s="74">
        <v>0</v>
      </c>
      <c r="E388" s="1">
        <v>3.170064</v>
      </c>
      <c r="F388" s="3">
        <v>1</v>
      </c>
      <c r="G388" s="1">
        <v>0</v>
      </c>
      <c r="H388" s="94">
        <v>0</v>
      </c>
      <c r="I388" s="178">
        <f t="shared" ref="I388:I451" si="71">((G388*F388)+G388)+E388</f>
        <v>3.170064</v>
      </c>
      <c r="J388" s="96">
        <f t="shared" si="69"/>
        <v>0</v>
      </c>
      <c r="K388" s="59" t="str">
        <f>_xlfn.XLOOKUP(C388,'2025 Goal Data'!C:C,'2025 Goal Data'!F:F,"")</f>
        <v/>
      </c>
      <c r="L388" s="54">
        <f t="shared" si="63"/>
        <v>0</v>
      </c>
      <c r="M388" s="87">
        <f t="shared" si="64"/>
        <v>0</v>
      </c>
      <c r="N388" s="68" t="str">
        <f>_xlfn.XLOOKUP(C388,'2025 Goal Data'!C:C,'2025 Goal Data'!I:I,"")</f>
        <v/>
      </c>
      <c r="O388" s="117">
        <f t="shared" si="65"/>
        <v>0</v>
      </c>
      <c r="P388" s="91">
        <f t="shared" si="66"/>
        <v>0</v>
      </c>
      <c r="Q388" s="69" t="s">
        <v>475</v>
      </c>
      <c r="U388" s="58" t="s">
        <v>475</v>
      </c>
    </row>
    <row r="389" spans="1:21" x14ac:dyDescent="0.25">
      <c r="A389" s="2" t="s">
        <v>178</v>
      </c>
      <c r="B389" s="5" t="s">
        <v>49</v>
      </c>
      <c r="C389" s="42" t="str">
        <f t="shared" si="70"/>
        <v>Castellani Etichetta Gialla|Savorian INC</v>
      </c>
      <c r="D389" s="74">
        <v>0</v>
      </c>
      <c r="E389" s="1">
        <v>9.510192</v>
      </c>
      <c r="F389" s="3">
        <v>1</v>
      </c>
      <c r="G389" s="1">
        <v>0</v>
      </c>
      <c r="H389" s="94">
        <v>0</v>
      </c>
      <c r="I389" s="178">
        <f t="shared" si="71"/>
        <v>9.510192</v>
      </c>
      <c r="J389" s="96">
        <f t="shared" si="69"/>
        <v>0</v>
      </c>
      <c r="K389" s="59" t="str">
        <f>_xlfn.XLOOKUP(C389,'2025 Goal Data'!C:C,'2025 Goal Data'!F:F,"")</f>
        <v/>
      </c>
      <c r="L389" s="54">
        <f t="shared" ref="L389:L452" si="72">IFERROR(K389*H389,0)</f>
        <v>0</v>
      </c>
      <c r="M389" s="87">
        <f t="shared" ref="M389:M452" si="73">IFERROR(J389-K389,0)</f>
        <v>0</v>
      </c>
      <c r="N389" s="68" t="str">
        <f>_xlfn.XLOOKUP(C389,'2025 Goal Data'!C:C,'2025 Goal Data'!I:I,"")</f>
        <v/>
      </c>
      <c r="O389" s="117">
        <f t="shared" si="65"/>
        <v>0</v>
      </c>
      <c r="P389" s="91">
        <f t="shared" si="66"/>
        <v>0</v>
      </c>
      <c r="Q389" s="69" t="s">
        <v>475</v>
      </c>
      <c r="U389" s="58" t="s">
        <v>475</v>
      </c>
    </row>
    <row r="390" spans="1:21" x14ac:dyDescent="0.25">
      <c r="A390" s="2" t="s">
        <v>209</v>
      </c>
      <c r="B390" s="5" t="s">
        <v>49</v>
      </c>
      <c r="C390" s="42" t="str">
        <f t="shared" si="70"/>
        <v>Calise|Savorian INC</v>
      </c>
      <c r="D390" s="74">
        <v>0</v>
      </c>
      <c r="E390" s="1">
        <v>10.566879999999999</v>
      </c>
      <c r="F390" s="3">
        <v>1</v>
      </c>
      <c r="G390" s="1">
        <v>0</v>
      </c>
      <c r="H390" s="94">
        <v>0</v>
      </c>
      <c r="I390" s="178">
        <f t="shared" si="71"/>
        <v>10.566879999999999</v>
      </c>
      <c r="J390" s="96">
        <f t="shared" si="69"/>
        <v>0</v>
      </c>
      <c r="K390" s="59" t="str">
        <f>_xlfn.XLOOKUP(C390,'2025 Goal Data'!C:C,'2025 Goal Data'!F:F,"")</f>
        <v/>
      </c>
      <c r="L390" s="54">
        <f t="shared" si="72"/>
        <v>0</v>
      </c>
      <c r="M390" s="87">
        <f t="shared" si="73"/>
        <v>0</v>
      </c>
      <c r="N390" s="68" t="str">
        <f>_xlfn.XLOOKUP(C390,'2025 Goal Data'!C:C,'2025 Goal Data'!I:I,"")</f>
        <v/>
      </c>
      <c r="O390" s="117">
        <f t="shared" ref="O390:O453" si="74">IFERROR(N390*H390,0)</f>
        <v>0</v>
      </c>
      <c r="P390" s="91">
        <f t="shared" ref="P390:P453" si="75">IFERROR(J390-N390,0)</f>
        <v>0</v>
      </c>
      <c r="Q390" s="69" t="s">
        <v>475</v>
      </c>
      <c r="U390" s="58" t="s">
        <v>475</v>
      </c>
    </row>
    <row r="391" spans="1:21" x14ac:dyDescent="0.25">
      <c r="A391" s="98" t="s">
        <v>179</v>
      </c>
      <c r="B391" s="99"/>
      <c r="C391" s="42" t="str">
        <f t="shared" si="70"/>
        <v>Riviera Imports|</v>
      </c>
      <c r="D391" s="73">
        <v>0</v>
      </c>
      <c r="E391" s="82">
        <v>7.3968160000000003</v>
      </c>
      <c r="F391" s="83">
        <v>1</v>
      </c>
      <c r="G391" s="82">
        <v>0</v>
      </c>
      <c r="H391" s="100">
        <v>0</v>
      </c>
      <c r="I391" s="177">
        <f t="shared" si="71"/>
        <v>7.3968160000000003</v>
      </c>
      <c r="J391" s="96">
        <f t="shared" si="69"/>
        <v>0</v>
      </c>
      <c r="K391" s="101" t="str">
        <f>_xlfn.XLOOKUP(C391,'2025 Goal Data'!C:C,'2025 Goal Data'!F:F,"")</f>
        <v/>
      </c>
      <c r="L391" s="112">
        <f t="shared" si="72"/>
        <v>0</v>
      </c>
      <c r="M391" s="102">
        <f t="shared" si="73"/>
        <v>0</v>
      </c>
      <c r="N391" s="103" t="str">
        <f>_xlfn.XLOOKUP(C391,'2025 Goal Data'!C:C,'2025 Goal Data'!I:I,"")</f>
        <v/>
      </c>
      <c r="O391" s="116">
        <f t="shared" si="74"/>
        <v>0</v>
      </c>
      <c r="P391" s="104">
        <f t="shared" si="75"/>
        <v>0</v>
      </c>
      <c r="Q391" s="67">
        <f>P391-M391</f>
        <v>0</v>
      </c>
      <c r="U391" s="57">
        <f>SUMIF(B:B,A391,K:K)</f>
        <v>0</v>
      </c>
    </row>
    <row r="392" spans="1:21" x14ac:dyDescent="0.25">
      <c r="A392" s="2" t="s">
        <v>362</v>
      </c>
      <c r="B392" s="5" t="s">
        <v>179</v>
      </c>
      <c r="C392" s="42" t="str">
        <f t="shared" si="70"/>
        <v>Ecaana|Riviera Imports</v>
      </c>
      <c r="D392" s="74">
        <v>0</v>
      </c>
      <c r="E392" s="1">
        <v>7.3968160000000003</v>
      </c>
      <c r="F392" s="3">
        <v>1</v>
      </c>
      <c r="G392" s="1">
        <v>0</v>
      </c>
      <c r="H392" s="94">
        <v>0</v>
      </c>
      <c r="I392" s="178">
        <f t="shared" si="71"/>
        <v>7.3968160000000003</v>
      </c>
      <c r="J392" s="96">
        <f t="shared" si="69"/>
        <v>0</v>
      </c>
      <c r="K392" s="59" t="str">
        <f>_xlfn.XLOOKUP(C392,'2025 Goal Data'!C:C,'2025 Goal Data'!F:F,"")</f>
        <v/>
      </c>
      <c r="L392" s="54">
        <f t="shared" si="72"/>
        <v>0</v>
      </c>
      <c r="M392" s="87">
        <f t="shared" si="73"/>
        <v>0</v>
      </c>
      <c r="N392" s="68" t="str">
        <f>_xlfn.XLOOKUP(C392,'2025 Goal Data'!C:C,'2025 Goal Data'!I:I,"")</f>
        <v/>
      </c>
      <c r="O392" s="117">
        <f t="shared" si="74"/>
        <v>0</v>
      </c>
      <c r="P392" s="91">
        <f t="shared" si="75"/>
        <v>0</v>
      </c>
      <c r="Q392" s="69" t="s">
        <v>475</v>
      </c>
      <c r="U392" s="58" t="s">
        <v>475</v>
      </c>
    </row>
    <row r="393" spans="1:21" x14ac:dyDescent="0.25">
      <c r="A393" s="98" t="s">
        <v>299</v>
      </c>
      <c r="B393" s="99"/>
      <c r="C393" s="42" t="str">
        <f t="shared" si="70"/>
        <v>Radix Labs|</v>
      </c>
      <c r="D393" s="73">
        <v>0</v>
      </c>
      <c r="E393" s="82">
        <v>230</v>
      </c>
      <c r="F393" s="83">
        <v>1</v>
      </c>
      <c r="G393" s="82">
        <v>0</v>
      </c>
      <c r="H393" s="100">
        <v>0</v>
      </c>
      <c r="I393" s="177">
        <f t="shared" si="71"/>
        <v>230</v>
      </c>
      <c r="J393" s="96">
        <f t="shared" si="69"/>
        <v>0</v>
      </c>
      <c r="K393" s="101" t="str">
        <f>_xlfn.XLOOKUP(C393,'2025 Goal Data'!C:C,'2025 Goal Data'!F:F,"")</f>
        <v/>
      </c>
      <c r="L393" s="112">
        <f t="shared" si="72"/>
        <v>0</v>
      </c>
      <c r="M393" s="102">
        <f t="shared" si="73"/>
        <v>0</v>
      </c>
      <c r="N393" s="103" t="str">
        <f>_xlfn.XLOOKUP(C393,'2025 Goal Data'!C:C,'2025 Goal Data'!I:I,"")</f>
        <v/>
      </c>
      <c r="O393" s="116">
        <f t="shared" si="74"/>
        <v>0</v>
      </c>
      <c r="P393" s="104">
        <f t="shared" si="75"/>
        <v>0</v>
      </c>
      <c r="Q393" s="67">
        <f>P393-M393</f>
        <v>0</v>
      </c>
      <c r="U393" s="57">
        <f>SUMIF(B:B,A393,K:K)</f>
        <v>0</v>
      </c>
    </row>
    <row r="394" spans="1:21" x14ac:dyDescent="0.25">
      <c r="A394" s="2" t="s">
        <v>385</v>
      </c>
      <c r="B394" s="5" t="s">
        <v>299</v>
      </c>
      <c r="C394" s="42" t="str">
        <f t="shared" si="70"/>
        <v>Find Wunder|Radix Labs</v>
      </c>
      <c r="D394" s="74">
        <v>0</v>
      </c>
      <c r="E394" s="1">
        <v>230</v>
      </c>
      <c r="F394" s="3">
        <v>1</v>
      </c>
      <c r="G394" s="1">
        <v>0</v>
      </c>
      <c r="H394" s="94">
        <v>0</v>
      </c>
      <c r="I394" s="178">
        <f t="shared" si="71"/>
        <v>230</v>
      </c>
      <c r="J394" s="96">
        <f t="shared" si="69"/>
        <v>0</v>
      </c>
      <c r="K394" s="59" t="str">
        <f>_xlfn.XLOOKUP(C394,'2025 Goal Data'!C:C,'2025 Goal Data'!F:F,"")</f>
        <v/>
      </c>
      <c r="L394" s="54">
        <f t="shared" si="72"/>
        <v>0</v>
      </c>
      <c r="M394" s="87">
        <f t="shared" si="73"/>
        <v>0</v>
      </c>
      <c r="N394" s="68" t="str">
        <f>_xlfn.XLOOKUP(C394,'2025 Goal Data'!C:C,'2025 Goal Data'!I:I,"")</f>
        <v/>
      </c>
      <c r="O394" s="117">
        <f t="shared" si="74"/>
        <v>0</v>
      </c>
      <c r="P394" s="91">
        <f t="shared" si="75"/>
        <v>0</v>
      </c>
      <c r="Q394" s="69" t="s">
        <v>475</v>
      </c>
      <c r="U394" s="58" t="s">
        <v>475</v>
      </c>
    </row>
    <row r="395" spans="1:21" x14ac:dyDescent="0.25">
      <c r="A395" s="98" t="s">
        <v>153</v>
      </c>
      <c r="B395" s="99"/>
      <c r="C395" s="42" t="str">
        <f t="shared" si="70"/>
        <v>Passion Tree Co|</v>
      </c>
      <c r="D395" s="73">
        <v>0</v>
      </c>
      <c r="E395" s="82">
        <v>153.75</v>
      </c>
      <c r="F395" s="83">
        <v>1</v>
      </c>
      <c r="G395" s="82">
        <v>0</v>
      </c>
      <c r="H395" s="100">
        <v>0</v>
      </c>
      <c r="I395" s="177">
        <f t="shared" si="71"/>
        <v>153.75</v>
      </c>
      <c r="J395" s="96">
        <f t="shared" si="69"/>
        <v>0</v>
      </c>
      <c r="K395" s="101" t="str">
        <f>_xlfn.XLOOKUP(C395,'2025 Goal Data'!C:C,'2025 Goal Data'!F:F,"")</f>
        <v/>
      </c>
      <c r="L395" s="112">
        <f t="shared" si="72"/>
        <v>0</v>
      </c>
      <c r="M395" s="102">
        <f t="shared" si="73"/>
        <v>0</v>
      </c>
      <c r="N395" s="103" t="str">
        <f>_xlfn.XLOOKUP(C395,'2025 Goal Data'!C:C,'2025 Goal Data'!I:I,"")</f>
        <v/>
      </c>
      <c r="O395" s="116">
        <f t="shared" si="74"/>
        <v>0</v>
      </c>
      <c r="P395" s="104">
        <f t="shared" si="75"/>
        <v>0</v>
      </c>
      <c r="Q395" s="67">
        <f>P395-M395</f>
        <v>0</v>
      </c>
      <c r="U395" s="57">
        <f>SUMIF(B:B,A395,K:K)</f>
        <v>0</v>
      </c>
    </row>
    <row r="396" spans="1:21" x14ac:dyDescent="0.25">
      <c r="A396" s="2" t="s">
        <v>82</v>
      </c>
      <c r="B396" s="5" t="s">
        <v>153</v>
      </c>
      <c r="C396" s="42" t="str">
        <f t="shared" si="70"/>
        <v>Pop Sips|Passion Tree Co</v>
      </c>
      <c r="D396" s="74">
        <v>0</v>
      </c>
      <c r="E396" s="1">
        <v>153.75</v>
      </c>
      <c r="F396" s="3">
        <v>1</v>
      </c>
      <c r="G396" s="1">
        <v>0</v>
      </c>
      <c r="H396" s="94">
        <v>0</v>
      </c>
      <c r="I396" s="178">
        <f t="shared" si="71"/>
        <v>153.75</v>
      </c>
      <c r="J396" s="96">
        <f t="shared" si="69"/>
        <v>0</v>
      </c>
      <c r="K396" s="59" t="str">
        <f>_xlfn.XLOOKUP(C396,'2025 Goal Data'!C:C,'2025 Goal Data'!F:F,"")</f>
        <v/>
      </c>
      <c r="L396" s="54">
        <f t="shared" si="72"/>
        <v>0</v>
      </c>
      <c r="M396" s="87">
        <f t="shared" si="73"/>
        <v>0</v>
      </c>
      <c r="N396" s="68" t="str">
        <f>_xlfn.XLOOKUP(C396,'2025 Goal Data'!C:C,'2025 Goal Data'!I:I,"")</f>
        <v/>
      </c>
      <c r="O396" s="117">
        <f t="shared" si="74"/>
        <v>0</v>
      </c>
      <c r="P396" s="91">
        <f t="shared" si="75"/>
        <v>0</v>
      </c>
      <c r="Q396" s="69" t="s">
        <v>475</v>
      </c>
      <c r="U396" s="58" t="s">
        <v>475</v>
      </c>
    </row>
    <row r="397" spans="1:21" x14ac:dyDescent="0.25">
      <c r="A397" s="98" t="s">
        <v>100</v>
      </c>
      <c r="B397" s="99"/>
      <c r="C397" s="42" t="str">
        <f t="shared" si="70"/>
        <v>Park Street Imports|</v>
      </c>
      <c r="D397" s="73">
        <v>0</v>
      </c>
      <c r="E397" s="82">
        <v>109</v>
      </c>
      <c r="F397" s="83">
        <v>1</v>
      </c>
      <c r="G397" s="82">
        <v>0</v>
      </c>
      <c r="H397" s="100">
        <v>0</v>
      </c>
      <c r="I397" s="177">
        <f t="shared" si="71"/>
        <v>109</v>
      </c>
      <c r="J397" s="96">
        <f t="shared" si="69"/>
        <v>0</v>
      </c>
      <c r="K397" s="101" t="str">
        <f>_xlfn.XLOOKUP(C397,'2025 Goal Data'!C:C,'2025 Goal Data'!F:F,"")</f>
        <v/>
      </c>
      <c r="L397" s="112">
        <f t="shared" si="72"/>
        <v>0</v>
      </c>
      <c r="M397" s="102">
        <f t="shared" si="73"/>
        <v>0</v>
      </c>
      <c r="N397" s="103" t="str">
        <f>_xlfn.XLOOKUP(C397,'2025 Goal Data'!C:C,'2025 Goal Data'!I:I,"")</f>
        <v/>
      </c>
      <c r="O397" s="116">
        <f t="shared" si="74"/>
        <v>0</v>
      </c>
      <c r="P397" s="104">
        <f t="shared" si="75"/>
        <v>0</v>
      </c>
      <c r="Q397" s="67">
        <f>P397-M397</f>
        <v>0</v>
      </c>
      <c r="U397" s="57">
        <f>SUMIF(B:B,A397,K:K)</f>
        <v>0</v>
      </c>
    </row>
    <row r="398" spans="1:21" x14ac:dyDescent="0.25">
      <c r="A398" s="2" t="s">
        <v>363</v>
      </c>
      <c r="B398" s="5" t="s">
        <v>100</v>
      </c>
      <c r="C398" s="42" t="str">
        <f t="shared" si="70"/>
        <v>Plaid Duck|Park Street Imports</v>
      </c>
      <c r="D398" s="74">
        <v>0</v>
      </c>
      <c r="E398" s="1">
        <v>109</v>
      </c>
      <c r="F398" s="3">
        <v>1</v>
      </c>
      <c r="G398" s="1">
        <v>0</v>
      </c>
      <c r="H398" s="94">
        <v>0</v>
      </c>
      <c r="I398" s="178">
        <f t="shared" si="71"/>
        <v>109</v>
      </c>
      <c r="J398" s="96">
        <f t="shared" si="69"/>
        <v>0</v>
      </c>
      <c r="K398" s="59" t="str">
        <f>_xlfn.XLOOKUP(C398,'2025 Goal Data'!C:C,'2025 Goal Data'!F:F,"")</f>
        <v/>
      </c>
      <c r="L398" s="54">
        <f t="shared" si="72"/>
        <v>0</v>
      </c>
      <c r="M398" s="87">
        <f t="shared" si="73"/>
        <v>0</v>
      </c>
      <c r="N398" s="68" t="str">
        <f>_xlfn.XLOOKUP(C398,'2025 Goal Data'!C:C,'2025 Goal Data'!I:I,"")</f>
        <v/>
      </c>
      <c r="O398" s="117">
        <f t="shared" si="74"/>
        <v>0</v>
      </c>
      <c r="P398" s="91">
        <f t="shared" si="75"/>
        <v>0</v>
      </c>
      <c r="Q398" s="69" t="s">
        <v>475</v>
      </c>
      <c r="U398" s="58" t="s">
        <v>475</v>
      </c>
    </row>
    <row r="399" spans="1:21" x14ac:dyDescent="0.25">
      <c r="A399" s="98" t="s">
        <v>50</v>
      </c>
      <c r="B399" s="99"/>
      <c r="C399" s="42" t="str">
        <f t="shared" si="70"/>
        <v>Paradisse Spirits LLC|</v>
      </c>
      <c r="D399" s="73">
        <v>0</v>
      </c>
      <c r="E399" s="82">
        <v>3.5</v>
      </c>
      <c r="F399" s="83">
        <v>1</v>
      </c>
      <c r="G399" s="82">
        <v>0</v>
      </c>
      <c r="H399" s="100">
        <v>0</v>
      </c>
      <c r="I399" s="177">
        <f t="shared" si="71"/>
        <v>3.5</v>
      </c>
      <c r="J399" s="96">
        <f t="shared" si="69"/>
        <v>0</v>
      </c>
      <c r="K399" s="101" t="str">
        <f>_xlfn.XLOOKUP(C399,'2025 Goal Data'!C:C,'2025 Goal Data'!F:F,"")</f>
        <v/>
      </c>
      <c r="L399" s="112">
        <f t="shared" si="72"/>
        <v>0</v>
      </c>
      <c r="M399" s="102">
        <f t="shared" si="73"/>
        <v>0</v>
      </c>
      <c r="N399" s="103" t="str">
        <f>_xlfn.XLOOKUP(C399,'2025 Goal Data'!C:C,'2025 Goal Data'!I:I,"")</f>
        <v/>
      </c>
      <c r="O399" s="116">
        <f t="shared" si="74"/>
        <v>0</v>
      </c>
      <c r="P399" s="104">
        <f t="shared" si="75"/>
        <v>0</v>
      </c>
      <c r="Q399" s="67">
        <f>P399-M399</f>
        <v>0</v>
      </c>
      <c r="U399" s="57">
        <f>SUMIF(B:B,A399,K:K)</f>
        <v>0</v>
      </c>
    </row>
    <row r="400" spans="1:21" x14ac:dyDescent="0.25">
      <c r="A400" s="2" t="s">
        <v>256</v>
      </c>
      <c r="B400" s="5" t="s">
        <v>50</v>
      </c>
      <c r="C400" s="42" t="str">
        <f t="shared" si="70"/>
        <v>Paradisse|Paradisse Spirits LLC</v>
      </c>
      <c r="D400" s="74">
        <v>0</v>
      </c>
      <c r="E400" s="1">
        <v>3.5</v>
      </c>
      <c r="F400" s="3">
        <v>1</v>
      </c>
      <c r="G400" s="1">
        <v>0</v>
      </c>
      <c r="H400" s="94">
        <v>0</v>
      </c>
      <c r="I400" s="178">
        <f t="shared" si="71"/>
        <v>3.5</v>
      </c>
      <c r="J400" s="96">
        <f t="shared" si="69"/>
        <v>0</v>
      </c>
      <c r="K400" s="59" t="str">
        <f>_xlfn.XLOOKUP(C400,'2025 Goal Data'!C:C,'2025 Goal Data'!F:F,"")</f>
        <v/>
      </c>
      <c r="L400" s="54">
        <f t="shared" si="72"/>
        <v>0</v>
      </c>
      <c r="M400" s="87">
        <f t="shared" si="73"/>
        <v>0</v>
      </c>
      <c r="N400" s="68" t="str">
        <f>_xlfn.XLOOKUP(C400,'2025 Goal Data'!C:C,'2025 Goal Data'!I:I,"")</f>
        <v/>
      </c>
      <c r="O400" s="117">
        <f t="shared" si="74"/>
        <v>0</v>
      </c>
      <c r="P400" s="91">
        <f t="shared" si="75"/>
        <v>0</v>
      </c>
      <c r="Q400" s="69" t="s">
        <v>475</v>
      </c>
      <c r="U400" s="58" t="s">
        <v>475</v>
      </c>
    </row>
    <row r="401" spans="1:21" x14ac:dyDescent="0.25">
      <c r="A401" s="98" t="s">
        <v>233</v>
      </c>
      <c r="B401" s="99"/>
      <c r="C401" s="42" t="str">
        <f t="shared" si="70"/>
        <v>Montucky Cold Snacks|</v>
      </c>
      <c r="D401" s="73">
        <v>25.333333</v>
      </c>
      <c r="E401" s="82">
        <v>0</v>
      </c>
      <c r="F401" s="83">
        <v>-1</v>
      </c>
      <c r="G401" s="82">
        <v>0</v>
      </c>
      <c r="H401" s="100">
        <v>25.333333</v>
      </c>
      <c r="I401" s="177">
        <f t="shared" si="71"/>
        <v>0</v>
      </c>
      <c r="J401" s="96">
        <f t="shared" si="69"/>
        <v>-1</v>
      </c>
      <c r="K401" s="101">
        <f>_xlfn.XLOOKUP(C401,'2025 Goal Data'!C:C,'2025 Goal Data'!F:F,"")</f>
        <v>0</v>
      </c>
      <c r="L401" s="112">
        <f t="shared" si="72"/>
        <v>0</v>
      </c>
      <c r="M401" s="102">
        <f t="shared" si="73"/>
        <v>-1</v>
      </c>
      <c r="N401" s="103">
        <f>_xlfn.XLOOKUP(C401,'2025 Goal Data'!C:C,'2025 Goal Data'!I:I,"")</f>
        <v>0</v>
      </c>
      <c r="O401" s="116">
        <f t="shared" si="74"/>
        <v>0</v>
      </c>
      <c r="P401" s="104">
        <f t="shared" si="75"/>
        <v>-1</v>
      </c>
      <c r="Q401" s="67">
        <f>P401-M401</f>
        <v>0</v>
      </c>
      <c r="U401" s="57">
        <f>SUMIF(B:B,A401,K:K)</f>
        <v>0</v>
      </c>
    </row>
    <row r="402" spans="1:21" x14ac:dyDescent="0.25">
      <c r="A402" s="128" t="s">
        <v>300</v>
      </c>
      <c r="B402" s="2" t="s">
        <v>233</v>
      </c>
      <c r="C402" s="42" t="str">
        <f t="shared" si="70"/>
        <v>Montucky|Montucky Cold Snacks</v>
      </c>
      <c r="D402" s="74">
        <v>25.333333</v>
      </c>
      <c r="E402" s="1">
        <v>0</v>
      </c>
      <c r="F402" s="3">
        <v>-1</v>
      </c>
      <c r="G402" s="1">
        <v>0</v>
      </c>
      <c r="H402" s="94">
        <v>25.333333</v>
      </c>
      <c r="I402" s="178">
        <f t="shared" si="71"/>
        <v>0</v>
      </c>
      <c r="J402" s="96">
        <f t="shared" si="69"/>
        <v>-1</v>
      </c>
      <c r="K402" s="59">
        <f>_xlfn.XLOOKUP(C402,'2025 Goal Data'!C:C,'2025 Goal Data'!F:F,"")</f>
        <v>0</v>
      </c>
      <c r="L402" s="54">
        <f t="shared" si="72"/>
        <v>0</v>
      </c>
      <c r="M402" s="87">
        <f t="shared" si="73"/>
        <v>-1</v>
      </c>
      <c r="N402" s="68">
        <f>_xlfn.XLOOKUP(C402,'2025 Goal Data'!C:C,'2025 Goal Data'!I:I,"")</f>
        <v>0</v>
      </c>
      <c r="O402" s="117">
        <f t="shared" si="74"/>
        <v>0</v>
      </c>
      <c r="P402" s="91">
        <f t="shared" si="75"/>
        <v>-1</v>
      </c>
      <c r="Q402" s="69">
        <f>P402-M402</f>
        <v>0</v>
      </c>
      <c r="U402" s="58">
        <f>(H402*K402)+H402</f>
        <v>25.333333</v>
      </c>
    </row>
    <row r="403" spans="1:21" x14ac:dyDescent="0.25">
      <c r="A403" s="98" t="s">
        <v>125</v>
      </c>
      <c r="B403" s="99"/>
      <c r="C403" s="42" t="str">
        <f t="shared" si="70"/>
        <v>Modern Infusions|</v>
      </c>
      <c r="D403" s="73">
        <v>0</v>
      </c>
      <c r="E403" s="82">
        <v>324</v>
      </c>
      <c r="F403" s="83">
        <v>1</v>
      </c>
      <c r="G403" s="82">
        <v>0</v>
      </c>
      <c r="H403" s="100">
        <v>0</v>
      </c>
      <c r="I403" s="177">
        <f t="shared" si="71"/>
        <v>324</v>
      </c>
      <c r="J403" s="96">
        <f t="shared" si="69"/>
        <v>0</v>
      </c>
      <c r="K403" s="101" t="str">
        <f>_xlfn.XLOOKUP(C403,'2025 Goal Data'!C:C,'2025 Goal Data'!F:F,"")</f>
        <v/>
      </c>
      <c r="L403" s="112">
        <f t="shared" si="72"/>
        <v>0</v>
      </c>
      <c r="M403" s="102">
        <f t="shared" si="73"/>
        <v>0</v>
      </c>
      <c r="N403" s="103" t="str">
        <f>_xlfn.XLOOKUP(C403,'2025 Goal Data'!C:C,'2025 Goal Data'!I:I,"")</f>
        <v/>
      </c>
      <c r="O403" s="116">
        <f t="shared" si="74"/>
        <v>0</v>
      </c>
      <c r="P403" s="104">
        <f t="shared" si="75"/>
        <v>0</v>
      </c>
      <c r="Q403" s="67">
        <f>P403-M403</f>
        <v>0</v>
      </c>
      <c r="U403" s="57">
        <f>SUMIF(B:B,A403,K:K)</f>
        <v>0</v>
      </c>
    </row>
    <row r="404" spans="1:21" x14ac:dyDescent="0.25">
      <c r="A404" s="2" t="s">
        <v>386</v>
      </c>
      <c r="B404" s="5" t="s">
        <v>125</v>
      </c>
      <c r="C404" s="42" t="str">
        <f t="shared" si="70"/>
        <v>Hi5|Modern Infusions</v>
      </c>
      <c r="D404" s="74">
        <v>0</v>
      </c>
      <c r="E404" s="1">
        <v>200</v>
      </c>
      <c r="F404" s="3">
        <v>1</v>
      </c>
      <c r="G404" s="1">
        <v>0</v>
      </c>
      <c r="H404" s="94">
        <v>0</v>
      </c>
      <c r="I404" s="178">
        <f t="shared" si="71"/>
        <v>200</v>
      </c>
      <c r="J404" s="96">
        <f t="shared" si="69"/>
        <v>0</v>
      </c>
      <c r="K404" s="59" t="str">
        <f>_xlfn.XLOOKUP(C404,'2025 Goal Data'!C:C,'2025 Goal Data'!F:F,"")</f>
        <v/>
      </c>
      <c r="L404" s="54">
        <f t="shared" si="72"/>
        <v>0</v>
      </c>
      <c r="M404" s="87">
        <f t="shared" si="73"/>
        <v>0</v>
      </c>
      <c r="N404" s="68" t="str">
        <f>_xlfn.XLOOKUP(C404,'2025 Goal Data'!C:C,'2025 Goal Data'!I:I,"")</f>
        <v/>
      </c>
      <c r="O404" s="117">
        <f t="shared" si="74"/>
        <v>0</v>
      </c>
      <c r="P404" s="91">
        <f t="shared" si="75"/>
        <v>0</v>
      </c>
      <c r="Q404" s="69" t="s">
        <v>475</v>
      </c>
      <c r="U404" s="58" t="s">
        <v>475</v>
      </c>
    </row>
    <row r="405" spans="1:21" x14ac:dyDescent="0.25">
      <c r="A405" s="2" t="s">
        <v>364</v>
      </c>
      <c r="B405" s="5" t="s">
        <v>125</v>
      </c>
      <c r="C405" s="42" t="str">
        <f t="shared" si="70"/>
        <v>Fiveislands|Modern Infusions</v>
      </c>
      <c r="D405" s="74">
        <v>0</v>
      </c>
      <c r="E405" s="1">
        <v>124</v>
      </c>
      <c r="F405" s="3">
        <v>1</v>
      </c>
      <c r="G405" s="1">
        <v>0</v>
      </c>
      <c r="H405" s="94">
        <v>0</v>
      </c>
      <c r="I405" s="178">
        <f t="shared" si="71"/>
        <v>124</v>
      </c>
      <c r="J405" s="96">
        <f t="shared" si="69"/>
        <v>0</v>
      </c>
      <c r="K405" s="59" t="str">
        <f>_xlfn.XLOOKUP(C405,'2025 Goal Data'!C:C,'2025 Goal Data'!F:F,"")</f>
        <v/>
      </c>
      <c r="L405" s="54">
        <f t="shared" si="72"/>
        <v>0</v>
      </c>
      <c r="M405" s="87">
        <f t="shared" si="73"/>
        <v>0</v>
      </c>
      <c r="N405" s="68" t="str">
        <f>_xlfn.XLOOKUP(C405,'2025 Goal Data'!C:C,'2025 Goal Data'!I:I,"")</f>
        <v/>
      </c>
      <c r="O405" s="117">
        <f t="shared" si="74"/>
        <v>0</v>
      </c>
      <c r="P405" s="91">
        <f t="shared" si="75"/>
        <v>0</v>
      </c>
      <c r="Q405" s="69" t="s">
        <v>475</v>
      </c>
      <c r="U405" s="58" t="s">
        <v>475</v>
      </c>
    </row>
    <row r="406" spans="1:21" x14ac:dyDescent="0.25">
      <c r="A406" s="98" t="s">
        <v>416</v>
      </c>
      <c r="B406" s="99"/>
      <c r="C406" s="42" t="str">
        <f t="shared" si="70"/>
        <v>Misc|</v>
      </c>
      <c r="D406" s="73">
        <v>0</v>
      </c>
      <c r="E406" s="82">
        <v>0</v>
      </c>
      <c r="F406" s="83">
        <v>1</v>
      </c>
      <c r="G406" s="82">
        <v>0</v>
      </c>
      <c r="H406" s="100">
        <v>0</v>
      </c>
      <c r="I406" s="177">
        <f t="shared" si="71"/>
        <v>0</v>
      </c>
      <c r="J406" s="96">
        <f t="shared" si="69"/>
        <v>0</v>
      </c>
      <c r="K406" s="101" t="str">
        <f>_xlfn.XLOOKUP(C406,'2025 Goal Data'!C:C,'2025 Goal Data'!F:F,"")</f>
        <v/>
      </c>
      <c r="L406" s="112">
        <f t="shared" si="72"/>
        <v>0</v>
      </c>
      <c r="M406" s="102">
        <f t="shared" si="73"/>
        <v>0</v>
      </c>
      <c r="N406" s="103" t="str">
        <f>_xlfn.XLOOKUP(C406,'2025 Goal Data'!C:C,'2025 Goal Data'!I:I,"")</f>
        <v/>
      </c>
      <c r="O406" s="116">
        <f t="shared" si="74"/>
        <v>0</v>
      </c>
      <c r="P406" s="104">
        <f t="shared" si="75"/>
        <v>0</v>
      </c>
      <c r="Q406" s="67">
        <f>P406-M406</f>
        <v>0</v>
      </c>
      <c r="U406" s="57">
        <f>SUMIF(B:B,A406,K:K)</f>
        <v>0</v>
      </c>
    </row>
    <row r="407" spans="1:21" x14ac:dyDescent="0.25">
      <c r="A407" s="129" t="s">
        <v>416</v>
      </c>
      <c r="B407" s="5" t="s">
        <v>416</v>
      </c>
      <c r="C407" s="42" t="str">
        <f t="shared" si="70"/>
        <v>Misc|Misc</v>
      </c>
      <c r="D407" s="74">
        <v>0</v>
      </c>
      <c r="E407" s="1">
        <v>0</v>
      </c>
      <c r="F407" s="3">
        <v>1</v>
      </c>
      <c r="G407" s="1">
        <v>0</v>
      </c>
      <c r="H407" s="94">
        <v>0</v>
      </c>
      <c r="I407" s="178">
        <f t="shared" si="71"/>
        <v>0</v>
      </c>
      <c r="J407" s="96">
        <f t="shared" si="69"/>
        <v>0</v>
      </c>
      <c r="K407" s="59" t="str">
        <f>_xlfn.XLOOKUP(C407,'2025 Goal Data'!C:C,'2025 Goal Data'!F:F,"")</f>
        <v/>
      </c>
      <c r="L407" s="54">
        <f t="shared" si="72"/>
        <v>0</v>
      </c>
      <c r="M407" s="87">
        <f t="shared" si="73"/>
        <v>0</v>
      </c>
      <c r="N407" s="68" t="str">
        <f>_xlfn.XLOOKUP(C407,'2025 Goal Data'!C:C,'2025 Goal Data'!I:I,"")</f>
        <v/>
      </c>
      <c r="O407" s="117">
        <f t="shared" si="74"/>
        <v>0</v>
      </c>
      <c r="P407" s="91">
        <f t="shared" si="75"/>
        <v>0</v>
      </c>
      <c r="Q407" s="69" t="s">
        <v>475</v>
      </c>
      <c r="U407" s="58" t="s">
        <v>475</v>
      </c>
    </row>
    <row r="408" spans="1:21" x14ac:dyDescent="0.25">
      <c r="A408" s="98" t="s">
        <v>334</v>
      </c>
      <c r="B408" s="99"/>
      <c r="C408" s="42" t="str">
        <f t="shared" si="70"/>
        <v>Mike's Lemonade|</v>
      </c>
      <c r="D408" s="73">
        <v>30</v>
      </c>
      <c r="E408" s="82">
        <v>0</v>
      </c>
      <c r="F408" s="83">
        <v>-1</v>
      </c>
      <c r="G408" s="82">
        <v>0</v>
      </c>
      <c r="H408" s="100">
        <v>30</v>
      </c>
      <c r="I408" s="177">
        <f t="shared" si="71"/>
        <v>0</v>
      </c>
      <c r="J408" s="96">
        <f t="shared" si="69"/>
        <v>-1</v>
      </c>
      <c r="K408" s="101" t="str">
        <f>_xlfn.XLOOKUP(C408,'2025 Goal Data'!C:C,'2025 Goal Data'!F:F,"")</f>
        <v/>
      </c>
      <c r="L408" s="112">
        <f t="shared" si="72"/>
        <v>0</v>
      </c>
      <c r="M408" s="102">
        <f t="shared" si="73"/>
        <v>0</v>
      </c>
      <c r="N408" s="103" t="str">
        <f>_xlfn.XLOOKUP(C408,'2025 Goal Data'!C:C,'2025 Goal Data'!I:I,"")</f>
        <v/>
      </c>
      <c r="O408" s="116">
        <f t="shared" si="74"/>
        <v>0</v>
      </c>
      <c r="P408" s="104">
        <f t="shared" si="75"/>
        <v>0</v>
      </c>
      <c r="Q408" s="67">
        <f>P408-M408</f>
        <v>0</v>
      </c>
      <c r="U408" s="57">
        <f>SUMIF(B:B,A408,K:K)</f>
        <v>0</v>
      </c>
    </row>
    <row r="409" spans="1:21" x14ac:dyDescent="0.25">
      <c r="A409" s="128" t="s">
        <v>417</v>
      </c>
      <c r="B409" s="2" t="s">
        <v>334</v>
      </c>
      <c r="C409" s="42" t="str">
        <f t="shared" si="70"/>
        <v>Rey Azul|Mike's Lemonade</v>
      </c>
      <c r="D409" s="74">
        <v>-4</v>
      </c>
      <c r="E409" s="1">
        <v>0</v>
      </c>
      <c r="F409" s="3">
        <v>1</v>
      </c>
      <c r="G409" s="1">
        <v>0</v>
      </c>
      <c r="H409" s="94">
        <v>-4</v>
      </c>
      <c r="I409" s="178">
        <f t="shared" si="71"/>
        <v>0</v>
      </c>
      <c r="J409" s="96">
        <f t="shared" si="69"/>
        <v>-1</v>
      </c>
      <c r="K409" s="59" t="str">
        <f>_xlfn.XLOOKUP(C409,'2025 Goal Data'!C:C,'2025 Goal Data'!F:F,"")</f>
        <v/>
      </c>
      <c r="L409" s="54">
        <f t="shared" si="72"/>
        <v>0</v>
      </c>
      <c r="M409" s="87">
        <f t="shared" si="73"/>
        <v>0</v>
      </c>
      <c r="N409" s="68" t="str">
        <f>_xlfn.XLOOKUP(C409,'2025 Goal Data'!C:C,'2025 Goal Data'!I:I,"")</f>
        <v/>
      </c>
      <c r="O409" s="117">
        <f t="shared" si="74"/>
        <v>0</v>
      </c>
      <c r="P409" s="91">
        <f t="shared" si="75"/>
        <v>0</v>
      </c>
      <c r="Q409" s="69" t="s">
        <v>475</v>
      </c>
      <c r="U409" s="58" t="s">
        <v>475</v>
      </c>
    </row>
    <row r="410" spans="1:21" x14ac:dyDescent="0.25">
      <c r="A410" s="128" t="s">
        <v>301</v>
      </c>
      <c r="B410" s="2" t="s">
        <v>334</v>
      </c>
      <c r="C410" s="42" t="str">
        <f t="shared" si="70"/>
        <v>Mike's Hard Seltzer|Mike's Lemonade</v>
      </c>
      <c r="D410" s="74">
        <v>34</v>
      </c>
      <c r="E410" s="1">
        <v>0</v>
      </c>
      <c r="F410" s="3">
        <v>-1</v>
      </c>
      <c r="G410" s="1">
        <v>0</v>
      </c>
      <c r="H410" s="94">
        <v>34</v>
      </c>
      <c r="I410" s="178">
        <f t="shared" si="71"/>
        <v>0</v>
      </c>
      <c r="J410" s="96">
        <f t="shared" si="69"/>
        <v>-1</v>
      </c>
      <c r="K410" s="59" t="str">
        <f>_xlfn.XLOOKUP(C410,'2025 Goal Data'!C:C,'2025 Goal Data'!F:F,"")</f>
        <v/>
      </c>
      <c r="L410" s="54">
        <f t="shared" si="72"/>
        <v>0</v>
      </c>
      <c r="M410" s="87">
        <f t="shared" si="73"/>
        <v>0</v>
      </c>
      <c r="N410" s="68" t="str">
        <f>_xlfn.XLOOKUP(C410,'2025 Goal Data'!C:C,'2025 Goal Data'!I:I,"")</f>
        <v/>
      </c>
      <c r="O410" s="117">
        <f t="shared" si="74"/>
        <v>0</v>
      </c>
      <c r="P410" s="91">
        <f t="shared" si="75"/>
        <v>0</v>
      </c>
      <c r="Q410" s="69" t="s">
        <v>475</v>
      </c>
      <c r="U410" s="58" t="s">
        <v>475</v>
      </c>
    </row>
    <row r="411" spans="1:21" x14ac:dyDescent="0.25">
      <c r="A411" s="98" t="s">
        <v>126</v>
      </c>
      <c r="B411" s="99"/>
      <c r="C411" s="42" t="str">
        <f t="shared" si="70"/>
        <v>Lodo Brands|</v>
      </c>
      <c r="D411" s="73">
        <v>0</v>
      </c>
      <c r="E411" s="82">
        <v>272.352552</v>
      </c>
      <c r="F411" s="83">
        <v>1</v>
      </c>
      <c r="G411" s="82">
        <v>0</v>
      </c>
      <c r="H411" s="100">
        <v>0</v>
      </c>
      <c r="I411" s="177">
        <f t="shared" si="71"/>
        <v>272.352552</v>
      </c>
      <c r="J411" s="96">
        <f t="shared" si="69"/>
        <v>0</v>
      </c>
      <c r="K411" s="101" t="str">
        <f>_xlfn.XLOOKUP(C411,'2025 Goal Data'!C:C,'2025 Goal Data'!F:F,"")</f>
        <v/>
      </c>
      <c r="L411" s="112">
        <f t="shared" si="72"/>
        <v>0</v>
      </c>
      <c r="M411" s="102">
        <f t="shared" si="73"/>
        <v>0</v>
      </c>
      <c r="N411" s="103" t="str">
        <f>_xlfn.XLOOKUP(C411,'2025 Goal Data'!C:C,'2025 Goal Data'!I:I,"")</f>
        <v/>
      </c>
      <c r="O411" s="116">
        <f t="shared" si="74"/>
        <v>0</v>
      </c>
      <c r="P411" s="104">
        <f t="shared" si="75"/>
        <v>0</v>
      </c>
      <c r="Q411" s="67">
        <f>P411-M411</f>
        <v>0</v>
      </c>
      <c r="U411" s="57">
        <f>SUMIF(B:B,A411,K:K)</f>
        <v>0</v>
      </c>
    </row>
    <row r="412" spans="1:21" x14ac:dyDescent="0.25">
      <c r="A412" s="2" t="s">
        <v>154</v>
      </c>
      <c r="B412" s="5" t="s">
        <v>126</v>
      </c>
      <c r="C412" s="42" t="str">
        <f t="shared" si="70"/>
        <v>LoDo|Lodo Brands</v>
      </c>
      <c r="D412" s="74">
        <v>0</v>
      </c>
      <c r="E412" s="1">
        <v>272.352552</v>
      </c>
      <c r="F412" s="3">
        <v>1</v>
      </c>
      <c r="G412" s="1">
        <v>0</v>
      </c>
      <c r="H412" s="94">
        <v>0</v>
      </c>
      <c r="I412" s="178">
        <f t="shared" si="71"/>
        <v>272.352552</v>
      </c>
      <c r="J412" s="96">
        <f t="shared" si="69"/>
        <v>0</v>
      </c>
      <c r="K412" s="59" t="str">
        <f>_xlfn.XLOOKUP(C412,'2025 Goal Data'!C:C,'2025 Goal Data'!F:F,"")</f>
        <v/>
      </c>
      <c r="L412" s="54">
        <f t="shared" si="72"/>
        <v>0</v>
      </c>
      <c r="M412" s="87">
        <f t="shared" si="73"/>
        <v>0</v>
      </c>
      <c r="N412" s="68" t="str">
        <f>_xlfn.XLOOKUP(C412,'2025 Goal Data'!C:C,'2025 Goal Data'!I:I,"")</f>
        <v/>
      </c>
      <c r="O412" s="117">
        <f t="shared" si="74"/>
        <v>0</v>
      </c>
      <c r="P412" s="91">
        <f t="shared" si="75"/>
        <v>0</v>
      </c>
      <c r="Q412" s="69" t="s">
        <v>475</v>
      </c>
      <c r="U412" s="58" t="s">
        <v>475</v>
      </c>
    </row>
    <row r="413" spans="1:21" x14ac:dyDescent="0.25">
      <c r="A413" s="98" t="s">
        <v>101</v>
      </c>
      <c r="B413" s="99"/>
      <c r="C413" s="42" t="str">
        <f t="shared" si="70"/>
        <v>Licores Artesanales|</v>
      </c>
      <c r="D413" s="73">
        <v>0</v>
      </c>
      <c r="E413" s="82">
        <v>8</v>
      </c>
      <c r="F413" s="83">
        <v>1</v>
      </c>
      <c r="G413" s="82">
        <v>0</v>
      </c>
      <c r="H413" s="100">
        <v>0</v>
      </c>
      <c r="I413" s="177">
        <f t="shared" si="71"/>
        <v>8</v>
      </c>
      <c r="J413" s="96">
        <f t="shared" si="69"/>
        <v>0</v>
      </c>
      <c r="K413" s="101" t="str">
        <f>_xlfn.XLOOKUP(C413,'2025 Goal Data'!C:C,'2025 Goal Data'!F:F,"")</f>
        <v/>
      </c>
      <c r="L413" s="112">
        <f t="shared" si="72"/>
        <v>0</v>
      </c>
      <c r="M413" s="102">
        <f t="shared" si="73"/>
        <v>0</v>
      </c>
      <c r="N413" s="103" t="str">
        <f>_xlfn.XLOOKUP(C413,'2025 Goal Data'!C:C,'2025 Goal Data'!I:I,"")</f>
        <v/>
      </c>
      <c r="O413" s="116">
        <f t="shared" si="74"/>
        <v>0</v>
      </c>
      <c r="P413" s="104">
        <f t="shared" si="75"/>
        <v>0</v>
      </c>
      <c r="Q413" s="67">
        <f>P413-M413</f>
        <v>0</v>
      </c>
      <c r="U413" s="57">
        <f>SUMIF(B:B,A413,K:K)</f>
        <v>0</v>
      </c>
    </row>
    <row r="414" spans="1:21" x14ac:dyDescent="0.25">
      <c r="A414" s="2" t="s">
        <v>210</v>
      </c>
      <c r="B414" s="5" t="s">
        <v>101</v>
      </c>
      <c r="C414" s="42" t="str">
        <f t="shared" si="70"/>
        <v>Desquite|Licores Artesanales</v>
      </c>
      <c r="D414" s="74">
        <v>0</v>
      </c>
      <c r="E414" s="1">
        <v>8</v>
      </c>
      <c r="F414" s="3">
        <v>1</v>
      </c>
      <c r="G414" s="1">
        <v>0</v>
      </c>
      <c r="H414" s="94">
        <v>0</v>
      </c>
      <c r="I414" s="178">
        <f t="shared" si="71"/>
        <v>8</v>
      </c>
      <c r="J414" s="96">
        <f t="shared" si="69"/>
        <v>0</v>
      </c>
      <c r="K414" s="59" t="str">
        <f>_xlfn.XLOOKUP(C414,'2025 Goal Data'!C:C,'2025 Goal Data'!F:F,"")</f>
        <v/>
      </c>
      <c r="L414" s="54">
        <f t="shared" si="72"/>
        <v>0</v>
      </c>
      <c r="M414" s="87">
        <f t="shared" si="73"/>
        <v>0</v>
      </c>
      <c r="N414" s="68" t="str">
        <f>_xlfn.XLOOKUP(C414,'2025 Goal Data'!C:C,'2025 Goal Data'!I:I,"")</f>
        <v/>
      </c>
      <c r="O414" s="117">
        <f t="shared" si="74"/>
        <v>0</v>
      </c>
      <c r="P414" s="91">
        <f t="shared" si="75"/>
        <v>0</v>
      </c>
      <c r="Q414" s="69" t="s">
        <v>475</v>
      </c>
      <c r="U414" s="58" t="s">
        <v>475</v>
      </c>
    </row>
    <row r="415" spans="1:21" x14ac:dyDescent="0.25">
      <c r="A415" s="98" t="s">
        <v>418</v>
      </c>
      <c r="B415" s="99"/>
      <c r="C415" s="42" t="str">
        <f t="shared" si="70"/>
        <v>Laird &amp; Company|</v>
      </c>
      <c r="D415" s="73">
        <v>62</v>
      </c>
      <c r="E415" s="82">
        <v>0</v>
      </c>
      <c r="F415" s="83">
        <v>-1</v>
      </c>
      <c r="G415" s="82">
        <v>0</v>
      </c>
      <c r="H415" s="100">
        <v>62</v>
      </c>
      <c r="I415" s="177">
        <f t="shared" si="71"/>
        <v>0</v>
      </c>
      <c r="J415" s="96">
        <f t="shared" si="69"/>
        <v>-1</v>
      </c>
      <c r="K415" s="101">
        <f>_xlfn.XLOOKUP(C415,'2025 Goal Data'!C:C,'2025 Goal Data'!F:F,"")</f>
        <v>0</v>
      </c>
      <c r="L415" s="112">
        <f t="shared" si="72"/>
        <v>0</v>
      </c>
      <c r="M415" s="102">
        <f t="shared" si="73"/>
        <v>-1</v>
      </c>
      <c r="N415" s="103">
        <f>_xlfn.XLOOKUP(C415,'2025 Goal Data'!C:C,'2025 Goal Data'!I:I,"")</f>
        <v>0</v>
      </c>
      <c r="O415" s="116">
        <f t="shared" si="74"/>
        <v>0</v>
      </c>
      <c r="P415" s="104">
        <f t="shared" si="75"/>
        <v>-1</v>
      </c>
      <c r="Q415" s="67">
        <f>P415-M415</f>
        <v>0</v>
      </c>
      <c r="U415" s="57">
        <f>SUMIF(B:B,A415,K:K)</f>
        <v>0</v>
      </c>
    </row>
    <row r="416" spans="1:21" x14ac:dyDescent="0.25">
      <c r="A416" s="128" t="s">
        <v>102</v>
      </c>
      <c r="B416" s="2" t="s">
        <v>418</v>
      </c>
      <c r="C416" s="42" t="str">
        <f t="shared" si="70"/>
        <v>Five O'Clock|Laird &amp; Company</v>
      </c>
      <c r="D416" s="74">
        <v>62</v>
      </c>
      <c r="E416" s="1">
        <v>0</v>
      </c>
      <c r="F416" s="3">
        <v>-1</v>
      </c>
      <c r="G416" s="1">
        <v>0</v>
      </c>
      <c r="H416" s="94">
        <v>62</v>
      </c>
      <c r="I416" s="178">
        <f t="shared" si="71"/>
        <v>0</v>
      </c>
      <c r="J416" s="96">
        <f t="shared" si="69"/>
        <v>-1</v>
      </c>
      <c r="K416" s="59">
        <f>_xlfn.XLOOKUP(C416,'2025 Goal Data'!C:C,'2025 Goal Data'!F:F,"")</f>
        <v>0</v>
      </c>
      <c r="L416" s="54">
        <f t="shared" si="72"/>
        <v>0</v>
      </c>
      <c r="M416" s="87">
        <f t="shared" si="73"/>
        <v>-1</v>
      </c>
      <c r="N416" s="68">
        <f>_xlfn.XLOOKUP(C416,'2025 Goal Data'!C:C,'2025 Goal Data'!I:I,"")</f>
        <v>0</v>
      </c>
      <c r="O416" s="117">
        <f t="shared" si="74"/>
        <v>0</v>
      </c>
      <c r="P416" s="91">
        <f t="shared" si="75"/>
        <v>-1</v>
      </c>
      <c r="Q416" s="69">
        <f>P416-M416</f>
        <v>0</v>
      </c>
      <c r="U416" s="58">
        <f>(H416*K416)+H416</f>
        <v>62</v>
      </c>
    </row>
    <row r="417" spans="1:21" x14ac:dyDescent="0.25">
      <c r="A417" s="98" t="s">
        <v>335</v>
      </c>
      <c r="B417" s="99"/>
      <c r="C417" s="42" t="str">
        <f t="shared" si="70"/>
        <v>Jerzey Jungle LLC|</v>
      </c>
      <c r="D417" s="73">
        <v>0</v>
      </c>
      <c r="E417" s="82">
        <v>27.560092000000001</v>
      </c>
      <c r="F417" s="83">
        <v>1</v>
      </c>
      <c r="G417" s="82">
        <v>0</v>
      </c>
      <c r="H417" s="100">
        <v>0</v>
      </c>
      <c r="I417" s="177">
        <f t="shared" si="71"/>
        <v>27.560092000000001</v>
      </c>
      <c r="J417" s="96">
        <f t="shared" si="69"/>
        <v>0</v>
      </c>
      <c r="K417" s="101" t="str">
        <f>_xlfn.XLOOKUP(C417,'2025 Goal Data'!C:C,'2025 Goal Data'!F:F,"")</f>
        <v/>
      </c>
      <c r="L417" s="112">
        <f t="shared" si="72"/>
        <v>0</v>
      </c>
      <c r="M417" s="102">
        <f t="shared" si="73"/>
        <v>0</v>
      </c>
      <c r="N417" s="103" t="str">
        <f>_xlfn.XLOOKUP(C417,'2025 Goal Data'!C:C,'2025 Goal Data'!I:I,"")</f>
        <v/>
      </c>
      <c r="O417" s="116">
        <f t="shared" si="74"/>
        <v>0</v>
      </c>
      <c r="P417" s="104">
        <f t="shared" si="75"/>
        <v>0</v>
      </c>
      <c r="Q417" s="67">
        <f>P417-M417</f>
        <v>0</v>
      </c>
      <c r="U417" s="57">
        <f>SUMIF(B:B,A417,K:K)</f>
        <v>0</v>
      </c>
    </row>
    <row r="418" spans="1:21" x14ac:dyDescent="0.25">
      <c r="A418" s="2" t="s">
        <v>234</v>
      </c>
      <c r="B418" s="5" t="s">
        <v>335</v>
      </c>
      <c r="C418" s="42" t="str">
        <f t="shared" si="70"/>
        <v>Jerzey Jungle|Jerzey Jungle LLC</v>
      </c>
      <c r="D418" s="74">
        <v>0</v>
      </c>
      <c r="E418" s="1">
        <v>27.560092000000001</v>
      </c>
      <c r="F418" s="3">
        <v>1</v>
      </c>
      <c r="G418" s="1">
        <v>0</v>
      </c>
      <c r="H418" s="94">
        <v>0</v>
      </c>
      <c r="I418" s="178">
        <f t="shared" si="71"/>
        <v>27.560092000000001</v>
      </c>
      <c r="J418" s="96">
        <f t="shared" si="69"/>
        <v>0</v>
      </c>
      <c r="K418" s="59" t="str">
        <f>_xlfn.XLOOKUP(C418,'2025 Goal Data'!C:C,'2025 Goal Data'!F:F,"")</f>
        <v/>
      </c>
      <c r="L418" s="54">
        <f t="shared" si="72"/>
        <v>0</v>
      </c>
      <c r="M418" s="87">
        <f t="shared" si="73"/>
        <v>0</v>
      </c>
      <c r="N418" s="68" t="str">
        <f>_xlfn.XLOOKUP(C418,'2025 Goal Data'!C:C,'2025 Goal Data'!I:I,"")</f>
        <v/>
      </c>
      <c r="O418" s="117">
        <f t="shared" si="74"/>
        <v>0</v>
      </c>
      <c r="P418" s="91">
        <f t="shared" si="75"/>
        <v>0</v>
      </c>
      <c r="Q418" s="69" t="s">
        <v>475</v>
      </c>
      <c r="U418" s="58" t="s">
        <v>475</v>
      </c>
    </row>
    <row r="419" spans="1:21" x14ac:dyDescent="0.25">
      <c r="A419" s="98" t="s">
        <v>302</v>
      </c>
      <c r="B419" s="99"/>
      <c r="C419" s="42" t="str">
        <f t="shared" si="70"/>
        <v>Iron Horse|</v>
      </c>
      <c r="D419" s="73">
        <v>35.961413999999998</v>
      </c>
      <c r="E419" s="82">
        <v>0</v>
      </c>
      <c r="F419" s="83">
        <v>-1</v>
      </c>
      <c r="G419" s="82">
        <v>0</v>
      </c>
      <c r="H419" s="100">
        <v>35.961413999999998</v>
      </c>
      <c r="I419" s="177">
        <f t="shared" si="71"/>
        <v>0</v>
      </c>
      <c r="J419" s="96">
        <f t="shared" si="69"/>
        <v>-1</v>
      </c>
      <c r="K419" s="101">
        <f>_xlfn.XLOOKUP(C419,'2025 Goal Data'!C:C,'2025 Goal Data'!F:F,"")</f>
        <v>-1</v>
      </c>
      <c r="L419" s="112">
        <f t="shared" si="72"/>
        <v>-35.961413999999998</v>
      </c>
      <c r="M419" s="102">
        <f t="shared" si="73"/>
        <v>0</v>
      </c>
      <c r="N419" s="103">
        <f>_xlfn.XLOOKUP(C419,'2025 Goal Data'!C:C,'2025 Goal Data'!I:I,"")</f>
        <v>-1</v>
      </c>
      <c r="O419" s="116">
        <f t="shared" si="74"/>
        <v>-35.961413999999998</v>
      </c>
      <c r="P419" s="104">
        <f t="shared" si="75"/>
        <v>0</v>
      </c>
      <c r="Q419" s="67">
        <f>P419-M419</f>
        <v>0</v>
      </c>
      <c r="U419" s="57">
        <f>SUMIF(B:B,A419,K:K)</f>
        <v>-1</v>
      </c>
    </row>
    <row r="420" spans="1:21" x14ac:dyDescent="0.25">
      <c r="A420" s="128" t="s">
        <v>211</v>
      </c>
      <c r="B420" s="2" t="s">
        <v>302</v>
      </c>
      <c r="C420" s="42" t="str">
        <f t="shared" si="70"/>
        <v>Sabrasol|Iron Horse</v>
      </c>
      <c r="D420" s="74">
        <v>35.961413999999998</v>
      </c>
      <c r="E420" s="1">
        <v>0</v>
      </c>
      <c r="F420" s="3">
        <v>-1</v>
      </c>
      <c r="G420" s="1">
        <v>0</v>
      </c>
      <c r="H420" s="94">
        <v>35.961413999999998</v>
      </c>
      <c r="I420" s="178">
        <f t="shared" si="71"/>
        <v>0</v>
      </c>
      <c r="J420" s="96">
        <f t="shared" si="69"/>
        <v>-1</v>
      </c>
      <c r="K420" s="59">
        <f>_xlfn.XLOOKUP(C420,'2025 Goal Data'!C:C,'2025 Goal Data'!F:F,"")</f>
        <v>-1</v>
      </c>
      <c r="L420" s="54">
        <f t="shared" si="72"/>
        <v>-35.961413999999998</v>
      </c>
      <c r="M420" s="87">
        <f t="shared" si="73"/>
        <v>0</v>
      </c>
      <c r="N420" s="68">
        <f>_xlfn.XLOOKUP(C420,'2025 Goal Data'!C:C,'2025 Goal Data'!I:I,"")</f>
        <v>-1</v>
      </c>
      <c r="O420" s="117">
        <f t="shared" si="74"/>
        <v>-35.961413999999998</v>
      </c>
      <c r="P420" s="91">
        <f t="shared" si="75"/>
        <v>0</v>
      </c>
      <c r="Q420" s="69">
        <f>P420-M420</f>
        <v>0</v>
      </c>
      <c r="U420" s="58">
        <f>(H420*K420)+H420</f>
        <v>0</v>
      </c>
    </row>
    <row r="421" spans="1:21" x14ac:dyDescent="0.25">
      <c r="A421" s="98" t="s">
        <v>212</v>
      </c>
      <c r="B421" s="99"/>
      <c r="C421" s="42" t="str">
        <f t="shared" si="70"/>
        <v>Hornell Brewing Company|</v>
      </c>
      <c r="D421" s="73">
        <v>0</v>
      </c>
      <c r="E421" s="82">
        <v>2014</v>
      </c>
      <c r="F421" s="83">
        <v>1</v>
      </c>
      <c r="G421" s="82">
        <v>0</v>
      </c>
      <c r="H421" s="100">
        <v>0</v>
      </c>
      <c r="I421" s="177">
        <f t="shared" si="71"/>
        <v>2014</v>
      </c>
      <c r="J421" s="96">
        <f t="shared" si="69"/>
        <v>0</v>
      </c>
      <c r="K421" s="101" t="str">
        <f>_xlfn.XLOOKUP(C421,'2025 Goal Data'!C:C,'2025 Goal Data'!F:F,"")</f>
        <v/>
      </c>
      <c r="L421" s="112">
        <f t="shared" si="72"/>
        <v>0</v>
      </c>
      <c r="M421" s="102">
        <f t="shared" si="73"/>
        <v>0</v>
      </c>
      <c r="N421" s="103" t="str">
        <f>_xlfn.XLOOKUP(C421,'2025 Goal Data'!C:C,'2025 Goal Data'!I:I,"")</f>
        <v/>
      </c>
      <c r="O421" s="116">
        <f t="shared" si="74"/>
        <v>0</v>
      </c>
      <c r="P421" s="104">
        <f t="shared" si="75"/>
        <v>0</v>
      </c>
      <c r="Q421" s="67">
        <f>P421-M421</f>
        <v>0</v>
      </c>
      <c r="U421" s="57">
        <f>SUMIF(B:B,A421,K:K)</f>
        <v>0</v>
      </c>
    </row>
    <row r="422" spans="1:21" x14ac:dyDescent="0.25">
      <c r="A422" s="2" t="s">
        <v>213</v>
      </c>
      <c r="B422" s="5" t="s">
        <v>212</v>
      </c>
      <c r="C422" s="42" t="str">
        <f t="shared" si="70"/>
        <v>Arizona Hard|Hornell Brewing Company</v>
      </c>
      <c r="D422" s="74">
        <v>0</v>
      </c>
      <c r="E422" s="1">
        <v>2014</v>
      </c>
      <c r="F422" s="3">
        <v>1</v>
      </c>
      <c r="G422" s="1">
        <v>0</v>
      </c>
      <c r="H422" s="94">
        <v>0</v>
      </c>
      <c r="I422" s="178">
        <f t="shared" si="71"/>
        <v>2014</v>
      </c>
      <c r="J422" s="96">
        <f t="shared" si="69"/>
        <v>0</v>
      </c>
      <c r="K422" s="59" t="str">
        <f>_xlfn.XLOOKUP(C422,'2025 Goal Data'!C:C,'2025 Goal Data'!F:F,"")</f>
        <v/>
      </c>
      <c r="L422" s="54">
        <f t="shared" si="72"/>
        <v>0</v>
      </c>
      <c r="M422" s="87">
        <f t="shared" si="73"/>
        <v>0</v>
      </c>
      <c r="N422" s="68" t="str">
        <f>_xlfn.XLOOKUP(C422,'2025 Goal Data'!C:C,'2025 Goal Data'!I:I,"")</f>
        <v/>
      </c>
      <c r="O422" s="117">
        <f t="shared" si="74"/>
        <v>0</v>
      </c>
      <c r="P422" s="91">
        <f t="shared" si="75"/>
        <v>0</v>
      </c>
      <c r="Q422" s="69" t="s">
        <v>475</v>
      </c>
      <c r="U422" s="58" t="s">
        <v>475</v>
      </c>
    </row>
    <row r="423" spans="1:21" x14ac:dyDescent="0.25">
      <c r="A423" s="98" t="s">
        <v>280</v>
      </c>
      <c r="B423" s="99"/>
      <c r="C423" s="42" t="str">
        <f t="shared" si="70"/>
        <v>Heavy Seas|</v>
      </c>
      <c r="D423" s="73">
        <v>8.3333329999999997</v>
      </c>
      <c r="E423" s="82">
        <v>0</v>
      </c>
      <c r="F423" s="83">
        <v>-1</v>
      </c>
      <c r="G423" s="82">
        <v>0</v>
      </c>
      <c r="H423" s="100">
        <v>8.3333329999999997</v>
      </c>
      <c r="I423" s="177">
        <f t="shared" si="71"/>
        <v>0</v>
      </c>
      <c r="J423" s="96">
        <f t="shared" si="69"/>
        <v>-1</v>
      </c>
      <c r="K423" s="101">
        <f>_xlfn.XLOOKUP(C423,'2025 Goal Data'!C:C,'2025 Goal Data'!F:F,"")</f>
        <v>-1</v>
      </c>
      <c r="L423" s="112">
        <f t="shared" si="72"/>
        <v>-8.3333329999999997</v>
      </c>
      <c r="M423" s="102">
        <f t="shared" si="73"/>
        <v>0</v>
      </c>
      <c r="N423" s="103">
        <f>_xlfn.XLOOKUP(C423,'2025 Goal Data'!C:C,'2025 Goal Data'!I:I,"")</f>
        <v>-1</v>
      </c>
      <c r="O423" s="116">
        <f t="shared" si="74"/>
        <v>-8.3333329999999997</v>
      </c>
      <c r="P423" s="104">
        <f t="shared" si="75"/>
        <v>0</v>
      </c>
      <c r="Q423" s="67">
        <f>P423-M423</f>
        <v>0</v>
      </c>
      <c r="U423" s="57">
        <f>SUMIF(B:B,A423,K:K)</f>
        <v>-1</v>
      </c>
    </row>
    <row r="424" spans="1:21" x14ac:dyDescent="0.25">
      <c r="A424" s="128" t="s">
        <v>280</v>
      </c>
      <c r="B424" s="2" t="s">
        <v>280</v>
      </c>
      <c r="C424" s="42" t="str">
        <f t="shared" si="70"/>
        <v>Heavy Seas|Heavy Seas</v>
      </c>
      <c r="D424" s="74">
        <v>8.3333329999999997</v>
      </c>
      <c r="E424" s="1">
        <v>0</v>
      </c>
      <c r="F424" s="3">
        <v>-1</v>
      </c>
      <c r="G424" s="1">
        <v>0</v>
      </c>
      <c r="H424" s="94">
        <v>8.3333329999999997</v>
      </c>
      <c r="I424" s="178">
        <f t="shared" si="71"/>
        <v>0</v>
      </c>
      <c r="J424" s="96">
        <f t="shared" si="69"/>
        <v>-1</v>
      </c>
      <c r="K424" s="59">
        <f>_xlfn.XLOOKUP(C424,'2025 Goal Data'!C:C,'2025 Goal Data'!F:F,"")</f>
        <v>-1</v>
      </c>
      <c r="L424" s="54">
        <f t="shared" si="72"/>
        <v>-8.3333329999999997</v>
      </c>
      <c r="M424" s="87">
        <f t="shared" si="73"/>
        <v>0</v>
      </c>
      <c r="N424" s="68">
        <f>_xlfn.XLOOKUP(C424,'2025 Goal Data'!C:C,'2025 Goal Data'!I:I,"")</f>
        <v>-1</v>
      </c>
      <c r="O424" s="117">
        <f t="shared" si="74"/>
        <v>-8.3333329999999997</v>
      </c>
      <c r="P424" s="91">
        <f t="shared" si="75"/>
        <v>0</v>
      </c>
      <c r="Q424" s="69">
        <f>P424-M424</f>
        <v>0</v>
      </c>
      <c r="U424" s="58">
        <f>(H424*K424)+H424</f>
        <v>0</v>
      </c>
    </row>
    <row r="425" spans="1:21" x14ac:dyDescent="0.25">
      <c r="A425" s="98" t="s">
        <v>281</v>
      </c>
      <c r="B425" s="99"/>
      <c r="C425" s="42" t="str">
        <f t="shared" si="70"/>
        <v>Good Supply|</v>
      </c>
      <c r="D425" s="73">
        <v>-13.33333</v>
      </c>
      <c r="E425" s="82">
        <v>0</v>
      </c>
      <c r="F425" s="83">
        <v>1</v>
      </c>
      <c r="G425" s="82">
        <v>0</v>
      </c>
      <c r="H425" s="100">
        <v>-13.33333</v>
      </c>
      <c r="I425" s="177">
        <f t="shared" si="71"/>
        <v>0</v>
      </c>
      <c r="J425" s="96">
        <f t="shared" si="69"/>
        <v>-1</v>
      </c>
      <c r="K425" s="101">
        <f>_xlfn.XLOOKUP(C425,'2025 Goal Data'!C:C,'2025 Goal Data'!F:F,"")</f>
        <v>-1</v>
      </c>
      <c r="L425" s="112">
        <f t="shared" si="72"/>
        <v>13.33333</v>
      </c>
      <c r="M425" s="102">
        <f t="shared" si="73"/>
        <v>0</v>
      </c>
      <c r="N425" s="103">
        <f>_xlfn.XLOOKUP(C425,'2025 Goal Data'!C:C,'2025 Goal Data'!I:I,"")</f>
        <v>-1</v>
      </c>
      <c r="O425" s="116">
        <f t="shared" si="74"/>
        <v>13.33333</v>
      </c>
      <c r="P425" s="104">
        <f t="shared" si="75"/>
        <v>0</v>
      </c>
      <c r="Q425" s="67">
        <f>P425-M425</f>
        <v>0</v>
      </c>
      <c r="U425" s="57">
        <f>SUMIF(B:B,A425,K:K)</f>
        <v>-1</v>
      </c>
    </row>
    <row r="426" spans="1:21" x14ac:dyDescent="0.25">
      <c r="A426" s="128" t="s">
        <v>281</v>
      </c>
      <c r="B426" s="2" t="s">
        <v>281</v>
      </c>
      <c r="C426" s="42" t="str">
        <f t="shared" si="70"/>
        <v>Good Supply|Good Supply</v>
      </c>
      <c r="D426" s="74">
        <v>-13.33333</v>
      </c>
      <c r="E426" s="1">
        <v>0</v>
      </c>
      <c r="F426" s="3">
        <v>1</v>
      </c>
      <c r="G426" s="1">
        <v>0</v>
      </c>
      <c r="H426" s="94">
        <v>-13.33333</v>
      </c>
      <c r="I426" s="178">
        <f t="shared" si="71"/>
        <v>0</v>
      </c>
      <c r="J426" s="96">
        <f t="shared" si="69"/>
        <v>-1</v>
      </c>
      <c r="K426" s="59">
        <f>_xlfn.XLOOKUP(C426,'2025 Goal Data'!C:C,'2025 Goal Data'!F:F,"")</f>
        <v>-1</v>
      </c>
      <c r="L426" s="54">
        <f t="shared" si="72"/>
        <v>13.33333</v>
      </c>
      <c r="M426" s="87">
        <f t="shared" si="73"/>
        <v>0</v>
      </c>
      <c r="N426" s="68">
        <f>_xlfn.XLOOKUP(C426,'2025 Goal Data'!C:C,'2025 Goal Data'!I:I,"")</f>
        <v>-1</v>
      </c>
      <c r="O426" s="117">
        <f t="shared" si="74"/>
        <v>13.33333</v>
      </c>
      <c r="P426" s="91">
        <f t="shared" si="75"/>
        <v>0</v>
      </c>
      <c r="Q426" s="69">
        <f>P426-M426</f>
        <v>0</v>
      </c>
      <c r="U426" s="58">
        <f>(H426*K426)+H426</f>
        <v>0</v>
      </c>
    </row>
    <row r="427" spans="1:21" x14ac:dyDescent="0.25">
      <c r="A427" s="98" t="s">
        <v>83</v>
      </c>
      <c r="B427" s="99"/>
      <c r="C427" s="42" t="str">
        <f t="shared" si="70"/>
        <v>Gigli|</v>
      </c>
      <c r="D427" s="73">
        <v>0</v>
      </c>
      <c r="E427" s="82">
        <v>123</v>
      </c>
      <c r="F427" s="83">
        <v>1</v>
      </c>
      <c r="G427" s="82">
        <v>0</v>
      </c>
      <c r="H427" s="100">
        <v>0</v>
      </c>
      <c r="I427" s="177">
        <f t="shared" si="71"/>
        <v>123</v>
      </c>
      <c r="J427" s="96">
        <f t="shared" si="69"/>
        <v>0</v>
      </c>
      <c r="K427" s="101" t="str">
        <f>_xlfn.XLOOKUP(C427,'2025 Goal Data'!C:C,'2025 Goal Data'!F:F,"")</f>
        <v/>
      </c>
      <c r="L427" s="112">
        <f t="shared" si="72"/>
        <v>0</v>
      </c>
      <c r="M427" s="102">
        <f t="shared" si="73"/>
        <v>0</v>
      </c>
      <c r="N427" s="103" t="str">
        <f>_xlfn.XLOOKUP(C427,'2025 Goal Data'!C:C,'2025 Goal Data'!I:I,"")</f>
        <v/>
      </c>
      <c r="O427" s="116">
        <f t="shared" si="74"/>
        <v>0</v>
      </c>
      <c r="P427" s="104">
        <f t="shared" si="75"/>
        <v>0</v>
      </c>
      <c r="Q427" s="67">
        <f>P427-M427</f>
        <v>0</v>
      </c>
      <c r="U427" s="57">
        <f>SUMIF(B:B,A427,K:K)</f>
        <v>0</v>
      </c>
    </row>
    <row r="428" spans="1:21" x14ac:dyDescent="0.25">
      <c r="A428" s="2" t="s">
        <v>83</v>
      </c>
      <c r="B428" s="5" t="s">
        <v>83</v>
      </c>
      <c r="C428" s="42" t="str">
        <f t="shared" si="70"/>
        <v>Gigli|Gigli</v>
      </c>
      <c r="D428" s="74">
        <v>0</v>
      </c>
      <c r="E428" s="1">
        <v>123</v>
      </c>
      <c r="F428" s="3">
        <v>1</v>
      </c>
      <c r="G428" s="1">
        <v>0</v>
      </c>
      <c r="H428" s="94">
        <v>0</v>
      </c>
      <c r="I428" s="178">
        <f t="shared" si="71"/>
        <v>123</v>
      </c>
      <c r="J428" s="96">
        <f t="shared" si="69"/>
        <v>0</v>
      </c>
      <c r="K428" s="59" t="str">
        <f>_xlfn.XLOOKUP(C428,'2025 Goal Data'!C:C,'2025 Goal Data'!F:F,"")</f>
        <v/>
      </c>
      <c r="L428" s="54">
        <f t="shared" si="72"/>
        <v>0</v>
      </c>
      <c r="M428" s="87">
        <f t="shared" si="73"/>
        <v>0</v>
      </c>
      <c r="N428" s="68" t="str">
        <f>_xlfn.XLOOKUP(C428,'2025 Goal Data'!C:C,'2025 Goal Data'!I:I,"")</f>
        <v/>
      </c>
      <c r="O428" s="117">
        <f t="shared" si="74"/>
        <v>0</v>
      </c>
      <c r="P428" s="91">
        <f t="shared" si="75"/>
        <v>0</v>
      </c>
      <c r="Q428" s="69" t="s">
        <v>475</v>
      </c>
      <c r="U428" s="58" t="s">
        <v>475</v>
      </c>
    </row>
    <row r="429" spans="1:21" x14ac:dyDescent="0.25">
      <c r="A429" s="98" t="s">
        <v>336</v>
      </c>
      <c r="B429" s="99"/>
      <c r="C429" s="42" t="str">
        <f t="shared" si="70"/>
        <v>Funky Buddha|</v>
      </c>
      <c r="D429" s="73">
        <v>6.9375</v>
      </c>
      <c r="E429" s="82">
        <v>0</v>
      </c>
      <c r="F429" s="83">
        <v>-1</v>
      </c>
      <c r="G429" s="82">
        <v>0</v>
      </c>
      <c r="H429" s="100">
        <v>6.9375</v>
      </c>
      <c r="I429" s="177">
        <f t="shared" si="71"/>
        <v>0</v>
      </c>
      <c r="J429" s="96">
        <f t="shared" si="69"/>
        <v>-1</v>
      </c>
      <c r="K429" s="101">
        <f>_xlfn.XLOOKUP(C429,'2025 Goal Data'!C:C,'2025 Goal Data'!F:F,"")</f>
        <v>0</v>
      </c>
      <c r="L429" s="112">
        <f t="shared" si="72"/>
        <v>0</v>
      </c>
      <c r="M429" s="102">
        <f t="shared" si="73"/>
        <v>-1</v>
      </c>
      <c r="N429" s="103">
        <f>_xlfn.XLOOKUP(C429,'2025 Goal Data'!C:C,'2025 Goal Data'!I:I,"")</f>
        <v>0</v>
      </c>
      <c r="O429" s="116">
        <f t="shared" si="74"/>
        <v>0</v>
      </c>
      <c r="P429" s="104">
        <f t="shared" si="75"/>
        <v>-1</v>
      </c>
      <c r="Q429" s="67">
        <f t="shared" ref="Q429:Q435" si="76">P429-M429</f>
        <v>0</v>
      </c>
      <c r="U429" s="57">
        <f>SUMIF(B:B,A429,K:K)</f>
        <v>0</v>
      </c>
    </row>
    <row r="430" spans="1:21" x14ac:dyDescent="0.25">
      <c r="A430" s="128" t="s">
        <v>336</v>
      </c>
      <c r="B430" s="2" t="s">
        <v>336</v>
      </c>
      <c r="C430" s="42" t="str">
        <f t="shared" si="70"/>
        <v>Funky Buddha|Funky Buddha</v>
      </c>
      <c r="D430" s="74">
        <v>6.9375</v>
      </c>
      <c r="E430" s="1">
        <v>0</v>
      </c>
      <c r="F430" s="3">
        <v>-1</v>
      </c>
      <c r="G430" s="1">
        <v>0</v>
      </c>
      <c r="H430" s="94">
        <v>6.9375</v>
      </c>
      <c r="I430" s="178">
        <f t="shared" si="71"/>
        <v>0</v>
      </c>
      <c r="J430" s="96">
        <f t="shared" si="69"/>
        <v>-1</v>
      </c>
      <c r="K430" s="59">
        <f>_xlfn.XLOOKUP(C430,'2025 Goal Data'!C:C,'2025 Goal Data'!F:F,"")</f>
        <v>0</v>
      </c>
      <c r="L430" s="54">
        <f t="shared" si="72"/>
        <v>0</v>
      </c>
      <c r="M430" s="87">
        <f t="shared" si="73"/>
        <v>-1</v>
      </c>
      <c r="N430" s="68">
        <f>_xlfn.XLOOKUP(C430,'2025 Goal Data'!C:C,'2025 Goal Data'!I:I,"")</f>
        <v>0</v>
      </c>
      <c r="O430" s="117">
        <f t="shared" si="74"/>
        <v>0</v>
      </c>
      <c r="P430" s="91">
        <f t="shared" si="75"/>
        <v>-1</v>
      </c>
      <c r="Q430" s="69">
        <f t="shared" si="76"/>
        <v>0</v>
      </c>
      <c r="U430" s="58">
        <f>(H430*K430)+H430</f>
        <v>6.9375</v>
      </c>
    </row>
    <row r="431" spans="1:21" x14ac:dyDescent="0.25">
      <c r="A431" s="98" t="s">
        <v>303</v>
      </c>
      <c r="B431" s="99"/>
      <c r="C431" s="42" t="str">
        <f t="shared" si="70"/>
        <v>Florida Caribbean Distillers LLC|</v>
      </c>
      <c r="D431" s="73">
        <v>0</v>
      </c>
      <c r="E431" s="82">
        <v>0</v>
      </c>
      <c r="F431" s="83">
        <v>1</v>
      </c>
      <c r="G431" s="82">
        <v>0</v>
      </c>
      <c r="H431" s="100">
        <v>0</v>
      </c>
      <c r="I431" s="177">
        <f t="shared" si="71"/>
        <v>0</v>
      </c>
      <c r="J431" s="96">
        <f t="shared" si="69"/>
        <v>0</v>
      </c>
      <c r="K431" s="101" t="e">
        <f>_xlfn.XLOOKUP(C431,'2025 Goal Data'!C:C,'2025 Goal Data'!F:F,"")</f>
        <v>#DIV/0!</v>
      </c>
      <c r="L431" s="112">
        <f t="shared" si="72"/>
        <v>0</v>
      </c>
      <c r="M431" s="102">
        <f t="shared" si="73"/>
        <v>0</v>
      </c>
      <c r="N431" s="103" t="e">
        <f>_xlfn.XLOOKUP(C431,'2025 Goal Data'!C:C,'2025 Goal Data'!I:I,"")</f>
        <v>#DIV/0!</v>
      </c>
      <c r="O431" s="116">
        <f t="shared" si="74"/>
        <v>0</v>
      </c>
      <c r="P431" s="104">
        <f t="shared" si="75"/>
        <v>0</v>
      </c>
      <c r="Q431" s="67">
        <f t="shared" si="76"/>
        <v>0</v>
      </c>
      <c r="U431" s="57">
        <f>SUMIF(B:B,A431,K:K)</f>
        <v>0</v>
      </c>
    </row>
    <row r="432" spans="1:21" x14ac:dyDescent="0.25">
      <c r="A432" s="128" t="s">
        <v>257</v>
      </c>
      <c r="B432" s="5" t="s">
        <v>303</v>
      </c>
      <c r="C432" s="42" t="str">
        <f t="shared" si="70"/>
        <v>Capriccio|Florida Caribbean Distillers LLC</v>
      </c>
      <c r="D432" s="74">
        <v>0</v>
      </c>
      <c r="E432" s="1">
        <v>0</v>
      </c>
      <c r="F432" s="3">
        <v>1</v>
      </c>
      <c r="G432" s="1">
        <v>0</v>
      </c>
      <c r="H432" s="94">
        <v>0</v>
      </c>
      <c r="I432" s="178">
        <f t="shared" si="71"/>
        <v>0</v>
      </c>
      <c r="J432" s="96">
        <f t="shared" si="69"/>
        <v>0</v>
      </c>
      <c r="K432" s="59">
        <f>_xlfn.XLOOKUP(C432,'2025 Goal Data'!C:C,'2025 Goal Data'!F:F,"")</f>
        <v>0</v>
      </c>
      <c r="L432" s="54">
        <f t="shared" si="72"/>
        <v>0</v>
      </c>
      <c r="M432" s="87">
        <f t="shared" si="73"/>
        <v>0</v>
      </c>
      <c r="N432" s="68">
        <f>_xlfn.XLOOKUP(C432,'2025 Goal Data'!C:C,'2025 Goal Data'!I:I,"")</f>
        <v>0</v>
      </c>
      <c r="O432" s="117">
        <f t="shared" si="74"/>
        <v>0</v>
      </c>
      <c r="P432" s="91">
        <f t="shared" si="75"/>
        <v>0</v>
      </c>
      <c r="Q432" s="69">
        <f t="shared" si="76"/>
        <v>0</v>
      </c>
      <c r="U432" s="58">
        <f>(H432*K432)+H432</f>
        <v>0</v>
      </c>
    </row>
    <row r="433" spans="1:21" x14ac:dyDescent="0.25">
      <c r="A433" s="98" t="s">
        <v>26</v>
      </c>
      <c r="B433" s="99"/>
      <c r="C433" s="42" t="str">
        <f t="shared" si="70"/>
        <v>Flagship Brewery|</v>
      </c>
      <c r="D433" s="73">
        <v>31.708334000000001</v>
      </c>
      <c r="E433" s="82">
        <v>0</v>
      </c>
      <c r="F433" s="83">
        <v>-1</v>
      </c>
      <c r="G433" s="82">
        <v>0</v>
      </c>
      <c r="H433" s="100">
        <v>31.708334000000001</v>
      </c>
      <c r="I433" s="177">
        <f t="shared" si="71"/>
        <v>0</v>
      </c>
      <c r="J433" s="96">
        <f t="shared" si="69"/>
        <v>-1</v>
      </c>
      <c r="K433" s="101">
        <f>_xlfn.XLOOKUP(C433,'2025 Goal Data'!C:C,'2025 Goal Data'!F:F,"")</f>
        <v>-1</v>
      </c>
      <c r="L433" s="112">
        <f t="shared" si="72"/>
        <v>-31.708334000000001</v>
      </c>
      <c r="M433" s="102">
        <f t="shared" si="73"/>
        <v>0</v>
      </c>
      <c r="N433" s="103">
        <f>_xlfn.XLOOKUP(C433,'2025 Goal Data'!C:C,'2025 Goal Data'!I:I,"")</f>
        <v>-1</v>
      </c>
      <c r="O433" s="116">
        <f t="shared" si="74"/>
        <v>-31.708334000000001</v>
      </c>
      <c r="P433" s="104">
        <f t="shared" si="75"/>
        <v>0</v>
      </c>
      <c r="Q433" s="67">
        <f t="shared" si="76"/>
        <v>0</v>
      </c>
      <c r="U433" s="57">
        <f>SUMIF(B:B,A433,K:K)</f>
        <v>-1</v>
      </c>
    </row>
    <row r="434" spans="1:21" x14ac:dyDescent="0.25">
      <c r="A434" s="128" t="s">
        <v>127</v>
      </c>
      <c r="B434" s="2" t="s">
        <v>26</v>
      </c>
      <c r="C434" s="42" t="str">
        <f t="shared" si="70"/>
        <v>Flagship|Flagship Brewery</v>
      </c>
      <c r="D434" s="74">
        <v>31.708334000000001</v>
      </c>
      <c r="E434" s="1">
        <v>0</v>
      </c>
      <c r="F434" s="3">
        <v>-1</v>
      </c>
      <c r="G434" s="1">
        <v>0</v>
      </c>
      <c r="H434" s="94">
        <v>31.708334000000001</v>
      </c>
      <c r="I434" s="178">
        <f t="shared" si="71"/>
        <v>0</v>
      </c>
      <c r="J434" s="96">
        <f t="shared" si="69"/>
        <v>-1</v>
      </c>
      <c r="K434" s="59">
        <f>_xlfn.XLOOKUP(C434,'2025 Goal Data'!C:C,'2025 Goal Data'!F:F,"")</f>
        <v>-1</v>
      </c>
      <c r="L434" s="54">
        <f t="shared" si="72"/>
        <v>-31.708334000000001</v>
      </c>
      <c r="M434" s="87">
        <f t="shared" si="73"/>
        <v>0</v>
      </c>
      <c r="N434" s="68">
        <f>_xlfn.XLOOKUP(C434,'2025 Goal Data'!C:C,'2025 Goal Data'!I:I,"")</f>
        <v>-1</v>
      </c>
      <c r="O434" s="117">
        <f t="shared" si="74"/>
        <v>-31.708334000000001</v>
      </c>
      <c r="P434" s="91">
        <f t="shared" si="75"/>
        <v>0</v>
      </c>
      <c r="Q434" s="69">
        <f t="shared" si="76"/>
        <v>0</v>
      </c>
      <c r="U434" s="58">
        <f>(H434*K434)+H434</f>
        <v>0</v>
      </c>
    </row>
    <row r="435" spans="1:21" x14ac:dyDescent="0.25">
      <c r="A435" s="98" t="s">
        <v>103</v>
      </c>
      <c r="B435" s="99"/>
      <c r="C435" s="42" t="str">
        <f t="shared" si="70"/>
        <v>Dreamz Invenstments LLC|</v>
      </c>
      <c r="D435" s="73">
        <v>0</v>
      </c>
      <c r="E435" s="82">
        <v>4</v>
      </c>
      <c r="F435" s="83">
        <v>1</v>
      </c>
      <c r="G435" s="82">
        <v>0</v>
      </c>
      <c r="H435" s="100">
        <v>0</v>
      </c>
      <c r="I435" s="177">
        <f t="shared" si="71"/>
        <v>4</v>
      </c>
      <c r="J435" s="96">
        <f t="shared" si="69"/>
        <v>0</v>
      </c>
      <c r="K435" s="101" t="str">
        <f>_xlfn.XLOOKUP(C435,'2025 Goal Data'!C:C,'2025 Goal Data'!F:F,"")</f>
        <v/>
      </c>
      <c r="L435" s="112">
        <f t="shared" si="72"/>
        <v>0</v>
      </c>
      <c r="M435" s="102">
        <f t="shared" si="73"/>
        <v>0</v>
      </c>
      <c r="N435" s="103" t="str">
        <f>_xlfn.XLOOKUP(C435,'2025 Goal Data'!C:C,'2025 Goal Data'!I:I,"")</f>
        <v/>
      </c>
      <c r="O435" s="116">
        <f t="shared" si="74"/>
        <v>0</v>
      </c>
      <c r="P435" s="104">
        <f t="shared" si="75"/>
        <v>0</v>
      </c>
      <c r="Q435" s="67">
        <f t="shared" si="76"/>
        <v>0</v>
      </c>
      <c r="U435" s="57">
        <f>SUMIF(B:B,A435,K:K)</f>
        <v>0</v>
      </c>
    </row>
    <row r="436" spans="1:21" x14ac:dyDescent="0.25">
      <c r="A436" s="2" t="s">
        <v>304</v>
      </c>
      <c r="B436" s="5" t="s">
        <v>103</v>
      </c>
      <c r="C436" s="42" t="str">
        <f t="shared" si="70"/>
        <v>Brio|Dreamz Invenstments LLC</v>
      </c>
      <c r="D436" s="74">
        <v>0</v>
      </c>
      <c r="E436" s="1">
        <v>4</v>
      </c>
      <c r="F436" s="3">
        <v>1</v>
      </c>
      <c r="G436" s="1">
        <v>0</v>
      </c>
      <c r="H436" s="94">
        <v>0</v>
      </c>
      <c r="I436" s="178">
        <f t="shared" si="71"/>
        <v>4</v>
      </c>
      <c r="J436" s="96">
        <f t="shared" si="69"/>
        <v>0</v>
      </c>
      <c r="K436" s="59" t="str">
        <f>_xlfn.XLOOKUP(C436,'2025 Goal Data'!C:C,'2025 Goal Data'!F:F,"")</f>
        <v/>
      </c>
      <c r="L436" s="54">
        <f t="shared" si="72"/>
        <v>0</v>
      </c>
      <c r="M436" s="87">
        <f t="shared" si="73"/>
        <v>0</v>
      </c>
      <c r="N436" s="68" t="str">
        <f>_xlfn.XLOOKUP(C436,'2025 Goal Data'!C:C,'2025 Goal Data'!I:I,"")</f>
        <v/>
      </c>
      <c r="O436" s="117">
        <f t="shared" si="74"/>
        <v>0</v>
      </c>
      <c r="P436" s="91">
        <f t="shared" si="75"/>
        <v>0</v>
      </c>
      <c r="Q436" s="69" t="s">
        <v>475</v>
      </c>
      <c r="U436" s="58" t="s">
        <v>475</v>
      </c>
    </row>
    <row r="437" spans="1:21" x14ac:dyDescent="0.25">
      <c r="A437" s="98" t="s">
        <v>180</v>
      </c>
      <c r="B437" s="99"/>
      <c r="C437" s="42" t="str">
        <f t="shared" si="70"/>
        <v>Delta Beverage LLC|</v>
      </c>
      <c r="D437" s="73">
        <v>0</v>
      </c>
      <c r="E437" s="82">
        <v>2691</v>
      </c>
      <c r="F437" s="83">
        <v>1</v>
      </c>
      <c r="G437" s="82">
        <v>0</v>
      </c>
      <c r="H437" s="100">
        <v>0</v>
      </c>
      <c r="I437" s="177">
        <f t="shared" si="71"/>
        <v>2691</v>
      </c>
      <c r="J437" s="96">
        <f t="shared" si="69"/>
        <v>0</v>
      </c>
      <c r="K437" s="101" t="str">
        <f>_xlfn.XLOOKUP(C437,'2025 Goal Data'!C:C,'2025 Goal Data'!F:F,"")</f>
        <v/>
      </c>
      <c r="L437" s="112">
        <f t="shared" si="72"/>
        <v>0</v>
      </c>
      <c r="M437" s="102">
        <f t="shared" si="73"/>
        <v>0</v>
      </c>
      <c r="N437" s="103" t="str">
        <f>_xlfn.XLOOKUP(C437,'2025 Goal Data'!C:C,'2025 Goal Data'!I:I,"")</f>
        <v/>
      </c>
      <c r="O437" s="116">
        <f t="shared" si="74"/>
        <v>0</v>
      </c>
      <c r="P437" s="104">
        <f t="shared" si="75"/>
        <v>0</v>
      </c>
      <c r="Q437" s="67">
        <f>P437-M437</f>
        <v>0</v>
      </c>
      <c r="U437" s="57">
        <f>SUMIF(B:B,A437,K:K)</f>
        <v>0</v>
      </c>
    </row>
    <row r="438" spans="1:21" x14ac:dyDescent="0.25">
      <c r="A438" s="2" t="s">
        <v>365</v>
      </c>
      <c r="B438" s="5" t="s">
        <v>180</v>
      </c>
      <c r="C438" s="42" t="str">
        <f t="shared" si="70"/>
        <v>DELTA|Delta Beverage LLC</v>
      </c>
      <c r="D438" s="74">
        <v>0</v>
      </c>
      <c r="E438" s="1">
        <v>2691</v>
      </c>
      <c r="F438" s="3">
        <v>1</v>
      </c>
      <c r="G438" s="1">
        <v>0</v>
      </c>
      <c r="H438" s="94">
        <v>0</v>
      </c>
      <c r="I438" s="178">
        <f t="shared" si="71"/>
        <v>2691</v>
      </c>
      <c r="J438" s="96">
        <f t="shared" si="69"/>
        <v>0</v>
      </c>
      <c r="K438" s="59" t="str">
        <f>_xlfn.XLOOKUP(C438,'2025 Goal Data'!C:C,'2025 Goal Data'!F:F,"")</f>
        <v/>
      </c>
      <c r="L438" s="54">
        <f t="shared" si="72"/>
        <v>0</v>
      </c>
      <c r="M438" s="87">
        <f t="shared" si="73"/>
        <v>0</v>
      </c>
      <c r="N438" s="68" t="str">
        <f>_xlfn.XLOOKUP(C438,'2025 Goal Data'!C:C,'2025 Goal Data'!I:I,"")</f>
        <v/>
      </c>
      <c r="O438" s="117">
        <f t="shared" si="74"/>
        <v>0</v>
      </c>
      <c r="P438" s="91">
        <f t="shared" si="75"/>
        <v>0</v>
      </c>
      <c r="Q438" s="69" t="s">
        <v>475</v>
      </c>
      <c r="U438" s="58" t="s">
        <v>475</v>
      </c>
    </row>
    <row r="439" spans="1:21" x14ac:dyDescent="0.25">
      <c r="A439" s="98" t="s">
        <v>366</v>
      </c>
      <c r="B439" s="99"/>
      <c r="C439" s="42" t="str">
        <f t="shared" si="70"/>
        <v>Dad Grass|</v>
      </c>
      <c r="D439" s="73">
        <v>0</v>
      </c>
      <c r="E439" s="82">
        <v>121</v>
      </c>
      <c r="F439" s="83">
        <v>1</v>
      </c>
      <c r="G439" s="82">
        <v>0</v>
      </c>
      <c r="H439" s="100">
        <v>0</v>
      </c>
      <c r="I439" s="177">
        <f t="shared" si="71"/>
        <v>121</v>
      </c>
      <c r="J439" s="96">
        <f t="shared" si="69"/>
        <v>0</v>
      </c>
      <c r="K439" s="101" t="str">
        <f>_xlfn.XLOOKUP(C439,'2025 Goal Data'!C:C,'2025 Goal Data'!F:F,"")</f>
        <v/>
      </c>
      <c r="L439" s="112">
        <f t="shared" si="72"/>
        <v>0</v>
      </c>
      <c r="M439" s="102">
        <f t="shared" si="73"/>
        <v>0</v>
      </c>
      <c r="N439" s="103" t="str">
        <f>_xlfn.XLOOKUP(C439,'2025 Goal Data'!C:C,'2025 Goal Data'!I:I,"")</f>
        <v/>
      </c>
      <c r="O439" s="116">
        <f t="shared" si="74"/>
        <v>0</v>
      </c>
      <c r="P439" s="104">
        <f t="shared" si="75"/>
        <v>0</v>
      </c>
      <c r="Q439" s="67">
        <f>P439-M439</f>
        <v>0</v>
      </c>
      <c r="U439" s="57">
        <f>SUMIF(B:B,A439,K:K)</f>
        <v>0</v>
      </c>
    </row>
    <row r="440" spans="1:21" x14ac:dyDescent="0.25">
      <c r="A440" s="2" t="s">
        <v>366</v>
      </c>
      <c r="B440" s="5" t="s">
        <v>366</v>
      </c>
      <c r="C440" s="42" t="str">
        <f t="shared" si="70"/>
        <v>Dad Grass|Dad Grass</v>
      </c>
      <c r="D440" s="74">
        <v>0</v>
      </c>
      <c r="E440" s="1">
        <v>121</v>
      </c>
      <c r="F440" s="3">
        <v>1</v>
      </c>
      <c r="G440" s="1">
        <v>0</v>
      </c>
      <c r="H440" s="94">
        <v>0</v>
      </c>
      <c r="I440" s="178">
        <f t="shared" si="71"/>
        <v>121</v>
      </c>
      <c r="J440" s="96">
        <f t="shared" si="69"/>
        <v>0</v>
      </c>
      <c r="K440" s="59" t="str">
        <f>_xlfn.XLOOKUP(C440,'2025 Goal Data'!C:C,'2025 Goal Data'!F:F,"")</f>
        <v/>
      </c>
      <c r="L440" s="54">
        <f t="shared" si="72"/>
        <v>0</v>
      </c>
      <c r="M440" s="87">
        <f t="shared" si="73"/>
        <v>0</v>
      </c>
      <c r="N440" s="68" t="str">
        <f>_xlfn.XLOOKUP(C440,'2025 Goal Data'!C:C,'2025 Goal Data'!I:I,"")</f>
        <v/>
      </c>
      <c r="O440" s="117">
        <f t="shared" si="74"/>
        <v>0</v>
      </c>
      <c r="P440" s="91">
        <f t="shared" si="75"/>
        <v>0</v>
      </c>
      <c r="Q440" s="69" t="s">
        <v>475</v>
      </c>
      <c r="U440" s="58" t="s">
        <v>475</v>
      </c>
    </row>
    <row r="441" spans="1:21" x14ac:dyDescent="0.25">
      <c r="A441" s="98" t="s">
        <v>419</v>
      </c>
      <c r="B441" s="99"/>
      <c r="C441" s="42" t="str">
        <f t="shared" si="70"/>
        <v>Crescent Canna|</v>
      </c>
      <c r="D441" s="73">
        <v>0</v>
      </c>
      <c r="E441" s="82">
        <v>653</v>
      </c>
      <c r="F441" s="83">
        <v>1</v>
      </c>
      <c r="G441" s="82">
        <v>0</v>
      </c>
      <c r="H441" s="100">
        <v>0</v>
      </c>
      <c r="I441" s="177">
        <f t="shared" si="71"/>
        <v>653</v>
      </c>
      <c r="J441" s="96">
        <f t="shared" si="69"/>
        <v>0</v>
      </c>
      <c r="K441" s="101" t="str">
        <f>_xlfn.XLOOKUP(C441,'2025 Goal Data'!C:C,'2025 Goal Data'!F:F,"")</f>
        <v/>
      </c>
      <c r="L441" s="112">
        <f t="shared" si="72"/>
        <v>0</v>
      </c>
      <c r="M441" s="102">
        <f t="shared" si="73"/>
        <v>0</v>
      </c>
      <c r="N441" s="103" t="str">
        <f>_xlfn.XLOOKUP(C441,'2025 Goal Data'!C:C,'2025 Goal Data'!I:I,"")</f>
        <v/>
      </c>
      <c r="O441" s="116">
        <f t="shared" si="74"/>
        <v>0</v>
      </c>
      <c r="P441" s="104">
        <f t="shared" si="75"/>
        <v>0</v>
      </c>
      <c r="Q441" s="67">
        <f>P441-M441</f>
        <v>0</v>
      </c>
      <c r="U441" s="57">
        <f>SUMIF(B:B,A441,K:K)</f>
        <v>0</v>
      </c>
    </row>
    <row r="442" spans="1:21" x14ac:dyDescent="0.25">
      <c r="A442" s="2" t="s">
        <v>367</v>
      </c>
      <c r="B442" s="5" t="s">
        <v>419</v>
      </c>
      <c r="C442" s="42" t="str">
        <f t="shared" si="70"/>
        <v>Crescent 9|Crescent Canna</v>
      </c>
      <c r="D442" s="74">
        <v>0</v>
      </c>
      <c r="E442" s="1">
        <v>653</v>
      </c>
      <c r="F442" s="3">
        <v>1</v>
      </c>
      <c r="G442" s="1">
        <v>0</v>
      </c>
      <c r="H442" s="94">
        <v>0</v>
      </c>
      <c r="I442" s="178">
        <f t="shared" si="71"/>
        <v>653</v>
      </c>
      <c r="J442" s="96">
        <f t="shared" si="69"/>
        <v>0</v>
      </c>
      <c r="K442" s="59" t="str">
        <f>_xlfn.XLOOKUP(C442,'2025 Goal Data'!C:C,'2025 Goal Data'!F:F,"")</f>
        <v/>
      </c>
      <c r="L442" s="54">
        <f t="shared" si="72"/>
        <v>0</v>
      </c>
      <c r="M442" s="87">
        <f t="shared" si="73"/>
        <v>0</v>
      </c>
      <c r="N442" s="68" t="str">
        <f>_xlfn.XLOOKUP(C442,'2025 Goal Data'!C:C,'2025 Goal Data'!I:I,"")</f>
        <v/>
      </c>
      <c r="O442" s="117">
        <f t="shared" si="74"/>
        <v>0</v>
      </c>
      <c r="P442" s="91">
        <f t="shared" si="75"/>
        <v>0</v>
      </c>
      <c r="Q442" s="69" t="s">
        <v>475</v>
      </c>
      <c r="U442" s="58" t="s">
        <v>475</v>
      </c>
    </row>
    <row r="443" spans="1:21" x14ac:dyDescent="0.25">
      <c r="A443" s="98" t="s">
        <v>305</v>
      </c>
      <c r="B443" s="99"/>
      <c r="C443" s="42" t="str">
        <f t="shared" si="70"/>
        <v>Cavalier Ventures, LLC|</v>
      </c>
      <c r="D443" s="73">
        <v>0</v>
      </c>
      <c r="E443" s="82">
        <v>529</v>
      </c>
      <c r="F443" s="83">
        <v>1</v>
      </c>
      <c r="G443" s="82">
        <v>0</v>
      </c>
      <c r="H443" s="100">
        <v>0</v>
      </c>
      <c r="I443" s="177">
        <f t="shared" si="71"/>
        <v>529</v>
      </c>
      <c r="J443" s="96">
        <f t="shared" si="69"/>
        <v>0</v>
      </c>
      <c r="K443" s="101" t="str">
        <f>_xlfn.XLOOKUP(C443,'2025 Goal Data'!C:C,'2025 Goal Data'!F:F,"")</f>
        <v/>
      </c>
      <c r="L443" s="112">
        <f t="shared" si="72"/>
        <v>0</v>
      </c>
      <c r="M443" s="102">
        <f t="shared" si="73"/>
        <v>0</v>
      </c>
      <c r="N443" s="103" t="str">
        <f>_xlfn.XLOOKUP(C443,'2025 Goal Data'!C:C,'2025 Goal Data'!I:I,"")</f>
        <v/>
      </c>
      <c r="O443" s="116">
        <f t="shared" si="74"/>
        <v>0</v>
      </c>
      <c r="P443" s="104">
        <f t="shared" si="75"/>
        <v>0</v>
      </c>
      <c r="Q443" s="67">
        <f>P443-M443</f>
        <v>0</v>
      </c>
      <c r="U443" s="57">
        <f>SUMIF(B:B,A443,K:K)</f>
        <v>0</v>
      </c>
    </row>
    <row r="444" spans="1:21" x14ac:dyDescent="0.25">
      <c r="A444" s="2" t="s">
        <v>155</v>
      </c>
      <c r="B444" s="5" t="s">
        <v>305</v>
      </c>
      <c r="C444" s="42" t="str">
        <f t="shared" si="70"/>
        <v>Coastal Cocktails|Cavalier Ventures, LLC</v>
      </c>
      <c r="D444" s="74">
        <v>0</v>
      </c>
      <c r="E444" s="1">
        <v>529</v>
      </c>
      <c r="F444" s="3">
        <v>1</v>
      </c>
      <c r="G444" s="1">
        <v>0</v>
      </c>
      <c r="H444" s="94">
        <v>0</v>
      </c>
      <c r="I444" s="178">
        <f t="shared" si="71"/>
        <v>529</v>
      </c>
      <c r="J444" s="96">
        <f t="shared" si="69"/>
        <v>0</v>
      </c>
      <c r="K444" s="59" t="str">
        <f>_xlfn.XLOOKUP(C444,'2025 Goal Data'!C:C,'2025 Goal Data'!F:F,"")</f>
        <v/>
      </c>
      <c r="L444" s="54">
        <f t="shared" si="72"/>
        <v>0</v>
      </c>
      <c r="M444" s="87">
        <f t="shared" si="73"/>
        <v>0</v>
      </c>
      <c r="N444" s="68" t="str">
        <f>_xlfn.XLOOKUP(C444,'2025 Goal Data'!C:C,'2025 Goal Data'!I:I,"")</f>
        <v/>
      </c>
      <c r="O444" s="117">
        <f t="shared" si="74"/>
        <v>0</v>
      </c>
      <c r="P444" s="91">
        <f t="shared" si="75"/>
        <v>0</v>
      </c>
      <c r="Q444" s="69" t="s">
        <v>475</v>
      </c>
      <c r="U444" s="58" t="s">
        <v>475</v>
      </c>
    </row>
    <row r="445" spans="1:21" x14ac:dyDescent="0.25">
      <c r="A445" s="98" t="s">
        <v>387</v>
      </c>
      <c r="B445" s="99"/>
      <c r="C445" s="42" t="str">
        <f t="shared" si="70"/>
        <v>Blaze Life LLC|</v>
      </c>
      <c r="D445" s="73">
        <v>0</v>
      </c>
      <c r="E445" s="82">
        <v>34.333329999999997</v>
      </c>
      <c r="F445" s="83">
        <v>1</v>
      </c>
      <c r="G445" s="82">
        <v>0</v>
      </c>
      <c r="H445" s="100">
        <v>0</v>
      </c>
      <c r="I445" s="177">
        <f t="shared" si="71"/>
        <v>34.333329999999997</v>
      </c>
      <c r="J445" s="96">
        <f t="shared" si="69"/>
        <v>0</v>
      </c>
      <c r="K445" s="101" t="str">
        <f>_xlfn.XLOOKUP(C445,'2025 Goal Data'!C:C,'2025 Goal Data'!F:F,"")</f>
        <v/>
      </c>
      <c r="L445" s="112">
        <f t="shared" si="72"/>
        <v>0</v>
      </c>
      <c r="M445" s="102">
        <f t="shared" si="73"/>
        <v>0</v>
      </c>
      <c r="N445" s="103" t="str">
        <f>_xlfn.XLOOKUP(C445,'2025 Goal Data'!C:C,'2025 Goal Data'!I:I,"")</f>
        <v/>
      </c>
      <c r="O445" s="116">
        <f t="shared" si="74"/>
        <v>0</v>
      </c>
      <c r="P445" s="104">
        <f t="shared" si="75"/>
        <v>0</v>
      </c>
      <c r="Q445" s="67">
        <f>P445-M445</f>
        <v>0</v>
      </c>
      <c r="U445" s="57">
        <f>SUMIF(B:B,A445,K:K)</f>
        <v>0</v>
      </c>
    </row>
    <row r="446" spans="1:21" x14ac:dyDescent="0.25">
      <c r="A446" s="2" t="s">
        <v>181</v>
      </c>
      <c r="B446" s="5" t="s">
        <v>387</v>
      </c>
      <c r="C446" s="42" t="str">
        <f t="shared" si="70"/>
        <v>Mota'Lada|Blaze Life LLC</v>
      </c>
      <c r="D446" s="74">
        <v>0</v>
      </c>
      <c r="E446" s="1">
        <v>13.33333</v>
      </c>
      <c r="F446" s="3">
        <v>1</v>
      </c>
      <c r="G446" s="1">
        <v>0</v>
      </c>
      <c r="H446" s="94">
        <v>0</v>
      </c>
      <c r="I446" s="178">
        <f t="shared" si="71"/>
        <v>13.33333</v>
      </c>
      <c r="J446" s="96">
        <f t="shared" si="69"/>
        <v>0</v>
      </c>
      <c r="K446" s="59" t="str">
        <f>_xlfn.XLOOKUP(C446,'2025 Goal Data'!C:C,'2025 Goal Data'!F:F,"")</f>
        <v/>
      </c>
      <c r="L446" s="54">
        <f t="shared" si="72"/>
        <v>0</v>
      </c>
      <c r="M446" s="87">
        <f t="shared" si="73"/>
        <v>0</v>
      </c>
      <c r="N446" s="68" t="str">
        <f>_xlfn.XLOOKUP(C446,'2025 Goal Data'!C:C,'2025 Goal Data'!I:I,"")</f>
        <v/>
      </c>
      <c r="O446" s="117">
        <f t="shared" si="74"/>
        <v>0</v>
      </c>
      <c r="P446" s="91">
        <f t="shared" si="75"/>
        <v>0</v>
      </c>
      <c r="Q446" s="69" t="s">
        <v>475</v>
      </c>
      <c r="U446" s="58" t="s">
        <v>475</v>
      </c>
    </row>
    <row r="447" spans="1:21" x14ac:dyDescent="0.25">
      <c r="A447" s="2" t="s">
        <v>337</v>
      </c>
      <c r="B447" s="5" t="s">
        <v>387</v>
      </c>
      <c r="C447" s="42" t="str">
        <f t="shared" si="70"/>
        <v>Bodega Chiller|Blaze Life LLC</v>
      </c>
      <c r="D447" s="74">
        <v>0</v>
      </c>
      <c r="E447" s="1">
        <v>21</v>
      </c>
      <c r="F447" s="3">
        <v>1</v>
      </c>
      <c r="G447" s="1">
        <v>0</v>
      </c>
      <c r="H447" s="94">
        <v>0</v>
      </c>
      <c r="I447" s="178">
        <f t="shared" si="71"/>
        <v>21</v>
      </c>
      <c r="J447" s="96">
        <f t="shared" si="69"/>
        <v>0</v>
      </c>
      <c r="K447" s="59" t="str">
        <f>_xlfn.XLOOKUP(C447,'2025 Goal Data'!C:C,'2025 Goal Data'!F:F,"")</f>
        <v/>
      </c>
      <c r="L447" s="54">
        <f t="shared" si="72"/>
        <v>0</v>
      </c>
      <c r="M447" s="87">
        <f t="shared" si="73"/>
        <v>0</v>
      </c>
      <c r="N447" s="68" t="str">
        <f>_xlfn.XLOOKUP(C447,'2025 Goal Data'!C:C,'2025 Goal Data'!I:I,"")</f>
        <v/>
      </c>
      <c r="O447" s="117">
        <f t="shared" si="74"/>
        <v>0</v>
      </c>
      <c r="P447" s="91">
        <f t="shared" si="75"/>
        <v>0</v>
      </c>
      <c r="Q447" s="69" t="s">
        <v>475</v>
      </c>
      <c r="U447" s="58" t="s">
        <v>475</v>
      </c>
    </row>
    <row r="448" spans="1:21" x14ac:dyDescent="0.25">
      <c r="A448" s="98" t="s">
        <v>306</v>
      </c>
      <c r="B448" s="99"/>
      <c r="C448" s="42" t="str">
        <f t="shared" si="70"/>
        <v>Bella Ray Beverage|</v>
      </c>
      <c r="D448" s="73">
        <v>0</v>
      </c>
      <c r="E448" s="82">
        <v>116</v>
      </c>
      <c r="F448" s="83">
        <v>1</v>
      </c>
      <c r="G448" s="82">
        <v>0</v>
      </c>
      <c r="H448" s="100">
        <v>0</v>
      </c>
      <c r="I448" s="177">
        <f t="shared" si="71"/>
        <v>116</v>
      </c>
      <c r="J448" s="96">
        <f t="shared" si="69"/>
        <v>0</v>
      </c>
      <c r="K448" s="101" t="str">
        <f>_xlfn.XLOOKUP(C448,'2025 Goal Data'!C:C,'2025 Goal Data'!F:F,"")</f>
        <v/>
      </c>
      <c r="L448" s="112">
        <f t="shared" si="72"/>
        <v>0</v>
      </c>
      <c r="M448" s="102">
        <f t="shared" si="73"/>
        <v>0</v>
      </c>
      <c r="N448" s="103" t="str">
        <f>_xlfn.XLOOKUP(C448,'2025 Goal Data'!C:C,'2025 Goal Data'!I:I,"")</f>
        <v/>
      </c>
      <c r="O448" s="116">
        <f t="shared" si="74"/>
        <v>0</v>
      </c>
      <c r="P448" s="104">
        <f t="shared" si="75"/>
        <v>0</v>
      </c>
      <c r="Q448" s="67">
        <f>P448-M448</f>
        <v>0</v>
      </c>
      <c r="U448" s="57">
        <f>SUMIF(B:B,A448,K:K)</f>
        <v>0</v>
      </c>
    </row>
    <row r="449" spans="1:21" x14ac:dyDescent="0.25">
      <c r="A449" s="2" t="s">
        <v>307</v>
      </c>
      <c r="B449" s="5" t="s">
        <v>306</v>
      </c>
      <c r="C449" s="42" t="str">
        <f t="shared" si="70"/>
        <v>Bella Ray|Bella Ray Beverage</v>
      </c>
      <c r="D449" s="74">
        <v>0</v>
      </c>
      <c r="E449" s="1">
        <v>116</v>
      </c>
      <c r="F449" s="3">
        <v>1</v>
      </c>
      <c r="G449" s="1">
        <v>0</v>
      </c>
      <c r="H449" s="94">
        <v>0</v>
      </c>
      <c r="I449" s="178">
        <f t="shared" si="71"/>
        <v>116</v>
      </c>
      <c r="J449" s="96">
        <f t="shared" si="69"/>
        <v>0</v>
      </c>
      <c r="K449" s="59" t="str">
        <f>_xlfn.XLOOKUP(C449,'2025 Goal Data'!C:C,'2025 Goal Data'!F:F,"")</f>
        <v/>
      </c>
      <c r="L449" s="54">
        <f t="shared" si="72"/>
        <v>0</v>
      </c>
      <c r="M449" s="87">
        <f t="shared" si="73"/>
        <v>0</v>
      </c>
      <c r="N449" s="68" t="str">
        <f>_xlfn.XLOOKUP(C449,'2025 Goal Data'!C:C,'2025 Goal Data'!I:I,"")</f>
        <v/>
      </c>
      <c r="O449" s="117">
        <f t="shared" si="74"/>
        <v>0</v>
      </c>
      <c r="P449" s="91">
        <f t="shared" si="75"/>
        <v>0</v>
      </c>
      <c r="Q449" s="69" t="s">
        <v>475</v>
      </c>
      <c r="U449" s="58" t="s">
        <v>475</v>
      </c>
    </row>
    <row r="450" spans="1:21" x14ac:dyDescent="0.25">
      <c r="A450" s="98" t="s">
        <v>368</v>
      </c>
      <c r="B450" s="99"/>
      <c r="C450" s="42" t="str">
        <f t="shared" si="70"/>
        <v>Bardstown Bourbon Co|</v>
      </c>
      <c r="D450" s="73">
        <v>0</v>
      </c>
      <c r="E450" s="82">
        <v>864.606492</v>
      </c>
      <c r="F450" s="83">
        <v>1</v>
      </c>
      <c r="G450" s="82">
        <v>0</v>
      </c>
      <c r="H450" s="100">
        <v>0</v>
      </c>
      <c r="I450" s="177">
        <f t="shared" si="71"/>
        <v>864.606492</v>
      </c>
      <c r="J450" s="96">
        <f t="shared" si="69"/>
        <v>0</v>
      </c>
      <c r="K450" s="101" t="str">
        <f>_xlfn.XLOOKUP(C450,'2025 Goal Data'!C:C,'2025 Goal Data'!F:F,"")</f>
        <v/>
      </c>
      <c r="L450" s="112">
        <f t="shared" si="72"/>
        <v>0</v>
      </c>
      <c r="M450" s="102">
        <f t="shared" si="73"/>
        <v>0</v>
      </c>
      <c r="N450" s="103" t="str">
        <f>_xlfn.XLOOKUP(C450,'2025 Goal Data'!C:C,'2025 Goal Data'!I:I,"")</f>
        <v/>
      </c>
      <c r="O450" s="116">
        <f t="shared" si="74"/>
        <v>0</v>
      </c>
      <c r="P450" s="104">
        <f t="shared" si="75"/>
        <v>0</v>
      </c>
      <c r="Q450" s="67">
        <f>P450-M450</f>
        <v>0</v>
      </c>
      <c r="U450" s="57">
        <f>SUMIF(B:B,A450,K:K)</f>
        <v>0</v>
      </c>
    </row>
    <row r="451" spans="1:21" x14ac:dyDescent="0.25">
      <c r="A451" s="2" t="s">
        <v>369</v>
      </c>
      <c r="B451" s="5" t="s">
        <v>368</v>
      </c>
      <c r="C451" s="42" t="str">
        <f t="shared" si="70"/>
        <v>Bardstown Green River|Bardstown Bourbon Co</v>
      </c>
      <c r="D451" s="74">
        <v>0</v>
      </c>
      <c r="E451" s="1">
        <v>263.07912399999998</v>
      </c>
      <c r="F451" s="3">
        <v>1</v>
      </c>
      <c r="G451" s="1">
        <v>0</v>
      </c>
      <c r="H451" s="94">
        <v>0</v>
      </c>
      <c r="I451" s="178">
        <f t="shared" si="71"/>
        <v>263.07912399999998</v>
      </c>
      <c r="J451" s="96">
        <f t="shared" ref="J451:J462" si="77">IFERROR((I451/H451)-1,0)</f>
        <v>0</v>
      </c>
      <c r="K451" s="59" t="str">
        <f>_xlfn.XLOOKUP(C451,'2025 Goal Data'!C:C,'2025 Goal Data'!F:F,"")</f>
        <v/>
      </c>
      <c r="L451" s="54">
        <f t="shared" si="72"/>
        <v>0</v>
      </c>
      <c r="M451" s="87">
        <f t="shared" si="73"/>
        <v>0</v>
      </c>
      <c r="N451" s="68" t="str">
        <f>_xlfn.XLOOKUP(C451,'2025 Goal Data'!C:C,'2025 Goal Data'!I:I,"")</f>
        <v/>
      </c>
      <c r="O451" s="117">
        <f t="shared" si="74"/>
        <v>0</v>
      </c>
      <c r="P451" s="91">
        <f t="shared" si="75"/>
        <v>0</v>
      </c>
      <c r="Q451" s="69" t="s">
        <v>475</v>
      </c>
      <c r="U451" s="58" t="s">
        <v>475</v>
      </c>
    </row>
    <row r="452" spans="1:21" x14ac:dyDescent="0.25">
      <c r="A452" s="2" t="s">
        <v>128</v>
      </c>
      <c r="B452" s="5" t="s">
        <v>368</v>
      </c>
      <c r="C452" s="42" t="str">
        <f t="shared" ref="C452:C462" si="78">A452&amp;"|"&amp;B452</f>
        <v>Bardstown Bourbon|Bardstown Bourbon Co</v>
      </c>
      <c r="D452" s="74">
        <v>0</v>
      </c>
      <c r="E452" s="1">
        <v>601.52736800000002</v>
      </c>
      <c r="F452" s="3">
        <v>1</v>
      </c>
      <c r="G452" s="1">
        <v>0</v>
      </c>
      <c r="H452" s="94">
        <v>0</v>
      </c>
      <c r="I452" s="178">
        <f t="shared" ref="I452:I462" si="79">((G452*F452)+G452)+E452</f>
        <v>601.52736800000002</v>
      </c>
      <c r="J452" s="96">
        <f t="shared" si="77"/>
        <v>0</v>
      </c>
      <c r="K452" s="59" t="str">
        <f>_xlfn.XLOOKUP(C452,'2025 Goal Data'!C:C,'2025 Goal Data'!F:F,"")</f>
        <v/>
      </c>
      <c r="L452" s="54">
        <f t="shared" si="72"/>
        <v>0</v>
      </c>
      <c r="M452" s="87">
        <f t="shared" si="73"/>
        <v>0</v>
      </c>
      <c r="N452" s="68" t="str">
        <f>_xlfn.XLOOKUP(C452,'2025 Goal Data'!C:C,'2025 Goal Data'!I:I,"")</f>
        <v/>
      </c>
      <c r="O452" s="117">
        <f t="shared" si="74"/>
        <v>0</v>
      </c>
      <c r="P452" s="91">
        <f t="shared" si="75"/>
        <v>0</v>
      </c>
      <c r="Q452" s="69" t="s">
        <v>475</v>
      </c>
      <c r="U452" s="58" t="s">
        <v>475</v>
      </c>
    </row>
    <row r="453" spans="1:21" x14ac:dyDescent="0.25">
      <c r="A453" s="98" t="s">
        <v>27</v>
      </c>
      <c r="B453" s="99"/>
      <c r="C453" s="42" t="str">
        <f t="shared" si="78"/>
        <v>Ballast Point|</v>
      </c>
      <c r="D453" s="73">
        <v>188</v>
      </c>
      <c r="E453" s="82">
        <v>0</v>
      </c>
      <c r="F453" s="83">
        <v>-1</v>
      </c>
      <c r="G453" s="82">
        <v>0</v>
      </c>
      <c r="H453" s="100">
        <v>188</v>
      </c>
      <c r="I453" s="177">
        <f t="shared" si="79"/>
        <v>0</v>
      </c>
      <c r="J453" s="96">
        <f t="shared" si="77"/>
        <v>-1</v>
      </c>
      <c r="K453" s="101">
        <f>_xlfn.XLOOKUP(C453,'2025 Goal Data'!C:C,'2025 Goal Data'!F:F,"")</f>
        <v>-1</v>
      </c>
      <c r="L453" s="112">
        <f t="shared" ref="L453:L462" si="80">IFERROR(K453*H453,0)</f>
        <v>-188</v>
      </c>
      <c r="M453" s="102">
        <f t="shared" ref="M453:M462" si="81">IFERROR(J453-K453,0)</f>
        <v>0</v>
      </c>
      <c r="N453" s="103">
        <f>_xlfn.XLOOKUP(C453,'2025 Goal Data'!C:C,'2025 Goal Data'!I:I,"")</f>
        <v>-1</v>
      </c>
      <c r="O453" s="116">
        <f t="shared" si="74"/>
        <v>-188</v>
      </c>
      <c r="P453" s="104">
        <f t="shared" si="75"/>
        <v>0</v>
      </c>
      <c r="Q453" s="67">
        <f>P453-M453</f>
        <v>0</v>
      </c>
      <c r="U453" s="57">
        <f>SUMIF(B:B,A453,K:K)</f>
        <v>-1</v>
      </c>
    </row>
    <row r="454" spans="1:21" x14ac:dyDescent="0.25">
      <c r="A454" s="128" t="s">
        <v>27</v>
      </c>
      <c r="B454" s="2" t="s">
        <v>27</v>
      </c>
      <c r="C454" s="42" t="str">
        <f t="shared" si="78"/>
        <v>Ballast Point|Ballast Point</v>
      </c>
      <c r="D454" s="74">
        <v>188</v>
      </c>
      <c r="E454" s="1">
        <v>0</v>
      </c>
      <c r="F454" s="3">
        <v>-1</v>
      </c>
      <c r="G454" s="1">
        <v>0</v>
      </c>
      <c r="H454" s="94">
        <v>188</v>
      </c>
      <c r="I454" s="178">
        <f t="shared" si="79"/>
        <v>0</v>
      </c>
      <c r="J454" s="96">
        <f t="shared" si="77"/>
        <v>-1</v>
      </c>
      <c r="K454" s="59">
        <f>_xlfn.XLOOKUP(C454,'2025 Goal Data'!C:C,'2025 Goal Data'!F:F,"")</f>
        <v>-1</v>
      </c>
      <c r="L454" s="54">
        <f t="shared" si="80"/>
        <v>-188</v>
      </c>
      <c r="M454" s="87">
        <f t="shared" si="81"/>
        <v>0</v>
      </c>
      <c r="N454" s="68">
        <f>_xlfn.XLOOKUP(C454,'2025 Goal Data'!C:C,'2025 Goal Data'!I:I,"")</f>
        <v>-1</v>
      </c>
      <c r="O454" s="117">
        <f t="shared" ref="O454:O462" si="82">IFERROR(N454*H454,0)</f>
        <v>-188</v>
      </c>
      <c r="P454" s="91">
        <f t="shared" ref="P454:P462" si="83">IFERROR(J454-N454,0)</f>
        <v>0</v>
      </c>
      <c r="Q454" s="69">
        <f>P454-M454</f>
        <v>0</v>
      </c>
      <c r="U454" s="58">
        <f>(H454*K454)+H454</f>
        <v>0</v>
      </c>
    </row>
    <row r="455" spans="1:21" x14ac:dyDescent="0.25">
      <c r="A455" s="98" t="s">
        <v>370</v>
      </c>
      <c r="B455" s="99"/>
      <c r="C455" s="42" t="str">
        <f t="shared" si="78"/>
        <v>American Fruits|</v>
      </c>
      <c r="D455" s="73">
        <v>0</v>
      </c>
      <c r="E455" s="82">
        <v>8</v>
      </c>
      <c r="F455" s="83">
        <v>1</v>
      </c>
      <c r="G455" s="82">
        <v>0</v>
      </c>
      <c r="H455" s="100">
        <v>0</v>
      </c>
      <c r="I455" s="177">
        <f t="shared" si="79"/>
        <v>8</v>
      </c>
      <c r="J455" s="96">
        <f t="shared" si="77"/>
        <v>0</v>
      </c>
      <c r="K455" s="101" t="str">
        <f>_xlfn.XLOOKUP(C455,'2025 Goal Data'!C:C,'2025 Goal Data'!F:F,"")</f>
        <v/>
      </c>
      <c r="L455" s="112">
        <f t="shared" si="80"/>
        <v>0</v>
      </c>
      <c r="M455" s="102">
        <f t="shared" si="81"/>
        <v>0</v>
      </c>
      <c r="N455" s="103" t="str">
        <f>_xlfn.XLOOKUP(C455,'2025 Goal Data'!C:C,'2025 Goal Data'!I:I,"")</f>
        <v/>
      </c>
      <c r="O455" s="116">
        <f t="shared" si="82"/>
        <v>0</v>
      </c>
      <c r="P455" s="104">
        <f t="shared" si="83"/>
        <v>0</v>
      </c>
      <c r="Q455" s="67">
        <f>P455-M455</f>
        <v>0</v>
      </c>
      <c r="U455" s="57">
        <f>SUMIF(B:B,A455,K:K)</f>
        <v>0</v>
      </c>
    </row>
    <row r="456" spans="1:21" x14ac:dyDescent="0.25">
      <c r="A456" s="2" t="s">
        <v>104</v>
      </c>
      <c r="B456" s="5" t="s">
        <v>370</v>
      </c>
      <c r="C456" s="42" t="str">
        <f t="shared" si="78"/>
        <v>American Fruit|American Fruits</v>
      </c>
      <c r="D456" s="74">
        <v>0</v>
      </c>
      <c r="E456" s="1">
        <v>8</v>
      </c>
      <c r="F456" s="3">
        <v>1</v>
      </c>
      <c r="G456" s="1">
        <v>0</v>
      </c>
      <c r="H456" s="94">
        <v>0</v>
      </c>
      <c r="I456" s="178">
        <f t="shared" si="79"/>
        <v>8</v>
      </c>
      <c r="J456" s="96">
        <f t="shared" si="77"/>
        <v>0</v>
      </c>
      <c r="K456" s="59" t="str">
        <f>_xlfn.XLOOKUP(C456,'2025 Goal Data'!C:C,'2025 Goal Data'!F:F,"")</f>
        <v/>
      </c>
      <c r="L456" s="54">
        <f t="shared" si="80"/>
        <v>0</v>
      </c>
      <c r="M456" s="87">
        <f t="shared" si="81"/>
        <v>0</v>
      </c>
      <c r="N456" s="68" t="str">
        <f>_xlfn.XLOOKUP(C456,'2025 Goal Data'!C:C,'2025 Goal Data'!I:I,"")</f>
        <v/>
      </c>
      <c r="O456" s="117">
        <f t="shared" si="82"/>
        <v>0</v>
      </c>
      <c r="P456" s="91">
        <f t="shared" si="83"/>
        <v>0</v>
      </c>
      <c r="Q456" s="69" t="s">
        <v>475</v>
      </c>
      <c r="U456" s="58" t="s">
        <v>475</v>
      </c>
    </row>
    <row r="457" spans="1:21" x14ac:dyDescent="0.25">
      <c r="A457" s="98" t="s">
        <v>258</v>
      </c>
      <c r="B457" s="99"/>
      <c r="C457" s="42" t="str">
        <f t="shared" si="78"/>
        <v>Alte Beverage|</v>
      </c>
      <c r="D457" s="73">
        <v>0</v>
      </c>
      <c r="E457" s="82">
        <v>30</v>
      </c>
      <c r="F457" s="83">
        <v>1</v>
      </c>
      <c r="G457" s="82">
        <v>0</v>
      </c>
      <c r="H457" s="100">
        <v>0</v>
      </c>
      <c r="I457" s="177">
        <f t="shared" si="79"/>
        <v>30</v>
      </c>
      <c r="J457" s="96">
        <f t="shared" si="77"/>
        <v>0</v>
      </c>
      <c r="K457" s="101" t="str">
        <f>_xlfn.XLOOKUP(C457,'2025 Goal Data'!C:C,'2025 Goal Data'!F:F,"")</f>
        <v/>
      </c>
      <c r="L457" s="112">
        <f t="shared" si="80"/>
        <v>0</v>
      </c>
      <c r="M457" s="102">
        <f t="shared" si="81"/>
        <v>0</v>
      </c>
      <c r="N457" s="103" t="str">
        <f>_xlfn.XLOOKUP(C457,'2025 Goal Data'!C:C,'2025 Goal Data'!I:I,"")</f>
        <v/>
      </c>
      <c r="O457" s="116">
        <f t="shared" si="82"/>
        <v>0</v>
      </c>
      <c r="P457" s="104">
        <f t="shared" si="83"/>
        <v>0</v>
      </c>
      <c r="Q457" s="67">
        <f>P457-M457</f>
        <v>0</v>
      </c>
      <c r="U457" s="57">
        <f>SUMIF(B:B,A457,K:K)</f>
        <v>0</v>
      </c>
    </row>
    <row r="458" spans="1:21" x14ac:dyDescent="0.25">
      <c r="A458" s="2" t="s">
        <v>258</v>
      </c>
      <c r="B458" s="5" t="s">
        <v>258</v>
      </c>
      <c r="C458" s="42" t="str">
        <f t="shared" si="78"/>
        <v>Alte Beverage|Alte Beverage</v>
      </c>
      <c r="D458" s="74">
        <v>0</v>
      </c>
      <c r="E458" s="1">
        <v>30</v>
      </c>
      <c r="F458" s="3">
        <v>1</v>
      </c>
      <c r="G458" s="1">
        <v>0</v>
      </c>
      <c r="H458" s="94">
        <v>0</v>
      </c>
      <c r="I458" s="178">
        <f t="shared" si="79"/>
        <v>30</v>
      </c>
      <c r="J458" s="96">
        <f t="shared" si="77"/>
        <v>0</v>
      </c>
      <c r="K458" s="59" t="str">
        <f>_xlfn.XLOOKUP(C458,'2025 Goal Data'!C:C,'2025 Goal Data'!F:F,"")</f>
        <v/>
      </c>
      <c r="L458" s="54">
        <f t="shared" si="80"/>
        <v>0</v>
      </c>
      <c r="M458" s="87">
        <f t="shared" si="81"/>
        <v>0</v>
      </c>
      <c r="N458" s="68" t="str">
        <f>_xlfn.XLOOKUP(C458,'2025 Goal Data'!C:C,'2025 Goal Data'!I:I,"")</f>
        <v/>
      </c>
      <c r="O458" s="117">
        <f t="shared" si="82"/>
        <v>0</v>
      </c>
      <c r="P458" s="91">
        <f t="shared" si="83"/>
        <v>0</v>
      </c>
      <c r="Q458" s="69" t="s">
        <v>475</v>
      </c>
      <c r="U458" s="58" t="s">
        <v>475</v>
      </c>
    </row>
    <row r="459" spans="1:21" x14ac:dyDescent="0.25">
      <c r="A459" s="98" t="s">
        <v>388</v>
      </c>
      <c r="B459" s="99"/>
      <c r="C459" s="42" t="str">
        <f t="shared" si="78"/>
        <v>Alias Brew Works|</v>
      </c>
      <c r="D459" s="73">
        <v>0</v>
      </c>
      <c r="E459" s="82">
        <v>849.388913</v>
      </c>
      <c r="F459" s="83">
        <v>1</v>
      </c>
      <c r="G459" s="82">
        <v>0</v>
      </c>
      <c r="H459" s="100">
        <v>0</v>
      </c>
      <c r="I459" s="177">
        <f t="shared" si="79"/>
        <v>849.388913</v>
      </c>
      <c r="J459" s="96">
        <f t="shared" si="77"/>
        <v>0</v>
      </c>
      <c r="K459" s="101" t="str">
        <f>_xlfn.XLOOKUP(C459,'2025 Goal Data'!C:C,'2025 Goal Data'!F:F,"")</f>
        <v/>
      </c>
      <c r="L459" s="112">
        <f t="shared" si="80"/>
        <v>0</v>
      </c>
      <c r="M459" s="102">
        <f t="shared" si="81"/>
        <v>0</v>
      </c>
      <c r="N459" s="103" t="str">
        <f>_xlfn.XLOOKUP(C459,'2025 Goal Data'!C:C,'2025 Goal Data'!I:I,"")</f>
        <v/>
      </c>
      <c r="O459" s="116">
        <f t="shared" si="82"/>
        <v>0</v>
      </c>
      <c r="P459" s="104">
        <f t="shared" si="83"/>
        <v>0</v>
      </c>
      <c r="Q459" s="67">
        <f>P459-M459</f>
        <v>0</v>
      </c>
      <c r="U459" s="57">
        <f>SUMIF(B:B,A459,K:K)</f>
        <v>0</v>
      </c>
    </row>
    <row r="460" spans="1:21" x14ac:dyDescent="0.25">
      <c r="A460" s="2" t="s">
        <v>388</v>
      </c>
      <c r="B460" s="5" t="s">
        <v>388</v>
      </c>
      <c r="C460" s="42" t="str">
        <f t="shared" si="78"/>
        <v>Alias Brew Works|Alias Brew Works</v>
      </c>
      <c r="D460" s="74">
        <v>0</v>
      </c>
      <c r="E460" s="1">
        <v>849.388913</v>
      </c>
      <c r="F460" s="3">
        <v>1</v>
      </c>
      <c r="G460" s="1">
        <v>0</v>
      </c>
      <c r="H460" s="94">
        <v>0</v>
      </c>
      <c r="I460" s="178">
        <f t="shared" si="79"/>
        <v>849.388913</v>
      </c>
      <c r="J460" s="96">
        <f t="shared" si="77"/>
        <v>0</v>
      </c>
      <c r="K460" s="59" t="str">
        <f>_xlfn.XLOOKUP(C460,'2025 Goal Data'!C:C,'2025 Goal Data'!F:F,"")</f>
        <v/>
      </c>
      <c r="L460" s="54">
        <f t="shared" si="80"/>
        <v>0</v>
      </c>
      <c r="M460" s="87">
        <f t="shared" si="81"/>
        <v>0</v>
      </c>
      <c r="N460" s="68" t="str">
        <f>_xlfn.XLOOKUP(C460,'2025 Goal Data'!C:C,'2025 Goal Data'!I:I,"")</f>
        <v/>
      </c>
      <c r="O460" s="117">
        <f t="shared" si="82"/>
        <v>0</v>
      </c>
      <c r="P460" s="91">
        <f t="shared" si="83"/>
        <v>0</v>
      </c>
      <c r="Q460" s="69" t="s">
        <v>475</v>
      </c>
      <c r="U460" s="58" t="s">
        <v>475</v>
      </c>
    </row>
    <row r="461" spans="1:21" x14ac:dyDescent="0.25">
      <c r="A461" s="98" t="s">
        <v>338</v>
      </c>
      <c r="B461" s="99"/>
      <c r="C461" s="42" t="str">
        <f t="shared" si="78"/>
        <v>Berczy LLC|</v>
      </c>
      <c r="D461" s="73">
        <v>-13</v>
      </c>
      <c r="E461" s="82">
        <v>5</v>
      </c>
      <c r="F461" s="83">
        <v>1.3846149999999999</v>
      </c>
      <c r="G461" s="82">
        <v>-5</v>
      </c>
      <c r="H461" s="100">
        <v>-18</v>
      </c>
      <c r="I461" s="177">
        <f t="shared" si="79"/>
        <v>-6.9230750000000008</v>
      </c>
      <c r="J461" s="96">
        <f t="shared" si="77"/>
        <v>-0.61538472222222218</v>
      </c>
      <c r="K461" s="101">
        <f>_xlfn.XLOOKUP(C461,'2025 Goal Data'!C:C,'2025 Goal Data'!F:F,"")</f>
        <v>-1</v>
      </c>
      <c r="L461" s="112">
        <f t="shared" si="80"/>
        <v>18</v>
      </c>
      <c r="M461" s="102">
        <f t="shared" si="81"/>
        <v>0.38461527777777782</v>
      </c>
      <c r="N461" s="103">
        <f>_xlfn.XLOOKUP(C461,'2025 Goal Data'!C:C,'2025 Goal Data'!I:I,"")</f>
        <v>-1</v>
      </c>
      <c r="O461" s="116">
        <f t="shared" si="82"/>
        <v>18</v>
      </c>
      <c r="P461" s="104">
        <f t="shared" si="83"/>
        <v>0.38461527777777782</v>
      </c>
      <c r="Q461" s="67">
        <f>P461-M461</f>
        <v>0</v>
      </c>
      <c r="U461" s="57">
        <f>SUMIF(B:B,A461,K:K)</f>
        <v>-1</v>
      </c>
    </row>
    <row r="462" spans="1:21" ht="15.75" thickBot="1" x14ac:dyDescent="0.3">
      <c r="A462" s="2" t="s">
        <v>156</v>
      </c>
      <c r="B462" s="2" t="s">
        <v>338</v>
      </c>
      <c r="C462" s="42" t="str">
        <f t="shared" si="78"/>
        <v>Berczy|Berczy LLC</v>
      </c>
      <c r="D462" s="75">
        <v>-13</v>
      </c>
      <c r="E462" s="64">
        <v>5</v>
      </c>
      <c r="F462" s="63">
        <v>1.3846149999999999</v>
      </c>
      <c r="G462" s="64">
        <v>-5</v>
      </c>
      <c r="H462" s="95">
        <v>-18</v>
      </c>
      <c r="I462" s="180">
        <f t="shared" si="79"/>
        <v>-6.9230750000000008</v>
      </c>
      <c r="J462" s="96">
        <f t="shared" si="77"/>
        <v>-0.61538472222222218</v>
      </c>
      <c r="K462" s="62">
        <f>_xlfn.XLOOKUP(C462,'2025 Goal Data'!C:C,'2025 Goal Data'!F:F,"")</f>
        <v>-1</v>
      </c>
      <c r="L462" s="54">
        <f t="shared" si="80"/>
        <v>18</v>
      </c>
      <c r="M462" s="87">
        <f t="shared" si="81"/>
        <v>0.38461527777777782</v>
      </c>
      <c r="N462" s="70">
        <f>_xlfn.XLOOKUP(C462,'2025 Goal Data'!C:C,'2025 Goal Data'!I:I,"")</f>
        <v>-1</v>
      </c>
      <c r="O462" s="117">
        <f t="shared" si="82"/>
        <v>18</v>
      </c>
      <c r="P462" s="91">
        <f t="shared" si="83"/>
        <v>0.38461527777777782</v>
      </c>
      <c r="Q462" s="71">
        <f>P462-M462</f>
        <v>0</v>
      </c>
      <c r="U462" s="61">
        <f>(H462*K462)+H462</f>
        <v>0</v>
      </c>
    </row>
    <row r="463" spans="1:21" x14ac:dyDescent="0.25">
      <c r="A463" s="97"/>
      <c r="B463" s="97"/>
      <c r="H463" s="105"/>
      <c r="I463" s="181"/>
      <c r="J463" s="106"/>
      <c r="K463" s="107"/>
      <c r="L463" s="112"/>
      <c r="M463" s="106"/>
      <c r="N463" s="108"/>
      <c r="O463" s="118"/>
      <c r="P463" s="109"/>
    </row>
  </sheetData>
  <autoFilter ref="A1:R462" xr:uid="{00000000-0001-0000-0000-000000000000}"/>
  <pageMargins left="0.7" right="0.7" top="0.75" bottom="0.75" header="0.3" footer="0.3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A1BD1-7FB1-4B45-B98C-C690410DBF75}">
  <sheetPr>
    <tabColor theme="2" tint="-0.249977111117893"/>
  </sheetPr>
  <dimension ref="A1:F344"/>
  <sheetViews>
    <sheetView workbookViewId="0">
      <selection activeCell="F2" sqref="F2:F344"/>
    </sheetView>
  </sheetViews>
  <sheetFormatPr defaultRowHeight="15" x14ac:dyDescent="0.25"/>
  <cols>
    <col min="1" max="1" width="33.7109375" bestFit="1" customWidth="1"/>
    <col min="2" max="2" width="29.85546875" bestFit="1" customWidth="1"/>
    <col min="3" max="3" width="60.5703125" bestFit="1" customWidth="1"/>
    <col min="6" max="6" width="74.85546875" bestFit="1" customWidth="1"/>
  </cols>
  <sheetData>
    <row r="1" spans="1:6" x14ac:dyDescent="0.25">
      <c r="A1" s="217" t="s">
        <v>550</v>
      </c>
      <c r="B1" s="217" t="s">
        <v>182</v>
      </c>
      <c r="C1" s="218" t="s">
        <v>549</v>
      </c>
      <c r="D1" s="217" t="s">
        <v>548</v>
      </c>
      <c r="E1" s="217" t="s">
        <v>547</v>
      </c>
      <c r="F1" s="218" t="s">
        <v>554</v>
      </c>
    </row>
    <row r="2" spans="1:6" x14ac:dyDescent="0.25">
      <c r="A2" s="2" t="s">
        <v>259</v>
      </c>
      <c r="B2" s="2" t="s">
        <v>390</v>
      </c>
      <c r="C2" s="42" t="str">
        <f>A2&amp;"|"&amp;B2</f>
        <v>Corona Extra|Constellation Brands</v>
      </c>
      <c r="D2" s="2" t="s">
        <v>512</v>
      </c>
      <c r="E2" s="2" t="s">
        <v>515</v>
      </c>
      <c r="F2" t="str">
        <f>A2&amp;"|"&amp;B2&amp;"|"&amp;D2&amp;"|"&amp;E2</f>
        <v>Corona Extra|Constellation Brands|Beer|Beer - Import</v>
      </c>
    </row>
    <row r="3" spans="1:6" x14ac:dyDescent="0.25">
      <c r="A3" s="2" t="s">
        <v>105</v>
      </c>
      <c r="B3" s="2" t="s">
        <v>390</v>
      </c>
      <c r="C3" s="42" t="str">
        <f t="shared" ref="C3:C66" si="0">A3&amp;"|"&amp;B3</f>
        <v>Modelo Especial|Constellation Brands</v>
      </c>
      <c r="D3" s="2" t="s">
        <v>512</v>
      </c>
      <c r="E3" s="2" t="s">
        <v>515</v>
      </c>
      <c r="F3" t="str">
        <f t="shared" ref="F3:F66" si="1">A3&amp;"|"&amp;B3&amp;"|"&amp;D3&amp;"|"&amp;E3</f>
        <v>Modelo Especial|Constellation Brands|Beer|Beer - Import</v>
      </c>
    </row>
    <row r="4" spans="1:6" x14ac:dyDescent="0.25">
      <c r="A4" s="2" t="s">
        <v>237</v>
      </c>
      <c r="B4" s="2" t="s">
        <v>51</v>
      </c>
      <c r="C4" s="42" t="str">
        <f t="shared" si="0"/>
        <v>Coors Light|MolsonCoors Beverage Company</v>
      </c>
      <c r="D4" s="2" t="s">
        <v>512</v>
      </c>
      <c r="E4" s="2" t="s">
        <v>543</v>
      </c>
      <c r="F4" t="str">
        <f t="shared" si="1"/>
        <v>Coors Light|MolsonCoors Beverage Company|Beer|Beer - Premium</v>
      </c>
    </row>
    <row r="5" spans="1:6" x14ac:dyDescent="0.25">
      <c r="A5" s="2" t="s">
        <v>106</v>
      </c>
      <c r="B5" s="2" t="s">
        <v>51</v>
      </c>
      <c r="C5" s="42" t="str">
        <f t="shared" si="0"/>
        <v>Lite|MolsonCoors Beverage Company</v>
      </c>
      <c r="D5" s="2" t="s">
        <v>512</v>
      </c>
      <c r="E5" s="2" t="s">
        <v>543</v>
      </c>
      <c r="F5" t="str">
        <f t="shared" si="1"/>
        <v>Lite|MolsonCoors Beverage Company|Beer|Beer - Premium</v>
      </c>
    </row>
    <row r="6" spans="1:6" x14ac:dyDescent="0.25">
      <c r="A6" s="2" t="s">
        <v>394</v>
      </c>
      <c r="B6" s="2" t="s">
        <v>394</v>
      </c>
      <c r="C6" s="42" t="str">
        <f t="shared" si="0"/>
        <v>Heineken USA|Heineken USA</v>
      </c>
      <c r="D6" s="2" t="s">
        <v>512</v>
      </c>
      <c r="E6" s="2" t="s">
        <v>515</v>
      </c>
      <c r="F6" t="str">
        <f t="shared" si="1"/>
        <v>Heineken USA|Heineken USA|Beer|Beer - Import</v>
      </c>
    </row>
    <row r="7" spans="1:6" x14ac:dyDescent="0.25">
      <c r="A7" s="2" t="s">
        <v>89</v>
      </c>
      <c r="B7" s="2" t="s">
        <v>34</v>
      </c>
      <c r="C7" s="42" t="str">
        <f t="shared" si="0"/>
        <v>White Claw|Mark Anthony</v>
      </c>
      <c r="D7" s="2" t="s">
        <v>542</v>
      </c>
      <c r="E7" s="2" t="s">
        <v>542</v>
      </c>
      <c r="F7" t="str">
        <f t="shared" si="1"/>
        <v>White Claw|Mark Anthony|Seltzer|Seltzer</v>
      </c>
    </row>
    <row r="8" spans="1:6" x14ac:dyDescent="0.25">
      <c r="A8" s="2" t="s">
        <v>261</v>
      </c>
      <c r="B8" s="2" t="s">
        <v>135</v>
      </c>
      <c r="C8" s="42" t="str">
        <f t="shared" si="0"/>
        <v>Yuengling Lager|DG Yuengling Inc</v>
      </c>
      <c r="D8" s="2" t="s">
        <v>512</v>
      </c>
      <c r="E8" s="2" t="s">
        <v>534</v>
      </c>
      <c r="F8" t="str">
        <f t="shared" si="1"/>
        <v>Yuengling Lager|DG Yuengling Inc|Beer|Beer - Economy</v>
      </c>
    </row>
    <row r="9" spans="1:6" x14ac:dyDescent="0.25">
      <c r="A9" s="2" t="s">
        <v>260</v>
      </c>
      <c r="B9" s="2" t="s">
        <v>260</v>
      </c>
      <c r="C9" s="42" t="str">
        <f t="shared" si="0"/>
        <v>Pabst Brewing Company|Pabst Brewing Company</v>
      </c>
      <c r="D9" s="2" t="s">
        <v>512</v>
      </c>
      <c r="E9" s="2" t="s">
        <v>534</v>
      </c>
      <c r="F9" t="str">
        <f t="shared" si="1"/>
        <v>Pabst Brewing Company|Pabst Brewing Company|Beer|Beer - Economy</v>
      </c>
    </row>
    <row r="10" spans="1:6" x14ac:dyDescent="0.25">
      <c r="A10" s="2" t="s">
        <v>185</v>
      </c>
      <c r="B10" s="2" t="s">
        <v>51</v>
      </c>
      <c r="C10" s="42" t="str">
        <f t="shared" si="0"/>
        <v>Blue Moon|MolsonCoors Beverage Company</v>
      </c>
      <c r="D10" s="2" t="s">
        <v>512</v>
      </c>
      <c r="E10" s="2" t="s">
        <v>511</v>
      </c>
      <c r="F10" t="str">
        <f t="shared" si="1"/>
        <v>Blue Moon|MolsonCoors Beverage Company|Beer|Beer - Craft</v>
      </c>
    </row>
    <row r="11" spans="1:6" x14ac:dyDescent="0.25">
      <c r="A11" s="2" t="s">
        <v>110</v>
      </c>
      <c r="B11" s="2" t="s">
        <v>88</v>
      </c>
      <c r="C11" s="42" t="str">
        <f t="shared" si="0"/>
        <v>Samuel Adams|Boston Beer Company</v>
      </c>
      <c r="D11" s="2" t="s">
        <v>512</v>
      </c>
      <c r="E11" s="2" t="s">
        <v>511</v>
      </c>
      <c r="F11" t="str">
        <f t="shared" si="1"/>
        <v>Samuel Adams|Boston Beer Company|Beer|Beer - Craft</v>
      </c>
    </row>
    <row r="12" spans="1:6" x14ac:dyDescent="0.25">
      <c r="A12" s="2" t="s">
        <v>52</v>
      </c>
      <c r="B12" s="2" t="s">
        <v>51</v>
      </c>
      <c r="C12" s="42" t="str">
        <f t="shared" si="0"/>
        <v>Coors|MolsonCoors Beverage Company</v>
      </c>
      <c r="D12" s="2" t="s">
        <v>512</v>
      </c>
      <c r="E12" s="2" t="s">
        <v>543</v>
      </c>
      <c r="F12" t="str">
        <f t="shared" si="1"/>
        <v>Coors|MolsonCoors Beverage Company|Beer|Beer - Premium</v>
      </c>
    </row>
    <row r="13" spans="1:6" x14ac:dyDescent="0.25">
      <c r="A13" s="2" t="s">
        <v>314</v>
      </c>
      <c r="B13" s="2" t="s">
        <v>88</v>
      </c>
      <c r="C13" s="42" t="str">
        <f t="shared" si="0"/>
        <v>Twisted Tea|Boston Beer Company</v>
      </c>
      <c r="D13" s="2" t="s">
        <v>528</v>
      </c>
      <c r="E13" s="2" t="s">
        <v>528</v>
      </c>
      <c r="F13" t="str">
        <f t="shared" si="1"/>
        <v>Twisted Tea|Boston Beer Company|FMB|FMB</v>
      </c>
    </row>
    <row r="14" spans="1:6" x14ac:dyDescent="0.25">
      <c r="A14" s="2" t="s">
        <v>339</v>
      </c>
      <c r="B14" s="2" t="s">
        <v>390</v>
      </c>
      <c r="C14" s="42" t="str">
        <f t="shared" si="0"/>
        <v>Modelo Chelada|Constellation Brands</v>
      </c>
      <c r="D14" s="2" t="s">
        <v>512</v>
      </c>
      <c r="E14" s="2" t="s">
        <v>515</v>
      </c>
      <c r="F14" t="str">
        <f t="shared" si="1"/>
        <v>Modelo Chelada|Constellation Brands|Beer|Beer - Import</v>
      </c>
    </row>
    <row r="15" spans="1:6" x14ac:dyDescent="0.25">
      <c r="A15" s="2" t="s">
        <v>316</v>
      </c>
      <c r="B15" s="2" t="s">
        <v>316</v>
      </c>
      <c r="C15" s="42" t="str">
        <f t="shared" si="0"/>
        <v>Sapporo|Sapporo</v>
      </c>
      <c r="D15" s="2" t="s">
        <v>512</v>
      </c>
      <c r="E15" s="2" t="s">
        <v>515</v>
      </c>
      <c r="F15" t="str">
        <f t="shared" si="1"/>
        <v>Sapporo|Sapporo|Beer|Beer - Import</v>
      </c>
    </row>
    <row r="16" spans="1:6" x14ac:dyDescent="0.25">
      <c r="A16" s="2" t="s">
        <v>129</v>
      </c>
      <c r="B16" s="2" t="s">
        <v>51</v>
      </c>
      <c r="C16" s="42" t="str">
        <f t="shared" si="0"/>
        <v>Miller High Life|MolsonCoors Beverage Company</v>
      </c>
      <c r="D16" s="2" t="s">
        <v>512</v>
      </c>
      <c r="E16" s="2" t="s">
        <v>534</v>
      </c>
      <c r="F16" t="str">
        <f t="shared" si="1"/>
        <v>Miller High Life|MolsonCoors Beverage Company|Beer|Beer - Economy</v>
      </c>
    </row>
    <row r="17" spans="1:6" x14ac:dyDescent="0.25">
      <c r="A17" s="2" t="s">
        <v>214</v>
      </c>
      <c r="B17" s="2" t="s">
        <v>390</v>
      </c>
      <c r="C17" s="42" t="str">
        <f t="shared" si="0"/>
        <v>Victoria|Constellation Brands</v>
      </c>
      <c r="D17" s="2" t="s">
        <v>512</v>
      </c>
      <c r="E17" s="2" t="s">
        <v>515</v>
      </c>
      <c r="F17" t="str">
        <f t="shared" si="1"/>
        <v>Victoria|Constellation Brands|Beer|Beer - Import</v>
      </c>
    </row>
    <row r="18" spans="1:6" x14ac:dyDescent="0.25">
      <c r="A18" s="2" t="s">
        <v>396</v>
      </c>
      <c r="B18" s="2" t="s">
        <v>88</v>
      </c>
      <c r="C18" s="42" t="str">
        <f t="shared" si="0"/>
        <v>Sun Cruiser|Boston Beer Company</v>
      </c>
      <c r="D18" s="2" t="s">
        <v>510</v>
      </c>
      <c r="E18" s="2" t="s">
        <v>510</v>
      </c>
      <c r="F18" t="str">
        <f t="shared" si="1"/>
        <v>Sun Cruiser|Boston Beer Company|RTD|RTD</v>
      </c>
    </row>
    <row r="19" spans="1:6" x14ac:dyDescent="0.25">
      <c r="A19" s="2" t="s">
        <v>282</v>
      </c>
      <c r="B19" s="2" t="s">
        <v>51</v>
      </c>
      <c r="C19" s="42" t="str">
        <f t="shared" si="0"/>
        <v>Peroni|MolsonCoors Beverage Company</v>
      </c>
      <c r="D19" s="2" t="s">
        <v>512</v>
      </c>
      <c r="E19" s="2" t="s">
        <v>515</v>
      </c>
      <c r="F19" t="str">
        <f t="shared" si="1"/>
        <v>Peroni|MolsonCoors Beverage Company|Beer|Beer - Import</v>
      </c>
    </row>
    <row r="20" spans="1:6" x14ac:dyDescent="0.25">
      <c r="A20" s="2" t="s">
        <v>371</v>
      </c>
      <c r="B20" s="2" t="s">
        <v>390</v>
      </c>
      <c r="C20" s="42" t="str">
        <f t="shared" si="0"/>
        <v>Corona Light|Constellation Brands</v>
      </c>
      <c r="D20" s="2" t="s">
        <v>512</v>
      </c>
      <c r="E20" s="2" t="s">
        <v>515</v>
      </c>
      <c r="F20" t="str">
        <f t="shared" si="1"/>
        <v>Corona Light|Constellation Brands|Beer|Beer - Import</v>
      </c>
    </row>
    <row r="21" spans="1:6" x14ac:dyDescent="0.25">
      <c r="A21" s="2" t="s">
        <v>293</v>
      </c>
      <c r="B21" s="2" t="s">
        <v>345</v>
      </c>
      <c r="C21" s="42" t="str">
        <f t="shared" si="0"/>
        <v>Sierra Nevada|Sierra Nevada Brewing Company</v>
      </c>
      <c r="D21" s="2" t="s">
        <v>512</v>
      </c>
      <c r="E21" s="2" t="s">
        <v>511</v>
      </c>
      <c r="F21" t="str">
        <f t="shared" si="1"/>
        <v>Sierra Nevada|Sierra Nevada Brewing Company|Beer|Beer - Craft</v>
      </c>
    </row>
    <row r="22" spans="1:6" x14ac:dyDescent="0.25">
      <c r="A22" s="2" t="s">
        <v>138</v>
      </c>
      <c r="B22" s="2" t="s">
        <v>189</v>
      </c>
      <c r="C22" s="42" t="str">
        <f t="shared" si="0"/>
        <v>Voodoo Family|New Belgium Brewing Company</v>
      </c>
      <c r="D22" s="2" t="s">
        <v>512</v>
      </c>
      <c r="E22" s="2" t="s">
        <v>511</v>
      </c>
      <c r="F22" t="str">
        <f t="shared" si="1"/>
        <v>Voodoo Family|New Belgium Brewing Company|Beer|Beer - Craft</v>
      </c>
    </row>
    <row r="23" spans="1:6" x14ac:dyDescent="0.25">
      <c r="A23" s="2" t="s">
        <v>374</v>
      </c>
      <c r="B23" s="2" t="s">
        <v>88</v>
      </c>
      <c r="C23" s="42" t="str">
        <f t="shared" si="0"/>
        <v>Angry Orchard|Boston Beer Company</v>
      </c>
      <c r="D23" s="2" t="s">
        <v>541</v>
      </c>
      <c r="E23" s="2" t="s">
        <v>541</v>
      </c>
      <c r="F23" t="str">
        <f t="shared" si="1"/>
        <v>Angry Orchard|Boston Beer Company|Cider|Cider</v>
      </c>
    </row>
    <row r="24" spans="1:6" x14ac:dyDescent="0.25">
      <c r="A24" s="2" t="s">
        <v>346</v>
      </c>
      <c r="B24" s="2" t="s">
        <v>346</v>
      </c>
      <c r="C24" s="42" t="str">
        <f t="shared" si="0"/>
        <v>Famosa|Famosa</v>
      </c>
      <c r="D24" s="2" t="s">
        <v>512</v>
      </c>
      <c r="E24" s="2" t="s">
        <v>515</v>
      </c>
      <c r="F24" t="str">
        <f t="shared" si="1"/>
        <v>Famosa|Famosa|Beer|Beer - Import</v>
      </c>
    </row>
    <row r="25" spans="1:6" x14ac:dyDescent="0.25">
      <c r="A25" s="2" t="s">
        <v>342</v>
      </c>
      <c r="B25" s="2" t="s">
        <v>88</v>
      </c>
      <c r="C25" s="42" t="str">
        <f t="shared" si="0"/>
        <v>Dogfish Head Beer|Boston Beer Company</v>
      </c>
      <c r="D25" s="2" t="s">
        <v>512</v>
      </c>
      <c r="E25" s="2" t="s">
        <v>511</v>
      </c>
      <c r="F25" t="str">
        <f t="shared" si="1"/>
        <v>Dogfish Head Beer|Boston Beer Company|Beer|Beer - Craft</v>
      </c>
    </row>
    <row r="26" spans="1:6" x14ac:dyDescent="0.25">
      <c r="A26" s="2" t="s">
        <v>243</v>
      </c>
      <c r="B26" s="2" t="s">
        <v>88</v>
      </c>
      <c r="C26" s="42" t="str">
        <f t="shared" si="0"/>
        <v>Truly|Boston Beer Company</v>
      </c>
      <c r="D26" s="2" t="s">
        <v>542</v>
      </c>
      <c r="E26" s="2" t="s">
        <v>542</v>
      </c>
      <c r="F26" t="str">
        <f t="shared" si="1"/>
        <v>Truly|Boston Beer Company|Seltzer|Seltzer</v>
      </c>
    </row>
    <row r="27" spans="1:6" x14ac:dyDescent="0.25">
      <c r="A27" s="2" t="s">
        <v>375</v>
      </c>
      <c r="B27" s="2" t="s">
        <v>34</v>
      </c>
      <c r="C27" s="42" t="str">
        <f t="shared" si="0"/>
        <v>Mike's Hard Lemonade|Mark Anthony</v>
      </c>
      <c r="D27" s="2" t="s">
        <v>528</v>
      </c>
      <c r="E27" s="2" t="s">
        <v>528</v>
      </c>
      <c r="F27" t="str">
        <f t="shared" si="1"/>
        <v>Mike's Hard Lemonade|Mark Anthony|FMB|FMB</v>
      </c>
    </row>
    <row r="28" spans="1:6" x14ac:dyDescent="0.25">
      <c r="A28" s="2" t="s">
        <v>308</v>
      </c>
      <c r="B28" s="2" t="s">
        <v>390</v>
      </c>
      <c r="C28" s="42" t="str">
        <f t="shared" si="0"/>
        <v>Corona Familiar|Constellation Brands</v>
      </c>
      <c r="D28" s="2" t="s">
        <v>512</v>
      </c>
      <c r="E28" s="2" t="s">
        <v>515</v>
      </c>
      <c r="F28" t="str">
        <f t="shared" si="1"/>
        <v>Corona Familiar|Constellation Brands|Beer|Beer - Import</v>
      </c>
    </row>
    <row r="29" spans="1:6" x14ac:dyDescent="0.25">
      <c r="A29" s="2" t="s">
        <v>241</v>
      </c>
      <c r="B29" s="2" t="s">
        <v>394</v>
      </c>
      <c r="C29" s="42" t="str">
        <f t="shared" si="0"/>
        <v>Heineken Light|Heineken USA</v>
      </c>
      <c r="D29" s="2" t="s">
        <v>512</v>
      </c>
      <c r="E29" s="2" t="s">
        <v>515</v>
      </c>
      <c r="F29" t="str">
        <f t="shared" si="1"/>
        <v>Heineken Light|Heineken USA|Beer|Beer - Import</v>
      </c>
    </row>
    <row r="30" spans="1:6" x14ac:dyDescent="0.25">
      <c r="A30" s="2" t="s">
        <v>84</v>
      </c>
      <c r="B30" s="2" t="s">
        <v>390</v>
      </c>
      <c r="C30" s="42" t="str">
        <f t="shared" si="0"/>
        <v>Corona Premier|Constellation Brands</v>
      </c>
      <c r="D30" s="2" t="s">
        <v>512</v>
      </c>
      <c r="E30" s="2" t="s">
        <v>515</v>
      </c>
      <c r="F30" t="str">
        <f t="shared" si="1"/>
        <v>Corona Premier|Constellation Brands|Beer|Beer - Import</v>
      </c>
    </row>
    <row r="31" spans="1:6" x14ac:dyDescent="0.25">
      <c r="A31" s="2" t="s">
        <v>340</v>
      </c>
      <c r="B31" s="2" t="s">
        <v>390</v>
      </c>
      <c r="C31" s="42" t="str">
        <f t="shared" si="0"/>
        <v>Pacifico|Constellation Brands</v>
      </c>
      <c r="D31" s="2" t="s">
        <v>512</v>
      </c>
      <c r="E31" s="2" t="s">
        <v>515</v>
      </c>
      <c r="F31" t="str">
        <f t="shared" si="1"/>
        <v>Pacifico|Constellation Brands|Beer|Beer - Import</v>
      </c>
    </row>
    <row r="32" spans="1:6" x14ac:dyDescent="0.25">
      <c r="A32" s="2" t="s">
        <v>5</v>
      </c>
      <c r="B32" s="2" t="s">
        <v>260</v>
      </c>
      <c r="C32" s="42" t="str">
        <f t="shared" si="0"/>
        <v>Colt 45|Pabst Brewing Company</v>
      </c>
      <c r="D32" s="2" t="s">
        <v>512</v>
      </c>
      <c r="E32" s="2" t="s">
        <v>534</v>
      </c>
      <c r="F32" t="str">
        <f t="shared" si="1"/>
        <v>Colt 45|Pabst Brewing Company|Beer|Beer - Economy</v>
      </c>
    </row>
    <row r="33" spans="1:6" x14ac:dyDescent="0.25">
      <c r="A33" s="2" t="s">
        <v>111</v>
      </c>
      <c r="B33" s="2" t="s">
        <v>34</v>
      </c>
      <c r="C33" s="42" t="str">
        <f t="shared" si="0"/>
        <v>Cayman Jack|Mark Anthony</v>
      </c>
      <c r="D33" s="2" t="s">
        <v>510</v>
      </c>
      <c r="E33" s="2" t="s">
        <v>510</v>
      </c>
      <c r="F33" t="str">
        <f t="shared" si="1"/>
        <v>Cayman Jack|Mark Anthony|RTD|RTD</v>
      </c>
    </row>
    <row r="34" spans="1:6" x14ac:dyDescent="0.25">
      <c r="A34" s="2" t="s">
        <v>347</v>
      </c>
      <c r="B34" s="2" t="s">
        <v>93</v>
      </c>
      <c r="C34" s="42" t="str">
        <f t="shared" si="0"/>
        <v>Montauk|Montauk Brewing Co</v>
      </c>
      <c r="D34" s="2" t="s">
        <v>512</v>
      </c>
      <c r="E34" s="2" t="s">
        <v>511</v>
      </c>
      <c r="F34" t="str">
        <f t="shared" si="1"/>
        <v>Montauk|Montauk Brewing Co|Beer|Beer - Craft</v>
      </c>
    </row>
    <row r="35" spans="1:6" x14ac:dyDescent="0.25">
      <c r="A35" s="2" t="s">
        <v>113</v>
      </c>
      <c r="B35" s="2" t="s">
        <v>113</v>
      </c>
      <c r="C35" s="42" t="str">
        <f t="shared" si="0"/>
        <v>Cape May|Cape May</v>
      </c>
      <c r="D35" s="2" t="s">
        <v>512</v>
      </c>
      <c r="E35" s="2" t="s">
        <v>511</v>
      </c>
      <c r="F35" t="str">
        <f t="shared" si="1"/>
        <v>Cape May|Cape May|Beer|Beer - Craft</v>
      </c>
    </row>
    <row r="36" spans="1:6" x14ac:dyDescent="0.25">
      <c r="A36" s="2" t="s">
        <v>373</v>
      </c>
      <c r="B36" s="2" t="s">
        <v>394</v>
      </c>
      <c r="C36" s="42" t="str">
        <f t="shared" si="0"/>
        <v>Heineken 0.0|Heineken USA</v>
      </c>
      <c r="D36" s="2" t="s">
        <v>512</v>
      </c>
      <c r="E36" s="2" t="s">
        <v>529</v>
      </c>
      <c r="F36" t="str">
        <f t="shared" si="1"/>
        <v>Heineken 0.0|Heineken USA|Beer|Beer - Non-Alc</v>
      </c>
    </row>
    <row r="37" spans="1:6" x14ac:dyDescent="0.25">
      <c r="A37" s="2" t="s">
        <v>309</v>
      </c>
      <c r="B37" s="2" t="s">
        <v>390</v>
      </c>
      <c r="C37" s="42" t="str">
        <f t="shared" si="0"/>
        <v>Modelo Negra|Constellation Brands</v>
      </c>
      <c r="D37" s="2" t="s">
        <v>512</v>
      </c>
      <c r="E37" s="2" t="s">
        <v>515</v>
      </c>
      <c r="F37" t="str">
        <f t="shared" si="1"/>
        <v>Modelo Negra|Constellation Brands|Beer|Beer - Import</v>
      </c>
    </row>
    <row r="38" spans="1:6" x14ac:dyDescent="0.25">
      <c r="A38" s="2" t="s">
        <v>62</v>
      </c>
      <c r="B38" s="2" t="s">
        <v>13</v>
      </c>
      <c r="C38" s="42" t="str">
        <f t="shared" si="0"/>
        <v>Athletic|Athletic Brewing Company</v>
      </c>
      <c r="D38" s="2" t="s">
        <v>512</v>
      </c>
      <c r="E38" s="2" t="s">
        <v>529</v>
      </c>
      <c r="F38" t="str">
        <f t="shared" si="1"/>
        <v>Athletic|Athletic Brewing Company|Beer|Beer - Non-Alc</v>
      </c>
    </row>
    <row r="39" spans="1:6" x14ac:dyDescent="0.25">
      <c r="A39" s="2" t="s">
        <v>391</v>
      </c>
      <c r="B39" s="2" t="s">
        <v>51</v>
      </c>
      <c r="C39" s="42" t="str">
        <f t="shared" si="0"/>
        <v>Fosters|MolsonCoors Beverage Company</v>
      </c>
      <c r="D39" s="2" t="s">
        <v>512</v>
      </c>
      <c r="E39" s="2" t="s">
        <v>515</v>
      </c>
      <c r="F39" t="str">
        <f t="shared" si="1"/>
        <v>Fosters|MolsonCoors Beverage Company|Beer|Beer - Import</v>
      </c>
    </row>
    <row r="40" spans="1:6" x14ac:dyDescent="0.25">
      <c r="A40" s="2" t="s">
        <v>348</v>
      </c>
      <c r="B40" s="2" t="s">
        <v>318</v>
      </c>
      <c r="C40" s="42" t="str">
        <f t="shared" si="0"/>
        <v>Lagunitas|Lagunitas Brewing Co</v>
      </c>
      <c r="D40" s="2" t="s">
        <v>512</v>
      </c>
      <c r="E40" s="2" t="s">
        <v>511</v>
      </c>
      <c r="F40" t="str">
        <f t="shared" si="1"/>
        <v>Lagunitas|Lagunitas Brewing Co|Beer|Beer - Craft</v>
      </c>
    </row>
    <row r="41" spans="1:6" x14ac:dyDescent="0.25">
      <c r="A41" s="2" t="s">
        <v>403</v>
      </c>
      <c r="B41" s="2" t="s">
        <v>38</v>
      </c>
      <c r="C41" s="42" t="str">
        <f t="shared" si="0"/>
        <v>Sixpoint|Sixpoint Brewing</v>
      </c>
      <c r="D41" s="2" t="s">
        <v>512</v>
      </c>
      <c r="E41" s="2" t="s">
        <v>511</v>
      </c>
      <c r="F41" t="str">
        <f t="shared" si="1"/>
        <v>Sixpoint|Sixpoint Brewing|Beer|Beer - Craft</v>
      </c>
    </row>
    <row r="42" spans="1:6" x14ac:dyDescent="0.25">
      <c r="A42" s="2" t="s">
        <v>392</v>
      </c>
      <c r="B42" s="2" t="s">
        <v>51</v>
      </c>
      <c r="C42" s="42" t="str">
        <f t="shared" si="0"/>
        <v>Tyskie Gronie|MolsonCoors Beverage Company</v>
      </c>
      <c r="D42" s="2" t="s">
        <v>512</v>
      </c>
      <c r="E42" s="2" t="s">
        <v>515</v>
      </c>
      <c r="F42" t="str">
        <f t="shared" si="1"/>
        <v>Tyskie Gronie|MolsonCoors Beverage Company|Beer|Beer - Import</v>
      </c>
    </row>
    <row r="43" spans="1:6" x14ac:dyDescent="0.25">
      <c r="A43" s="2" t="s">
        <v>64</v>
      </c>
      <c r="B43" s="2" t="s">
        <v>63</v>
      </c>
      <c r="C43" s="42" t="str">
        <f t="shared" si="0"/>
        <v>Four Loko|Phusion Projects</v>
      </c>
      <c r="D43" s="2" t="s">
        <v>528</v>
      </c>
      <c r="E43" s="2" t="s">
        <v>528</v>
      </c>
      <c r="F43" t="str">
        <f t="shared" si="1"/>
        <v>Four Loko|Phusion Projects|FMB|FMB</v>
      </c>
    </row>
    <row r="44" spans="1:6" x14ac:dyDescent="0.25">
      <c r="A44" s="2" t="s">
        <v>108</v>
      </c>
      <c r="B44" s="2" t="s">
        <v>51</v>
      </c>
      <c r="C44" s="42" t="str">
        <f t="shared" si="0"/>
        <v>Leinenkugel|MolsonCoors Beverage Company</v>
      </c>
      <c r="D44" s="2" t="s">
        <v>512</v>
      </c>
      <c r="E44" s="2" t="s">
        <v>511</v>
      </c>
      <c r="F44" t="str">
        <f t="shared" si="1"/>
        <v>Leinenkugel|MolsonCoors Beverage Company|Beer|Beer - Craft</v>
      </c>
    </row>
    <row r="45" spans="1:6" x14ac:dyDescent="0.25">
      <c r="A45" s="2" t="s">
        <v>30</v>
      </c>
      <c r="B45" s="2" t="s">
        <v>51</v>
      </c>
      <c r="C45" s="42" t="str">
        <f t="shared" si="0"/>
        <v>Arnold Palmer|MolsonCoors Beverage Company</v>
      </c>
      <c r="D45" s="2" t="s">
        <v>528</v>
      </c>
      <c r="E45" s="2" t="s">
        <v>528</v>
      </c>
      <c r="F45" t="str">
        <f t="shared" si="1"/>
        <v>Arnold Palmer|MolsonCoors Beverage Company|FMB|FMB</v>
      </c>
    </row>
    <row r="46" spans="1:6" x14ac:dyDescent="0.25">
      <c r="A46" s="2" t="s">
        <v>142</v>
      </c>
      <c r="B46" s="2" t="s">
        <v>14</v>
      </c>
      <c r="C46" s="42" t="str">
        <f t="shared" si="0"/>
        <v>Hofbrau Usa|Hofbrauhaus USA</v>
      </c>
      <c r="D46" s="2" t="s">
        <v>512</v>
      </c>
      <c r="E46" s="2" t="s">
        <v>515</v>
      </c>
      <c r="F46" t="str">
        <f t="shared" si="1"/>
        <v>Hofbrau Usa|Hofbrauhaus USA|Beer|Beer - Import</v>
      </c>
    </row>
    <row r="47" spans="1:6" x14ac:dyDescent="0.25">
      <c r="A47" s="2" t="s">
        <v>39</v>
      </c>
      <c r="B47" s="2" t="s">
        <v>39</v>
      </c>
      <c r="C47" s="42" t="str">
        <f t="shared" si="0"/>
        <v>Stone Brewing|Stone Brewing</v>
      </c>
      <c r="D47" s="2" t="s">
        <v>512</v>
      </c>
      <c r="E47" s="2" t="s">
        <v>511</v>
      </c>
      <c r="F47" t="str">
        <f t="shared" si="1"/>
        <v>Stone Brewing|Stone Brewing|Beer|Beer - Craft</v>
      </c>
    </row>
    <row r="48" spans="1:6" x14ac:dyDescent="0.25">
      <c r="A48" s="2" t="s">
        <v>165</v>
      </c>
      <c r="B48" s="2" t="s">
        <v>379</v>
      </c>
      <c r="C48" s="42" t="str">
        <f t="shared" si="0"/>
        <v>Dab|Radeberger USA</v>
      </c>
      <c r="D48" s="2" t="s">
        <v>512</v>
      </c>
      <c r="E48" s="2" t="s">
        <v>515</v>
      </c>
      <c r="F48" t="str">
        <f t="shared" si="1"/>
        <v>Dab|Radeberger USA|Beer|Beer - Import</v>
      </c>
    </row>
    <row r="49" spans="1:6" x14ac:dyDescent="0.25">
      <c r="A49" s="2" t="s">
        <v>90</v>
      </c>
      <c r="B49" s="2" t="s">
        <v>260</v>
      </c>
      <c r="C49" s="42" t="str">
        <f t="shared" si="0"/>
        <v>St Ides|Pabst Brewing Company</v>
      </c>
      <c r="D49" s="2" t="s">
        <v>512</v>
      </c>
      <c r="E49" s="2" t="s">
        <v>534</v>
      </c>
      <c r="F49" t="str">
        <f t="shared" si="1"/>
        <v>St Ides|Pabst Brewing Company|Beer|Beer - Economy</v>
      </c>
    </row>
    <row r="50" spans="1:6" x14ac:dyDescent="0.25">
      <c r="A50" s="2" t="s">
        <v>9</v>
      </c>
      <c r="B50" s="2" t="s">
        <v>219</v>
      </c>
      <c r="C50" s="42" t="str">
        <f t="shared" si="0"/>
        <v>Monkey Family|Victory Brewing Company</v>
      </c>
      <c r="D50" s="2" t="s">
        <v>512</v>
      </c>
      <c r="E50" s="2" t="s">
        <v>511</v>
      </c>
      <c r="F50" t="str">
        <f t="shared" si="1"/>
        <v>Monkey Family|Victory Brewing Company|Beer|Beer - Craft</v>
      </c>
    </row>
    <row r="51" spans="1:6" x14ac:dyDescent="0.25">
      <c r="A51" s="2" t="s">
        <v>133</v>
      </c>
      <c r="B51" s="2" t="s">
        <v>260</v>
      </c>
      <c r="C51" s="42" t="str">
        <f t="shared" si="0"/>
        <v>Old Milwaukee|Pabst Brewing Company</v>
      </c>
      <c r="D51" s="2" t="s">
        <v>512</v>
      </c>
      <c r="E51" s="2" t="s">
        <v>534</v>
      </c>
      <c r="F51" t="str">
        <f t="shared" si="1"/>
        <v>Old Milwaukee|Pabst Brewing Company|Beer|Beer - Economy</v>
      </c>
    </row>
    <row r="52" spans="1:6" x14ac:dyDescent="0.25">
      <c r="A52" s="2" t="s">
        <v>186</v>
      </c>
      <c r="B52" s="2" t="s">
        <v>51</v>
      </c>
      <c r="C52" s="42" t="str">
        <f t="shared" si="0"/>
        <v>Keystone|MolsonCoors Beverage Company</v>
      </c>
      <c r="D52" s="2" t="s">
        <v>512</v>
      </c>
      <c r="E52" s="2" t="s">
        <v>534</v>
      </c>
      <c r="F52" t="str">
        <f t="shared" si="1"/>
        <v>Keystone|MolsonCoors Beverage Company|Beer|Beer - Economy</v>
      </c>
    </row>
    <row r="53" spans="1:6" x14ac:dyDescent="0.25">
      <c r="A53" s="2" t="s">
        <v>114</v>
      </c>
      <c r="B53" s="2" t="s">
        <v>12</v>
      </c>
      <c r="C53" s="42" t="str">
        <f t="shared" si="0"/>
        <v>Genesee|FIFCO</v>
      </c>
      <c r="D53" s="2" t="s">
        <v>512</v>
      </c>
      <c r="E53" s="2" t="s">
        <v>534</v>
      </c>
      <c r="F53" t="str">
        <f t="shared" si="1"/>
        <v>Genesee|FIFCO|Beer|Beer - Economy</v>
      </c>
    </row>
    <row r="54" spans="1:6" x14ac:dyDescent="0.25">
      <c r="A54" s="2" t="s">
        <v>11</v>
      </c>
      <c r="B54" s="2" t="s">
        <v>319</v>
      </c>
      <c r="C54" s="42" t="str">
        <f t="shared" si="0"/>
        <v>Doc's|Warwick Valley</v>
      </c>
      <c r="D54" s="2" t="s">
        <v>541</v>
      </c>
      <c r="E54" s="2" t="s">
        <v>541</v>
      </c>
      <c r="F54" t="str">
        <f t="shared" si="1"/>
        <v>Doc's|Warwick Valley|Cider|Cider</v>
      </c>
    </row>
    <row r="55" spans="1:6" x14ac:dyDescent="0.25">
      <c r="A55" s="2" t="s">
        <v>249</v>
      </c>
      <c r="B55" s="2" t="s">
        <v>249</v>
      </c>
      <c r="C55" s="42" t="str">
        <f t="shared" si="0"/>
        <v>Garage Beer|Garage Beer</v>
      </c>
      <c r="D55" s="2" t="s">
        <v>512</v>
      </c>
      <c r="E55" s="2" t="s">
        <v>511</v>
      </c>
      <c r="F55" t="str">
        <f t="shared" si="1"/>
        <v>Garage Beer|Garage Beer|Beer|Beer - Craft</v>
      </c>
    </row>
    <row r="56" spans="1:6" x14ac:dyDescent="0.25">
      <c r="A56" s="2" t="s">
        <v>191</v>
      </c>
      <c r="B56" s="2" t="s">
        <v>8</v>
      </c>
      <c r="C56" s="42" t="str">
        <f t="shared" si="0"/>
        <v>Flying Dog Brewing Co|FX Matt</v>
      </c>
      <c r="D56" s="2" t="s">
        <v>512</v>
      </c>
      <c r="E56" s="2" t="s">
        <v>511</v>
      </c>
      <c r="F56" t="str">
        <f t="shared" si="1"/>
        <v>Flying Dog Brewing Co|FX Matt|Beer|Beer - Craft</v>
      </c>
    </row>
    <row r="57" spans="1:6" x14ac:dyDescent="0.25">
      <c r="A57" s="2" t="s">
        <v>3</v>
      </c>
      <c r="B57" s="2" t="s">
        <v>394</v>
      </c>
      <c r="C57" s="42" t="str">
        <f t="shared" si="0"/>
        <v>Amstel|Heineken USA</v>
      </c>
      <c r="D57" s="2" t="s">
        <v>512</v>
      </c>
      <c r="E57" s="2" t="s">
        <v>515</v>
      </c>
      <c r="F57" t="str">
        <f t="shared" si="1"/>
        <v>Amstel|Heineken USA|Beer|Beer - Import</v>
      </c>
    </row>
    <row r="58" spans="1:6" x14ac:dyDescent="0.25">
      <c r="A58" s="2" t="s">
        <v>6</v>
      </c>
      <c r="B58" s="2" t="s">
        <v>260</v>
      </c>
      <c r="C58" s="42" t="str">
        <f t="shared" si="0"/>
        <v>Jack Daniels Country Cocktails|Pabst Brewing Company</v>
      </c>
      <c r="D58" s="2" t="s">
        <v>528</v>
      </c>
      <c r="E58" s="2" t="s">
        <v>528</v>
      </c>
      <c r="F58" t="str">
        <f t="shared" si="1"/>
        <v>Jack Daniels Country Cocktails|Pabst Brewing Company|FMB|FMB</v>
      </c>
    </row>
    <row r="59" spans="1:6" x14ac:dyDescent="0.25">
      <c r="A59" s="2" t="s">
        <v>283</v>
      </c>
      <c r="B59" s="2" t="s">
        <v>51</v>
      </c>
      <c r="C59" s="42" t="str">
        <f t="shared" si="0"/>
        <v>Steel Reserve|MolsonCoors Beverage Company</v>
      </c>
      <c r="D59" s="2" t="s">
        <v>512</v>
      </c>
      <c r="E59" s="2" t="s">
        <v>534</v>
      </c>
      <c r="F59" t="str">
        <f t="shared" si="1"/>
        <v>Steel Reserve|MolsonCoors Beverage Company|Beer|Beer - Economy</v>
      </c>
    </row>
    <row r="60" spans="1:6" x14ac:dyDescent="0.25">
      <c r="A60" s="2" t="s">
        <v>141</v>
      </c>
      <c r="B60" s="2" t="s">
        <v>141</v>
      </c>
      <c r="C60" s="42" t="str">
        <f t="shared" si="0"/>
        <v>Pride &amp; Clarke|Pride &amp; Clarke</v>
      </c>
      <c r="D60" s="2" t="s">
        <v>518</v>
      </c>
      <c r="E60" s="2" t="s">
        <v>517</v>
      </c>
      <c r="F60" t="str">
        <f t="shared" si="1"/>
        <v>Pride &amp; Clarke|Pride &amp; Clarke|Spirits|Spirits - Vodka</v>
      </c>
    </row>
    <row r="61" spans="1:6" x14ac:dyDescent="0.25">
      <c r="A61" s="2" t="s">
        <v>190</v>
      </c>
      <c r="B61" s="2" t="s">
        <v>139</v>
      </c>
      <c r="C61" s="42" t="str">
        <f t="shared" si="0"/>
        <v>Carib|Total Beverage Solutions</v>
      </c>
      <c r="D61" s="2" t="s">
        <v>512</v>
      </c>
      <c r="E61" s="2" t="s">
        <v>515</v>
      </c>
      <c r="F61" t="str">
        <f t="shared" si="1"/>
        <v>Carib|Total Beverage Solutions|Beer|Beer - Import</v>
      </c>
    </row>
    <row r="62" spans="1:6" x14ac:dyDescent="0.25">
      <c r="A62" s="2" t="s">
        <v>242</v>
      </c>
      <c r="B62" s="2" t="s">
        <v>394</v>
      </c>
      <c r="C62" s="42" t="str">
        <f t="shared" si="0"/>
        <v>Tecate|Heineken USA</v>
      </c>
      <c r="D62" s="2" t="s">
        <v>512</v>
      </c>
      <c r="E62" s="2" t="s">
        <v>515</v>
      </c>
      <c r="F62" t="str">
        <f t="shared" si="1"/>
        <v>Tecate|Heineken USA|Beer|Beer - Import</v>
      </c>
    </row>
    <row r="63" spans="1:6" x14ac:dyDescent="0.25">
      <c r="A63" s="2" t="s">
        <v>245</v>
      </c>
      <c r="B63" s="2" t="s">
        <v>34</v>
      </c>
      <c r="C63" s="42" t="str">
        <f t="shared" si="0"/>
        <v>Mike's Harder|Mark Anthony</v>
      </c>
      <c r="D63" s="2" t="s">
        <v>528</v>
      </c>
      <c r="E63" s="2" t="s">
        <v>528</v>
      </c>
      <c r="F63" t="str">
        <f t="shared" si="1"/>
        <v>Mike's Harder|Mark Anthony|FMB|FMB</v>
      </c>
    </row>
    <row r="64" spans="1:6" x14ac:dyDescent="0.25">
      <c r="A64" s="2" t="s">
        <v>284</v>
      </c>
      <c r="B64" s="2" t="s">
        <v>51</v>
      </c>
      <c r="C64" s="42" t="str">
        <f t="shared" si="0"/>
        <v>Miller Extra Light|MolsonCoors Beverage Company</v>
      </c>
      <c r="D64" s="2" t="s">
        <v>512</v>
      </c>
      <c r="E64" s="2" t="s">
        <v>546</v>
      </c>
      <c r="F64" t="str">
        <f t="shared" si="1"/>
        <v>Miller Extra Light|MolsonCoors Beverage Company|Beer|Beer - Super Premium</v>
      </c>
    </row>
    <row r="65" spans="1:6" x14ac:dyDescent="0.25">
      <c r="A65" s="2" t="s">
        <v>372</v>
      </c>
      <c r="B65" s="2" t="s">
        <v>51</v>
      </c>
      <c r="C65" s="42" t="str">
        <f t="shared" si="0"/>
        <v>Molson|MolsonCoors Beverage Company</v>
      </c>
      <c r="D65" s="2" t="s">
        <v>512</v>
      </c>
      <c r="E65" s="2" t="s">
        <v>515</v>
      </c>
      <c r="F65" t="str">
        <f t="shared" si="1"/>
        <v>Molson|MolsonCoors Beverage Company|Beer|Beer - Import</v>
      </c>
    </row>
    <row r="66" spans="1:6" x14ac:dyDescent="0.25">
      <c r="A66" s="2" t="s">
        <v>1</v>
      </c>
      <c r="B66" s="2" t="s">
        <v>51</v>
      </c>
      <c r="C66" s="42" t="str">
        <f t="shared" si="0"/>
        <v>Pilsner Urquell|MolsonCoors Beverage Company</v>
      </c>
      <c r="D66" s="2" t="s">
        <v>512</v>
      </c>
      <c r="E66" s="2" t="s">
        <v>515</v>
      </c>
      <c r="F66" t="str">
        <f t="shared" si="1"/>
        <v>Pilsner Urquell|MolsonCoors Beverage Company|Beer|Beer - Import</v>
      </c>
    </row>
    <row r="67" spans="1:6" x14ac:dyDescent="0.25">
      <c r="A67" s="2" t="s">
        <v>36</v>
      </c>
      <c r="B67" s="2" t="s">
        <v>260</v>
      </c>
      <c r="C67" s="42" t="str">
        <f t="shared" ref="C67:C130" si="2">A67&amp;"|"&amp;B67</f>
        <v>Schlitz Malt|Pabst Brewing Company</v>
      </c>
      <c r="D67" s="2" t="s">
        <v>512</v>
      </c>
      <c r="E67" s="2" t="s">
        <v>534</v>
      </c>
      <c r="F67" t="str">
        <f t="shared" ref="F67:F130" si="3">A67&amp;"|"&amp;B67&amp;"|"&amp;D67&amp;"|"&amp;E67</f>
        <v>Schlitz Malt|Pabst Brewing Company|Beer|Beer - Economy</v>
      </c>
    </row>
    <row r="68" spans="1:6" x14ac:dyDescent="0.25">
      <c r="A68" s="2" t="s">
        <v>61</v>
      </c>
      <c r="B68" s="2" t="s">
        <v>379</v>
      </c>
      <c r="C68" s="42" t="str">
        <f t="shared" si="2"/>
        <v>Schofferhofer|Radeberger USA</v>
      </c>
      <c r="D68" s="2" t="s">
        <v>512</v>
      </c>
      <c r="E68" s="2" t="s">
        <v>515</v>
      </c>
      <c r="F68" t="str">
        <f t="shared" si="3"/>
        <v>Schofferhofer|Radeberger USA|Beer|Beer - Import</v>
      </c>
    </row>
    <row r="69" spans="1:6" x14ac:dyDescent="0.25">
      <c r="A69" s="2" t="s">
        <v>157</v>
      </c>
      <c r="B69" s="2" t="s">
        <v>390</v>
      </c>
      <c r="C69" s="42" t="str">
        <f t="shared" si="2"/>
        <v>Corona Sunbrew|Constellation Brands</v>
      </c>
      <c r="D69" s="2" t="s">
        <v>512</v>
      </c>
      <c r="E69" s="2" t="s">
        <v>515</v>
      </c>
      <c r="F69" t="str">
        <f t="shared" si="3"/>
        <v>Corona Sunbrew|Constellation Brands|Beer|Beer - Import</v>
      </c>
    </row>
    <row r="70" spans="1:6" x14ac:dyDescent="0.25">
      <c r="A70" s="2" t="s">
        <v>266</v>
      </c>
      <c r="B70" s="2" t="s">
        <v>266</v>
      </c>
      <c r="C70" s="42" t="str">
        <f t="shared" si="2"/>
        <v>Paulaner|Paulaner</v>
      </c>
      <c r="D70" s="2" t="s">
        <v>512</v>
      </c>
      <c r="E70" s="2" t="s">
        <v>515</v>
      </c>
      <c r="F70" t="str">
        <f t="shared" si="3"/>
        <v>Paulaner|Paulaner|Beer|Beer - Import</v>
      </c>
    </row>
    <row r="71" spans="1:6" x14ac:dyDescent="0.25">
      <c r="A71" s="2" t="s">
        <v>187</v>
      </c>
      <c r="B71" s="2" t="s">
        <v>51</v>
      </c>
      <c r="C71" s="42" t="str">
        <f t="shared" si="2"/>
        <v>Miller Genuine Draft|MolsonCoors Beverage Company</v>
      </c>
      <c r="D71" s="2" t="s">
        <v>512</v>
      </c>
      <c r="E71" s="2" t="s">
        <v>534</v>
      </c>
      <c r="F71" t="str">
        <f t="shared" si="3"/>
        <v>Miller Genuine Draft|MolsonCoors Beverage Company|Beer|Beer - Economy</v>
      </c>
    </row>
    <row r="72" spans="1:6" x14ac:dyDescent="0.25">
      <c r="A72" s="2" t="s">
        <v>290</v>
      </c>
      <c r="B72" s="2" t="s">
        <v>135</v>
      </c>
      <c r="C72" s="42" t="str">
        <f t="shared" si="2"/>
        <v>Yuengling Flight|DG Yuengling Inc</v>
      </c>
      <c r="D72" s="2" t="s">
        <v>512</v>
      </c>
      <c r="E72" s="2" t="s">
        <v>534</v>
      </c>
      <c r="F72" t="str">
        <f t="shared" si="3"/>
        <v>Yuengling Flight|DG Yuengling Inc|Beer|Beer - Economy</v>
      </c>
    </row>
    <row r="73" spans="1:6" x14ac:dyDescent="0.25">
      <c r="A73" s="2" t="s">
        <v>183</v>
      </c>
      <c r="B73" s="2" t="s">
        <v>390</v>
      </c>
      <c r="C73" s="42" t="str">
        <f t="shared" si="2"/>
        <v>Corona NA|Constellation Brands</v>
      </c>
      <c r="D73" s="2" t="s">
        <v>512</v>
      </c>
      <c r="E73" s="2" t="s">
        <v>529</v>
      </c>
      <c r="F73" t="str">
        <f t="shared" si="3"/>
        <v>Corona NA|Constellation Brands|Beer|Beer - Non-Alc</v>
      </c>
    </row>
    <row r="74" spans="1:6" x14ac:dyDescent="0.25">
      <c r="A74" s="2" t="s">
        <v>263</v>
      </c>
      <c r="B74" s="2" t="s">
        <v>166</v>
      </c>
      <c r="C74" s="42" t="str">
        <f t="shared" si="2"/>
        <v>Dragon Stout|US Beverage</v>
      </c>
      <c r="D74" s="2" t="s">
        <v>512</v>
      </c>
      <c r="E74" s="2" t="s">
        <v>515</v>
      </c>
      <c r="F74" t="str">
        <f t="shared" si="3"/>
        <v>Dragon Stout|US Beverage|Beer|Beer - Import</v>
      </c>
    </row>
    <row r="75" spans="1:6" x14ac:dyDescent="0.25">
      <c r="A75" s="2" t="s">
        <v>399</v>
      </c>
      <c r="B75" s="2" t="s">
        <v>139</v>
      </c>
      <c r="C75" s="42" t="str">
        <f t="shared" si="2"/>
        <v>Magners|Total Beverage Solutions</v>
      </c>
      <c r="D75" s="2" t="s">
        <v>541</v>
      </c>
      <c r="E75" s="2" t="s">
        <v>541</v>
      </c>
      <c r="F75" t="str">
        <f t="shared" si="3"/>
        <v>Magners|Total Beverage Solutions|Cider|Cider</v>
      </c>
    </row>
    <row r="76" spans="1:6" x14ac:dyDescent="0.25">
      <c r="A76" s="2" t="s">
        <v>395</v>
      </c>
      <c r="B76" s="2" t="s">
        <v>394</v>
      </c>
      <c r="C76" s="42" t="str">
        <f t="shared" si="2"/>
        <v>Dos Equis|Heineken USA</v>
      </c>
      <c r="D76" s="2" t="s">
        <v>512</v>
      </c>
      <c r="E76" s="2" t="s">
        <v>515</v>
      </c>
      <c r="F76" t="str">
        <f t="shared" si="3"/>
        <v>Dos Equis|Heineken USA|Beer|Beer - Import</v>
      </c>
    </row>
    <row r="77" spans="1:6" x14ac:dyDescent="0.25">
      <c r="A77" s="2" t="s">
        <v>143</v>
      </c>
      <c r="B77" s="2" t="s">
        <v>143</v>
      </c>
      <c r="C77" s="42" t="str">
        <f t="shared" si="2"/>
        <v>Narragansett|Narragansett</v>
      </c>
      <c r="D77" s="2" t="s">
        <v>512</v>
      </c>
      <c r="E77" s="2" t="s">
        <v>511</v>
      </c>
      <c r="F77" t="str">
        <f t="shared" si="3"/>
        <v>Narragansett|Narragansett|Beer|Beer - Craft</v>
      </c>
    </row>
    <row r="78" spans="1:6" x14ac:dyDescent="0.25">
      <c r="A78" s="2" t="s">
        <v>58</v>
      </c>
      <c r="B78" s="2" t="s">
        <v>139</v>
      </c>
      <c r="C78" s="42" t="str">
        <f t="shared" si="2"/>
        <v>Weihenstephaner|Total Beverage Solutions</v>
      </c>
      <c r="D78" s="2" t="s">
        <v>512</v>
      </c>
      <c r="E78" s="2" t="s">
        <v>515</v>
      </c>
      <c r="F78" t="str">
        <f t="shared" si="3"/>
        <v>Weihenstephaner|Total Beverage Solutions|Beer|Beer - Import</v>
      </c>
    </row>
    <row r="79" spans="1:6" x14ac:dyDescent="0.25">
      <c r="A79" s="2" t="s">
        <v>291</v>
      </c>
      <c r="B79" s="2" t="s">
        <v>189</v>
      </c>
      <c r="C79" s="42" t="str">
        <f t="shared" si="2"/>
        <v>Fat Tire Family|New Belgium Brewing Company</v>
      </c>
      <c r="D79" s="2" t="s">
        <v>512</v>
      </c>
      <c r="E79" s="2" t="s">
        <v>511</v>
      </c>
      <c r="F79" t="str">
        <f t="shared" si="3"/>
        <v>Fat Tire Family|New Belgium Brewing Company|Beer|Beer - Craft</v>
      </c>
    </row>
    <row r="80" spans="1:6" x14ac:dyDescent="0.25">
      <c r="A80" s="2" t="s">
        <v>238</v>
      </c>
      <c r="B80" s="2" t="s">
        <v>51</v>
      </c>
      <c r="C80" s="42" t="str">
        <f t="shared" si="2"/>
        <v>Milwaukee's Best Ice|MolsonCoors Beverage Company</v>
      </c>
      <c r="D80" s="2" t="s">
        <v>512</v>
      </c>
      <c r="E80" s="2" t="s">
        <v>534</v>
      </c>
      <c r="F80" t="str">
        <f t="shared" si="3"/>
        <v>Milwaukee's Best Ice|MolsonCoors Beverage Company|Beer|Beer - Economy</v>
      </c>
    </row>
    <row r="81" spans="1:6" x14ac:dyDescent="0.25">
      <c r="A81" s="2" t="s">
        <v>217</v>
      </c>
      <c r="B81" s="2" t="s">
        <v>135</v>
      </c>
      <c r="C81" s="42" t="str">
        <f t="shared" si="2"/>
        <v>Yuengling Light Lager|DG Yuengling Inc</v>
      </c>
      <c r="D81" s="2" t="s">
        <v>512</v>
      </c>
      <c r="E81" s="2" t="s">
        <v>534</v>
      </c>
      <c r="F81" t="str">
        <f t="shared" si="3"/>
        <v>Yuengling Light Lager|DG Yuengling Inc|Beer|Beer - Economy</v>
      </c>
    </row>
    <row r="82" spans="1:6" x14ac:dyDescent="0.25">
      <c r="A82" s="2" t="s">
        <v>312</v>
      </c>
      <c r="B82" s="2" t="s">
        <v>394</v>
      </c>
      <c r="C82" s="42" t="str">
        <f t="shared" si="2"/>
        <v>Red Stripe|Heineken USA</v>
      </c>
      <c r="D82" s="2" t="s">
        <v>512</v>
      </c>
      <c r="E82" s="2" t="s">
        <v>515</v>
      </c>
      <c r="F82" t="str">
        <f t="shared" si="3"/>
        <v>Red Stripe|Heineken USA|Beer|Beer - Import</v>
      </c>
    </row>
    <row r="83" spans="1:6" x14ac:dyDescent="0.25">
      <c r="A83" s="2" t="s">
        <v>65</v>
      </c>
      <c r="B83" s="2" t="s">
        <v>65</v>
      </c>
      <c r="C83" s="42" t="str">
        <f t="shared" si="2"/>
        <v>Red Bull|Red Bull</v>
      </c>
      <c r="D83" s="2" t="s">
        <v>514</v>
      </c>
      <c r="E83" s="2" t="s">
        <v>545</v>
      </c>
      <c r="F83" t="str">
        <f t="shared" si="3"/>
        <v>Red Bull|Red Bull|Non-Alc|Non-Alc - Energy</v>
      </c>
    </row>
    <row r="84" spans="1:6" x14ac:dyDescent="0.25">
      <c r="A84" s="2" t="s">
        <v>15</v>
      </c>
      <c r="B84" s="2" t="s">
        <v>223</v>
      </c>
      <c r="C84" s="42" t="str">
        <f t="shared" si="2"/>
        <v>1911 Hard Cider|Beak &amp; Skiff</v>
      </c>
      <c r="D84" s="2" t="s">
        <v>541</v>
      </c>
      <c r="E84" s="2" t="s">
        <v>541</v>
      </c>
      <c r="F84" t="str">
        <f t="shared" si="3"/>
        <v>1911 Hard Cider|Beak &amp; Skiff|Cider|Cider</v>
      </c>
    </row>
    <row r="85" spans="1:6" x14ac:dyDescent="0.25">
      <c r="A85" s="2" t="s">
        <v>321</v>
      </c>
      <c r="B85" s="2" t="s">
        <v>321</v>
      </c>
      <c r="C85" s="42" t="str">
        <f t="shared" si="2"/>
        <v>Saratoga|Saratoga</v>
      </c>
      <c r="D85" s="2" t="s">
        <v>514</v>
      </c>
      <c r="E85" s="2" t="s">
        <v>544</v>
      </c>
      <c r="F85" t="str">
        <f t="shared" si="3"/>
        <v>Saratoga|Saratoga|Non-Alc|Non-Alc - Water</v>
      </c>
    </row>
    <row r="86" spans="1:6" x14ac:dyDescent="0.25">
      <c r="A86" s="2" t="s">
        <v>4</v>
      </c>
      <c r="B86" s="2" t="s">
        <v>88</v>
      </c>
      <c r="C86" s="42" t="str">
        <f t="shared" si="2"/>
        <v>Dogfish Head Spirits|Boston Beer Company</v>
      </c>
      <c r="D86" s="2" t="s">
        <v>510</v>
      </c>
      <c r="E86" s="2" t="s">
        <v>510</v>
      </c>
      <c r="F86" t="str">
        <f t="shared" si="3"/>
        <v>Dogfish Head Spirits|Boston Beer Company|RTD|RTD</v>
      </c>
    </row>
    <row r="87" spans="1:6" x14ac:dyDescent="0.25">
      <c r="A87" s="2" t="s">
        <v>158</v>
      </c>
      <c r="B87" s="2" t="s">
        <v>51</v>
      </c>
      <c r="C87" s="42" t="str">
        <f t="shared" si="2"/>
        <v>Old English|MolsonCoors Beverage Company</v>
      </c>
      <c r="D87" s="2" t="s">
        <v>512</v>
      </c>
      <c r="E87" s="2" t="s">
        <v>534</v>
      </c>
      <c r="F87" t="str">
        <f t="shared" si="3"/>
        <v>Old English|MolsonCoors Beverage Company|Beer|Beer - Economy</v>
      </c>
    </row>
    <row r="88" spans="1:6" x14ac:dyDescent="0.25">
      <c r="A88" s="2" t="s">
        <v>67</v>
      </c>
      <c r="B88" s="2" t="s">
        <v>267</v>
      </c>
      <c r="C88" s="42" t="str">
        <f t="shared" si="2"/>
        <v>Palma|Artisanal Imports</v>
      </c>
      <c r="D88" s="2" t="s">
        <v>512</v>
      </c>
      <c r="E88" s="2" t="s">
        <v>515</v>
      </c>
      <c r="F88" t="str">
        <f t="shared" si="3"/>
        <v>Palma|Artisanal Imports|Beer|Beer - Import</v>
      </c>
    </row>
    <row r="89" spans="1:6" x14ac:dyDescent="0.25">
      <c r="A89" s="2" t="s">
        <v>401</v>
      </c>
      <c r="B89" s="2" t="s">
        <v>379</v>
      </c>
      <c r="C89" s="42" t="str">
        <f t="shared" si="2"/>
        <v>Radeberger|Radeberger USA</v>
      </c>
      <c r="D89" s="2" t="s">
        <v>512</v>
      </c>
      <c r="E89" s="2" t="s">
        <v>515</v>
      </c>
      <c r="F89" t="str">
        <f t="shared" si="3"/>
        <v>Radeberger|Radeberger USA|Beer|Beer - Import</v>
      </c>
    </row>
    <row r="90" spans="1:6" x14ac:dyDescent="0.25">
      <c r="A90" s="2" t="s">
        <v>350</v>
      </c>
      <c r="B90" s="2" t="s">
        <v>224</v>
      </c>
      <c r="C90" s="42" t="str">
        <f t="shared" si="2"/>
        <v>Southern Tier|Southern Tier Brewing Company</v>
      </c>
      <c r="D90" s="2" t="s">
        <v>512</v>
      </c>
      <c r="E90" s="2" t="s">
        <v>511</v>
      </c>
      <c r="F90" t="str">
        <f t="shared" si="3"/>
        <v>Southern Tier|Southern Tier Brewing Company|Beer|Beer - Craft</v>
      </c>
    </row>
    <row r="91" spans="1:6" x14ac:dyDescent="0.25">
      <c r="A91" s="2" t="s">
        <v>285</v>
      </c>
      <c r="B91" s="2" t="s">
        <v>51</v>
      </c>
      <c r="C91" s="42" t="str">
        <f t="shared" si="2"/>
        <v>Grolsch|MolsonCoors Beverage Company</v>
      </c>
      <c r="D91" s="2" t="s">
        <v>512</v>
      </c>
      <c r="E91" s="2" t="s">
        <v>515</v>
      </c>
      <c r="F91" t="str">
        <f t="shared" si="3"/>
        <v>Grolsch|MolsonCoors Beverage Company|Beer|Beer - Import</v>
      </c>
    </row>
    <row r="92" spans="1:6" x14ac:dyDescent="0.25">
      <c r="A92" s="2" t="s">
        <v>286</v>
      </c>
      <c r="B92" s="2" t="s">
        <v>51</v>
      </c>
      <c r="C92" s="42" t="str">
        <f t="shared" si="2"/>
        <v>Cusquena|MolsonCoors Beverage Company</v>
      </c>
      <c r="D92" s="2" t="s">
        <v>512</v>
      </c>
      <c r="E92" s="2" t="s">
        <v>515</v>
      </c>
      <c r="F92" t="str">
        <f t="shared" si="3"/>
        <v>Cusquena|MolsonCoors Beverage Company|Beer|Beer - Import</v>
      </c>
    </row>
    <row r="93" spans="1:6" x14ac:dyDescent="0.25">
      <c r="A93" s="2" t="s">
        <v>60</v>
      </c>
      <c r="B93" s="2" t="s">
        <v>8</v>
      </c>
      <c r="C93" s="42" t="str">
        <f t="shared" si="2"/>
        <v>Saranac|FX Matt</v>
      </c>
      <c r="D93" s="2" t="s">
        <v>512</v>
      </c>
      <c r="E93" s="2" t="s">
        <v>511</v>
      </c>
      <c r="F93" t="str">
        <f t="shared" si="3"/>
        <v>Saranac|FX Matt|Beer|Beer - Craft</v>
      </c>
    </row>
    <row r="94" spans="1:6" x14ac:dyDescent="0.25">
      <c r="A94" s="2" t="s">
        <v>343</v>
      </c>
      <c r="B94" s="2" t="s">
        <v>135</v>
      </c>
      <c r="C94" s="42" t="str">
        <f t="shared" si="2"/>
        <v>Yuengling Black &amp; Tan|DG Yuengling Inc</v>
      </c>
      <c r="D94" s="2" t="s">
        <v>512</v>
      </c>
      <c r="E94" s="2" t="s">
        <v>534</v>
      </c>
      <c r="F94" t="str">
        <f t="shared" si="3"/>
        <v>Yuengling Black &amp; Tan|DG Yuengling Inc|Beer|Beer - Economy</v>
      </c>
    </row>
    <row r="95" spans="1:6" x14ac:dyDescent="0.25">
      <c r="A95" s="2" t="s">
        <v>161</v>
      </c>
      <c r="B95" s="2" t="s">
        <v>88</v>
      </c>
      <c r="C95" s="42" t="str">
        <f t="shared" si="2"/>
        <v>Hard Mountain Dew|Boston Beer Company</v>
      </c>
      <c r="D95" s="2" t="s">
        <v>528</v>
      </c>
      <c r="E95" s="2" t="s">
        <v>528</v>
      </c>
      <c r="F95" t="str">
        <f t="shared" si="3"/>
        <v>Hard Mountain Dew|Boston Beer Company|FMB|FMB</v>
      </c>
    </row>
    <row r="96" spans="1:6" x14ac:dyDescent="0.25">
      <c r="A96" s="2" t="s">
        <v>184</v>
      </c>
      <c r="B96" s="2" t="s">
        <v>390</v>
      </c>
      <c r="C96" s="42" t="str">
        <f t="shared" si="2"/>
        <v>Modelo Oro|Constellation Brands</v>
      </c>
      <c r="D96" s="2" t="s">
        <v>512</v>
      </c>
      <c r="E96" s="2" t="s">
        <v>515</v>
      </c>
      <c r="F96" t="str">
        <f t="shared" si="3"/>
        <v>Modelo Oro|Constellation Brands|Beer|Beer - Import</v>
      </c>
    </row>
    <row r="97" spans="1:6" x14ac:dyDescent="0.25">
      <c r="A97" s="2" t="s">
        <v>89</v>
      </c>
      <c r="B97" s="2" t="s">
        <v>34</v>
      </c>
      <c r="C97" s="42" t="str">
        <f t="shared" si="2"/>
        <v>White Claw|Mark Anthony</v>
      </c>
      <c r="D97" s="2" t="s">
        <v>510</v>
      </c>
      <c r="E97" s="2" t="s">
        <v>510</v>
      </c>
      <c r="F97" t="str">
        <f t="shared" si="3"/>
        <v>White Claw|Mark Anthony|RTD|RTD</v>
      </c>
    </row>
    <row r="98" spans="1:6" x14ac:dyDescent="0.25">
      <c r="A98" s="2" t="s">
        <v>220</v>
      </c>
      <c r="B98" s="2" t="s">
        <v>219</v>
      </c>
      <c r="C98" s="42" t="str">
        <f t="shared" si="2"/>
        <v>Victory|Victory Brewing Company</v>
      </c>
      <c r="D98" s="2" t="s">
        <v>512</v>
      </c>
      <c r="E98" s="2" t="s">
        <v>511</v>
      </c>
      <c r="F98" t="str">
        <f t="shared" si="3"/>
        <v>Victory|Victory Brewing Company|Beer|Beer - Craft</v>
      </c>
    </row>
    <row r="99" spans="1:6" x14ac:dyDescent="0.25">
      <c r="A99" s="2" t="s">
        <v>60</v>
      </c>
      <c r="B99" s="2" t="s">
        <v>8</v>
      </c>
      <c r="C99" s="42" t="str">
        <f t="shared" si="2"/>
        <v>Saranac|FX Matt</v>
      </c>
      <c r="D99" s="2" t="s">
        <v>514</v>
      </c>
      <c r="E99" s="2" t="s">
        <v>513</v>
      </c>
      <c r="F99" t="str">
        <f t="shared" si="3"/>
        <v>Saranac|FX Matt|Non-Alc|Non-Alc - Soda</v>
      </c>
    </row>
    <row r="100" spans="1:6" x14ac:dyDescent="0.25">
      <c r="A100" s="2" t="s">
        <v>57</v>
      </c>
      <c r="B100" s="2" t="s">
        <v>260</v>
      </c>
      <c r="C100" s="42" t="str">
        <f t="shared" si="2"/>
        <v>Schaefer|Pabst Brewing Company</v>
      </c>
      <c r="D100" s="2" t="s">
        <v>512</v>
      </c>
      <c r="E100" s="2" t="s">
        <v>534</v>
      </c>
      <c r="F100" t="str">
        <f t="shared" si="3"/>
        <v>Schaefer|Pabst Brewing Company|Beer|Beer - Economy</v>
      </c>
    </row>
    <row r="101" spans="1:6" x14ac:dyDescent="0.25">
      <c r="A101" s="2" t="s">
        <v>404</v>
      </c>
      <c r="B101" s="2" t="s">
        <v>250</v>
      </c>
      <c r="C101" s="42" t="str">
        <f t="shared" si="2"/>
        <v>Cerveza Republica La Tuya 5.0 La Dura|Vinaio Imports LTD</v>
      </c>
      <c r="D101" s="2" t="s">
        <v>512</v>
      </c>
      <c r="E101" s="2" t="s">
        <v>515</v>
      </c>
      <c r="F101" t="str">
        <f t="shared" si="3"/>
        <v>Cerveza Republica La Tuya 5.0 La Dura|Vinaio Imports LTD|Beer|Beer - Import</v>
      </c>
    </row>
    <row r="102" spans="1:6" x14ac:dyDescent="0.25">
      <c r="A102" s="2" t="s">
        <v>351</v>
      </c>
      <c r="B102" s="2" t="s">
        <v>351</v>
      </c>
      <c r="C102" s="42" t="str">
        <f t="shared" si="2"/>
        <v>Evil Genius|Evil Genius</v>
      </c>
      <c r="D102" s="2" t="s">
        <v>512</v>
      </c>
      <c r="E102" s="2" t="s">
        <v>511</v>
      </c>
      <c r="F102" t="str">
        <f t="shared" si="3"/>
        <v>Evil Genius|Evil Genius|Beer|Beer - Craft</v>
      </c>
    </row>
    <row r="103" spans="1:6" x14ac:dyDescent="0.25">
      <c r="A103" s="2" t="s">
        <v>66</v>
      </c>
      <c r="B103" s="2" t="s">
        <v>267</v>
      </c>
      <c r="C103" s="42" t="str">
        <f t="shared" si="2"/>
        <v>Tona|Artisanal Imports</v>
      </c>
      <c r="D103" s="2" t="s">
        <v>512</v>
      </c>
      <c r="E103" s="2" t="s">
        <v>515</v>
      </c>
      <c r="F103" t="str">
        <f t="shared" si="3"/>
        <v>Tona|Artisanal Imports|Beer|Beer - Import</v>
      </c>
    </row>
    <row r="104" spans="1:6" x14ac:dyDescent="0.25">
      <c r="A104" s="2" t="s">
        <v>17</v>
      </c>
      <c r="B104" s="2" t="s">
        <v>17</v>
      </c>
      <c r="C104" s="42" t="str">
        <f t="shared" si="2"/>
        <v>Great Lakes|Great Lakes</v>
      </c>
      <c r="D104" s="2" t="s">
        <v>512</v>
      </c>
      <c r="E104" s="2" t="s">
        <v>511</v>
      </c>
      <c r="F104" t="str">
        <f t="shared" si="3"/>
        <v>Great Lakes|Great Lakes|Beer|Beer - Craft</v>
      </c>
    </row>
    <row r="105" spans="1:6" x14ac:dyDescent="0.25">
      <c r="A105" s="2" t="s">
        <v>398</v>
      </c>
      <c r="B105" s="2" t="s">
        <v>189</v>
      </c>
      <c r="C105" s="42" t="str">
        <f t="shared" si="2"/>
        <v>Kirin Ichiban|New Belgium Brewing Company</v>
      </c>
      <c r="D105" s="2" t="s">
        <v>512</v>
      </c>
      <c r="E105" s="2" t="s">
        <v>515</v>
      </c>
      <c r="F105" t="str">
        <f t="shared" si="3"/>
        <v>Kirin Ichiban|New Belgium Brewing Company|Beer|Beer - Import</v>
      </c>
    </row>
    <row r="106" spans="1:6" x14ac:dyDescent="0.25">
      <c r="A106" s="2" t="s">
        <v>365</v>
      </c>
      <c r="B106" s="2" t="s">
        <v>180</v>
      </c>
      <c r="C106" s="42" t="str">
        <f t="shared" si="2"/>
        <v>DELTA|Delta Beverage LLC</v>
      </c>
      <c r="D106" s="2" t="s">
        <v>531</v>
      </c>
      <c r="E106" s="2" t="s">
        <v>531</v>
      </c>
      <c r="F106" t="str">
        <f t="shared" si="3"/>
        <v>DELTA|Delta Beverage LLC|THC|THC</v>
      </c>
    </row>
    <row r="107" spans="1:6" x14ac:dyDescent="0.25">
      <c r="A107" s="2" t="s">
        <v>381</v>
      </c>
      <c r="B107" s="2" t="s">
        <v>381</v>
      </c>
      <c r="C107" s="42" t="str">
        <f t="shared" si="2"/>
        <v>Travelers Club|Travelers Club</v>
      </c>
      <c r="D107" s="2" t="s">
        <v>518</v>
      </c>
      <c r="E107" s="2" t="s">
        <v>517</v>
      </c>
      <c r="F107" t="str">
        <f t="shared" si="3"/>
        <v>Travelers Club|Travelers Club|Spirits|Spirits - Vodka</v>
      </c>
    </row>
    <row r="108" spans="1:6" x14ac:dyDescent="0.25">
      <c r="A108" s="2" t="s">
        <v>215</v>
      </c>
      <c r="B108" s="2" t="s">
        <v>51</v>
      </c>
      <c r="C108" s="42" t="str">
        <f t="shared" si="2"/>
        <v>Simply Spiked|MolsonCoors Beverage Company</v>
      </c>
      <c r="D108" s="2" t="s">
        <v>528</v>
      </c>
      <c r="E108" s="2" t="s">
        <v>528</v>
      </c>
      <c r="F108" t="str">
        <f t="shared" si="3"/>
        <v>Simply Spiked|MolsonCoors Beverage Company|FMB|FMB</v>
      </c>
    </row>
    <row r="109" spans="1:6" x14ac:dyDescent="0.25">
      <c r="A109" s="2" t="s">
        <v>282</v>
      </c>
      <c r="B109" s="2" t="s">
        <v>51</v>
      </c>
      <c r="C109" s="42" t="str">
        <f t="shared" si="2"/>
        <v>Peroni|MolsonCoors Beverage Company</v>
      </c>
      <c r="D109" s="2" t="s">
        <v>512</v>
      </c>
      <c r="E109" s="2" t="s">
        <v>529</v>
      </c>
      <c r="F109" t="str">
        <f t="shared" si="3"/>
        <v>Peroni|MolsonCoors Beverage Company|Beer|Beer - Non-Alc</v>
      </c>
    </row>
    <row r="110" spans="1:6" x14ac:dyDescent="0.25">
      <c r="A110" s="2" t="s">
        <v>136</v>
      </c>
      <c r="B110" s="2" t="s">
        <v>135</v>
      </c>
      <c r="C110" s="42" t="str">
        <f t="shared" si="2"/>
        <v>Yuengling Premium|DG Yuengling Inc</v>
      </c>
      <c r="D110" s="2" t="s">
        <v>512</v>
      </c>
      <c r="E110" s="2" t="s">
        <v>534</v>
      </c>
      <c r="F110" t="str">
        <f t="shared" si="3"/>
        <v>Yuengling Premium|DG Yuengling Inc|Beer|Beer - Economy</v>
      </c>
    </row>
    <row r="111" spans="1:6" x14ac:dyDescent="0.25">
      <c r="A111" s="2" t="s">
        <v>189</v>
      </c>
      <c r="B111" s="2" t="s">
        <v>189</v>
      </c>
      <c r="C111" s="42" t="str">
        <f t="shared" si="2"/>
        <v>New Belgium Brewing Company|New Belgium Brewing Company</v>
      </c>
      <c r="D111" s="2" t="s">
        <v>512</v>
      </c>
      <c r="E111" s="2" t="s">
        <v>511</v>
      </c>
      <c r="F111" t="str">
        <f t="shared" si="3"/>
        <v>New Belgium Brewing Company|New Belgium Brewing Company|Beer|Beer - Craft</v>
      </c>
    </row>
    <row r="112" spans="1:6" x14ac:dyDescent="0.25">
      <c r="A112" s="2" t="s">
        <v>323</v>
      </c>
      <c r="B112" s="2" t="s">
        <v>405</v>
      </c>
      <c r="C112" s="42" t="str">
        <f t="shared" si="2"/>
        <v>Long Trail|Harpoon Brewery</v>
      </c>
      <c r="D112" s="2" t="s">
        <v>512</v>
      </c>
      <c r="E112" s="2" t="s">
        <v>511</v>
      </c>
      <c r="F112" t="str">
        <f t="shared" si="3"/>
        <v>Long Trail|Harpoon Brewery|Beer|Beer - Craft</v>
      </c>
    </row>
    <row r="113" spans="1:6" x14ac:dyDescent="0.25">
      <c r="A113" s="2" t="s">
        <v>32</v>
      </c>
      <c r="B113" s="2" t="s">
        <v>394</v>
      </c>
      <c r="C113" s="42" t="str">
        <f t="shared" si="2"/>
        <v>Heineken Silver|Heineken USA</v>
      </c>
      <c r="D113" s="2" t="s">
        <v>512</v>
      </c>
      <c r="E113" s="2" t="s">
        <v>515</v>
      </c>
      <c r="F113" t="str">
        <f t="shared" si="3"/>
        <v>Heineken Silver|Heineken USA|Beer|Beer - Import</v>
      </c>
    </row>
    <row r="114" spans="1:6" x14ac:dyDescent="0.25">
      <c r="A114" s="2" t="s">
        <v>296</v>
      </c>
      <c r="B114" s="2" t="s">
        <v>251</v>
      </c>
      <c r="C114" s="42" t="str">
        <f t="shared" si="2"/>
        <v>Bell's Hearted Family|Bell's</v>
      </c>
      <c r="D114" s="2" t="s">
        <v>512</v>
      </c>
      <c r="E114" s="2" t="s">
        <v>511</v>
      </c>
      <c r="F114" t="str">
        <f t="shared" si="3"/>
        <v>Bell's Hearted Family|Bell's|Beer|Beer - Craft</v>
      </c>
    </row>
    <row r="115" spans="1:6" x14ac:dyDescent="0.25">
      <c r="A115" s="2" t="s">
        <v>222</v>
      </c>
      <c r="B115" s="2" t="s">
        <v>266</v>
      </c>
      <c r="C115" s="42" t="str">
        <f t="shared" si="2"/>
        <v>Tsingtao|Paulaner</v>
      </c>
      <c r="D115" s="2" t="s">
        <v>512</v>
      </c>
      <c r="E115" s="2" t="s">
        <v>515</v>
      </c>
      <c r="F115" t="str">
        <f t="shared" si="3"/>
        <v>Tsingtao|Paulaner|Beer|Beer - Import</v>
      </c>
    </row>
    <row r="116" spans="1:6" x14ac:dyDescent="0.25">
      <c r="A116" s="2" t="s">
        <v>252</v>
      </c>
      <c r="B116" s="2" t="s">
        <v>324</v>
      </c>
      <c r="C116" s="42" t="str">
        <f t="shared" si="2"/>
        <v>Woodchuck|Vermont Hard Cider</v>
      </c>
      <c r="D116" s="2" t="s">
        <v>541</v>
      </c>
      <c r="E116" s="2" t="s">
        <v>541</v>
      </c>
      <c r="F116" t="str">
        <f t="shared" si="3"/>
        <v>Woodchuck|Vermont Hard Cider|Cider|Cider</v>
      </c>
    </row>
    <row r="117" spans="1:6" x14ac:dyDescent="0.25">
      <c r="A117" s="2" t="s">
        <v>69</v>
      </c>
      <c r="B117" s="2" t="s">
        <v>69</v>
      </c>
      <c r="C117" s="42" t="str">
        <f t="shared" si="2"/>
        <v>Flying Fish|Flying Fish</v>
      </c>
      <c r="D117" s="2" t="s">
        <v>512</v>
      </c>
      <c r="E117" s="2" t="s">
        <v>511</v>
      </c>
      <c r="F117" t="str">
        <f t="shared" si="3"/>
        <v>Flying Fish|Flying Fish|Beer|Beer - Craft</v>
      </c>
    </row>
    <row r="118" spans="1:6" x14ac:dyDescent="0.25">
      <c r="A118" s="2" t="s">
        <v>162</v>
      </c>
      <c r="B118" s="2" t="s">
        <v>260</v>
      </c>
      <c r="C118" s="42" t="str">
        <f t="shared" si="2"/>
        <v>Country Club|Pabst Brewing Company</v>
      </c>
      <c r="D118" s="2" t="s">
        <v>512</v>
      </c>
      <c r="E118" s="2" t="s">
        <v>534</v>
      </c>
      <c r="F118" t="str">
        <f t="shared" si="3"/>
        <v>Country Club|Pabst Brewing Company|Beer|Beer - Economy</v>
      </c>
    </row>
    <row r="119" spans="1:6" x14ac:dyDescent="0.25">
      <c r="A119" s="2" t="s">
        <v>112</v>
      </c>
      <c r="B119" s="2" t="s">
        <v>34</v>
      </c>
      <c r="C119" s="42" t="str">
        <f t="shared" si="2"/>
        <v>Mxd Cocktails|Mark Anthony</v>
      </c>
      <c r="D119" s="2" t="s">
        <v>528</v>
      </c>
      <c r="E119" s="2" t="s">
        <v>528</v>
      </c>
      <c r="F119" t="str">
        <f t="shared" si="3"/>
        <v>Mxd Cocktails|Mark Anthony|FMB|FMB</v>
      </c>
    </row>
    <row r="120" spans="1:6" x14ac:dyDescent="0.25">
      <c r="A120" s="2" t="s">
        <v>194</v>
      </c>
      <c r="B120" s="2" t="s">
        <v>266</v>
      </c>
      <c r="C120" s="42" t="str">
        <f t="shared" si="2"/>
        <v>Hacker-Pschorr|Paulaner</v>
      </c>
      <c r="D120" s="2" t="s">
        <v>512</v>
      </c>
      <c r="E120" s="2" t="s">
        <v>515</v>
      </c>
      <c r="F120" t="str">
        <f t="shared" si="3"/>
        <v>Hacker-Pschorr|Paulaner|Beer|Beer - Import</v>
      </c>
    </row>
    <row r="121" spans="1:6" x14ac:dyDescent="0.25">
      <c r="A121" s="2" t="s">
        <v>311</v>
      </c>
      <c r="B121" s="2" t="s">
        <v>51</v>
      </c>
      <c r="C121" s="42" t="str">
        <f t="shared" si="2"/>
        <v>George Killian's|MolsonCoors Beverage Company</v>
      </c>
      <c r="D121" s="2" t="s">
        <v>512</v>
      </c>
      <c r="E121" s="2" t="s">
        <v>543</v>
      </c>
      <c r="F121" t="str">
        <f t="shared" si="3"/>
        <v>George Killian's|MolsonCoors Beverage Company|Beer|Beer - Premium</v>
      </c>
    </row>
    <row r="122" spans="1:6" x14ac:dyDescent="0.25">
      <c r="A122" s="2" t="s">
        <v>185</v>
      </c>
      <c r="B122" s="2" t="s">
        <v>51</v>
      </c>
      <c r="C122" s="42" t="str">
        <f t="shared" si="2"/>
        <v>Blue Moon|MolsonCoors Beverage Company</v>
      </c>
      <c r="D122" s="2" t="s">
        <v>512</v>
      </c>
      <c r="E122" s="2" t="s">
        <v>529</v>
      </c>
      <c r="F122" t="str">
        <f t="shared" si="3"/>
        <v>Blue Moon|MolsonCoors Beverage Company|Beer|Beer - Non-Alc</v>
      </c>
    </row>
    <row r="123" spans="1:6" x14ac:dyDescent="0.25">
      <c r="A123" s="2" t="s">
        <v>402</v>
      </c>
      <c r="B123" s="2" t="s">
        <v>379</v>
      </c>
      <c r="C123" s="42" t="str">
        <f t="shared" si="2"/>
        <v>Clausthaler|Radeberger USA</v>
      </c>
      <c r="D123" s="2" t="s">
        <v>512</v>
      </c>
      <c r="E123" s="2" t="s">
        <v>529</v>
      </c>
      <c r="F123" t="str">
        <f t="shared" si="3"/>
        <v>Clausthaler|Radeberger USA|Beer|Beer - Non-Alc</v>
      </c>
    </row>
    <row r="124" spans="1:6" x14ac:dyDescent="0.25">
      <c r="A124" s="2" t="s">
        <v>412</v>
      </c>
      <c r="B124" s="2" t="s">
        <v>122</v>
      </c>
      <c r="C124" s="42" t="str">
        <f t="shared" si="2"/>
        <v>Whole Hog|Point Brewing</v>
      </c>
      <c r="D124" s="2" t="s">
        <v>512</v>
      </c>
      <c r="E124" s="2" t="s">
        <v>511</v>
      </c>
      <c r="F124" t="str">
        <f t="shared" si="3"/>
        <v>Whole Hog|Point Brewing|Beer|Beer - Craft</v>
      </c>
    </row>
    <row r="125" spans="1:6" x14ac:dyDescent="0.25">
      <c r="A125" s="2" t="s">
        <v>265</v>
      </c>
      <c r="B125" s="2" t="s">
        <v>166</v>
      </c>
      <c r="C125" s="42" t="str">
        <f t="shared" si="2"/>
        <v>Malibu Splash|US Beverage</v>
      </c>
      <c r="D125" s="2" t="s">
        <v>528</v>
      </c>
      <c r="E125" s="2" t="s">
        <v>528</v>
      </c>
      <c r="F125" t="str">
        <f t="shared" si="3"/>
        <v>Malibu Splash|US Beverage|FMB|FMB</v>
      </c>
    </row>
    <row r="126" spans="1:6" x14ac:dyDescent="0.25">
      <c r="A126" s="2" t="s">
        <v>2</v>
      </c>
      <c r="B126" s="2" t="s">
        <v>51</v>
      </c>
      <c r="C126" s="42" t="str">
        <f t="shared" si="2"/>
        <v>Coors Edge|MolsonCoors Beverage Company</v>
      </c>
      <c r="D126" s="2" t="s">
        <v>512</v>
      </c>
      <c r="E126" s="2" t="s">
        <v>529</v>
      </c>
      <c r="F126" t="str">
        <f t="shared" si="3"/>
        <v>Coors Edge|MolsonCoors Beverage Company|Beer|Beer - Non-Alc</v>
      </c>
    </row>
    <row r="127" spans="1:6" x14ac:dyDescent="0.25">
      <c r="A127" s="2" t="s">
        <v>163</v>
      </c>
      <c r="B127" s="2" t="s">
        <v>135</v>
      </c>
      <c r="C127" s="42" t="str">
        <f t="shared" si="2"/>
        <v>Yuengling Golden Pilsner|DG Yuengling Inc</v>
      </c>
      <c r="D127" s="2" t="s">
        <v>512</v>
      </c>
      <c r="E127" s="2" t="s">
        <v>534</v>
      </c>
      <c r="F127" t="str">
        <f t="shared" si="3"/>
        <v>Yuengling Golden Pilsner|DG Yuengling Inc|Beer|Beer - Economy</v>
      </c>
    </row>
    <row r="128" spans="1:6" x14ac:dyDescent="0.25">
      <c r="A128" s="2" t="s">
        <v>228</v>
      </c>
      <c r="B128" s="2" t="s">
        <v>227</v>
      </c>
      <c r="C128" s="42" t="str">
        <f t="shared" si="2"/>
        <v>Shiner|Gambrinus Imports</v>
      </c>
      <c r="D128" s="2" t="s">
        <v>512</v>
      </c>
      <c r="E128" s="2" t="s">
        <v>511</v>
      </c>
      <c r="F128" t="str">
        <f t="shared" si="3"/>
        <v>Shiner|Gambrinus Imports|Beer|Beer - Craft</v>
      </c>
    </row>
    <row r="129" spans="1:6" x14ac:dyDescent="0.25">
      <c r="A129" s="2" t="s">
        <v>380</v>
      </c>
      <c r="B129" s="2" t="s">
        <v>166</v>
      </c>
      <c r="C129" s="42" t="str">
        <f t="shared" si="2"/>
        <v>Moosehead|US Beverage</v>
      </c>
      <c r="D129" s="2" t="s">
        <v>512</v>
      </c>
      <c r="E129" s="2" t="s">
        <v>515</v>
      </c>
      <c r="F129" t="str">
        <f t="shared" si="3"/>
        <v>Moosehead|US Beverage|Beer|Beer - Import</v>
      </c>
    </row>
    <row r="130" spans="1:6" x14ac:dyDescent="0.25">
      <c r="A130" s="2" t="s">
        <v>239</v>
      </c>
      <c r="B130" s="2" t="s">
        <v>51</v>
      </c>
      <c r="C130" s="42" t="str">
        <f t="shared" si="2"/>
        <v>Redd's Wicked|MolsonCoors Beverage Company</v>
      </c>
      <c r="D130" s="2" t="s">
        <v>528</v>
      </c>
      <c r="E130" s="2" t="s">
        <v>528</v>
      </c>
      <c r="F130" t="str">
        <f t="shared" si="3"/>
        <v>Redd's Wicked|MolsonCoors Beverage Company|FMB|FMB</v>
      </c>
    </row>
    <row r="131" spans="1:6" x14ac:dyDescent="0.25">
      <c r="A131" s="2" t="s">
        <v>393</v>
      </c>
      <c r="B131" s="2" t="s">
        <v>51</v>
      </c>
      <c r="C131" s="42" t="str">
        <f t="shared" ref="C131:C194" si="4">A131&amp;"|"&amp;B131</f>
        <v>Topo Chico|MolsonCoors Beverage Company</v>
      </c>
      <c r="D131" s="2" t="s">
        <v>528</v>
      </c>
      <c r="E131" s="2" t="s">
        <v>528</v>
      </c>
      <c r="F131" t="str">
        <f t="shared" ref="F131:F194" si="5">A131&amp;"|"&amp;B131&amp;"|"&amp;D131&amp;"|"&amp;E131</f>
        <v>Topo Chico|MolsonCoors Beverage Company|FMB|FMB</v>
      </c>
    </row>
    <row r="132" spans="1:6" x14ac:dyDescent="0.25">
      <c r="A132" s="2" t="s">
        <v>120</v>
      </c>
      <c r="B132" s="2" t="s">
        <v>229</v>
      </c>
      <c r="C132" s="42" t="str">
        <f t="shared" si="4"/>
        <v>Mythos|Prestige</v>
      </c>
      <c r="D132" s="2" t="s">
        <v>512</v>
      </c>
      <c r="E132" s="2" t="s">
        <v>515</v>
      </c>
      <c r="F132" t="str">
        <f t="shared" si="5"/>
        <v>Mythos|Prestige|Beer|Beer - Import</v>
      </c>
    </row>
    <row r="133" spans="1:6" x14ac:dyDescent="0.25">
      <c r="A133" s="2" t="s">
        <v>7</v>
      </c>
      <c r="B133" s="2" t="s">
        <v>189</v>
      </c>
      <c r="C133" s="42" t="str">
        <f t="shared" si="4"/>
        <v>Voodoo Hardcharged|New Belgium Brewing Company</v>
      </c>
      <c r="D133" s="2" t="s">
        <v>512</v>
      </c>
      <c r="E133" s="2" t="s">
        <v>511</v>
      </c>
      <c r="F133" t="str">
        <f t="shared" si="5"/>
        <v>Voodoo Hardcharged|New Belgium Brewing Company|Beer|Beer - Craft</v>
      </c>
    </row>
    <row r="134" spans="1:6" x14ac:dyDescent="0.25">
      <c r="A134" s="2" t="s">
        <v>131</v>
      </c>
      <c r="B134" s="2" t="s">
        <v>51</v>
      </c>
      <c r="C134" s="42" t="str">
        <f t="shared" si="4"/>
        <v>Aguila|MolsonCoors Beverage Company</v>
      </c>
      <c r="D134" s="2" t="s">
        <v>512</v>
      </c>
      <c r="E134" s="2" t="s">
        <v>515</v>
      </c>
      <c r="F134" t="str">
        <f t="shared" si="5"/>
        <v>Aguila|MolsonCoors Beverage Company|Beer|Beer - Import</v>
      </c>
    </row>
    <row r="135" spans="1:6" x14ac:dyDescent="0.25">
      <c r="A135" s="2" t="s">
        <v>110</v>
      </c>
      <c r="B135" s="2" t="s">
        <v>88</v>
      </c>
      <c r="C135" s="42" t="str">
        <f t="shared" si="4"/>
        <v>Samuel Adams|Boston Beer Company</v>
      </c>
      <c r="D135" s="2" t="s">
        <v>512</v>
      </c>
      <c r="E135" s="2" t="s">
        <v>529</v>
      </c>
      <c r="F135" t="str">
        <f t="shared" si="5"/>
        <v>Samuel Adams|Boston Beer Company|Beer|Beer - Non-Alc</v>
      </c>
    </row>
    <row r="136" spans="1:6" x14ac:dyDescent="0.25">
      <c r="A136" s="2" t="s">
        <v>213</v>
      </c>
      <c r="B136" s="2" t="s">
        <v>212</v>
      </c>
      <c r="C136" s="42" t="str">
        <f t="shared" si="4"/>
        <v>Arizona Hard|Hornell Brewing Company</v>
      </c>
      <c r="D136" s="2" t="s">
        <v>510</v>
      </c>
      <c r="E136" s="2" t="s">
        <v>510</v>
      </c>
      <c r="F136" t="str">
        <f t="shared" si="5"/>
        <v>Arizona Hard|Hornell Brewing Company|RTD|RTD</v>
      </c>
    </row>
    <row r="137" spans="1:6" x14ac:dyDescent="0.25">
      <c r="A137" s="2" t="s">
        <v>130</v>
      </c>
      <c r="B137" s="2" t="s">
        <v>51</v>
      </c>
      <c r="C137" s="42" t="str">
        <f t="shared" si="4"/>
        <v>Hamm's|MolsonCoors Beverage Company</v>
      </c>
      <c r="D137" s="2" t="s">
        <v>512</v>
      </c>
      <c r="E137" s="2" t="s">
        <v>534</v>
      </c>
      <c r="F137" t="str">
        <f t="shared" si="5"/>
        <v>Hamm's|MolsonCoors Beverage Company|Beer|Beer - Economy</v>
      </c>
    </row>
    <row r="138" spans="1:6" x14ac:dyDescent="0.25">
      <c r="A138" s="2" t="s">
        <v>341</v>
      </c>
      <c r="B138" s="2" t="s">
        <v>390</v>
      </c>
      <c r="C138" s="42" t="str">
        <f t="shared" si="4"/>
        <v>Modelo Aquas Frescas|Constellation Brands</v>
      </c>
      <c r="D138" s="2" t="s">
        <v>528</v>
      </c>
      <c r="E138" s="2" t="s">
        <v>528</v>
      </c>
      <c r="F138" t="str">
        <f t="shared" si="5"/>
        <v>Modelo Aquas Frescas|Constellation Brands|FMB|FMB</v>
      </c>
    </row>
    <row r="139" spans="1:6" x14ac:dyDescent="0.25">
      <c r="A139" s="2" t="s">
        <v>240</v>
      </c>
      <c r="B139" s="2" t="s">
        <v>51</v>
      </c>
      <c r="C139" s="42" t="str">
        <f t="shared" si="4"/>
        <v>Fever Tree|MolsonCoors Beverage Company</v>
      </c>
      <c r="D139" s="2" t="s">
        <v>514</v>
      </c>
      <c r="E139" s="2" t="s">
        <v>513</v>
      </c>
      <c r="F139" t="str">
        <f t="shared" si="5"/>
        <v>Fever Tree|MolsonCoors Beverage Company|Non-Alc|Non-Alc - Soda</v>
      </c>
    </row>
    <row r="140" spans="1:6" x14ac:dyDescent="0.25">
      <c r="A140" s="2" t="s">
        <v>10</v>
      </c>
      <c r="B140" s="2" t="s">
        <v>166</v>
      </c>
      <c r="C140" s="42" t="str">
        <f t="shared" si="4"/>
        <v>Estrella|US Beverage</v>
      </c>
      <c r="D140" s="2" t="s">
        <v>512</v>
      </c>
      <c r="E140" s="2" t="s">
        <v>515</v>
      </c>
      <c r="F140" t="str">
        <f t="shared" si="5"/>
        <v>Estrella|US Beverage|Beer|Beer - Import</v>
      </c>
    </row>
    <row r="141" spans="1:6" x14ac:dyDescent="0.25">
      <c r="A141" s="2" t="s">
        <v>169</v>
      </c>
      <c r="B141" s="2" t="s">
        <v>12</v>
      </c>
      <c r="C141" s="42" t="str">
        <f t="shared" si="4"/>
        <v>Imperial|FIFCO</v>
      </c>
      <c r="D141" s="2" t="s">
        <v>512</v>
      </c>
      <c r="E141" s="2" t="s">
        <v>511</v>
      </c>
      <c r="F141" t="str">
        <f t="shared" si="5"/>
        <v>Imperial|FIFCO|Beer|Beer - Craft</v>
      </c>
    </row>
    <row r="142" spans="1:6" x14ac:dyDescent="0.25">
      <c r="A142" s="2" t="s">
        <v>270</v>
      </c>
      <c r="B142" s="2" t="s">
        <v>325</v>
      </c>
      <c r="C142" s="42" t="str">
        <f t="shared" si="4"/>
        <v>BJ'S Private Label Brewa|BJ'S Private Label Brew</v>
      </c>
      <c r="D142" s="2" t="s">
        <v>512</v>
      </c>
      <c r="E142" s="2" t="s">
        <v>511</v>
      </c>
      <c r="F142" t="str">
        <f t="shared" si="5"/>
        <v>BJ'S Private Label Brewa|BJ'S Private Label Brew|Beer|Beer - Craft</v>
      </c>
    </row>
    <row r="143" spans="1:6" x14ac:dyDescent="0.25">
      <c r="A143" s="2" t="s">
        <v>226</v>
      </c>
      <c r="B143" s="2" t="s">
        <v>95</v>
      </c>
      <c r="C143" s="42" t="str">
        <f t="shared" si="4"/>
        <v>Food &amp; Bev|Food &amp; Bev Enterprise LLC</v>
      </c>
      <c r="D143" s="2" t="s">
        <v>512</v>
      </c>
      <c r="E143" s="2" t="s">
        <v>515</v>
      </c>
      <c r="F143" t="str">
        <f t="shared" si="5"/>
        <v>Food &amp; Bev|Food &amp; Bev Enterprise LLC|Beer|Beer - Import</v>
      </c>
    </row>
    <row r="144" spans="1:6" x14ac:dyDescent="0.25">
      <c r="A144" s="2" t="s">
        <v>221</v>
      </c>
      <c r="B144" s="2" t="s">
        <v>39</v>
      </c>
      <c r="C144" s="42" t="str">
        <f t="shared" si="4"/>
        <v>Stone Premium &amp; Smooth Beer Co|Stone Brewing</v>
      </c>
      <c r="D144" s="2" t="s">
        <v>512</v>
      </c>
      <c r="E144" s="2" t="s">
        <v>511</v>
      </c>
      <c r="F144" t="str">
        <f t="shared" si="5"/>
        <v>Stone Premium &amp; Smooth Beer Co|Stone Brewing|Beer|Beer - Craft</v>
      </c>
    </row>
    <row r="145" spans="1:6" x14ac:dyDescent="0.25">
      <c r="A145" s="2" t="s">
        <v>225</v>
      </c>
      <c r="B145" s="2" t="s">
        <v>250</v>
      </c>
      <c r="C145" s="42" t="str">
        <f t="shared" si="4"/>
        <v>Cerveza Republica LA Tuya|Vinaio Imports LTD</v>
      </c>
      <c r="D145" s="2" t="s">
        <v>512</v>
      </c>
      <c r="E145" s="2" t="s">
        <v>515</v>
      </c>
      <c r="F145" t="str">
        <f t="shared" si="5"/>
        <v>Cerveza Republica LA Tuya|Vinaio Imports LTD|Beer|Beer - Import</v>
      </c>
    </row>
    <row r="146" spans="1:6" x14ac:dyDescent="0.25">
      <c r="A146" s="2" t="s">
        <v>59</v>
      </c>
      <c r="B146" s="2" t="s">
        <v>139</v>
      </c>
      <c r="C146" s="42" t="str">
        <f t="shared" si="4"/>
        <v>Shipyard|Total Beverage Solutions</v>
      </c>
      <c r="D146" s="2" t="s">
        <v>512</v>
      </c>
      <c r="E146" s="2" t="s">
        <v>511</v>
      </c>
      <c r="F146" t="str">
        <f t="shared" si="5"/>
        <v>Shipyard|Total Beverage Solutions|Beer|Beer - Craft</v>
      </c>
    </row>
    <row r="147" spans="1:6" x14ac:dyDescent="0.25">
      <c r="A147" s="2" t="s">
        <v>96</v>
      </c>
      <c r="B147" s="2" t="s">
        <v>95</v>
      </c>
      <c r="C147" s="42" t="str">
        <f t="shared" si="4"/>
        <v>Poker Import|Food &amp; Bev Enterprise LLC</v>
      </c>
      <c r="D147" s="2" t="s">
        <v>512</v>
      </c>
      <c r="E147" s="2" t="s">
        <v>515</v>
      </c>
      <c r="F147" t="str">
        <f t="shared" si="5"/>
        <v>Poker Import|Food &amp; Bev Enterprise LLC|Beer|Beer - Import</v>
      </c>
    </row>
    <row r="148" spans="1:6" x14ac:dyDescent="0.25">
      <c r="A148" s="2" t="s">
        <v>397</v>
      </c>
      <c r="B148" s="2" t="s">
        <v>260</v>
      </c>
      <c r="C148" s="42" t="str">
        <f t="shared" si="4"/>
        <v>Small Town|Pabst Brewing Company</v>
      </c>
      <c r="D148" s="2" t="s">
        <v>528</v>
      </c>
      <c r="E148" s="2" t="s">
        <v>528</v>
      </c>
      <c r="F148" t="str">
        <f t="shared" si="5"/>
        <v>Small Town|Pabst Brewing Company|FMB|FMB</v>
      </c>
    </row>
    <row r="149" spans="1:6" x14ac:dyDescent="0.25">
      <c r="A149" s="2" t="s">
        <v>264</v>
      </c>
      <c r="B149" s="2" t="s">
        <v>166</v>
      </c>
      <c r="C149" s="42" t="str">
        <f t="shared" si="4"/>
        <v>Birra Moretti|US Beverage</v>
      </c>
      <c r="D149" s="2" t="s">
        <v>512</v>
      </c>
      <c r="E149" s="2" t="s">
        <v>515</v>
      </c>
      <c r="F149" t="str">
        <f t="shared" si="5"/>
        <v>Birra Moretti|US Beverage|Beer|Beer - Import</v>
      </c>
    </row>
    <row r="150" spans="1:6" x14ac:dyDescent="0.25">
      <c r="A150" s="2" t="s">
        <v>192</v>
      </c>
      <c r="B150" s="2" t="s">
        <v>166</v>
      </c>
      <c r="C150" s="42" t="str">
        <f t="shared" si="4"/>
        <v>Daura|US Beverage</v>
      </c>
      <c r="D150" s="2" t="s">
        <v>512</v>
      </c>
      <c r="E150" s="2" t="s">
        <v>515</v>
      </c>
      <c r="F150" t="str">
        <f t="shared" si="5"/>
        <v>Daura|US Beverage|Beer|Beer - Import</v>
      </c>
    </row>
    <row r="151" spans="1:6" x14ac:dyDescent="0.25">
      <c r="A151" s="2" t="s">
        <v>18</v>
      </c>
      <c r="B151" s="2" t="s">
        <v>269</v>
      </c>
      <c r="C151" s="42" t="str">
        <f t="shared" si="4"/>
        <v>Stiegl|Global Beer</v>
      </c>
      <c r="D151" s="2" t="s">
        <v>512</v>
      </c>
      <c r="E151" s="2" t="s">
        <v>515</v>
      </c>
      <c r="F151" t="str">
        <f t="shared" si="5"/>
        <v>Stiegl|Global Beer|Beer|Beer - Import</v>
      </c>
    </row>
    <row r="152" spans="1:6" x14ac:dyDescent="0.25">
      <c r="A152" s="2" t="s">
        <v>246</v>
      </c>
      <c r="B152" s="2" t="s">
        <v>8</v>
      </c>
      <c r="C152" s="42" t="str">
        <f t="shared" si="4"/>
        <v>Kingfisher Premium|FX Matt</v>
      </c>
      <c r="D152" s="2" t="s">
        <v>512</v>
      </c>
      <c r="E152" s="2" t="s">
        <v>515</v>
      </c>
      <c r="F152" t="str">
        <f t="shared" si="5"/>
        <v>Kingfisher Premium|FX Matt|Beer|Beer - Import</v>
      </c>
    </row>
    <row r="153" spans="1:6" x14ac:dyDescent="0.25">
      <c r="A153" s="2" t="s">
        <v>115</v>
      </c>
      <c r="B153" s="2" t="s">
        <v>63</v>
      </c>
      <c r="C153" s="42" t="str">
        <f t="shared" si="4"/>
        <v>Earthquake|Phusion Projects</v>
      </c>
      <c r="D153" s="2" t="s">
        <v>512</v>
      </c>
      <c r="E153" s="2" t="s">
        <v>534</v>
      </c>
      <c r="F153" t="str">
        <f t="shared" si="5"/>
        <v>Earthquake|Phusion Projects|Beer|Beer - Economy</v>
      </c>
    </row>
    <row r="154" spans="1:6" x14ac:dyDescent="0.25">
      <c r="A154" s="2" t="s">
        <v>400</v>
      </c>
      <c r="B154" s="2" t="s">
        <v>8</v>
      </c>
      <c r="C154" s="42" t="str">
        <f t="shared" si="4"/>
        <v>Right Coast|FX Matt</v>
      </c>
      <c r="D154" s="2" t="s">
        <v>510</v>
      </c>
      <c r="E154" s="2" t="s">
        <v>510</v>
      </c>
      <c r="F154" t="str">
        <f t="shared" si="5"/>
        <v>Right Coast|FX Matt|RTD|RTD</v>
      </c>
    </row>
    <row r="155" spans="1:6" x14ac:dyDescent="0.25">
      <c r="A155" s="2" t="s">
        <v>288</v>
      </c>
      <c r="B155" s="2" t="s">
        <v>394</v>
      </c>
      <c r="C155" s="42" t="str">
        <f t="shared" si="4"/>
        <v>Murphy's|Heineken USA</v>
      </c>
      <c r="D155" s="2" t="s">
        <v>512</v>
      </c>
      <c r="E155" s="2" t="s">
        <v>515</v>
      </c>
      <c r="F155" t="str">
        <f t="shared" si="5"/>
        <v>Murphy's|Heineken USA|Beer|Beer - Import</v>
      </c>
    </row>
    <row r="156" spans="1:6" x14ac:dyDescent="0.25">
      <c r="A156" s="2" t="s">
        <v>297</v>
      </c>
      <c r="B156" s="2" t="s">
        <v>297</v>
      </c>
      <c r="C156" s="42" t="str">
        <f t="shared" si="4"/>
        <v>River Horse Brewing Co|River Horse Brewing Co</v>
      </c>
      <c r="D156" s="2" t="s">
        <v>512</v>
      </c>
      <c r="E156" s="2" t="s">
        <v>511</v>
      </c>
      <c r="F156" t="str">
        <f t="shared" si="5"/>
        <v>River Horse Brewing Co|River Horse Brewing Co|Beer|Beer - Craft</v>
      </c>
    </row>
    <row r="157" spans="1:6" x14ac:dyDescent="0.25">
      <c r="A157" s="2" t="s">
        <v>188</v>
      </c>
      <c r="B157" s="2" t="s">
        <v>135</v>
      </c>
      <c r="C157" s="42" t="str">
        <f t="shared" si="4"/>
        <v>Yuengling Premium Light|DG Yuengling Inc</v>
      </c>
      <c r="D157" s="2" t="s">
        <v>512</v>
      </c>
      <c r="E157" s="2" t="s">
        <v>534</v>
      </c>
      <c r="F157" t="str">
        <f t="shared" si="5"/>
        <v>Yuengling Premium Light|DG Yuengling Inc|Beer|Beer - Economy</v>
      </c>
    </row>
    <row r="158" spans="1:6" x14ac:dyDescent="0.25">
      <c r="A158" s="2" t="s">
        <v>85</v>
      </c>
      <c r="B158" s="2" t="s">
        <v>51</v>
      </c>
      <c r="C158" s="42" t="str">
        <f t="shared" si="4"/>
        <v>Vizzy|MolsonCoors Beverage Company</v>
      </c>
      <c r="D158" s="2" t="s">
        <v>528</v>
      </c>
      <c r="E158" s="2" t="s">
        <v>528</v>
      </c>
      <c r="F158" t="str">
        <f t="shared" si="5"/>
        <v>Vizzy|MolsonCoors Beverage Company|FMB|FMB</v>
      </c>
    </row>
    <row r="159" spans="1:6" x14ac:dyDescent="0.25">
      <c r="A159" s="2" t="s">
        <v>270</v>
      </c>
      <c r="B159" s="2" t="s">
        <v>325</v>
      </c>
      <c r="C159" s="42" t="str">
        <f t="shared" si="4"/>
        <v>BJ'S Private Label Brewa|BJ'S Private Label Brew</v>
      </c>
      <c r="D159" s="2" t="s">
        <v>514</v>
      </c>
      <c r="E159" s="2" t="s">
        <v>513</v>
      </c>
      <c r="F159" t="str">
        <f t="shared" si="5"/>
        <v>BJ'S Private Label Brewa|BJ'S Private Label Brew|Non-Alc|Non-Alc - Soda</v>
      </c>
    </row>
    <row r="160" spans="1:6" x14ac:dyDescent="0.25">
      <c r="A160" s="2" t="s">
        <v>44</v>
      </c>
      <c r="B160" s="2" t="s">
        <v>407</v>
      </c>
      <c r="C160" s="42" t="str">
        <f t="shared" si="4"/>
        <v>Quilmes|Pampa Beverages</v>
      </c>
      <c r="D160" s="2" t="s">
        <v>512</v>
      </c>
      <c r="E160" s="2" t="s">
        <v>515</v>
      </c>
      <c r="F160" t="str">
        <f t="shared" si="5"/>
        <v>Quilmes|Pampa Beverages|Beer|Beer - Import</v>
      </c>
    </row>
    <row r="161" spans="1:6" x14ac:dyDescent="0.25">
      <c r="A161" s="2" t="s">
        <v>198</v>
      </c>
      <c r="B161" s="2" t="s">
        <v>198</v>
      </c>
      <c r="C161" s="42" t="str">
        <f t="shared" si="4"/>
        <v>Talkhouse Encore|Talkhouse Encore</v>
      </c>
      <c r="D161" s="2" t="s">
        <v>528</v>
      </c>
      <c r="E161" s="2" t="s">
        <v>528</v>
      </c>
      <c r="F161" t="str">
        <f t="shared" si="5"/>
        <v>Talkhouse Encore|Talkhouse Encore|FMB|FMB</v>
      </c>
    </row>
    <row r="162" spans="1:6" x14ac:dyDescent="0.25">
      <c r="A162" s="2" t="s">
        <v>196</v>
      </c>
      <c r="B162" s="2" t="s">
        <v>74</v>
      </c>
      <c r="C162" s="42" t="str">
        <f t="shared" si="4"/>
        <v>Augustiner|Global Village Imp.</v>
      </c>
      <c r="D162" s="2" t="s">
        <v>512</v>
      </c>
      <c r="E162" s="2" t="s">
        <v>515</v>
      </c>
      <c r="F162" t="str">
        <f t="shared" si="5"/>
        <v>Augustiner|Global Village Imp.|Beer|Beer - Import</v>
      </c>
    </row>
    <row r="163" spans="1:6" x14ac:dyDescent="0.25">
      <c r="A163" s="2" t="s">
        <v>144</v>
      </c>
      <c r="B163" s="2" t="s">
        <v>95</v>
      </c>
      <c r="C163" s="42" t="str">
        <f t="shared" si="4"/>
        <v>Aguila Import|Food &amp; Bev Enterprise LLC</v>
      </c>
      <c r="D163" s="2" t="s">
        <v>512</v>
      </c>
      <c r="E163" s="2" t="s">
        <v>515</v>
      </c>
      <c r="F163" t="str">
        <f t="shared" si="5"/>
        <v>Aguila Import|Food &amp; Bev Enterprise LLC|Beer|Beer - Import</v>
      </c>
    </row>
    <row r="164" spans="1:6" x14ac:dyDescent="0.25">
      <c r="A164" s="2" t="s">
        <v>328</v>
      </c>
      <c r="B164" s="2" t="s">
        <v>327</v>
      </c>
      <c r="C164" s="42" t="str">
        <f t="shared" si="4"/>
        <v>Crooked Tea|Crook &amp; Marker</v>
      </c>
      <c r="D164" s="2" t="s">
        <v>528</v>
      </c>
      <c r="E164" s="2" t="s">
        <v>528</v>
      </c>
      <c r="F164" t="str">
        <f t="shared" si="5"/>
        <v>Crooked Tea|Crook &amp; Marker|FMB|FMB</v>
      </c>
    </row>
    <row r="165" spans="1:6" x14ac:dyDescent="0.25">
      <c r="A165" s="2" t="s">
        <v>71</v>
      </c>
      <c r="B165" s="2" t="s">
        <v>269</v>
      </c>
      <c r="C165" s="42" t="str">
        <f t="shared" si="4"/>
        <v>Sullivan's|Global Beer</v>
      </c>
      <c r="D165" s="2" t="s">
        <v>512</v>
      </c>
      <c r="E165" s="2" t="s">
        <v>511</v>
      </c>
      <c r="F165" t="str">
        <f t="shared" si="5"/>
        <v>Sullivan's|Global Beer|Beer|Beer - Craft</v>
      </c>
    </row>
    <row r="166" spans="1:6" x14ac:dyDescent="0.25">
      <c r="A166" s="2" t="s">
        <v>197</v>
      </c>
      <c r="B166" s="2" t="s">
        <v>382</v>
      </c>
      <c r="C166" s="42" t="str">
        <f t="shared" si="4"/>
        <v>Newburgh|Newburgh Brewing</v>
      </c>
      <c r="D166" s="2" t="s">
        <v>512</v>
      </c>
      <c r="E166" s="2" t="s">
        <v>511</v>
      </c>
      <c r="F166" t="str">
        <f t="shared" si="5"/>
        <v>Newburgh|Newburgh Brewing|Beer|Beer - Craft</v>
      </c>
    </row>
    <row r="167" spans="1:6" x14ac:dyDescent="0.25">
      <c r="A167" s="2" t="s">
        <v>28</v>
      </c>
      <c r="B167" s="2" t="s">
        <v>390</v>
      </c>
      <c r="C167" s="42" t="str">
        <f t="shared" si="4"/>
        <v>Corona Refresca|Constellation Brands</v>
      </c>
      <c r="D167" s="2" t="s">
        <v>528</v>
      </c>
      <c r="E167" s="2" t="s">
        <v>528</v>
      </c>
      <c r="F167" t="str">
        <f t="shared" si="5"/>
        <v>Corona Refresca|Constellation Brands|FMB|FMB</v>
      </c>
    </row>
    <row r="168" spans="1:6" x14ac:dyDescent="0.25">
      <c r="A168" s="2" t="s">
        <v>289</v>
      </c>
      <c r="B168" s="2" t="s">
        <v>260</v>
      </c>
      <c r="C168" s="42" t="str">
        <f t="shared" si="4"/>
        <v>Lone Star|Pabst Brewing Company</v>
      </c>
      <c r="D168" s="2" t="s">
        <v>512</v>
      </c>
      <c r="E168" s="2" t="s">
        <v>515</v>
      </c>
      <c r="F168" t="str">
        <f t="shared" si="5"/>
        <v>Lone Star|Pabst Brewing Company|Beer|Beer - Import</v>
      </c>
    </row>
    <row r="169" spans="1:6" x14ac:dyDescent="0.25">
      <c r="A169" s="2" t="s">
        <v>240</v>
      </c>
      <c r="B169" s="2" t="s">
        <v>51</v>
      </c>
      <c r="C169" s="42" t="str">
        <f t="shared" si="4"/>
        <v>Fever Tree|MolsonCoors Beverage Company</v>
      </c>
      <c r="D169" s="2" t="s">
        <v>514</v>
      </c>
      <c r="E169" s="2" t="s">
        <v>540</v>
      </c>
      <c r="F169" t="str">
        <f t="shared" si="5"/>
        <v>Fever Tree|MolsonCoors Beverage Company|Non-Alc|Non-Alc – Mixer</v>
      </c>
    </row>
    <row r="170" spans="1:6" x14ac:dyDescent="0.25">
      <c r="A170" s="2" t="s">
        <v>94</v>
      </c>
      <c r="B170" s="2" t="s">
        <v>166</v>
      </c>
      <c r="C170" s="42" t="str">
        <f t="shared" si="4"/>
        <v>Czechvar|US Beverage</v>
      </c>
      <c r="D170" s="2" t="s">
        <v>512</v>
      </c>
      <c r="E170" s="2" t="s">
        <v>515</v>
      </c>
      <c r="F170" t="str">
        <f t="shared" si="5"/>
        <v>Czechvar|US Beverage|Beer|Beer - Import</v>
      </c>
    </row>
    <row r="171" spans="1:6" x14ac:dyDescent="0.25">
      <c r="A171" s="2" t="s">
        <v>251</v>
      </c>
      <c r="B171" s="2" t="s">
        <v>251</v>
      </c>
      <c r="C171" s="42" t="str">
        <f t="shared" si="4"/>
        <v>Bell's|Bell's</v>
      </c>
      <c r="D171" s="2" t="s">
        <v>512</v>
      </c>
      <c r="E171" s="2" t="s">
        <v>511</v>
      </c>
      <c r="F171" t="str">
        <f t="shared" si="5"/>
        <v>Bell's|Bell's|Beer|Beer - Craft</v>
      </c>
    </row>
    <row r="172" spans="1:6" x14ac:dyDescent="0.25">
      <c r="A172" s="2" t="s">
        <v>376</v>
      </c>
      <c r="B172" s="2" t="s">
        <v>260</v>
      </c>
      <c r="C172" s="42" t="str">
        <f t="shared" si="4"/>
        <v>New Holland Brewing Co|Pabst Brewing Company</v>
      </c>
      <c r="D172" s="2" t="s">
        <v>512</v>
      </c>
      <c r="E172" s="2" t="s">
        <v>511</v>
      </c>
      <c r="F172" t="str">
        <f t="shared" si="5"/>
        <v>New Holland Brewing Co|Pabst Brewing Company|Beer|Beer - Craft</v>
      </c>
    </row>
    <row r="173" spans="1:6" x14ac:dyDescent="0.25">
      <c r="A173" s="2" t="s">
        <v>262</v>
      </c>
      <c r="B173" s="2" t="s">
        <v>8</v>
      </c>
      <c r="C173" s="42" t="str">
        <f t="shared" si="4"/>
        <v>Friday Beers|FX Matt</v>
      </c>
      <c r="D173" s="2" t="s">
        <v>512</v>
      </c>
      <c r="E173" s="2" t="s">
        <v>511</v>
      </c>
      <c r="F173" t="str">
        <f t="shared" si="5"/>
        <v>Friday Beers|FX Matt|Beer|Beer - Craft</v>
      </c>
    </row>
    <row r="174" spans="1:6" x14ac:dyDescent="0.25">
      <c r="A174" s="2" t="s">
        <v>20</v>
      </c>
      <c r="B174" s="2" t="s">
        <v>20</v>
      </c>
      <c r="C174" s="42" t="str">
        <f t="shared" si="4"/>
        <v>Forged Irish Stout|Forged Irish Stout</v>
      </c>
      <c r="D174" s="2" t="s">
        <v>512</v>
      </c>
      <c r="E174" s="2" t="s">
        <v>515</v>
      </c>
      <c r="F174" t="str">
        <f t="shared" si="5"/>
        <v>Forged Irish Stout|Forged Irish Stout|Beer|Beer - Import</v>
      </c>
    </row>
    <row r="175" spans="1:6" x14ac:dyDescent="0.25">
      <c r="A175" s="2" t="s">
        <v>377</v>
      </c>
      <c r="B175" s="2" t="s">
        <v>135</v>
      </c>
      <c r="C175" s="42" t="str">
        <f t="shared" si="4"/>
        <v>Yuengling Oktoberfest|DG Yuengling Inc</v>
      </c>
      <c r="D175" s="2" t="s">
        <v>512</v>
      </c>
      <c r="E175" s="2" t="s">
        <v>534</v>
      </c>
      <c r="F175" t="str">
        <f t="shared" si="5"/>
        <v>Yuengling Oktoberfest|DG Yuengling Inc|Beer|Beer - Economy</v>
      </c>
    </row>
    <row r="176" spans="1:6" x14ac:dyDescent="0.25">
      <c r="A176" s="2" t="s">
        <v>206</v>
      </c>
      <c r="B176" s="2" t="s">
        <v>81</v>
      </c>
      <c r="C176" s="42" t="str">
        <f t="shared" si="4"/>
        <v>Herb &amp; Bloom|Tilray Alternative Beverage</v>
      </c>
      <c r="D176" s="2" t="s">
        <v>531</v>
      </c>
      <c r="E176" s="2" t="s">
        <v>531</v>
      </c>
      <c r="F176" t="str">
        <f t="shared" si="5"/>
        <v>Herb &amp; Bloom|Tilray Alternative Beverage|THC|THC</v>
      </c>
    </row>
    <row r="177" spans="1:6" x14ac:dyDescent="0.25">
      <c r="A177" s="2" t="s">
        <v>293</v>
      </c>
      <c r="B177" s="2" t="s">
        <v>345</v>
      </c>
      <c r="C177" s="42" t="str">
        <f t="shared" si="4"/>
        <v>Sierra Nevada|Sierra Nevada Brewing Company</v>
      </c>
      <c r="D177" s="2" t="s">
        <v>512</v>
      </c>
      <c r="E177" s="2" t="s">
        <v>529</v>
      </c>
      <c r="F177" t="str">
        <f t="shared" si="5"/>
        <v>Sierra Nevada|Sierra Nevada Brewing Company|Beer|Beer - Non-Alc</v>
      </c>
    </row>
    <row r="178" spans="1:6" x14ac:dyDescent="0.25">
      <c r="A178" s="2" t="s">
        <v>326</v>
      </c>
      <c r="B178" s="2" t="s">
        <v>147</v>
      </c>
      <c r="C178" s="42" t="str">
        <f t="shared" si="4"/>
        <v>Duclaw|Duclaw Brewing</v>
      </c>
      <c r="D178" s="2" t="s">
        <v>512</v>
      </c>
      <c r="E178" s="2" t="s">
        <v>511</v>
      </c>
      <c r="F178" t="str">
        <f t="shared" si="5"/>
        <v>Duclaw|Duclaw Brewing|Beer|Beer - Craft</v>
      </c>
    </row>
    <row r="179" spans="1:6" x14ac:dyDescent="0.25">
      <c r="A179" s="2" t="s">
        <v>89</v>
      </c>
      <c r="B179" s="2" t="s">
        <v>34</v>
      </c>
      <c r="C179" s="42" t="str">
        <f t="shared" si="4"/>
        <v>White Claw|Mark Anthony</v>
      </c>
      <c r="D179" s="2" t="s">
        <v>512</v>
      </c>
      <c r="E179" s="2" t="s">
        <v>529</v>
      </c>
      <c r="F179" t="str">
        <f t="shared" si="5"/>
        <v>White Claw|Mark Anthony|Beer|Beer - Non-Alc</v>
      </c>
    </row>
    <row r="180" spans="1:6" x14ac:dyDescent="0.25">
      <c r="A180" s="2" t="s">
        <v>159</v>
      </c>
      <c r="B180" s="2" t="s">
        <v>51</v>
      </c>
      <c r="C180" s="42" t="str">
        <f t="shared" si="4"/>
        <v>Redd's|MolsonCoors Beverage Company</v>
      </c>
      <c r="D180" s="2" t="s">
        <v>528</v>
      </c>
      <c r="E180" s="2" t="s">
        <v>528</v>
      </c>
      <c r="F180" t="str">
        <f t="shared" si="5"/>
        <v>Redd's|MolsonCoors Beverage Company|FMB|FMB</v>
      </c>
    </row>
    <row r="181" spans="1:6" x14ac:dyDescent="0.25">
      <c r="A181" s="2" t="s">
        <v>46</v>
      </c>
      <c r="B181" s="2" t="s">
        <v>46</v>
      </c>
      <c r="C181" s="42" t="str">
        <f t="shared" si="4"/>
        <v>HOP WTR|HOP WTR</v>
      </c>
      <c r="D181" s="2" t="s">
        <v>514</v>
      </c>
      <c r="E181" s="2" t="s">
        <v>513</v>
      </c>
      <c r="F181" t="str">
        <f t="shared" si="5"/>
        <v>HOP WTR|HOP WTR|Non-Alc|Non-Alc - Soda</v>
      </c>
    </row>
    <row r="182" spans="1:6" x14ac:dyDescent="0.25">
      <c r="A182" s="2" t="s">
        <v>54</v>
      </c>
      <c r="B182" s="2" t="s">
        <v>51</v>
      </c>
      <c r="C182" s="42" t="str">
        <f t="shared" si="4"/>
        <v>Sol|MolsonCoors Beverage Company</v>
      </c>
      <c r="D182" s="2" t="s">
        <v>512</v>
      </c>
      <c r="E182" s="2" t="s">
        <v>515</v>
      </c>
      <c r="F182" t="str">
        <f t="shared" si="5"/>
        <v>Sol|MolsonCoors Beverage Company|Beer|Beer - Import</v>
      </c>
    </row>
    <row r="183" spans="1:6" x14ac:dyDescent="0.25">
      <c r="A183" s="2" t="s">
        <v>109</v>
      </c>
      <c r="B183" s="2" t="s">
        <v>394</v>
      </c>
      <c r="C183" s="42" t="str">
        <f t="shared" si="4"/>
        <v>Carta Blanca|Heineken USA</v>
      </c>
      <c r="D183" s="2" t="s">
        <v>512</v>
      </c>
      <c r="E183" s="2" t="s">
        <v>515</v>
      </c>
      <c r="F183" t="str">
        <f t="shared" si="5"/>
        <v>Carta Blanca|Heineken USA|Beer|Beer - Import</v>
      </c>
    </row>
    <row r="184" spans="1:6" x14ac:dyDescent="0.25">
      <c r="A184" s="2" t="s">
        <v>42</v>
      </c>
      <c r="B184" s="2" t="s">
        <v>63</v>
      </c>
      <c r="C184" s="42" t="str">
        <f t="shared" si="4"/>
        <v>Mamita's|Phusion Projects</v>
      </c>
      <c r="D184" s="2" t="s">
        <v>542</v>
      </c>
      <c r="E184" s="2" t="s">
        <v>542</v>
      </c>
      <c r="F184" t="str">
        <f t="shared" si="5"/>
        <v>Mamita's|Phusion Projects|Seltzer|Seltzer</v>
      </c>
    </row>
    <row r="185" spans="1:6" x14ac:dyDescent="0.25">
      <c r="A185" s="2" t="s">
        <v>388</v>
      </c>
      <c r="B185" s="2" t="s">
        <v>388</v>
      </c>
      <c r="C185" s="42" t="str">
        <f t="shared" si="4"/>
        <v>Alias Brew Works|Alias Brew Works</v>
      </c>
      <c r="D185" s="2" t="s">
        <v>512</v>
      </c>
      <c r="E185" s="2" t="s">
        <v>511</v>
      </c>
      <c r="F185" t="str">
        <f t="shared" si="5"/>
        <v>Alias Brew Works|Alias Brew Works|Beer|Beer - Craft</v>
      </c>
    </row>
    <row r="186" spans="1:6" x14ac:dyDescent="0.25">
      <c r="A186" s="2" t="s">
        <v>349</v>
      </c>
      <c r="B186" s="2" t="s">
        <v>166</v>
      </c>
      <c r="C186" s="42" t="str">
        <f t="shared" si="4"/>
        <v>Krusovice|US Beverage</v>
      </c>
      <c r="D186" s="2" t="s">
        <v>512</v>
      </c>
      <c r="E186" s="2" t="s">
        <v>515</v>
      </c>
      <c r="F186" t="str">
        <f t="shared" si="5"/>
        <v>Krusovice|US Beverage|Beer|Beer - Import</v>
      </c>
    </row>
    <row r="187" spans="1:6" x14ac:dyDescent="0.25">
      <c r="A187" s="2" t="s">
        <v>367</v>
      </c>
      <c r="B187" s="2" t="s">
        <v>419</v>
      </c>
      <c r="C187" s="42" t="str">
        <f t="shared" si="4"/>
        <v>Crescent 9|Crescent Canna</v>
      </c>
      <c r="D187" s="2" t="s">
        <v>531</v>
      </c>
      <c r="E187" s="2" t="s">
        <v>531</v>
      </c>
      <c r="F187" t="str">
        <f t="shared" si="5"/>
        <v>Crescent 9|Crescent Canna|THC|THC</v>
      </c>
    </row>
    <row r="188" spans="1:6" x14ac:dyDescent="0.25">
      <c r="A188" s="2" t="s">
        <v>53</v>
      </c>
      <c r="B188" s="2" t="s">
        <v>51</v>
      </c>
      <c r="C188" s="42" t="str">
        <f t="shared" si="4"/>
        <v>Milwaukee's Best Light|MolsonCoors Beverage Company</v>
      </c>
      <c r="D188" s="2" t="s">
        <v>512</v>
      </c>
      <c r="E188" s="2" t="s">
        <v>534</v>
      </c>
      <c r="F188" t="str">
        <f t="shared" si="5"/>
        <v>Milwaukee's Best Light|MolsonCoors Beverage Company|Beer|Beer - Economy</v>
      </c>
    </row>
    <row r="189" spans="1:6" x14ac:dyDescent="0.25">
      <c r="A189" s="2" t="s">
        <v>408</v>
      </c>
      <c r="B189" s="2" t="s">
        <v>408</v>
      </c>
      <c r="C189" s="42" t="str">
        <f t="shared" si="4"/>
        <v>Ithaca|Ithaca</v>
      </c>
      <c r="D189" s="2" t="s">
        <v>512</v>
      </c>
      <c r="E189" s="2" t="s">
        <v>511</v>
      </c>
      <c r="F189" t="str">
        <f t="shared" si="5"/>
        <v>Ithaca|Ithaca|Beer|Beer - Craft</v>
      </c>
    </row>
    <row r="190" spans="1:6" x14ac:dyDescent="0.25">
      <c r="A190" s="2" t="s">
        <v>16</v>
      </c>
      <c r="B190" s="2" t="s">
        <v>143</v>
      </c>
      <c r="C190" s="42" t="str">
        <f t="shared" si="4"/>
        <v>Del's Shandy|Narragansett</v>
      </c>
      <c r="D190" s="2" t="s">
        <v>512</v>
      </c>
      <c r="E190" s="2" t="s">
        <v>511</v>
      </c>
      <c r="F190" t="str">
        <f t="shared" si="5"/>
        <v>Del's Shandy|Narragansett|Beer|Beer - Craft</v>
      </c>
    </row>
    <row r="191" spans="1:6" x14ac:dyDescent="0.25">
      <c r="A191" s="2" t="s">
        <v>134</v>
      </c>
      <c r="B191" s="2" t="s">
        <v>260</v>
      </c>
      <c r="C191" s="42" t="str">
        <f t="shared" si="4"/>
        <v>EL Jimador|Pabst Brewing Company</v>
      </c>
      <c r="D191" s="2" t="s">
        <v>510</v>
      </c>
      <c r="E191" s="2" t="s">
        <v>510</v>
      </c>
      <c r="F191" t="str">
        <f t="shared" si="5"/>
        <v>EL Jimador|Pabst Brewing Company|RTD|RTD</v>
      </c>
    </row>
    <row r="192" spans="1:6" x14ac:dyDescent="0.25">
      <c r="A192" s="2" t="s">
        <v>128</v>
      </c>
      <c r="B192" s="2" t="s">
        <v>368</v>
      </c>
      <c r="C192" s="42" t="str">
        <f t="shared" si="4"/>
        <v>Bardstown Bourbon|Bardstown Bourbon Co</v>
      </c>
      <c r="D192" s="2" t="s">
        <v>518</v>
      </c>
      <c r="E192" s="2" t="s">
        <v>519</v>
      </c>
      <c r="F192" t="str">
        <f t="shared" si="5"/>
        <v>Bardstown Bourbon|Bardstown Bourbon Co|Spirits|Spirits - Whiskey</v>
      </c>
    </row>
    <row r="193" spans="1:6" x14ac:dyDescent="0.25">
      <c r="A193" s="2" t="s">
        <v>279</v>
      </c>
      <c r="B193" s="2" t="s">
        <v>81</v>
      </c>
      <c r="C193" s="42" t="str">
        <f t="shared" si="4"/>
        <v>Fizzy Jane|Tilray Alternative Beverage</v>
      </c>
      <c r="D193" s="2" t="s">
        <v>531</v>
      </c>
      <c r="E193" s="2" t="s">
        <v>531</v>
      </c>
      <c r="F193" t="str">
        <f t="shared" si="5"/>
        <v>Fizzy Jane|Tilray Alternative Beverage|THC|THC</v>
      </c>
    </row>
    <row r="194" spans="1:6" x14ac:dyDescent="0.25">
      <c r="A194" s="2" t="s">
        <v>19</v>
      </c>
      <c r="B194" s="2" t="s">
        <v>19</v>
      </c>
      <c r="C194" s="42" t="str">
        <f t="shared" si="4"/>
        <v>Citizen Cider|Citizen Cider</v>
      </c>
      <c r="D194" s="2" t="s">
        <v>541</v>
      </c>
      <c r="E194" s="2" t="s">
        <v>541</v>
      </c>
      <c r="F194" t="str">
        <f t="shared" si="5"/>
        <v>Citizen Cider|Citizen Cider|Cider|Cider</v>
      </c>
    </row>
    <row r="195" spans="1:6" x14ac:dyDescent="0.25">
      <c r="A195" s="2" t="s">
        <v>216</v>
      </c>
      <c r="B195" s="2" t="s">
        <v>394</v>
      </c>
      <c r="C195" s="42" t="str">
        <f t="shared" ref="C195:C258" si="6">A195&amp;"|"&amp;B195</f>
        <v>Prestige Lager|Heineken USA</v>
      </c>
      <c r="D195" s="2" t="s">
        <v>512</v>
      </c>
      <c r="E195" s="2" t="s">
        <v>515</v>
      </c>
      <c r="F195" t="str">
        <f t="shared" ref="F195:F258" si="7">A195&amp;"|"&amp;B195&amp;"|"&amp;D195&amp;"|"&amp;E195</f>
        <v>Prestige Lager|Heineken USA|Beer|Beer - Import</v>
      </c>
    </row>
    <row r="196" spans="1:6" x14ac:dyDescent="0.25">
      <c r="A196" s="2" t="s">
        <v>87</v>
      </c>
      <c r="B196" s="2" t="s">
        <v>394</v>
      </c>
      <c r="C196" s="42" t="str">
        <f t="shared" si="6"/>
        <v>Strongbow|Heineken USA</v>
      </c>
      <c r="D196" s="2" t="s">
        <v>541</v>
      </c>
      <c r="E196" s="2" t="s">
        <v>541</v>
      </c>
      <c r="F196" t="str">
        <f t="shared" si="7"/>
        <v>Strongbow|Heineken USA|Cider|Cider</v>
      </c>
    </row>
    <row r="197" spans="1:6" x14ac:dyDescent="0.25">
      <c r="A197" s="2" t="s">
        <v>35</v>
      </c>
      <c r="B197" s="2" t="s">
        <v>34</v>
      </c>
      <c r="C197" s="42" t="str">
        <f t="shared" si="6"/>
        <v>Dillon's Cocktails|Mark Anthony</v>
      </c>
      <c r="D197" s="2" t="s">
        <v>510</v>
      </c>
      <c r="E197" s="2" t="s">
        <v>510</v>
      </c>
      <c r="F197" t="str">
        <f t="shared" si="7"/>
        <v>Dillon's Cocktails|Mark Anthony|RTD|RTD</v>
      </c>
    </row>
    <row r="198" spans="1:6" x14ac:dyDescent="0.25">
      <c r="A198" s="2" t="s">
        <v>236</v>
      </c>
      <c r="B198" s="2" t="s">
        <v>390</v>
      </c>
      <c r="C198" s="42" t="str">
        <f t="shared" si="6"/>
        <v>Fresca Mixed|Constellation Brands</v>
      </c>
      <c r="D198" s="2" t="s">
        <v>510</v>
      </c>
      <c r="E198" s="2" t="s">
        <v>510</v>
      </c>
      <c r="F198" t="str">
        <f t="shared" si="7"/>
        <v>Fresca Mixed|Constellation Brands|RTD|RTD</v>
      </c>
    </row>
    <row r="199" spans="1:6" x14ac:dyDescent="0.25">
      <c r="A199" s="2" t="s">
        <v>77</v>
      </c>
      <c r="B199" s="2" t="s">
        <v>409</v>
      </c>
      <c r="C199" s="42" t="str">
        <f t="shared" si="6"/>
        <v>Southern Tier Distilling|Southern Tier Distilling Company</v>
      </c>
      <c r="D199" s="2" t="s">
        <v>510</v>
      </c>
      <c r="E199" s="2" t="s">
        <v>510</v>
      </c>
      <c r="F199" t="str">
        <f t="shared" si="7"/>
        <v>Southern Tier Distilling|Southern Tier Distilling Company|RTD|RTD</v>
      </c>
    </row>
    <row r="200" spans="1:6" x14ac:dyDescent="0.25">
      <c r="A200" s="2" t="s">
        <v>295</v>
      </c>
      <c r="B200" s="2" t="s">
        <v>166</v>
      </c>
      <c r="C200" s="42" t="str">
        <f t="shared" si="6"/>
        <v>Innis &amp; Gunn|US Beverage</v>
      </c>
      <c r="D200" s="2" t="s">
        <v>512</v>
      </c>
      <c r="E200" s="2" t="s">
        <v>511</v>
      </c>
      <c r="F200" t="str">
        <f t="shared" si="7"/>
        <v>Innis &amp; Gunn|US Beverage|Beer|Beer - Craft</v>
      </c>
    </row>
    <row r="201" spans="1:6" x14ac:dyDescent="0.25">
      <c r="A201" s="2" t="s">
        <v>155</v>
      </c>
      <c r="B201" s="2" t="s">
        <v>305</v>
      </c>
      <c r="C201" s="42" t="str">
        <f t="shared" si="6"/>
        <v>Coastal Cocktails|Cavalier Ventures, LLC</v>
      </c>
      <c r="D201" s="2" t="s">
        <v>510</v>
      </c>
      <c r="E201" s="2" t="s">
        <v>510</v>
      </c>
      <c r="F201" t="str">
        <f t="shared" si="7"/>
        <v>Coastal Cocktails|Cavalier Ventures, LLC|RTD|RTD</v>
      </c>
    </row>
    <row r="202" spans="1:6" x14ac:dyDescent="0.25">
      <c r="A202" s="2" t="s">
        <v>175</v>
      </c>
      <c r="B202" s="2" t="s">
        <v>174</v>
      </c>
      <c r="C202" s="42" t="str">
        <f t="shared" si="6"/>
        <v>Hectare's|Emergent Beverage Partners</v>
      </c>
      <c r="D202" s="2" t="s">
        <v>531</v>
      </c>
      <c r="E202" s="2" t="s">
        <v>531</v>
      </c>
      <c r="F202" t="str">
        <f t="shared" si="7"/>
        <v>Hectare's|Emergent Beverage Partners|THC|THC</v>
      </c>
    </row>
    <row r="203" spans="1:6" x14ac:dyDescent="0.25">
      <c r="A203" s="2" t="s">
        <v>247</v>
      </c>
      <c r="B203" s="2" t="s">
        <v>318</v>
      </c>
      <c r="C203" s="42" t="str">
        <f t="shared" si="6"/>
        <v>Lagunitas NA|Lagunitas Brewing Co</v>
      </c>
      <c r="D203" s="2" t="s">
        <v>512</v>
      </c>
      <c r="E203" s="2" t="s">
        <v>529</v>
      </c>
      <c r="F203" t="str">
        <f t="shared" si="7"/>
        <v>Lagunitas NA|Lagunitas Brewing Co|Beer|Beer - Non-Alc</v>
      </c>
    </row>
    <row r="204" spans="1:6" x14ac:dyDescent="0.25">
      <c r="A204" s="2" t="s">
        <v>75</v>
      </c>
      <c r="B204" s="2" t="s">
        <v>75</v>
      </c>
      <c r="C204" s="42" t="str">
        <f t="shared" si="6"/>
        <v>Cricket Hill|Cricket Hill</v>
      </c>
      <c r="D204" s="2" t="s">
        <v>512</v>
      </c>
      <c r="E204" s="2" t="s">
        <v>511</v>
      </c>
      <c r="F204" t="str">
        <f t="shared" si="7"/>
        <v>Cricket Hill|Cricket Hill|Beer|Beer - Craft</v>
      </c>
    </row>
    <row r="205" spans="1:6" x14ac:dyDescent="0.25">
      <c r="A205" s="2" t="s">
        <v>146</v>
      </c>
      <c r="B205" s="2" t="s">
        <v>45</v>
      </c>
      <c r="C205" s="42" t="str">
        <f t="shared" si="6"/>
        <v>Bold Rock|Bold Rock Hard Cider</v>
      </c>
      <c r="D205" s="2" t="s">
        <v>541</v>
      </c>
      <c r="E205" s="2" t="s">
        <v>541</v>
      </c>
      <c r="F205" t="str">
        <f t="shared" si="7"/>
        <v>Bold Rock|Bold Rock Hard Cider|Cider|Cider</v>
      </c>
    </row>
    <row r="206" spans="1:6" x14ac:dyDescent="0.25">
      <c r="A206" s="2" t="s">
        <v>150</v>
      </c>
      <c r="B206" s="2" t="s">
        <v>150</v>
      </c>
      <c r="C206" s="42" t="str">
        <f t="shared" si="6"/>
        <v>Molly's|Molly's</v>
      </c>
      <c r="D206" s="2" t="s">
        <v>518</v>
      </c>
      <c r="E206" s="2" t="s">
        <v>527</v>
      </c>
      <c r="F206" t="str">
        <f t="shared" si="7"/>
        <v>Molly's|Molly's|Spirits|Spirits - Other</v>
      </c>
    </row>
    <row r="207" spans="1:6" x14ac:dyDescent="0.25">
      <c r="A207" s="2" t="s">
        <v>107</v>
      </c>
      <c r="B207" s="2" t="s">
        <v>51</v>
      </c>
      <c r="C207" s="42" t="str">
        <f t="shared" si="6"/>
        <v>Cristal|MolsonCoors Beverage Company</v>
      </c>
      <c r="D207" s="2" t="s">
        <v>512</v>
      </c>
      <c r="E207" s="2" t="s">
        <v>515</v>
      </c>
      <c r="F207" t="str">
        <f t="shared" si="7"/>
        <v>Cristal|MolsonCoors Beverage Company|Beer|Beer - Import</v>
      </c>
    </row>
    <row r="208" spans="1:6" x14ac:dyDescent="0.25">
      <c r="A208" s="2" t="s">
        <v>91</v>
      </c>
      <c r="B208" s="2" t="s">
        <v>260</v>
      </c>
      <c r="C208" s="42" t="str">
        <f t="shared" si="6"/>
        <v>Ballantine Ale|Pabst Brewing Company</v>
      </c>
      <c r="D208" s="2" t="s">
        <v>512</v>
      </c>
      <c r="E208" s="2" t="s">
        <v>534</v>
      </c>
      <c r="F208" t="str">
        <f t="shared" si="7"/>
        <v>Ballantine Ale|Pabst Brewing Company|Beer|Beer - Economy</v>
      </c>
    </row>
    <row r="209" spans="1:6" x14ac:dyDescent="0.25">
      <c r="A209" s="2" t="s">
        <v>92</v>
      </c>
      <c r="B209" s="2" t="s">
        <v>139</v>
      </c>
      <c r="C209" s="42" t="str">
        <f t="shared" si="6"/>
        <v>Mackeson|Total Beverage Solutions</v>
      </c>
      <c r="D209" s="2" t="s">
        <v>512</v>
      </c>
      <c r="E209" s="2" t="s">
        <v>515</v>
      </c>
      <c r="F209" t="str">
        <f t="shared" si="7"/>
        <v>Mackeson|Total Beverage Solutions|Beer|Beer - Import</v>
      </c>
    </row>
    <row r="210" spans="1:6" x14ac:dyDescent="0.25">
      <c r="A210" s="2" t="s">
        <v>347</v>
      </c>
      <c r="B210" s="2" t="s">
        <v>93</v>
      </c>
      <c r="C210" s="42" t="str">
        <f t="shared" si="6"/>
        <v>Montauk|Montauk Brewing Co</v>
      </c>
      <c r="D210" s="2" t="s">
        <v>512</v>
      </c>
      <c r="E210" s="2" t="s">
        <v>529</v>
      </c>
      <c r="F210" t="str">
        <f t="shared" si="7"/>
        <v>Montauk|Montauk Brewing Co|Beer|Beer - Non-Alc</v>
      </c>
    </row>
    <row r="211" spans="1:6" x14ac:dyDescent="0.25">
      <c r="A211" s="2" t="s">
        <v>151</v>
      </c>
      <c r="B211" s="2" t="s">
        <v>174</v>
      </c>
      <c r="C211" s="42" t="str">
        <f t="shared" si="6"/>
        <v>Boldt Infused D9|Emergent Beverage Partners</v>
      </c>
      <c r="D211" s="2" t="s">
        <v>531</v>
      </c>
      <c r="E211" s="2" t="s">
        <v>531</v>
      </c>
      <c r="F211" t="str">
        <f t="shared" si="7"/>
        <v>Boldt Infused D9|Emergent Beverage Partners|THC|THC</v>
      </c>
    </row>
    <row r="212" spans="1:6" x14ac:dyDescent="0.25">
      <c r="A212" s="2" t="s">
        <v>322</v>
      </c>
      <c r="B212" s="2" t="s">
        <v>95</v>
      </c>
      <c r="C212" s="42" t="str">
        <f t="shared" si="6"/>
        <v>Costenita|Food &amp; Bev Enterprise LLC</v>
      </c>
      <c r="D212" s="2" t="s">
        <v>512</v>
      </c>
      <c r="E212" s="2" t="s">
        <v>515</v>
      </c>
      <c r="F212" t="str">
        <f t="shared" si="7"/>
        <v>Costenita|Food &amp; Bev Enterprise LLC|Beer|Beer - Import</v>
      </c>
    </row>
    <row r="213" spans="1:6" x14ac:dyDescent="0.25">
      <c r="A213" s="2" t="s">
        <v>164</v>
      </c>
      <c r="B213" s="2" t="s">
        <v>139</v>
      </c>
      <c r="C213" s="42" t="str">
        <f t="shared" si="6"/>
        <v>Banks|Total Beverage Solutions</v>
      </c>
      <c r="D213" s="2" t="s">
        <v>512</v>
      </c>
      <c r="E213" s="2" t="s">
        <v>515</v>
      </c>
      <c r="F213" t="str">
        <f t="shared" si="7"/>
        <v>Banks|Total Beverage Solutions|Beer|Beer - Import</v>
      </c>
    </row>
    <row r="214" spans="1:6" x14ac:dyDescent="0.25">
      <c r="A214" s="2" t="s">
        <v>315</v>
      </c>
      <c r="B214" s="2" t="s">
        <v>135</v>
      </c>
      <c r="C214" s="42" t="str">
        <f t="shared" si="6"/>
        <v>Dg Yuengling Inc|DG Yuengling Inc</v>
      </c>
      <c r="D214" s="2" t="s">
        <v>512</v>
      </c>
      <c r="E214" s="2" t="s">
        <v>534</v>
      </c>
      <c r="F214" t="str">
        <f t="shared" si="7"/>
        <v>Dg Yuengling Inc|DG Yuengling Inc|Beer|Beer - Economy</v>
      </c>
    </row>
    <row r="215" spans="1:6" x14ac:dyDescent="0.25">
      <c r="A215" s="2" t="s">
        <v>378</v>
      </c>
      <c r="B215" s="2" t="s">
        <v>139</v>
      </c>
      <c r="C215" s="42" t="str">
        <f t="shared" si="6"/>
        <v>Rekorderlig|Total Beverage Solutions</v>
      </c>
      <c r="D215" s="2" t="s">
        <v>541</v>
      </c>
      <c r="E215" s="2" t="s">
        <v>541</v>
      </c>
      <c r="F215" t="str">
        <f t="shared" si="7"/>
        <v>Rekorderlig|Total Beverage Solutions|Cider|Cider</v>
      </c>
    </row>
    <row r="216" spans="1:6" x14ac:dyDescent="0.25">
      <c r="A216" s="2" t="s">
        <v>47</v>
      </c>
      <c r="B216" s="2" t="s">
        <v>354</v>
      </c>
      <c r="C216" s="42" t="str">
        <f t="shared" si="6"/>
        <v>Barn Brew|Barn Brew Co</v>
      </c>
      <c r="D216" s="2" t="s">
        <v>512</v>
      </c>
      <c r="E216" s="2" t="s">
        <v>511</v>
      </c>
      <c r="F216" t="str">
        <f t="shared" si="7"/>
        <v>Barn Brew|Barn Brew Co|Beer|Beer - Craft</v>
      </c>
    </row>
    <row r="217" spans="1:6" x14ac:dyDescent="0.25">
      <c r="A217" s="2" t="s">
        <v>29</v>
      </c>
      <c r="B217" s="2" t="s">
        <v>390</v>
      </c>
      <c r="C217" s="42" t="str">
        <f t="shared" si="6"/>
        <v>The Drop|Constellation Brands</v>
      </c>
      <c r="D217" s="2" t="s">
        <v>528</v>
      </c>
      <c r="E217" s="2" t="s">
        <v>528</v>
      </c>
      <c r="F217" t="str">
        <f t="shared" si="7"/>
        <v>The Drop|Constellation Brands|FMB|FMB</v>
      </c>
    </row>
    <row r="218" spans="1:6" x14ac:dyDescent="0.25">
      <c r="A218" s="2" t="s">
        <v>369</v>
      </c>
      <c r="B218" s="2" t="s">
        <v>368</v>
      </c>
      <c r="C218" s="42" t="str">
        <f t="shared" si="6"/>
        <v>Bardstown Green River|Bardstown Bourbon Co</v>
      </c>
      <c r="D218" s="2" t="s">
        <v>518</v>
      </c>
      <c r="E218" s="2" t="s">
        <v>519</v>
      </c>
      <c r="F218" t="str">
        <f t="shared" si="7"/>
        <v>Bardstown Green River|Bardstown Bourbon Co|Spirits|Spirits - Whiskey</v>
      </c>
    </row>
    <row r="219" spans="1:6" x14ac:dyDescent="0.25">
      <c r="A219" s="2" t="s">
        <v>218</v>
      </c>
      <c r="B219" s="2" t="s">
        <v>189</v>
      </c>
      <c r="C219" s="42" t="str">
        <f t="shared" si="6"/>
        <v>Lightstrike|New Belgium Brewing Company</v>
      </c>
      <c r="D219" s="2" t="s">
        <v>528</v>
      </c>
      <c r="E219" s="2" t="s">
        <v>528</v>
      </c>
      <c r="F219" t="str">
        <f t="shared" si="7"/>
        <v>Lightstrike|New Belgium Brewing Company|FMB|FMB</v>
      </c>
    </row>
    <row r="220" spans="1:6" x14ac:dyDescent="0.25">
      <c r="A220" s="2" t="s">
        <v>154</v>
      </c>
      <c r="B220" s="2" t="s">
        <v>126</v>
      </c>
      <c r="C220" s="42" t="str">
        <f t="shared" si="6"/>
        <v>LoDo|Lodo Brands</v>
      </c>
      <c r="D220" s="2" t="s">
        <v>531</v>
      </c>
      <c r="E220" s="2" t="s">
        <v>531</v>
      </c>
      <c r="F220" t="str">
        <f t="shared" si="7"/>
        <v>LoDo|Lodo Brands|THC|THC</v>
      </c>
    </row>
    <row r="221" spans="1:6" x14ac:dyDescent="0.25">
      <c r="A221" s="2" t="s">
        <v>42</v>
      </c>
      <c r="B221" s="2" t="s">
        <v>63</v>
      </c>
      <c r="C221" s="42" t="str">
        <f t="shared" si="6"/>
        <v>Mamita's|Phusion Projects</v>
      </c>
      <c r="D221" s="2" t="s">
        <v>528</v>
      </c>
      <c r="E221" s="2" t="s">
        <v>528</v>
      </c>
      <c r="F221" t="str">
        <f t="shared" si="7"/>
        <v>Mamita's|Phusion Projects|FMB|FMB</v>
      </c>
    </row>
    <row r="222" spans="1:6" x14ac:dyDescent="0.25">
      <c r="A222" s="2" t="s">
        <v>316</v>
      </c>
      <c r="B222" s="2" t="s">
        <v>316</v>
      </c>
      <c r="C222" s="42" t="str">
        <f t="shared" si="6"/>
        <v>Sapporo|Sapporo</v>
      </c>
      <c r="D222" s="2" t="s">
        <v>512</v>
      </c>
      <c r="E222" s="2" t="s">
        <v>529</v>
      </c>
      <c r="F222" t="str">
        <f t="shared" si="7"/>
        <v>Sapporo|Sapporo|Beer|Beer - Non-Alc</v>
      </c>
    </row>
    <row r="223" spans="1:6" x14ac:dyDescent="0.25">
      <c r="A223" s="2" t="s">
        <v>254</v>
      </c>
      <c r="B223" s="2" t="s">
        <v>254</v>
      </c>
      <c r="C223" s="42" t="str">
        <f t="shared" si="6"/>
        <v>Unibroue|Unibroue</v>
      </c>
      <c r="D223" s="2" t="s">
        <v>512</v>
      </c>
      <c r="E223" s="2" t="s">
        <v>515</v>
      </c>
      <c r="F223" t="str">
        <f t="shared" si="7"/>
        <v>Unibroue|Unibroue|Beer|Beer - Import</v>
      </c>
    </row>
    <row r="224" spans="1:6" x14ac:dyDescent="0.25">
      <c r="A224" s="2" t="s">
        <v>330</v>
      </c>
      <c r="B224" s="2" t="s">
        <v>98</v>
      </c>
      <c r="C224" s="42" t="str">
        <f t="shared" si="6"/>
        <v>Caravella|Caravella Inc</v>
      </c>
      <c r="D224" s="2" t="s">
        <v>523</v>
      </c>
      <c r="E224" s="2" t="s">
        <v>537</v>
      </c>
      <c r="F224" t="str">
        <f t="shared" si="7"/>
        <v>Caravella|Caravella Inc|Wine|Wine - Other</v>
      </c>
    </row>
    <row r="225" spans="1:6" x14ac:dyDescent="0.25">
      <c r="A225" s="2" t="s">
        <v>357</v>
      </c>
      <c r="B225" s="2" t="s">
        <v>98</v>
      </c>
      <c r="C225" s="42" t="str">
        <f t="shared" si="6"/>
        <v>2 Canos|Caravella Inc</v>
      </c>
      <c r="D225" s="2" t="s">
        <v>523</v>
      </c>
      <c r="E225" s="2" t="s">
        <v>537</v>
      </c>
      <c r="F225" t="str">
        <f t="shared" si="7"/>
        <v>2 Canos|Caravella Inc|Wine|Wine - Other</v>
      </c>
    </row>
    <row r="226" spans="1:6" x14ac:dyDescent="0.25">
      <c r="A226" s="2" t="s">
        <v>271</v>
      </c>
      <c r="B226" s="2" t="s">
        <v>355</v>
      </c>
      <c r="C226" s="42" t="str">
        <f t="shared" si="6"/>
        <v>Press|XYZ Beverage</v>
      </c>
      <c r="D226" s="2" t="s">
        <v>542</v>
      </c>
      <c r="E226" s="2" t="s">
        <v>542</v>
      </c>
      <c r="F226" t="str">
        <f t="shared" si="7"/>
        <v>Press|XYZ Beverage|Seltzer|Seltzer</v>
      </c>
    </row>
    <row r="227" spans="1:6" x14ac:dyDescent="0.25">
      <c r="A227" s="2" t="s">
        <v>37</v>
      </c>
      <c r="B227" s="2" t="s">
        <v>8</v>
      </c>
      <c r="C227" s="42" t="str">
        <f t="shared" si="6"/>
        <v>Mckenzie's|FX Matt</v>
      </c>
      <c r="D227" s="2" t="s">
        <v>541</v>
      </c>
      <c r="E227" s="2" t="s">
        <v>541</v>
      </c>
      <c r="F227" t="str">
        <f t="shared" si="7"/>
        <v>Mckenzie's|FX Matt|Cider|Cider</v>
      </c>
    </row>
    <row r="228" spans="1:6" x14ac:dyDescent="0.25">
      <c r="A228" s="2" t="s">
        <v>195</v>
      </c>
      <c r="B228" s="2" t="s">
        <v>269</v>
      </c>
      <c r="C228" s="42" t="str">
        <f t="shared" si="6"/>
        <v>Yard House|Global Beer</v>
      </c>
      <c r="D228" s="2" t="s">
        <v>512</v>
      </c>
      <c r="E228" s="2" t="s">
        <v>511</v>
      </c>
      <c r="F228" t="str">
        <f t="shared" si="7"/>
        <v>Yard House|Global Beer|Beer|Beer - Craft</v>
      </c>
    </row>
    <row r="229" spans="1:6" x14ac:dyDescent="0.25">
      <c r="A229" s="2" t="s">
        <v>313</v>
      </c>
      <c r="B229" s="2" t="s">
        <v>394</v>
      </c>
      <c r="C229" s="42" t="str">
        <f t="shared" si="6"/>
        <v>Buckler|Heineken USA</v>
      </c>
      <c r="D229" s="2" t="s">
        <v>512</v>
      </c>
      <c r="E229" s="2" t="s">
        <v>529</v>
      </c>
      <c r="F229" t="str">
        <f t="shared" si="7"/>
        <v>Buckler|Heineken USA|Beer|Beer - Non-Alc</v>
      </c>
    </row>
    <row r="230" spans="1:6" x14ac:dyDescent="0.25">
      <c r="A230" s="2" t="s">
        <v>86</v>
      </c>
      <c r="B230" s="2" t="s">
        <v>51</v>
      </c>
      <c r="C230" s="42" t="str">
        <f t="shared" si="6"/>
        <v>Happy Thursday Spiked Refresher|MolsonCoors Beverage Company</v>
      </c>
      <c r="D230" s="2" t="s">
        <v>528</v>
      </c>
      <c r="E230" s="2" t="s">
        <v>528</v>
      </c>
      <c r="F230" t="str">
        <f t="shared" si="7"/>
        <v>Happy Thursday Spiked Refresher|MolsonCoors Beverage Company|FMB|FMB</v>
      </c>
    </row>
    <row r="231" spans="1:6" x14ac:dyDescent="0.25">
      <c r="A231" s="2" t="s">
        <v>177</v>
      </c>
      <c r="B231" s="2" t="s">
        <v>25</v>
      </c>
      <c r="C231" s="42" t="str">
        <f t="shared" si="6"/>
        <v>Source of Hoppiness|Source Brewing</v>
      </c>
      <c r="D231" s="2" t="s">
        <v>512</v>
      </c>
      <c r="E231" s="2" t="s">
        <v>511</v>
      </c>
      <c r="F231" t="str">
        <f t="shared" si="7"/>
        <v>Source of Hoppiness|Source Brewing|Beer|Beer - Craft</v>
      </c>
    </row>
    <row r="232" spans="1:6" x14ac:dyDescent="0.25">
      <c r="A232" s="2" t="s">
        <v>58</v>
      </c>
      <c r="B232" s="2" t="s">
        <v>139</v>
      </c>
      <c r="C232" s="42" t="str">
        <f t="shared" si="6"/>
        <v>Weihenstephaner|Total Beverage Solutions</v>
      </c>
      <c r="D232" s="2" t="s">
        <v>512</v>
      </c>
      <c r="E232" s="2" t="s">
        <v>529</v>
      </c>
      <c r="F232" t="str">
        <f t="shared" si="7"/>
        <v>Weihenstephaner|Total Beverage Solutions|Beer|Beer - Non-Alc</v>
      </c>
    </row>
    <row r="233" spans="1:6" x14ac:dyDescent="0.25">
      <c r="A233" s="2" t="s">
        <v>47</v>
      </c>
      <c r="B233" s="2" t="s">
        <v>354</v>
      </c>
      <c r="C233" s="42" t="str">
        <f t="shared" si="6"/>
        <v>Barn Brew|Barn Brew Co</v>
      </c>
      <c r="D233" s="2" t="s">
        <v>531</v>
      </c>
      <c r="E233" s="2" t="s">
        <v>531</v>
      </c>
      <c r="F233" t="str">
        <f t="shared" si="7"/>
        <v>Barn Brew|Barn Brew Co|THC|THC</v>
      </c>
    </row>
    <row r="234" spans="1:6" x14ac:dyDescent="0.25">
      <c r="A234" s="2" t="s">
        <v>386</v>
      </c>
      <c r="B234" s="2" t="s">
        <v>125</v>
      </c>
      <c r="C234" s="42" t="str">
        <f t="shared" si="6"/>
        <v>Hi5|Modern Infusions</v>
      </c>
      <c r="D234" s="2" t="s">
        <v>531</v>
      </c>
      <c r="E234" s="2" t="s">
        <v>531</v>
      </c>
      <c r="F234" t="str">
        <f t="shared" si="7"/>
        <v>Hi5|Modern Infusions|THC|THC</v>
      </c>
    </row>
    <row r="235" spans="1:6" x14ac:dyDescent="0.25">
      <c r="A235" s="2" t="s">
        <v>292</v>
      </c>
      <c r="B235" s="2" t="s">
        <v>189</v>
      </c>
      <c r="C235" s="42" t="str">
        <f t="shared" si="6"/>
        <v>Kirin Light|New Belgium Brewing Company</v>
      </c>
      <c r="D235" s="2" t="s">
        <v>512</v>
      </c>
      <c r="E235" s="2" t="s">
        <v>515</v>
      </c>
      <c r="F235" t="str">
        <f t="shared" si="7"/>
        <v>Kirin Light|New Belgium Brewing Company|Beer|Beer - Import</v>
      </c>
    </row>
    <row r="236" spans="1:6" x14ac:dyDescent="0.25">
      <c r="A236" s="2" t="s">
        <v>364</v>
      </c>
      <c r="B236" s="2" t="s">
        <v>125</v>
      </c>
      <c r="C236" s="42" t="str">
        <f t="shared" si="6"/>
        <v>Fiveislands|Modern Infusions</v>
      </c>
      <c r="D236" s="2" t="s">
        <v>531</v>
      </c>
      <c r="E236" s="2" t="s">
        <v>531</v>
      </c>
      <c r="F236" t="str">
        <f t="shared" si="7"/>
        <v>Fiveislands|Modern Infusions|THC|THC</v>
      </c>
    </row>
    <row r="237" spans="1:6" x14ac:dyDescent="0.25">
      <c r="A237" s="2" t="s">
        <v>275</v>
      </c>
      <c r="B237" s="2" t="s">
        <v>411</v>
      </c>
      <c r="C237" s="42" t="str">
        <f t="shared" si="6"/>
        <v>OVO Vodka|OVO Vodka LLC</v>
      </c>
      <c r="D237" s="2" t="s">
        <v>518</v>
      </c>
      <c r="E237" s="2" t="s">
        <v>517</v>
      </c>
      <c r="F237" t="str">
        <f t="shared" si="7"/>
        <v>OVO Vodka|OVO Vodka LLC|Spirits|Spirits - Vodka</v>
      </c>
    </row>
    <row r="238" spans="1:6" x14ac:dyDescent="0.25">
      <c r="A238" s="2" t="s">
        <v>385</v>
      </c>
      <c r="B238" s="2" t="s">
        <v>299</v>
      </c>
      <c r="C238" s="42" t="str">
        <f t="shared" si="6"/>
        <v>Find Wunder|Radix Labs</v>
      </c>
      <c r="D238" s="2" t="s">
        <v>531</v>
      </c>
      <c r="E238" s="2" t="s">
        <v>531</v>
      </c>
      <c r="F238" t="str">
        <f t="shared" si="7"/>
        <v>Find Wunder|Radix Labs|THC|THC</v>
      </c>
    </row>
    <row r="239" spans="1:6" x14ac:dyDescent="0.25">
      <c r="A239" s="2" t="s">
        <v>232</v>
      </c>
      <c r="B239" s="2" t="s">
        <v>231</v>
      </c>
      <c r="C239" s="42" t="str">
        <f t="shared" si="6"/>
        <v>Snow Beer|Ever Grand Group LLC</v>
      </c>
      <c r="D239" s="2" t="s">
        <v>512</v>
      </c>
      <c r="E239" s="2" t="s">
        <v>515</v>
      </c>
      <c r="F239" t="str">
        <f t="shared" si="7"/>
        <v>Snow Beer|Ever Grand Group LLC|Beer|Beer - Import</v>
      </c>
    </row>
    <row r="240" spans="1:6" x14ac:dyDescent="0.25">
      <c r="A240" s="2" t="s">
        <v>123</v>
      </c>
      <c r="B240" s="2" t="s">
        <v>81</v>
      </c>
      <c r="C240" s="42" t="str">
        <f t="shared" si="6"/>
        <v>Happy Flower|Tilray Alternative Beverage</v>
      </c>
      <c r="D240" s="2" t="s">
        <v>531</v>
      </c>
      <c r="E240" s="2" t="s">
        <v>531</v>
      </c>
      <c r="F240" t="str">
        <f t="shared" si="7"/>
        <v>Happy Flower|Tilray Alternative Beverage|THC|THC</v>
      </c>
    </row>
    <row r="241" spans="1:6" x14ac:dyDescent="0.25">
      <c r="A241" s="2" t="s">
        <v>70</v>
      </c>
      <c r="B241" s="2" t="s">
        <v>69</v>
      </c>
      <c r="C241" s="42" t="str">
        <f t="shared" si="6"/>
        <v>Big Mans Brew|Flying Fish</v>
      </c>
      <c r="D241" s="2" t="s">
        <v>512</v>
      </c>
      <c r="E241" s="2" t="s">
        <v>511</v>
      </c>
      <c r="F241" t="str">
        <f t="shared" si="7"/>
        <v>Big Mans Brew|Flying Fish|Beer|Beer - Craft</v>
      </c>
    </row>
    <row r="242" spans="1:6" x14ac:dyDescent="0.25">
      <c r="A242" s="2" t="s">
        <v>200</v>
      </c>
      <c r="B242" s="2" t="s">
        <v>356</v>
      </c>
      <c r="C242" s="42" t="str">
        <f t="shared" si="6"/>
        <v>Defiant|Defiant Brewing Co.</v>
      </c>
      <c r="D242" s="2" t="s">
        <v>512</v>
      </c>
      <c r="E242" s="2" t="s">
        <v>511</v>
      </c>
      <c r="F242" t="str">
        <f t="shared" si="7"/>
        <v>Defiant|Defiant Brewing Co.|Beer|Beer - Craft</v>
      </c>
    </row>
    <row r="243" spans="1:6" x14ac:dyDescent="0.25">
      <c r="A243" s="2" t="s">
        <v>82</v>
      </c>
      <c r="B243" s="2" t="s">
        <v>153</v>
      </c>
      <c r="C243" s="42" t="str">
        <f t="shared" si="6"/>
        <v>Pop Sips|Passion Tree Co</v>
      </c>
      <c r="D243" s="2" t="s">
        <v>528</v>
      </c>
      <c r="E243" s="2" t="s">
        <v>528</v>
      </c>
      <c r="F243" t="str">
        <f t="shared" si="7"/>
        <v>Pop Sips|Passion Tree Co|FMB|FMB</v>
      </c>
    </row>
    <row r="244" spans="1:6" x14ac:dyDescent="0.25">
      <c r="A244" s="2" t="s">
        <v>410</v>
      </c>
      <c r="B244" s="2" t="s">
        <v>329</v>
      </c>
      <c r="C244" s="42" t="str">
        <f t="shared" si="6"/>
        <v>La Tropical|Cerveceria La Tropical</v>
      </c>
      <c r="D244" s="2" t="s">
        <v>512</v>
      </c>
      <c r="E244" s="2" t="s">
        <v>511</v>
      </c>
      <c r="F244" t="str">
        <f t="shared" si="7"/>
        <v>La Tropical|Cerveceria La Tropical|Beer|Beer - Craft</v>
      </c>
    </row>
    <row r="245" spans="1:6" x14ac:dyDescent="0.25">
      <c r="A245" s="2" t="s">
        <v>307</v>
      </c>
      <c r="B245" s="2" t="s">
        <v>306</v>
      </c>
      <c r="C245" s="42" t="str">
        <f t="shared" si="6"/>
        <v>Bella Ray|Bella Ray Beverage</v>
      </c>
      <c r="D245" s="2" t="s">
        <v>531</v>
      </c>
      <c r="E245" s="2" t="s">
        <v>531</v>
      </c>
      <c r="F245" t="str">
        <f t="shared" si="7"/>
        <v>Bella Ray|Bella Ray Beverage|THC|THC</v>
      </c>
    </row>
    <row r="246" spans="1:6" x14ac:dyDescent="0.25">
      <c r="A246" s="2" t="s">
        <v>191</v>
      </c>
      <c r="B246" s="2" t="s">
        <v>8</v>
      </c>
      <c r="C246" s="42" t="str">
        <f t="shared" si="6"/>
        <v>Flying Dog Brewing Co|FX Matt</v>
      </c>
      <c r="D246" s="2" t="s">
        <v>512</v>
      </c>
      <c r="E246" s="2" t="s">
        <v>529</v>
      </c>
      <c r="F246" t="str">
        <f t="shared" si="7"/>
        <v>Flying Dog Brewing Co|FX Matt|Beer|Beer - Non-Alc</v>
      </c>
    </row>
    <row r="247" spans="1:6" x14ac:dyDescent="0.25">
      <c r="A247" s="2" t="s">
        <v>414</v>
      </c>
      <c r="B247" s="2" t="s">
        <v>24</v>
      </c>
      <c r="C247" s="42" t="str">
        <f t="shared" si="6"/>
        <v>Viva Tequila Seltzer|Viva Beverages Inc</v>
      </c>
      <c r="D247" s="2" t="s">
        <v>510</v>
      </c>
      <c r="E247" s="2" t="s">
        <v>510</v>
      </c>
      <c r="F247" t="str">
        <f t="shared" si="7"/>
        <v>Viva Tequila Seltzer|Viva Beverages Inc|RTD|RTD</v>
      </c>
    </row>
    <row r="248" spans="1:6" x14ac:dyDescent="0.25">
      <c r="A248" s="2" t="s">
        <v>366</v>
      </c>
      <c r="B248" s="2" t="s">
        <v>366</v>
      </c>
      <c r="C248" s="42" t="str">
        <f t="shared" si="6"/>
        <v>Dad Grass|Dad Grass</v>
      </c>
      <c r="D248" s="2" t="s">
        <v>531</v>
      </c>
      <c r="E248" s="2" t="s">
        <v>531</v>
      </c>
      <c r="F248" t="str">
        <f t="shared" si="7"/>
        <v>Dad Grass|Dad Grass|THC|THC</v>
      </c>
    </row>
    <row r="249" spans="1:6" x14ac:dyDescent="0.25">
      <c r="A249" s="2" t="s">
        <v>43</v>
      </c>
      <c r="B249" s="2" t="s">
        <v>266</v>
      </c>
      <c r="C249" s="42" t="str">
        <f t="shared" si="6"/>
        <v>Fuller's|Paulaner</v>
      </c>
      <c r="D249" s="2" t="s">
        <v>512</v>
      </c>
      <c r="E249" s="2" t="s">
        <v>515</v>
      </c>
      <c r="F249" t="str">
        <f t="shared" si="7"/>
        <v>Fuller's|Paulaner|Beer|Beer - Import</v>
      </c>
    </row>
    <row r="250" spans="1:6" x14ac:dyDescent="0.25">
      <c r="A250" s="2" t="s">
        <v>353</v>
      </c>
      <c r="B250" s="2" t="s">
        <v>269</v>
      </c>
      <c r="C250" s="42" t="str">
        <f t="shared" si="6"/>
        <v>Gulden Draak|Global Beer</v>
      </c>
      <c r="D250" s="2" t="s">
        <v>512</v>
      </c>
      <c r="E250" s="2" t="s">
        <v>515</v>
      </c>
      <c r="F250" t="str">
        <f t="shared" si="7"/>
        <v>Gulden Draak|Global Beer|Beer|Beer - Import</v>
      </c>
    </row>
    <row r="251" spans="1:6" x14ac:dyDescent="0.25">
      <c r="A251" s="2" t="s">
        <v>406</v>
      </c>
      <c r="B251" s="2" t="s">
        <v>269</v>
      </c>
      <c r="C251" s="42" t="str">
        <f t="shared" si="6"/>
        <v>Petrus|Global Beer</v>
      </c>
      <c r="D251" s="2" t="s">
        <v>512</v>
      </c>
      <c r="E251" s="2" t="s">
        <v>515</v>
      </c>
      <c r="F251" t="str">
        <f t="shared" si="7"/>
        <v>Petrus|Global Beer|Beer|Beer - Import</v>
      </c>
    </row>
    <row r="252" spans="1:6" x14ac:dyDescent="0.25">
      <c r="A252" s="2" t="s">
        <v>359</v>
      </c>
      <c r="B252" s="2" t="s">
        <v>174</v>
      </c>
      <c r="C252" s="42" t="str">
        <f t="shared" si="6"/>
        <v>Crooked Beverage|Emergent Beverage Partners</v>
      </c>
      <c r="D252" s="2" t="s">
        <v>531</v>
      </c>
      <c r="E252" s="2" t="s">
        <v>531</v>
      </c>
      <c r="F252" t="str">
        <f t="shared" si="7"/>
        <v>Crooked Beverage|Emergent Beverage Partners|THC|THC</v>
      </c>
    </row>
    <row r="253" spans="1:6" x14ac:dyDescent="0.25">
      <c r="A253" s="2" t="s">
        <v>83</v>
      </c>
      <c r="B253" s="2" t="s">
        <v>83</v>
      </c>
      <c r="C253" s="42" t="str">
        <f t="shared" si="6"/>
        <v>Gigli|Gigli</v>
      </c>
      <c r="D253" s="2" t="s">
        <v>531</v>
      </c>
      <c r="E253" s="2" t="s">
        <v>531</v>
      </c>
      <c r="F253" t="str">
        <f t="shared" si="7"/>
        <v>Gigli|Gigli|THC|THC</v>
      </c>
    </row>
    <row r="254" spans="1:6" x14ac:dyDescent="0.25">
      <c r="A254" s="2" t="s">
        <v>15</v>
      </c>
      <c r="B254" s="2" t="s">
        <v>223</v>
      </c>
      <c r="C254" s="42" t="str">
        <f t="shared" si="6"/>
        <v>1911 Hard Cider|Beak &amp; Skiff</v>
      </c>
      <c r="D254" s="2" t="s">
        <v>541</v>
      </c>
      <c r="E254" s="2" t="s">
        <v>529</v>
      </c>
      <c r="F254" t="str">
        <f t="shared" si="7"/>
        <v>1911 Hard Cider|Beak &amp; Skiff|Cider|Beer - Non-Alc</v>
      </c>
    </row>
    <row r="255" spans="1:6" x14ac:dyDescent="0.25">
      <c r="A255" s="2" t="s">
        <v>121</v>
      </c>
      <c r="B255" s="2" t="s">
        <v>229</v>
      </c>
      <c r="C255" s="42" t="str">
        <f t="shared" si="6"/>
        <v>Fix Hellas|Prestige</v>
      </c>
      <c r="D255" s="2" t="s">
        <v>512</v>
      </c>
      <c r="E255" s="2" t="s">
        <v>515</v>
      </c>
      <c r="F255" t="str">
        <f t="shared" si="7"/>
        <v>Fix Hellas|Prestige|Beer|Beer - Import</v>
      </c>
    </row>
    <row r="256" spans="1:6" x14ac:dyDescent="0.25">
      <c r="A256" s="2" t="s">
        <v>363</v>
      </c>
      <c r="B256" s="2" t="s">
        <v>100</v>
      </c>
      <c r="C256" s="42" t="str">
        <f t="shared" si="6"/>
        <v>Plaid Duck|Park Street Imports</v>
      </c>
      <c r="D256" s="2" t="s">
        <v>528</v>
      </c>
      <c r="E256" s="2" t="s">
        <v>528</v>
      </c>
      <c r="F256" t="str">
        <f t="shared" si="7"/>
        <v>Plaid Duck|Park Street Imports|FMB|FMB</v>
      </c>
    </row>
    <row r="257" spans="1:6" x14ac:dyDescent="0.25">
      <c r="A257" s="2" t="s">
        <v>193</v>
      </c>
      <c r="B257" s="2" t="s">
        <v>12</v>
      </c>
      <c r="C257" s="42" t="str">
        <f t="shared" si="6"/>
        <v>Honey Brown|FIFCO</v>
      </c>
      <c r="D257" s="2" t="s">
        <v>512</v>
      </c>
      <c r="E257" s="2" t="s">
        <v>511</v>
      </c>
      <c r="F257" t="str">
        <f t="shared" si="7"/>
        <v>Honey Brown|FIFCO|Beer|Beer - Craft</v>
      </c>
    </row>
    <row r="258" spans="1:6" x14ac:dyDescent="0.25">
      <c r="A258" s="2" t="s">
        <v>270</v>
      </c>
      <c r="B258" s="2" t="s">
        <v>325</v>
      </c>
      <c r="C258" s="42" t="str">
        <f t="shared" si="6"/>
        <v>BJ'S Private Label Brewa|BJ'S Private Label Brew</v>
      </c>
      <c r="D258" s="2" t="s">
        <v>518</v>
      </c>
      <c r="E258" s="2" t="s">
        <v>527</v>
      </c>
      <c r="F258" t="str">
        <f t="shared" si="7"/>
        <v>BJ'S Private Label Brewa|BJ'S Private Label Brew|Spirits|Spirits - Other</v>
      </c>
    </row>
    <row r="259" spans="1:6" x14ac:dyDescent="0.25">
      <c r="A259" s="2" t="s">
        <v>79</v>
      </c>
      <c r="B259" s="2" t="s">
        <v>174</v>
      </c>
      <c r="C259" s="42" t="str">
        <f t="shared" ref="C259:C322" si="8">A259&amp;"|"&amp;B259</f>
        <v>Beckett's D9|Emergent Beverage Partners</v>
      </c>
      <c r="D259" s="2" t="s">
        <v>531</v>
      </c>
      <c r="E259" s="2" t="s">
        <v>531</v>
      </c>
      <c r="F259" t="str">
        <f t="shared" ref="F259:F322" si="9">A259&amp;"|"&amp;B259&amp;"|"&amp;D259&amp;"|"&amp;E259</f>
        <v>Beckett's D9|Emergent Beverage Partners|THC|THC</v>
      </c>
    </row>
    <row r="260" spans="1:6" x14ac:dyDescent="0.25">
      <c r="A260" s="2" t="s">
        <v>118</v>
      </c>
      <c r="B260" s="2" t="s">
        <v>324</v>
      </c>
      <c r="C260" s="42" t="str">
        <f t="shared" si="8"/>
        <v>Wyder's|Vermont Hard Cider</v>
      </c>
      <c r="D260" s="2" t="s">
        <v>541</v>
      </c>
      <c r="E260" s="2" t="s">
        <v>541</v>
      </c>
      <c r="F260" t="str">
        <f t="shared" si="9"/>
        <v>Wyder's|Vermont Hard Cider|Cider|Cider</v>
      </c>
    </row>
    <row r="261" spans="1:6" x14ac:dyDescent="0.25">
      <c r="A261" s="2" t="s">
        <v>272</v>
      </c>
      <c r="B261" s="2" t="s">
        <v>97</v>
      </c>
      <c r="C261" s="42" t="str">
        <f t="shared" si="8"/>
        <v>Gush|GUSH INC</v>
      </c>
      <c r="D261" s="2" t="s">
        <v>514</v>
      </c>
      <c r="E261" s="2" t="s">
        <v>540</v>
      </c>
      <c r="F261" t="str">
        <f t="shared" si="9"/>
        <v>Gush|GUSH INC|Non-Alc|Non-Alc – Mixer</v>
      </c>
    </row>
    <row r="262" spans="1:6" x14ac:dyDescent="0.25">
      <c r="A262" s="2" t="s">
        <v>15</v>
      </c>
      <c r="B262" s="2" t="s">
        <v>223</v>
      </c>
      <c r="C262" s="42" t="str">
        <f t="shared" si="8"/>
        <v>1911 Hard Cider|Beak &amp; Skiff</v>
      </c>
      <c r="D262" s="2" t="s">
        <v>510</v>
      </c>
      <c r="E262" s="2" t="s">
        <v>510</v>
      </c>
      <c r="F262" t="str">
        <f t="shared" si="9"/>
        <v>1911 Hard Cider|Beak &amp; Skiff|RTD|RTD</v>
      </c>
    </row>
    <row r="263" spans="1:6" x14ac:dyDescent="0.25">
      <c r="A263" s="2" t="s">
        <v>48</v>
      </c>
      <c r="B263" s="2" t="s">
        <v>174</v>
      </c>
      <c r="C263" s="42" t="str">
        <f t="shared" si="8"/>
        <v>Lark Infused D9|Emergent Beverage Partners</v>
      </c>
      <c r="D263" s="2" t="s">
        <v>531</v>
      </c>
      <c r="E263" s="2" t="s">
        <v>531</v>
      </c>
      <c r="F263" t="str">
        <f t="shared" si="9"/>
        <v>Lark Infused D9|Emergent Beverage Partners|THC|THC</v>
      </c>
    </row>
    <row r="264" spans="1:6" x14ac:dyDescent="0.25">
      <c r="A264" s="2" t="s">
        <v>337</v>
      </c>
      <c r="B264" s="2" t="s">
        <v>387</v>
      </c>
      <c r="C264" s="42" t="str">
        <f t="shared" si="8"/>
        <v>Bodega Chiller|Blaze Life LLC</v>
      </c>
      <c r="D264" s="2" t="s">
        <v>531</v>
      </c>
      <c r="E264" s="2" t="s">
        <v>531</v>
      </c>
      <c r="F264" t="str">
        <f t="shared" si="9"/>
        <v>Bodega Chiller|Blaze Life LLC|THC|THC</v>
      </c>
    </row>
    <row r="265" spans="1:6" x14ac:dyDescent="0.25">
      <c r="A265" s="2" t="s">
        <v>40</v>
      </c>
      <c r="B265" s="2" t="s">
        <v>166</v>
      </c>
      <c r="C265" s="42" t="str">
        <f t="shared" si="8"/>
        <v>Tagus|US Beverage</v>
      </c>
      <c r="D265" s="2" t="s">
        <v>512</v>
      </c>
      <c r="E265" s="2" t="s">
        <v>515</v>
      </c>
      <c r="F265" t="str">
        <f t="shared" si="9"/>
        <v>Tagus|US Beverage|Beer|Beer - Import</v>
      </c>
    </row>
    <row r="266" spans="1:6" x14ac:dyDescent="0.25">
      <c r="A266" s="2" t="s">
        <v>199</v>
      </c>
      <c r="B266" s="2" t="s">
        <v>199</v>
      </c>
      <c r="C266" s="42" t="str">
        <f t="shared" si="8"/>
        <v>Efes|Efes</v>
      </c>
      <c r="D266" s="2" t="s">
        <v>512</v>
      </c>
      <c r="E266" s="2" t="s">
        <v>515</v>
      </c>
      <c r="F266" t="str">
        <f t="shared" si="9"/>
        <v>Efes|Efes|Beer|Beer - Import</v>
      </c>
    </row>
    <row r="267" spans="1:6" x14ac:dyDescent="0.25">
      <c r="A267" s="2" t="s">
        <v>140</v>
      </c>
      <c r="B267" s="2" t="s">
        <v>166</v>
      </c>
      <c r="C267" s="42" t="str">
        <f t="shared" si="8"/>
        <v>Sagres Cerveja|US Beverage</v>
      </c>
      <c r="D267" s="2" t="s">
        <v>512</v>
      </c>
      <c r="E267" s="2" t="s">
        <v>515</v>
      </c>
      <c r="F267" t="str">
        <f t="shared" si="9"/>
        <v>Sagres Cerveja|US Beverage|Beer|Beer - Import</v>
      </c>
    </row>
    <row r="268" spans="1:6" x14ac:dyDescent="0.25">
      <c r="A268" s="2" t="s">
        <v>383</v>
      </c>
      <c r="B268" s="2" t="s">
        <v>229</v>
      </c>
      <c r="C268" s="42" t="str">
        <f t="shared" si="8"/>
        <v>Greek Wines|Prestige</v>
      </c>
      <c r="D268" s="2" t="s">
        <v>523</v>
      </c>
      <c r="E268" s="2" t="s">
        <v>526</v>
      </c>
      <c r="F268" t="str">
        <f t="shared" si="9"/>
        <v>Greek Wines|Prestige|Wine|Wine - White</v>
      </c>
    </row>
    <row r="269" spans="1:6" x14ac:dyDescent="0.25">
      <c r="A269" s="2" t="s">
        <v>78</v>
      </c>
      <c r="B269" s="2" t="s">
        <v>98</v>
      </c>
      <c r="C269" s="42" t="str">
        <f t="shared" si="8"/>
        <v>Poca Loca|Caravella Inc</v>
      </c>
      <c r="D269" s="2" t="s">
        <v>523</v>
      </c>
      <c r="E269" s="2" t="s">
        <v>537</v>
      </c>
      <c r="F269" t="str">
        <f t="shared" si="9"/>
        <v>Poca Loca|Caravella Inc|Wine|Wine - Other</v>
      </c>
    </row>
    <row r="270" spans="1:6" x14ac:dyDescent="0.25">
      <c r="A270" s="2" t="s">
        <v>381</v>
      </c>
      <c r="B270" s="2" t="s">
        <v>381</v>
      </c>
      <c r="C270" s="42" t="str">
        <f t="shared" si="8"/>
        <v>Travelers Club|Travelers Club</v>
      </c>
      <c r="D270" s="2" t="s">
        <v>518</v>
      </c>
      <c r="E270" s="2" t="s">
        <v>520</v>
      </c>
      <c r="F270" t="str">
        <f t="shared" si="9"/>
        <v>Travelers Club|Travelers Club|Spirits|Spirits - Gin</v>
      </c>
    </row>
    <row r="271" spans="1:6" x14ac:dyDescent="0.25">
      <c r="A271" s="2" t="s">
        <v>352</v>
      </c>
      <c r="B271" s="2" t="s">
        <v>269</v>
      </c>
      <c r="C271" s="42" t="str">
        <f t="shared" si="8"/>
        <v>Bavik|Global Beer</v>
      </c>
      <c r="D271" s="2" t="s">
        <v>512</v>
      </c>
      <c r="E271" s="2" t="s">
        <v>515</v>
      </c>
      <c r="F271" t="str">
        <f t="shared" si="9"/>
        <v>Bavik|Global Beer|Beer|Beer - Import</v>
      </c>
    </row>
    <row r="272" spans="1:6" x14ac:dyDescent="0.25">
      <c r="A272" s="2" t="s">
        <v>247</v>
      </c>
      <c r="B272" s="2" t="s">
        <v>318</v>
      </c>
      <c r="C272" s="42" t="str">
        <f t="shared" si="8"/>
        <v>Lagunitas NA|Lagunitas Brewing Co</v>
      </c>
      <c r="D272" s="2" t="s">
        <v>512</v>
      </c>
      <c r="E272" s="2" t="s">
        <v>511</v>
      </c>
      <c r="F272" t="str">
        <f t="shared" si="9"/>
        <v>Lagunitas NA|Lagunitas Brewing Co|Beer|Beer - Craft</v>
      </c>
    </row>
    <row r="273" spans="1:6" x14ac:dyDescent="0.25">
      <c r="A273" s="2" t="s">
        <v>383</v>
      </c>
      <c r="B273" s="2" t="s">
        <v>229</v>
      </c>
      <c r="C273" s="42" t="str">
        <f t="shared" si="8"/>
        <v>Greek Wines|Prestige</v>
      </c>
      <c r="D273" s="2" t="s">
        <v>523</v>
      </c>
      <c r="E273" s="2" t="s">
        <v>530</v>
      </c>
      <c r="F273" t="str">
        <f t="shared" si="9"/>
        <v>Greek Wines|Prestige|Wine|Wine - Red</v>
      </c>
    </row>
    <row r="274" spans="1:6" x14ac:dyDescent="0.25">
      <c r="A274" s="2" t="s">
        <v>117</v>
      </c>
      <c r="B274" s="2" t="s">
        <v>269</v>
      </c>
      <c r="C274" s="42" t="str">
        <f t="shared" si="8"/>
        <v>Piraat|Global Beer</v>
      </c>
      <c r="D274" s="2" t="s">
        <v>512</v>
      </c>
      <c r="E274" s="2" t="s">
        <v>515</v>
      </c>
      <c r="F274" t="str">
        <f t="shared" si="9"/>
        <v>Piraat|Global Beer|Beer|Beer - Import</v>
      </c>
    </row>
    <row r="275" spans="1:6" x14ac:dyDescent="0.25">
      <c r="A275" s="2" t="s">
        <v>173</v>
      </c>
      <c r="B275" s="2" t="s">
        <v>201</v>
      </c>
      <c r="C275" s="42" t="str">
        <f t="shared" si="8"/>
        <v>Brewt's|Brewt's LLC</v>
      </c>
      <c r="D275" s="2" t="s">
        <v>514</v>
      </c>
      <c r="E275" s="2" t="s">
        <v>540</v>
      </c>
      <c r="F275" t="str">
        <f t="shared" si="9"/>
        <v>Brewt's|Brewt's LLC|Non-Alc|Non-Alc – Mixer</v>
      </c>
    </row>
    <row r="276" spans="1:6" x14ac:dyDescent="0.25">
      <c r="A276" s="2" t="s">
        <v>304</v>
      </c>
      <c r="B276" s="2" t="s">
        <v>103</v>
      </c>
      <c r="C276" s="42" t="str">
        <f t="shared" si="8"/>
        <v>Brio|Dreamz Invenstments LLC</v>
      </c>
      <c r="D276" s="2" t="s">
        <v>531</v>
      </c>
      <c r="E276" s="2" t="s">
        <v>531</v>
      </c>
      <c r="F276" t="str">
        <f t="shared" si="9"/>
        <v>Brio|Dreamz Invenstments LLC|THC|THC</v>
      </c>
    </row>
    <row r="277" spans="1:6" x14ac:dyDescent="0.25">
      <c r="A277" s="2" t="s">
        <v>76</v>
      </c>
      <c r="B277" s="2" t="s">
        <v>327</v>
      </c>
      <c r="C277" s="42" t="str">
        <f t="shared" si="8"/>
        <v>Crook&amp;Marker|Crook &amp; Marker</v>
      </c>
      <c r="D277" s="2" t="s">
        <v>528</v>
      </c>
      <c r="E277" s="2" t="s">
        <v>528</v>
      </c>
      <c r="F277" t="str">
        <f t="shared" si="9"/>
        <v>Crook&amp;Marker|Crook &amp; Marker|FMB|FMB</v>
      </c>
    </row>
    <row r="278" spans="1:6" x14ac:dyDescent="0.25">
      <c r="A278" s="2" t="s">
        <v>55</v>
      </c>
      <c r="B278" s="2" t="s">
        <v>394</v>
      </c>
      <c r="C278" s="42" t="str">
        <f t="shared" si="8"/>
        <v>Newcastle|Heineken USA</v>
      </c>
      <c r="D278" s="2" t="s">
        <v>512</v>
      </c>
      <c r="E278" s="2" t="s">
        <v>515</v>
      </c>
      <c r="F278" t="str">
        <f t="shared" si="9"/>
        <v>Newcastle|Heineken USA|Beer|Beer - Import</v>
      </c>
    </row>
    <row r="279" spans="1:6" x14ac:dyDescent="0.25">
      <c r="A279" s="2" t="s">
        <v>258</v>
      </c>
      <c r="B279" s="2" t="s">
        <v>258</v>
      </c>
      <c r="C279" s="42" t="str">
        <f t="shared" si="8"/>
        <v>Alte Beverage|Alte Beverage</v>
      </c>
      <c r="D279" s="2" t="s">
        <v>531</v>
      </c>
      <c r="E279" s="2" t="s">
        <v>531</v>
      </c>
      <c r="F279" t="str">
        <f t="shared" si="9"/>
        <v>Alte Beverage|Alte Beverage|THC|THC</v>
      </c>
    </row>
    <row r="280" spans="1:6" x14ac:dyDescent="0.25">
      <c r="A280" s="2" t="s">
        <v>148</v>
      </c>
      <c r="B280" s="2" t="s">
        <v>98</v>
      </c>
      <c r="C280" s="42" t="str">
        <f t="shared" si="8"/>
        <v>Dancing Vines|Caravella Inc</v>
      </c>
      <c r="D280" s="2" t="s">
        <v>523</v>
      </c>
      <c r="E280" s="2" t="s">
        <v>537</v>
      </c>
      <c r="F280" t="str">
        <f t="shared" si="9"/>
        <v>Dancing Vines|Caravella Inc|Wine|Wine - Other</v>
      </c>
    </row>
    <row r="281" spans="1:6" x14ac:dyDescent="0.25">
      <c r="A281" s="2" t="s">
        <v>539</v>
      </c>
      <c r="B281" s="2" t="s">
        <v>25</v>
      </c>
      <c r="C281" s="42" t="str">
        <f t="shared" si="8"/>
        <v>Superbloom|Source Brewing</v>
      </c>
      <c r="D281" s="2" t="s">
        <v>512</v>
      </c>
      <c r="E281" s="2" t="s">
        <v>511</v>
      </c>
      <c r="F281" t="str">
        <f t="shared" si="9"/>
        <v>Superbloom|Source Brewing|Beer|Beer - Craft</v>
      </c>
    </row>
    <row r="282" spans="1:6" x14ac:dyDescent="0.25">
      <c r="A282" s="2" t="s">
        <v>170</v>
      </c>
      <c r="B282" s="2" t="s">
        <v>223</v>
      </c>
      <c r="C282" s="42" t="str">
        <f t="shared" si="8"/>
        <v>1911 Spirits|Beak &amp; Skiff</v>
      </c>
      <c r="D282" s="2" t="s">
        <v>510</v>
      </c>
      <c r="E282" s="2" t="s">
        <v>510</v>
      </c>
      <c r="F282" t="str">
        <f t="shared" si="9"/>
        <v>1911 Spirits|Beak &amp; Skiff|RTD|RTD</v>
      </c>
    </row>
    <row r="283" spans="1:6" x14ac:dyDescent="0.25">
      <c r="A283" s="2" t="s">
        <v>276</v>
      </c>
      <c r="B283" s="2" t="s">
        <v>358</v>
      </c>
      <c r="C283" s="42" t="str">
        <f t="shared" si="8"/>
        <v>Buzbee's|Buzbee's Beverages USA LLC</v>
      </c>
      <c r="D283" s="2" t="s">
        <v>514</v>
      </c>
      <c r="E283" s="2" t="s">
        <v>513</v>
      </c>
      <c r="F283" t="str">
        <f t="shared" si="9"/>
        <v>Buzbee's|Buzbee's Beverages USA LLC|Non-Alc|Non-Alc - Soda</v>
      </c>
    </row>
    <row r="284" spans="1:6" x14ac:dyDescent="0.25">
      <c r="A284" s="2" t="s">
        <v>538</v>
      </c>
      <c r="B284" s="2" t="s">
        <v>25</v>
      </c>
      <c r="C284" s="42" t="str">
        <f t="shared" si="8"/>
        <v>Jade|Source Brewing</v>
      </c>
      <c r="D284" s="2" t="s">
        <v>512</v>
      </c>
      <c r="E284" s="2" t="s">
        <v>511</v>
      </c>
      <c r="F284" t="str">
        <f t="shared" si="9"/>
        <v>Jade|Source Brewing|Beer|Beer - Craft</v>
      </c>
    </row>
    <row r="285" spans="1:6" x14ac:dyDescent="0.25">
      <c r="A285" s="2" t="s">
        <v>524</v>
      </c>
      <c r="B285" s="2" t="s">
        <v>525</v>
      </c>
      <c r="C285" s="42" t="str">
        <f t="shared" si="8"/>
        <v>Chateau Diana|Chateau Diana Winery</v>
      </c>
      <c r="D285" s="2" t="s">
        <v>523</v>
      </c>
      <c r="E285" s="2" t="s">
        <v>537</v>
      </c>
      <c r="F285" t="str">
        <f t="shared" si="9"/>
        <v>Chateau Diana|Chateau Diana Winery|Wine|Wine - Other</v>
      </c>
    </row>
    <row r="286" spans="1:6" x14ac:dyDescent="0.25">
      <c r="A286" s="2" t="s">
        <v>178</v>
      </c>
      <c r="B286" s="2" t="s">
        <v>49</v>
      </c>
      <c r="C286" s="42" t="str">
        <f t="shared" si="8"/>
        <v>Castellani Etichetta Gialla|Savorian INC</v>
      </c>
      <c r="D286" s="2" t="s">
        <v>523</v>
      </c>
      <c r="E286" s="2" t="s">
        <v>530</v>
      </c>
      <c r="F286" t="str">
        <f t="shared" si="9"/>
        <v>Castellani Etichetta Gialla|Savorian INC|Wine|Wine - Red</v>
      </c>
    </row>
    <row r="287" spans="1:6" x14ac:dyDescent="0.25">
      <c r="A287" s="2" t="s">
        <v>171</v>
      </c>
      <c r="B287" s="2" t="s">
        <v>269</v>
      </c>
      <c r="C287" s="42" t="str">
        <f t="shared" si="8"/>
        <v>Van Steenberge|Global Beer</v>
      </c>
      <c r="D287" s="2" t="s">
        <v>512</v>
      </c>
      <c r="E287" s="2" t="s">
        <v>515</v>
      </c>
      <c r="F287" t="str">
        <f t="shared" si="9"/>
        <v>Van Steenberge|Global Beer|Beer|Beer - Import</v>
      </c>
    </row>
    <row r="288" spans="1:6" x14ac:dyDescent="0.25">
      <c r="A288" s="2" t="s">
        <v>172</v>
      </c>
      <c r="B288" s="2" t="s">
        <v>324</v>
      </c>
      <c r="C288" s="42" t="str">
        <f t="shared" si="8"/>
        <v>Day Chaser|Vermont Hard Cider</v>
      </c>
      <c r="D288" s="2" t="s">
        <v>510</v>
      </c>
      <c r="E288" s="2" t="s">
        <v>510</v>
      </c>
      <c r="F288" t="str">
        <f t="shared" si="9"/>
        <v>Day Chaser|Vermont Hard Cider|RTD|RTD</v>
      </c>
    </row>
    <row r="289" spans="1:6" x14ac:dyDescent="0.25">
      <c r="A289" s="2" t="s">
        <v>234</v>
      </c>
      <c r="B289" s="2" t="s">
        <v>335</v>
      </c>
      <c r="C289" s="42" t="str">
        <f t="shared" si="8"/>
        <v>Jerzey Jungle|Jerzey Jungle LLC</v>
      </c>
      <c r="D289" s="2" t="s">
        <v>518</v>
      </c>
      <c r="E289" s="2" t="s">
        <v>527</v>
      </c>
      <c r="F289" t="str">
        <f t="shared" si="9"/>
        <v>Jerzey Jungle|Jerzey Jungle LLC|Spirits|Spirits - Other</v>
      </c>
    </row>
    <row r="290" spans="1:6" x14ac:dyDescent="0.25">
      <c r="A290" s="2" t="s">
        <v>72</v>
      </c>
      <c r="B290" s="2" t="s">
        <v>269</v>
      </c>
      <c r="C290" s="42" t="str">
        <f t="shared" si="8"/>
        <v>Baptist Wit|Global Beer</v>
      </c>
      <c r="D290" s="2" t="s">
        <v>512</v>
      </c>
      <c r="E290" s="2" t="s">
        <v>511</v>
      </c>
      <c r="F290" t="str">
        <f t="shared" si="9"/>
        <v>Baptist Wit|Global Beer|Beer|Beer - Craft</v>
      </c>
    </row>
    <row r="291" spans="1:6" x14ac:dyDescent="0.25">
      <c r="A291" s="2" t="s">
        <v>536</v>
      </c>
      <c r="B291" s="2" t="s">
        <v>387</v>
      </c>
      <c r="C291" s="42" t="str">
        <f t="shared" si="8"/>
        <v>Bodega Quarters|Blaze Life LLC</v>
      </c>
      <c r="D291" s="2" t="s">
        <v>531</v>
      </c>
      <c r="E291" s="2" t="s">
        <v>531</v>
      </c>
      <c r="F291" t="str">
        <f t="shared" si="9"/>
        <v>Bodega Quarters|Blaze Life LLC|THC|THC</v>
      </c>
    </row>
    <row r="292" spans="1:6" x14ac:dyDescent="0.25">
      <c r="A292" s="2" t="s">
        <v>278</v>
      </c>
      <c r="B292" s="2" t="s">
        <v>278</v>
      </c>
      <c r="C292" s="42" t="str">
        <f t="shared" si="8"/>
        <v>Waterloo Gin|Waterloo Gin</v>
      </c>
      <c r="D292" s="2" t="s">
        <v>518</v>
      </c>
      <c r="E292" s="2" t="s">
        <v>520</v>
      </c>
      <c r="F292" t="str">
        <f t="shared" si="9"/>
        <v>Waterloo Gin|Waterloo Gin|Spirits|Spirits - Gin</v>
      </c>
    </row>
    <row r="293" spans="1:6" x14ac:dyDescent="0.25">
      <c r="A293" s="2" t="s">
        <v>181</v>
      </c>
      <c r="B293" s="2" t="s">
        <v>387</v>
      </c>
      <c r="C293" s="42" t="str">
        <f t="shared" si="8"/>
        <v>Mota'Lada|Blaze Life LLC</v>
      </c>
      <c r="D293" s="2" t="s">
        <v>531</v>
      </c>
      <c r="E293" s="2" t="s">
        <v>531</v>
      </c>
      <c r="F293" t="str">
        <f t="shared" si="9"/>
        <v>Mota'Lada|Blaze Life LLC|THC|THC</v>
      </c>
    </row>
    <row r="294" spans="1:6" x14ac:dyDescent="0.25">
      <c r="A294" s="2" t="s">
        <v>222</v>
      </c>
      <c r="B294" s="2" t="s">
        <v>266</v>
      </c>
      <c r="C294" s="42" t="str">
        <f t="shared" si="8"/>
        <v>Tsingtao|Paulaner</v>
      </c>
      <c r="D294" s="2" t="s">
        <v>512</v>
      </c>
      <c r="E294" s="2" t="s">
        <v>529</v>
      </c>
      <c r="F294" t="str">
        <f t="shared" si="9"/>
        <v>Tsingtao|Paulaner|Beer|Beer - Non-Alc</v>
      </c>
    </row>
    <row r="295" spans="1:6" x14ac:dyDescent="0.25">
      <c r="A295" s="2" t="s">
        <v>273</v>
      </c>
      <c r="B295" s="2" t="s">
        <v>22</v>
      </c>
      <c r="C295" s="42" t="str">
        <f t="shared" si="8"/>
        <v>48 Blocks|Little Water Distillery</v>
      </c>
      <c r="D295" s="2" t="s">
        <v>518</v>
      </c>
      <c r="E295" s="2" t="s">
        <v>527</v>
      </c>
      <c r="F295" t="str">
        <f t="shared" si="9"/>
        <v>48 Blocks|Little Water Distillery|Spirits|Spirits - Other</v>
      </c>
    </row>
    <row r="296" spans="1:6" x14ac:dyDescent="0.25">
      <c r="A296" s="2" t="s">
        <v>77</v>
      </c>
      <c r="B296" s="2" t="s">
        <v>409</v>
      </c>
      <c r="C296" s="42" t="str">
        <f t="shared" si="8"/>
        <v>Southern Tier Distilling|Southern Tier Distilling Company</v>
      </c>
      <c r="D296" s="2" t="s">
        <v>518</v>
      </c>
      <c r="E296" s="2" t="s">
        <v>519</v>
      </c>
      <c r="F296" t="str">
        <f t="shared" si="9"/>
        <v>Southern Tier Distilling|Southern Tier Distilling Company|Spirits|Spirits - Whiskey</v>
      </c>
    </row>
    <row r="297" spans="1:6" x14ac:dyDescent="0.25">
      <c r="A297" s="2" t="s">
        <v>413</v>
      </c>
      <c r="B297" s="2" t="s">
        <v>360</v>
      </c>
      <c r="C297" s="42" t="str">
        <f t="shared" si="8"/>
        <v>Charro|Primos Imports LLC</v>
      </c>
      <c r="D297" s="2" t="s">
        <v>512</v>
      </c>
      <c r="E297" s="2" t="s">
        <v>515</v>
      </c>
      <c r="F297" t="str">
        <f t="shared" si="9"/>
        <v>Charro|Primos Imports LLC|Beer|Beer - Import</v>
      </c>
    </row>
    <row r="298" spans="1:6" x14ac:dyDescent="0.25">
      <c r="A298" s="2" t="s">
        <v>362</v>
      </c>
      <c r="B298" s="2" t="s">
        <v>179</v>
      </c>
      <c r="C298" s="42" t="str">
        <f t="shared" si="8"/>
        <v>Ecaana|Riviera Imports</v>
      </c>
      <c r="D298" s="2" t="s">
        <v>523</v>
      </c>
      <c r="E298" s="2" t="s">
        <v>526</v>
      </c>
      <c r="F298" t="str">
        <f t="shared" si="9"/>
        <v>Ecaana|Riviera Imports|Wine|Wine - White</v>
      </c>
    </row>
    <row r="299" spans="1:6" x14ac:dyDescent="0.25">
      <c r="A299" s="2" t="s">
        <v>209</v>
      </c>
      <c r="B299" s="2" t="s">
        <v>49</v>
      </c>
      <c r="C299" s="42" t="str">
        <f t="shared" si="8"/>
        <v>Calise|Savorian INC</v>
      </c>
      <c r="D299" s="2" t="s">
        <v>523</v>
      </c>
      <c r="E299" s="2" t="s">
        <v>526</v>
      </c>
      <c r="F299" t="str">
        <f t="shared" si="9"/>
        <v>Calise|Savorian INC|Wine|Wine - White</v>
      </c>
    </row>
    <row r="300" spans="1:6" x14ac:dyDescent="0.25">
      <c r="A300" s="2" t="s">
        <v>104</v>
      </c>
      <c r="B300" s="2" t="s">
        <v>370</v>
      </c>
      <c r="C300" s="42" t="str">
        <f t="shared" si="8"/>
        <v>American Fruit|American Fruits</v>
      </c>
      <c r="D300" s="2" t="s">
        <v>518</v>
      </c>
      <c r="E300" s="2" t="s">
        <v>535</v>
      </c>
      <c r="F300" t="str">
        <f t="shared" si="9"/>
        <v>American Fruit|American Fruits|Spirits|Spirits - Brandy</v>
      </c>
    </row>
    <row r="301" spans="1:6" x14ac:dyDescent="0.25">
      <c r="A301" s="2" t="s">
        <v>248</v>
      </c>
      <c r="B301" s="2" t="s">
        <v>166</v>
      </c>
      <c r="C301" s="42" t="str">
        <f t="shared" si="8"/>
        <v>Dewey Crush|US Beverage</v>
      </c>
      <c r="D301" s="2" t="s">
        <v>510</v>
      </c>
      <c r="E301" s="2" t="s">
        <v>510</v>
      </c>
      <c r="F301" t="str">
        <f t="shared" si="9"/>
        <v>Dewey Crush|US Beverage|RTD|RTD</v>
      </c>
    </row>
    <row r="302" spans="1:6" x14ac:dyDescent="0.25">
      <c r="A302" s="2" t="s">
        <v>160</v>
      </c>
      <c r="B302" s="2" t="s">
        <v>51</v>
      </c>
      <c r="C302" s="42" t="str">
        <f t="shared" si="8"/>
        <v>Steel Reserve Alloy Series|MolsonCoors Beverage Company</v>
      </c>
      <c r="D302" s="2" t="s">
        <v>512</v>
      </c>
      <c r="E302" s="2" t="s">
        <v>534</v>
      </c>
      <c r="F302" t="str">
        <f t="shared" si="9"/>
        <v>Steel Reserve Alloy Series|MolsonCoors Beverage Company|Beer|Beer - Economy</v>
      </c>
    </row>
    <row r="303" spans="1:6" x14ac:dyDescent="0.25">
      <c r="A303" s="2" t="s">
        <v>277</v>
      </c>
      <c r="B303" s="2" t="s">
        <v>331</v>
      </c>
      <c r="C303" s="42" t="str">
        <f t="shared" si="8"/>
        <v>Craftwell|2 Towns Ciderhouse</v>
      </c>
      <c r="D303" s="2" t="s">
        <v>510</v>
      </c>
      <c r="E303" s="2" t="s">
        <v>510</v>
      </c>
      <c r="F303" t="str">
        <f t="shared" si="9"/>
        <v>Craftwell|2 Towns Ciderhouse|RTD|RTD</v>
      </c>
    </row>
    <row r="304" spans="1:6" x14ac:dyDescent="0.25">
      <c r="A304" s="2" t="s">
        <v>361</v>
      </c>
      <c r="B304" s="2" t="s">
        <v>49</v>
      </c>
      <c r="C304" s="42" t="str">
        <f t="shared" si="8"/>
        <v>Stoney River|Savorian INC</v>
      </c>
      <c r="D304" s="2" t="s">
        <v>523</v>
      </c>
      <c r="E304" s="2" t="s">
        <v>526</v>
      </c>
      <c r="F304" t="str">
        <f t="shared" si="9"/>
        <v>Stoney River|Savorian INC|Wine|Wine - White</v>
      </c>
    </row>
    <row r="305" spans="1:6" x14ac:dyDescent="0.25">
      <c r="A305" s="2" t="s">
        <v>210</v>
      </c>
      <c r="B305" s="2" t="s">
        <v>101</v>
      </c>
      <c r="C305" s="42" t="str">
        <f t="shared" si="8"/>
        <v>Desquite|Licores Artesanales</v>
      </c>
      <c r="D305" s="2" t="s">
        <v>518</v>
      </c>
      <c r="E305" s="2" t="s">
        <v>521</v>
      </c>
      <c r="F305" t="str">
        <f t="shared" si="9"/>
        <v>Desquite|Licores Artesanales|Spirits|Spirits - Tequila</v>
      </c>
    </row>
    <row r="306" spans="1:6" x14ac:dyDescent="0.25">
      <c r="A306" s="2" t="s">
        <v>253</v>
      </c>
      <c r="B306" s="2" t="s">
        <v>229</v>
      </c>
      <c r="C306" s="42" t="str">
        <f t="shared" si="8"/>
        <v>Greek Spirits|Prestige</v>
      </c>
      <c r="D306" s="2" t="s">
        <v>518</v>
      </c>
      <c r="E306" s="2" t="s">
        <v>527</v>
      </c>
      <c r="F306" t="str">
        <f t="shared" si="9"/>
        <v>Greek Spirits|Prestige|Spirits|Spirits - Other</v>
      </c>
    </row>
    <row r="307" spans="1:6" x14ac:dyDescent="0.25">
      <c r="A307" s="2" t="s">
        <v>524</v>
      </c>
      <c r="B307" s="2" t="s">
        <v>525</v>
      </c>
      <c r="C307" s="42" t="str">
        <f t="shared" si="8"/>
        <v>Chateau Diana|Chateau Diana Winery</v>
      </c>
      <c r="D307" s="2" t="s">
        <v>523</v>
      </c>
      <c r="E307" s="2" t="s">
        <v>530</v>
      </c>
      <c r="F307" t="str">
        <f t="shared" si="9"/>
        <v>Chateau Diana|Chateau Diana Winery|Wine|Wine - Red</v>
      </c>
    </row>
    <row r="308" spans="1:6" x14ac:dyDescent="0.25">
      <c r="A308" s="2" t="s">
        <v>4</v>
      </c>
      <c r="B308" s="2" t="s">
        <v>88</v>
      </c>
      <c r="C308" s="42" t="str">
        <f t="shared" si="8"/>
        <v>Dogfish Head Spirits|Boston Beer Company</v>
      </c>
      <c r="D308" s="2" t="s">
        <v>518</v>
      </c>
      <c r="E308" s="2" t="s">
        <v>517</v>
      </c>
      <c r="F308" t="str">
        <f t="shared" si="9"/>
        <v>Dogfish Head Spirits|Boston Beer Company|Spirits|Spirits - Vodka</v>
      </c>
    </row>
    <row r="309" spans="1:6" x14ac:dyDescent="0.25">
      <c r="A309" s="2" t="s">
        <v>532</v>
      </c>
      <c r="B309" s="2" t="s">
        <v>533</v>
      </c>
      <c r="C309" s="42" t="str">
        <f t="shared" si="8"/>
        <v>Belize Breeze|Power Distribution LLC</v>
      </c>
      <c r="D309" s="2" t="s">
        <v>531</v>
      </c>
      <c r="E309" s="2" t="s">
        <v>531</v>
      </c>
      <c r="F309" t="str">
        <f t="shared" si="9"/>
        <v>Belize Breeze|Power Distribution LLC|THC|THC</v>
      </c>
    </row>
    <row r="310" spans="1:6" x14ac:dyDescent="0.25">
      <c r="A310" s="2" t="s">
        <v>203</v>
      </c>
      <c r="B310" s="2" t="s">
        <v>203</v>
      </c>
      <c r="C310" s="42" t="str">
        <f t="shared" si="8"/>
        <v>Oceano|Oceano</v>
      </c>
      <c r="D310" s="2" t="s">
        <v>523</v>
      </c>
      <c r="E310" s="2" t="s">
        <v>526</v>
      </c>
      <c r="F310" t="str">
        <f t="shared" si="9"/>
        <v>Oceano|Oceano|Wine|Wine - White</v>
      </c>
    </row>
    <row r="311" spans="1:6" x14ac:dyDescent="0.25">
      <c r="A311" s="2" t="s">
        <v>73</v>
      </c>
      <c r="B311" s="2" t="s">
        <v>297</v>
      </c>
      <c r="C311" s="42" t="str">
        <f t="shared" si="8"/>
        <v>The Garden State Experience|River Horse Brewing Co</v>
      </c>
      <c r="D311" s="2" t="s">
        <v>528</v>
      </c>
      <c r="E311" s="2" t="s">
        <v>528</v>
      </c>
      <c r="F311" t="str">
        <f t="shared" si="9"/>
        <v>The Garden State Experience|River Horse Brewing Co|FMB|FMB</v>
      </c>
    </row>
    <row r="312" spans="1:6" x14ac:dyDescent="0.25">
      <c r="A312" s="2" t="s">
        <v>79</v>
      </c>
      <c r="B312" s="2" t="s">
        <v>174</v>
      </c>
      <c r="C312" s="42" t="str">
        <f t="shared" si="8"/>
        <v>Beckett's D9|Emergent Beverage Partners</v>
      </c>
      <c r="D312" s="2" t="s">
        <v>514</v>
      </c>
      <c r="E312" s="2" t="s">
        <v>513</v>
      </c>
      <c r="F312" t="str">
        <f t="shared" si="9"/>
        <v>Beckett's D9|Emergent Beverage Partners|Non-Alc|Non-Alc - Soda</v>
      </c>
    </row>
    <row r="313" spans="1:6" x14ac:dyDescent="0.25">
      <c r="A313" s="2" t="s">
        <v>332</v>
      </c>
      <c r="B313" s="2" t="s">
        <v>360</v>
      </c>
      <c r="C313" s="42" t="str">
        <f t="shared" si="8"/>
        <v>Monte Xanic|Primos Imports LLC</v>
      </c>
      <c r="D313" s="2" t="s">
        <v>523</v>
      </c>
      <c r="E313" s="2" t="s">
        <v>530</v>
      </c>
      <c r="F313" t="str">
        <f t="shared" si="9"/>
        <v>Monte Xanic|Primos Imports LLC|Wine|Wine - Red</v>
      </c>
    </row>
    <row r="314" spans="1:6" x14ac:dyDescent="0.25">
      <c r="A314" s="2" t="s">
        <v>192</v>
      </c>
      <c r="B314" s="2" t="s">
        <v>166</v>
      </c>
      <c r="C314" s="42" t="str">
        <f t="shared" si="8"/>
        <v>Daura|US Beverage</v>
      </c>
      <c r="D314" s="2" t="s">
        <v>512</v>
      </c>
      <c r="E314" s="2" t="s">
        <v>529</v>
      </c>
      <c r="F314" t="str">
        <f t="shared" si="9"/>
        <v>Daura|US Beverage|Beer|Beer - Non-Alc</v>
      </c>
    </row>
    <row r="315" spans="1:6" x14ac:dyDescent="0.25">
      <c r="A315" s="2" t="s">
        <v>205</v>
      </c>
      <c r="B315" s="2" t="s">
        <v>152</v>
      </c>
      <c r="C315" s="42" t="str">
        <f t="shared" si="8"/>
        <v>Eleven20 Tequila|Eleven20</v>
      </c>
      <c r="D315" s="2" t="s">
        <v>518</v>
      </c>
      <c r="E315" s="2" t="s">
        <v>521</v>
      </c>
      <c r="F315" t="str">
        <f t="shared" si="9"/>
        <v>Eleven20 Tequila|Eleven20|Spirits|Spirits - Tequila</v>
      </c>
    </row>
    <row r="316" spans="1:6" x14ac:dyDescent="0.25">
      <c r="A316" s="2" t="s">
        <v>156</v>
      </c>
      <c r="B316" s="2" t="s">
        <v>338</v>
      </c>
      <c r="C316" s="42" t="str">
        <f t="shared" si="8"/>
        <v>Berczy|Berczy LLC</v>
      </c>
      <c r="D316" s="2" t="s">
        <v>510</v>
      </c>
      <c r="E316" s="2" t="s">
        <v>510</v>
      </c>
      <c r="F316" t="str">
        <f t="shared" si="9"/>
        <v>Berczy|Berczy LLC|RTD|RTD</v>
      </c>
    </row>
    <row r="317" spans="1:6" x14ac:dyDescent="0.25">
      <c r="A317" s="2" t="s">
        <v>41</v>
      </c>
      <c r="B317" s="2" t="s">
        <v>319</v>
      </c>
      <c r="C317" s="42" t="str">
        <f t="shared" si="8"/>
        <v>Warwick Gin|Warwick Valley</v>
      </c>
      <c r="D317" s="2" t="s">
        <v>518</v>
      </c>
      <c r="E317" s="2" t="s">
        <v>520</v>
      </c>
      <c r="F317" t="str">
        <f t="shared" si="9"/>
        <v>Warwick Gin|Warwick Valley|Spirits|Spirits - Gin</v>
      </c>
    </row>
    <row r="318" spans="1:6" x14ac:dyDescent="0.25">
      <c r="A318" s="2" t="s">
        <v>4</v>
      </c>
      <c r="B318" s="2" t="s">
        <v>88</v>
      </c>
      <c r="C318" s="42" t="str">
        <f t="shared" si="8"/>
        <v>Dogfish Head Spirits|Boston Beer Company</v>
      </c>
      <c r="D318" s="2" t="s">
        <v>518</v>
      </c>
      <c r="E318" s="2" t="s">
        <v>519</v>
      </c>
      <c r="F318" t="str">
        <f t="shared" si="9"/>
        <v>Dogfish Head Spirits|Boston Beer Company|Spirits|Spirits - Whiskey</v>
      </c>
    </row>
    <row r="319" spans="1:6" x14ac:dyDescent="0.25">
      <c r="A319" s="2" t="s">
        <v>332</v>
      </c>
      <c r="B319" s="2" t="s">
        <v>360</v>
      </c>
      <c r="C319" s="42" t="str">
        <f t="shared" si="8"/>
        <v>Monte Xanic|Primos Imports LLC</v>
      </c>
      <c r="D319" s="2" t="s">
        <v>523</v>
      </c>
      <c r="E319" s="2" t="s">
        <v>526</v>
      </c>
      <c r="F319" t="str">
        <f t="shared" si="9"/>
        <v>Monte Xanic|Primos Imports LLC|Wine|Wine - White</v>
      </c>
    </row>
    <row r="320" spans="1:6" x14ac:dyDescent="0.25">
      <c r="A320" s="2" t="s">
        <v>204</v>
      </c>
      <c r="B320" s="2" t="s">
        <v>176</v>
      </c>
      <c r="C320" s="42" t="str">
        <f t="shared" si="8"/>
        <v>Island Brands|Island Brands USA</v>
      </c>
      <c r="D320" s="2" t="s">
        <v>528</v>
      </c>
      <c r="E320" s="2" t="s">
        <v>528</v>
      </c>
      <c r="F320" t="str">
        <f t="shared" si="9"/>
        <v>Island Brands|Island Brands USA|FMB|FMB</v>
      </c>
    </row>
    <row r="321" spans="1:6" x14ac:dyDescent="0.25">
      <c r="A321" s="2" t="s">
        <v>256</v>
      </c>
      <c r="B321" s="2" t="s">
        <v>50</v>
      </c>
      <c r="C321" s="42" t="str">
        <f t="shared" si="8"/>
        <v>Paradisse|Paradisse Spirits LLC</v>
      </c>
      <c r="D321" s="2" t="s">
        <v>518</v>
      </c>
      <c r="E321" s="2" t="s">
        <v>527</v>
      </c>
      <c r="F321" t="str">
        <f t="shared" si="9"/>
        <v>Paradisse|Paradisse Spirits LLC|Spirits|Spirits - Other</v>
      </c>
    </row>
    <row r="322" spans="1:6" x14ac:dyDescent="0.25">
      <c r="A322" s="2" t="s">
        <v>124</v>
      </c>
      <c r="B322" s="2" t="s">
        <v>49</v>
      </c>
      <c r="C322" s="42" t="str">
        <f t="shared" si="8"/>
        <v>Les Domaniales Rose D' Anjou Loire|Savorian INC</v>
      </c>
      <c r="D322" s="2" t="s">
        <v>523</v>
      </c>
      <c r="E322" s="2" t="s">
        <v>522</v>
      </c>
      <c r="F322" t="str">
        <f t="shared" si="9"/>
        <v>Les Domaniales Rose D' Anjou Loire|Savorian INC|Wine|Wine - Rose</v>
      </c>
    </row>
    <row r="323" spans="1:6" x14ac:dyDescent="0.25">
      <c r="A323" s="2" t="s">
        <v>168</v>
      </c>
      <c r="B323" s="2" t="s">
        <v>319</v>
      </c>
      <c r="C323" s="42" t="str">
        <f t="shared" ref="C323:C344" si="10">A323&amp;"|"&amp;B323</f>
        <v>Gin Pig|Warwick Valley</v>
      </c>
      <c r="D323" s="2" t="s">
        <v>518</v>
      </c>
      <c r="E323" s="2" t="s">
        <v>520</v>
      </c>
      <c r="F323" t="str">
        <f t="shared" ref="F323:F344" si="11">A323&amp;"|"&amp;B323&amp;"|"&amp;D323&amp;"|"&amp;E323</f>
        <v>Gin Pig|Warwick Valley|Spirits|Spirits - Gin</v>
      </c>
    </row>
    <row r="324" spans="1:6" x14ac:dyDescent="0.25">
      <c r="A324" s="2" t="s">
        <v>149</v>
      </c>
      <c r="B324" s="2" t="s">
        <v>22</v>
      </c>
      <c r="C324" s="42" t="str">
        <f t="shared" si="10"/>
        <v>Rusted Revolver|Little Water Distillery</v>
      </c>
      <c r="D324" s="2" t="s">
        <v>518</v>
      </c>
      <c r="E324" s="2" t="s">
        <v>520</v>
      </c>
      <c r="F324" t="str">
        <f t="shared" si="11"/>
        <v>Rusted Revolver|Little Water Distillery|Spirits|Spirits - Gin</v>
      </c>
    </row>
    <row r="325" spans="1:6" x14ac:dyDescent="0.25">
      <c r="A325" s="2" t="s">
        <v>524</v>
      </c>
      <c r="B325" s="2" t="s">
        <v>525</v>
      </c>
      <c r="C325" s="42" t="str">
        <f t="shared" si="10"/>
        <v>Chateau Diana|Chateau Diana Winery</v>
      </c>
      <c r="D325" s="2" t="s">
        <v>523</v>
      </c>
      <c r="E325" s="2" t="s">
        <v>526</v>
      </c>
      <c r="F325" t="str">
        <f t="shared" si="11"/>
        <v>Chateau Diana|Chateau Diana Winery|Wine|Wine - White</v>
      </c>
    </row>
    <row r="326" spans="1:6" x14ac:dyDescent="0.25">
      <c r="A326" s="2" t="s">
        <v>524</v>
      </c>
      <c r="B326" s="2" t="s">
        <v>525</v>
      </c>
      <c r="C326" s="42" t="str">
        <f t="shared" si="10"/>
        <v>Chateau Diana|Chateau Diana Winery</v>
      </c>
      <c r="D326" s="2" t="s">
        <v>523</v>
      </c>
      <c r="E326" s="2" t="s">
        <v>522</v>
      </c>
      <c r="F326" t="str">
        <f t="shared" si="11"/>
        <v>Chateau Diana|Chateau Diana Winery|Wine|Wine - Rose</v>
      </c>
    </row>
    <row r="327" spans="1:6" x14ac:dyDescent="0.25">
      <c r="A327" s="2" t="s">
        <v>170</v>
      </c>
      <c r="B327" s="2" t="s">
        <v>223</v>
      </c>
      <c r="C327" s="42" t="str">
        <f t="shared" si="10"/>
        <v>1911 Spirits|Beak &amp; Skiff</v>
      </c>
      <c r="D327" s="2" t="s">
        <v>518</v>
      </c>
      <c r="E327" s="2" t="s">
        <v>519</v>
      </c>
      <c r="F327" t="str">
        <f t="shared" si="11"/>
        <v>1911 Spirits|Beak &amp; Skiff|Spirits|Spirits - Whiskey</v>
      </c>
    </row>
    <row r="328" spans="1:6" x14ac:dyDescent="0.25">
      <c r="A328" s="2" t="s">
        <v>99</v>
      </c>
      <c r="B328" s="2" t="s">
        <v>80</v>
      </c>
      <c r="C328" s="42" t="str">
        <f t="shared" si="10"/>
        <v>Trinity|Trinity Flavors</v>
      </c>
      <c r="D328" s="2" t="s">
        <v>510</v>
      </c>
      <c r="E328" s="2" t="s">
        <v>510</v>
      </c>
      <c r="F328" t="str">
        <f t="shared" si="11"/>
        <v>Trinity|Trinity Flavors|RTD|RTD</v>
      </c>
    </row>
    <row r="329" spans="1:6" x14ac:dyDescent="0.25">
      <c r="A329" s="2" t="s">
        <v>23</v>
      </c>
      <c r="B329" s="2" t="s">
        <v>298</v>
      </c>
      <c r="C329" s="42" t="str">
        <f t="shared" si="10"/>
        <v>Trusted Friend Cocktails|Kimo Spirits</v>
      </c>
      <c r="D329" s="2" t="s">
        <v>510</v>
      </c>
      <c r="E329" s="2" t="s">
        <v>510</v>
      </c>
      <c r="F329" t="str">
        <f t="shared" si="11"/>
        <v>Trusted Friend Cocktails|Kimo Spirits|RTD|RTD</v>
      </c>
    </row>
    <row r="330" spans="1:6" x14ac:dyDescent="0.25">
      <c r="A330" s="2" t="s">
        <v>255</v>
      </c>
      <c r="B330" s="2" t="s">
        <v>360</v>
      </c>
      <c r="C330" s="42" t="str">
        <f t="shared" si="10"/>
        <v>Guaname Rompope|Primos Imports LLC</v>
      </c>
      <c r="D330" s="2" t="s">
        <v>518</v>
      </c>
      <c r="E330" s="2" t="s">
        <v>517</v>
      </c>
      <c r="F330" t="str">
        <f t="shared" si="11"/>
        <v>Guaname Rompope|Primos Imports LLC|Spirits|Spirits - Vodka</v>
      </c>
    </row>
    <row r="331" spans="1:6" x14ac:dyDescent="0.25">
      <c r="A331" s="2" t="s">
        <v>202</v>
      </c>
      <c r="B331" s="2" t="s">
        <v>360</v>
      </c>
      <c r="C331" s="42" t="str">
        <f t="shared" si="10"/>
        <v>Rompe Corazon|Primos Imports LLC</v>
      </c>
      <c r="D331" s="2" t="s">
        <v>518</v>
      </c>
      <c r="E331" s="2" t="s">
        <v>521</v>
      </c>
      <c r="F331" t="str">
        <f t="shared" si="11"/>
        <v>Rompe Corazon|Primos Imports LLC|Spirits|Spirits - Tequila</v>
      </c>
    </row>
    <row r="332" spans="1:6" x14ac:dyDescent="0.25">
      <c r="A332" s="2" t="s">
        <v>415</v>
      </c>
      <c r="B332" s="2" t="s">
        <v>333</v>
      </c>
      <c r="C332" s="42" t="str">
        <f t="shared" si="10"/>
        <v>The Old G|The Old G LLC</v>
      </c>
      <c r="D332" s="2" t="s">
        <v>518</v>
      </c>
      <c r="E332" s="2" t="s">
        <v>520</v>
      </c>
      <c r="F332" t="str">
        <f t="shared" si="11"/>
        <v>The Old G|The Old G LLC|Spirits|Spirits - Gin</v>
      </c>
    </row>
    <row r="333" spans="1:6" x14ac:dyDescent="0.25">
      <c r="A333" s="2" t="s">
        <v>274</v>
      </c>
      <c r="B333" s="2" t="s">
        <v>22</v>
      </c>
      <c r="C333" s="42" t="str">
        <f t="shared" si="10"/>
        <v>Whitecap|Little Water Distillery</v>
      </c>
      <c r="D333" s="2" t="s">
        <v>518</v>
      </c>
      <c r="E333" s="2" t="s">
        <v>519</v>
      </c>
      <c r="F333" t="str">
        <f t="shared" si="11"/>
        <v>Whitecap|Little Water Distillery|Spirits|Spirits - Whiskey</v>
      </c>
    </row>
    <row r="334" spans="1:6" x14ac:dyDescent="0.25">
      <c r="A334" s="2" t="s">
        <v>170</v>
      </c>
      <c r="B334" s="2" t="s">
        <v>223</v>
      </c>
      <c r="C334" s="42" t="str">
        <f t="shared" si="10"/>
        <v>1911 Spirits|Beak &amp; Skiff</v>
      </c>
      <c r="D334" s="2" t="s">
        <v>518</v>
      </c>
      <c r="E334" s="2" t="s">
        <v>517</v>
      </c>
      <c r="F334" t="str">
        <f t="shared" si="11"/>
        <v>1911 Spirits|Beak &amp; Skiff|Spirits|Spirits - Vodka</v>
      </c>
    </row>
    <row r="335" spans="1:6" x14ac:dyDescent="0.25">
      <c r="A335" s="2" t="s">
        <v>167</v>
      </c>
      <c r="B335" s="2" t="s">
        <v>166</v>
      </c>
      <c r="C335" s="42" t="str">
        <f t="shared" si="10"/>
        <v>Superior Cerveza|US Beverage</v>
      </c>
      <c r="D335" s="2" t="s">
        <v>512</v>
      </c>
      <c r="E335" s="2" t="s">
        <v>515</v>
      </c>
      <c r="F335" t="str">
        <f t="shared" si="11"/>
        <v>Superior Cerveza|US Beverage|Beer|Beer - Import</v>
      </c>
    </row>
    <row r="336" spans="1:6" x14ac:dyDescent="0.25">
      <c r="A336" s="2" t="s">
        <v>416</v>
      </c>
      <c r="B336" s="2" t="s">
        <v>416</v>
      </c>
      <c r="C336" s="42" t="str">
        <f t="shared" si="10"/>
        <v>Misc|Misc</v>
      </c>
      <c r="D336" s="2" t="s">
        <v>416</v>
      </c>
      <c r="E336" s="2" t="s">
        <v>516</v>
      </c>
      <c r="F336" t="str">
        <f t="shared" si="11"/>
        <v>Misc|Misc|Misc|Non-Inventory</v>
      </c>
    </row>
    <row r="337" spans="1:6" x14ac:dyDescent="0.25">
      <c r="A337" s="2" t="s">
        <v>257</v>
      </c>
      <c r="B337" s="2" t="s">
        <v>303</v>
      </c>
      <c r="C337" s="42" t="str">
        <f t="shared" si="10"/>
        <v>Capriccio|Florida Caribbean Distillers LLC</v>
      </c>
      <c r="D337" s="2" t="s">
        <v>510</v>
      </c>
      <c r="E337" s="2" t="s">
        <v>510</v>
      </c>
      <c r="F337" t="str">
        <f t="shared" si="11"/>
        <v>Capriccio|Florida Caribbean Distillers LLC|RTD|RTD</v>
      </c>
    </row>
    <row r="338" spans="1:6" x14ac:dyDescent="0.25">
      <c r="A338" s="2" t="s">
        <v>56</v>
      </c>
      <c r="B338" s="2" t="s">
        <v>88</v>
      </c>
      <c r="C338" s="42" t="str">
        <f t="shared" si="10"/>
        <v>Coney Island|Boston Beer Company</v>
      </c>
      <c r="D338" s="2" t="s">
        <v>512</v>
      </c>
      <c r="E338" s="2" t="s">
        <v>511</v>
      </c>
      <c r="F338" t="str">
        <f t="shared" si="11"/>
        <v>Coney Island|Boston Beer Company|Beer|Beer - Craft</v>
      </c>
    </row>
    <row r="339" spans="1:6" x14ac:dyDescent="0.25">
      <c r="A339" s="2" t="s">
        <v>317</v>
      </c>
      <c r="B339" s="2" t="s">
        <v>346</v>
      </c>
      <c r="C339" s="42" t="str">
        <f t="shared" si="10"/>
        <v>Monte Carlo|Famosa</v>
      </c>
      <c r="D339" s="2" t="s">
        <v>512</v>
      </c>
      <c r="E339" s="2" t="s">
        <v>515</v>
      </c>
      <c r="F339" t="str">
        <f t="shared" si="11"/>
        <v>Monte Carlo|Famosa|Beer|Beer - Import</v>
      </c>
    </row>
    <row r="340" spans="1:6" x14ac:dyDescent="0.25">
      <c r="A340" s="2" t="s">
        <v>230</v>
      </c>
      <c r="B340" s="2" t="s">
        <v>21</v>
      </c>
      <c r="C340" s="42" t="str">
        <f t="shared" si="10"/>
        <v>Soda Birch|Hygrade Beverage</v>
      </c>
      <c r="D340" s="2" t="s">
        <v>514</v>
      </c>
      <c r="E340" s="2" t="s">
        <v>513</v>
      </c>
      <c r="F340" t="str">
        <f t="shared" si="11"/>
        <v>Soda Birch|Hygrade Beverage|Non-Alc|Non-Alc - Soda</v>
      </c>
    </row>
    <row r="341" spans="1:6" x14ac:dyDescent="0.25">
      <c r="A341" s="2" t="s">
        <v>145</v>
      </c>
      <c r="B341" s="2" t="s">
        <v>145</v>
      </c>
      <c r="C341" s="42" t="str">
        <f t="shared" si="10"/>
        <v>Jersey Girl|Jersey Girl</v>
      </c>
      <c r="D341" s="2" t="s">
        <v>512</v>
      </c>
      <c r="E341" s="2" t="s">
        <v>511</v>
      </c>
      <c r="F341" t="str">
        <f t="shared" si="11"/>
        <v>Jersey Girl|Jersey Girl|Beer|Beer - Craft</v>
      </c>
    </row>
    <row r="342" spans="1:6" x14ac:dyDescent="0.25">
      <c r="A342" s="2" t="s">
        <v>113</v>
      </c>
      <c r="B342" s="2" t="s">
        <v>113</v>
      </c>
      <c r="C342" s="42" t="str">
        <f t="shared" si="10"/>
        <v>Cape May|Cape May</v>
      </c>
      <c r="D342" s="2" t="s">
        <v>510</v>
      </c>
      <c r="E342" s="2" t="s">
        <v>510</v>
      </c>
      <c r="F342" t="str">
        <f t="shared" si="11"/>
        <v>Cape May|Cape May|RTD|RTD</v>
      </c>
    </row>
    <row r="343" spans="1:6" x14ac:dyDescent="0.25">
      <c r="A343" s="2" t="s">
        <v>204</v>
      </c>
      <c r="B343" s="2" t="s">
        <v>176</v>
      </c>
      <c r="C343" s="42" t="str">
        <f t="shared" si="10"/>
        <v>Island Brands|Island Brands USA</v>
      </c>
      <c r="D343" s="2" t="s">
        <v>512</v>
      </c>
      <c r="E343" s="2" t="s">
        <v>511</v>
      </c>
      <c r="F343" t="str">
        <f t="shared" si="11"/>
        <v>Island Brands|Island Brands USA|Beer|Beer - Craft</v>
      </c>
    </row>
    <row r="344" spans="1:6" x14ac:dyDescent="0.25">
      <c r="A344" s="2" t="s">
        <v>243</v>
      </c>
      <c r="B344" s="2" t="s">
        <v>88</v>
      </c>
      <c r="C344" s="42" t="str">
        <f t="shared" si="10"/>
        <v>Truly|Boston Beer Company</v>
      </c>
      <c r="D344" s="2" t="s">
        <v>510</v>
      </c>
      <c r="E344" s="2" t="s">
        <v>510</v>
      </c>
      <c r="F344" t="str">
        <f t="shared" si="11"/>
        <v>Truly|Boston Beer Company|RTD|RTD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6B549-979C-4769-A92C-0CF004CC3123}">
  <dimension ref="A1:L425"/>
  <sheetViews>
    <sheetView topLeftCell="A60" workbookViewId="0">
      <selection activeCell="Q77" sqref="Q77"/>
    </sheetView>
  </sheetViews>
  <sheetFormatPr defaultRowHeight="15" x14ac:dyDescent="0.25"/>
  <cols>
    <col min="1" max="1" width="34.85546875" bestFit="1" customWidth="1"/>
    <col min="2" max="2" width="30.7109375" bestFit="1" customWidth="1"/>
    <col min="3" max="3" width="30.7109375" customWidth="1"/>
    <col min="4" max="4" width="10.5703125" bestFit="1" customWidth="1"/>
    <col min="5" max="5" width="18.28515625" customWidth="1"/>
    <col min="6" max="6" width="12.28515625" customWidth="1"/>
    <col min="11" max="11" width="9.85546875" bestFit="1" customWidth="1"/>
    <col min="12" max="12" width="10.5703125" bestFit="1" customWidth="1"/>
  </cols>
  <sheetData>
    <row r="1" spans="1:12" ht="60" x14ac:dyDescent="0.25">
      <c r="A1" s="12" t="s">
        <v>389</v>
      </c>
      <c r="B1" s="12" t="s">
        <v>182</v>
      </c>
      <c r="C1" s="12"/>
      <c r="D1" s="13" t="s">
        <v>420</v>
      </c>
      <c r="E1" s="14" t="s">
        <v>421</v>
      </c>
      <c r="F1" s="41" t="s">
        <v>425</v>
      </c>
      <c r="G1" s="15" t="s">
        <v>426</v>
      </c>
      <c r="H1" s="16" t="s">
        <v>423</v>
      </c>
      <c r="I1" s="44" t="s">
        <v>476</v>
      </c>
      <c r="J1" s="45" t="s">
        <v>477</v>
      </c>
      <c r="K1" s="45" t="s">
        <v>478</v>
      </c>
      <c r="L1" s="46" t="s">
        <v>479</v>
      </c>
    </row>
    <row r="2" spans="1:12" x14ac:dyDescent="0.25">
      <c r="A2" s="4" t="s">
        <v>235</v>
      </c>
      <c r="B2" s="4" t="s">
        <v>0</v>
      </c>
      <c r="C2" s="4"/>
      <c r="D2" s="17">
        <f>SUMIF($B3:$B559,"&lt;&gt;",D3:D559)</f>
        <v>7537748.6364329038</v>
      </c>
      <c r="E2" s="18"/>
      <c r="F2" s="18">
        <f>G2/D2</f>
        <v>2.9168611981457822E-2</v>
      </c>
      <c r="G2" s="17">
        <f>SUMIF($B3:$B559,"&lt;&gt;",G3:G559)</f>
        <v>219865.66518987415</v>
      </c>
      <c r="H2" s="19">
        <f>SUMIF($B3:$B559,"&lt;&gt;",H3:H559)</f>
        <v>7781627.698622779</v>
      </c>
      <c r="I2" s="18">
        <f>J2/D2</f>
        <v>2.1673232536926906E-2</v>
      </c>
      <c r="J2" s="17">
        <f>SUMIF($B3:$B559,"&lt;&gt;",J3:J559)</f>
        <v>163367.37900231403</v>
      </c>
      <c r="K2" s="47">
        <f>SUMIF($B3:$B559,"&lt;&gt;",K3:K559)</f>
        <v>7710426.2154352199</v>
      </c>
      <c r="L2" s="28">
        <f>K2-H2</f>
        <v>-71201.483187559061</v>
      </c>
    </row>
    <row r="3" spans="1:12" x14ac:dyDescent="0.25">
      <c r="A3" s="20" t="s">
        <v>390</v>
      </c>
      <c r="B3" s="21"/>
      <c r="C3" s="42" t="str">
        <f>A3 &amp; "|" &amp; B3</f>
        <v>Constellation Brands|</v>
      </c>
      <c r="D3" s="10">
        <f>'[1]2024 Finish'!H3</f>
        <v>2780450</v>
      </c>
      <c r="E3" s="22">
        <f>'[1]2024 Finish'!I3</f>
        <v>4.2774056649858672E-2</v>
      </c>
      <c r="F3" s="23">
        <f>G3/D3</f>
        <v>4.5978764228811884E-2</v>
      </c>
      <c r="G3" s="24">
        <f>SUMIF($B4:$B425,$B4,G4:G425)</f>
        <v>127841.655</v>
      </c>
      <c r="H3" s="25">
        <f>SUMIF($B4:$B425,$B4,H4:H425)</f>
        <v>2908291.6550000003</v>
      </c>
      <c r="I3" s="23">
        <f>J3/D3</f>
        <v>4.5978764228811884E-2</v>
      </c>
      <c r="J3" s="24">
        <f>SUMIF($B4:$B425,$B4,J4:J425)</f>
        <v>127841.655</v>
      </c>
      <c r="K3" s="48">
        <f>SUMIF($B4:$B425,$B4,K4:K425)</f>
        <v>2908291.6550000003</v>
      </c>
      <c r="L3" s="49">
        <f>K3-H3</f>
        <v>0</v>
      </c>
    </row>
    <row r="4" spans="1:12" x14ac:dyDescent="0.25">
      <c r="A4" s="2" t="s">
        <v>259</v>
      </c>
      <c r="B4" s="2" t="s">
        <v>390</v>
      </c>
      <c r="C4" s="42" t="str">
        <f>A4 &amp; "|" &amp; B4</f>
        <v>Corona Extra|Constellation Brands</v>
      </c>
      <c r="D4" s="26">
        <v>1315433</v>
      </c>
      <c r="E4" s="27">
        <f>'[1]2024 Finish'!I4</f>
        <v>1.4999999999999999E-2</v>
      </c>
      <c r="F4" s="18">
        <v>0.01</v>
      </c>
      <c r="G4" s="28">
        <f>F4*D4</f>
        <v>13154.33</v>
      </c>
      <c r="H4" s="11">
        <f>D4+G4</f>
        <v>1328587.33</v>
      </c>
      <c r="I4" s="18">
        <v>0.01</v>
      </c>
      <c r="J4" s="28">
        <f>I4*D4</f>
        <v>13154.33</v>
      </c>
      <c r="K4" s="50">
        <f>D4+J4</f>
        <v>1328587.33</v>
      </c>
      <c r="L4" s="28">
        <f t="shared" ref="L4:L67" si="0">K4-H4</f>
        <v>0</v>
      </c>
    </row>
    <row r="5" spans="1:12" x14ac:dyDescent="0.25">
      <c r="A5" s="2" t="s">
        <v>105</v>
      </c>
      <c r="B5" s="2" t="s">
        <v>390</v>
      </c>
      <c r="C5" s="42" t="str">
        <f t="shared" ref="C5:C68" si="1">A5 &amp; "|" &amp; B5</f>
        <v>Modelo Especial|Constellation Brands</v>
      </c>
      <c r="D5" s="26">
        <v>1118793</v>
      </c>
      <c r="E5" s="27">
        <f>'[1]2024 Finish'!I5</f>
        <v>7.062533040942176E-2</v>
      </c>
      <c r="F5" s="18">
        <v>7.4999999999999997E-2</v>
      </c>
      <c r="G5" s="28">
        <f>F5*D5</f>
        <v>83909.474999999991</v>
      </c>
      <c r="H5" s="11">
        <f>D5+G5</f>
        <v>1202702.4750000001</v>
      </c>
      <c r="I5" s="18">
        <v>7.4999999999999997E-2</v>
      </c>
      <c r="J5" s="28">
        <f t="shared" ref="J5:J73" si="2">I5*D5</f>
        <v>83909.474999999991</v>
      </c>
      <c r="K5" s="50">
        <f t="shared" ref="K5:K68" si="3">D5+J5</f>
        <v>1202702.4750000001</v>
      </c>
      <c r="L5" s="28">
        <f t="shared" si="0"/>
        <v>0</v>
      </c>
    </row>
    <row r="6" spans="1:12" x14ac:dyDescent="0.25">
      <c r="A6" s="2" t="s">
        <v>339</v>
      </c>
      <c r="B6" s="2" t="s">
        <v>390</v>
      </c>
      <c r="C6" s="42" t="str">
        <f t="shared" si="1"/>
        <v>Modelo Chelada|Constellation Brands</v>
      </c>
      <c r="D6" s="26">
        <v>78115</v>
      </c>
      <c r="E6" s="27">
        <f>'[1]2024 Finish'!I6</f>
        <v>0.27759968597690632</v>
      </c>
      <c r="F6" s="18">
        <v>0.1</v>
      </c>
      <c r="G6" s="28">
        <f t="shared" ref="G6:G19" si="4">F6*D6</f>
        <v>7811.5</v>
      </c>
      <c r="H6" s="11">
        <f t="shared" ref="H6:H19" si="5">D6+G6</f>
        <v>85926.5</v>
      </c>
      <c r="I6" s="18">
        <v>0.1</v>
      </c>
      <c r="J6" s="28">
        <f t="shared" si="2"/>
        <v>7811.5</v>
      </c>
      <c r="K6" s="50">
        <f t="shared" si="3"/>
        <v>85926.5</v>
      </c>
      <c r="L6" s="28">
        <f t="shared" si="0"/>
        <v>0</v>
      </c>
    </row>
    <row r="7" spans="1:12" x14ac:dyDescent="0.25">
      <c r="A7" s="2" t="s">
        <v>371</v>
      </c>
      <c r="B7" s="2" t="s">
        <v>390</v>
      </c>
      <c r="C7" s="42" t="str">
        <f t="shared" si="1"/>
        <v>Corona Light|Constellation Brands</v>
      </c>
      <c r="D7" s="26">
        <v>57906</v>
      </c>
      <c r="E7" s="27">
        <f>'[1]2024 Finish'!I7</f>
        <v>-0.10432939939057395</v>
      </c>
      <c r="F7" s="18">
        <v>-0.09</v>
      </c>
      <c r="G7" s="28">
        <f t="shared" si="4"/>
        <v>-5211.54</v>
      </c>
      <c r="H7" s="11">
        <f t="shared" si="5"/>
        <v>52694.46</v>
      </c>
      <c r="I7" s="18">
        <v>-0.09</v>
      </c>
      <c r="J7" s="28">
        <f t="shared" si="2"/>
        <v>-5211.54</v>
      </c>
      <c r="K7" s="50">
        <f t="shared" si="3"/>
        <v>52694.46</v>
      </c>
      <c r="L7" s="28">
        <f t="shared" si="0"/>
        <v>0</v>
      </c>
    </row>
    <row r="8" spans="1:12" x14ac:dyDescent="0.25">
      <c r="A8" s="2" t="s">
        <v>214</v>
      </c>
      <c r="B8" s="2" t="s">
        <v>390</v>
      </c>
      <c r="C8" s="42" t="str">
        <f t="shared" si="1"/>
        <v>Victoria|Constellation Brands</v>
      </c>
      <c r="D8" s="26">
        <v>56226</v>
      </c>
      <c r="E8" s="27">
        <f>'[1]2024 Finish'!I8</f>
        <v>0.2214458498309626</v>
      </c>
      <c r="F8" s="18">
        <v>0.24</v>
      </c>
      <c r="G8" s="28">
        <f t="shared" si="4"/>
        <v>13494.24</v>
      </c>
      <c r="H8" s="11">
        <f t="shared" si="5"/>
        <v>69720.240000000005</v>
      </c>
      <c r="I8" s="18">
        <v>0.24</v>
      </c>
      <c r="J8" s="28">
        <f t="shared" si="2"/>
        <v>13494.24</v>
      </c>
      <c r="K8" s="50">
        <f t="shared" si="3"/>
        <v>69720.240000000005</v>
      </c>
      <c r="L8" s="28">
        <f t="shared" si="0"/>
        <v>0</v>
      </c>
    </row>
    <row r="9" spans="1:12" x14ac:dyDescent="0.25">
      <c r="A9" s="2" t="s">
        <v>84</v>
      </c>
      <c r="B9" s="2" t="s">
        <v>390</v>
      </c>
      <c r="C9" s="42" t="str">
        <f t="shared" si="1"/>
        <v>Corona Premier|Constellation Brands</v>
      </c>
      <c r="D9" s="26">
        <v>38121</v>
      </c>
      <c r="E9" s="27">
        <f>'[1]2024 Finish'!I9</f>
        <v>-0.12786381376343292</v>
      </c>
      <c r="F9" s="18">
        <v>-0.09</v>
      </c>
      <c r="G9" s="28">
        <f t="shared" si="4"/>
        <v>-3430.89</v>
      </c>
      <c r="H9" s="11">
        <f t="shared" si="5"/>
        <v>34690.11</v>
      </c>
      <c r="I9" s="18">
        <v>-0.09</v>
      </c>
      <c r="J9" s="28">
        <f t="shared" si="2"/>
        <v>-3430.89</v>
      </c>
      <c r="K9" s="50">
        <f t="shared" si="3"/>
        <v>34690.11</v>
      </c>
      <c r="L9" s="28">
        <f t="shared" si="0"/>
        <v>0</v>
      </c>
    </row>
    <row r="10" spans="1:12" x14ac:dyDescent="0.25">
      <c r="A10" s="2" t="s">
        <v>308</v>
      </c>
      <c r="B10" s="2" t="s">
        <v>390</v>
      </c>
      <c r="C10" s="42" t="str">
        <f t="shared" si="1"/>
        <v>Corona Familiar|Constellation Brands</v>
      </c>
      <c r="D10" s="26">
        <v>32410</v>
      </c>
      <c r="E10" s="27">
        <f>'[1]2024 Finish'!I10</f>
        <v>6.0467414503553973E-2</v>
      </c>
      <c r="F10" s="18">
        <v>0.04</v>
      </c>
      <c r="G10" s="28">
        <f t="shared" si="4"/>
        <v>1296.4000000000001</v>
      </c>
      <c r="H10" s="11">
        <f t="shared" si="5"/>
        <v>33706.400000000001</v>
      </c>
      <c r="I10" s="18">
        <v>0.04</v>
      </c>
      <c r="J10" s="28">
        <f t="shared" si="2"/>
        <v>1296.4000000000001</v>
      </c>
      <c r="K10" s="50">
        <f t="shared" si="3"/>
        <v>33706.400000000001</v>
      </c>
      <c r="L10" s="28">
        <f t="shared" si="0"/>
        <v>0</v>
      </c>
    </row>
    <row r="11" spans="1:12" x14ac:dyDescent="0.25">
      <c r="A11" s="2" t="s">
        <v>309</v>
      </c>
      <c r="B11" s="2" t="s">
        <v>390</v>
      </c>
      <c r="C11" s="42" t="str">
        <f t="shared" si="1"/>
        <v>Modelo Negra|Constellation Brands</v>
      </c>
      <c r="D11" s="26">
        <v>26615</v>
      </c>
      <c r="E11" s="27">
        <f>'[1]2024 Finish'!I11</f>
        <v>7.834295515379619E-3</v>
      </c>
      <c r="F11" s="18">
        <v>0.05</v>
      </c>
      <c r="G11" s="28">
        <f t="shared" si="4"/>
        <v>1330.75</v>
      </c>
      <c r="H11" s="11">
        <f t="shared" si="5"/>
        <v>27945.75</v>
      </c>
      <c r="I11" s="18">
        <v>0.05</v>
      </c>
      <c r="J11" s="28">
        <f t="shared" si="2"/>
        <v>1330.75</v>
      </c>
      <c r="K11" s="50">
        <f t="shared" si="3"/>
        <v>27945.75</v>
      </c>
      <c r="L11" s="28">
        <f t="shared" si="0"/>
        <v>0</v>
      </c>
    </row>
    <row r="12" spans="1:12" x14ac:dyDescent="0.25">
      <c r="A12" s="2" t="s">
        <v>340</v>
      </c>
      <c r="B12" s="2" t="s">
        <v>390</v>
      </c>
      <c r="C12" s="42" t="str">
        <f t="shared" si="1"/>
        <v>Pacifico|Constellation Brands</v>
      </c>
      <c r="D12" s="26">
        <v>27834</v>
      </c>
      <c r="E12" s="27">
        <f>'[1]2024 Finish'!I12</f>
        <v>0.29244723691882424</v>
      </c>
      <c r="F12" s="18">
        <v>0.26</v>
      </c>
      <c r="G12" s="28">
        <f t="shared" si="4"/>
        <v>7236.84</v>
      </c>
      <c r="H12" s="11">
        <f t="shared" si="5"/>
        <v>35070.839999999997</v>
      </c>
      <c r="I12" s="18">
        <v>0.26</v>
      </c>
      <c r="J12" s="28">
        <f t="shared" si="2"/>
        <v>7236.84</v>
      </c>
      <c r="K12" s="50">
        <f t="shared" si="3"/>
        <v>35070.839999999997</v>
      </c>
      <c r="L12" s="28">
        <f t="shared" si="0"/>
        <v>0</v>
      </c>
    </row>
    <row r="13" spans="1:12" x14ac:dyDescent="0.25">
      <c r="A13" s="2" t="s">
        <v>28</v>
      </c>
      <c r="B13" s="2" t="s">
        <v>390</v>
      </c>
      <c r="C13" s="42" t="str">
        <f t="shared" si="1"/>
        <v>Corona Refresca|Constellation Brands</v>
      </c>
      <c r="D13" s="26">
        <v>5248</v>
      </c>
      <c r="E13" s="27">
        <f>'[1]2024 Finish'!I13</f>
        <v>-0.36656608328304163</v>
      </c>
      <c r="F13" s="18">
        <v>-0.8</v>
      </c>
      <c r="G13" s="28">
        <f t="shared" si="4"/>
        <v>-4198.4000000000005</v>
      </c>
      <c r="H13" s="11">
        <f t="shared" si="5"/>
        <v>1049.5999999999995</v>
      </c>
      <c r="I13" s="18">
        <v>-0.8</v>
      </c>
      <c r="J13" s="28">
        <f t="shared" si="2"/>
        <v>-4198.4000000000005</v>
      </c>
      <c r="K13" s="50">
        <f t="shared" si="3"/>
        <v>1049.5999999999995</v>
      </c>
      <c r="L13" s="28">
        <f t="shared" si="0"/>
        <v>0</v>
      </c>
    </row>
    <row r="14" spans="1:12" x14ac:dyDescent="0.25">
      <c r="A14" s="2" t="s">
        <v>183</v>
      </c>
      <c r="B14" s="2" t="s">
        <v>390</v>
      </c>
      <c r="C14" s="42" t="str">
        <f t="shared" si="1"/>
        <v>Corona NA|Constellation Brands</v>
      </c>
      <c r="D14" s="26">
        <v>5950</v>
      </c>
      <c r="E14" s="27">
        <f>'[1]2024 Finish'!I14</f>
        <v>0.39051180182285572</v>
      </c>
      <c r="F14" s="18">
        <v>0.6</v>
      </c>
      <c r="G14" s="28">
        <f t="shared" si="4"/>
        <v>3570</v>
      </c>
      <c r="H14" s="11">
        <f t="shared" si="5"/>
        <v>9520</v>
      </c>
      <c r="I14" s="18">
        <v>0.6</v>
      </c>
      <c r="J14" s="28">
        <f t="shared" si="2"/>
        <v>3570</v>
      </c>
      <c r="K14" s="50">
        <f t="shared" si="3"/>
        <v>9520</v>
      </c>
      <c r="L14" s="28">
        <f t="shared" si="0"/>
        <v>0</v>
      </c>
    </row>
    <row r="15" spans="1:12" x14ac:dyDescent="0.25">
      <c r="A15" s="2" t="s">
        <v>184</v>
      </c>
      <c r="B15" s="2" t="s">
        <v>390</v>
      </c>
      <c r="C15" s="42" t="str">
        <f t="shared" si="1"/>
        <v>Modelo Oro|Constellation Brands</v>
      </c>
      <c r="D15" s="26">
        <v>6350</v>
      </c>
      <c r="E15" s="27">
        <f>'[1]2024 Finish'!I15</f>
        <v>-0.11744266851980545</v>
      </c>
      <c r="F15" s="18">
        <v>0.2</v>
      </c>
      <c r="G15" s="28">
        <f t="shared" si="4"/>
        <v>1270</v>
      </c>
      <c r="H15" s="11">
        <f t="shared" si="5"/>
        <v>7620</v>
      </c>
      <c r="I15" s="18">
        <v>0.2</v>
      </c>
      <c r="J15" s="28">
        <f t="shared" si="2"/>
        <v>1270</v>
      </c>
      <c r="K15" s="50">
        <f t="shared" si="3"/>
        <v>7620</v>
      </c>
      <c r="L15" s="28">
        <f t="shared" si="0"/>
        <v>0</v>
      </c>
    </row>
    <row r="16" spans="1:12" x14ac:dyDescent="0.25">
      <c r="A16" s="2" t="s">
        <v>310</v>
      </c>
      <c r="B16" s="2" t="s">
        <v>390</v>
      </c>
      <c r="C16" s="42" t="str">
        <f t="shared" si="1"/>
        <v>Corona Seltzer|Constellation Brands</v>
      </c>
      <c r="D16" s="26">
        <v>1270</v>
      </c>
      <c r="E16" s="27">
        <f>'[1]2024 Finish'!I16</f>
        <v>-0.67123996893606008</v>
      </c>
      <c r="F16" s="18">
        <v>-1</v>
      </c>
      <c r="G16" s="28">
        <f t="shared" si="4"/>
        <v>-1270</v>
      </c>
      <c r="H16" s="11">
        <f t="shared" si="5"/>
        <v>0</v>
      </c>
      <c r="I16" s="18">
        <v>-1</v>
      </c>
      <c r="J16" s="28">
        <f t="shared" si="2"/>
        <v>-1270</v>
      </c>
      <c r="K16" s="50">
        <f t="shared" si="3"/>
        <v>0</v>
      </c>
      <c r="L16" s="28">
        <f t="shared" si="0"/>
        <v>0</v>
      </c>
    </row>
    <row r="17" spans="1:12" x14ac:dyDescent="0.25">
      <c r="A17" s="2" t="s">
        <v>236</v>
      </c>
      <c r="B17" s="2" t="s">
        <v>390</v>
      </c>
      <c r="C17" s="42" t="str">
        <f t="shared" si="1"/>
        <v>Fresca Mixed|Constellation Brands</v>
      </c>
      <c r="D17" s="26">
        <v>1113</v>
      </c>
      <c r="E17" s="27">
        <f>'[1]2024 Finish'!I17</f>
        <v>-0.17677514792899407</v>
      </c>
      <c r="F17" s="18">
        <v>-0.17</v>
      </c>
      <c r="G17" s="28">
        <f t="shared" si="4"/>
        <v>-189.21</v>
      </c>
      <c r="H17" s="11">
        <f t="shared" si="5"/>
        <v>923.79</v>
      </c>
      <c r="I17" s="18">
        <v>-0.17</v>
      </c>
      <c r="J17" s="28">
        <f t="shared" si="2"/>
        <v>-189.21</v>
      </c>
      <c r="K17" s="50">
        <f t="shared" si="3"/>
        <v>923.79</v>
      </c>
      <c r="L17" s="28">
        <f t="shared" si="0"/>
        <v>0</v>
      </c>
    </row>
    <row r="18" spans="1:12" x14ac:dyDescent="0.25">
      <c r="A18" s="2" t="s">
        <v>341</v>
      </c>
      <c r="B18" s="2" t="s">
        <v>390</v>
      </c>
      <c r="C18" s="42" t="str">
        <f t="shared" si="1"/>
        <v>Modelo Aquas Frescas|Constellation Brands</v>
      </c>
      <c r="D18" s="26">
        <v>3840</v>
      </c>
      <c r="E18" s="27" t="e">
        <f>'[1]2024 Finish'!I18</f>
        <v>#DIV/0!</v>
      </c>
      <c r="F18" s="18">
        <v>0.184</v>
      </c>
      <c r="G18" s="28">
        <f t="shared" si="4"/>
        <v>706.56</v>
      </c>
      <c r="H18" s="11">
        <f t="shared" si="5"/>
        <v>4546.5599999999995</v>
      </c>
      <c r="I18" s="18">
        <v>0.184</v>
      </c>
      <c r="J18" s="28">
        <f t="shared" si="2"/>
        <v>706.56</v>
      </c>
      <c r="K18" s="50">
        <f t="shared" si="3"/>
        <v>4546.5599999999995</v>
      </c>
      <c r="L18" s="28">
        <f t="shared" si="0"/>
        <v>0</v>
      </c>
    </row>
    <row r="19" spans="1:12" x14ac:dyDescent="0.25">
      <c r="A19" s="2" t="s">
        <v>157</v>
      </c>
      <c r="B19" s="2" t="s">
        <v>390</v>
      </c>
      <c r="C19" s="42" t="str">
        <f t="shared" si="1"/>
        <v>Corona Sunbrew|Constellation Brands</v>
      </c>
      <c r="D19" s="26">
        <v>5226</v>
      </c>
      <c r="E19" s="27" t="e">
        <f>'[1]2024 Finish'!I19</f>
        <v>#DIV/0!</v>
      </c>
      <c r="F19" s="18">
        <v>1.6</v>
      </c>
      <c r="G19" s="28">
        <f t="shared" si="4"/>
        <v>8361.6</v>
      </c>
      <c r="H19" s="11">
        <f t="shared" si="5"/>
        <v>13587.6</v>
      </c>
      <c r="I19" s="18">
        <v>1.6</v>
      </c>
      <c r="J19" s="28">
        <f t="shared" si="2"/>
        <v>8361.6</v>
      </c>
      <c r="K19" s="50">
        <f t="shared" si="3"/>
        <v>13587.6</v>
      </c>
      <c r="L19" s="28">
        <f t="shared" si="0"/>
        <v>0</v>
      </c>
    </row>
    <row r="20" spans="1:12" x14ac:dyDescent="0.25">
      <c r="A20" s="20" t="s">
        <v>51</v>
      </c>
      <c r="B20" s="21"/>
      <c r="C20" s="42" t="str">
        <f t="shared" si="1"/>
        <v>MolsonCoors Beverage Company|</v>
      </c>
      <c r="D20" s="10">
        <v>2033257</v>
      </c>
      <c r="E20" s="22">
        <f>'[1]2024 Finish'!I20</f>
        <v>-2.1664252593859956E-2</v>
      </c>
      <c r="F20" s="23">
        <v>7.0000000000000001E-3</v>
      </c>
      <c r="G20" s="24">
        <f>SUMIF($B21:$B442,$B21,G21:G442)</f>
        <v>-18470.488999999998</v>
      </c>
      <c r="H20" s="25">
        <v>1996457</v>
      </c>
      <c r="I20" s="23">
        <f>J20/D20</f>
        <v>-1.2399729104584417E-2</v>
      </c>
      <c r="J20" s="24">
        <f>SUMIF($B21:$B442,$B21,J21:J442)</f>
        <v>-25211.835999999999</v>
      </c>
      <c r="K20" s="48">
        <f>SUMIF($B21:$B442,$B21,K21:K442)</f>
        <v>1991569.3640000003</v>
      </c>
      <c r="L20" s="49">
        <f>K20-H20</f>
        <v>-4887.6359999997076</v>
      </c>
    </row>
    <row r="21" spans="1:12" x14ac:dyDescent="0.25">
      <c r="A21" s="2" t="s">
        <v>237</v>
      </c>
      <c r="B21" s="2" t="s">
        <v>51</v>
      </c>
      <c r="C21" s="42" t="str">
        <f t="shared" si="1"/>
        <v>Coors Light|MolsonCoors Beverage Company</v>
      </c>
      <c r="D21" s="29">
        <v>885255</v>
      </c>
      <c r="E21" s="30">
        <v>-4.4999999999999998E-2</v>
      </c>
      <c r="F21" s="31">
        <v>-4.4999999999999998E-2</v>
      </c>
      <c r="G21" s="28">
        <f>F21*D21</f>
        <v>-39836.474999999999</v>
      </c>
      <c r="H21" s="32">
        <v>814085</v>
      </c>
      <c r="I21" s="18">
        <v>-0.04</v>
      </c>
      <c r="J21" s="28">
        <f t="shared" si="2"/>
        <v>-35410.200000000004</v>
      </c>
      <c r="K21" s="51">
        <v>814085</v>
      </c>
      <c r="L21" s="28">
        <f t="shared" ref="L21:L55" si="6">K21-H21</f>
        <v>0</v>
      </c>
    </row>
    <row r="22" spans="1:12" x14ac:dyDescent="0.25">
      <c r="A22" s="2" t="s">
        <v>106</v>
      </c>
      <c r="B22" s="2" t="s">
        <v>51</v>
      </c>
      <c r="C22" s="42" t="str">
        <f t="shared" si="1"/>
        <v>Lite|MolsonCoors Beverage Company</v>
      </c>
      <c r="D22" s="26">
        <v>555786</v>
      </c>
      <c r="E22" s="27">
        <f>'[1]2024 Finish'!I22</f>
        <v>3.2166428089160926E-2</v>
      </c>
      <c r="F22" s="33">
        <v>8.3000000000000004E-2</v>
      </c>
      <c r="G22" s="28">
        <v>17536</v>
      </c>
      <c r="H22" s="11">
        <v>588307</v>
      </c>
      <c r="I22" s="18">
        <v>0.03</v>
      </c>
      <c r="J22" s="28">
        <v>16970</v>
      </c>
      <c r="K22" s="50">
        <v>582650</v>
      </c>
      <c r="L22" s="28">
        <f t="shared" si="6"/>
        <v>-5657</v>
      </c>
    </row>
    <row r="23" spans="1:12" x14ac:dyDescent="0.25">
      <c r="A23" s="2" t="s">
        <v>185</v>
      </c>
      <c r="B23" s="2" t="s">
        <v>51</v>
      </c>
      <c r="C23" s="42" t="str">
        <f t="shared" si="1"/>
        <v>Blue Moon|MolsonCoors Beverage Company</v>
      </c>
      <c r="D23" s="26">
        <v>133579</v>
      </c>
      <c r="E23" s="27">
        <v>-3.27E-2</v>
      </c>
      <c r="F23" s="33">
        <v>-8.9999999999999993E-3</v>
      </c>
      <c r="G23" s="28">
        <f t="shared" ref="G23:G55" si="7">F23*D23</f>
        <v>-1202.211</v>
      </c>
      <c r="H23" s="11">
        <v>129909</v>
      </c>
      <c r="I23" s="18">
        <v>-0.05</v>
      </c>
      <c r="J23" s="28">
        <f t="shared" si="2"/>
        <v>-6678.9500000000007</v>
      </c>
      <c r="K23" s="50">
        <f t="shared" si="3"/>
        <v>126900.05</v>
      </c>
      <c r="L23" s="28">
        <f t="shared" si="6"/>
        <v>-3008.9499999999971</v>
      </c>
    </row>
    <row r="24" spans="1:12" x14ac:dyDescent="0.25">
      <c r="A24" s="2" t="s">
        <v>52</v>
      </c>
      <c r="B24" s="2" t="s">
        <v>51</v>
      </c>
      <c r="C24" s="42" t="str">
        <f t="shared" si="1"/>
        <v>Coors|MolsonCoors Beverage Company</v>
      </c>
      <c r="D24" s="26">
        <v>107949</v>
      </c>
      <c r="E24" s="27">
        <v>-8.3999999999999995E-3</v>
      </c>
      <c r="F24" s="33">
        <v>-8.9999999999999993E-3</v>
      </c>
      <c r="G24" s="28">
        <f t="shared" si="7"/>
        <v>-971.54099999999994</v>
      </c>
      <c r="H24" s="11">
        <v>111995</v>
      </c>
      <c r="I24" s="18">
        <v>6.7000000000000004E-2</v>
      </c>
      <c r="J24" s="28">
        <f t="shared" si="2"/>
        <v>7232.5830000000005</v>
      </c>
      <c r="K24" s="50">
        <f t="shared" si="3"/>
        <v>115181.583</v>
      </c>
      <c r="L24" s="28">
        <f t="shared" si="6"/>
        <v>3186.5829999999987</v>
      </c>
    </row>
    <row r="25" spans="1:12" x14ac:dyDescent="0.25">
      <c r="A25" s="2" t="s">
        <v>129</v>
      </c>
      <c r="B25" s="2" t="s">
        <v>51</v>
      </c>
      <c r="C25" s="42" t="str">
        <f t="shared" si="1"/>
        <v>Miller High Life|MolsonCoors Beverage Company</v>
      </c>
      <c r="D25" s="26">
        <v>69738</v>
      </c>
      <c r="E25" s="27">
        <v>8.8999999999999999E-3</v>
      </c>
      <c r="F25" s="33">
        <v>3.5000000000000003E-2</v>
      </c>
      <c r="G25" s="28">
        <f t="shared" si="7"/>
        <v>2440.8300000000004</v>
      </c>
      <c r="H25" s="11">
        <v>70138</v>
      </c>
      <c r="I25" s="18">
        <v>3.5000000000000003E-2</v>
      </c>
      <c r="J25" s="28">
        <f t="shared" si="2"/>
        <v>2440.8300000000004</v>
      </c>
      <c r="K25" s="50">
        <f t="shared" si="3"/>
        <v>72178.83</v>
      </c>
      <c r="L25" s="28">
        <f t="shared" si="6"/>
        <v>2040.8300000000017</v>
      </c>
    </row>
    <row r="26" spans="1:12" x14ac:dyDescent="0.25">
      <c r="A26" s="7" t="s">
        <v>282</v>
      </c>
      <c r="B26" s="7" t="s">
        <v>51</v>
      </c>
      <c r="C26" s="42" t="str">
        <f t="shared" si="1"/>
        <v>Peroni|MolsonCoors Beverage Company</v>
      </c>
      <c r="D26" s="34">
        <v>51342</v>
      </c>
      <c r="E26" s="35">
        <v>3.0099999999999998E-2</v>
      </c>
      <c r="F26" s="36">
        <v>0.2</v>
      </c>
      <c r="G26" s="37">
        <f t="shared" si="7"/>
        <v>10268.400000000001</v>
      </c>
      <c r="H26" s="38">
        <f t="shared" ref="H26:H55" si="8">D26+G26</f>
        <v>61610.400000000001</v>
      </c>
      <c r="I26" s="39">
        <v>0.15</v>
      </c>
      <c r="J26" s="37">
        <f t="shared" si="2"/>
        <v>7701.2999999999993</v>
      </c>
      <c r="K26" s="52">
        <f t="shared" si="3"/>
        <v>59043.3</v>
      </c>
      <c r="L26" s="37">
        <f t="shared" si="6"/>
        <v>-2567.0999999999985</v>
      </c>
    </row>
    <row r="27" spans="1:12" x14ac:dyDescent="0.25">
      <c r="A27" s="2" t="s">
        <v>391</v>
      </c>
      <c r="B27" s="2" t="s">
        <v>51</v>
      </c>
      <c r="C27" s="42" t="str">
        <f t="shared" si="1"/>
        <v>Fosters|MolsonCoors Beverage Company</v>
      </c>
      <c r="D27" s="26">
        <v>25173</v>
      </c>
      <c r="E27" s="27">
        <v>2.9600000000000001E-2</v>
      </c>
      <c r="F27" s="33">
        <v>8.9999999999999993E-3</v>
      </c>
      <c r="G27" s="28">
        <f t="shared" si="7"/>
        <v>226.55699999999999</v>
      </c>
      <c r="H27" s="11">
        <f t="shared" si="8"/>
        <v>25399.557000000001</v>
      </c>
      <c r="I27" s="18">
        <v>8.9999999999999993E-3</v>
      </c>
      <c r="J27" s="28">
        <f t="shared" si="2"/>
        <v>226.55699999999999</v>
      </c>
      <c r="K27" s="50">
        <f t="shared" si="3"/>
        <v>25399.557000000001</v>
      </c>
      <c r="L27" s="28">
        <f t="shared" si="6"/>
        <v>0</v>
      </c>
    </row>
    <row r="28" spans="1:12" x14ac:dyDescent="0.25">
      <c r="A28" s="2" t="s">
        <v>30</v>
      </c>
      <c r="B28" s="2" t="s">
        <v>51</v>
      </c>
      <c r="C28" s="42" t="str">
        <f t="shared" si="1"/>
        <v>Arnold Palmer|MolsonCoors Beverage Company</v>
      </c>
      <c r="D28" s="26">
        <v>21654</v>
      </c>
      <c r="E28" s="27">
        <v>-0.12470000000000001</v>
      </c>
      <c r="F28" s="33">
        <v>0.254</v>
      </c>
      <c r="G28" s="28">
        <f t="shared" si="7"/>
        <v>5500.116</v>
      </c>
      <c r="H28" s="11">
        <f t="shared" si="8"/>
        <v>27154.116000000002</v>
      </c>
      <c r="I28" s="18">
        <v>0.15</v>
      </c>
      <c r="J28" s="28">
        <f t="shared" si="2"/>
        <v>3248.1</v>
      </c>
      <c r="K28" s="50">
        <f t="shared" si="3"/>
        <v>24902.1</v>
      </c>
      <c r="L28" s="28">
        <f t="shared" si="6"/>
        <v>-2252.0160000000033</v>
      </c>
    </row>
    <row r="29" spans="1:12" x14ac:dyDescent="0.25">
      <c r="A29" s="7" t="s">
        <v>186</v>
      </c>
      <c r="B29" s="7" t="s">
        <v>51</v>
      </c>
      <c r="C29" s="42" t="str">
        <f t="shared" si="1"/>
        <v>Keystone|MolsonCoors Beverage Company</v>
      </c>
      <c r="D29" s="34">
        <v>17623</v>
      </c>
      <c r="E29" s="35">
        <v>-0.2238</v>
      </c>
      <c r="F29" s="36">
        <v>-3.3000000000000002E-2</v>
      </c>
      <c r="G29" s="37">
        <f t="shared" si="7"/>
        <v>-581.55900000000008</v>
      </c>
      <c r="H29" s="38">
        <f t="shared" si="8"/>
        <v>17041.440999999999</v>
      </c>
      <c r="I29" s="39">
        <v>-0.2</v>
      </c>
      <c r="J29" s="37">
        <f t="shared" si="2"/>
        <v>-3524.6000000000004</v>
      </c>
      <c r="K29" s="52">
        <f t="shared" si="3"/>
        <v>14098.4</v>
      </c>
      <c r="L29" s="37">
        <f t="shared" si="6"/>
        <v>-2943.0409999999993</v>
      </c>
    </row>
    <row r="30" spans="1:12" x14ac:dyDescent="0.25">
      <c r="A30" s="2" t="s">
        <v>392</v>
      </c>
      <c r="B30" s="2" t="s">
        <v>51</v>
      </c>
      <c r="C30" s="42" t="str">
        <f t="shared" si="1"/>
        <v>Tyskie Gronie|MolsonCoors Beverage Company</v>
      </c>
      <c r="D30" s="26">
        <v>19806</v>
      </c>
      <c r="E30" s="27">
        <f>'[1]2024 Finish'!I30</f>
        <v>-1.175039419234003E-2</v>
      </c>
      <c r="F30" s="33">
        <v>8.9999999999999993E-3</v>
      </c>
      <c r="G30" s="28">
        <f t="shared" si="7"/>
        <v>178.25399999999999</v>
      </c>
      <c r="H30" s="11">
        <f t="shared" si="8"/>
        <v>19984.254000000001</v>
      </c>
      <c r="I30" s="18">
        <v>8.9999999999999993E-3</v>
      </c>
      <c r="J30" s="28">
        <f t="shared" si="2"/>
        <v>178.25399999999999</v>
      </c>
      <c r="K30" s="50">
        <f t="shared" si="3"/>
        <v>19984.254000000001</v>
      </c>
      <c r="L30" s="28">
        <f t="shared" si="6"/>
        <v>0</v>
      </c>
    </row>
    <row r="31" spans="1:12" x14ac:dyDescent="0.25">
      <c r="A31" s="2" t="s">
        <v>283</v>
      </c>
      <c r="B31" s="2" t="s">
        <v>51</v>
      </c>
      <c r="C31" s="42" t="str">
        <f t="shared" si="1"/>
        <v>Steel Reserve|MolsonCoors Beverage Company</v>
      </c>
      <c r="D31" s="26">
        <v>14268</v>
      </c>
      <c r="E31" s="27">
        <v>4.5699999999999998E-2</v>
      </c>
      <c r="F31" s="33">
        <v>-0.112</v>
      </c>
      <c r="G31" s="28">
        <f t="shared" si="7"/>
        <v>-1598.0160000000001</v>
      </c>
      <c r="H31" s="11">
        <f t="shared" si="8"/>
        <v>12669.984</v>
      </c>
      <c r="I31" s="18">
        <v>-0.112</v>
      </c>
      <c r="J31" s="28">
        <f t="shared" si="2"/>
        <v>-1598.0160000000001</v>
      </c>
      <c r="K31" s="50">
        <f t="shared" si="3"/>
        <v>12669.984</v>
      </c>
      <c r="L31" s="28">
        <f t="shared" si="6"/>
        <v>0</v>
      </c>
    </row>
    <row r="32" spans="1:12" x14ac:dyDescent="0.25">
      <c r="A32" s="2" t="s">
        <v>372</v>
      </c>
      <c r="B32" s="2" t="s">
        <v>51</v>
      </c>
      <c r="C32" s="42" t="str">
        <f t="shared" si="1"/>
        <v>Molson|MolsonCoors Beverage Company</v>
      </c>
      <c r="D32" s="26">
        <v>12704</v>
      </c>
      <c r="E32" s="27">
        <v>-8.0199999999999994E-2</v>
      </c>
      <c r="F32" s="33">
        <v>-8.8999999999999996E-2</v>
      </c>
      <c r="G32" s="28">
        <f t="shared" si="7"/>
        <v>-1130.6559999999999</v>
      </c>
      <c r="H32" s="11">
        <f t="shared" si="8"/>
        <v>11573.344000000001</v>
      </c>
      <c r="I32" s="18">
        <v>-8.8999999999999996E-2</v>
      </c>
      <c r="J32" s="28">
        <f t="shared" si="2"/>
        <v>-1130.6559999999999</v>
      </c>
      <c r="K32" s="50">
        <f t="shared" si="3"/>
        <v>11573.344000000001</v>
      </c>
      <c r="L32" s="28">
        <f t="shared" si="6"/>
        <v>0</v>
      </c>
    </row>
    <row r="33" spans="1:12" x14ac:dyDescent="0.25">
      <c r="A33" s="2" t="s">
        <v>187</v>
      </c>
      <c r="B33" s="2" t="s">
        <v>51</v>
      </c>
      <c r="C33" s="42" t="str">
        <f t="shared" si="1"/>
        <v>Miller Genuine Draft|MolsonCoors Beverage Company</v>
      </c>
      <c r="D33" s="26">
        <v>10757</v>
      </c>
      <c r="E33" s="27">
        <v>-0.2</v>
      </c>
      <c r="F33" s="33">
        <v>-8.8999999999999996E-2</v>
      </c>
      <c r="G33" s="28">
        <f t="shared" si="7"/>
        <v>-957.37299999999993</v>
      </c>
      <c r="H33" s="11">
        <f t="shared" si="8"/>
        <v>9799.6270000000004</v>
      </c>
      <c r="I33" s="18">
        <v>-0.15</v>
      </c>
      <c r="J33" s="28">
        <f t="shared" si="2"/>
        <v>-1613.55</v>
      </c>
      <c r="K33" s="50">
        <f t="shared" si="3"/>
        <v>9143.4500000000007</v>
      </c>
      <c r="L33" s="28">
        <f t="shared" si="6"/>
        <v>-656.17699999999968</v>
      </c>
    </row>
    <row r="34" spans="1:12" x14ac:dyDescent="0.25">
      <c r="A34" s="2" t="s">
        <v>238</v>
      </c>
      <c r="B34" s="2" t="s">
        <v>51</v>
      </c>
      <c r="C34" s="42" t="str">
        <f t="shared" si="1"/>
        <v>Milwaukee's Best Ice|MolsonCoors Beverage Company</v>
      </c>
      <c r="D34" s="26">
        <v>10256</v>
      </c>
      <c r="E34" s="27">
        <f>'[1]2024 Finish'!I34</f>
        <v>-0.246057854540495</v>
      </c>
      <c r="F34" s="33">
        <v>-9.1999999999999998E-2</v>
      </c>
      <c r="G34" s="28">
        <f t="shared" si="7"/>
        <v>-943.55200000000002</v>
      </c>
      <c r="H34" s="11">
        <f t="shared" si="8"/>
        <v>9312.4480000000003</v>
      </c>
      <c r="I34" s="18">
        <v>-0.15</v>
      </c>
      <c r="J34" s="28">
        <f t="shared" si="2"/>
        <v>-1538.3999999999999</v>
      </c>
      <c r="K34" s="50">
        <f t="shared" si="3"/>
        <v>8717.6</v>
      </c>
      <c r="L34" s="28">
        <f t="shared" si="6"/>
        <v>-594.84799999999996</v>
      </c>
    </row>
    <row r="35" spans="1:12" x14ac:dyDescent="0.25">
      <c r="A35" s="2" t="s">
        <v>286</v>
      </c>
      <c r="B35" s="2" t="s">
        <v>51</v>
      </c>
      <c r="C35" s="42" t="str">
        <f t="shared" si="1"/>
        <v>Cusquena|MolsonCoors Beverage Company</v>
      </c>
      <c r="D35" s="26">
        <v>7329</v>
      </c>
      <c r="E35" s="27">
        <f>'[1]2024 Finish'!I35</f>
        <v>-0.28643754259565768</v>
      </c>
      <c r="F35" s="33">
        <v>8.9999999999999993E-3</v>
      </c>
      <c r="G35" s="28">
        <f t="shared" si="7"/>
        <v>65.960999999999999</v>
      </c>
      <c r="H35" s="11">
        <f t="shared" si="8"/>
        <v>7394.9610000000002</v>
      </c>
      <c r="I35" s="18">
        <v>-0.25</v>
      </c>
      <c r="J35" s="28">
        <f t="shared" si="2"/>
        <v>-1832.25</v>
      </c>
      <c r="K35" s="50">
        <f t="shared" si="3"/>
        <v>5496.75</v>
      </c>
      <c r="L35" s="28">
        <f t="shared" si="6"/>
        <v>-1898.2110000000002</v>
      </c>
    </row>
    <row r="36" spans="1:12" x14ac:dyDescent="0.25">
      <c r="A36" s="2" t="s">
        <v>285</v>
      </c>
      <c r="B36" s="2" t="s">
        <v>51</v>
      </c>
      <c r="C36" s="42" t="str">
        <f t="shared" si="1"/>
        <v>Grolsch|MolsonCoors Beverage Company</v>
      </c>
      <c r="D36" s="26">
        <v>9847</v>
      </c>
      <c r="E36" s="27">
        <v>-7.6899999999999996E-2</v>
      </c>
      <c r="F36" s="33">
        <v>8.9999999999999993E-3</v>
      </c>
      <c r="G36" s="28">
        <f t="shared" si="7"/>
        <v>88.62299999999999</v>
      </c>
      <c r="H36" s="11">
        <f t="shared" si="8"/>
        <v>9935.6229999999996</v>
      </c>
      <c r="I36" s="18">
        <v>-0.17</v>
      </c>
      <c r="J36" s="28">
        <f t="shared" si="2"/>
        <v>-1673.99</v>
      </c>
      <c r="K36" s="50">
        <f t="shared" si="3"/>
        <v>8173.01</v>
      </c>
      <c r="L36" s="28">
        <f t="shared" si="6"/>
        <v>-1762.6129999999994</v>
      </c>
    </row>
    <row r="37" spans="1:12" x14ac:dyDescent="0.25">
      <c r="A37" s="2" t="s">
        <v>427</v>
      </c>
      <c r="B37" s="2" t="s">
        <v>51</v>
      </c>
      <c r="C37" s="42" t="str">
        <f t="shared" si="1"/>
        <v>Miller 64|MolsonCoors Beverage Company</v>
      </c>
      <c r="D37" s="26">
        <v>10480</v>
      </c>
      <c r="E37" s="27">
        <v>-6.0699999999999997E-2</v>
      </c>
      <c r="F37" s="33">
        <v>-4.4999999999999998E-2</v>
      </c>
      <c r="G37" s="28">
        <f t="shared" si="7"/>
        <v>-471.59999999999997</v>
      </c>
      <c r="H37" s="11">
        <f t="shared" si="8"/>
        <v>10008.4</v>
      </c>
      <c r="I37" s="18">
        <v>-4.4999999999999998E-2</v>
      </c>
      <c r="J37" s="28">
        <f t="shared" si="2"/>
        <v>-471.59999999999997</v>
      </c>
      <c r="K37" s="50">
        <f t="shared" si="3"/>
        <v>10008.4</v>
      </c>
      <c r="L37" s="28">
        <f t="shared" si="6"/>
        <v>0</v>
      </c>
    </row>
    <row r="38" spans="1:12" x14ac:dyDescent="0.25">
      <c r="A38" s="2" t="s">
        <v>1</v>
      </c>
      <c r="B38" s="2" t="s">
        <v>51</v>
      </c>
      <c r="C38" s="42" t="str">
        <f t="shared" si="1"/>
        <v>Pilsner Urquell|MolsonCoors Beverage Company</v>
      </c>
      <c r="D38" s="26">
        <v>10167</v>
      </c>
      <c r="E38" s="27">
        <v>-3.3500000000000002E-2</v>
      </c>
      <c r="F38" s="33">
        <v>-7.0999999999999994E-2</v>
      </c>
      <c r="G38" s="28">
        <f t="shared" si="7"/>
        <v>-721.85699999999997</v>
      </c>
      <c r="H38" s="11">
        <f t="shared" si="8"/>
        <v>9445.143</v>
      </c>
      <c r="I38" s="18">
        <v>0</v>
      </c>
      <c r="J38" s="28">
        <f t="shared" si="2"/>
        <v>0</v>
      </c>
      <c r="K38" s="50">
        <f t="shared" si="3"/>
        <v>10167</v>
      </c>
      <c r="L38" s="28">
        <f t="shared" si="6"/>
        <v>721.85699999999997</v>
      </c>
    </row>
    <row r="39" spans="1:12" x14ac:dyDescent="0.25">
      <c r="A39" s="2" t="s">
        <v>158</v>
      </c>
      <c r="B39" s="2" t="s">
        <v>51</v>
      </c>
      <c r="C39" s="42" t="str">
        <f t="shared" si="1"/>
        <v>Old English|MolsonCoors Beverage Company</v>
      </c>
      <c r="D39" s="26">
        <v>6904</v>
      </c>
      <c r="E39" s="27">
        <f>'[1]2024 Finish'!I39</f>
        <v>-8.6812795773700269E-2</v>
      </c>
      <c r="F39" s="33">
        <v>-0.16200000000000001</v>
      </c>
      <c r="G39" s="28">
        <f t="shared" si="7"/>
        <v>-1118.4480000000001</v>
      </c>
      <c r="H39" s="11">
        <f t="shared" si="8"/>
        <v>5785.5519999999997</v>
      </c>
      <c r="I39" s="18">
        <v>-0.16</v>
      </c>
      <c r="J39" s="28">
        <f t="shared" si="2"/>
        <v>-1104.6400000000001</v>
      </c>
      <c r="K39" s="50">
        <f t="shared" si="3"/>
        <v>5799.36</v>
      </c>
      <c r="L39" s="28">
        <f t="shared" si="6"/>
        <v>13.807999999999993</v>
      </c>
    </row>
    <row r="40" spans="1:12" x14ac:dyDescent="0.25">
      <c r="A40" s="2" t="s">
        <v>31</v>
      </c>
      <c r="B40" s="2" t="s">
        <v>51</v>
      </c>
      <c r="C40" s="42" t="str">
        <f t="shared" si="1"/>
        <v>Lech|MolsonCoors Beverage Company</v>
      </c>
      <c r="D40" s="26">
        <v>573</v>
      </c>
      <c r="E40" s="27">
        <f>'[1]2024 Finish'!I40</f>
        <v>-0.87298732242088228</v>
      </c>
      <c r="F40" s="33">
        <v>8.9999999999999993E-3</v>
      </c>
      <c r="G40" s="28">
        <f t="shared" si="7"/>
        <v>5.157</v>
      </c>
      <c r="H40" s="11">
        <f t="shared" si="8"/>
        <v>578.15700000000004</v>
      </c>
      <c r="I40" s="18">
        <v>-1</v>
      </c>
      <c r="J40" s="28">
        <f t="shared" si="2"/>
        <v>-573</v>
      </c>
      <c r="K40" s="50">
        <f t="shared" si="3"/>
        <v>0</v>
      </c>
      <c r="L40" s="28">
        <f t="shared" si="6"/>
        <v>-578.15700000000004</v>
      </c>
    </row>
    <row r="41" spans="1:12" x14ac:dyDescent="0.25">
      <c r="A41" s="2" t="s">
        <v>215</v>
      </c>
      <c r="B41" s="2" t="s">
        <v>51</v>
      </c>
      <c r="C41" s="42" t="str">
        <f t="shared" si="1"/>
        <v>Simply Spiked|MolsonCoors Beverage Company</v>
      </c>
      <c r="D41" s="26">
        <v>6078</v>
      </c>
      <c r="E41" s="27">
        <v>-0.13070000000000001</v>
      </c>
      <c r="F41" s="33">
        <v>-0.2</v>
      </c>
      <c r="G41" s="28">
        <f t="shared" si="7"/>
        <v>-1215.6000000000001</v>
      </c>
      <c r="H41" s="11">
        <f t="shared" si="8"/>
        <v>4862.3999999999996</v>
      </c>
      <c r="I41" s="18">
        <v>-0.2</v>
      </c>
      <c r="J41" s="28">
        <f t="shared" si="2"/>
        <v>-1215.6000000000001</v>
      </c>
      <c r="K41" s="50">
        <f t="shared" si="3"/>
        <v>4862.3999999999996</v>
      </c>
      <c r="L41" s="28">
        <f t="shared" si="6"/>
        <v>0</v>
      </c>
    </row>
    <row r="42" spans="1:12" x14ac:dyDescent="0.25">
      <c r="A42" s="2" t="s">
        <v>239</v>
      </c>
      <c r="B42" s="2" t="s">
        <v>51</v>
      </c>
      <c r="C42" s="42" t="str">
        <f t="shared" si="1"/>
        <v>Redd's Wicked|MolsonCoors Beverage Company</v>
      </c>
      <c r="D42" s="26">
        <v>2840</v>
      </c>
      <c r="E42" s="27">
        <v>0.1313</v>
      </c>
      <c r="F42" s="33">
        <v>-8.1000000000000003E-2</v>
      </c>
      <c r="G42" s="28">
        <f t="shared" si="7"/>
        <v>-230.04000000000002</v>
      </c>
      <c r="H42" s="11">
        <f t="shared" si="8"/>
        <v>2609.96</v>
      </c>
      <c r="I42" s="18">
        <v>-0.2</v>
      </c>
      <c r="J42" s="28">
        <f t="shared" si="2"/>
        <v>-568</v>
      </c>
      <c r="K42" s="50">
        <f t="shared" si="3"/>
        <v>2272</v>
      </c>
      <c r="L42" s="28">
        <f t="shared" si="6"/>
        <v>-337.96000000000004</v>
      </c>
    </row>
    <row r="43" spans="1:12" x14ac:dyDescent="0.25">
      <c r="A43" s="2" t="s">
        <v>311</v>
      </c>
      <c r="B43" s="2" t="s">
        <v>51</v>
      </c>
      <c r="C43" s="42" t="str">
        <f t="shared" si="1"/>
        <v>George Killian's|MolsonCoors Beverage Company</v>
      </c>
      <c r="D43" s="26">
        <v>3469</v>
      </c>
      <c r="E43" s="27">
        <v>-0.19020000000000001</v>
      </c>
      <c r="F43" s="33">
        <v>-8.8999999999999996E-2</v>
      </c>
      <c r="G43" s="28">
        <f t="shared" si="7"/>
        <v>-308.74099999999999</v>
      </c>
      <c r="H43" s="11">
        <f t="shared" si="8"/>
        <v>3160.259</v>
      </c>
      <c r="I43" s="18">
        <v>-0.2</v>
      </c>
      <c r="J43" s="28">
        <f t="shared" si="2"/>
        <v>-693.80000000000007</v>
      </c>
      <c r="K43" s="50">
        <f t="shared" si="3"/>
        <v>2775.2</v>
      </c>
      <c r="L43" s="28">
        <f t="shared" si="6"/>
        <v>-385.0590000000002</v>
      </c>
    </row>
    <row r="44" spans="1:12" x14ac:dyDescent="0.25">
      <c r="A44" s="2" t="s">
        <v>2</v>
      </c>
      <c r="B44" s="2" t="s">
        <v>51</v>
      </c>
      <c r="C44" s="42" t="str">
        <f t="shared" si="1"/>
        <v>Coors Edge|MolsonCoors Beverage Company</v>
      </c>
      <c r="D44" s="26">
        <v>2175</v>
      </c>
      <c r="E44" s="27">
        <v>-0.21590000000000001</v>
      </c>
      <c r="F44" s="33">
        <v>-0.14899999999999999</v>
      </c>
      <c r="G44" s="28">
        <f t="shared" si="7"/>
        <v>-324.07499999999999</v>
      </c>
      <c r="H44" s="11">
        <f t="shared" si="8"/>
        <v>1850.925</v>
      </c>
      <c r="I44" s="18">
        <v>-0.2</v>
      </c>
      <c r="J44" s="28">
        <f t="shared" si="2"/>
        <v>-435</v>
      </c>
      <c r="K44" s="50">
        <f t="shared" si="3"/>
        <v>1740</v>
      </c>
      <c r="L44" s="28">
        <f t="shared" si="6"/>
        <v>-110.92499999999995</v>
      </c>
    </row>
    <row r="45" spans="1:12" x14ac:dyDescent="0.25">
      <c r="A45" s="2" t="s">
        <v>130</v>
      </c>
      <c r="B45" s="2" t="s">
        <v>51</v>
      </c>
      <c r="C45" s="42" t="str">
        <f t="shared" si="1"/>
        <v>Hamm's|MolsonCoors Beverage Company</v>
      </c>
      <c r="D45" s="26">
        <v>2798</v>
      </c>
      <c r="E45" s="27">
        <v>4.2299999999999997E-2</v>
      </c>
      <c r="F45" s="33">
        <v>6.7000000000000004E-2</v>
      </c>
      <c r="G45" s="28">
        <f t="shared" si="7"/>
        <v>187.46600000000001</v>
      </c>
      <c r="H45" s="11">
        <f t="shared" si="8"/>
        <v>2985.4659999999999</v>
      </c>
      <c r="I45" s="18">
        <v>6.7000000000000004E-2</v>
      </c>
      <c r="J45" s="28">
        <f t="shared" si="2"/>
        <v>187.46600000000001</v>
      </c>
      <c r="K45" s="50">
        <f t="shared" si="3"/>
        <v>2985.4659999999999</v>
      </c>
      <c r="L45" s="28">
        <f t="shared" si="6"/>
        <v>0</v>
      </c>
    </row>
    <row r="46" spans="1:12" x14ac:dyDescent="0.25">
      <c r="A46" s="2" t="s">
        <v>107</v>
      </c>
      <c r="B46" s="2" t="s">
        <v>51</v>
      </c>
      <c r="C46" s="42" t="str">
        <f t="shared" si="1"/>
        <v>Cristal|MolsonCoors Beverage Company</v>
      </c>
      <c r="D46" s="26">
        <v>2342</v>
      </c>
      <c r="E46" s="27">
        <f>'[1]2024 Finish'!I46</f>
        <v>5.5817947617002872E-3</v>
      </c>
      <c r="F46" s="33">
        <v>8.9999999999999993E-3</v>
      </c>
      <c r="G46" s="28">
        <f t="shared" si="7"/>
        <v>21.077999999999999</v>
      </c>
      <c r="H46" s="11">
        <f t="shared" si="8"/>
        <v>2363.078</v>
      </c>
      <c r="I46" s="18">
        <v>8.9999999999999993E-3</v>
      </c>
      <c r="J46" s="28">
        <f t="shared" si="2"/>
        <v>21.077999999999999</v>
      </c>
      <c r="K46" s="50">
        <f t="shared" si="3"/>
        <v>2363.078</v>
      </c>
      <c r="L46" s="28">
        <f t="shared" si="6"/>
        <v>0</v>
      </c>
    </row>
    <row r="47" spans="1:12" x14ac:dyDescent="0.25">
      <c r="A47" s="2" t="s">
        <v>393</v>
      </c>
      <c r="B47" s="2" t="s">
        <v>51</v>
      </c>
      <c r="C47" s="42" t="str">
        <f t="shared" si="1"/>
        <v>Topo Chico|MolsonCoors Beverage Company</v>
      </c>
      <c r="D47" s="26">
        <v>2566</v>
      </c>
      <c r="E47" s="27">
        <v>-0.37059999999999998</v>
      </c>
      <c r="F47" s="33">
        <v>-0.191</v>
      </c>
      <c r="G47" s="28">
        <f t="shared" si="7"/>
        <v>-490.10599999999999</v>
      </c>
      <c r="H47" s="11">
        <f t="shared" si="8"/>
        <v>2075.8940000000002</v>
      </c>
      <c r="I47" s="18">
        <v>-0.19</v>
      </c>
      <c r="J47" s="28">
        <f t="shared" si="2"/>
        <v>-487.54</v>
      </c>
      <c r="K47" s="50">
        <f t="shared" si="3"/>
        <v>2078.46</v>
      </c>
      <c r="L47" s="28">
        <f t="shared" si="6"/>
        <v>2.5659999999998035</v>
      </c>
    </row>
    <row r="48" spans="1:12" x14ac:dyDescent="0.25">
      <c r="A48" s="2" t="s">
        <v>159</v>
      </c>
      <c r="B48" s="2" t="s">
        <v>51</v>
      </c>
      <c r="C48" s="42" t="str">
        <f t="shared" si="1"/>
        <v>Redd's|MolsonCoors Beverage Company</v>
      </c>
      <c r="D48" s="26">
        <v>1185</v>
      </c>
      <c r="E48" s="27">
        <f>'[1]2024 Finish'!I48</f>
        <v>-0.34385382059800662</v>
      </c>
      <c r="F48" s="33">
        <v>-8.1000000000000003E-2</v>
      </c>
      <c r="G48" s="28">
        <f t="shared" si="7"/>
        <v>-95.984999999999999</v>
      </c>
      <c r="H48" s="11">
        <f t="shared" si="8"/>
        <v>1089.0150000000001</v>
      </c>
      <c r="I48" s="18">
        <v>-0.3</v>
      </c>
      <c r="J48" s="28">
        <f t="shared" si="2"/>
        <v>-355.5</v>
      </c>
      <c r="K48" s="50">
        <f t="shared" si="3"/>
        <v>829.5</v>
      </c>
      <c r="L48" s="28">
        <f t="shared" si="6"/>
        <v>-259.5150000000001</v>
      </c>
    </row>
    <row r="49" spans="1:12" x14ac:dyDescent="0.25">
      <c r="A49" s="2" t="s">
        <v>85</v>
      </c>
      <c r="B49" s="2" t="s">
        <v>51</v>
      </c>
      <c r="C49" s="42" t="str">
        <f t="shared" si="1"/>
        <v>Vizzy|MolsonCoors Beverage Company</v>
      </c>
      <c r="D49" s="26">
        <v>2121</v>
      </c>
      <c r="E49" s="27">
        <v>-0.501</v>
      </c>
      <c r="F49" s="33">
        <v>-0.441</v>
      </c>
      <c r="G49" s="28">
        <f t="shared" si="7"/>
        <v>-935.36099999999999</v>
      </c>
      <c r="H49" s="11">
        <f t="shared" si="8"/>
        <v>1185.6390000000001</v>
      </c>
      <c r="I49" s="18">
        <v>-0.44</v>
      </c>
      <c r="J49" s="28">
        <f t="shared" si="2"/>
        <v>-933.24</v>
      </c>
      <c r="K49" s="50">
        <f t="shared" si="3"/>
        <v>1187.76</v>
      </c>
      <c r="L49" s="28">
        <f t="shared" si="6"/>
        <v>2.1209999999998672</v>
      </c>
    </row>
    <row r="50" spans="1:12" x14ac:dyDescent="0.25">
      <c r="A50" s="2" t="s">
        <v>108</v>
      </c>
      <c r="B50" s="2" t="s">
        <v>51</v>
      </c>
      <c r="C50" s="42" t="str">
        <f t="shared" si="1"/>
        <v>Leinenkugel|MolsonCoors Beverage Company</v>
      </c>
      <c r="D50" s="26">
        <v>21647</v>
      </c>
      <c r="E50" s="27">
        <v>-8.2100000000000006E-2</v>
      </c>
      <c r="F50" s="33">
        <v>-0.104</v>
      </c>
      <c r="G50" s="28">
        <f t="shared" si="7"/>
        <v>-2251.288</v>
      </c>
      <c r="H50" s="11">
        <f t="shared" si="8"/>
        <v>19395.712</v>
      </c>
      <c r="I50" s="18">
        <v>-0.1</v>
      </c>
      <c r="J50" s="28">
        <f t="shared" si="2"/>
        <v>-2164.7000000000003</v>
      </c>
      <c r="K50" s="50">
        <f t="shared" si="3"/>
        <v>19482.3</v>
      </c>
      <c r="L50" s="28">
        <f t="shared" si="6"/>
        <v>86.587999999999738</v>
      </c>
    </row>
    <row r="51" spans="1:12" x14ac:dyDescent="0.25">
      <c r="A51" s="2" t="s">
        <v>53</v>
      </c>
      <c r="B51" s="2" t="s">
        <v>51</v>
      </c>
      <c r="C51" s="42" t="str">
        <f t="shared" si="1"/>
        <v>Milwaukee's Best Light|MolsonCoors Beverage Company</v>
      </c>
      <c r="D51" s="26">
        <v>10256</v>
      </c>
      <c r="E51" s="27">
        <v>-0.1164</v>
      </c>
      <c r="F51" s="33">
        <v>-9.1999999999999998E-2</v>
      </c>
      <c r="G51" s="28">
        <f t="shared" si="7"/>
        <v>-943.55200000000002</v>
      </c>
      <c r="H51" s="11">
        <f t="shared" si="8"/>
        <v>9312.4480000000003</v>
      </c>
      <c r="I51" s="18">
        <v>-9.1999999999999998E-2</v>
      </c>
      <c r="J51" s="28">
        <f t="shared" si="2"/>
        <v>-943.55200000000002</v>
      </c>
      <c r="K51" s="50">
        <f t="shared" si="3"/>
        <v>9312.4480000000003</v>
      </c>
      <c r="L51" s="28">
        <f t="shared" si="6"/>
        <v>0</v>
      </c>
    </row>
    <row r="52" spans="1:12" x14ac:dyDescent="0.25">
      <c r="A52" s="2" t="s">
        <v>54</v>
      </c>
      <c r="B52" s="2" t="s">
        <v>51</v>
      </c>
      <c r="C52" s="42" t="str">
        <f t="shared" si="1"/>
        <v>Sol|MolsonCoors Beverage Company</v>
      </c>
      <c r="D52" s="26">
        <v>1016</v>
      </c>
      <c r="E52" s="27">
        <v>-0.36320000000000002</v>
      </c>
      <c r="F52" s="33">
        <v>-0.12</v>
      </c>
      <c r="G52" s="28">
        <f t="shared" si="7"/>
        <v>-121.92</v>
      </c>
      <c r="H52" s="11">
        <f t="shared" si="8"/>
        <v>894.08</v>
      </c>
      <c r="I52" s="18">
        <v>-0.12</v>
      </c>
      <c r="J52" s="28">
        <f t="shared" si="2"/>
        <v>-121.92</v>
      </c>
      <c r="K52" s="50">
        <f t="shared" si="3"/>
        <v>894.08</v>
      </c>
      <c r="L52" s="28">
        <f t="shared" si="6"/>
        <v>0</v>
      </c>
    </row>
    <row r="53" spans="1:12" x14ac:dyDescent="0.25">
      <c r="A53" s="2" t="s">
        <v>131</v>
      </c>
      <c r="B53" s="2" t="s">
        <v>51</v>
      </c>
      <c r="C53" s="42" t="str">
        <f t="shared" si="1"/>
        <v>Aguila|MolsonCoors Beverage Company</v>
      </c>
      <c r="D53" s="26">
        <v>2183</v>
      </c>
      <c r="E53" s="27">
        <v>0.2253</v>
      </c>
      <c r="F53" s="33">
        <v>8.9999999999999993E-3</v>
      </c>
      <c r="G53" s="28">
        <f t="shared" si="7"/>
        <v>19.646999999999998</v>
      </c>
      <c r="H53" s="11">
        <f t="shared" si="8"/>
        <v>2202.6469999999999</v>
      </c>
      <c r="I53" s="18">
        <v>0.1</v>
      </c>
      <c r="J53" s="28">
        <f t="shared" si="2"/>
        <v>218.3</v>
      </c>
      <c r="K53" s="50">
        <f t="shared" si="3"/>
        <v>2401.3000000000002</v>
      </c>
      <c r="L53" s="28">
        <f t="shared" si="6"/>
        <v>198.65300000000025</v>
      </c>
    </row>
    <row r="54" spans="1:12" x14ac:dyDescent="0.25">
      <c r="A54" s="2" t="s">
        <v>160</v>
      </c>
      <c r="B54" s="2" t="s">
        <v>51</v>
      </c>
      <c r="C54" s="42" t="str">
        <f t="shared" si="1"/>
        <v>Steel Reserve Alloy Series|MolsonCoors Beverage Company</v>
      </c>
      <c r="D54" s="26">
        <v>67</v>
      </c>
      <c r="E54" s="27">
        <v>-0.75900000000000001</v>
      </c>
      <c r="F54" s="33">
        <v>-0.86599999999999999</v>
      </c>
      <c r="G54" s="28">
        <f t="shared" si="7"/>
        <v>-58.021999999999998</v>
      </c>
      <c r="H54" s="11">
        <f t="shared" si="8"/>
        <v>8.9780000000000015</v>
      </c>
      <c r="I54" s="18">
        <v>-1</v>
      </c>
      <c r="J54" s="28">
        <f t="shared" si="2"/>
        <v>-67</v>
      </c>
      <c r="K54" s="50">
        <f t="shared" si="3"/>
        <v>0</v>
      </c>
      <c r="L54" s="28">
        <f t="shared" si="6"/>
        <v>-8.9780000000000015</v>
      </c>
    </row>
    <row r="55" spans="1:12" x14ac:dyDescent="0.25">
      <c r="A55" s="2" t="s">
        <v>86</v>
      </c>
      <c r="B55" s="2" t="s">
        <v>51</v>
      </c>
      <c r="C55" s="42" t="str">
        <f t="shared" si="1"/>
        <v>Happy Thursday Spiked Refresher|MolsonCoors Beverage Company</v>
      </c>
      <c r="D55" s="26">
        <v>714</v>
      </c>
      <c r="E55" s="27" t="e">
        <f>'[1]2024 Finish'!I55</f>
        <v>#DIV/0!</v>
      </c>
      <c r="F55" s="33">
        <v>2.1</v>
      </c>
      <c r="G55" s="28">
        <f t="shared" si="7"/>
        <v>1499.4</v>
      </c>
      <c r="H55" s="11">
        <f t="shared" si="8"/>
        <v>2213.4</v>
      </c>
      <c r="I55" s="18">
        <v>2.1</v>
      </c>
      <c r="J55" s="28">
        <f t="shared" si="2"/>
        <v>1499.4</v>
      </c>
      <c r="K55" s="50">
        <f t="shared" si="3"/>
        <v>2213.4</v>
      </c>
      <c r="L55" s="28">
        <f t="shared" si="6"/>
        <v>0</v>
      </c>
    </row>
    <row r="56" spans="1:12" x14ac:dyDescent="0.25">
      <c r="A56" s="20" t="s">
        <v>394</v>
      </c>
      <c r="B56" s="21"/>
      <c r="C56" s="42" t="str">
        <f t="shared" si="1"/>
        <v>Heineken USA|</v>
      </c>
      <c r="D56" s="10">
        <f>'[1]2024 Finish'!H56</f>
        <v>605298</v>
      </c>
      <c r="E56" s="22">
        <f>'[1]2024 Finish'!I56</f>
        <v>-2.306327436841471E-2</v>
      </c>
      <c r="F56" s="23">
        <f>G56/D56</f>
        <v>6.4718320562764109E-3</v>
      </c>
      <c r="G56" s="24">
        <f>SUMIF($B57:$B478,$B57,G57:G478)</f>
        <v>3917.3869999999988</v>
      </c>
      <c r="H56" s="25">
        <f>SUMIF($B57:$B478,$B57,H57:H478)</f>
        <v>609215.38699999976</v>
      </c>
      <c r="I56" s="23">
        <f>J56/D56</f>
        <v>3.5948028904770868E-3</v>
      </c>
      <c r="J56" s="24">
        <f>SUMIF($B57:$B478,$B57,J57:J478)</f>
        <v>2175.9269999999997</v>
      </c>
      <c r="K56" s="48">
        <f>SUMIF($B57:$B478,$B57,K57:K478)</f>
        <v>607473.92699999979</v>
      </c>
      <c r="L56" s="49">
        <f>K56-H56</f>
        <v>-1741.4599999999627</v>
      </c>
    </row>
    <row r="57" spans="1:12" x14ac:dyDescent="0.25">
      <c r="A57" s="2" t="s">
        <v>394</v>
      </c>
      <c r="B57" s="2" t="s">
        <v>394</v>
      </c>
      <c r="C57" s="42" t="str">
        <f t="shared" si="1"/>
        <v>Heineken USA|Heineken USA</v>
      </c>
      <c r="D57" s="26">
        <v>486642</v>
      </c>
      <c r="E57" s="27">
        <f>'[1]2024 Finish'!I57</f>
        <v>-1.1835005222026518E-2</v>
      </c>
      <c r="F57" s="18">
        <v>1.9E-2</v>
      </c>
      <c r="G57" s="28">
        <f t="shared" ref="G57:G70" si="9">F57*D57</f>
        <v>9246.1980000000003</v>
      </c>
      <c r="H57" s="11">
        <f t="shared" ref="H57:H70" si="10">D57+G57</f>
        <v>495888.19799999997</v>
      </c>
      <c r="I57" s="18">
        <v>1.9E-2</v>
      </c>
      <c r="J57" s="28">
        <f t="shared" si="2"/>
        <v>9246.1980000000003</v>
      </c>
      <c r="K57" s="50">
        <f t="shared" si="3"/>
        <v>495888.19799999997</v>
      </c>
      <c r="L57" s="28">
        <f t="shared" si="0"/>
        <v>0</v>
      </c>
    </row>
    <row r="58" spans="1:12" x14ac:dyDescent="0.25">
      <c r="A58" s="2" t="s">
        <v>241</v>
      </c>
      <c r="B58" s="2" t="s">
        <v>394</v>
      </c>
      <c r="C58" s="42" t="str">
        <f t="shared" si="1"/>
        <v>Heineken Light|Heineken USA</v>
      </c>
      <c r="D58" s="26">
        <v>39233</v>
      </c>
      <c r="E58" s="27">
        <f>'[1]2024 Finish'!I58</f>
        <v>-6.4388429160804117E-2</v>
      </c>
      <c r="F58" s="18">
        <v>-0.1</v>
      </c>
      <c r="G58" s="28">
        <f t="shared" si="9"/>
        <v>-3923.3</v>
      </c>
      <c r="H58" s="11">
        <f t="shared" si="10"/>
        <v>35309.699999999997</v>
      </c>
      <c r="I58" s="18">
        <v>-0.1</v>
      </c>
      <c r="J58" s="28">
        <f t="shared" si="2"/>
        <v>-3923.3</v>
      </c>
      <c r="K58" s="50">
        <f t="shared" si="3"/>
        <v>35309.699999999997</v>
      </c>
      <c r="L58" s="28">
        <f t="shared" si="0"/>
        <v>0</v>
      </c>
    </row>
    <row r="59" spans="1:12" x14ac:dyDescent="0.25">
      <c r="A59" s="2" t="s">
        <v>373</v>
      </c>
      <c r="B59" s="2" t="s">
        <v>394</v>
      </c>
      <c r="C59" s="42" t="str">
        <f t="shared" si="1"/>
        <v>Heineken 0.0|Heineken USA</v>
      </c>
      <c r="D59" s="26">
        <v>24878</v>
      </c>
      <c r="E59" s="27">
        <f>'[1]2024 Finish'!I59</f>
        <v>5.2191507432263862E-2</v>
      </c>
      <c r="F59" s="18">
        <v>0.12</v>
      </c>
      <c r="G59" s="28">
        <f t="shared" si="9"/>
        <v>2985.3599999999997</v>
      </c>
      <c r="H59" s="11">
        <f t="shared" si="10"/>
        <v>27863.360000000001</v>
      </c>
      <c r="I59" s="18">
        <v>0.05</v>
      </c>
      <c r="J59" s="28">
        <f t="shared" si="2"/>
        <v>1243.9000000000001</v>
      </c>
      <c r="K59" s="50">
        <f t="shared" si="3"/>
        <v>26121.9</v>
      </c>
      <c r="L59" s="28">
        <f t="shared" si="0"/>
        <v>-1741.4599999999991</v>
      </c>
    </row>
    <row r="60" spans="1:12" x14ac:dyDescent="0.25">
      <c r="A60" s="2" t="s">
        <v>3</v>
      </c>
      <c r="B60" s="2" t="s">
        <v>394</v>
      </c>
      <c r="C60" s="42" t="str">
        <f t="shared" si="1"/>
        <v>Amstel|Heineken USA</v>
      </c>
      <c r="D60" s="26">
        <v>16192</v>
      </c>
      <c r="E60" s="27">
        <f>'[1]2024 Finish'!I60</f>
        <v>-0.10533266925516171</v>
      </c>
      <c r="F60" s="18">
        <v>-8.4000000000000005E-2</v>
      </c>
      <c r="G60" s="28">
        <f t="shared" si="9"/>
        <v>-1360.1280000000002</v>
      </c>
      <c r="H60" s="11">
        <f t="shared" si="10"/>
        <v>14831.871999999999</v>
      </c>
      <c r="I60" s="18">
        <v>-8.4000000000000005E-2</v>
      </c>
      <c r="J60" s="28">
        <f t="shared" si="2"/>
        <v>-1360.1280000000002</v>
      </c>
      <c r="K60" s="50">
        <f t="shared" si="3"/>
        <v>14831.871999999999</v>
      </c>
      <c r="L60" s="28">
        <f t="shared" si="0"/>
        <v>0</v>
      </c>
    </row>
    <row r="61" spans="1:12" x14ac:dyDescent="0.25">
      <c r="A61" s="2" t="s">
        <v>242</v>
      </c>
      <c r="B61" s="2" t="s">
        <v>394</v>
      </c>
      <c r="C61" s="42" t="str">
        <f t="shared" si="1"/>
        <v>Tecate|Heineken USA</v>
      </c>
      <c r="D61" s="26">
        <v>12375</v>
      </c>
      <c r="E61" s="27">
        <f>'[1]2024 Finish'!I61</f>
        <v>-6.0952706163564963E-2</v>
      </c>
      <c r="F61" s="18">
        <v>-5.0000000000000001E-3</v>
      </c>
      <c r="G61" s="28">
        <f t="shared" si="9"/>
        <v>-61.875</v>
      </c>
      <c r="H61" s="11">
        <f t="shared" si="10"/>
        <v>12313.125</v>
      </c>
      <c r="I61" s="18">
        <v>-5.0000000000000001E-3</v>
      </c>
      <c r="J61" s="28">
        <f t="shared" si="2"/>
        <v>-61.875</v>
      </c>
      <c r="K61" s="50">
        <f t="shared" si="3"/>
        <v>12313.125</v>
      </c>
      <c r="L61" s="28">
        <f t="shared" si="0"/>
        <v>0</v>
      </c>
    </row>
    <row r="62" spans="1:12" x14ac:dyDescent="0.25">
      <c r="A62" s="2" t="s">
        <v>312</v>
      </c>
      <c r="B62" s="2" t="s">
        <v>394</v>
      </c>
      <c r="C62" s="42" t="str">
        <f t="shared" si="1"/>
        <v>Red Stripe|Heineken USA</v>
      </c>
      <c r="D62" s="26">
        <v>7673</v>
      </c>
      <c r="E62" s="27">
        <f>'[1]2024 Finish'!I62</f>
        <v>-8.6884878117886144E-2</v>
      </c>
      <c r="F62" s="18">
        <v>-8.4000000000000005E-2</v>
      </c>
      <c r="G62" s="28">
        <f t="shared" si="9"/>
        <v>-644.53200000000004</v>
      </c>
      <c r="H62" s="11">
        <f t="shared" si="10"/>
        <v>7028.4679999999998</v>
      </c>
      <c r="I62" s="18">
        <v>-8.4000000000000005E-2</v>
      </c>
      <c r="J62" s="28">
        <f t="shared" si="2"/>
        <v>-644.53200000000004</v>
      </c>
      <c r="K62" s="50">
        <f t="shared" si="3"/>
        <v>7028.4679999999998</v>
      </c>
      <c r="L62" s="28">
        <f t="shared" si="0"/>
        <v>0</v>
      </c>
    </row>
    <row r="63" spans="1:12" x14ac:dyDescent="0.25">
      <c r="A63" s="2" t="s">
        <v>395</v>
      </c>
      <c r="B63" s="2" t="s">
        <v>394</v>
      </c>
      <c r="C63" s="42" t="str">
        <f t="shared" si="1"/>
        <v>Dos Equis|Heineken USA</v>
      </c>
      <c r="D63" s="26">
        <v>8756</v>
      </c>
      <c r="E63" s="27">
        <f>'[1]2024 Finish'!I63</f>
        <v>-8.0925315612957349E-2</v>
      </c>
      <c r="F63" s="18">
        <v>-3.4000000000000002E-2</v>
      </c>
      <c r="G63" s="28">
        <f t="shared" si="9"/>
        <v>-297.70400000000001</v>
      </c>
      <c r="H63" s="11">
        <f t="shared" si="10"/>
        <v>8458.2960000000003</v>
      </c>
      <c r="I63" s="18">
        <v>-3.4000000000000002E-2</v>
      </c>
      <c r="J63" s="28">
        <f t="shared" si="2"/>
        <v>-297.70400000000001</v>
      </c>
      <c r="K63" s="50">
        <f t="shared" si="3"/>
        <v>8458.2960000000003</v>
      </c>
      <c r="L63" s="28">
        <f t="shared" si="0"/>
        <v>0</v>
      </c>
    </row>
    <row r="64" spans="1:12" x14ac:dyDescent="0.25">
      <c r="A64" s="2" t="s">
        <v>32</v>
      </c>
      <c r="B64" s="2" t="s">
        <v>394</v>
      </c>
      <c r="C64" s="42" t="str">
        <f t="shared" si="1"/>
        <v>Heineken Silver|Heineken USA</v>
      </c>
      <c r="D64" s="26">
        <v>5700</v>
      </c>
      <c r="E64" s="27">
        <f>'[1]2024 Finish'!I64</f>
        <v>-0.35636856368563685</v>
      </c>
      <c r="F64" s="18">
        <v>-0.30399999999999999</v>
      </c>
      <c r="G64" s="28">
        <f t="shared" si="9"/>
        <v>-1732.8</v>
      </c>
      <c r="H64" s="11">
        <f t="shared" si="10"/>
        <v>3967.2</v>
      </c>
      <c r="I64" s="18">
        <v>-0.30399999999999999</v>
      </c>
      <c r="J64" s="28">
        <f t="shared" si="2"/>
        <v>-1732.8</v>
      </c>
      <c r="K64" s="50">
        <f t="shared" si="3"/>
        <v>3967.2</v>
      </c>
      <c r="L64" s="28">
        <f t="shared" si="0"/>
        <v>0</v>
      </c>
    </row>
    <row r="65" spans="1:12" x14ac:dyDescent="0.25">
      <c r="A65" s="2" t="s">
        <v>288</v>
      </c>
      <c r="B65" s="2" t="s">
        <v>394</v>
      </c>
      <c r="C65" s="42" t="str">
        <f t="shared" si="1"/>
        <v>Murphy's|Heineken USA</v>
      </c>
      <c r="D65" s="26">
        <v>1428</v>
      </c>
      <c r="E65" s="27">
        <f>'[1]2024 Finish'!I65</f>
        <v>9.9312643222423391E-2</v>
      </c>
      <c r="F65" s="18">
        <v>-8.4000000000000005E-2</v>
      </c>
      <c r="G65" s="28">
        <f t="shared" si="9"/>
        <v>-119.95200000000001</v>
      </c>
      <c r="H65" s="11">
        <f t="shared" si="10"/>
        <v>1308.048</v>
      </c>
      <c r="I65" s="18">
        <v>-8.4000000000000005E-2</v>
      </c>
      <c r="J65" s="28">
        <f t="shared" si="2"/>
        <v>-119.95200000000001</v>
      </c>
      <c r="K65" s="50">
        <f t="shared" si="3"/>
        <v>1308.048</v>
      </c>
      <c r="L65" s="28">
        <f t="shared" si="0"/>
        <v>0</v>
      </c>
    </row>
    <row r="66" spans="1:12" x14ac:dyDescent="0.25">
      <c r="A66" s="2" t="s">
        <v>87</v>
      </c>
      <c r="B66" s="2" t="s">
        <v>394</v>
      </c>
      <c r="C66" s="42" t="str">
        <f t="shared" si="1"/>
        <v>Strongbow|Heineken USA</v>
      </c>
      <c r="D66" s="26">
        <v>892</v>
      </c>
      <c r="E66" s="27">
        <f>'[1]2024 Finish'!I66</f>
        <v>0.21193336327334089</v>
      </c>
      <c r="F66" s="18">
        <v>-8.4000000000000005E-2</v>
      </c>
      <c r="G66" s="28">
        <f t="shared" si="9"/>
        <v>-74.928000000000011</v>
      </c>
      <c r="H66" s="11">
        <f t="shared" si="10"/>
        <v>817.072</v>
      </c>
      <c r="I66" s="18">
        <v>-8.4000000000000005E-2</v>
      </c>
      <c r="J66" s="28">
        <f t="shared" si="2"/>
        <v>-74.928000000000011</v>
      </c>
      <c r="K66" s="50">
        <f t="shared" si="3"/>
        <v>817.072</v>
      </c>
      <c r="L66" s="28">
        <f t="shared" si="0"/>
        <v>0</v>
      </c>
    </row>
    <row r="67" spans="1:12" x14ac:dyDescent="0.25">
      <c r="A67" s="2" t="s">
        <v>313</v>
      </c>
      <c r="B67" s="2" t="s">
        <v>394</v>
      </c>
      <c r="C67" s="42" t="str">
        <f t="shared" si="1"/>
        <v>Buckler|Heineken USA</v>
      </c>
      <c r="D67" s="26">
        <v>603</v>
      </c>
      <c r="E67" s="27">
        <f>'[1]2024 Finish'!I67</f>
        <v>-0.15189873417721522</v>
      </c>
      <c r="F67" s="18">
        <v>-8.4000000000000005E-2</v>
      </c>
      <c r="G67" s="28">
        <f t="shared" si="9"/>
        <v>-50.652000000000001</v>
      </c>
      <c r="H67" s="11">
        <f t="shared" si="10"/>
        <v>552.34799999999996</v>
      </c>
      <c r="I67" s="18">
        <v>-8.4000000000000005E-2</v>
      </c>
      <c r="J67" s="28">
        <f t="shared" si="2"/>
        <v>-50.652000000000001</v>
      </c>
      <c r="K67" s="50">
        <f t="shared" si="3"/>
        <v>552.34799999999996</v>
      </c>
      <c r="L67" s="28">
        <f t="shared" si="0"/>
        <v>0</v>
      </c>
    </row>
    <row r="68" spans="1:12" x14ac:dyDescent="0.25">
      <c r="A68" s="2" t="s">
        <v>109</v>
      </c>
      <c r="B68" s="2" t="s">
        <v>394</v>
      </c>
      <c r="C68" s="42" t="str">
        <f t="shared" si="1"/>
        <v>Carta Blanca|Heineken USA</v>
      </c>
      <c r="D68" s="26">
        <v>575</v>
      </c>
      <c r="E68" s="27">
        <f>'[1]2024 Finish'!I68</f>
        <v>-0.17464098048919452</v>
      </c>
      <c r="F68" s="18">
        <v>-8.4000000000000005E-2</v>
      </c>
      <c r="G68" s="28">
        <f t="shared" si="9"/>
        <v>-48.300000000000004</v>
      </c>
      <c r="H68" s="11">
        <f t="shared" si="10"/>
        <v>526.70000000000005</v>
      </c>
      <c r="I68" s="18">
        <v>-8.4000000000000005E-2</v>
      </c>
      <c r="J68" s="28">
        <f t="shared" si="2"/>
        <v>-48.300000000000004</v>
      </c>
      <c r="K68" s="50">
        <f t="shared" si="3"/>
        <v>526.70000000000005</v>
      </c>
      <c r="L68" s="28">
        <f t="shared" ref="L68:L78" si="11">K68-H68</f>
        <v>0</v>
      </c>
    </row>
    <row r="69" spans="1:12" x14ac:dyDescent="0.25">
      <c r="A69" s="2" t="s">
        <v>33</v>
      </c>
      <c r="B69" s="2" t="s">
        <v>394</v>
      </c>
      <c r="C69" s="42" t="str">
        <f t="shared" ref="C69:C132" si="12">A69 &amp; "|" &amp; B69</f>
        <v>Tecate Light|Heineken USA</v>
      </c>
      <c r="D69" s="26">
        <f>'[1]2024 Finish'!H69</f>
        <v>-1</v>
      </c>
      <c r="E69" s="27">
        <f>'[1]2024 Finish'!I69</f>
        <v>-1.0285714285714285</v>
      </c>
      <c r="F69" s="18">
        <v>0</v>
      </c>
      <c r="G69" s="28">
        <f t="shared" si="9"/>
        <v>0</v>
      </c>
      <c r="H69" s="11">
        <f t="shared" si="10"/>
        <v>-1</v>
      </c>
      <c r="I69" s="18">
        <v>0</v>
      </c>
      <c r="J69" s="28">
        <f t="shared" si="2"/>
        <v>0</v>
      </c>
      <c r="K69" s="50">
        <f t="shared" ref="K69:K78" si="13">D69+J69</f>
        <v>-1</v>
      </c>
      <c r="L69" s="28">
        <f t="shared" si="11"/>
        <v>0</v>
      </c>
    </row>
    <row r="70" spans="1:12" x14ac:dyDescent="0.25">
      <c r="A70" s="2" t="s">
        <v>216</v>
      </c>
      <c r="B70" s="2" t="s">
        <v>394</v>
      </c>
      <c r="C70" s="42" t="str">
        <f t="shared" si="12"/>
        <v>Prestige Lager|Heineken USA</v>
      </c>
      <c r="D70" s="26">
        <v>352</v>
      </c>
      <c r="E70" s="27" t="e">
        <f>'[1]2024 Finish'!I70</f>
        <v>#DIV/0!</v>
      </c>
      <c r="F70" s="18">
        <v>0</v>
      </c>
      <c r="G70" s="28">
        <f t="shared" si="9"/>
        <v>0</v>
      </c>
      <c r="H70" s="11">
        <f t="shared" si="10"/>
        <v>352</v>
      </c>
      <c r="I70" s="18">
        <v>0</v>
      </c>
      <c r="J70" s="28">
        <f t="shared" si="2"/>
        <v>0</v>
      </c>
      <c r="K70" s="50">
        <f t="shared" si="13"/>
        <v>352</v>
      </c>
      <c r="L70" s="28">
        <f t="shared" si="11"/>
        <v>0</v>
      </c>
    </row>
    <row r="71" spans="1:12" x14ac:dyDescent="0.25">
      <c r="A71" s="20" t="s">
        <v>88</v>
      </c>
      <c r="B71" s="21"/>
      <c r="C71" s="42" t="str">
        <f t="shared" si="12"/>
        <v>Boston Beer Company|</v>
      </c>
      <c r="D71" s="10">
        <f>'[1]2024 Finish'!H71</f>
        <v>397802.21716900001</v>
      </c>
      <c r="E71" s="22">
        <f>'[1]2024 Finish'!I71</f>
        <v>-3.6639345511060628E-2</v>
      </c>
      <c r="F71" s="23">
        <f>G71/D71</f>
        <v>0.10912397700779543</v>
      </c>
      <c r="G71" s="24">
        <f>SUMIF($B72:$B493,$B72,G72:G493)</f>
        <v>43409.760000000002</v>
      </c>
      <c r="H71" s="25">
        <f>SUMIF($B72:$B493,$B72,H72:H493)</f>
        <v>448711.97716900002</v>
      </c>
      <c r="I71" s="23">
        <f>J71/D71</f>
        <v>4.0534570457533815E-2</v>
      </c>
      <c r="J71" s="24">
        <f>SUMIF($B72:$B493,$B72,J72:J493)</f>
        <v>16124.741999999998</v>
      </c>
      <c r="K71" s="48">
        <f>SUMIF($B72:$B493,$B72,K72:K493)</f>
        <v>421426.95916899998</v>
      </c>
      <c r="L71" s="49">
        <f>K71-H71</f>
        <v>-27285.01800000004</v>
      </c>
    </row>
    <row r="72" spans="1:12" x14ac:dyDescent="0.25">
      <c r="A72" s="2" t="s">
        <v>110</v>
      </c>
      <c r="B72" s="2" t="s">
        <v>88</v>
      </c>
      <c r="C72" s="42" t="str">
        <f t="shared" si="12"/>
        <v>Samuel Adams|Boston Beer Company</v>
      </c>
      <c r="D72" s="26">
        <v>128162</v>
      </c>
      <c r="E72" s="27">
        <f>'[1]2024 Finish'!I72</f>
        <v>-7.5514220677593391E-2</v>
      </c>
      <c r="F72" s="18">
        <v>-8.0000000000000002E-3</v>
      </c>
      <c r="G72" s="28">
        <f t="shared" ref="G72:G83" si="14">F72*D72</f>
        <v>-1025.296</v>
      </c>
      <c r="H72" s="11">
        <f t="shared" ref="H72:H83" si="15">D72+G72</f>
        <v>127136.704</v>
      </c>
      <c r="I72" s="18">
        <v>-0.01</v>
      </c>
      <c r="J72" s="28">
        <f t="shared" si="2"/>
        <v>-1281.6200000000001</v>
      </c>
      <c r="K72" s="50">
        <f t="shared" si="13"/>
        <v>126880.38</v>
      </c>
      <c r="L72" s="28">
        <f t="shared" si="11"/>
        <v>-256.32399999999325</v>
      </c>
    </row>
    <row r="73" spans="1:12" x14ac:dyDescent="0.25">
      <c r="A73" s="2" t="s">
        <v>314</v>
      </c>
      <c r="B73" s="2" t="s">
        <v>88</v>
      </c>
      <c r="C73" s="42" t="str">
        <f t="shared" si="12"/>
        <v>Twisted Tea|Boston Beer Company</v>
      </c>
      <c r="D73" s="26">
        <v>123264</v>
      </c>
      <c r="E73" s="27">
        <f>'[1]2024 Finish'!I73</f>
        <v>-2.1599993907464032E-3</v>
      </c>
      <c r="F73" s="18">
        <v>-1.4E-2</v>
      </c>
      <c r="G73" s="28">
        <f t="shared" si="14"/>
        <v>-1725.6960000000001</v>
      </c>
      <c r="H73" s="11">
        <f t="shared" si="15"/>
        <v>121538.304</v>
      </c>
      <c r="I73" s="18">
        <v>-1.4E-2</v>
      </c>
      <c r="J73" s="28">
        <f t="shared" si="2"/>
        <v>-1725.6960000000001</v>
      </c>
      <c r="K73" s="50">
        <f t="shared" si="13"/>
        <v>121538.304</v>
      </c>
      <c r="L73" s="28">
        <f t="shared" si="11"/>
        <v>0</v>
      </c>
    </row>
    <row r="74" spans="1:12" x14ac:dyDescent="0.25">
      <c r="A74" s="2" t="s">
        <v>374</v>
      </c>
      <c r="B74" s="2" t="s">
        <v>88</v>
      </c>
      <c r="C74" s="42" t="str">
        <f t="shared" si="12"/>
        <v>Angry Orchard|Boston Beer Company</v>
      </c>
      <c r="D74" s="26">
        <v>40758</v>
      </c>
      <c r="E74" s="27">
        <f>'[1]2024 Finish'!I74</f>
        <v>-1.1572005827324983E-2</v>
      </c>
      <c r="F74" s="18">
        <v>4.1000000000000002E-2</v>
      </c>
      <c r="G74" s="28">
        <f t="shared" si="14"/>
        <v>1671.078</v>
      </c>
      <c r="H74" s="11">
        <f t="shared" si="15"/>
        <v>42429.078000000001</v>
      </c>
      <c r="I74" s="18">
        <v>4.1000000000000002E-2</v>
      </c>
      <c r="J74" s="28">
        <f t="shared" ref="J74:J78" si="16">I74*D74</f>
        <v>1671.078</v>
      </c>
      <c r="K74" s="50">
        <f t="shared" si="13"/>
        <v>42429.078000000001</v>
      </c>
      <c r="L74" s="28">
        <f t="shared" si="11"/>
        <v>0</v>
      </c>
    </row>
    <row r="75" spans="1:12" x14ac:dyDescent="0.25">
      <c r="A75" s="7" t="s">
        <v>243</v>
      </c>
      <c r="B75" s="7" t="s">
        <v>88</v>
      </c>
      <c r="C75" s="42" t="str">
        <f t="shared" si="12"/>
        <v>Truly|Boston Beer Company</v>
      </c>
      <c r="D75" s="34">
        <v>47660</v>
      </c>
      <c r="E75" s="35">
        <f>'[1]2024 Finish'!I75</f>
        <v>-0.24473717867813005</v>
      </c>
      <c r="F75" s="39">
        <v>-5.6000000000000001E-2</v>
      </c>
      <c r="G75" s="37">
        <f t="shared" si="14"/>
        <v>-2668.96</v>
      </c>
      <c r="H75" s="38">
        <f t="shared" si="15"/>
        <v>44991.040000000001</v>
      </c>
      <c r="I75" s="39">
        <v>-0.15</v>
      </c>
      <c r="J75" s="37">
        <f t="shared" si="16"/>
        <v>-7149</v>
      </c>
      <c r="K75" s="52">
        <f t="shared" si="13"/>
        <v>40511</v>
      </c>
      <c r="L75" s="37">
        <f t="shared" si="11"/>
        <v>-4480.0400000000009</v>
      </c>
    </row>
    <row r="76" spans="1:12" x14ac:dyDescent="0.25">
      <c r="A76" s="2" t="s">
        <v>342</v>
      </c>
      <c r="B76" s="2" t="s">
        <v>88</v>
      </c>
      <c r="C76" s="42" t="str">
        <f t="shared" si="12"/>
        <v>Dogfish Head Beer|Boston Beer Company</v>
      </c>
      <c r="D76" s="26">
        <v>34604</v>
      </c>
      <c r="E76" s="27">
        <f>'[1]2024 Finish'!I76</f>
        <v>-9.2048936496421874E-2</v>
      </c>
      <c r="F76" s="18">
        <v>6.0000000000000001E-3</v>
      </c>
      <c r="G76" s="28">
        <f t="shared" si="14"/>
        <v>207.624</v>
      </c>
      <c r="H76" s="11">
        <f t="shared" si="15"/>
        <v>34811.624000000003</v>
      </c>
      <c r="I76" s="18">
        <v>-0.05</v>
      </c>
      <c r="J76" s="28">
        <f t="shared" si="16"/>
        <v>-1730.2</v>
      </c>
      <c r="K76" s="50">
        <f t="shared" si="13"/>
        <v>32873.800000000003</v>
      </c>
      <c r="L76" s="28">
        <f t="shared" si="11"/>
        <v>-1937.8240000000005</v>
      </c>
    </row>
    <row r="77" spans="1:12" x14ac:dyDescent="0.25">
      <c r="A77" s="2" t="s">
        <v>4</v>
      </c>
      <c r="B77" s="2" t="s">
        <v>88</v>
      </c>
      <c r="C77" s="42" t="str">
        <f t="shared" si="12"/>
        <v>Dogfish Head Spirits|Boston Beer Company</v>
      </c>
      <c r="D77" s="26">
        <v>7131</v>
      </c>
      <c r="E77" s="27">
        <f>'[1]2024 Finish'!I77</f>
        <v>-9.673520262818236E-2</v>
      </c>
      <c r="F77" s="18">
        <v>0.28000000000000003</v>
      </c>
      <c r="G77" s="28">
        <f t="shared" si="14"/>
        <v>1996.6800000000003</v>
      </c>
      <c r="H77" s="11">
        <f t="shared" si="15"/>
        <v>9127.68</v>
      </c>
      <c r="I77" s="18">
        <v>0.28000000000000003</v>
      </c>
      <c r="J77" s="28">
        <f t="shared" si="16"/>
        <v>1996.6800000000003</v>
      </c>
      <c r="K77" s="50">
        <f t="shared" si="13"/>
        <v>9127.68</v>
      </c>
      <c r="L77" s="28">
        <f t="shared" si="11"/>
        <v>0</v>
      </c>
    </row>
    <row r="78" spans="1:12" x14ac:dyDescent="0.25">
      <c r="A78" s="7" t="s">
        <v>396</v>
      </c>
      <c r="B78" s="7" t="s">
        <v>88</v>
      </c>
      <c r="C78" s="42" t="str">
        <f t="shared" si="12"/>
        <v>Sun Cruiser|Boston Beer Company</v>
      </c>
      <c r="D78" s="34">
        <v>16229</v>
      </c>
      <c r="E78" s="35" t="e">
        <f>'[1]2024 Finish'!I78</f>
        <v>#DIV/0!</v>
      </c>
      <c r="F78" s="39">
        <v>2.77</v>
      </c>
      <c r="G78" s="37">
        <f t="shared" si="14"/>
        <v>44954.33</v>
      </c>
      <c r="H78" s="38">
        <f t="shared" si="15"/>
        <v>61183.33</v>
      </c>
      <c r="I78" s="39">
        <v>1.5</v>
      </c>
      <c r="J78" s="37">
        <f t="shared" si="16"/>
        <v>24343.5</v>
      </c>
      <c r="K78" s="52">
        <f t="shared" si="13"/>
        <v>40572.5</v>
      </c>
      <c r="L78" s="37">
        <f t="shared" si="11"/>
        <v>-20610.830000000002</v>
      </c>
    </row>
    <row r="79" spans="1:12" x14ac:dyDescent="0.25">
      <c r="A79" s="2" t="s">
        <v>161</v>
      </c>
      <c r="B79" s="2" t="s">
        <v>88</v>
      </c>
      <c r="C79" s="42" t="str">
        <f t="shared" si="12"/>
        <v>Hard Mountain Dew|Boston Beer Company</v>
      </c>
      <c r="D79" s="26">
        <v>1385</v>
      </c>
      <c r="E79" s="27"/>
      <c r="F79" s="18"/>
      <c r="G79" s="28">
        <v>0</v>
      </c>
      <c r="H79" s="11">
        <v>7500</v>
      </c>
      <c r="I79" s="18"/>
      <c r="J79" s="28"/>
      <c r="K79" s="50">
        <v>7500</v>
      </c>
      <c r="L79" s="28"/>
    </row>
    <row r="80" spans="1:12" x14ac:dyDescent="0.25">
      <c r="A80" s="2" t="s">
        <v>132</v>
      </c>
      <c r="B80" s="2" t="s">
        <v>88</v>
      </c>
      <c r="C80" s="42" t="str">
        <f t="shared" si="12"/>
        <v>Sauza|Boston Beer Company</v>
      </c>
      <c r="D80" s="26">
        <f>'[1]2024 Finish'!H79</f>
        <v>0</v>
      </c>
      <c r="E80" s="27">
        <f>'[1]2024 Finish'!I79</f>
        <v>-1</v>
      </c>
      <c r="F80" s="18"/>
      <c r="G80" s="28">
        <f t="shared" si="14"/>
        <v>0</v>
      </c>
      <c r="H80" s="11">
        <f t="shared" si="15"/>
        <v>0</v>
      </c>
      <c r="I80" s="18"/>
      <c r="J80" s="28">
        <f t="shared" ref="J80:J83" si="17">I80*D80</f>
        <v>0</v>
      </c>
      <c r="K80" s="50">
        <f t="shared" ref="K80:K83" si="18">D80+J80</f>
        <v>0</v>
      </c>
      <c r="L80" s="28">
        <f t="shared" ref="L80:L83" si="19">K80-H80</f>
        <v>0</v>
      </c>
    </row>
    <row r="81" spans="1:12" x14ac:dyDescent="0.25">
      <c r="A81" s="2" t="s">
        <v>56</v>
      </c>
      <c r="B81" s="2" t="s">
        <v>88</v>
      </c>
      <c r="C81" s="42" t="str">
        <f t="shared" si="12"/>
        <v>Coney Island|Boston Beer Company</v>
      </c>
      <c r="D81" s="26">
        <f>'[1]2024 Finish'!H80</f>
        <v>6.8888889999999998</v>
      </c>
      <c r="E81" s="27">
        <f>'[1]2024 Finish'!I80</f>
        <v>-0.8</v>
      </c>
      <c r="F81" s="18"/>
      <c r="G81" s="28">
        <f t="shared" si="14"/>
        <v>0</v>
      </c>
      <c r="H81" s="11">
        <f t="shared" si="15"/>
        <v>6.8888889999999998</v>
      </c>
      <c r="I81" s="18"/>
      <c r="J81" s="28">
        <f t="shared" si="17"/>
        <v>0</v>
      </c>
      <c r="K81" s="50">
        <f t="shared" si="18"/>
        <v>6.8888889999999998</v>
      </c>
      <c r="L81" s="28">
        <f t="shared" si="19"/>
        <v>0</v>
      </c>
    </row>
    <row r="82" spans="1:12" x14ac:dyDescent="0.25">
      <c r="A82" s="2" t="s">
        <v>428</v>
      </c>
      <c r="B82" s="2" t="s">
        <v>88</v>
      </c>
      <c r="C82" s="42" t="str">
        <f t="shared" si="12"/>
        <v>Bevy Long Drink|Boston Beer Company</v>
      </c>
      <c r="D82" s="26">
        <f>'[1]2024 Finish'!H81</f>
        <v>0</v>
      </c>
      <c r="E82" s="27">
        <f>'[1]2024 Finish'!I81</f>
        <v>-1</v>
      </c>
      <c r="F82" s="18"/>
      <c r="G82" s="28">
        <f t="shared" si="14"/>
        <v>0</v>
      </c>
      <c r="H82" s="11">
        <f t="shared" si="15"/>
        <v>0</v>
      </c>
      <c r="I82" s="18"/>
      <c r="J82" s="28">
        <f t="shared" si="17"/>
        <v>0</v>
      </c>
      <c r="K82" s="50">
        <f t="shared" si="18"/>
        <v>0</v>
      </c>
      <c r="L82" s="28">
        <f t="shared" si="19"/>
        <v>0</v>
      </c>
    </row>
    <row r="83" spans="1:12" x14ac:dyDescent="0.25">
      <c r="A83" s="2" t="s">
        <v>244</v>
      </c>
      <c r="B83" s="2" t="s">
        <v>88</v>
      </c>
      <c r="C83" s="42" t="str">
        <f t="shared" si="12"/>
        <v>Jim Beam Kentucky|Boston Beer Company</v>
      </c>
      <c r="D83" s="26">
        <f>'[1]2024 Finish'!H82</f>
        <v>-12.671719999999999</v>
      </c>
      <c r="E83" s="27">
        <f>'[1]2024 Finish'!I82</f>
        <v>-1.0328282901554404</v>
      </c>
      <c r="F83" s="18"/>
      <c r="G83" s="28">
        <f t="shared" si="14"/>
        <v>0</v>
      </c>
      <c r="H83" s="11">
        <f t="shared" si="15"/>
        <v>-12.671719999999999</v>
      </c>
      <c r="I83" s="18"/>
      <c r="J83" s="28">
        <f t="shared" si="17"/>
        <v>0</v>
      </c>
      <c r="K83" s="50">
        <f t="shared" si="18"/>
        <v>-12.671719999999999</v>
      </c>
      <c r="L83" s="28">
        <f t="shared" si="19"/>
        <v>0</v>
      </c>
    </row>
    <row r="84" spans="1:12" x14ac:dyDescent="0.25">
      <c r="A84" s="20" t="s">
        <v>34</v>
      </c>
      <c r="B84" s="21"/>
      <c r="C84" s="42" t="str">
        <f t="shared" si="12"/>
        <v>Mark Anthony|</v>
      </c>
      <c r="D84" s="10">
        <f>'[1]2024 Finish'!H83</f>
        <v>427967.06956600002</v>
      </c>
      <c r="E84" s="22">
        <f>'[1]2024 Finish'!I83</f>
        <v>-8.7677871833191423E-2</v>
      </c>
      <c r="F84" s="23">
        <f>G84/D84</f>
        <v>-4.4583429246902589E-2</v>
      </c>
      <c r="G84" s="24">
        <f>SUMIF($B85:$B505,$B85,G85:G505)</f>
        <v>-19080.239566</v>
      </c>
      <c r="H84" s="25">
        <f>SUMIF($B85:$B505,$B85,H85:H505)</f>
        <v>408886.83</v>
      </c>
      <c r="I84" s="23">
        <f>J84/D84</f>
        <v>-6.7296181445003558E-2</v>
      </c>
      <c r="J84" s="24">
        <f>SUMIF($B85:$B505,$B85,J85:J505)</f>
        <v>-28800.549565999998</v>
      </c>
      <c r="K84" s="48">
        <f>SUMIF($B85:$B505,$B85,K85:K505)</f>
        <v>399166.51999999996</v>
      </c>
      <c r="L84" s="49">
        <f>K84-H84</f>
        <v>-9720.3100000000559</v>
      </c>
    </row>
    <row r="85" spans="1:12" x14ac:dyDescent="0.25">
      <c r="A85" s="7" t="s">
        <v>89</v>
      </c>
      <c r="B85" s="43" t="s">
        <v>34</v>
      </c>
      <c r="C85" s="42" t="str">
        <f t="shared" si="12"/>
        <v>White Claw|Mark Anthony</v>
      </c>
      <c r="D85" s="34">
        <v>338510</v>
      </c>
      <c r="E85" s="35">
        <f>'[1]2024 Finish'!I84</f>
        <v>-9.7602642630736591E-2</v>
      </c>
      <c r="F85" s="39">
        <v>-0.06</v>
      </c>
      <c r="G85" s="37">
        <f t="shared" ref="G85:G92" si="20">F85*D85</f>
        <v>-20310.599999999999</v>
      </c>
      <c r="H85" s="38">
        <f t="shared" ref="H85:H92" si="21">D85+G85</f>
        <v>318199.40000000002</v>
      </c>
      <c r="I85" s="39">
        <v>-0.08</v>
      </c>
      <c r="J85" s="37">
        <f t="shared" ref="J85:J424" si="22">I85*D85</f>
        <v>-27080.799999999999</v>
      </c>
      <c r="K85" s="52">
        <f t="shared" ref="K85:K425" si="23">D85+J85</f>
        <v>311429.2</v>
      </c>
      <c r="L85" s="37">
        <f t="shared" ref="L85:L152" si="24">K85-H85</f>
        <v>-6770.2000000000116</v>
      </c>
    </row>
    <row r="86" spans="1:12" x14ac:dyDescent="0.25">
      <c r="A86" s="2" t="s">
        <v>375</v>
      </c>
      <c r="B86" s="43" t="s">
        <v>34</v>
      </c>
      <c r="C86" s="42" t="str">
        <f t="shared" si="12"/>
        <v>Mike's Hard Lemonade|Mark Anthony</v>
      </c>
      <c r="D86" s="26">
        <v>47337</v>
      </c>
      <c r="E86" s="27">
        <f>'[1]2024 Finish'!I85</f>
        <v>-0.16286633011549689</v>
      </c>
      <c r="F86" s="18">
        <v>-0.17</v>
      </c>
      <c r="G86" s="28">
        <f t="shared" si="20"/>
        <v>-8047.2900000000009</v>
      </c>
      <c r="H86" s="11">
        <f t="shared" si="21"/>
        <v>39289.71</v>
      </c>
      <c r="I86" s="18">
        <v>-0.2</v>
      </c>
      <c r="J86" s="28">
        <f t="shared" si="22"/>
        <v>-9467.4</v>
      </c>
      <c r="K86" s="50">
        <f t="shared" si="23"/>
        <v>37869.599999999999</v>
      </c>
      <c r="L86" s="28">
        <f t="shared" si="24"/>
        <v>-1420.1100000000006</v>
      </c>
    </row>
    <row r="87" spans="1:12" x14ac:dyDescent="0.25">
      <c r="A87" s="2" t="s">
        <v>111</v>
      </c>
      <c r="B87" s="43" t="s">
        <v>34</v>
      </c>
      <c r="C87" s="42" t="str">
        <f t="shared" si="12"/>
        <v>Cayman Jack|Mark Anthony</v>
      </c>
      <c r="D87" s="26">
        <v>28574</v>
      </c>
      <c r="E87" s="27">
        <f>'[1]2024 Finish'!I86</f>
        <v>0.1796020005346477</v>
      </c>
      <c r="F87" s="18">
        <v>0.22</v>
      </c>
      <c r="G87" s="28">
        <f t="shared" si="20"/>
        <v>6286.28</v>
      </c>
      <c r="H87" s="11">
        <f t="shared" si="21"/>
        <v>34860.28</v>
      </c>
      <c r="I87" s="18">
        <v>0.22</v>
      </c>
      <c r="J87" s="28">
        <f t="shared" si="22"/>
        <v>6286.28</v>
      </c>
      <c r="K87" s="50">
        <f t="shared" si="23"/>
        <v>34860.28</v>
      </c>
      <c r="L87" s="28">
        <f t="shared" si="24"/>
        <v>0</v>
      </c>
    </row>
    <row r="88" spans="1:12" x14ac:dyDescent="0.25">
      <c r="A88" s="2" t="s">
        <v>245</v>
      </c>
      <c r="B88" s="43" t="s">
        <v>34</v>
      </c>
      <c r="C88" s="42" t="str">
        <f t="shared" si="12"/>
        <v>Mike's Harder|Mark Anthony</v>
      </c>
      <c r="D88" s="26">
        <v>11016</v>
      </c>
      <c r="E88" s="27">
        <f>'[1]2024 Finish'!I87</f>
        <v>8.6801049025754695E-2</v>
      </c>
      <c r="F88" s="18">
        <v>0.09</v>
      </c>
      <c r="G88" s="28">
        <f t="shared" si="20"/>
        <v>991.43999999999994</v>
      </c>
      <c r="H88" s="11">
        <f t="shared" si="21"/>
        <v>12007.44</v>
      </c>
      <c r="I88" s="18">
        <v>0.09</v>
      </c>
      <c r="J88" s="28">
        <f t="shared" si="22"/>
        <v>991.43999999999994</v>
      </c>
      <c r="K88" s="50">
        <f t="shared" si="23"/>
        <v>12007.44</v>
      </c>
      <c r="L88" s="28">
        <f t="shared" si="24"/>
        <v>0</v>
      </c>
    </row>
    <row r="89" spans="1:12" x14ac:dyDescent="0.25">
      <c r="A89" s="2" t="s">
        <v>112</v>
      </c>
      <c r="B89" s="43" t="s">
        <v>34</v>
      </c>
      <c r="C89" s="42" t="str">
        <f t="shared" si="12"/>
        <v>Mxd Cocktails|Mark Anthony</v>
      </c>
      <c r="D89" s="26">
        <v>2500</v>
      </c>
      <c r="E89" s="27">
        <f>'[1]2024 Finish'!I88</f>
        <v>0.10359062316075174</v>
      </c>
      <c r="F89" s="18">
        <v>0.2</v>
      </c>
      <c r="G89" s="28">
        <f t="shared" si="20"/>
        <v>500</v>
      </c>
      <c r="H89" s="11">
        <f t="shared" si="21"/>
        <v>3000</v>
      </c>
      <c r="I89" s="18">
        <v>0.2</v>
      </c>
      <c r="J89" s="28">
        <f t="shared" si="22"/>
        <v>500</v>
      </c>
      <c r="K89" s="50">
        <f t="shared" si="23"/>
        <v>3000</v>
      </c>
      <c r="L89" s="28">
        <f t="shared" si="24"/>
        <v>0</v>
      </c>
    </row>
    <row r="90" spans="1:12" x14ac:dyDescent="0.25">
      <c r="A90" s="2" t="s">
        <v>429</v>
      </c>
      <c r="B90" s="43" t="s">
        <v>34</v>
      </c>
      <c r="C90" s="42" t="str">
        <f t="shared" si="12"/>
        <v>Dillons|Mark Anthony</v>
      </c>
      <c r="D90" s="26"/>
      <c r="E90" s="27"/>
      <c r="F90" s="18">
        <v>1</v>
      </c>
      <c r="G90" s="28">
        <v>1530</v>
      </c>
      <c r="H90" s="11">
        <v>1530</v>
      </c>
      <c r="I90" s="18">
        <v>1</v>
      </c>
      <c r="J90" s="28"/>
      <c r="K90" s="50"/>
      <c r="L90" s="28"/>
    </row>
    <row r="91" spans="1:12" x14ac:dyDescent="0.25">
      <c r="A91" s="2" t="s">
        <v>301</v>
      </c>
      <c r="B91" s="43" t="s">
        <v>34</v>
      </c>
      <c r="C91" s="42" t="str">
        <f t="shared" si="12"/>
        <v>Mike's Hard Seltzer|Mark Anthony</v>
      </c>
      <c r="D91" s="26">
        <v>34</v>
      </c>
      <c r="E91" s="27">
        <f>'[1]2024 Finish'!I89</f>
        <v>-0.95065312046444117</v>
      </c>
      <c r="F91" s="18">
        <v>-1</v>
      </c>
      <c r="G91" s="28">
        <f t="shared" si="20"/>
        <v>-34</v>
      </c>
      <c r="H91" s="11">
        <f t="shared" si="21"/>
        <v>0</v>
      </c>
      <c r="I91" s="18">
        <v>-1</v>
      </c>
      <c r="J91" s="28">
        <f t="shared" si="22"/>
        <v>-34</v>
      </c>
      <c r="K91" s="50">
        <f t="shared" si="23"/>
        <v>0</v>
      </c>
      <c r="L91" s="28">
        <f t="shared" si="24"/>
        <v>0</v>
      </c>
    </row>
    <row r="92" spans="1:12" x14ac:dyDescent="0.25">
      <c r="A92" s="2" t="s">
        <v>417</v>
      </c>
      <c r="B92" s="43" t="s">
        <v>34</v>
      </c>
      <c r="C92" s="42" t="str">
        <f t="shared" si="12"/>
        <v>Rey Azul|Mark Anthony</v>
      </c>
      <c r="D92" s="26">
        <f>'[1]2024 Finish'!H90</f>
        <v>-3.930434</v>
      </c>
      <c r="E92" s="27">
        <f>'[1]2024 Finish'!I90</f>
        <v>-1.0347826017699115</v>
      </c>
      <c r="F92" s="18">
        <v>-1</v>
      </c>
      <c r="G92" s="28">
        <f t="shared" si="20"/>
        <v>3.930434</v>
      </c>
      <c r="H92" s="11">
        <f t="shared" si="21"/>
        <v>0</v>
      </c>
      <c r="I92" s="18">
        <v>-1</v>
      </c>
      <c r="J92" s="28">
        <f t="shared" si="22"/>
        <v>3.930434</v>
      </c>
      <c r="K92" s="50">
        <f t="shared" si="23"/>
        <v>0</v>
      </c>
      <c r="L92" s="28">
        <f t="shared" si="24"/>
        <v>0</v>
      </c>
    </row>
    <row r="93" spans="1:12" x14ac:dyDescent="0.25">
      <c r="A93" s="20" t="s">
        <v>260</v>
      </c>
      <c r="B93" s="21"/>
      <c r="C93" s="42" t="str">
        <f t="shared" si="12"/>
        <v>Pabst Brewing Company|</v>
      </c>
      <c r="D93" s="10">
        <f>'[1]2024 Finish'!H91</f>
        <v>290453</v>
      </c>
      <c r="E93" s="22">
        <f>'[1]2024 Finish'!I91</f>
        <v>-7.08934305485176E-3</v>
      </c>
      <c r="F93" s="23">
        <f>G93/D93</f>
        <v>-3.7049023422033633E-4</v>
      </c>
      <c r="G93" s="24">
        <f>SUMIF($B94:$B513,$B94,G94:G513)</f>
        <v>-107.60999999999935</v>
      </c>
      <c r="H93" s="25">
        <f>SUMIF($B94:$B513,$B94,H94:H513)</f>
        <v>300345.3899999999</v>
      </c>
      <c r="I93" s="23">
        <f>J93/D93</f>
        <v>-9.9882252894616403E-3</v>
      </c>
      <c r="J93" s="24">
        <f>SUMIF($B94:$B513,$B94,J94:J513)</f>
        <v>-2901.1100000000019</v>
      </c>
      <c r="K93" s="48">
        <f>SUMIF($B94:$B513,$B94,K94:K513)</f>
        <v>292551.88999999996</v>
      </c>
      <c r="L93" s="49">
        <f>K93-H93</f>
        <v>-7793.4999999999418</v>
      </c>
    </row>
    <row r="94" spans="1:12" x14ac:dyDescent="0.25">
      <c r="A94" s="2" t="s">
        <v>260</v>
      </c>
      <c r="B94" s="2" t="s">
        <v>260</v>
      </c>
      <c r="C94" s="42" t="str">
        <f t="shared" si="12"/>
        <v>Pabst Brewing Company|Pabst Brewing Company</v>
      </c>
      <c r="D94" s="26">
        <v>164008</v>
      </c>
      <c r="E94" s="27">
        <f>'[1]2024 Finish'!I92</f>
        <v>-6.1775434719794076E-3</v>
      </c>
      <c r="F94" s="18">
        <v>7.0000000000000007E-2</v>
      </c>
      <c r="G94" s="28">
        <f t="shared" ref="G94" si="25">F94*D94</f>
        <v>11480.560000000001</v>
      </c>
      <c r="H94" s="11">
        <f t="shared" ref="H94" si="26">D94+G94</f>
        <v>175488.56</v>
      </c>
      <c r="I94" s="18">
        <v>0.06</v>
      </c>
      <c r="J94" s="28">
        <f t="shared" si="22"/>
        <v>9840.48</v>
      </c>
      <c r="K94" s="50">
        <f t="shared" si="23"/>
        <v>173848.48</v>
      </c>
      <c r="L94" s="28">
        <f t="shared" si="24"/>
        <v>-1640.0799999999872</v>
      </c>
    </row>
    <row r="95" spans="1:12" x14ac:dyDescent="0.25">
      <c r="A95" s="2" t="s">
        <v>430</v>
      </c>
      <c r="B95" s="2" t="s">
        <v>260</v>
      </c>
      <c r="C95" s="42" t="str">
        <f t="shared" si="12"/>
        <v>Pabst Light|Pabst Brewing Company</v>
      </c>
      <c r="D95" s="26"/>
      <c r="E95" s="27"/>
      <c r="F95" s="18"/>
      <c r="G95" s="28"/>
      <c r="H95" s="11">
        <v>10000</v>
      </c>
      <c r="I95" s="18"/>
      <c r="J95" s="28"/>
      <c r="K95" s="50">
        <v>5000</v>
      </c>
      <c r="L95" s="28"/>
    </row>
    <row r="96" spans="1:12" x14ac:dyDescent="0.25">
      <c r="A96" s="2" t="s">
        <v>5</v>
      </c>
      <c r="B96" s="2" t="s">
        <v>260</v>
      </c>
      <c r="C96" s="42" t="str">
        <f t="shared" si="12"/>
        <v>Colt 45|Pabst Brewing Company</v>
      </c>
      <c r="D96" s="26">
        <v>43042</v>
      </c>
      <c r="E96" s="27">
        <f>'[1]2024 Finish'!I93</f>
        <v>-2.2392981532476486E-2</v>
      </c>
      <c r="F96" s="18">
        <v>-0.02</v>
      </c>
      <c r="G96" s="28">
        <f t="shared" ref="G96:G107" si="27">F96*D96</f>
        <v>-860.84</v>
      </c>
      <c r="H96" s="11">
        <f t="shared" ref="H96:H107" si="28">D96+G96</f>
        <v>42181.16</v>
      </c>
      <c r="I96" s="18">
        <v>-0.04</v>
      </c>
      <c r="J96" s="28">
        <f t="shared" si="22"/>
        <v>-1721.68</v>
      </c>
      <c r="K96" s="50">
        <f t="shared" si="23"/>
        <v>41320.32</v>
      </c>
      <c r="L96" s="28">
        <f t="shared" si="24"/>
        <v>-860.84000000000378</v>
      </c>
    </row>
    <row r="97" spans="1:12" x14ac:dyDescent="0.25">
      <c r="A97" s="2" t="s">
        <v>90</v>
      </c>
      <c r="B97" s="2" t="s">
        <v>260</v>
      </c>
      <c r="C97" s="42" t="str">
        <f t="shared" si="12"/>
        <v>St Ides|Pabst Brewing Company</v>
      </c>
      <c r="D97" s="26">
        <v>17665</v>
      </c>
      <c r="E97" s="27">
        <f>'[1]2024 Finish'!I94</f>
        <v>-0.1065347201862078</v>
      </c>
      <c r="F97" s="18">
        <v>-0.05</v>
      </c>
      <c r="G97" s="28">
        <f t="shared" si="27"/>
        <v>-883.25</v>
      </c>
      <c r="H97" s="11">
        <f t="shared" si="28"/>
        <v>16781.75</v>
      </c>
      <c r="I97" s="18">
        <v>-0.05</v>
      </c>
      <c r="J97" s="28">
        <f t="shared" si="22"/>
        <v>-883.25</v>
      </c>
      <c r="K97" s="50">
        <f t="shared" si="23"/>
        <v>16781.75</v>
      </c>
      <c r="L97" s="28">
        <f t="shared" si="24"/>
        <v>0</v>
      </c>
    </row>
    <row r="98" spans="1:12" x14ac:dyDescent="0.25">
      <c r="A98" s="2" t="s">
        <v>133</v>
      </c>
      <c r="B98" s="2" t="s">
        <v>260</v>
      </c>
      <c r="C98" s="42" t="str">
        <f t="shared" si="12"/>
        <v>Old Milwaukee|Pabst Brewing Company</v>
      </c>
      <c r="D98" s="26">
        <v>16513</v>
      </c>
      <c r="E98" s="27">
        <f>'[1]2024 Finish'!I95</f>
        <v>-5.088595943880081E-2</v>
      </c>
      <c r="F98" s="18">
        <v>-0.04</v>
      </c>
      <c r="G98" s="28">
        <f t="shared" si="27"/>
        <v>-660.52</v>
      </c>
      <c r="H98" s="11">
        <f t="shared" si="28"/>
        <v>15852.48</v>
      </c>
      <c r="I98" s="18">
        <v>-0.04</v>
      </c>
      <c r="J98" s="28">
        <f t="shared" si="22"/>
        <v>-660.52</v>
      </c>
      <c r="K98" s="50">
        <f t="shared" si="23"/>
        <v>15852.48</v>
      </c>
      <c r="L98" s="28">
        <f t="shared" si="24"/>
        <v>0</v>
      </c>
    </row>
    <row r="99" spans="1:12" x14ac:dyDescent="0.25">
      <c r="A99" s="2" t="s">
        <v>6</v>
      </c>
      <c r="B99" s="2" t="s">
        <v>260</v>
      </c>
      <c r="C99" s="42" t="str">
        <f t="shared" si="12"/>
        <v>Jack Daniels Country Cocktails|Pabst Brewing Company</v>
      </c>
      <c r="D99" s="26">
        <v>14629</v>
      </c>
      <c r="E99" s="27">
        <f>'[1]2024 Finish'!I96</f>
        <v>-5.2924355628669484E-2</v>
      </c>
      <c r="F99" s="18">
        <v>0.04</v>
      </c>
      <c r="G99" s="28">
        <f t="shared" si="27"/>
        <v>585.16</v>
      </c>
      <c r="H99" s="11">
        <f t="shared" si="28"/>
        <v>15214.16</v>
      </c>
      <c r="I99" s="18">
        <v>0.02</v>
      </c>
      <c r="J99" s="28">
        <f t="shared" si="22"/>
        <v>292.58</v>
      </c>
      <c r="K99" s="50">
        <f t="shared" si="23"/>
        <v>14921.58</v>
      </c>
      <c r="L99" s="28">
        <f t="shared" si="24"/>
        <v>-292.57999999999993</v>
      </c>
    </row>
    <row r="100" spans="1:12" x14ac:dyDescent="0.25">
      <c r="A100" s="2" t="s">
        <v>91</v>
      </c>
      <c r="B100" s="2" t="s">
        <v>260</v>
      </c>
      <c r="C100" s="42" t="str">
        <f t="shared" si="12"/>
        <v>Ballantine Ale|Pabst Brewing Company</v>
      </c>
      <c r="D100" s="26">
        <v>10347</v>
      </c>
      <c r="E100" s="27">
        <f>'[1]2024 Finish'!I97</f>
        <v>2.1404762140742495E-2</v>
      </c>
      <c r="F100" s="18">
        <v>-1</v>
      </c>
      <c r="G100" s="28">
        <f t="shared" si="27"/>
        <v>-10347</v>
      </c>
      <c r="H100" s="11">
        <f t="shared" si="28"/>
        <v>0</v>
      </c>
      <c r="I100" s="18">
        <v>-1</v>
      </c>
      <c r="J100" s="28">
        <f t="shared" si="22"/>
        <v>-10347</v>
      </c>
      <c r="K100" s="50">
        <f t="shared" si="23"/>
        <v>0</v>
      </c>
      <c r="L100" s="28">
        <f t="shared" si="24"/>
        <v>0</v>
      </c>
    </row>
    <row r="101" spans="1:12" x14ac:dyDescent="0.25">
      <c r="A101" s="2" t="s">
        <v>36</v>
      </c>
      <c r="B101" s="2" t="s">
        <v>260</v>
      </c>
      <c r="C101" s="42" t="str">
        <f t="shared" si="12"/>
        <v>Schlitz Malt|Pabst Brewing Company</v>
      </c>
      <c r="D101" s="26">
        <v>10661</v>
      </c>
      <c r="E101" s="27">
        <f>'[1]2024 Finish'!I98</f>
        <v>6.1977516415629985E-3</v>
      </c>
      <c r="F101" s="18">
        <v>0.02</v>
      </c>
      <c r="G101" s="28">
        <f t="shared" si="27"/>
        <v>213.22</v>
      </c>
      <c r="H101" s="11">
        <f t="shared" si="28"/>
        <v>10874.22</v>
      </c>
      <c r="I101" s="18">
        <v>0.02</v>
      </c>
      <c r="J101" s="28">
        <f t="shared" si="22"/>
        <v>213.22</v>
      </c>
      <c r="K101" s="50">
        <f t="shared" si="23"/>
        <v>10874.22</v>
      </c>
      <c r="L101" s="28">
        <f t="shared" si="24"/>
        <v>0</v>
      </c>
    </row>
    <row r="102" spans="1:12" x14ac:dyDescent="0.25">
      <c r="A102" s="2" t="s">
        <v>162</v>
      </c>
      <c r="B102" s="2" t="s">
        <v>260</v>
      </c>
      <c r="C102" s="42" t="str">
        <f t="shared" si="12"/>
        <v>Country Club|Pabst Brewing Company</v>
      </c>
      <c r="D102" s="26">
        <v>3298</v>
      </c>
      <c r="E102" s="27">
        <f>'[1]2024 Finish'!I99</f>
        <v>-0.27378138039484601</v>
      </c>
      <c r="F102" s="18">
        <v>0.02</v>
      </c>
      <c r="G102" s="28">
        <f t="shared" si="27"/>
        <v>65.960000000000008</v>
      </c>
      <c r="H102" s="11">
        <f t="shared" si="28"/>
        <v>3363.96</v>
      </c>
      <c r="I102" s="18">
        <v>0.02</v>
      </c>
      <c r="J102" s="28">
        <f t="shared" si="22"/>
        <v>65.960000000000008</v>
      </c>
      <c r="K102" s="50">
        <f t="shared" si="23"/>
        <v>3363.96</v>
      </c>
      <c r="L102" s="28">
        <f t="shared" si="24"/>
        <v>0</v>
      </c>
    </row>
    <row r="103" spans="1:12" x14ac:dyDescent="0.25">
      <c r="A103" s="2" t="s">
        <v>57</v>
      </c>
      <c r="B103" s="2" t="s">
        <v>260</v>
      </c>
      <c r="C103" s="42" t="str">
        <f t="shared" si="12"/>
        <v>Schaefer|Pabst Brewing Company</v>
      </c>
      <c r="D103" s="26">
        <v>4147</v>
      </c>
      <c r="E103" s="27">
        <f>'[1]2024 Finish'!I100</f>
        <v>1.3199999999999998</v>
      </c>
      <c r="F103" s="18">
        <v>0.05</v>
      </c>
      <c r="G103" s="28">
        <f t="shared" si="27"/>
        <v>207.35000000000002</v>
      </c>
      <c r="H103" s="11">
        <f t="shared" si="28"/>
        <v>4354.3500000000004</v>
      </c>
      <c r="I103" s="18">
        <v>0.05</v>
      </c>
      <c r="J103" s="28">
        <f t="shared" si="22"/>
        <v>207.35000000000002</v>
      </c>
      <c r="K103" s="50">
        <f t="shared" si="23"/>
        <v>4354.3500000000004</v>
      </c>
      <c r="L103" s="28">
        <f t="shared" si="24"/>
        <v>0</v>
      </c>
    </row>
    <row r="104" spans="1:12" x14ac:dyDescent="0.25">
      <c r="A104" s="2" t="s">
        <v>397</v>
      </c>
      <c r="B104" s="2" t="s">
        <v>260</v>
      </c>
      <c r="C104" s="42" t="str">
        <f t="shared" si="12"/>
        <v>Small Town|Pabst Brewing Company</v>
      </c>
      <c r="D104" s="26">
        <v>1911</v>
      </c>
      <c r="E104" s="27">
        <f>'[1]2024 Finish'!I101</f>
        <v>-0.14534883720930236</v>
      </c>
      <c r="F104" s="18">
        <v>0.02</v>
      </c>
      <c r="G104" s="28">
        <f t="shared" si="27"/>
        <v>38.22</v>
      </c>
      <c r="H104" s="11">
        <f t="shared" si="28"/>
        <v>1949.22</v>
      </c>
      <c r="I104" s="18">
        <v>0.02</v>
      </c>
      <c r="J104" s="28">
        <f t="shared" si="22"/>
        <v>38.22</v>
      </c>
      <c r="K104" s="50">
        <f t="shared" si="23"/>
        <v>1949.22</v>
      </c>
      <c r="L104" s="28">
        <f t="shared" si="24"/>
        <v>0</v>
      </c>
    </row>
    <row r="105" spans="1:12" x14ac:dyDescent="0.25">
      <c r="A105" s="2" t="s">
        <v>289</v>
      </c>
      <c r="B105" s="2" t="s">
        <v>260</v>
      </c>
      <c r="C105" s="42" t="str">
        <f t="shared" si="12"/>
        <v>Lone Star|Pabst Brewing Company</v>
      </c>
      <c r="D105" s="26">
        <v>1121</v>
      </c>
      <c r="E105" s="27">
        <f>'[1]2024 Finish'!I102</f>
        <v>-0.11172741679873222</v>
      </c>
      <c r="F105" s="18">
        <v>0.02</v>
      </c>
      <c r="G105" s="28">
        <f t="shared" si="27"/>
        <v>22.42</v>
      </c>
      <c r="H105" s="11">
        <f t="shared" si="28"/>
        <v>1143.42</v>
      </c>
      <c r="I105" s="18">
        <v>0.02</v>
      </c>
      <c r="J105" s="28">
        <f t="shared" si="22"/>
        <v>22.42</v>
      </c>
      <c r="K105" s="50">
        <f t="shared" si="23"/>
        <v>1143.42</v>
      </c>
      <c r="L105" s="28">
        <f t="shared" si="24"/>
        <v>0</v>
      </c>
    </row>
    <row r="106" spans="1:12" x14ac:dyDescent="0.25">
      <c r="A106" s="2" t="s">
        <v>376</v>
      </c>
      <c r="B106" s="2" t="s">
        <v>260</v>
      </c>
      <c r="C106" s="42" t="str">
        <f t="shared" si="12"/>
        <v>New Holland Brewing Co|Pabst Brewing Company</v>
      </c>
      <c r="D106" s="26">
        <v>1320</v>
      </c>
      <c r="E106" s="27">
        <f>'[1]2024 Finish'!I103</f>
        <v>3.3571385664930933</v>
      </c>
      <c r="F106" s="18">
        <v>0.01</v>
      </c>
      <c r="G106" s="28">
        <f t="shared" si="27"/>
        <v>13.200000000000001</v>
      </c>
      <c r="H106" s="11">
        <f t="shared" si="28"/>
        <v>1333.2</v>
      </c>
      <c r="I106" s="18">
        <v>0.01</v>
      </c>
      <c r="J106" s="28">
        <f t="shared" si="22"/>
        <v>13.200000000000001</v>
      </c>
      <c r="K106" s="50">
        <f t="shared" si="23"/>
        <v>1333.2</v>
      </c>
      <c r="L106" s="28">
        <f t="shared" si="24"/>
        <v>0</v>
      </c>
    </row>
    <row r="107" spans="1:12" x14ac:dyDescent="0.25">
      <c r="A107" s="2" t="s">
        <v>134</v>
      </c>
      <c r="B107" s="2" t="s">
        <v>260</v>
      </c>
      <c r="C107" s="42" t="str">
        <f t="shared" si="12"/>
        <v>EL Jimador|Pabst Brewing Company</v>
      </c>
      <c r="D107" s="26">
        <v>1791</v>
      </c>
      <c r="E107" s="27" t="e">
        <f>'[1]2024 Finish'!I104</f>
        <v>#DIV/0!</v>
      </c>
      <c r="F107" s="18">
        <v>0.01</v>
      </c>
      <c r="G107" s="28">
        <f t="shared" si="27"/>
        <v>17.91</v>
      </c>
      <c r="H107" s="11">
        <f t="shared" si="28"/>
        <v>1808.91</v>
      </c>
      <c r="I107" s="18">
        <v>0.01</v>
      </c>
      <c r="J107" s="28">
        <f t="shared" si="22"/>
        <v>17.91</v>
      </c>
      <c r="K107" s="50">
        <f t="shared" si="23"/>
        <v>1808.91</v>
      </c>
      <c r="L107" s="28">
        <f t="shared" si="24"/>
        <v>0</v>
      </c>
    </row>
    <row r="108" spans="1:12" x14ac:dyDescent="0.25">
      <c r="A108" s="20" t="s">
        <v>135</v>
      </c>
      <c r="B108" s="21"/>
      <c r="C108" s="42" t="str">
        <f t="shared" si="12"/>
        <v>DG Yuengling Inc|</v>
      </c>
      <c r="D108" s="10">
        <f>'[1]2024 Finish'!H105</f>
        <v>236907.087336</v>
      </c>
      <c r="E108" s="22">
        <f>'[1]2024 Finish'!I105</f>
        <v>-5.3705710220438463E-2</v>
      </c>
      <c r="F108" s="23">
        <f>G108/D108</f>
        <v>1.2893983182814713E-2</v>
      </c>
      <c r="G108" s="24">
        <f>SUMIF($B109:$B527,$B109,G109:G527)</f>
        <v>3054.6760000000004</v>
      </c>
      <c r="H108" s="25">
        <f>SUMIF($B109:$B527,$B109,H109:H527)</f>
        <v>239962.763336</v>
      </c>
      <c r="I108" s="23">
        <f>J108/D108</f>
        <v>6.8028357366710923E-3</v>
      </c>
      <c r="J108" s="24">
        <f>SUMIF($B109:$B527,$B109,J109:J527)</f>
        <v>1611.6400000000003</v>
      </c>
      <c r="K108" s="48">
        <f>SUMIF($B109:$B527,$B109,K109:K527)</f>
        <v>238519.72733599995</v>
      </c>
      <c r="L108" s="49">
        <f>K108-H108</f>
        <v>-1443.036000000051</v>
      </c>
    </row>
    <row r="109" spans="1:12" x14ac:dyDescent="0.25">
      <c r="A109" s="2" t="s">
        <v>261</v>
      </c>
      <c r="B109" s="2" t="s">
        <v>135</v>
      </c>
      <c r="C109" s="42" t="str">
        <f t="shared" si="12"/>
        <v>Yuengling Lager|DG Yuengling Inc</v>
      </c>
      <c r="D109" s="26">
        <v>202094</v>
      </c>
      <c r="E109" s="27">
        <f>'[1]2024 Finish'!I106</f>
        <v>-4.4063514967104034E-2</v>
      </c>
      <c r="F109" s="18">
        <v>1.2E-2</v>
      </c>
      <c r="G109" s="28">
        <f t="shared" ref="G109:G120" si="29">F109*D109</f>
        <v>2425.1280000000002</v>
      </c>
      <c r="H109" s="11">
        <f t="shared" ref="H109:H120" si="30">D109+G109</f>
        <v>204519.128</v>
      </c>
      <c r="I109" s="18">
        <v>0.01</v>
      </c>
      <c r="J109" s="28">
        <f t="shared" si="22"/>
        <v>2020.94</v>
      </c>
      <c r="K109" s="50">
        <f t="shared" si="23"/>
        <v>204114.94</v>
      </c>
      <c r="L109" s="28">
        <f t="shared" si="24"/>
        <v>-404.18799999999464</v>
      </c>
    </row>
    <row r="110" spans="1:12" x14ac:dyDescent="0.25">
      <c r="A110" s="2" t="s">
        <v>290</v>
      </c>
      <c r="B110" s="2" t="s">
        <v>135</v>
      </c>
      <c r="C110" s="42" t="str">
        <f t="shared" si="12"/>
        <v>Yuengling Flight|DG Yuengling Inc</v>
      </c>
      <c r="D110" s="26">
        <v>9209</v>
      </c>
      <c r="E110" s="27">
        <f>'[1]2024 Finish'!I107</f>
        <v>1.7656522672968578E-2</v>
      </c>
      <c r="F110" s="18">
        <v>0.1</v>
      </c>
      <c r="G110" s="28">
        <f t="shared" si="29"/>
        <v>920.90000000000009</v>
      </c>
      <c r="H110" s="11">
        <f t="shared" si="30"/>
        <v>10129.9</v>
      </c>
      <c r="I110" s="18">
        <v>0.1</v>
      </c>
      <c r="J110" s="28">
        <f t="shared" si="22"/>
        <v>920.90000000000009</v>
      </c>
      <c r="K110" s="50">
        <f t="shared" si="23"/>
        <v>10129.9</v>
      </c>
      <c r="L110" s="28">
        <f t="shared" si="24"/>
        <v>0</v>
      </c>
    </row>
    <row r="111" spans="1:12" x14ac:dyDescent="0.25">
      <c r="A111" s="2" t="s">
        <v>217</v>
      </c>
      <c r="B111" s="2" t="s">
        <v>135</v>
      </c>
      <c r="C111" s="42" t="str">
        <f t="shared" si="12"/>
        <v>Yuengling Light Lager|DG Yuengling Inc</v>
      </c>
      <c r="D111" s="26">
        <v>8220</v>
      </c>
      <c r="E111" s="27">
        <f>'[1]2024 Finish'!I108</f>
        <v>-0.12988250238170851</v>
      </c>
      <c r="F111" s="18">
        <v>1.2E-2</v>
      </c>
      <c r="G111" s="28">
        <f t="shared" si="29"/>
        <v>98.64</v>
      </c>
      <c r="H111" s="11">
        <f t="shared" si="30"/>
        <v>8318.64</v>
      </c>
      <c r="I111" s="18">
        <v>-0.05</v>
      </c>
      <c r="J111" s="28">
        <f t="shared" si="22"/>
        <v>-411</v>
      </c>
      <c r="K111" s="50">
        <f t="shared" si="23"/>
        <v>7809</v>
      </c>
      <c r="L111" s="28">
        <f t="shared" si="24"/>
        <v>-509.63999999999942</v>
      </c>
    </row>
    <row r="112" spans="1:12" x14ac:dyDescent="0.25">
      <c r="A112" s="2" t="s">
        <v>344</v>
      </c>
      <c r="B112" s="2" t="s">
        <v>135</v>
      </c>
      <c r="C112" s="42" t="str">
        <f t="shared" si="12"/>
        <v>Yuengling Hershey's Chocolate Porter|DG Yuengling Inc</v>
      </c>
      <c r="D112" s="26">
        <v>-22</v>
      </c>
      <c r="E112" s="27">
        <f>'[1]2024 Finish'!I109</f>
        <v>-1.0172816833049605</v>
      </c>
      <c r="F112" s="18">
        <v>0</v>
      </c>
      <c r="G112" s="28">
        <f t="shared" si="29"/>
        <v>0</v>
      </c>
      <c r="H112" s="11">
        <f t="shared" si="30"/>
        <v>-22</v>
      </c>
      <c r="I112" s="18">
        <v>0</v>
      </c>
      <c r="J112" s="28">
        <f t="shared" si="22"/>
        <v>0</v>
      </c>
      <c r="K112" s="50">
        <f t="shared" si="23"/>
        <v>-22</v>
      </c>
      <c r="L112" s="28">
        <f t="shared" si="24"/>
        <v>0</v>
      </c>
    </row>
    <row r="113" spans="1:12" x14ac:dyDescent="0.25">
      <c r="A113" s="2" t="s">
        <v>343</v>
      </c>
      <c r="B113" s="2" t="s">
        <v>135</v>
      </c>
      <c r="C113" s="42" t="str">
        <f t="shared" si="12"/>
        <v>Yuengling Black &amp; Tan|DG Yuengling Inc</v>
      </c>
      <c r="D113" s="26">
        <v>6044</v>
      </c>
      <c r="E113" s="27">
        <f>'[1]2024 Finish'!I110</f>
        <v>-9.1750009307759117E-2</v>
      </c>
      <c r="F113" s="18">
        <v>-2.9000000000000001E-2</v>
      </c>
      <c r="G113" s="28">
        <f t="shared" si="29"/>
        <v>-175.27600000000001</v>
      </c>
      <c r="H113" s="11">
        <f t="shared" si="30"/>
        <v>5868.7240000000002</v>
      </c>
      <c r="I113" s="18">
        <v>-0.05</v>
      </c>
      <c r="J113" s="28">
        <f t="shared" si="22"/>
        <v>-302.2</v>
      </c>
      <c r="K113" s="50">
        <f t="shared" si="23"/>
        <v>5741.8</v>
      </c>
      <c r="L113" s="28">
        <f t="shared" si="24"/>
        <v>-126.92399999999998</v>
      </c>
    </row>
    <row r="114" spans="1:12" x14ac:dyDescent="0.25">
      <c r="A114" s="2" t="s">
        <v>136</v>
      </c>
      <c r="B114" s="2" t="s">
        <v>135</v>
      </c>
      <c r="C114" s="42" t="str">
        <f t="shared" si="12"/>
        <v>Yuengling Premium|DG Yuengling Inc</v>
      </c>
      <c r="D114" s="26">
        <v>4552</v>
      </c>
      <c r="E114" s="27">
        <f>'[1]2024 Finish'!I111</f>
        <v>-5.4031587697423111E-2</v>
      </c>
      <c r="F114" s="18">
        <v>-2.9000000000000001E-2</v>
      </c>
      <c r="G114" s="28">
        <f t="shared" si="29"/>
        <v>-132.00800000000001</v>
      </c>
      <c r="H114" s="11">
        <f t="shared" si="30"/>
        <v>4419.9920000000002</v>
      </c>
      <c r="I114" s="18">
        <v>-0.05</v>
      </c>
      <c r="J114" s="28">
        <f t="shared" si="22"/>
        <v>-227.60000000000002</v>
      </c>
      <c r="K114" s="50">
        <f t="shared" si="23"/>
        <v>4324.3999999999996</v>
      </c>
      <c r="L114" s="28">
        <f t="shared" si="24"/>
        <v>-95.592000000000553</v>
      </c>
    </row>
    <row r="115" spans="1:12" x14ac:dyDescent="0.25">
      <c r="A115" s="2" t="s">
        <v>163</v>
      </c>
      <c r="B115" s="2" t="s">
        <v>135</v>
      </c>
      <c r="C115" s="42" t="str">
        <f t="shared" si="12"/>
        <v>Yuengling Golden Pilsner|DG Yuengling Inc</v>
      </c>
      <c r="D115" s="26">
        <v>2962</v>
      </c>
      <c r="E115" s="27">
        <f>'[1]2024 Finish'!I112</f>
        <v>-0.16797752808988764</v>
      </c>
      <c r="F115" s="18">
        <v>-2.9000000000000001E-2</v>
      </c>
      <c r="G115" s="28">
        <f t="shared" si="29"/>
        <v>-85.89800000000001</v>
      </c>
      <c r="H115" s="11">
        <f t="shared" si="30"/>
        <v>2876.1019999999999</v>
      </c>
      <c r="I115" s="18">
        <v>-0.1</v>
      </c>
      <c r="J115" s="28">
        <f t="shared" si="22"/>
        <v>-296.2</v>
      </c>
      <c r="K115" s="50">
        <f t="shared" si="23"/>
        <v>2665.8</v>
      </c>
      <c r="L115" s="28">
        <f t="shared" si="24"/>
        <v>-210.30199999999968</v>
      </c>
    </row>
    <row r="116" spans="1:12" x14ac:dyDescent="0.25">
      <c r="A116" s="2" t="s">
        <v>188</v>
      </c>
      <c r="B116" s="2" t="s">
        <v>135</v>
      </c>
      <c r="C116" s="42" t="str">
        <f t="shared" si="12"/>
        <v>Yuengling Premium Light|DG Yuengling Inc</v>
      </c>
      <c r="D116" s="26">
        <v>1890</v>
      </c>
      <c r="E116" s="27">
        <f>'[1]2024 Finish'!I113</f>
        <v>-0.12863070539419086</v>
      </c>
      <c r="F116" s="18">
        <v>-2.9000000000000001E-2</v>
      </c>
      <c r="G116" s="28">
        <f t="shared" si="29"/>
        <v>-54.81</v>
      </c>
      <c r="H116" s="11">
        <f t="shared" si="30"/>
        <v>1835.19</v>
      </c>
      <c r="I116" s="18">
        <v>-0.08</v>
      </c>
      <c r="J116" s="28">
        <f t="shared" si="22"/>
        <v>-151.20000000000002</v>
      </c>
      <c r="K116" s="50">
        <f t="shared" si="23"/>
        <v>1738.8</v>
      </c>
      <c r="L116" s="28">
        <f t="shared" si="24"/>
        <v>-96.3900000000001</v>
      </c>
    </row>
    <row r="117" spans="1:12" x14ac:dyDescent="0.25">
      <c r="A117" s="2" t="s">
        <v>431</v>
      </c>
      <c r="B117" s="2" t="s">
        <v>135</v>
      </c>
      <c r="C117" s="42" t="str">
        <f t="shared" si="12"/>
        <v>Yuengling Raging Eagle|DG Yuengling Inc</v>
      </c>
      <c r="D117" s="26">
        <f>'[1]2024 Finish'!H114</f>
        <v>0</v>
      </c>
      <c r="E117" s="27" t="e">
        <f>'[1]2024 Finish'!I114</f>
        <v>#DIV/0!</v>
      </c>
      <c r="F117" s="18"/>
      <c r="G117" s="28">
        <f t="shared" si="29"/>
        <v>0</v>
      </c>
      <c r="H117" s="11">
        <f t="shared" si="30"/>
        <v>0</v>
      </c>
      <c r="I117" s="18"/>
      <c r="J117" s="28">
        <f t="shared" si="22"/>
        <v>0</v>
      </c>
      <c r="K117" s="50">
        <f t="shared" si="23"/>
        <v>0</v>
      </c>
      <c r="L117" s="28">
        <f t="shared" si="24"/>
        <v>0</v>
      </c>
    </row>
    <row r="118" spans="1:12" x14ac:dyDescent="0.25">
      <c r="A118" s="2" t="s">
        <v>315</v>
      </c>
      <c r="B118" s="2" t="s">
        <v>135</v>
      </c>
      <c r="C118" s="42" t="str">
        <f t="shared" si="12"/>
        <v>Dg Yuengling Inc|DG Yuengling Inc</v>
      </c>
      <c r="D118" s="26">
        <f>'[1]2024 Finish'!H115</f>
        <v>290</v>
      </c>
      <c r="E118" s="27" t="e">
        <f>'[1]2024 Finish'!I115</f>
        <v>#DIV/0!</v>
      </c>
      <c r="F118" s="18">
        <v>0.2</v>
      </c>
      <c r="G118" s="28">
        <f t="shared" si="29"/>
        <v>58</v>
      </c>
      <c r="H118" s="11">
        <f t="shared" si="30"/>
        <v>348</v>
      </c>
      <c r="I118" s="18">
        <v>0.2</v>
      </c>
      <c r="J118" s="28">
        <f t="shared" si="22"/>
        <v>58</v>
      </c>
      <c r="K118" s="50">
        <f t="shared" si="23"/>
        <v>348</v>
      </c>
      <c r="L118" s="28">
        <f t="shared" si="24"/>
        <v>0</v>
      </c>
    </row>
    <row r="119" spans="1:12" x14ac:dyDescent="0.25">
      <c r="A119" s="2" t="s">
        <v>137</v>
      </c>
      <c r="B119" s="2" t="s">
        <v>135</v>
      </c>
      <c r="C119" s="42" t="str">
        <f t="shared" si="12"/>
        <v>Yuengling Bongo Fizz|DG Yuengling Inc</v>
      </c>
      <c r="D119" s="26">
        <f>'[1]2024 Finish'!H116</f>
        <v>-4.9126640000000004</v>
      </c>
      <c r="E119" s="27">
        <f>'[1]2024 Finish'!I116</f>
        <v>-1.0218340622222222</v>
      </c>
      <c r="F119" s="18">
        <v>0</v>
      </c>
      <c r="G119" s="28">
        <f t="shared" si="29"/>
        <v>0</v>
      </c>
      <c r="H119" s="11">
        <f t="shared" si="30"/>
        <v>-4.9126640000000004</v>
      </c>
      <c r="I119" s="18">
        <v>0</v>
      </c>
      <c r="J119" s="28">
        <f t="shared" si="22"/>
        <v>0</v>
      </c>
      <c r="K119" s="50">
        <f t="shared" si="23"/>
        <v>-4.9126640000000004</v>
      </c>
      <c r="L119" s="28">
        <f t="shared" si="24"/>
        <v>0</v>
      </c>
    </row>
    <row r="120" spans="1:12" x14ac:dyDescent="0.25">
      <c r="A120" s="2" t="s">
        <v>377</v>
      </c>
      <c r="B120" s="2" t="s">
        <v>135</v>
      </c>
      <c r="C120" s="42" t="str">
        <f t="shared" si="12"/>
        <v>Yuengling Oktoberfest|DG Yuengling Inc</v>
      </c>
      <c r="D120" s="26">
        <v>1674</v>
      </c>
      <c r="E120" s="27">
        <f>'[1]2024 Finish'!I117</f>
        <v>-1.2583559614891215E-2</v>
      </c>
      <c r="F120" s="18">
        <v>0</v>
      </c>
      <c r="G120" s="28">
        <f t="shared" si="29"/>
        <v>0</v>
      </c>
      <c r="H120" s="11">
        <f t="shared" si="30"/>
        <v>1674</v>
      </c>
      <c r="I120" s="18">
        <v>0</v>
      </c>
      <c r="J120" s="28">
        <f t="shared" si="22"/>
        <v>0</v>
      </c>
      <c r="K120" s="50">
        <f t="shared" si="23"/>
        <v>1674</v>
      </c>
      <c r="L120" s="28">
        <f t="shared" si="24"/>
        <v>0</v>
      </c>
    </row>
    <row r="121" spans="1:12" x14ac:dyDescent="0.25">
      <c r="A121" s="20" t="s">
        <v>189</v>
      </c>
      <c r="B121" s="21"/>
      <c r="C121" s="42" t="str">
        <f t="shared" si="12"/>
        <v>New Belgium Brewing Company|</v>
      </c>
      <c r="D121" s="10">
        <f>'[1]2024 Finish'!H118</f>
        <v>64347</v>
      </c>
      <c r="E121" s="22">
        <f>'[1]2024 Finish'!I118</f>
        <v>5.3026963844667874E-2</v>
      </c>
      <c r="F121" s="23">
        <f>G121/D121</f>
        <v>5.7003356799850823E-2</v>
      </c>
      <c r="G121" s="24">
        <f>SUMIF($B122:$B540,$B122,G122:G540)</f>
        <v>3667.9950000000008</v>
      </c>
      <c r="H121" s="25">
        <f>SUMIF($B122:$B540,$B122,H122:H540)</f>
        <v>70014.994999999995</v>
      </c>
      <c r="I121" s="23">
        <f>J121/D121</f>
        <v>5.7003356799850823E-2</v>
      </c>
      <c r="J121" s="24">
        <f>SUMIF($B122:$B540,$B122,J122:J540)</f>
        <v>3667.9950000000008</v>
      </c>
      <c r="K121" s="48">
        <f>SUMIF($B122:$B540,$B122,K122:K540)</f>
        <v>70014.994999999995</v>
      </c>
      <c r="L121" s="49">
        <f>K121-H121</f>
        <v>0</v>
      </c>
    </row>
    <row r="122" spans="1:12" x14ac:dyDescent="0.25">
      <c r="A122" s="2" t="s">
        <v>138</v>
      </c>
      <c r="B122" s="2" t="s">
        <v>189</v>
      </c>
      <c r="C122" s="42" t="str">
        <f t="shared" si="12"/>
        <v>Voodoo Family|New Belgium Brewing Company</v>
      </c>
      <c r="D122" s="26">
        <v>44138</v>
      </c>
      <c r="E122" s="27">
        <f>'[1]2024 Finish'!I119</f>
        <v>-1.7226713096160751E-2</v>
      </c>
      <c r="F122" s="18">
        <v>0.1125</v>
      </c>
      <c r="G122" s="28">
        <f t="shared" ref="G122:G124" si="31">F122*D122</f>
        <v>4965.5250000000005</v>
      </c>
      <c r="H122" s="11">
        <f t="shared" ref="H122:H124" si="32">D122+G122</f>
        <v>49103.525000000001</v>
      </c>
      <c r="I122" s="18">
        <v>0.1125</v>
      </c>
      <c r="J122" s="28">
        <f t="shared" si="22"/>
        <v>4965.5250000000005</v>
      </c>
      <c r="K122" s="50">
        <f t="shared" si="23"/>
        <v>49103.525000000001</v>
      </c>
      <c r="L122" s="28">
        <f t="shared" si="24"/>
        <v>0</v>
      </c>
    </row>
    <row r="123" spans="1:12" x14ac:dyDescent="0.25">
      <c r="A123" s="2" t="s">
        <v>291</v>
      </c>
      <c r="B123" s="2" t="s">
        <v>189</v>
      </c>
      <c r="C123" s="42" t="str">
        <f t="shared" si="12"/>
        <v>Fat Tire Family|New Belgium Brewing Company</v>
      </c>
      <c r="D123" s="26">
        <v>9701</v>
      </c>
      <c r="E123" s="27">
        <f>'[1]2024 Finish'!I120</f>
        <v>-0.30084562763138778</v>
      </c>
      <c r="F123" s="18">
        <v>-0.15</v>
      </c>
      <c r="G123" s="28">
        <f t="shared" si="31"/>
        <v>-1455.1499999999999</v>
      </c>
      <c r="H123" s="11">
        <f t="shared" si="32"/>
        <v>8245.85</v>
      </c>
      <c r="I123" s="18">
        <v>-0.15</v>
      </c>
      <c r="J123" s="28">
        <f t="shared" si="22"/>
        <v>-1455.1499999999999</v>
      </c>
      <c r="K123" s="50">
        <f t="shared" si="23"/>
        <v>8245.85</v>
      </c>
      <c r="L123" s="28">
        <f t="shared" si="24"/>
        <v>0</v>
      </c>
    </row>
    <row r="124" spans="1:12" x14ac:dyDescent="0.25">
      <c r="A124" s="2" t="s">
        <v>189</v>
      </c>
      <c r="B124" s="2" t="s">
        <v>189</v>
      </c>
      <c r="C124" s="42" t="str">
        <f t="shared" si="12"/>
        <v>New Belgium Brewing Company|New Belgium Brewing Company</v>
      </c>
      <c r="D124" s="26">
        <v>10508</v>
      </c>
      <c r="E124" s="27">
        <f>'[1]2024 Finish'!I121</f>
        <v>3.5299286176021152</v>
      </c>
      <c r="F124" s="18">
        <v>1.4999999999999999E-2</v>
      </c>
      <c r="G124" s="28">
        <f t="shared" si="31"/>
        <v>157.62</v>
      </c>
      <c r="H124" s="11">
        <f t="shared" si="32"/>
        <v>10665.62</v>
      </c>
      <c r="I124" s="18">
        <v>1.4999999999999999E-2</v>
      </c>
      <c r="J124" s="28">
        <f t="shared" si="22"/>
        <v>157.62</v>
      </c>
      <c r="K124" s="50">
        <f t="shared" si="23"/>
        <v>10665.62</v>
      </c>
      <c r="L124" s="28">
        <f t="shared" si="24"/>
        <v>0</v>
      </c>
    </row>
    <row r="125" spans="1:12" x14ac:dyDescent="0.25">
      <c r="A125" s="2" t="s">
        <v>218</v>
      </c>
      <c r="B125" s="2" t="s">
        <v>189</v>
      </c>
      <c r="C125" s="42" t="str">
        <f t="shared" si="12"/>
        <v>Lightstrike|New Belgium Brewing Company</v>
      </c>
      <c r="D125" s="26"/>
      <c r="E125" s="27"/>
      <c r="F125" s="18"/>
      <c r="G125" s="28"/>
      <c r="H125" s="11">
        <v>2000</v>
      </c>
      <c r="I125" s="18"/>
      <c r="J125" s="28"/>
      <c r="K125" s="50">
        <v>2000</v>
      </c>
      <c r="L125" s="28"/>
    </row>
    <row r="126" spans="1:12" x14ac:dyDescent="0.25">
      <c r="A126" s="20" t="s">
        <v>316</v>
      </c>
      <c r="B126" s="21"/>
      <c r="C126" s="42" t="str">
        <f t="shared" si="12"/>
        <v>Sapporo|</v>
      </c>
      <c r="D126" s="10">
        <f>'[1]2024 Finish'!H122</f>
        <v>75672</v>
      </c>
      <c r="E126" s="22">
        <f>'[1]2024 Finish'!I122</f>
        <v>0.15418588349029227</v>
      </c>
      <c r="F126" s="23">
        <f>G126/D126</f>
        <v>0.18</v>
      </c>
      <c r="G126" s="24">
        <f>SUMIF($B127:$B544,$B127,G127:G544)</f>
        <v>13620.96</v>
      </c>
      <c r="H126" s="25">
        <f>SUMIF($B127:$B544,$B127,H127:H544)</f>
        <v>89292.959999999992</v>
      </c>
      <c r="I126" s="23">
        <f>J126/D126</f>
        <v>0.18</v>
      </c>
      <c r="J126" s="24">
        <f>SUMIF($B127:$B544,$B127,J127:J544)</f>
        <v>13620.96</v>
      </c>
      <c r="K126" s="48">
        <f>SUMIF($B127:$B544,$B127,K127:K544)</f>
        <v>89292.959999999992</v>
      </c>
      <c r="L126" s="49">
        <f>K126-H126</f>
        <v>0</v>
      </c>
    </row>
    <row r="127" spans="1:12" x14ac:dyDescent="0.25">
      <c r="A127" s="2" t="s">
        <v>316</v>
      </c>
      <c r="B127" s="2" t="s">
        <v>316</v>
      </c>
      <c r="C127" s="42" t="str">
        <f t="shared" si="12"/>
        <v>Sapporo|Sapporo</v>
      </c>
      <c r="D127" s="26">
        <v>75672</v>
      </c>
      <c r="E127" s="27">
        <f>'[1]2024 Finish'!I123</f>
        <v>0.15418588349029227</v>
      </c>
      <c r="F127" s="18">
        <v>0.18</v>
      </c>
      <c r="G127" s="28">
        <f t="shared" ref="G127" si="33">F127*D127</f>
        <v>13620.96</v>
      </c>
      <c r="H127" s="11">
        <f t="shared" ref="H127" si="34">D127+G127</f>
        <v>89292.959999999992</v>
      </c>
      <c r="I127" s="18">
        <v>0.18</v>
      </c>
      <c r="J127" s="28">
        <f t="shared" si="22"/>
        <v>13620.96</v>
      </c>
      <c r="K127" s="50">
        <f t="shared" si="23"/>
        <v>89292.959999999992</v>
      </c>
      <c r="L127" s="28">
        <f t="shared" si="24"/>
        <v>0</v>
      </c>
    </row>
    <row r="128" spans="1:12" x14ac:dyDescent="0.25">
      <c r="A128" s="20" t="s">
        <v>345</v>
      </c>
      <c r="B128" s="21"/>
      <c r="C128" s="42" t="str">
        <f t="shared" si="12"/>
        <v>Sierra Nevada Brewing Company|</v>
      </c>
      <c r="D128" s="10">
        <f>'[1]2024 Finish'!H124</f>
        <v>46122.430147999999</v>
      </c>
      <c r="E128" s="22">
        <f>'[1]2024 Finish'!I124</f>
        <v>8.363343779928778E-2</v>
      </c>
      <c r="F128" s="23">
        <f>G128/D128</f>
        <v>4.1987770240765943E-2</v>
      </c>
      <c r="G128" s="24">
        <f>SUMIF($B129:$B546,$B129,G129:G546)</f>
        <v>1936.5780000000002</v>
      </c>
      <c r="H128" s="25">
        <f>SUMIF($B129:$B546,$B129,H129:H546)</f>
        <v>48059.008148000001</v>
      </c>
      <c r="I128" s="23">
        <f>J128/D128</f>
        <v>4.1987770240765943E-2</v>
      </c>
      <c r="J128" s="24">
        <f>SUMIF($B129:$B546,$B129,J129:J546)</f>
        <v>1936.5780000000002</v>
      </c>
      <c r="K128" s="48">
        <f>SUMIF($B129:$B546,$B129,K129:K546)</f>
        <v>48059.008148000001</v>
      </c>
      <c r="L128" s="49">
        <f>K128-H128</f>
        <v>0</v>
      </c>
    </row>
    <row r="129" spans="1:12" x14ac:dyDescent="0.25">
      <c r="A129" s="2" t="s">
        <v>293</v>
      </c>
      <c r="B129" s="2" t="s">
        <v>345</v>
      </c>
      <c r="C129" s="42" t="str">
        <f t="shared" si="12"/>
        <v>Sierra Nevada|Sierra Nevada Brewing Company</v>
      </c>
      <c r="D129" s="26">
        <f>'[1]2024 Finish'!H125</f>
        <v>46109</v>
      </c>
      <c r="E129" s="27">
        <f>'[1]2024 Finish'!I125</f>
        <v>8.4909586920884017E-2</v>
      </c>
      <c r="F129" s="18">
        <v>4.2000000000000003E-2</v>
      </c>
      <c r="G129" s="28">
        <f t="shared" ref="G129:G130" si="35">F129*D129</f>
        <v>1936.5780000000002</v>
      </c>
      <c r="H129" s="11">
        <f t="shared" ref="H129:H130" si="36">D129+G129</f>
        <v>48045.578000000001</v>
      </c>
      <c r="I129" s="18">
        <v>4.2000000000000003E-2</v>
      </c>
      <c r="J129" s="28">
        <f t="shared" si="22"/>
        <v>1936.5780000000002</v>
      </c>
      <c r="K129" s="50">
        <f t="shared" si="23"/>
        <v>48045.578000000001</v>
      </c>
      <c r="L129" s="28">
        <f t="shared" si="24"/>
        <v>0</v>
      </c>
    </row>
    <row r="130" spans="1:12" x14ac:dyDescent="0.25">
      <c r="A130" s="2" t="s">
        <v>294</v>
      </c>
      <c r="B130" s="2" t="s">
        <v>345</v>
      </c>
      <c r="C130" s="42" t="str">
        <f t="shared" si="12"/>
        <v>Strainge Beast|Sierra Nevada Brewing Company</v>
      </c>
      <c r="D130" s="26">
        <f>'[1]2024 Finish'!H126</f>
        <v>13.430147999999999</v>
      </c>
      <c r="E130" s="27">
        <f>'[1]2024 Finish'!I126</f>
        <v>-0.78492645742947997</v>
      </c>
      <c r="F130" s="18">
        <v>0</v>
      </c>
      <c r="G130" s="28">
        <f t="shared" si="35"/>
        <v>0</v>
      </c>
      <c r="H130" s="11">
        <f t="shared" si="36"/>
        <v>13.430147999999999</v>
      </c>
      <c r="I130" s="18">
        <v>0</v>
      </c>
      <c r="J130" s="28">
        <f t="shared" si="22"/>
        <v>0</v>
      </c>
      <c r="K130" s="50">
        <f t="shared" si="23"/>
        <v>13.430147999999999</v>
      </c>
      <c r="L130" s="28">
        <f t="shared" si="24"/>
        <v>0</v>
      </c>
    </row>
    <row r="131" spans="1:12" x14ac:dyDescent="0.25">
      <c r="A131" s="20" t="s">
        <v>346</v>
      </c>
      <c r="B131" s="21"/>
      <c r="C131" s="42" t="str">
        <f t="shared" si="12"/>
        <v>Famosa|</v>
      </c>
      <c r="D131" s="10">
        <f>'[1]2024 Finish'!H127</f>
        <v>37337</v>
      </c>
      <c r="E131" s="22">
        <f>'[1]2024 Finish'!I127</f>
        <v>0.17889409750706498</v>
      </c>
      <c r="F131" s="23">
        <f>G131/D131</f>
        <v>0.29368208479524327</v>
      </c>
      <c r="G131" s="24">
        <f>SUMIF($B132:$B549,$B132,G132:G549)</f>
        <v>10965.207999999999</v>
      </c>
      <c r="H131" s="25">
        <f>SUMIF($B132:$B549,$B132,H132:H549)</f>
        <v>48302.207999999999</v>
      </c>
      <c r="I131" s="23">
        <f>J131/D131</f>
        <v>0.19710207033237809</v>
      </c>
      <c r="J131" s="24">
        <f>SUMIF($B132:$B549,$B132,J132:J549)</f>
        <v>7359.2000000000007</v>
      </c>
      <c r="K131" s="48">
        <f>SUMIF($B132:$B549,$B132,K132:K549)</f>
        <v>44696.2</v>
      </c>
      <c r="L131" s="49">
        <f>K131-H131</f>
        <v>-3606.0080000000016</v>
      </c>
    </row>
    <row r="132" spans="1:12" x14ac:dyDescent="0.25">
      <c r="A132" s="2" t="s">
        <v>346</v>
      </c>
      <c r="B132" s="2" t="s">
        <v>346</v>
      </c>
      <c r="C132" s="42" t="str">
        <f t="shared" si="12"/>
        <v>Famosa|Famosa</v>
      </c>
      <c r="D132" s="26">
        <f>'[1]2024 Finish'!H128</f>
        <v>36796</v>
      </c>
      <c r="E132" s="27">
        <f>'[1]2024 Finish'!I128</f>
        <v>0.19369835798934298</v>
      </c>
      <c r="F132" s="18">
        <v>0.29799999999999999</v>
      </c>
      <c r="G132" s="28">
        <f t="shared" ref="G132:G133" si="37">F132*D132</f>
        <v>10965.207999999999</v>
      </c>
      <c r="H132" s="11">
        <f t="shared" ref="H132:H133" si="38">D132+G132</f>
        <v>47761.207999999999</v>
      </c>
      <c r="I132" s="18">
        <v>0.2</v>
      </c>
      <c r="J132" s="28">
        <f>I132*D132</f>
        <v>7359.2000000000007</v>
      </c>
      <c r="K132" s="50">
        <f t="shared" si="23"/>
        <v>44155.199999999997</v>
      </c>
      <c r="L132" s="28">
        <f t="shared" si="24"/>
        <v>-3606.0080000000016</v>
      </c>
    </row>
    <row r="133" spans="1:12" x14ac:dyDescent="0.25">
      <c r="A133" s="2" t="s">
        <v>317</v>
      </c>
      <c r="B133" s="2" t="s">
        <v>346</v>
      </c>
      <c r="C133" s="42" t="str">
        <f t="shared" ref="C133:C196" si="39">A133 &amp; "|" &amp; B133</f>
        <v>Monte Carlo|Famosa</v>
      </c>
      <c r="D133" s="26">
        <f>'[1]2024 Finish'!H129</f>
        <v>541</v>
      </c>
      <c r="E133" s="27">
        <f>'[1]2024 Finish'!I129</f>
        <v>-0.36052009456264777</v>
      </c>
      <c r="F133" s="18">
        <v>0</v>
      </c>
      <c r="G133" s="28">
        <f t="shared" si="37"/>
        <v>0</v>
      </c>
      <c r="H133" s="11">
        <f t="shared" si="38"/>
        <v>541</v>
      </c>
      <c r="I133" s="18">
        <v>0</v>
      </c>
      <c r="J133" s="28">
        <f t="shared" si="22"/>
        <v>0</v>
      </c>
      <c r="K133" s="50">
        <f t="shared" si="23"/>
        <v>541</v>
      </c>
      <c r="L133" s="28">
        <f t="shared" si="24"/>
        <v>0</v>
      </c>
    </row>
    <row r="134" spans="1:12" x14ac:dyDescent="0.25">
      <c r="A134" s="20" t="s">
        <v>379</v>
      </c>
      <c r="B134" s="21"/>
      <c r="C134" s="42" t="str">
        <f t="shared" si="39"/>
        <v>Radeberger USA|</v>
      </c>
      <c r="D134" s="10">
        <f>'[1]2024 Finish'!H130</f>
        <v>37984</v>
      </c>
      <c r="E134" s="22">
        <f>'[1]2024 Finish'!I130</f>
        <v>-3.7332849721499972E-2</v>
      </c>
      <c r="F134" s="23">
        <f>G134/D134</f>
        <v>4.5053180286436401E-2</v>
      </c>
      <c r="G134" s="24">
        <f>SUMIF($B135:$B552,$B135,G135:G552)</f>
        <v>1711.3000000000002</v>
      </c>
      <c r="H134" s="25">
        <f>SUMIF($B135:$B552,$B135,H135:H552)</f>
        <v>39695.300000000003</v>
      </c>
      <c r="I134" s="23">
        <f>J134/D134</f>
        <v>5.1439948399326037E-2</v>
      </c>
      <c r="J134" s="24">
        <f>SUMIF($B135:$B552,$B135,J135:J552)</f>
        <v>1953.8950000000002</v>
      </c>
      <c r="K134" s="48">
        <f>SUMIF($B135:$B552,$B135,K135:K552)</f>
        <v>39937.895000000004</v>
      </c>
      <c r="L134" s="49">
        <f>K134-H134</f>
        <v>242.59500000000116</v>
      </c>
    </row>
    <row r="135" spans="1:12" x14ac:dyDescent="0.25">
      <c r="A135" s="2" t="s">
        <v>165</v>
      </c>
      <c r="B135" s="2" t="s">
        <v>379</v>
      </c>
      <c r="C135" s="42" t="str">
        <f t="shared" si="39"/>
        <v>Dab|Radeberger USA</v>
      </c>
      <c r="D135" s="26">
        <f>'[1]2024 Finish'!H131</f>
        <v>16458</v>
      </c>
      <c r="E135" s="27">
        <f>'[1]2024 Finish'!I131</f>
        <v>1.705364734602588E-3</v>
      </c>
      <c r="F135" s="18">
        <v>0.02</v>
      </c>
      <c r="G135" s="28">
        <f t="shared" ref="G135:G139" si="40">F135*D135</f>
        <v>329.16</v>
      </c>
      <c r="H135" s="11">
        <f t="shared" ref="H135:H139" si="41">D135+G135</f>
        <v>16787.16</v>
      </c>
      <c r="I135" s="18">
        <v>0.05</v>
      </c>
      <c r="J135" s="28">
        <f t="shared" si="22"/>
        <v>822.90000000000009</v>
      </c>
      <c r="K135" s="50">
        <f t="shared" si="23"/>
        <v>17280.900000000001</v>
      </c>
      <c r="L135" s="28">
        <f t="shared" si="24"/>
        <v>493.7400000000016</v>
      </c>
    </row>
    <row r="136" spans="1:12" x14ac:dyDescent="0.25">
      <c r="A136" s="2" t="s">
        <v>61</v>
      </c>
      <c r="B136" s="2" t="s">
        <v>379</v>
      </c>
      <c r="C136" s="42" t="str">
        <f t="shared" si="39"/>
        <v>Schofferhofer|Radeberger USA</v>
      </c>
      <c r="D136" s="26">
        <f>'[1]2024 Finish'!H132</f>
        <v>11700</v>
      </c>
      <c r="E136" s="27">
        <f>'[1]2024 Finish'!I132</f>
        <v>-0.15554101090829398</v>
      </c>
      <c r="F136" s="18">
        <v>7.0000000000000007E-2</v>
      </c>
      <c r="G136" s="28">
        <f t="shared" si="40"/>
        <v>819.00000000000011</v>
      </c>
      <c r="H136" s="11">
        <f t="shared" si="41"/>
        <v>12519</v>
      </c>
      <c r="I136" s="18">
        <v>0.03</v>
      </c>
      <c r="J136" s="28">
        <f>I136*D136</f>
        <v>351</v>
      </c>
      <c r="K136" s="50">
        <f t="shared" si="23"/>
        <v>12051</v>
      </c>
      <c r="L136" s="28">
        <f t="shared" si="24"/>
        <v>-468</v>
      </c>
    </row>
    <row r="137" spans="1:12" x14ac:dyDescent="0.25">
      <c r="A137" s="2" t="s">
        <v>401</v>
      </c>
      <c r="B137" s="2" t="s">
        <v>379</v>
      </c>
      <c r="C137" s="42" t="str">
        <f t="shared" si="39"/>
        <v>Radeberger|Radeberger USA</v>
      </c>
      <c r="D137" s="26">
        <f>'[1]2024 Finish'!H133</f>
        <v>6709</v>
      </c>
      <c r="E137" s="27">
        <f>'[1]2024 Finish'!I133</f>
        <v>0.12128142575039691</v>
      </c>
      <c r="F137" s="18">
        <v>7.0000000000000007E-2</v>
      </c>
      <c r="G137" s="28">
        <f t="shared" si="40"/>
        <v>469.63000000000005</v>
      </c>
      <c r="H137" s="11">
        <f t="shared" si="41"/>
        <v>7178.63</v>
      </c>
      <c r="I137" s="18">
        <v>0.1</v>
      </c>
      <c r="J137" s="28">
        <f t="shared" si="22"/>
        <v>670.90000000000009</v>
      </c>
      <c r="K137" s="50">
        <f t="shared" si="23"/>
        <v>7379.9</v>
      </c>
      <c r="L137" s="28">
        <f t="shared" si="24"/>
        <v>201.26999999999953</v>
      </c>
    </row>
    <row r="138" spans="1:12" x14ac:dyDescent="0.25">
      <c r="A138" s="2" t="s">
        <v>402</v>
      </c>
      <c r="B138" s="2" t="s">
        <v>379</v>
      </c>
      <c r="C138" s="42" t="str">
        <f t="shared" si="39"/>
        <v>Clausthaler|Radeberger USA</v>
      </c>
      <c r="D138" s="26">
        <f>'[1]2024 Finish'!H134</f>
        <v>3117</v>
      </c>
      <c r="E138" s="27">
        <f>'[1]2024 Finish'!I134</f>
        <v>-2.2793833871101898E-2</v>
      </c>
      <c r="F138" s="18">
        <v>0.03</v>
      </c>
      <c r="G138" s="28">
        <f t="shared" si="40"/>
        <v>93.509999999999991</v>
      </c>
      <c r="H138" s="11">
        <f t="shared" si="41"/>
        <v>3210.51</v>
      </c>
      <c r="I138" s="18">
        <v>3.5000000000000003E-2</v>
      </c>
      <c r="J138" s="28">
        <f t="shared" si="22"/>
        <v>109.09500000000001</v>
      </c>
      <c r="K138" s="50">
        <f t="shared" si="23"/>
        <v>3226.0949999999998</v>
      </c>
      <c r="L138" s="28">
        <f t="shared" si="24"/>
        <v>15.584999999999582</v>
      </c>
    </row>
    <row r="139" spans="1:12" x14ac:dyDescent="0.25">
      <c r="A139" s="2" t="s">
        <v>432</v>
      </c>
      <c r="B139" s="2" t="s">
        <v>379</v>
      </c>
      <c r="C139" s="42" t="str">
        <f t="shared" si="39"/>
        <v>Allgauer|Radeberger USA</v>
      </c>
      <c r="D139" s="26">
        <f>'[1]2024 Finish'!H135</f>
        <v>0</v>
      </c>
      <c r="E139" s="27">
        <f>'[1]2024 Finish'!I135</f>
        <v>-1</v>
      </c>
      <c r="F139" s="18">
        <v>0</v>
      </c>
      <c r="G139" s="28">
        <f t="shared" si="40"/>
        <v>0</v>
      </c>
      <c r="H139" s="11">
        <f t="shared" si="41"/>
        <v>0</v>
      </c>
      <c r="I139" s="18">
        <v>0</v>
      </c>
      <c r="J139" s="28">
        <f t="shared" si="22"/>
        <v>0</v>
      </c>
      <c r="K139" s="50">
        <f t="shared" si="23"/>
        <v>0</v>
      </c>
      <c r="L139" s="28">
        <f t="shared" si="24"/>
        <v>0</v>
      </c>
    </row>
    <row r="140" spans="1:12" x14ac:dyDescent="0.25">
      <c r="A140" s="20" t="s">
        <v>139</v>
      </c>
      <c r="B140" s="21"/>
      <c r="C140" s="42" t="str">
        <f t="shared" si="39"/>
        <v>Total Beverage Solutions|</v>
      </c>
      <c r="D140" s="10">
        <f>'[1]2024 Finish'!H136</f>
        <v>28809</v>
      </c>
      <c r="E140" s="22">
        <f>'[1]2024 Finish'!I136</f>
        <v>-0.18440183143121658</v>
      </c>
      <c r="F140" s="23">
        <f>G140/D140</f>
        <v>-4.116352528723663E-2</v>
      </c>
      <c r="G140" s="24">
        <f>SUMIF($B141:$B558,$B141,G141:G558)</f>
        <v>-1185.8800000000001</v>
      </c>
      <c r="H140" s="25">
        <f>SUMIF($B141:$B558,$B141,H141:H558)</f>
        <v>27623.119999999999</v>
      </c>
      <c r="I140" s="23">
        <f>J140/D140</f>
        <v>-4.116352528723663E-2</v>
      </c>
      <c r="J140" s="24">
        <f>SUMIF($B141:$B558,$B141,J141:J558)</f>
        <v>-1185.8800000000001</v>
      </c>
      <c r="K140" s="48">
        <f>SUMIF($B141:$B558,$B141,K141:K558)</f>
        <v>27623.119999999999</v>
      </c>
      <c r="L140" s="49">
        <f>K140-H140</f>
        <v>0</v>
      </c>
    </row>
    <row r="141" spans="1:12" x14ac:dyDescent="0.25">
      <c r="A141" s="2" t="s">
        <v>190</v>
      </c>
      <c r="B141" s="2" t="s">
        <v>139</v>
      </c>
      <c r="C141" s="42" t="str">
        <f t="shared" si="39"/>
        <v>Carib|Total Beverage Solutions</v>
      </c>
      <c r="D141" s="26">
        <f>'[1]2024 Finish'!H137</f>
        <v>12575</v>
      </c>
      <c r="E141" s="27">
        <f>'[1]2024 Finish'!I137</f>
        <v>1.7312515168675713E-2</v>
      </c>
      <c r="F141" s="18">
        <v>-7.0000000000000007E-2</v>
      </c>
      <c r="G141" s="28">
        <f t="shared" ref="G141:G148" si="42">F141*D141</f>
        <v>-880.25000000000011</v>
      </c>
      <c r="H141" s="11">
        <f t="shared" ref="H141:H148" si="43">D141+G141</f>
        <v>11694.75</v>
      </c>
      <c r="I141" s="18">
        <v>-7.0000000000000007E-2</v>
      </c>
      <c r="J141" s="28">
        <f t="shared" si="22"/>
        <v>-880.25000000000011</v>
      </c>
      <c r="K141" s="50">
        <f t="shared" si="23"/>
        <v>11694.75</v>
      </c>
      <c r="L141" s="28">
        <f t="shared" si="24"/>
        <v>0</v>
      </c>
    </row>
    <row r="142" spans="1:12" x14ac:dyDescent="0.25">
      <c r="A142" s="2" t="s">
        <v>58</v>
      </c>
      <c r="B142" s="2" t="s">
        <v>139</v>
      </c>
      <c r="C142" s="42" t="str">
        <f t="shared" si="39"/>
        <v>Weihenstephaner|Total Beverage Solutions</v>
      </c>
      <c r="D142" s="26">
        <f>'[1]2024 Finish'!H138</f>
        <v>8669</v>
      </c>
      <c r="E142" s="27">
        <f>'[1]2024 Finish'!I138</f>
        <v>5.4261764331966278E-2</v>
      </c>
      <c r="F142" s="18">
        <v>0.03</v>
      </c>
      <c r="G142" s="28">
        <f t="shared" si="42"/>
        <v>260.07</v>
      </c>
      <c r="H142" s="11">
        <f t="shared" si="43"/>
        <v>8929.07</v>
      </c>
      <c r="I142" s="18">
        <v>0.03</v>
      </c>
      <c r="J142" s="28">
        <f t="shared" si="22"/>
        <v>260.07</v>
      </c>
      <c r="K142" s="50">
        <f t="shared" si="23"/>
        <v>8929.07</v>
      </c>
      <c r="L142" s="28">
        <f t="shared" si="24"/>
        <v>0</v>
      </c>
    </row>
    <row r="143" spans="1:12" x14ac:dyDescent="0.25">
      <c r="A143" s="2" t="s">
        <v>399</v>
      </c>
      <c r="B143" s="2" t="s">
        <v>139</v>
      </c>
      <c r="C143" s="42" t="str">
        <f t="shared" si="39"/>
        <v>Magners|Total Beverage Solutions</v>
      </c>
      <c r="D143" s="26">
        <f>'[1]2024 Finish'!H139</f>
        <v>3949</v>
      </c>
      <c r="E143" s="27">
        <f>'[1]2024 Finish'!I139</f>
        <v>-0.60898570142487451</v>
      </c>
      <c r="F143" s="18">
        <v>0</v>
      </c>
      <c r="G143" s="28">
        <f t="shared" si="42"/>
        <v>0</v>
      </c>
      <c r="H143" s="11">
        <f t="shared" si="43"/>
        <v>3949</v>
      </c>
      <c r="I143" s="18">
        <v>0</v>
      </c>
      <c r="J143" s="28">
        <f t="shared" si="22"/>
        <v>0</v>
      </c>
      <c r="K143" s="50">
        <f t="shared" si="23"/>
        <v>3949</v>
      </c>
      <c r="L143" s="28">
        <f t="shared" si="24"/>
        <v>0</v>
      </c>
    </row>
    <row r="144" spans="1:12" x14ac:dyDescent="0.25">
      <c r="A144" s="2" t="s">
        <v>378</v>
      </c>
      <c r="B144" s="2" t="s">
        <v>139</v>
      </c>
      <c r="C144" s="42" t="str">
        <f t="shared" si="39"/>
        <v>Rekorderlig|Total Beverage Solutions</v>
      </c>
      <c r="D144" s="26">
        <f>'[1]2024 Finish'!H140</f>
        <v>634</v>
      </c>
      <c r="E144" s="27">
        <f>'[1]2024 Finish'!I140</f>
        <v>-0.31227912092124188</v>
      </c>
      <c r="F144" s="18">
        <v>-0.05</v>
      </c>
      <c r="G144" s="28">
        <f t="shared" si="42"/>
        <v>-31.700000000000003</v>
      </c>
      <c r="H144" s="11">
        <f t="shared" si="43"/>
        <v>602.29999999999995</v>
      </c>
      <c r="I144" s="18">
        <v>-0.05</v>
      </c>
      <c r="J144" s="28">
        <f t="shared" si="22"/>
        <v>-31.700000000000003</v>
      </c>
      <c r="K144" s="50">
        <f t="shared" si="23"/>
        <v>602.29999999999995</v>
      </c>
      <c r="L144" s="28">
        <f t="shared" si="24"/>
        <v>0</v>
      </c>
    </row>
    <row r="145" spans="1:12" x14ac:dyDescent="0.25">
      <c r="A145" s="2" t="s">
        <v>92</v>
      </c>
      <c r="B145" s="2" t="s">
        <v>139</v>
      </c>
      <c r="C145" s="42" t="str">
        <f t="shared" si="39"/>
        <v>Mackeson|Total Beverage Solutions</v>
      </c>
      <c r="D145" s="26">
        <f>'[1]2024 Finish'!H141</f>
        <v>434</v>
      </c>
      <c r="E145" s="27">
        <f>'[1]2024 Finish'!I141</f>
        <v>-0.2332155477031802</v>
      </c>
      <c r="F145" s="18">
        <v>-0.2</v>
      </c>
      <c r="G145" s="28">
        <f t="shared" si="42"/>
        <v>-86.800000000000011</v>
      </c>
      <c r="H145" s="11">
        <f t="shared" si="43"/>
        <v>347.2</v>
      </c>
      <c r="I145" s="18">
        <v>-0.2</v>
      </c>
      <c r="J145" s="28">
        <f t="shared" si="22"/>
        <v>-86.800000000000011</v>
      </c>
      <c r="K145" s="50">
        <f t="shared" si="23"/>
        <v>347.2</v>
      </c>
      <c r="L145" s="28">
        <f t="shared" si="24"/>
        <v>0</v>
      </c>
    </row>
    <row r="146" spans="1:12" x14ac:dyDescent="0.25">
      <c r="A146" s="2" t="s">
        <v>164</v>
      </c>
      <c r="B146" s="2" t="s">
        <v>139</v>
      </c>
      <c r="C146" s="42" t="str">
        <f t="shared" si="39"/>
        <v>Banks|Total Beverage Solutions</v>
      </c>
      <c r="D146" s="26">
        <f>'[1]2024 Finish'!H142</f>
        <v>416</v>
      </c>
      <c r="E146" s="27">
        <f>'[1]2024 Finish'!I142</f>
        <v>1.7114914425427896E-2</v>
      </c>
      <c r="F146" s="18">
        <v>-0.05</v>
      </c>
      <c r="G146" s="28">
        <f t="shared" si="42"/>
        <v>-20.8</v>
      </c>
      <c r="H146" s="11">
        <f t="shared" si="43"/>
        <v>395.2</v>
      </c>
      <c r="I146" s="18">
        <v>-0.05</v>
      </c>
      <c r="J146" s="28">
        <f t="shared" si="22"/>
        <v>-20.8</v>
      </c>
      <c r="K146" s="50">
        <f t="shared" si="23"/>
        <v>395.2</v>
      </c>
      <c r="L146" s="28">
        <f t="shared" si="24"/>
        <v>0</v>
      </c>
    </row>
    <row r="147" spans="1:12" x14ac:dyDescent="0.25">
      <c r="A147" s="2" t="s">
        <v>433</v>
      </c>
      <c r="B147" s="2" t="s">
        <v>139</v>
      </c>
      <c r="C147" s="42" t="str">
        <f t="shared" si="39"/>
        <v>Sea Dog|Total Beverage Solutions</v>
      </c>
      <c r="D147" s="26">
        <f>'[1]2024 Finish'!H143</f>
        <v>0</v>
      </c>
      <c r="E147" s="27">
        <f>'[1]2024 Finish'!I143</f>
        <v>-1</v>
      </c>
      <c r="F147" s="18">
        <v>1</v>
      </c>
      <c r="G147" s="28">
        <f t="shared" si="42"/>
        <v>0</v>
      </c>
      <c r="H147" s="11">
        <f t="shared" si="43"/>
        <v>0</v>
      </c>
      <c r="I147" s="18">
        <v>-1</v>
      </c>
      <c r="J147" s="28">
        <f t="shared" si="22"/>
        <v>0</v>
      </c>
      <c r="K147" s="50">
        <f t="shared" si="23"/>
        <v>0</v>
      </c>
      <c r="L147" s="28">
        <f t="shared" si="24"/>
        <v>0</v>
      </c>
    </row>
    <row r="148" spans="1:12" x14ac:dyDescent="0.25">
      <c r="A148" s="2" t="s">
        <v>59</v>
      </c>
      <c r="B148" s="2" t="s">
        <v>139</v>
      </c>
      <c r="C148" s="42" t="str">
        <f t="shared" si="39"/>
        <v>Shipyard|Total Beverage Solutions</v>
      </c>
      <c r="D148" s="26">
        <f>'[1]2024 Finish'!H144</f>
        <v>2132</v>
      </c>
      <c r="E148" s="27">
        <f>'[1]2024 Finish'!I144</f>
        <v>-0.21270914498807691</v>
      </c>
      <c r="F148" s="18">
        <v>-0.2</v>
      </c>
      <c r="G148" s="28">
        <f t="shared" si="42"/>
        <v>-426.40000000000003</v>
      </c>
      <c r="H148" s="11">
        <f t="shared" si="43"/>
        <v>1705.6</v>
      </c>
      <c r="I148" s="18">
        <v>-0.2</v>
      </c>
      <c r="J148" s="28">
        <f t="shared" si="22"/>
        <v>-426.40000000000003</v>
      </c>
      <c r="K148" s="50">
        <f t="shared" si="23"/>
        <v>1705.6</v>
      </c>
      <c r="L148" s="28">
        <f t="shared" si="24"/>
        <v>0</v>
      </c>
    </row>
    <row r="149" spans="1:12" x14ac:dyDescent="0.25">
      <c r="A149" s="20" t="s">
        <v>8</v>
      </c>
      <c r="B149" s="21"/>
      <c r="C149" s="42" t="str">
        <f t="shared" si="39"/>
        <v>FX Matt|</v>
      </c>
      <c r="D149" s="10">
        <f>'[1]2024 Finish'!H145</f>
        <v>31671</v>
      </c>
      <c r="E149" s="22">
        <f>'[1]2024 Finish'!I145</f>
        <v>-8.8085630701446704E-2</v>
      </c>
      <c r="F149" s="23">
        <f>G149/D149</f>
        <v>0</v>
      </c>
      <c r="G149" s="24">
        <f>SUMIF($B150:$B567,$B150,G150:G567)</f>
        <v>0</v>
      </c>
      <c r="H149" s="25">
        <f>SUMIF($B150:$B567,$B150,H150:H567)</f>
        <v>31671</v>
      </c>
      <c r="I149" s="23">
        <f>J149/D149</f>
        <v>9.303305863408164E-3</v>
      </c>
      <c r="J149" s="24">
        <f>SUMIF($B150:$B567,$B150,J150:J567)</f>
        <v>294.64499999999998</v>
      </c>
      <c r="K149" s="48">
        <f>SUMIF($B150:$B567,$B150,K150:K567)</f>
        <v>34465.644999999997</v>
      </c>
      <c r="L149" s="49">
        <f>K149-H149</f>
        <v>2794.6449999999968</v>
      </c>
    </row>
    <row r="150" spans="1:12" x14ac:dyDescent="0.25">
      <c r="A150" s="2" t="s">
        <v>191</v>
      </c>
      <c r="B150" s="2" t="s">
        <v>8</v>
      </c>
      <c r="C150" s="42" t="str">
        <f t="shared" si="39"/>
        <v>Flying Dog Brewing Co|FX Matt</v>
      </c>
      <c r="D150" s="26">
        <f>'[1]2024 Finish'!H146</f>
        <v>16194</v>
      </c>
      <c r="E150" s="27">
        <f>'[1]2024 Finish'!I146</f>
        <v>-0.18249045108524176</v>
      </c>
      <c r="F150" s="18">
        <v>0</v>
      </c>
      <c r="G150" s="28">
        <f t="shared" ref="G150:G155" si="44">F150*D150</f>
        <v>0</v>
      </c>
      <c r="H150" s="11">
        <f t="shared" ref="H150:H155" si="45">D150+G150</f>
        <v>16194</v>
      </c>
      <c r="I150" s="18">
        <v>-3.5000000000000003E-2</v>
      </c>
      <c r="J150" s="28">
        <f t="shared" si="22"/>
        <v>-566.79000000000008</v>
      </c>
      <c r="K150" s="50">
        <f t="shared" si="23"/>
        <v>15627.21</v>
      </c>
      <c r="L150" s="28">
        <f t="shared" si="24"/>
        <v>-566.79000000000087</v>
      </c>
    </row>
    <row r="151" spans="1:12" x14ac:dyDescent="0.25">
      <c r="A151" s="2" t="s">
        <v>262</v>
      </c>
      <c r="B151" s="2" t="s">
        <v>8</v>
      </c>
      <c r="C151" s="42" t="str">
        <f t="shared" si="39"/>
        <v>Friday Beers|FX Matt</v>
      </c>
      <c r="D151" s="26">
        <v>500</v>
      </c>
      <c r="E151" s="27"/>
      <c r="F151" s="18">
        <v>0</v>
      </c>
      <c r="G151" s="28"/>
      <c r="H151" s="11"/>
      <c r="I151" s="18">
        <v>2.5</v>
      </c>
      <c r="J151" s="28"/>
      <c r="K151" s="50">
        <v>2500</v>
      </c>
      <c r="L151" s="28"/>
    </row>
    <row r="152" spans="1:12" x14ac:dyDescent="0.25">
      <c r="A152" s="2" t="s">
        <v>60</v>
      </c>
      <c r="B152" s="2" t="s">
        <v>8</v>
      </c>
      <c r="C152" s="42" t="str">
        <f t="shared" si="39"/>
        <v>Saranac|FX Matt</v>
      </c>
      <c r="D152" s="26">
        <f>'[1]2024 Finish'!H147</f>
        <v>11857</v>
      </c>
      <c r="E152" s="27">
        <f>'[1]2024 Finish'!I147</f>
        <v>-7.8874198507227877E-2</v>
      </c>
      <c r="F152" s="18">
        <v>0</v>
      </c>
      <c r="G152" s="28">
        <f t="shared" si="44"/>
        <v>0</v>
      </c>
      <c r="H152" s="11">
        <f t="shared" si="45"/>
        <v>11857</v>
      </c>
      <c r="I152" s="18">
        <v>-4.4999999999999998E-2</v>
      </c>
      <c r="J152" s="28">
        <f t="shared" si="22"/>
        <v>-533.56499999999994</v>
      </c>
      <c r="K152" s="50">
        <f t="shared" si="23"/>
        <v>11323.434999999999</v>
      </c>
      <c r="L152" s="28">
        <f t="shared" si="24"/>
        <v>-533.56500000000051</v>
      </c>
    </row>
    <row r="153" spans="1:12" x14ac:dyDescent="0.25">
      <c r="A153" s="2" t="s">
        <v>246</v>
      </c>
      <c r="B153" s="2" t="s">
        <v>8</v>
      </c>
      <c r="C153" s="42" t="str">
        <f t="shared" si="39"/>
        <v>Kingfisher Premium|FX Matt</v>
      </c>
      <c r="D153" s="26">
        <f>'[1]2024 Finish'!H148</f>
        <v>1884</v>
      </c>
      <c r="E153" s="27">
        <f>'[1]2024 Finish'!I148</f>
        <v>0.15511955855303494</v>
      </c>
      <c r="F153" s="18">
        <v>0</v>
      </c>
      <c r="G153" s="28">
        <f t="shared" si="44"/>
        <v>0</v>
      </c>
      <c r="H153" s="11">
        <f t="shared" si="45"/>
        <v>1884</v>
      </c>
      <c r="I153" s="18">
        <v>0</v>
      </c>
      <c r="J153" s="28">
        <f t="shared" si="22"/>
        <v>0</v>
      </c>
      <c r="K153" s="50">
        <f t="shared" si="23"/>
        <v>1884</v>
      </c>
      <c r="L153" s="28">
        <f t="shared" ref="L153:L219" si="46">K153-H153</f>
        <v>0</v>
      </c>
    </row>
    <row r="154" spans="1:12" x14ac:dyDescent="0.25">
      <c r="A154" s="2" t="s">
        <v>37</v>
      </c>
      <c r="B154" s="2" t="s">
        <v>8</v>
      </c>
      <c r="C154" s="42" t="str">
        <f t="shared" si="39"/>
        <v>Mckenzie's|FX Matt</v>
      </c>
      <c r="D154" s="26">
        <f>'[1]2024 Finish'!H149</f>
        <v>341</v>
      </c>
      <c r="E154" s="27">
        <f>'[1]2024 Finish'!I149</f>
        <v>-0.18421052631578949</v>
      </c>
      <c r="F154" s="18">
        <v>0</v>
      </c>
      <c r="G154" s="28">
        <f t="shared" si="44"/>
        <v>0</v>
      </c>
      <c r="H154" s="11">
        <f t="shared" si="45"/>
        <v>341</v>
      </c>
      <c r="I154" s="18">
        <v>0</v>
      </c>
      <c r="J154" s="28">
        <f t="shared" si="22"/>
        <v>0</v>
      </c>
      <c r="K154" s="50">
        <f t="shared" si="23"/>
        <v>341</v>
      </c>
      <c r="L154" s="28">
        <f t="shared" si="46"/>
        <v>0</v>
      </c>
    </row>
    <row r="155" spans="1:12" x14ac:dyDescent="0.25">
      <c r="A155" s="2" t="s">
        <v>400</v>
      </c>
      <c r="B155" s="2" t="s">
        <v>8</v>
      </c>
      <c r="C155" s="42" t="str">
        <f t="shared" si="39"/>
        <v>Right Coast|FX Matt</v>
      </c>
      <c r="D155" s="26">
        <f>'[1]2024 Finish'!H150</f>
        <v>1395</v>
      </c>
      <c r="E155" s="27" t="e">
        <f>'[1]2024 Finish'!I150</f>
        <v>#DIV/0!</v>
      </c>
      <c r="F155" s="18">
        <v>0</v>
      </c>
      <c r="G155" s="28">
        <f t="shared" si="44"/>
        <v>0</v>
      </c>
      <c r="H155" s="11">
        <f t="shared" si="45"/>
        <v>1395</v>
      </c>
      <c r="I155" s="18">
        <v>1</v>
      </c>
      <c r="J155" s="28">
        <f t="shared" si="22"/>
        <v>1395</v>
      </c>
      <c r="K155" s="50">
        <f t="shared" si="23"/>
        <v>2790</v>
      </c>
      <c r="L155" s="28">
        <f t="shared" si="46"/>
        <v>1395</v>
      </c>
    </row>
    <row r="156" spans="1:12" x14ac:dyDescent="0.25">
      <c r="A156" s="20" t="s">
        <v>219</v>
      </c>
      <c r="B156" s="21"/>
      <c r="C156" s="42" t="str">
        <f t="shared" si="39"/>
        <v>Victory Brewing Company|</v>
      </c>
      <c r="D156" s="10">
        <f>'[1]2024 Finish'!H151</f>
        <v>23186</v>
      </c>
      <c r="E156" s="22">
        <f>'[1]2024 Finish'!I151</f>
        <v>-0.13838855267413086</v>
      </c>
      <c r="F156" s="23">
        <f>G156/D156</f>
        <v>3.9677930647804706E-2</v>
      </c>
      <c r="G156" s="24">
        <f>SUMIF($B157:$B573,$B157,G157:G573)</f>
        <v>919.97249999999997</v>
      </c>
      <c r="H156" s="25">
        <f>SUMIF($B157:$B573,$B157,H157:H573)</f>
        <v>24105.972499999996</v>
      </c>
      <c r="I156" s="23">
        <f>J156/D156</f>
        <v>3.9677930647804706E-2</v>
      </c>
      <c r="J156" s="24">
        <f>SUMIF($B157:$B573,$B157,J157:J573)</f>
        <v>919.97249999999997</v>
      </c>
      <c r="K156" s="48">
        <f>SUMIF($B157:$B573,$B157,K157:K573)</f>
        <v>24105.972499999996</v>
      </c>
      <c r="L156" s="49">
        <f>K156-H156</f>
        <v>0</v>
      </c>
    </row>
    <row r="157" spans="1:12" x14ac:dyDescent="0.25">
      <c r="A157" s="2" t="s">
        <v>9</v>
      </c>
      <c r="B157" s="2" t="s">
        <v>219</v>
      </c>
      <c r="C157" s="42" t="str">
        <f t="shared" si="39"/>
        <v>Monkey Family|Victory Brewing Company</v>
      </c>
      <c r="D157" s="26">
        <f>'[1]2024 Finish'!H152</f>
        <v>16591</v>
      </c>
      <c r="E157" s="27">
        <f>'[1]2024 Finish'!I152</f>
        <v>-5.5341006498331069E-2</v>
      </c>
      <c r="F157" s="18">
        <v>4.7500000000000001E-2</v>
      </c>
      <c r="G157" s="28">
        <f t="shared" ref="G157:G158" si="47">F157*D157</f>
        <v>788.07249999999999</v>
      </c>
      <c r="H157" s="11">
        <f t="shared" ref="H157:H158" si="48">D157+G157</f>
        <v>17379.072499999998</v>
      </c>
      <c r="I157" s="18">
        <v>4.7500000000000001E-2</v>
      </c>
      <c r="J157" s="28">
        <f t="shared" si="22"/>
        <v>788.07249999999999</v>
      </c>
      <c r="K157" s="50">
        <f t="shared" si="23"/>
        <v>17379.072499999998</v>
      </c>
      <c r="L157" s="28">
        <f t="shared" si="46"/>
        <v>0</v>
      </c>
    </row>
    <row r="158" spans="1:12" x14ac:dyDescent="0.25">
      <c r="A158" s="2" t="s">
        <v>220</v>
      </c>
      <c r="B158" s="2" t="s">
        <v>219</v>
      </c>
      <c r="C158" s="42" t="str">
        <f t="shared" si="39"/>
        <v>Victory|Victory Brewing Company</v>
      </c>
      <c r="D158" s="26">
        <f>'[1]2024 Finish'!H153</f>
        <v>6595</v>
      </c>
      <c r="E158" s="27">
        <f>'[1]2024 Finish'!I153</f>
        <v>-0.29443283685895028</v>
      </c>
      <c r="F158" s="18">
        <v>0.02</v>
      </c>
      <c r="G158" s="28">
        <f t="shared" si="47"/>
        <v>131.9</v>
      </c>
      <c r="H158" s="11">
        <f t="shared" si="48"/>
        <v>6726.9</v>
      </c>
      <c r="I158" s="18">
        <v>0.02</v>
      </c>
      <c r="J158" s="28">
        <f t="shared" si="22"/>
        <v>131.9</v>
      </c>
      <c r="K158" s="50">
        <f t="shared" si="23"/>
        <v>6726.9</v>
      </c>
      <c r="L158" s="28">
        <f t="shared" si="46"/>
        <v>0</v>
      </c>
    </row>
    <row r="159" spans="1:12" x14ac:dyDescent="0.25">
      <c r="A159" s="20" t="s">
        <v>93</v>
      </c>
      <c r="B159" s="21"/>
      <c r="C159" s="42" t="str">
        <f t="shared" si="39"/>
        <v>Montauk Brewing Co|</v>
      </c>
      <c r="D159" s="10">
        <f>'[1]2024 Finish'!H154</f>
        <v>32579</v>
      </c>
      <c r="E159" s="22">
        <f>'[1]2024 Finish'!I154</f>
        <v>-8.5646838196483888E-2</v>
      </c>
      <c r="F159" s="23">
        <f>G159/D159</f>
        <v>4.8000000000000001E-2</v>
      </c>
      <c r="G159" s="24">
        <f>SUMIF($B160:$B576,$B160,G160:G576)</f>
        <v>1563.7920000000001</v>
      </c>
      <c r="H159" s="25">
        <f>SUMIF($B160:$B576,$B160,H160:H576)</f>
        <v>34142.792000000001</v>
      </c>
      <c r="I159" s="23">
        <f>J159/D159</f>
        <v>4.8000000000000001E-2</v>
      </c>
      <c r="J159" s="24">
        <f>SUMIF($B160:$B576,$B160,J160:J576)</f>
        <v>1563.7920000000001</v>
      </c>
      <c r="K159" s="48">
        <f>SUMIF($B160:$B576,$B160,K160:K576)</f>
        <v>34142.792000000001</v>
      </c>
      <c r="L159" s="49">
        <f>K159-H159</f>
        <v>0</v>
      </c>
    </row>
    <row r="160" spans="1:12" x14ac:dyDescent="0.25">
      <c r="A160" s="2" t="s">
        <v>347</v>
      </c>
      <c r="B160" s="2" t="s">
        <v>93</v>
      </c>
      <c r="C160" s="42" t="str">
        <f t="shared" si="39"/>
        <v>Montauk|Montauk Brewing Co</v>
      </c>
      <c r="D160" s="26">
        <f>'[1]2024 Finish'!H155</f>
        <v>32579</v>
      </c>
      <c r="E160" s="27">
        <f>'[1]2024 Finish'!I155</f>
        <v>-8.5646838196483888E-2</v>
      </c>
      <c r="F160" s="18">
        <v>4.8000000000000001E-2</v>
      </c>
      <c r="G160" s="28">
        <f t="shared" ref="G160" si="49">F160*D160</f>
        <v>1563.7920000000001</v>
      </c>
      <c r="H160" s="11">
        <f t="shared" ref="H160" si="50">D160+G160</f>
        <v>34142.792000000001</v>
      </c>
      <c r="I160" s="18">
        <v>4.8000000000000001E-2</v>
      </c>
      <c r="J160" s="28">
        <f t="shared" si="22"/>
        <v>1563.7920000000001</v>
      </c>
      <c r="K160" s="50">
        <f t="shared" si="23"/>
        <v>34142.792000000001</v>
      </c>
      <c r="L160" s="28">
        <f t="shared" si="46"/>
        <v>0</v>
      </c>
    </row>
    <row r="161" spans="1:12" x14ac:dyDescent="0.25">
      <c r="A161" s="20" t="s">
        <v>113</v>
      </c>
      <c r="B161" s="21"/>
      <c r="C161" s="42" t="str">
        <f t="shared" si="39"/>
        <v>Cape May|</v>
      </c>
      <c r="D161" s="10">
        <f>'[1]2024 Finish'!H156</f>
        <v>29427</v>
      </c>
      <c r="E161" s="22">
        <f>'[1]2024 Finish'!I156</f>
        <v>8.4652658361157096E-2</v>
      </c>
      <c r="F161" s="23">
        <f>G161/D161</f>
        <v>0.06</v>
      </c>
      <c r="G161" s="24">
        <f>SUMIF($B162:$B578,$B162,G162:G578)</f>
        <v>1765.62</v>
      </c>
      <c r="H161" s="25">
        <f>SUMIF($B162:$B578,$B162,H162:H578)</f>
        <v>31192.62</v>
      </c>
      <c r="I161" s="23">
        <f>J161/D161</f>
        <v>0.06</v>
      </c>
      <c r="J161" s="24">
        <f>SUMIF($B162:$B578,$B162,J162:J578)</f>
        <v>1765.62</v>
      </c>
      <c r="K161" s="48">
        <f>SUMIF($B162:$B578,$B162,K162:K578)</f>
        <v>31192.62</v>
      </c>
      <c r="L161" s="49">
        <f>K161-H161</f>
        <v>0</v>
      </c>
    </row>
    <row r="162" spans="1:12" x14ac:dyDescent="0.25">
      <c r="A162" s="2" t="s">
        <v>113</v>
      </c>
      <c r="B162" s="2" t="s">
        <v>113</v>
      </c>
      <c r="C162" s="42" t="str">
        <f t="shared" si="39"/>
        <v>Cape May|Cape May</v>
      </c>
      <c r="D162" s="26">
        <f>'[1]2024 Finish'!H157</f>
        <v>29427</v>
      </c>
      <c r="E162" s="27">
        <f>'[1]2024 Finish'!I157</f>
        <v>8.4652658361157096E-2</v>
      </c>
      <c r="F162" s="18">
        <v>0.06</v>
      </c>
      <c r="G162" s="28">
        <f t="shared" ref="G162" si="51">F162*D162</f>
        <v>1765.62</v>
      </c>
      <c r="H162" s="11">
        <f t="shared" ref="H162" si="52">D162+G162</f>
        <v>31192.62</v>
      </c>
      <c r="I162" s="18">
        <v>0.06</v>
      </c>
      <c r="J162" s="28">
        <f t="shared" si="22"/>
        <v>1765.62</v>
      </c>
      <c r="K162" s="50">
        <f t="shared" si="23"/>
        <v>31192.62</v>
      </c>
      <c r="L162" s="28">
        <f t="shared" si="46"/>
        <v>0</v>
      </c>
    </row>
    <row r="163" spans="1:12" x14ac:dyDescent="0.25">
      <c r="A163" s="20" t="s">
        <v>318</v>
      </c>
      <c r="B163" s="21"/>
      <c r="C163" s="42" t="str">
        <f t="shared" si="39"/>
        <v>Lagunitas Brewing Co|</v>
      </c>
      <c r="D163" s="10">
        <f>'[1]2024 Finish'!H158</f>
        <v>22998.85940485332</v>
      </c>
      <c r="E163" s="22">
        <f>'[1]2024 Finish'!I158</f>
        <v>-6.1617628836498683E-2</v>
      </c>
      <c r="F163" s="23">
        <f>G163/D163</f>
        <v>-2.0138801368053814E-2</v>
      </c>
      <c r="G163" s="24">
        <f>SUMIF($B164:$B580,$B164,G164:G580)</f>
        <v>-463.16946124613736</v>
      </c>
      <c r="H163" s="25">
        <f>SUMIF($B164:$B580,$B164,H164:H580)</f>
        <v>22535.689943607176</v>
      </c>
      <c r="I163" s="23">
        <f>J163/D163</f>
        <v>-2.0138801368053814E-2</v>
      </c>
      <c r="J163" s="24">
        <f>SUMIF($B164:$B580,$B164,J164:J580)</f>
        <v>-463.16946124613736</v>
      </c>
      <c r="K163" s="48">
        <f>SUMIF($B164:$B580,$B164,K164:K580)</f>
        <v>22535.689943607176</v>
      </c>
      <c r="L163" s="49">
        <f>K163-H163</f>
        <v>0</v>
      </c>
    </row>
    <row r="164" spans="1:12" x14ac:dyDescent="0.25">
      <c r="A164" s="2" t="s">
        <v>434</v>
      </c>
      <c r="B164" s="2" t="s">
        <v>318</v>
      </c>
      <c r="C164" s="42" t="str">
        <f t="shared" si="39"/>
        <v>Lagunitas IPA|Lagunitas Brewing Co</v>
      </c>
      <c r="D164" s="26">
        <f>'[1]2024 Finish'!H159</f>
        <v>12368.174875095576</v>
      </c>
      <c r="E164" s="27">
        <f>'[1]2024 Finish'!I159</f>
        <v>-5.7345256578212656E-2</v>
      </c>
      <c r="F164" s="18">
        <v>-0.02</v>
      </c>
      <c r="G164" s="28">
        <f t="shared" ref="G164:G181" si="53">F164*D164</f>
        <v>-247.36349750191152</v>
      </c>
      <c r="H164" s="11">
        <f t="shared" ref="H164:H181" si="54">D164+G164</f>
        <v>12120.811377593664</v>
      </c>
      <c r="I164" s="18">
        <v>-0.02</v>
      </c>
      <c r="J164" s="28">
        <f t="shared" si="22"/>
        <v>-247.36349750191152</v>
      </c>
      <c r="K164" s="50">
        <f t="shared" si="23"/>
        <v>12120.811377593664</v>
      </c>
      <c r="L164" s="28">
        <f t="shared" si="46"/>
        <v>0</v>
      </c>
    </row>
    <row r="165" spans="1:12" x14ac:dyDescent="0.25">
      <c r="A165" s="2" t="s">
        <v>435</v>
      </c>
      <c r="B165" s="2" t="s">
        <v>318</v>
      </c>
      <c r="C165" s="42" t="str">
        <f t="shared" si="39"/>
        <v>Lagunitas Little Sumpin' IPA|Lagunitas Brewing Co</v>
      </c>
      <c r="D165" s="26">
        <f>'[1]2024 Finish'!H160</f>
        <v>4109.5926659577417</v>
      </c>
      <c r="E165" s="27">
        <f>'[1]2024 Finish'!I160</f>
        <v>0.18032199557370121</v>
      </c>
      <c r="F165" s="18">
        <v>0.1</v>
      </c>
      <c r="G165" s="28">
        <f t="shared" si="53"/>
        <v>410.95926659577418</v>
      </c>
      <c r="H165" s="11">
        <f t="shared" si="54"/>
        <v>4520.5519325535161</v>
      </c>
      <c r="I165" s="18">
        <v>0.1</v>
      </c>
      <c r="J165" s="28">
        <f t="shared" si="22"/>
        <v>410.95926659577418</v>
      </c>
      <c r="K165" s="50">
        <f t="shared" si="23"/>
        <v>4520.5519325535161</v>
      </c>
      <c r="L165" s="28">
        <f t="shared" si="46"/>
        <v>0</v>
      </c>
    </row>
    <row r="166" spans="1:12" x14ac:dyDescent="0.25">
      <c r="A166" s="2" t="s">
        <v>436</v>
      </c>
      <c r="B166" s="2" t="s">
        <v>318</v>
      </c>
      <c r="C166" s="42" t="str">
        <f t="shared" si="39"/>
        <v>Lagunitas Maximus|Lagunitas Brewing Co</v>
      </c>
      <c r="D166" s="26">
        <f>'[1]2024 Finish'!H161</f>
        <v>1994.4095447999998</v>
      </c>
      <c r="E166" s="27">
        <f>'[1]2024 Finish'!I161</f>
        <v>-7.7345695410806825E-2</v>
      </c>
      <c r="F166" s="18">
        <v>0.05</v>
      </c>
      <c r="G166" s="28">
        <f t="shared" si="53"/>
        <v>99.720477239999994</v>
      </c>
      <c r="H166" s="11">
        <f t="shared" si="54"/>
        <v>2094.1300220399999</v>
      </c>
      <c r="I166" s="18">
        <v>0.05</v>
      </c>
      <c r="J166" s="28">
        <f t="shared" si="22"/>
        <v>99.720477239999994</v>
      </c>
      <c r="K166" s="50">
        <f t="shared" si="23"/>
        <v>2094.1300220399999</v>
      </c>
      <c r="L166" s="28">
        <f t="shared" si="46"/>
        <v>0</v>
      </c>
    </row>
    <row r="167" spans="1:12" x14ac:dyDescent="0.25">
      <c r="A167" s="2" t="s">
        <v>437</v>
      </c>
      <c r="B167" s="2" t="s">
        <v>318</v>
      </c>
      <c r="C167" s="42" t="str">
        <f t="shared" si="39"/>
        <v>Lagunitas Variety|Lagunitas Brewing Co</v>
      </c>
      <c r="D167" s="26">
        <f>'[1]2024 Finish'!H162</f>
        <v>1270.411247</v>
      </c>
      <c r="E167" s="27">
        <f>'[1]2024 Finish'!I162</f>
        <v>-2.816917582417533E-3</v>
      </c>
      <c r="F167" s="18">
        <v>0</v>
      </c>
      <c r="G167" s="28">
        <f t="shared" si="53"/>
        <v>0</v>
      </c>
      <c r="H167" s="11">
        <f t="shared" si="54"/>
        <v>1270.411247</v>
      </c>
      <c r="I167" s="18">
        <v>0</v>
      </c>
      <c r="J167" s="28">
        <f t="shared" si="22"/>
        <v>0</v>
      </c>
      <c r="K167" s="50">
        <f t="shared" si="23"/>
        <v>1270.411247</v>
      </c>
      <c r="L167" s="28">
        <f t="shared" si="46"/>
        <v>0</v>
      </c>
    </row>
    <row r="168" spans="1:12" x14ac:dyDescent="0.25">
      <c r="A168" s="2" t="s">
        <v>438</v>
      </c>
      <c r="B168" s="2" t="s">
        <v>318</v>
      </c>
      <c r="C168" s="42" t="str">
        <f t="shared" si="39"/>
        <v>Lagunitas Daytime IPA|Lagunitas Brewing Co</v>
      </c>
      <c r="D168" s="26">
        <f>'[1]2024 Finish'!H163</f>
        <v>1440.290475</v>
      </c>
      <c r="E168" s="27">
        <f>'[1]2024 Finish'!I163</f>
        <v>0.10451723542944791</v>
      </c>
      <c r="F168" s="18">
        <v>0.05</v>
      </c>
      <c r="G168" s="28">
        <f t="shared" si="53"/>
        <v>72.014523750000009</v>
      </c>
      <c r="H168" s="11">
        <f t="shared" si="54"/>
        <v>1512.3049987500001</v>
      </c>
      <c r="I168" s="18">
        <v>0.05</v>
      </c>
      <c r="J168" s="28">
        <f t="shared" si="22"/>
        <v>72.014523750000009</v>
      </c>
      <c r="K168" s="50">
        <f t="shared" si="23"/>
        <v>1512.3049987500001</v>
      </c>
      <c r="L168" s="28">
        <f t="shared" si="46"/>
        <v>0</v>
      </c>
    </row>
    <row r="169" spans="1:12" x14ac:dyDescent="0.25">
      <c r="A169" s="2" t="s">
        <v>439</v>
      </c>
      <c r="B169" s="2" t="s">
        <v>318</v>
      </c>
      <c r="C169" s="42" t="str">
        <f t="shared" si="39"/>
        <v>Lagunitas Hazy Wonder|Lagunitas Brewing Co</v>
      </c>
      <c r="D169" s="26">
        <f>'[1]2024 Finish'!H164</f>
        <v>611.83950000000004</v>
      </c>
      <c r="E169" s="27">
        <f>'[1]2024 Finish'!I164</f>
        <v>-0.22528426357374387</v>
      </c>
      <c r="F169" s="18">
        <v>-0.79</v>
      </c>
      <c r="G169" s="28">
        <f t="shared" si="53"/>
        <v>-483.35320500000006</v>
      </c>
      <c r="H169" s="11">
        <f t="shared" si="54"/>
        <v>128.48629499999998</v>
      </c>
      <c r="I169" s="18">
        <v>-0.79</v>
      </c>
      <c r="J169" s="28">
        <f t="shared" si="22"/>
        <v>-483.35320500000006</v>
      </c>
      <c r="K169" s="50">
        <f t="shared" si="23"/>
        <v>128.48629499999998</v>
      </c>
      <c r="L169" s="28">
        <f t="shared" si="46"/>
        <v>0</v>
      </c>
    </row>
    <row r="170" spans="1:12" x14ac:dyDescent="0.25">
      <c r="A170" s="2" t="s">
        <v>440</v>
      </c>
      <c r="B170" s="2" t="s">
        <v>318</v>
      </c>
      <c r="C170" s="42" t="str">
        <f t="shared" si="39"/>
        <v>Lagunitas Hazy IPA|Lagunitas Brewing Co</v>
      </c>
      <c r="D170" s="26"/>
      <c r="E170" s="27"/>
      <c r="F170" s="18"/>
      <c r="G170" s="28"/>
      <c r="H170" s="11"/>
      <c r="I170" s="18"/>
      <c r="J170" s="28"/>
      <c r="K170" s="50"/>
      <c r="L170" s="28"/>
    </row>
    <row r="171" spans="1:12" x14ac:dyDescent="0.25">
      <c r="A171" s="2" t="s">
        <v>441</v>
      </c>
      <c r="B171" s="2" t="s">
        <v>318</v>
      </c>
      <c r="C171" s="42" t="str">
        <f t="shared" si="39"/>
        <v>Lagunitas Uncensored|Lagunitas Brewing Co</v>
      </c>
      <c r="D171" s="26"/>
      <c r="E171" s="27"/>
      <c r="F171" s="18"/>
      <c r="G171" s="28"/>
      <c r="H171" s="11"/>
      <c r="I171" s="18"/>
      <c r="J171" s="28"/>
      <c r="K171" s="50"/>
      <c r="L171" s="28"/>
    </row>
    <row r="172" spans="1:12" x14ac:dyDescent="0.25">
      <c r="A172" s="2" t="s">
        <v>318</v>
      </c>
      <c r="B172" s="2" t="s">
        <v>318</v>
      </c>
      <c r="C172" s="42" t="str">
        <f t="shared" si="39"/>
        <v>Lagunitas Brewing Co|Lagunitas Brewing Co</v>
      </c>
      <c r="D172" s="26">
        <f>'[1]2024 Finish'!H165</f>
        <v>0</v>
      </c>
      <c r="E172" s="27">
        <f>'[1]2024 Finish'!I165</f>
        <v>-1</v>
      </c>
      <c r="F172" s="18"/>
      <c r="G172" s="28">
        <f t="shared" si="53"/>
        <v>0</v>
      </c>
      <c r="H172" s="11">
        <f t="shared" si="54"/>
        <v>0</v>
      </c>
      <c r="I172" s="18"/>
      <c r="J172" s="28">
        <f t="shared" si="22"/>
        <v>0</v>
      </c>
      <c r="K172" s="50">
        <f t="shared" si="23"/>
        <v>0</v>
      </c>
      <c r="L172" s="28">
        <f t="shared" si="46"/>
        <v>0</v>
      </c>
    </row>
    <row r="173" spans="1:12" x14ac:dyDescent="0.25">
      <c r="A173" s="2" t="s">
        <v>442</v>
      </c>
      <c r="B173" s="2" t="s">
        <v>318</v>
      </c>
      <c r="C173" s="42" t="str">
        <f t="shared" si="39"/>
        <v>Lagunitas IPNA NA|Lagunitas Brewing Co</v>
      </c>
      <c r="D173" s="26">
        <f>'[1]2024 Finish'!H166</f>
        <v>262.01041500000002</v>
      </c>
      <c r="E173" s="27">
        <f>'[1]2024 Finish'!I166</f>
        <v>-0.41775463333333329</v>
      </c>
      <c r="F173" s="18">
        <v>-0.2</v>
      </c>
      <c r="G173" s="28">
        <f t="shared" si="53"/>
        <v>-52.402083000000005</v>
      </c>
      <c r="H173" s="11">
        <f t="shared" si="54"/>
        <v>209.60833200000002</v>
      </c>
      <c r="I173" s="18">
        <v>-0.2</v>
      </c>
      <c r="J173" s="28">
        <f t="shared" si="22"/>
        <v>-52.402083000000005</v>
      </c>
      <c r="K173" s="50">
        <f t="shared" si="23"/>
        <v>209.60833200000002</v>
      </c>
      <c r="L173" s="28">
        <f t="shared" si="46"/>
        <v>0</v>
      </c>
    </row>
    <row r="174" spans="1:12" x14ac:dyDescent="0.25">
      <c r="A174" s="2" t="s">
        <v>443</v>
      </c>
      <c r="B174" s="2" t="s">
        <v>318</v>
      </c>
      <c r="C174" s="42" t="str">
        <f t="shared" si="39"/>
        <v>Lagunitas Hoppy Refresher NA|Lagunitas Brewing Co</v>
      </c>
      <c r="D174" s="26">
        <f>'[1]2024 Finish'!H167</f>
        <v>271.69328000000002</v>
      </c>
      <c r="E174" s="27">
        <f>'[1]2024 Finish'!I167</f>
        <v>-0.50511242258652089</v>
      </c>
      <c r="F174" s="18">
        <v>-0.2</v>
      </c>
      <c r="G174" s="28">
        <f t="shared" si="53"/>
        <v>-54.338656000000007</v>
      </c>
      <c r="H174" s="11">
        <f t="shared" si="54"/>
        <v>217.354624</v>
      </c>
      <c r="I174" s="18">
        <v>-0.2</v>
      </c>
      <c r="J174" s="28">
        <f t="shared" si="22"/>
        <v>-54.338656000000007</v>
      </c>
      <c r="K174" s="50">
        <f t="shared" si="23"/>
        <v>217.354624</v>
      </c>
      <c r="L174" s="28">
        <f t="shared" si="46"/>
        <v>0</v>
      </c>
    </row>
    <row r="175" spans="1:12" x14ac:dyDescent="0.25">
      <c r="A175" s="2" t="s">
        <v>444</v>
      </c>
      <c r="B175" s="2" t="s">
        <v>318</v>
      </c>
      <c r="C175" s="42" t="str">
        <f t="shared" si="39"/>
        <v>Lagunitas Island Beats|Lagunitas Brewing Co</v>
      </c>
      <c r="D175" s="26">
        <f>'[1]2024 Finish'!H168</f>
        <v>272.44633099999999</v>
      </c>
      <c r="E175" s="27">
        <f>'[1]2024 Finish'!I168</f>
        <v>-0.43773973928174081</v>
      </c>
      <c r="F175" s="18">
        <v>-0.63</v>
      </c>
      <c r="G175" s="28">
        <f t="shared" si="53"/>
        <v>-171.64118852999999</v>
      </c>
      <c r="H175" s="11">
        <f t="shared" si="54"/>
        <v>100.80514246999999</v>
      </c>
      <c r="I175" s="18">
        <v>-0.63</v>
      </c>
      <c r="J175" s="28">
        <f t="shared" si="22"/>
        <v>-171.64118852999999</v>
      </c>
      <c r="K175" s="50">
        <f t="shared" si="23"/>
        <v>100.80514246999999</v>
      </c>
      <c r="L175" s="28">
        <f t="shared" si="46"/>
        <v>0</v>
      </c>
    </row>
    <row r="176" spans="1:12" x14ac:dyDescent="0.25">
      <c r="A176" s="2" t="s">
        <v>445</v>
      </c>
      <c r="B176" s="2" t="s">
        <v>318</v>
      </c>
      <c r="C176" s="42" t="str">
        <f t="shared" si="39"/>
        <v>Lagunitas Hoppy Variety NA|Lagunitas Brewing Co</v>
      </c>
      <c r="D176" s="26">
        <f>'[1]2024 Finish'!H169</f>
        <v>183.82549399999999</v>
      </c>
      <c r="E176" s="27">
        <f>'[1]2024 Finish'!I169</f>
        <v>-0.4463087530120482</v>
      </c>
      <c r="F176" s="18">
        <v>-0.2</v>
      </c>
      <c r="G176" s="28">
        <f t="shared" si="53"/>
        <v>-36.765098799999997</v>
      </c>
      <c r="H176" s="11">
        <f t="shared" si="54"/>
        <v>147.06039519999999</v>
      </c>
      <c r="I176" s="18">
        <v>-0.2</v>
      </c>
      <c r="J176" s="28">
        <f t="shared" si="22"/>
        <v>-36.765098799999997</v>
      </c>
      <c r="K176" s="50">
        <f t="shared" si="23"/>
        <v>147.06039519999999</v>
      </c>
      <c r="L176" s="28">
        <f t="shared" si="46"/>
        <v>0</v>
      </c>
    </row>
    <row r="177" spans="1:12" x14ac:dyDescent="0.25">
      <c r="A177" s="2" t="s">
        <v>446</v>
      </c>
      <c r="B177" s="2" t="s">
        <v>318</v>
      </c>
      <c r="C177" s="42" t="str">
        <f t="shared" si="39"/>
        <v>Lagunitas Tiki Fusion Zombie|Lagunitas Brewing Co</v>
      </c>
      <c r="D177" s="26">
        <f>'[1]2024 Finish'!H170</f>
        <v>8.7211320000000008</v>
      </c>
      <c r="E177" s="27">
        <f>'[1]2024 Finish'!I170</f>
        <v>-0.8732393604651163</v>
      </c>
      <c r="F177" s="18">
        <v>0</v>
      </c>
      <c r="G177" s="28">
        <f t="shared" si="53"/>
        <v>0</v>
      </c>
      <c r="H177" s="11">
        <f t="shared" si="54"/>
        <v>8.7211320000000008</v>
      </c>
      <c r="I177" s="18">
        <v>0</v>
      </c>
      <c r="J177" s="28">
        <f t="shared" si="22"/>
        <v>0</v>
      </c>
      <c r="K177" s="50">
        <f t="shared" si="23"/>
        <v>8.7211320000000008</v>
      </c>
      <c r="L177" s="28">
        <f t="shared" si="46"/>
        <v>0</v>
      </c>
    </row>
    <row r="178" spans="1:12" x14ac:dyDescent="0.25">
      <c r="A178" s="2" t="s">
        <v>447</v>
      </c>
      <c r="B178" s="2" t="s">
        <v>318</v>
      </c>
      <c r="C178" s="42" t="str">
        <f t="shared" si="39"/>
        <v>Lagunitas Willettized Woodshop|Lagunitas Brewing Co</v>
      </c>
      <c r="D178" s="26">
        <f>'[1]2024 Finish'!H171</f>
        <v>0</v>
      </c>
      <c r="E178" s="27">
        <f>'[1]2024 Finish'!I171</f>
        <v>-1</v>
      </c>
      <c r="F178" s="18">
        <v>0</v>
      </c>
      <c r="G178" s="28">
        <f t="shared" si="53"/>
        <v>0</v>
      </c>
      <c r="H178" s="11">
        <f t="shared" si="54"/>
        <v>0</v>
      </c>
      <c r="I178" s="18">
        <v>0</v>
      </c>
      <c r="J178" s="28">
        <f t="shared" si="22"/>
        <v>0</v>
      </c>
      <c r="K178" s="50">
        <f t="shared" si="23"/>
        <v>0</v>
      </c>
      <c r="L178" s="28">
        <f t="shared" si="46"/>
        <v>0</v>
      </c>
    </row>
    <row r="179" spans="1:12" x14ac:dyDescent="0.25">
      <c r="A179" s="2" t="s">
        <v>448</v>
      </c>
      <c r="B179" s="2" t="s">
        <v>318</v>
      </c>
      <c r="C179" s="42" t="str">
        <f t="shared" si="39"/>
        <v>Lagunitas Waldo|Lagunitas Brewing Co</v>
      </c>
      <c r="D179" s="26">
        <f>'[1]2024 Finish'!H172</f>
        <v>20</v>
      </c>
      <c r="E179" s="27">
        <f>'[1]2024 Finish'!I172</f>
        <v>-0.56521739130434789</v>
      </c>
      <c r="F179" s="18">
        <v>0</v>
      </c>
      <c r="G179" s="28">
        <f t="shared" si="53"/>
        <v>0</v>
      </c>
      <c r="H179" s="11">
        <f t="shared" si="54"/>
        <v>20</v>
      </c>
      <c r="I179" s="18">
        <v>0</v>
      </c>
      <c r="J179" s="28">
        <f t="shared" si="22"/>
        <v>0</v>
      </c>
      <c r="K179" s="50">
        <f t="shared" si="23"/>
        <v>20</v>
      </c>
      <c r="L179" s="28">
        <f t="shared" si="46"/>
        <v>0</v>
      </c>
    </row>
    <row r="180" spans="1:12" x14ac:dyDescent="0.25">
      <c r="A180" s="2" t="s">
        <v>449</v>
      </c>
      <c r="B180" s="2" t="s">
        <v>318</v>
      </c>
      <c r="C180" s="42" t="str">
        <f t="shared" si="39"/>
        <v>Lagunitas Tri-Pack|Lagunitas Brewing Co</v>
      </c>
      <c r="D180" s="26">
        <f>'[1]2024 Finish'!H173</f>
        <v>0</v>
      </c>
      <c r="E180" s="27">
        <f>'[1]2024 Finish'!I173</f>
        <v>-1</v>
      </c>
      <c r="F180" s="18">
        <v>0</v>
      </c>
      <c r="G180" s="28">
        <f t="shared" si="53"/>
        <v>0</v>
      </c>
      <c r="H180" s="11">
        <f t="shared" si="54"/>
        <v>0</v>
      </c>
      <c r="I180" s="18">
        <v>0</v>
      </c>
      <c r="J180" s="28">
        <f t="shared" si="22"/>
        <v>0</v>
      </c>
      <c r="K180" s="50">
        <f t="shared" si="23"/>
        <v>0</v>
      </c>
      <c r="L180" s="28">
        <f t="shared" si="46"/>
        <v>0</v>
      </c>
    </row>
    <row r="181" spans="1:12" x14ac:dyDescent="0.25">
      <c r="A181" s="2" t="s">
        <v>450</v>
      </c>
      <c r="B181" s="2" t="s">
        <v>318</v>
      </c>
      <c r="C181" s="42" t="str">
        <f t="shared" si="39"/>
        <v>Lagunitas Beast of Both Worlds|Lagunitas Brewing Co</v>
      </c>
      <c r="D181" s="26">
        <f>'[1]2024 Finish'!H174</f>
        <v>185.444445</v>
      </c>
      <c r="E181" s="27" t="e">
        <f>'[1]2024 Finish'!I174</f>
        <v>#DIV/0!</v>
      </c>
      <c r="F181" s="18">
        <v>0</v>
      </c>
      <c r="G181" s="28">
        <f t="shared" si="53"/>
        <v>0</v>
      </c>
      <c r="H181" s="11">
        <f t="shared" si="54"/>
        <v>185.444445</v>
      </c>
      <c r="I181" s="18">
        <v>0</v>
      </c>
      <c r="J181" s="28">
        <f t="shared" si="22"/>
        <v>0</v>
      </c>
      <c r="K181" s="50">
        <f t="shared" si="23"/>
        <v>185.444445</v>
      </c>
      <c r="L181" s="28">
        <f t="shared" si="46"/>
        <v>0</v>
      </c>
    </row>
    <row r="182" spans="1:12" x14ac:dyDescent="0.25">
      <c r="A182" s="20" t="s">
        <v>166</v>
      </c>
      <c r="B182" s="21"/>
      <c r="C182" s="42" t="str">
        <f t="shared" si="39"/>
        <v>US Beverage|</v>
      </c>
      <c r="D182" s="10">
        <f>'[1]2024 Finish'!H175</f>
        <v>22925</v>
      </c>
      <c r="E182" s="22">
        <f>'[1]2024 Finish'!I175</f>
        <v>-0.14255404253174031</v>
      </c>
      <c r="F182" s="23">
        <f>G182/D182</f>
        <v>0.12907018538713197</v>
      </c>
      <c r="G182" s="24">
        <f>SUMIF($B183:$B597,$B183,G183:G597)</f>
        <v>2958.9340000000002</v>
      </c>
      <c r="H182" s="25">
        <f>SUMIF($B183:$B597,$B183,H183:H597)</f>
        <v>25883.933999999997</v>
      </c>
      <c r="I182" s="23">
        <f>J182/D182</f>
        <v>4.9997382769901844E-2</v>
      </c>
      <c r="J182" s="24">
        <f>SUMIF($B183:$B597,$B183,J183:J597)</f>
        <v>1146.1899999999998</v>
      </c>
      <c r="K182" s="48">
        <f>SUMIF($B183:$B597,$B183,K183:K597)</f>
        <v>24071.189999999995</v>
      </c>
      <c r="L182" s="49">
        <f>K182-H182</f>
        <v>-1812.7440000000024</v>
      </c>
    </row>
    <row r="183" spans="1:12" x14ac:dyDescent="0.25">
      <c r="A183" s="2" t="s">
        <v>263</v>
      </c>
      <c r="B183" s="2" t="s">
        <v>166</v>
      </c>
      <c r="C183" s="42" t="str">
        <f t="shared" si="39"/>
        <v>Dragon Stout|US Beverage</v>
      </c>
      <c r="D183" s="26">
        <f>'[1]2024 Finish'!H176</f>
        <v>7715</v>
      </c>
      <c r="E183" s="27">
        <f>'[1]2024 Finish'!I176</f>
        <v>-4.4647638132593759E-2</v>
      </c>
      <c r="F183" s="18">
        <v>0.01</v>
      </c>
      <c r="G183" s="28">
        <f t="shared" ref="G183:G196" si="55">F183*D183</f>
        <v>77.150000000000006</v>
      </c>
      <c r="H183" s="11">
        <f t="shared" ref="H183:H196" si="56">D183+G183</f>
        <v>7792.15</v>
      </c>
      <c r="I183" s="18">
        <v>0.01</v>
      </c>
      <c r="J183" s="28">
        <f t="shared" si="22"/>
        <v>77.150000000000006</v>
      </c>
      <c r="K183" s="50">
        <f t="shared" si="23"/>
        <v>7792.15</v>
      </c>
      <c r="L183" s="28">
        <f t="shared" si="46"/>
        <v>0</v>
      </c>
    </row>
    <row r="184" spans="1:12" x14ac:dyDescent="0.25">
      <c r="A184" s="2" t="s">
        <v>380</v>
      </c>
      <c r="B184" s="2" t="s">
        <v>166</v>
      </c>
      <c r="C184" s="42" t="str">
        <f t="shared" si="39"/>
        <v>Moosehead|US Beverage</v>
      </c>
      <c r="D184" s="26">
        <f>'[1]2024 Finish'!H177</f>
        <v>3060</v>
      </c>
      <c r="E184" s="27">
        <f>'[1]2024 Finish'!I177</f>
        <v>-0.14710925237539763</v>
      </c>
      <c r="F184" s="18">
        <v>8.7999999999999995E-2</v>
      </c>
      <c r="G184" s="28">
        <f t="shared" si="55"/>
        <v>269.27999999999997</v>
      </c>
      <c r="H184" s="11">
        <f t="shared" si="56"/>
        <v>3329.2799999999997</v>
      </c>
      <c r="I184" s="18">
        <v>0.05</v>
      </c>
      <c r="J184" s="28">
        <f t="shared" si="22"/>
        <v>153</v>
      </c>
      <c r="K184" s="50">
        <f t="shared" si="23"/>
        <v>3213</v>
      </c>
      <c r="L184" s="28">
        <f t="shared" si="46"/>
        <v>-116.27999999999975</v>
      </c>
    </row>
    <row r="185" spans="1:12" x14ac:dyDescent="0.25">
      <c r="A185" s="2" t="s">
        <v>265</v>
      </c>
      <c r="B185" s="2" t="s">
        <v>166</v>
      </c>
      <c r="C185" s="42" t="str">
        <f t="shared" si="39"/>
        <v>Malibu Splash|US Beverage</v>
      </c>
      <c r="D185" s="26">
        <f>'[1]2024 Finish'!H178</f>
        <v>2808</v>
      </c>
      <c r="E185" s="27">
        <f>'[1]2024 Finish'!I178</f>
        <v>-0.52049180327868849</v>
      </c>
      <c r="F185" s="18">
        <v>0.16800000000000001</v>
      </c>
      <c r="G185" s="28">
        <f t="shared" si="55"/>
        <v>471.74400000000003</v>
      </c>
      <c r="H185" s="11">
        <f t="shared" si="56"/>
        <v>3279.7440000000001</v>
      </c>
      <c r="I185" s="18">
        <v>-0.1</v>
      </c>
      <c r="J185" s="28">
        <f t="shared" si="22"/>
        <v>-280.8</v>
      </c>
      <c r="K185" s="50">
        <f t="shared" si="23"/>
        <v>2527.1999999999998</v>
      </c>
      <c r="L185" s="28">
        <f t="shared" si="46"/>
        <v>-752.54400000000032</v>
      </c>
    </row>
    <row r="186" spans="1:12" x14ac:dyDescent="0.25">
      <c r="A186" s="2" t="s">
        <v>10</v>
      </c>
      <c r="B186" s="2" t="s">
        <v>166</v>
      </c>
      <c r="C186" s="42" t="str">
        <f t="shared" si="39"/>
        <v>Estrella|US Beverage</v>
      </c>
      <c r="D186" s="26">
        <f>'[1]2024 Finish'!H179</f>
        <v>1979</v>
      </c>
      <c r="E186" s="27">
        <f>'[1]2024 Finish'!I179</f>
        <v>7.8065900528793364E-2</v>
      </c>
      <c r="F186" s="18">
        <v>0.12</v>
      </c>
      <c r="G186" s="28">
        <f t="shared" si="55"/>
        <v>237.48</v>
      </c>
      <c r="H186" s="11">
        <f t="shared" si="56"/>
        <v>2216.48</v>
      </c>
      <c r="I186" s="18">
        <v>0.12</v>
      </c>
      <c r="J186" s="28">
        <f t="shared" si="22"/>
        <v>237.48</v>
      </c>
      <c r="K186" s="50">
        <f t="shared" si="23"/>
        <v>2216.48</v>
      </c>
      <c r="L186" s="28">
        <f t="shared" si="46"/>
        <v>0</v>
      </c>
    </row>
    <row r="187" spans="1:12" x14ac:dyDescent="0.25">
      <c r="A187" s="2" t="s">
        <v>264</v>
      </c>
      <c r="B187" s="2" t="s">
        <v>166</v>
      </c>
      <c r="C187" s="42" t="str">
        <f t="shared" si="39"/>
        <v>Birra Moretti|US Beverage</v>
      </c>
      <c r="D187" s="26">
        <f>'[1]2024 Finish'!H180</f>
        <v>1730</v>
      </c>
      <c r="E187" s="27">
        <f>'[1]2024 Finish'!I180</f>
        <v>0.28624535315985122</v>
      </c>
      <c r="F187" s="18">
        <v>0.42</v>
      </c>
      <c r="G187" s="28">
        <f t="shared" si="55"/>
        <v>726.6</v>
      </c>
      <c r="H187" s="11">
        <f t="shared" si="56"/>
        <v>2456.6</v>
      </c>
      <c r="I187" s="18">
        <v>0.3</v>
      </c>
      <c r="J187" s="28">
        <f t="shared" si="22"/>
        <v>519</v>
      </c>
      <c r="K187" s="50">
        <f t="shared" si="23"/>
        <v>2249</v>
      </c>
      <c r="L187" s="28">
        <f t="shared" si="46"/>
        <v>-207.59999999999991</v>
      </c>
    </row>
    <row r="188" spans="1:12" x14ac:dyDescent="0.25">
      <c r="A188" s="2" t="s">
        <v>295</v>
      </c>
      <c r="B188" s="2" t="s">
        <v>166</v>
      </c>
      <c r="C188" s="42" t="str">
        <f t="shared" si="39"/>
        <v>Innis &amp; Gunn|US Beverage</v>
      </c>
      <c r="D188" s="26">
        <f>'[1]2024 Finish'!H181</f>
        <v>782</v>
      </c>
      <c r="E188" s="27">
        <f>'[1]2024 Finish'!I181</f>
        <v>-0.34024113353012231</v>
      </c>
      <c r="F188" s="18">
        <v>0.14000000000000001</v>
      </c>
      <c r="G188" s="28">
        <f t="shared" si="55"/>
        <v>109.48</v>
      </c>
      <c r="H188" s="11">
        <f t="shared" si="56"/>
        <v>891.48</v>
      </c>
      <c r="I188" s="18">
        <v>0.05</v>
      </c>
      <c r="J188" s="28">
        <f t="shared" si="22"/>
        <v>39.1</v>
      </c>
      <c r="K188" s="50">
        <f t="shared" si="23"/>
        <v>821.1</v>
      </c>
      <c r="L188" s="28">
        <f t="shared" si="46"/>
        <v>-70.38</v>
      </c>
    </row>
    <row r="189" spans="1:12" x14ac:dyDescent="0.25">
      <c r="A189" s="2" t="s">
        <v>94</v>
      </c>
      <c r="B189" s="2" t="s">
        <v>166</v>
      </c>
      <c r="C189" s="42" t="str">
        <f t="shared" si="39"/>
        <v>Czechvar|US Beverage</v>
      </c>
      <c r="D189" s="26">
        <f>'[1]2024 Finish'!H182</f>
        <v>1460</v>
      </c>
      <c r="E189" s="27">
        <f>'[1]2024 Finish'!I182</f>
        <v>0.18150924628338339</v>
      </c>
      <c r="F189" s="18">
        <v>0.1</v>
      </c>
      <c r="G189" s="28">
        <f t="shared" si="55"/>
        <v>146</v>
      </c>
      <c r="H189" s="11">
        <f t="shared" si="56"/>
        <v>1606</v>
      </c>
      <c r="I189" s="18">
        <v>0.1</v>
      </c>
      <c r="J189" s="28">
        <f t="shared" si="22"/>
        <v>146</v>
      </c>
      <c r="K189" s="50">
        <f t="shared" si="23"/>
        <v>1606</v>
      </c>
      <c r="L189" s="28">
        <f t="shared" si="46"/>
        <v>0</v>
      </c>
    </row>
    <row r="190" spans="1:12" x14ac:dyDescent="0.25">
      <c r="A190" s="2" t="s">
        <v>192</v>
      </c>
      <c r="B190" s="2" t="s">
        <v>166</v>
      </c>
      <c r="C190" s="42" t="str">
        <f t="shared" si="39"/>
        <v>Daura|US Beverage</v>
      </c>
      <c r="D190" s="26">
        <f>'[1]2024 Finish'!H183</f>
        <v>1515</v>
      </c>
      <c r="E190" s="27">
        <f>'[1]2024 Finish'!I183</f>
        <v>0.28019498740269544</v>
      </c>
      <c r="F190" s="18">
        <v>0.25</v>
      </c>
      <c r="G190" s="28">
        <f t="shared" si="55"/>
        <v>378.75</v>
      </c>
      <c r="H190" s="11">
        <f t="shared" si="56"/>
        <v>1893.75</v>
      </c>
      <c r="I190" s="18">
        <v>0.25</v>
      </c>
      <c r="J190" s="28">
        <f t="shared" si="22"/>
        <v>378.75</v>
      </c>
      <c r="K190" s="50">
        <f t="shared" si="23"/>
        <v>1893.75</v>
      </c>
      <c r="L190" s="28">
        <f t="shared" si="46"/>
        <v>0</v>
      </c>
    </row>
    <row r="191" spans="1:12" x14ac:dyDescent="0.25">
      <c r="A191" s="2" t="s">
        <v>349</v>
      </c>
      <c r="B191" s="2" t="s">
        <v>166</v>
      </c>
      <c r="C191" s="42" t="str">
        <f t="shared" si="39"/>
        <v>Krusovice|US Beverage</v>
      </c>
      <c r="D191" s="26">
        <f>'[1]2024 Finish'!H184</f>
        <v>945</v>
      </c>
      <c r="E191" s="27">
        <f>'[1]2024 Finish'!I184</f>
        <v>-0.26658103582456882</v>
      </c>
      <c r="F191" s="18">
        <v>0.14000000000000001</v>
      </c>
      <c r="G191" s="28">
        <f t="shared" si="55"/>
        <v>132.30000000000001</v>
      </c>
      <c r="H191" s="11">
        <f t="shared" si="56"/>
        <v>1077.3</v>
      </c>
      <c r="I191" s="18">
        <v>0.05</v>
      </c>
      <c r="J191" s="28">
        <f t="shared" si="22"/>
        <v>47.25</v>
      </c>
      <c r="K191" s="50">
        <f t="shared" si="23"/>
        <v>992.25</v>
      </c>
      <c r="L191" s="28">
        <f t="shared" si="46"/>
        <v>-85.049999999999955</v>
      </c>
    </row>
    <row r="192" spans="1:12" x14ac:dyDescent="0.25">
      <c r="A192" s="2" t="s">
        <v>167</v>
      </c>
      <c r="B192" s="2" t="s">
        <v>166</v>
      </c>
      <c r="C192" s="42" t="str">
        <f t="shared" si="39"/>
        <v>Superior Cerveza|US Beverage</v>
      </c>
      <c r="D192" s="26">
        <f>'[1]2024 Finish'!H185</f>
        <v>-6</v>
      </c>
      <c r="E192" s="27">
        <f>'[1]2024 Finish'!I185</f>
        <v>-1.0054754151487142</v>
      </c>
      <c r="F192" s="18">
        <v>0</v>
      </c>
      <c r="G192" s="28">
        <f t="shared" si="55"/>
        <v>0</v>
      </c>
      <c r="H192" s="11">
        <f t="shared" si="56"/>
        <v>-6</v>
      </c>
      <c r="I192" s="18">
        <v>0</v>
      </c>
      <c r="J192" s="28">
        <f t="shared" si="22"/>
        <v>0</v>
      </c>
      <c r="K192" s="50">
        <f t="shared" si="23"/>
        <v>-6</v>
      </c>
      <c r="L192" s="28">
        <f t="shared" si="46"/>
        <v>0</v>
      </c>
    </row>
    <row r="193" spans="1:12" x14ac:dyDescent="0.25">
      <c r="A193" s="2" t="s">
        <v>140</v>
      </c>
      <c r="B193" s="2" t="s">
        <v>166</v>
      </c>
      <c r="C193" s="42" t="str">
        <f t="shared" si="39"/>
        <v>Sagres Cerveja|US Beverage</v>
      </c>
      <c r="D193" s="26">
        <f>'[1]2024 Finish'!H186</f>
        <v>152</v>
      </c>
      <c r="E193" s="27">
        <f>'[1]2024 Finish'!I186</f>
        <v>2.1909023678762791</v>
      </c>
      <c r="F193" s="18">
        <v>0</v>
      </c>
      <c r="G193" s="28">
        <f t="shared" si="55"/>
        <v>0</v>
      </c>
      <c r="H193" s="11">
        <f t="shared" si="56"/>
        <v>152</v>
      </c>
      <c r="I193" s="18">
        <v>0</v>
      </c>
      <c r="J193" s="28">
        <f t="shared" si="22"/>
        <v>0</v>
      </c>
      <c r="K193" s="50">
        <f t="shared" si="23"/>
        <v>152</v>
      </c>
      <c r="L193" s="28">
        <f t="shared" si="46"/>
        <v>0</v>
      </c>
    </row>
    <row r="194" spans="1:12" x14ac:dyDescent="0.25">
      <c r="A194" s="2" t="s">
        <v>40</v>
      </c>
      <c r="B194" s="2" t="s">
        <v>166</v>
      </c>
      <c r="C194" s="42" t="str">
        <f t="shared" si="39"/>
        <v>Tagus|US Beverage</v>
      </c>
      <c r="D194" s="26">
        <f>'[1]2024 Finish'!H187</f>
        <v>86</v>
      </c>
      <c r="E194" s="27" t="e">
        <f>'[1]2024 Finish'!I187</f>
        <v>#DIV/0!</v>
      </c>
      <c r="F194" s="18">
        <v>0.91</v>
      </c>
      <c r="G194" s="28">
        <f t="shared" si="55"/>
        <v>78.260000000000005</v>
      </c>
      <c r="H194" s="11">
        <f t="shared" si="56"/>
        <v>164.26</v>
      </c>
      <c r="I194" s="18">
        <v>0.91</v>
      </c>
      <c r="J194" s="28">
        <f t="shared" si="22"/>
        <v>78.260000000000005</v>
      </c>
      <c r="K194" s="50">
        <f t="shared" si="23"/>
        <v>164.26</v>
      </c>
      <c r="L194" s="28">
        <f t="shared" si="46"/>
        <v>0</v>
      </c>
    </row>
    <row r="195" spans="1:12" x14ac:dyDescent="0.25">
      <c r="A195" s="2" t="s">
        <v>410</v>
      </c>
      <c r="B195" s="2" t="s">
        <v>166</v>
      </c>
      <c r="C195" s="42" t="str">
        <f t="shared" si="39"/>
        <v>La Tropical|US Beverage</v>
      </c>
      <c r="D195" s="26">
        <f>'[1]2024 Finish'!H188</f>
        <v>632</v>
      </c>
      <c r="E195" s="27" t="e">
        <f>'[1]2024 Finish'!I188</f>
        <v>#DIV/0!</v>
      </c>
      <c r="F195" s="18">
        <v>-0.5</v>
      </c>
      <c r="G195" s="28">
        <f t="shared" si="55"/>
        <v>-316</v>
      </c>
      <c r="H195" s="11">
        <f t="shared" si="56"/>
        <v>316</v>
      </c>
      <c r="I195" s="18">
        <v>-0.5</v>
      </c>
      <c r="J195" s="28">
        <f t="shared" si="22"/>
        <v>-316</v>
      </c>
      <c r="K195" s="50">
        <f t="shared" si="23"/>
        <v>316</v>
      </c>
      <c r="L195" s="28">
        <f t="shared" si="46"/>
        <v>0</v>
      </c>
    </row>
    <row r="196" spans="1:12" x14ac:dyDescent="0.25">
      <c r="A196" s="2" t="s">
        <v>248</v>
      </c>
      <c r="B196" s="2" t="s">
        <v>166</v>
      </c>
      <c r="C196" s="42" t="str">
        <f t="shared" si="39"/>
        <v>Dewey Crush|US Beverage</v>
      </c>
      <c r="D196" s="26">
        <f>'[1]2024 Finish'!H189</f>
        <v>67</v>
      </c>
      <c r="E196" s="27" t="e">
        <f>'[1]2024 Finish'!I189</f>
        <v>#DIV/0!</v>
      </c>
      <c r="F196" s="18">
        <v>9.67</v>
      </c>
      <c r="G196" s="28">
        <f t="shared" si="55"/>
        <v>647.89</v>
      </c>
      <c r="H196" s="11">
        <f t="shared" si="56"/>
        <v>714.89</v>
      </c>
      <c r="I196" s="18">
        <v>1</v>
      </c>
      <c r="J196" s="28">
        <f t="shared" si="22"/>
        <v>67</v>
      </c>
      <c r="K196" s="50">
        <f t="shared" si="23"/>
        <v>134</v>
      </c>
      <c r="L196" s="28">
        <f t="shared" si="46"/>
        <v>-580.89</v>
      </c>
    </row>
    <row r="197" spans="1:12" x14ac:dyDescent="0.25">
      <c r="A197" s="20" t="s">
        <v>38</v>
      </c>
      <c r="B197" s="21"/>
      <c r="C197" s="42" t="str">
        <f t="shared" ref="C197:C260" si="57">A197 &amp; "|" &amp; B197</f>
        <v>Sixpoint Brewing|</v>
      </c>
      <c r="D197" s="10">
        <f>'[1]2024 Finish'!H190</f>
        <v>22918</v>
      </c>
      <c r="E197" s="22">
        <f>'[1]2024 Finish'!I190</f>
        <v>3.2181316411463712E-3</v>
      </c>
      <c r="F197" s="23">
        <f>G197/D197</f>
        <v>3.5000000000000003E-2</v>
      </c>
      <c r="G197" s="24">
        <f>SUMIF($B198:$B612,$B198,G198:G612)</f>
        <v>802.13000000000011</v>
      </c>
      <c r="H197" s="25">
        <f>SUMIF($B198:$B612,$B198,H198:H612)</f>
        <v>23720.13</v>
      </c>
      <c r="I197" s="23">
        <f>J197/D197</f>
        <v>3.5000000000000003E-2</v>
      </c>
      <c r="J197" s="24">
        <f>SUMIF($B198:$B612,$B198,J198:J612)</f>
        <v>802.13000000000011</v>
      </c>
      <c r="K197" s="48">
        <f>SUMIF($B198:$B612,$B198,K198:K612)</f>
        <v>23720.13</v>
      </c>
      <c r="L197" s="49">
        <f>K197-H197</f>
        <v>0</v>
      </c>
    </row>
    <row r="198" spans="1:12" x14ac:dyDescent="0.25">
      <c r="A198" s="2" t="s">
        <v>403</v>
      </c>
      <c r="B198" s="2" t="s">
        <v>38</v>
      </c>
      <c r="C198" s="42" t="str">
        <f t="shared" si="57"/>
        <v>Sixpoint|Sixpoint Brewing</v>
      </c>
      <c r="D198" s="26">
        <f>'[1]2024 Finish'!H191</f>
        <v>22918</v>
      </c>
      <c r="E198" s="27">
        <f>'[1]2024 Finish'!I191</f>
        <v>3.2181316411463712E-3</v>
      </c>
      <c r="F198" s="18">
        <v>3.5000000000000003E-2</v>
      </c>
      <c r="G198" s="28">
        <f t="shared" ref="G198" si="58">F198*D198</f>
        <v>802.13000000000011</v>
      </c>
      <c r="H198" s="11">
        <f t="shared" ref="H198" si="59">D198+G198</f>
        <v>23720.13</v>
      </c>
      <c r="I198" s="18">
        <v>3.5000000000000003E-2</v>
      </c>
      <c r="J198" s="28">
        <f t="shared" si="22"/>
        <v>802.13000000000011</v>
      </c>
      <c r="K198" s="50">
        <f t="shared" si="23"/>
        <v>23720.13</v>
      </c>
      <c r="L198" s="28">
        <f t="shared" si="46"/>
        <v>0</v>
      </c>
    </row>
    <row r="199" spans="1:12" x14ac:dyDescent="0.25">
      <c r="A199" s="20" t="s">
        <v>39</v>
      </c>
      <c r="B199" s="21"/>
      <c r="C199" s="42" t="str">
        <f t="shared" si="57"/>
        <v>Stone Brewing|</v>
      </c>
      <c r="D199" s="10">
        <f>'[1]2024 Finish'!H192</f>
        <v>20374</v>
      </c>
      <c r="E199" s="22">
        <f>'[1]2024 Finish'!I192</f>
        <v>-3.5913542094554884E-2</v>
      </c>
      <c r="F199" s="23">
        <f>G199/D199</f>
        <v>0.02</v>
      </c>
      <c r="G199" s="24">
        <f>SUMIF($B200:$B614,$B200,G200:G614)</f>
        <v>407.48</v>
      </c>
      <c r="H199" s="25">
        <f>SUMIF($B200:$B614,$B200,H200:H614)</f>
        <v>20781.48</v>
      </c>
      <c r="I199" s="23">
        <f>J199/D199</f>
        <v>0</v>
      </c>
      <c r="J199" s="24">
        <f>SUMIF($B200:$B614,$B200,J200:J614)</f>
        <v>0</v>
      </c>
      <c r="K199" s="48">
        <f>SUMIF($B200:$B614,$B200,K200:K614)</f>
        <v>20374</v>
      </c>
      <c r="L199" s="49">
        <f>K199-H199</f>
        <v>-407.47999999999956</v>
      </c>
    </row>
    <row r="200" spans="1:12" x14ac:dyDescent="0.25">
      <c r="A200" s="2" t="s">
        <v>39</v>
      </c>
      <c r="B200" s="2" t="s">
        <v>39</v>
      </c>
      <c r="C200" s="42" t="str">
        <f t="shared" si="57"/>
        <v>Stone Brewing|Stone Brewing</v>
      </c>
      <c r="D200" s="26">
        <f>'[1]2024 Finish'!H193</f>
        <v>20374</v>
      </c>
      <c r="E200" s="27">
        <f>'[1]2024 Finish'!I193</f>
        <v>-3.5913542094554884E-2</v>
      </c>
      <c r="F200" s="18">
        <v>0.02</v>
      </c>
      <c r="G200" s="28">
        <f t="shared" ref="G200" si="60">F200*D200</f>
        <v>407.48</v>
      </c>
      <c r="H200" s="11">
        <f t="shared" ref="H200" si="61">D200+G200</f>
        <v>20781.48</v>
      </c>
      <c r="I200" s="18">
        <v>0</v>
      </c>
      <c r="J200" s="28">
        <f t="shared" si="22"/>
        <v>0</v>
      </c>
      <c r="K200" s="50">
        <f t="shared" si="23"/>
        <v>20374</v>
      </c>
      <c r="L200" s="28">
        <f t="shared" si="46"/>
        <v>-407.47999999999956</v>
      </c>
    </row>
    <row r="201" spans="1:12" x14ac:dyDescent="0.25">
      <c r="A201" s="20" t="s">
        <v>12</v>
      </c>
      <c r="B201" s="21"/>
      <c r="C201" s="42" t="str">
        <f t="shared" si="57"/>
        <v>FIFCO|</v>
      </c>
      <c r="D201" s="10">
        <f>'[1]2024 Finish'!H194</f>
        <v>18881</v>
      </c>
      <c r="E201" s="22">
        <f>'[1]2024 Finish'!I194</f>
        <v>-6.2842015991774414E-2</v>
      </c>
      <c r="F201" s="23">
        <f>G201/D201</f>
        <v>5.1403527355542615E-3</v>
      </c>
      <c r="G201" s="24">
        <f>SUMIF($B202:$B616,$B202,G202:G616)</f>
        <v>97.055000000000007</v>
      </c>
      <c r="H201" s="25">
        <f>SUMIF($B202:$B616,$B202,H202:H616)</f>
        <v>18978.055</v>
      </c>
      <c r="I201" s="23">
        <f>J201/D201</f>
        <v>7.6558444997616654E-3</v>
      </c>
      <c r="J201" s="24">
        <f>SUMIF($B202:$B616,$B202,J202:J616)</f>
        <v>144.55000000000001</v>
      </c>
      <c r="K201" s="48">
        <f>SUMIF($B202:$B616,$B202,K202:K616)</f>
        <v>19025.55</v>
      </c>
      <c r="L201" s="49">
        <f>K201-H201</f>
        <v>47.494999999998981</v>
      </c>
    </row>
    <row r="202" spans="1:12" x14ac:dyDescent="0.25">
      <c r="A202" s="2" t="s">
        <v>114</v>
      </c>
      <c r="B202" s="2" t="s">
        <v>12</v>
      </c>
      <c r="C202" s="42" t="str">
        <f t="shared" si="57"/>
        <v>Genesee|FIFCO</v>
      </c>
      <c r="D202" s="26">
        <f>'[1]2024 Finish'!H195</f>
        <v>16115</v>
      </c>
      <c r="E202" s="27">
        <f>'[1]2024 Finish'!I195</f>
        <v>-8.1613753455353155E-2</v>
      </c>
      <c r="F202" s="18">
        <v>0</v>
      </c>
      <c r="G202" s="28">
        <f t="shared" ref="G202:G204" si="62">F202*D202</f>
        <v>0</v>
      </c>
      <c r="H202" s="11">
        <f t="shared" ref="H202:H204" si="63">D202+G202</f>
        <v>16115</v>
      </c>
      <c r="I202" s="18">
        <v>0</v>
      </c>
      <c r="J202" s="28">
        <f t="shared" si="22"/>
        <v>0</v>
      </c>
      <c r="K202" s="50">
        <f t="shared" si="23"/>
        <v>16115</v>
      </c>
      <c r="L202" s="28">
        <f t="shared" si="46"/>
        <v>0</v>
      </c>
    </row>
    <row r="203" spans="1:12" x14ac:dyDescent="0.25">
      <c r="A203" s="2" t="s">
        <v>169</v>
      </c>
      <c r="B203" s="2" t="s">
        <v>12</v>
      </c>
      <c r="C203" s="42" t="str">
        <f t="shared" si="57"/>
        <v>Imperial|FIFCO</v>
      </c>
      <c r="D203" s="26">
        <f>'[1]2024 Finish'!H196</f>
        <v>2065</v>
      </c>
      <c r="E203" s="27">
        <f>'[1]2024 Finish'!I196</f>
        <v>1.8746916625554944E-2</v>
      </c>
      <c r="F203" s="18">
        <v>4.7E-2</v>
      </c>
      <c r="G203" s="28">
        <f t="shared" si="62"/>
        <v>97.055000000000007</v>
      </c>
      <c r="H203" s="11">
        <f t="shared" si="63"/>
        <v>2162.0549999999998</v>
      </c>
      <c r="I203" s="18">
        <v>7.0000000000000007E-2</v>
      </c>
      <c r="J203" s="28">
        <f t="shared" si="22"/>
        <v>144.55000000000001</v>
      </c>
      <c r="K203" s="50">
        <f t="shared" si="23"/>
        <v>2209.5500000000002</v>
      </c>
      <c r="L203" s="28">
        <f t="shared" si="46"/>
        <v>47.495000000000346</v>
      </c>
    </row>
    <row r="204" spans="1:12" x14ac:dyDescent="0.25">
      <c r="A204" s="2" t="s">
        <v>193</v>
      </c>
      <c r="B204" s="2" t="s">
        <v>12</v>
      </c>
      <c r="C204" s="42" t="str">
        <f t="shared" si="57"/>
        <v>Honey Brown|FIFCO</v>
      </c>
      <c r="D204" s="26">
        <f>'[1]2024 Finish'!H197</f>
        <v>701</v>
      </c>
      <c r="E204" s="27">
        <f>'[1]2024 Finish'!I197</f>
        <v>0.22338568935427583</v>
      </c>
      <c r="F204" s="18">
        <v>0</v>
      </c>
      <c r="G204" s="28">
        <f t="shared" si="62"/>
        <v>0</v>
      </c>
      <c r="H204" s="11">
        <f t="shared" si="63"/>
        <v>701</v>
      </c>
      <c r="I204" s="18"/>
      <c r="J204" s="28">
        <f t="shared" si="22"/>
        <v>0</v>
      </c>
      <c r="K204" s="50">
        <f t="shared" si="23"/>
        <v>701</v>
      </c>
      <c r="L204" s="28">
        <f t="shared" si="46"/>
        <v>0</v>
      </c>
    </row>
    <row r="205" spans="1:12" x14ac:dyDescent="0.25">
      <c r="A205" s="20" t="s">
        <v>319</v>
      </c>
      <c r="B205" s="21"/>
      <c r="C205" s="42" t="str">
        <f t="shared" si="57"/>
        <v>Warwick Valley|</v>
      </c>
      <c r="D205" s="10">
        <f>'[1]2024 Finish'!H198</f>
        <v>17213</v>
      </c>
      <c r="E205" s="22">
        <f>'[1]2024 Finish'!I198</f>
        <v>0.29203424695083835</v>
      </c>
      <c r="F205" s="23">
        <f>G205/D205</f>
        <v>0.1</v>
      </c>
      <c r="G205" s="24">
        <f>SUMIF($B206:$B620,$B206,G206:G620)</f>
        <v>1721.3000000000002</v>
      </c>
      <c r="H205" s="25">
        <f>SUMIF($B206:$B620,$B206,H206:H620)</f>
        <v>18934.3</v>
      </c>
      <c r="I205" s="23">
        <f>J205/D205</f>
        <v>0.1</v>
      </c>
      <c r="J205" s="24">
        <f>SUMIF($B206:$B620,$B206,J206:J620)</f>
        <v>1721.3000000000002</v>
      </c>
      <c r="K205" s="48">
        <f>SUMIF($B206:$B620,$B206,K206:K620)</f>
        <v>18934.3</v>
      </c>
      <c r="L205" s="49">
        <f>K205-H205</f>
        <v>0</v>
      </c>
    </row>
    <row r="206" spans="1:12" x14ac:dyDescent="0.25">
      <c r="A206" s="2" t="s">
        <v>11</v>
      </c>
      <c r="B206" s="2" t="s">
        <v>319</v>
      </c>
      <c r="C206" s="42" t="str">
        <f t="shared" si="57"/>
        <v>Doc's|Warwick Valley</v>
      </c>
      <c r="D206" s="26">
        <f>'[1]2024 Finish'!H199</f>
        <v>17213</v>
      </c>
      <c r="E206" s="27">
        <f>'[1]2024 Finish'!I199</f>
        <v>0.29203424695083835</v>
      </c>
      <c r="F206" s="18">
        <v>0.1</v>
      </c>
      <c r="G206" s="28">
        <f t="shared" ref="G206" si="64">F206*D206</f>
        <v>1721.3000000000002</v>
      </c>
      <c r="H206" s="11">
        <f t="shared" ref="H206" si="65">D206+G206</f>
        <v>18934.3</v>
      </c>
      <c r="I206" s="18">
        <v>0.1</v>
      </c>
      <c r="J206" s="28">
        <f t="shared" si="22"/>
        <v>1721.3000000000002</v>
      </c>
      <c r="K206" s="50">
        <f t="shared" si="23"/>
        <v>18934.3</v>
      </c>
      <c r="L206" s="28">
        <f t="shared" si="46"/>
        <v>0</v>
      </c>
    </row>
    <row r="207" spans="1:12" x14ac:dyDescent="0.25">
      <c r="A207" s="20" t="s">
        <v>13</v>
      </c>
      <c r="B207" s="21"/>
      <c r="C207" s="42" t="str">
        <f t="shared" si="57"/>
        <v>Athletic Brewing Company|</v>
      </c>
      <c r="D207" s="10">
        <f>'[1]2024 Finish'!H200</f>
        <v>18594</v>
      </c>
      <c r="E207" s="22">
        <f>'[1]2024 Finish'!I200</f>
        <v>0.64330534688466634</v>
      </c>
      <c r="F207" s="23">
        <f>G207/D207</f>
        <v>0.68</v>
      </c>
      <c r="G207" s="24">
        <f>SUMIF($B208:$B622,$B208,G208:G622)</f>
        <v>12643.92</v>
      </c>
      <c r="H207" s="25">
        <f>SUMIF($B208:$B622,$B208,H208:H622)</f>
        <v>31237.919999999998</v>
      </c>
      <c r="I207" s="23">
        <f>J207/D207</f>
        <v>0.5</v>
      </c>
      <c r="J207" s="24">
        <f>SUMIF($B208:$B622,$B208,J208:J622)</f>
        <v>9297</v>
      </c>
      <c r="K207" s="48">
        <f>SUMIF($B208:$B622,$B208,K208:K622)</f>
        <v>27891</v>
      </c>
      <c r="L207" s="49">
        <f>K207-H207</f>
        <v>-3346.9199999999983</v>
      </c>
    </row>
    <row r="208" spans="1:12" x14ac:dyDescent="0.25">
      <c r="A208" s="7" t="s">
        <v>62</v>
      </c>
      <c r="B208" s="7" t="s">
        <v>13</v>
      </c>
      <c r="C208" s="42" t="str">
        <f t="shared" si="57"/>
        <v>Athletic|Athletic Brewing Company</v>
      </c>
      <c r="D208" s="34">
        <f>'[1]2024 Finish'!H201</f>
        <v>18594</v>
      </c>
      <c r="E208" s="35">
        <f>'[1]2024 Finish'!I201</f>
        <v>0.64330534688466634</v>
      </c>
      <c r="F208" s="39">
        <v>0.68</v>
      </c>
      <c r="G208" s="37">
        <f t="shared" ref="G208" si="66">F208*D208</f>
        <v>12643.92</v>
      </c>
      <c r="H208" s="38">
        <f t="shared" ref="H208" si="67">D208+G208</f>
        <v>31237.919999999998</v>
      </c>
      <c r="I208" s="39">
        <v>0.5</v>
      </c>
      <c r="J208" s="37">
        <f t="shared" si="22"/>
        <v>9297</v>
      </c>
      <c r="K208" s="52">
        <f t="shared" si="23"/>
        <v>27891</v>
      </c>
      <c r="L208" s="37">
        <f t="shared" si="46"/>
        <v>-3346.9199999999983</v>
      </c>
    </row>
    <row r="209" spans="1:12" x14ac:dyDescent="0.25">
      <c r="A209" s="20" t="s">
        <v>63</v>
      </c>
      <c r="B209" s="21"/>
      <c r="C209" s="42" t="str">
        <f t="shared" si="57"/>
        <v>Phusion Projects|</v>
      </c>
      <c r="D209" s="10">
        <f>'[1]2024 Finish'!H202</f>
        <v>16372.777711999999</v>
      </c>
      <c r="E209" s="22">
        <f>'[1]2024 Finish'!I202</f>
        <v>-3.6979450832590577E-2</v>
      </c>
      <c r="F209" s="23">
        <f>G209/D209</f>
        <v>4.0976082360678914E-2</v>
      </c>
      <c r="G209" s="24">
        <f>SUMIF($B210:$B624,$B210,G210:G624)</f>
        <v>670.89228800000001</v>
      </c>
      <c r="H209" s="25">
        <f>SUMIF($B210:$B624,$B210,H210:H624)</f>
        <v>17043.670000000002</v>
      </c>
      <c r="I209" s="23">
        <f>J209/D209</f>
        <v>4.0976082360678914E-2</v>
      </c>
      <c r="J209" s="24">
        <f>SUMIF($B210:$B624,$B210,J210:J624)</f>
        <v>670.89228800000001</v>
      </c>
      <c r="K209" s="48">
        <f>SUMIF($B210:$B624,$B210,K210:K624)</f>
        <v>17043.670000000002</v>
      </c>
      <c r="L209" s="49">
        <f>K209-H209</f>
        <v>0</v>
      </c>
    </row>
    <row r="210" spans="1:12" x14ac:dyDescent="0.25">
      <c r="A210" s="2" t="s">
        <v>64</v>
      </c>
      <c r="B210" s="2" t="s">
        <v>63</v>
      </c>
      <c r="C210" s="42" t="str">
        <f t="shared" si="57"/>
        <v>Four Loko|Phusion Projects</v>
      </c>
      <c r="D210" s="26">
        <f>'[1]2024 Finish'!H203</f>
        <v>13020</v>
      </c>
      <c r="E210" s="27">
        <f>'[1]2024 Finish'!I203</f>
        <v>4.2477067898720522E-2</v>
      </c>
      <c r="F210" s="18">
        <v>0.05</v>
      </c>
      <c r="G210" s="28">
        <f t="shared" ref="G210:G215" si="68">F210*D210</f>
        <v>651</v>
      </c>
      <c r="H210" s="11">
        <f t="shared" ref="H210:H215" si="69">D210+G210</f>
        <v>13671</v>
      </c>
      <c r="I210" s="18">
        <v>0.05</v>
      </c>
      <c r="J210" s="28">
        <f t="shared" si="22"/>
        <v>651</v>
      </c>
      <c r="K210" s="50">
        <f t="shared" si="23"/>
        <v>13671</v>
      </c>
      <c r="L210" s="28">
        <f t="shared" si="46"/>
        <v>0</v>
      </c>
    </row>
    <row r="211" spans="1:12" x14ac:dyDescent="0.25">
      <c r="A211" s="2" t="s">
        <v>115</v>
      </c>
      <c r="B211" s="2" t="s">
        <v>63</v>
      </c>
      <c r="C211" s="42" t="str">
        <f t="shared" si="57"/>
        <v>Earthquake|Phusion Projects</v>
      </c>
      <c r="D211" s="26">
        <f>'[1]2024 Finish'!H204</f>
        <v>1549</v>
      </c>
      <c r="E211" s="27">
        <f>'[1]2024 Finish'!I204</f>
        <v>-8.6135693215339204E-2</v>
      </c>
      <c r="F211" s="18">
        <v>0.03</v>
      </c>
      <c r="G211" s="28">
        <f t="shared" si="68"/>
        <v>46.47</v>
      </c>
      <c r="H211" s="11">
        <f t="shared" si="69"/>
        <v>1595.47</v>
      </c>
      <c r="I211" s="18">
        <v>0.03</v>
      </c>
      <c r="J211" s="28">
        <f t="shared" si="22"/>
        <v>46.47</v>
      </c>
      <c r="K211" s="50">
        <f t="shared" si="23"/>
        <v>1595.47</v>
      </c>
      <c r="L211" s="28">
        <f t="shared" si="46"/>
        <v>0</v>
      </c>
    </row>
    <row r="212" spans="1:12" x14ac:dyDescent="0.25">
      <c r="A212" s="2" t="s">
        <v>42</v>
      </c>
      <c r="B212" s="2" t="s">
        <v>63</v>
      </c>
      <c r="C212" s="42" t="str">
        <f t="shared" si="57"/>
        <v>Mamita's|Phusion Projects</v>
      </c>
      <c r="D212" s="26">
        <f>'[1]2024 Finish'!H205</f>
        <v>1640</v>
      </c>
      <c r="E212" s="27">
        <f>'[1]2024 Finish'!I205</f>
        <v>-0.23256902199344875</v>
      </c>
      <c r="F212" s="18">
        <v>7.0000000000000007E-2</v>
      </c>
      <c r="G212" s="28">
        <f t="shared" si="68"/>
        <v>114.80000000000001</v>
      </c>
      <c r="H212" s="11">
        <f t="shared" si="69"/>
        <v>1754.8</v>
      </c>
      <c r="I212" s="18">
        <v>7.0000000000000007E-2</v>
      </c>
      <c r="J212" s="28">
        <f t="shared" si="22"/>
        <v>114.80000000000001</v>
      </c>
      <c r="K212" s="50">
        <f t="shared" si="23"/>
        <v>1754.8</v>
      </c>
      <c r="L212" s="28">
        <f t="shared" si="46"/>
        <v>0</v>
      </c>
    </row>
    <row r="213" spans="1:12" x14ac:dyDescent="0.25">
      <c r="A213" s="2" t="s">
        <v>320</v>
      </c>
      <c r="B213" s="2" t="s">
        <v>63</v>
      </c>
      <c r="C213" s="42" t="str">
        <f t="shared" si="57"/>
        <v>Pirate Water|Phusion Projects</v>
      </c>
      <c r="D213" s="26">
        <f>'[1]2024 Finish'!H206</f>
        <v>112</v>
      </c>
      <c r="E213" s="27">
        <f>'[1]2024 Finish'!I206</f>
        <v>-0.80281685211266374</v>
      </c>
      <c r="F213" s="18">
        <v>-0.8</v>
      </c>
      <c r="G213" s="28">
        <f t="shared" si="68"/>
        <v>-89.600000000000009</v>
      </c>
      <c r="H213" s="11">
        <f t="shared" si="69"/>
        <v>22.399999999999991</v>
      </c>
      <c r="I213" s="18">
        <v>-0.8</v>
      </c>
      <c r="J213" s="28">
        <f t="shared" si="22"/>
        <v>-89.600000000000009</v>
      </c>
      <c r="K213" s="50">
        <f t="shared" si="23"/>
        <v>22.399999999999991</v>
      </c>
      <c r="L213" s="28">
        <f t="shared" si="46"/>
        <v>0</v>
      </c>
    </row>
    <row r="214" spans="1:12" x14ac:dyDescent="0.25">
      <c r="A214" s="2" t="s">
        <v>451</v>
      </c>
      <c r="B214" s="2" t="s">
        <v>63</v>
      </c>
      <c r="C214" s="42" t="str">
        <f t="shared" si="57"/>
        <v>Moskato|Phusion Projects</v>
      </c>
      <c r="D214" s="26">
        <f>'[1]2024 Finish'!H207</f>
        <v>0</v>
      </c>
      <c r="E214" s="27">
        <f>'[1]2024 Finish'!I207</f>
        <v>-1</v>
      </c>
      <c r="F214" s="18">
        <v>-1</v>
      </c>
      <c r="G214" s="28">
        <f t="shared" si="68"/>
        <v>0</v>
      </c>
      <c r="H214" s="11">
        <f t="shared" si="69"/>
        <v>0</v>
      </c>
      <c r="I214" s="18">
        <v>-1</v>
      </c>
      <c r="J214" s="28">
        <f t="shared" si="22"/>
        <v>0</v>
      </c>
      <c r="K214" s="50">
        <f t="shared" si="23"/>
        <v>0</v>
      </c>
      <c r="L214" s="28">
        <f t="shared" si="46"/>
        <v>0</v>
      </c>
    </row>
    <row r="215" spans="1:12" x14ac:dyDescent="0.25">
      <c r="A215" s="2" t="s">
        <v>116</v>
      </c>
      <c r="B215" s="2" t="s">
        <v>63</v>
      </c>
      <c r="C215" s="42" t="str">
        <f t="shared" si="57"/>
        <v>Basic|Phusion Projects</v>
      </c>
      <c r="D215" s="26">
        <f>'[1]2024 Finish'!H208</f>
        <v>51.777712000000001</v>
      </c>
      <c r="E215" s="27" t="e">
        <f>'[1]2024 Finish'!I208</f>
        <v>#DIV/0!</v>
      </c>
      <c r="F215" s="18">
        <v>-1</v>
      </c>
      <c r="G215" s="28">
        <f t="shared" si="68"/>
        <v>-51.777712000000001</v>
      </c>
      <c r="H215" s="11">
        <f t="shared" si="69"/>
        <v>0</v>
      </c>
      <c r="I215" s="18">
        <v>-1</v>
      </c>
      <c r="J215" s="28">
        <f t="shared" si="22"/>
        <v>-51.777712000000001</v>
      </c>
      <c r="K215" s="50">
        <f t="shared" si="23"/>
        <v>0</v>
      </c>
      <c r="L215" s="28">
        <f t="shared" si="46"/>
        <v>0</v>
      </c>
    </row>
    <row r="216" spans="1:12" x14ac:dyDescent="0.25">
      <c r="A216" s="20" t="s">
        <v>266</v>
      </c>
      <c r="B216" s="21"/>
      <c r="C216" s="42" t="str">
        <f t="shared" si="57"/>
        <v>Paulaner|</v>
      </c>
      <c r="D216" s="10">
        <f>'[1]2024 Finish'!H209</f>
        <v>16969</v>
      </c>
      <c r="E216" s="22">
        <f>'[1]2024 Finish'!I209</f>
        <v>2.9443732496484687E-2</v>
      </c>
      <c r="F216" s="23">
        <f>G216/D216</f>
        <v>9.2871412575873669E-2</v>
      </c>
      <c r="G216" s="24">
        <f>SUMIF($B217:$B631,$B217,G217:G631)</f>
        <v>1575.9350000000002</v>
      </c>
      <c r="H216" s="25">
        <f>SUMIF($B217:$B631,$B217,H217:H631)</f>
        <v>18544.934999999998</v>
      </c>
      <c r="I216" s="23">
        <f>J216/D216</f>
        <v>7.7717543756261429E-2</v>
      </c>
      <c r="J216" s="24">
        <f>SUMIF($B217:$B631,$B217,J217:J631)</f>
        <v>1318.7890000000002</v>
      </c>
      <c r="K216" s="48">
        <f>SUMIF($B217:$B631,$B217,K217:K631)</f>
        <v>18287.788999999997</v>
      </c>
      <c r="L216" s="49">
        <f>K216-H216</f>
        <v>-257.14600000000064</v>
      </c>
    </row>
    <row r="217" spans="1:12" x14ac:dyDescent="0.25">
      <c r="A217" s="2" t="s">
        <v>266</v>
      </c>
      <c r="B217" s="2" t="s">
        <v>266</v>
      </c>
      <c r="C217" s="42" t="str">
        <f t="shared" si="57"/>
        <v>Paulaner|Paulaner</v>
      </c>
      <c r="D217" s="26">
        <f>'[1]2024 Finish'!H210</f>
        <v>8580</v>
      </c>
      <c r="E217" s="27">
        <f>'[1]2024 Finish'!I210</f>
        <v>0.1498466460919361</v>
      </c>
      <c r="F217" s="18">
        <v>0.1</v>
      </c>
      <c r="G217" s="28">
        <f t="shared" ref="G217:G220" si="70">F217*D217</f>
        <v>858</v>
      </c>
      <c r="H217" s="11">
        <f t="shared" ref="H217:H220" si="71">D217+G217</f>
        <v>9438</v>
      </c>
      <c r="I217" s="18">
        <v>0.1</v>
      </c>
      <c r="J217" s="28">
        <f t="shared" si="22"/>
        <v>858</v>
      </c>
      <c r="K217" s="50">
        <f t="shared" si="23"/>
        <v>9438</v>
      </c>
      <c r="L217" s="28">
        <f t="shared" si="46"/>
        <v>0</v>
      </c>
    </row>
    <row r="218" spans="1:12" x14ac:dyDescent="0.25">
      <c r="A218" s="2" t="s">
        <v>194</v>
      </c>
      <c r="B218" s="2" t="s">
        <v>266</v>
      </c>
      <c r="C218" s="42" t="str">
        <f t="shared" si="57"/>
        <v>Hacker-Pschorr|Paulaner</v>
      </c>
      <c r="D218" s="26">
        <f>'[1]2024 Finish'!H211</f>
        <v>4598</v>
      </c>
      <c r="E218" s="27">
        <f>'[1]2024 Finish'!I211</f>
        <v>-0.16876018367527656</v>
      </c>
      <c r="F218" s="18">
        <v>6.3E-2</v>
      </c>
      <c r="G218" s="28">
        <f t="shared" si="70"/>
        <v>289.67399999999998</v>
      </c>
      <c r="H218" s="11">
        <f t="shared" si="71"/>
        <v>4887.674</v>
      </c>
      <c r="I218" s="18">
        <v>0.05</v>
      </c>
      <c r="J218" s="28">
        <f t="shared" si="22"/>
        <v>229.9</v>
      </c>
      <c r="K218" s="50">
        <f t="shared" si="23"/>
        <v>4827.8999999999996</v>
      </c>
      <c r="L218" s="28">
        <f t="shared" si="46"/>
        <v>-59.774000000000342</v>
      </c>
    </row>
    <row r="219" spans="1:12" x14ac:dyDescent="0.25">
      <c r="A219" s="2" t="s">
        <v>222</v>
      </c>
      <c r="B219" s="2" t="s">
        <v>266</v>
      </c>
      <c r="C219" s="42" t="str">
        <f t="shared" si="57"/>
        <v>Tsingtao|Paulaner</v>
      </c>
      <c r="D219" s="26">
        <f>'[1]2024 Finish'!H212</f>
        <v>3724</v>
      </c>
      <c r="E219" s="27">
        <f>'[1]2024 Finish'!I212</f>
        <v>6.6957427349454868E-2</v>
      </c>
      <c r="F219" s="18">
        <v>0.10299999999999999</v>
      </c>
      <c r="G219" s="28">
        <f t="shared" si="70"/>
        <v>383.572</v>
      </c>
      <c r="H219" s="11">
        <f t="shared" si="71"/>
        <v>4107.5720000000001</v>
      </c>
      <c r="I219" s="18">
        <v>0.05</v>
      </c>
      <c r="J219" s="28">
        <f t="shared" si="22"/>
        <v>186.20000000000002</v>
      </c>
      <c r="K219" s="50">
        <f t="shared" si="23"/>
        <v>3910.2</v>
      </c>
      <c r="L219" s="28">
        <f t="shared" si="46"/>
        <v>-197.3720000000003</v>
      </c>
    </row>
    <row r="220" spans="1:12" x14ac:dyDescent="0.25">
      <c r="A220" s="2" t="s">
        <v>43</v>
      </c>
      <c r="B220" s="2" t="s">
        <v>266</v>
      </c>
      <c r="C220" s="42" t="str">
        <f t="shared" si="57"/>
        <v>Fuller's|Paulaner</v>
      </c>
      <c r="D220" s="26">
        <f>'[1]2024 Finish'!H213</f>
        <v>67</v>
      </c>
      <c r="E220" s="27" t="e">
        <f>'[1]2024 Finish'!I213</f>
        <v>#DIV/0!</v>
      </c>
      <c r="F220" s="18">
        <v>0.66700000000000004</v>
      </c>
      <c r="G220" s="28">
        <f t="shared" si="70"/>
        <v>44.689</v>
      </c>
      <c r="H220" s="11">
        <f t="shared" si="71"/>
        <v>111.68899999999999</v>
      </c>
      <c r="I220" s="18">
        <v>0.66700000000000004</v>
      </c>
      <c r="J220" s="28">
        <f t="shared" si="22"/>
        <v>44.689</v>
      </c>
      <c r="K220" s="50">
        <f t="shared" si="23"/>
        <v>111.68899999999999</v>
      </c>
      <c r="L220" s="28">
        <f t="shared" ref="L220:L283" si="72">K220-H220</f>
        <v>0</v>
      </c>
    </row>
    <row r="221" spans="1:12" x14ac:dyDescent="0.25">
      <c r="A221" s="20" t="s">
        <v>141</v>
      </c>
      <c r="B221" s="21"/>
      <c r="C221" s="42" t="str">
        <f t="shared" si="57"/>
        <v>Pride &amp; Clarke|</v>
      </c>
      <c r="D221" s="10">
        <f>'[1]2024 Finish'!H214</f>
        <v>13978</v>
      </c>
      <c r="E221" s="22">
        <f>'[1]2024 Finish'!I214</f>
        <v>0.15824127991868098</v>
      </c>
      <c r="F221" s="23">
        <f>G221/D221</f>
        <v>5.000000000000001E-2</v>
      </c>
      <c r="G221" s="24">
        <f>SUMIF($B222:$B636,$B222,G222:G636)</f>
        <v>698.90000000000009</v>
      </c>
      <c r="H221" s="25">
        <f>SUMIF($B222:$B636,$B222,H222:H636)</f>
        <v>14676.9</v>
      </c>
      <c r="I221" s="23">
        <f>J221/D221</f>
        <v>5.000000000000001E-2</v>
      </c>
      <c r="J221" s="24">
        <f>SUMIF($B222:$B636,$B222,J222:J636)</f>
        <v>698.90000000000009</v>
      </c>
      <c r="K221" s="48">
        <f>SUMIF($B222:$B636,$B222,K222:K636)</f>
        <v>14676.9</v>
      </c>
      <c r="L221" s="49">
        <f>K221-H221</f>
        <v>0</v>
      </c>
    </row>
    <row r="222" spans="1:12" x14ac:dyDescent="0.25">
      <c r="A222" s="2" t="s">
        <v>141</v>
      </c>
      <c r="B222" s="2" t="s">
        <v>141</v>
      </c>
      <c r="C222" s="42" t="str">
        <f t="shared" si="57"/>
        <v>Pride &amp; Clarke|Pride &amp; Clarke</v>
      </c>
      <c r="D222" s="26">
        <f>'[1]2024 Finish'!H215</f>
        <v>13978</v>
      </c>
      <c r="E222" s="27">
        <f>'[1]2024 Finish'!I215</f>
        <v>0.15824127991868098</v>
      </c>
      <c r="F222" s="18">
        <v>0.05</v>
      </c>
      <c r="G222" s="28">
        <f t="shared" ref="G222" si="73">F222*D222</f>
        <v>698.90000000000009</v>
      </c>
      <c r="H222" s="11">
        <f t="shared" ref="H222" si="74">D222+G222</f>
        <v>14676.9</v>
      </c>
      <c r="I222" s="18">
        <v>0.05</v>
      </c>
      <c r="J222" s="28">
        <f t="shared" si="22"/>
        <v>698.90000000000009</v>
      </c>
      <c r="K222" s="50">
        <f t="shared" si="23"/>
        <v>14676.9</v>
      </c>
      <c r="L222" s="28">
        <f t="shared" si="72"/>
        <v>0</v>
      </c>
    </row>
    <row r="223" spans="1:12" x14ac:dyDescent="0.25">
      <c r="A223" s="20" t="s">
        <v>14</v>
      </c>
      <c r="B223" s="21"/>
      <c r="C223" s="42" t="str">
        <f t="shared" si="57"/>
        <v>Hofbrauhaus USA|</v>
      </c>
      <c r="D223" s="10">
        <f>'[1]2024 Finish'!H216</f>
        <v>16645</v>
      </c>
      <c r="E223" s="22">
        <f>'[1]2024 Finish'!I216</f>
        <v>0.12325112332390353</v>
      </c>
      <c r="F223" s="23">
        <f>G223/D223</f>
        <v>0.05</v>
      </c>
      <c r="G223" s="24">
        <f>SUMIF($B224:$B638,$B224,G224:G638)</f>
        <v>832.25</v>
      </c>
      <c r="H223" s="25">
        <f>SUMIF($B224:$B638,$B224,H224:H638)</f>
        <v>17477.25</v>
      </c>
      <c r="I223" s="23">
        <f>J223/D223</f>
        <v>0.03</v>
      </c>
      <c r="J223" s="24">
        <f>SUMIF($B224:$B638,$B224,J224:J638)</f>
        <v>499.34999999999997</v>
      </c>
      <c r="K223" s="48">
        <f>SUMIF($B224:$B638,$B224,K224:K638)</f>
        <v>17144.349999999999</v>
      </c>
      <c r="L223" s="49">
        <f>K223-H223</f>
        <v>-332.90000000000146</v>
      </c>
    </row>
    <row r="224" spans="1:12" x14ac:dyDescent="0.25">
      <c r="A224" s="2" t="s">
        <v>142</v>
      </c>
      <c r="B224" s="2" t="s">
        <v>14</v>
      </c>
      <c r="C224" s="42" t="str">
        <f t="shared" si="57"/>
        <v>Hofbrau Usa|Hofbrauhaus USA</v>
      </c>
      <c r="D224" s="26">
        <f>'[1]2024 Finish'!H217</f>
        <v>16645</v>
      </c>
      <c r="E224" s="27">
        <f>'[1]2024 Finish'!I217</f>
        <v>0.12325112332390353</v>
      </c>
      <c r="F224" s="18">
        <v>0.05</v>
      </c>
      <c r="G224" s="28">
        <f t="shared" ref="G224" si="75">F224*D224</f>
        <v>832.25</v>
      </c>
      <c r="H224" s="11">
        <f t="shared" ref="H224" si="76">D224+G224</f>
        <v>17477.25</v>
      </c>
      <c r="I224" s="18">
        <v>0.03</v>
      </c>
      <c r="J224" s="28">
        <f t="shared" si="22"/>
        <v>499.34999999999997</v>
      </c>
      <c r="K224" s="50">
        <f t="shared" si="23"/>
        <v>17144.349999999999</v>
      </c>
      <c r="L224" s="28">
        <f t="shared" si="72"/>
        <v>-332.90000000000146</v>
      </c>
    </row>
    <row r="225" spans="1:12" x14ac:dyDescent="0.25">
      <c r="A225" s="20" t="s">
        <v>17</v>
      </c>
      <c r="B225" s="21"/>
      <c r="C225" s="42" t="str">
        <f t="shared" si="57"/>
        <v>Great Lakes|</v>
      </c>
      <c r="D225" s="10">
        <f>'[1]2024 Finish'!H218</f>
        <v>5634</v>
      </c>
      <c r="E225" s="22">
        <f>'[1]2024 Finish'!I218</f>
        <v>-9.9646426117610654E-2</v>
      </c>
      <c r="F225" s="23">
        <f>G225/D225</f>
        <v>0.01</v>
      </c>
      <c r="G225" s="24">
        <f>SUMIF($B226:$B640,$B226,G226:G640)</f>
        <v>56.34</v>
      </c>
      <c r="H225" s="25">
        <f>SUMIF($B226:$B640,$B226,H226:H640)</f>
        <v>5690.34</v>
      </c>
      <c r="I225" s="23">
        <f>J225/D225</f>
        <v>0.01</v>
      </c>
      <c r="J225" s="24">
        <f>SUMIF($B226:$B640,$B226,J226:J640)</f>
        <v>56.34</v>
      </c>
      <c r="K225" s="48">
        <f>SUMIF($B226:$B640,$B226,K226:K640)</f>
        <v>5690.34</v>
      </c>
      <c r="L225" s="49">
        <f>K225-H225</f>
        <v>0</v>
      </c>
    </row>
    <row r="226" spans="1:12" x14ac:dyDescent="0.25">
      <c r="A226" s="2" t="s">
        <v>17</v>
      </c>
      <c r="B226" s="2" t="s">
        <v>17</v>
      </c>
      <c r="C226" s="42" t="str">
        <f t="shared" si="57"/>
        <v>Great Lakes|Great Lakes</v>
      </c>
      <c r="D226" s="26">
        <f>'[1]2024 Finish'!H219</f>
        <v>5634</v>
      </c>
      <c r="E226" s="27">
        <f>'[1]2024 Finish'!I219</f>
        <v>-9.9646426117610654E-2</v>
      </c>
      <c r="F226" s="18">
        <v>0.01</v>
      </c>
      <c r="G226" s="28">
        <f t="shared" ref="G226" si="77">F226*D226</f>
        <v>56.34</v>
      </c>
      <c r="H226" s="11">
        <f t="shared" ref="H226" si="78">D226+G226</f>
        <v>5690.34</v>
      </c>
      <c r="I226" s="18">
        <v>0.01</v>
      </c>
      <c r="J226" s="28">
        <f t="shared" si="22"/>
        <v>56.34</v>
      </c>
      <c r="K226" s="50">
        <f t="shared" si="23"/>
        <v>5690.34</v>
      </c>
      <c r="L226" s="28">
        <f t="shared" si="72"/>
        <v>0</v>
      </c>
    </row>
    <row r="227" spans="1:12" x14ac:dyDescent="0.25">
      <c r="A227" s="20" t="s">
        <v>65</v>
      </c>
      <c r="B227" s="21"/>
      <c r="C227" s="42" t="str">
        <f t="shared" si="57"/>
        <v>Red Bull|</v>
      </c>
      <c r="D227" s="10">
        <f>'[1]2024 Finish'!H220</f>
        <v>7484</v>
      </c>
      <c r="E227" s="22">
        <f>'[1]2024 Finish'!I220</f>
        <v>-0.17718570825069158</v>
      </c>
      <c r="F227" s="23">
        <f>G227/D227</f>
        <v>0</v>
      </c>
      <c r="G227" s="24">
        <f>SUMIF($B228:$B642,$B228,G228:G642)</f>
        <v>0</v>
      </c>
      <c r="H227" s="25">
        <f>SUMIF($B228:$B642,$B228,H228:H642)</f>
        <v>7484</v>
      </c>
      <c r="I227" s="23">
        <f>J227/D227</f>
        <v>0</v>
      </c>
      <c r="J227" s="24">
        <f>SUMIF($B228:$B642,$B228,J228:J642)</f>
        <v>0</v>
      </c>
      <c r="K227" s="48">
        <f>SUMIF($B228:$B642,$B228,K228:K642)</f>
        <v>7484</v>
      </c>
      <c r="L227" s="49">
        <f>K227-H227</f>
        <v>0</v>
      </c>
    </row>
    <row r="228" spans="1:12" x14ac:dyDescent="0.25">
      <c r="A228" s="2" t="s">
        <v>65</v>
      </c>
      <c r="B228" s="2" t="s">
        <v>65</v>
      </c>
      <c r="C228" s="42" t="str">
        <f t="shared" si="57"/>
        <v>Red Bull|Red Bull</v>
      </c>
      <c r="D228" s="26">
        <f>'[1]2024 Finish'!H221</f>
        <v>7484</v>
      </c>
      <c r="E228" s="27">
        <f>'[1]2024 Finish'!I221</f>
        <v>-0.17718570825069158</v>
      </c>
      <c r="F228" s="18"/>
      <c r="G228" s="28">
        <f t="shared" ref="G228" si="79">F228*D228</f>
        <v>0</v>
      </c>
      <c r="H228" s="11">
        <f t="shared" ref="H228" si="80">D228+G228</f>
        <v>7484</v>
      </c>
      <c r="I228" s="18"/>
      <c r="J228" s="28">
        <f t="shared" si="22"/>
        <v>0</v>
      </c>
      <c r="K228" s="50">
        <f t="shared" si="23"/>
        <v>7484</v>
      </c>
      <c r="L228" s="28">
        <f t="shared" si="72"/>
        <v>0</v>
      </c>
    </row>
    <row r="229" spans="1:12" x14ac:dyDescent="0.25">
      <c r="A229" s="20" t="s">
        <v>224</v>
      </c>
      <c r="B229" s="21"/>
      <c r="C229" s="42" t="str">
        <f t="shared" si="57"/>
        <v>Southern Tier Brewing Company|</v>
      </c>
      <c r="D229" s="10">
        <f>'[1]2024 Finish'!H222</f>
        <v>7463</v>
      </c>
      <c r="E229" s="22">
        <f>'[1]2024 Finish'!I222</f>
        <v>-0.18748634089335525</v>
      </c>
      <c r="F229" s="23">
        <f>G229/D229</f>
        <v>0</v>
      </c>
      <c r="G229" s="24">
        <f>SUMIF($B230:$B644,$B230,G230:G644)</f>
        <v>0</v>
      </c>
      <c r="H229" s="25">
        <f>SUMIF($B230:$B644,$B230,H230:H644)</f>
        <v>7463</v>
      </c>
      <c r="I229" s="23">
        <f>J229/D229</f>
        <v>-7.0000000000000007E-2</v>
      </c>
      <c r="J229" s="24">
        <f>SUMIF($B230:$B644,$B230,J230:J644)</f>
        <v>-522.41000000000008</v>
      </c>
      <c r="K229" s="48">
        <f>SUMIF($B230:$B644,$B230,K230:K644)</f>
        <v>6940.59</v>
      </c>
      <c r="L229" s="49">
        <f>K229-H229</f>
        <v>-522.40999999999985</v>
      </c>
    </row>
    <row r="230" spans="1:12" x14ac:dyDescent="0.25">
      <c r="A230" s="2" t="s">
        <v>350</v>
      </c>
      <c r="B230" s="2" t="s">
        <v>224</v>
      </c>
      <c r="C230" s="42" t="str">
        <f t="shared" si="57"/>
        <v>Southern Tier|Southern Tier Brewing Company</v>
      </c>
      <c r="D230" s="26">
        <f>'[1]2024 Finish'!H223</f>
        <v>7463</v>
      </c>
      <c r="E230" s="27">
        <f>'[1]2024 Finish'!I223</f>
        <v>-0.18748634089335525</v>
      </c>
      <c r="F230" s="18">
        <v>0</v>
      </c>
      <c r="G230" s="28">
        <f t="shared" ref="G230" si="81">F230*D230</f>
        <v>0</v>
      </c>
      <c r="H230" s="11">
        <f t="shared" ref="H230" si="82">D230+G230</f>
        <v>7463</v>
      </c>
      <c r="I230" s="18">
        <v>-7.0000000000000007E-2</v>
      </c>
      <c r="J230" s="28">
        <f t="shared" si="22"/>
        <v>-522.41000000000008</v>
      </c>
      <c r="K230" s="50">
        <f t="shared" si="23"/>
        <v>6940.59</v>
      </c>
      <c r="L230" s="28">
        <f t="shared" si="72"/>
        <v>-522.40999999999985</v>
      </c>
    </row>
    <row r="231" spans="1:12" x14ac:dyDescent="0.25">
      <c r="A231" s="20" t="s">
        <v>143</v>
      </c>
      <c r="B231" s="21"/>
      <c r="C231" s="42" t="str">
        <f t="shared" si="57"/>
        <v>Narragansett|</v>
      </c>
      <c r="D231" s="10">
        <f>'[1]2024 Finish'!H224</f>
        <v>9298</v>
      </c>
      <c r="E231" s="22">
        <f>'[1]2024 Finish'!I224</f>
        <v>-7.2255096905324834E-2</v>
      </c>
      <c r="F231" s="23">
        <f>G231/D231</f>
        <v>4.5504409550440959E-2</v>
      </c>
      <c r="G231" s="24">
        <f>SUMIF($B232:$B646,$B232,G232:G646)</f>
        <v>423.1</v>
      </c>
      <c r="H231" s="25">
        <f>SUMIF($B232:$B646,$B232,H232:H646)</f>
        <v>9721.1</v>
      </c>
      <c r="I231" s="23">
        <f>J231/D231</f>
        <v>0</v>
      </c>
      <c r="J231" s="24">
        <f>SUMIF($B232:$B646,$B232,J232:J646)</f>
        <v>0</v>
      </c>
      <c r="K231" s="48">
        <f>SUMIF($B232:$B646,$B232,K232:K646)</f>
        <v>9298</v>
      </c>
      <c r="L231" s="49">
        <f>K231-H231</f>
        <v>-423.10000000000036</v>
      </c>
    </row>
    <row r="232" spans="1:12" x14ac:dyDescent="0.25">
      <c r="A232" s="2" t="s">
        <v>143</v>
      </c>
      <c r="B232" s="2" t="s">
        <v>143</v>
      </c>
      <c r="C232" s="42" t="str">
        <f t="shared" si="57"/>
        <v>Narragansett|Narragansett</v>
      </c>
      <c r="D232" s="26">
        <f>'[1]2024 Finish'!H225</f>
        <v>8462</v>
      </c>
      <c r="E232" s="27">
        <f>'[1]2024 Finish'!I225</f>
        <v>-6.021130324338031E-2</v>
      </c>
      <c r="F232" s="18">
        <v>0.05</v>
      </c>
      <c r="G232" s="28">
        <f t="shared" ref="G232:G233" si="83">F232*D232</f>
        <v>423.1</v>
      </c>
      <c r="H232" s="11">
        <f t="shared" ref="H232:H233" si="84">D232+G232</f>
        <v>8885.1</v>
      </c>
      <c r="I232" s="18">
        <v>0</v>
      </c>
      <c r="J232" s="28">
        <f t="shared" si="22"/>
        <v>0</v>
      </c>
      <c r="K232" s="50">
        <f t="shared" si="23"/>
        <v>8462</v>
      </c>
      <c r="L232" s="28">
        <f t="shared" si="72"/>
        <v>-423.10000000000036</v>
      </c>
    </row>
    <row r="233" spans="1:12" x14ac:dyDescent="0.25">
      <c r="A233" s="2" t="s">
        <v>16</v>
      </c>
      <c r="B233" s="2" t="s">
        <v>143</v>
      </c>
      <c r="C233" s="42" t="str">
        <f t="shared" si="57"/>
        <v>Del's Shandy|Narragansett</v>
      </c>
      <c r="D233" s="26">
        <f>'[1]2024 Finish'!H226</f>
        <v>836</v>
      </c>
      <c r="E233" s="27">
        <f>'[1]2024 Finish'!I226</f>
        <v>-0.17878178094493002</v>
      </c>
      <c r="F233" s="18"/>
      <c r="G233" s="28">
        <f t="shared" si="83"/>
        <v>0</v>
      </c>
      <c r="H233" s="11">
        <f t="shared" si="84"/>
        <v>836</v>
      </c>
      <c r="I233" s="18"/>
      <c r="J233" s="28">
        <f t="shared" si="22"/>
        <v>0</v>
      </c>
      <c r="K233" s="50">
        <f t="shared" si="23"/>
        <v>836</v>
      </c>
      <c r="L233" s="28">
        <f t="shared" si="72"/>
        <v>0</v>
      </c>
    </row>
    <row r="234" spans="1:12" x14ac:dyDescent="0.25">
      <c r="A234" s="20" t="s">
        <v>69</v>
      </c>
      <c r="B234" s="21"/>
      <c r="C234" s="42" t="str">
        <f t="shared" si="57"/>
        <v>Flying Fish|</v>
      </c>
      <c r="D234" s="10">
        <f>'[1]2024 Finish'!H227</f>
        <v>4536</v>
      </c>
      <c r="E234" s="22">
        <f>'[1]2024 Finish'!I227</f>
        <v>-0.29919263314262345</v>
      </c>
      <c r="F234" s="23">
        <f>G234/D234</f>
        <v>4.8963844797178134E-3</v>
      </c>
      <c r="G234" s="24">
        <f>SUMIF($B235:$B649,$B235,G235:G649)</f>
        <v>22.21</v>
      </c>
      <c r="H234" s="25">
        <f>SUMIF($B235:$B649,$B235,H235:H649)</f>
        <v>4558.21</v>
      </c>
      <c r="I234" s="23">
        <f>J234/D234</f>
        <v>4.8963844797178134E-3</v>
      </c>
      <c r="J234" s="24">
        <f>SUMIF($B235:$B649,$B235,J235:J649)</f>
        <v>22.21</v>
      </c>
      <c r="K234" s="48">
        <f>SUMIF($B235:$B649,$B235,K235:K649)</f>
        <v>4558.21</v>
      </c>
      <c r="L234" s="49">
        <f>K234-H234</f>
        <v>0</v>
      </c>
    </row>
    <row r="235" spans="1:12" x14ac:dyDescent="0.25">
      <c r="A235" s="2" t="s">
        <v>69</v>
      </c>
      <c r="B235" s="2" t="s">
        <v>69</v>
      </c>
      <c r="C235" s="42" t="str">
        <f t="shared" si="57"/>
        <v>Flying Fish|Flying Fish</v>
      </c>
      <c r="D235" s="26">
        <f>'[1]2024 Finish'!H228</f>
        <v>4442</v>
      </c>
      <c r="E235" s="27">
        <f>'[1]2024 Finish'!I228</f>
        <v>-0.28441481325504026</v>
      </c>
      <c r="F235" s="18">
        <v>5.0000000000000001E-3</v>
      </c>
      <c r="G235" s="28">
        <f t="shared" ref="G235:G236" si="85">F235*D235</f>
        <v>22.21</v>
      </c>
      <c r="H235" s="11">
        <f t="shared" ref="H235:H236" si="86">D235+G235</f>
        <v>4464.21</v>
      </c>
      <c r="I235" s="18">
        <v>5.0000000000000001E-3</v>
      </c>
      <c r="J235" s="28">
        <f t="shared" si="22"/>
        <v>22.21</v>
      </c>
      <c r="K235" s="50">
        <f t="shared" si="23"/>
        <v>4464.21</v>
      </c>
      <c r="L235" s="28">
        <f t="shared" si="72"/>
        <v>0</v>
      </c>
    </row>
    <row r="236" spans="1:12" x14ac:dyDescent="0.25">
      <c r="A236" s="2" t="s">
        <v>70</v>
      </c>
      <c r="B236" s="2" t="s">
        <v>69</v>
      </c>
      <c r="C236" s="42" t="str">
        <f t="shared" si="57"/>
        <v>Big Mans Brew|Flying Fish</v>
      </c>
      <c r="D236" s="26">
        <f>'[1]2024 Finish'!H229</f>
        <v>94</v>
      </c>
      <c r="E236" s="27">
        <f>'[1]2024 Finish'!I229</f>
        <v>-0.6453201973417293</v>
      </c>
      <c r="F236" s="18">
        <v>0</v>
      </c>
      <c r="G236" s="28">
        <f t="shared" si="85"/>
        <v>0</v>
      </c>
      <c r="H236" s="11">
        <f t="shared" si="86"/>
        <v>94</v>
      </c>
      <c r="I236" s="18">
        <v>0</v>
      </c>
      <c r="J236" s="28">
        <f t="shared" si="22"/>
        <v>0</v>
      </c>
      <c r="K236" s="50">
        <f t="shared" si="23"/>
        <v>94</v>
      </c>
      <c r="L236" s="28">
        <f t="shared" si="72"/>
        <v>0</v>
      </c>
    </row>
    <row r="237" spans="1:12" x14ac:dyDescent="0.25">
      <c r="A237" s="20" t="s">
        <v>223</v>
      </c>
      <c r="B237" s="21"/>
      <c r="C237" s="42" t="str">
        <f t="shared" si="57"/>
        <v>Beak &amp; Skiff|</v>
      </c>
      <c r="D237" s="10">
        <f>'[1]2024 Finish'!H230</f>
        <v>6407</v>
      </c>
      <c r="E237" s="22">
        <f>'[1]2024 Finish'!I230</f>
        <v>4.0623216669928075E-2</v>
      </c>
      <c r="F237" s="23">
        <f>G237/D237</f>
        <v>0.1</v>
      </c>
      <c r="G237" s="24">
        <f>SUMIF($B238:$B652,$B238,G238:G652)</f>
        <v>640.70000000000005</v>
      </c>
      <c r="H237" s="25">
        <f>SUMIF($B238:$B652,$B238,H238:H652)</f>
        <v>7047.7</v>
      </c>
      <c r="I237" s="23">
        <f>J237/D237</f>
        <v>0.1</v>
      </c>
      <c r="J237" s="24">
        <f>SUMIF($B238:$B652,$B238,J238:J652)</f>
        <v>640.70000000000005</v>
      </c>
      <c r="K237" s="48">
        <f>SUMIF($B238:$B652,$B238,K238:K652)</f>
        <v>7047.7</v>
      </c>
      <c r="L237" s="49">
        <f>K237-H237</f>
        <v>0</v>
      </c>
    </row>
    <row r="238" spans="1:12" x14ac:dyDescent="0.25">
      <c r="A238" s="2" t="s">
        <v>15</v>
      </c>
      <c r="B238" s="2" t="s">
        <v>223</v>
      </c>
      <c r="C238" s="42" t="str">
        <f t="shared" si="57"/>
        <v>1911 Hard Cider|Beak &amp; Skiff</v>
      </c>
      <c r="D238" s="26">
        <f>'[1]2024 Finish'!H231</f>
        <v>6314</v>
      </c>
      <c r="E238" s="27">
        <f>'[1]2024 Finish'!I231</f>
        <v>3.4253305153655544E-2</v>
      </c>
      <c r="F238" s="18">
        <v>0.1</v>
      </c>
      <c r="G238" s="28">
        <f t="shared" ref="G238:G239" si="87">F238*D238</f>
        <v>631.40000000000009</v>
      </c>
      <c r="H238" s="11">
        <f t="shared" ref="H238:H239" si="88">D238+G238</f>
        <v>6945.4</v>
      </c>
      <c r="I238" s="18">
        <v>0.1</v>
      </c>
      <c r="J238" s="28">
        <f t="shared" si="22"/>
        <v>631.40000000000009</v>
      </c>
      <c r="K238" s="50">
        <f t="shared" si="23"/>
        <v>6945.4</v>
      </c>
      <c r="L238" s="28">
        <f t="shared" si="72"/>
        <v>0</v>
      </c>
    </row>
    <row r="239" spans="1:12" x14ac:dyDescent="0.25">
      <c r="A239" s="2" t="s">
        <v>170</v>
      </c>
      <c r="B239" s="2" t="s">
        <v>223</v>
      </c>
      <c r="C239" s="42" t="str">
        <f t="shared" si="57"/>
        <v>1911 Spirits|Beak &amp; Skiff</v>
      </c>
      <c r="D239" s="26">
        <f>'[1]2024 Finish'!H232</f>
        <v>93</v>
      </c>
      <c r="E239" s="27">
        <f>'[1]2024 Finish'!I232</f>
        <v>0.78846153846153855</v>
      </c>
      <c r="F239" s="18">
        <v>0.1</v>
      </c>
      <c r="G239" s="28">
        <f t="shared" si="87"/>
        <v>9.3000000000000007</v>
      </c>
      <c r="H239" s="11">
        <f t="shared" si="88"/>
        <v>102.3</v>
      </c>
      <c r="I239" s="18">
        <v>0.1</v>
      </c>
      <c r="J239" s="28">
        <f t="shared" si="22"/>
        <v>9.3000000000000007</v>
      </c>
      <c r="K239" s="50">
        <f t="shared" si="23"/>
        <v>102.3</v>
      </c>
      <c r="L239" s="28">
        <f t="shared" si="72"/>
        <v>0</v>
      </c>
    </row>
    <row r="240" spans="1:12" x14ac:dyDescent="0.25">
      <c r="A240" s="20" t="s">
        <v>251</v>
      </c>
      <c r="B240" s="21"/>
      <c r="C240" s="42" t="str">
        <f t="shared" si="57"/>
        <v>Bell's|</v>
      </c>
      <c r="D240" s="10">
        <f>'[1]2024 Finish'!H233</f>
        <v>5035</v>
      </c>
      <c r="E240" s="22">
        <f>'[1]2024 Finish'!I233</f>
        <v>-0.28144423336139779</v>
      </c>
      <c r="F240" s="23">
        <f>G240/D240</f>
        <v>0.19690168818272091</v>
      </c>
      <c r="G240" s="24">
        <f>SUMIF($B241:$B655,$B241,G241:G655)</f>
        <v>991.39999999999986</v>
      </c>
      <c r="H240" s="25">
        <f>SUMIF($B241:$B655,$B241,H241:H655)</f>
        <v>6026.4</v>
      </c>
      <c r="I240" s="23">
        <f>J240/D240</f>
        <v>0.10228003972194638</v>
      </c>
      <c r="J240" s="24">
        <f>SUMIF($B241:$B655,$B241,J241:J655)</f>
        <v>514.98</v>
      </c>
      <c r="K240" s="48">
        <f>SUMIF($B241:$B655,$B241,K241:K655)</f>
        <v>5549.98</v>
      </c>
      <c r="L240" s="49">
        <f>K240-H240</f>
        <v>-476.42000000000007</v>
      </c>
    </row>
    <row r="241" spans="1:12" x14ac:dyDescent="0.25">
      <c r="A241" s="2" t="s">
        <v>296</v>
      </c>
      <c r="B241" s="2" t="s">
        <v>251</v>
      </c>
      <c r="C241" s="42" t="str">
        <f t="shared" si="57"/>
        <v>Bell's Hearted Family|Bell's</v>
      </c>
      <c r="D241" s="26">
        <f>'[1]2024 Finish'!H234</f>
        <v>3403</v>
      </c>
      <c r="E241" s="27">
        <f>'[1]2024 Finish'!I234</f>
        <v>-0.26970764758642696</v>
      </c>
      <c r="F241" s="18">
        <v>0.44</v>
      </c>
      <c r="G241" s="28">
        <f t="shared" ref="G241:G242" si="89">F241*D241</f>
        <v>1497.32</v>
      </c>
      <c r="H241" s="11">
        <f t="shared" ref="H241:H242" si="90">D241+G241</f>
        <v>4900.32</v>
      </c>
      <c r="I241" s="18">
        <v>0.3</v>
      </c>
      <c r="J241" s="28">
        <f t="shared" si="22"/>
        <v>1020.9</v>
      </c>
      <c r="K241" s="50">
        <f t="shared" si="23"/>
        <v>4423.8999999999996</v>
      </c>
      <c r="L241" s="28">
        <f t="shared" si="72"/>
        <v>-476.42000000000007</v>
      </c>
    </row>
    <row r="242" spans="1:12" x14ac:dyDescent="0.25">
      <c r="A242" s="2" t="s">
        <v>251</v>
      </c>
      <c r="B242" s="2" t="s">
        <v>251</v>
      </c>
      <c r="C242" s="42" t="str">
        <f t="shared" si="57"/>
        <v>Bell's|Bell's</v>
      </c>
      <c r="D242" s="26">
        <f>'[1]2024 Finish'!H235</f>
        <v>1632</v>
      </c>
      <c r="E242" s="27">
        <f>'[1]2024 Finish'!I235</f>
        <v>-0.30474296146632185</v>
      </c>
      <c r="F242" s="18">
        <v>-0.31</v>
      </c>
      <c r="G242" s="28">
        <f t="shared" si="89"/>
        <v>-505.92</v>
      </c>
      <c r="H242" s="11">
        <f t="shared" si="90"/>
        <v>1126.08</v>
      </c>
      <c r="I242" s="18">
        <v>-0.31</v>
      </c>
      <c r="J242" s="28">
        <f t="shared" si="22"/>
        <v>-505.92</v>
      </c>
      <c r="K242" s="50">
        <f t="shared" si="23"/>
        <v>1126.08</v>
      </c>
      <c r="L242" s="28">
        <f t="shared" si="72"/>
        <v>0</v>
      </c>
    </row>
    <row r="243" spans="1:12" x14ac:dyDescent="0.25">
      <c r="A243" s="20" t="s">
        <v>351</v>
      </c>
      <c r="B243" s="21"/>
      <c r="C243" s="42" t="str">
        <f t="shared" si="57"/>
        <v>Evil Genius|</v>
      </c>
      <c r="D243" s="10">
        <f>'[1]2024 Finish'!H236</f>
        <v>5937</v>
      </c>
      <c r="E243" s="22">
        <f>'[1]2024 Finish'!I236</f>
        <v>-1.6781005480105859E-2</v>
      </c>
      <c r="F243" s="23">
        <f>G243/D243</f>
        <v>-0.02</v>
      </c>
      <c r="G243" s="24">
        <f>SUMIF($B244:$B658,$B244,G244:G658)</f>
        <v>-118.74000000000001</v>
      </c>
      <c r="H243" s="25">
        <f>SUMIF($B244:$B658,$B244,H244:H658)</f>
        <v>5818.26</v>
      </c>
      <c r="I243" s="23">
        <f>J243/D243</f>
        <v>-0.02</v>
      </c>
      <c r="J243" s="24">
        <f>SUMIF($B244:$B658,$B244,J244:J658)</f>
        <v>-118.74000000000001</v>
      </c>
      <c r="K243" s="48">
        <f>SUMIF($B244:$B658,$B244,K244:K658)</f>
        <v>5818.26</v>
      </c>
      <c r="L243" s="49">
        <f>K243-H243</f>
        <v>0</v>
      </c>
    </row>
    <row r="244" spans="1:12" x14ac:dyDescent="0.25">
      <c r="A244" s="2" t="s">
        <v>351</v>
      </c>
      <c r="B244" s="2" t="s">
        <v>351</v>
      </c>
      <c r="C244" s="42" t="str">
        <f t="shared" si="57"/>
        <v>Evil Genius|Evil Genius</v>
      </c>
      <c r="D244" s="26">
        <f>'[1]2024 Finish'!H237</f>
        <v>5937</v>
      </c>
      <c r="E244" s="27">
        <f>'[1]2024 Finish'!I237</f>
        <v>-1.6781005480105859E-2</v>
      </c>
      <c r="F244" s="18">
        <v>-0.02</v>
      </c>
      <c r="G244" s="28">
        <f t="shared" ref="G244" si="91">F244*D244</f>
        <v>-118.74000000000001</v>
      </c>
      <c r="H244" s="11">
        <f t="shared" ref="H244" si="92">D244+G244</f>
        <v>5818.26</v>
      </c>
      <c r="I244" s="18">
        <v>-0.02</v>
      </c>
      <c r="J244" s="28">
        <f t="shared" si="22"/>
        <v>-118.74000000000001</v>
      </c>
      <c r="K244" s="50">
        <f t="shared" si="23"/>
        <v>5818.26</v>
      </c>
      <c r="L244" s="28">
        <f t="shared" si="72"/>
        <v>0</v>
      </c>
    </row>
    <row r="245" spans="1:12" x14ac:dyDescent="0.25">
      <c r="A245" s="20" t="s">
        <v>20</v>
      </c>
      <c r="B245" s="21"/>
      <c r="C245" s="42" t="str">
        <f t="shared" si="57"/>
        <v>Forged Irish Stout|</v>
      </c>
      <c r="D245" s="10">
        <f>'[1]2024 Finish'!H238</f>
        <v>2491</v>
      </c>
      <c r="E245" s="22">
        <f>'[1]2024 Finish'!I238</f>
        <v>0.96439214880830604</v>
      </c>
      <c r="F245" s="23">
        <f>G245/D245</f>
        <v>0</v>
      </c>
      <c r="G245" s="24">
        <f>SUMIF($B246:$B660,$B246,G246:G660)</f>
        <v>0</v>
      </c>
      <c r="H245" s="25">
        <f>SUMIF($B246:$B660,$B246,H246:H660)</f>
        <v>2491</v>
      </c>
      <c r="I245" s="23">
        <f>J245/D245</f>
        <v>0</v>
      </c>
      <c r="J245" s="24">
        <f>SUMIF($B246:$B660,$B246,J246:J660)</f>
        <v>0</v>
      </c>
      <c r="K245" s="48">
        <f>SUMIF($B246:$B660,$B246,K246:K660)</f>
        <v>2491</v>
      </c>
      <c r="L245" s="49">
        <f>K245-H245</f>
        <v>0</v>
      </c>
    </row>
    <row r="246" spans="1:12" x14ac:dyDescent="0.25">
      <c r="A246" s="2" t="s">
        <v>20</v>
      </c>
      <c r="B246" s="2" t="s">
        <v>20</v>
      </c>
      <c r="C246" s="42" t="str">
        <f t="shared" si="57"/>
        <v>Forged Irish Stout|Forged Irish Stout</v>
      </c>
      <c r="D246" s="26">
        <f>'[1]2024 Finish'!H239</f>
        <v>2491</v>
      </c>
      <c r="E246" s="27">
        <f>'[1]2024 Finish'!I239</f>
        <v>0.96439214880830604</v>
      </c>
      <c r="F246" s="18"/>
      <c r="G246" s="28">
        <f t="shared" ref="G246" si="93">F246*D246</f>
        <v>0</v>
      </c>
      <c r="H246" s="11">
        <f t="shared" ref="H246" si="94">D246+G246</f>
        <v>2491</v>
      </c>
      <c r="I246" s="18">
        <v>0</v>
      </c>
      <c r="J246" s="28">
        <v>0</v>
      </c>
      <c r="K246" s="50">
        <f t="shared" si="23"/>
        <v>2491</v>
      </c>
      <c r="L246" s="28">
        <f t="shared" si="72"/>
        <v>0</v>
      </c>
    </row>
    <row r="247" spans="1:12" x14ac:dyDescent="0.25">
      <c r="A247" s="20" t="s">
        <v>321</v>
      </c>
      <c r="B247" s="21"/>
      <c r="C247" s="42" t="str">
        <f t="shared" si="57"/>
        <v>Saratoga|</v>
      </c>
      <c r="D247" s="10">
        <f>'[1]2024 Finish'!H240</f>
        <v>6065</v>
      </c>
      <c r="E247" s="22">
        <f>'[1]2024 Finish'!I240</f>
        <v>0.14914553464843427</v>
      </c>
      <c r="F247" s="23">
        <f>G247/D247</f>
        <v>0.15</v>
      </c>
      <c r="G247" s="24">
        <f>SUMIF($B248:$B662,$B248,G248:G662)</f>
        <v>909.75</v>
      </c>
      <c r="H247" s="25">
        <f>SUMIF($B248:$B662,$B248,H248:H662)</f>
        <v>6974.75</v>
      </c>
      <c r="I247" s="23">
        <f>J247/D247</f>
        <v>0.15</v>
      </c>
      <c r="J247" s="24">
        <f>SUMIF($B248:$B662,$B248,J248:J662)</f>
        <v>909.75</v>
      </c>
      <c r="K247" s="48">
        <f>SUMIF($B248:$B662,$B248,K248:K662)</f>
        <v>6974.75</v>
      </c>
      <c r="L247" s="49">
        <f>K247-H247</f>
        <v>0</v>
      </c>
    </row>
    <row r="248" spans="1:12" x14ac:dyDescent="0.25">
      <c r="A248" s="2" t="s">
        <v>321</v>
      </c>
      <c r="B248" s="2" t="s">
        <v>321</v>
      </c>
      <c r="C248" s="42" t="str">
        <f t="shared" si="57"/>
        <v>Saratoga|Saratoga</v>
      </c>
      <c r="D248" s="26">
        <f>'[1]2024 Finish'!H241</f>
        <v>6065</v>
      </c>
      <c r="E248" s="27">
        <f>'[1]2024 Finish'!I241</f>
        <v>0.14914553464843427</v>
      </c>
      <c r="F248" s="18">
        <v>0.15</v>
      </c>
      <c r="G248" s="28">
        <f t="shared" ref="G248" si="95">F248*D248</f>
        <v>909.75</v>
      </c>
      <c r="H248" s="11">
        <f t="shared" ref="H248" si="96">D248+G248</f>
        <v>6974.75</v>
      </c>
      <c r="I248" s="18">
        <v>0.15</v>
      </c>
      <c r="J248" s="28">
        <f t="shared" si="22"/>
        <v>909.75</v>
      </c>
      <c r="K248" s="50">
        <f t="shared" si="23"/>
        <v>6974.75</v>
      </c>
      <c r="L248" s="28">
        <f t="shared" si="72"/>
        <v>0</v>
      </c>
    </row>
    <row r="249" spans="1:12" x14ac:dyDescent="0.25">
      <c r="A249" s="20" t="s">
        <v>405</v>
      </c>
      <c r="B249" s="21"/>
      <c r="C249" s="42" t="str">
        <f t="shared" si="57"/>
        <v>Harpoon Brewery|</v>
      </c>
      <c r="D249" s="10">
        <f>'[1]2024 Finish'!H242</f>
        <v>4840.4137920000003</v>
      </c>
      <c r="E249" s="22">
        <f>'[1]2024 Finish'!I242</f>
        <v>-0.14277859008865701</v>
      </c>
      <c r="F249" s="23">
        <f>G249/D249</f>
        <v>0</v>
      </c>
      <c r="G249" s="24">
        <f>SUMIF($B250:$B664,$B250,G250:G664)</f>
        <v>0</v>
      </c>
      <c r="H249" s="25">
        <f>SUMIF($B250:$B664,$B250,H250:H664)</f>
        <v>4840.4137920000003</v>
      </c>
      <c r="I249" s="23">
        <f>J249/D249</f>
        <v>-9.4677856004257904E-2</v>
      </c>
      <c r="J249" s="24">
        <f>SUMIF($B250:$B664,$B250,J250:J664)</f>
        <v>-458.28000000000003</v>
      </c>
      <c r="K249" s="48">
        <f>SUMIF($B250:$B664,$B250,K250:K664)</f>
        <v>4382.1337920000005</v>
      </c>
      <c r="L249" s="49">
        <f>K249-H249</f>
        <v>-458.27999999999975</v>
      </c>
    </row>
    <row r="250" spans="1:12" x14ac:dyDescent="0.25">
      <c r="A250" s="2" t="s">
        <v>323</v>
      </c>
      <c r="B250" s="2" t="s">
        <v>405</v>
      </c>
      <c r="C250" s="42" t="str">
        <f t="shared" si="57"/>
        <v>Long Trail|Harpoon Brewery</v>
      </c>
      <c r="D250" s="26">
        <f>'[1]2024 Finish'!H243</f>
        <v>4824</v>
      </c>
      <c r="E250" s="27">
        <f>'[1]2024 Finish'!I243</f>
        <v>-0.1173075625767328</v>
      </c>
      <c r="F250" s="18">
        <v>0</v>
      </c>
      <c r="G250" s="28">
        <f>F250*D250</f>
        <v>0</v>
      </c>
      <c r="H250" s="11">
        <f t="shared" ref="H250:H252" si="97">D250+G250</f>
        <v>4824</v>
      </c>
      <c r="I250" s="18">
        <v>-9.5000000000000001E-2</v>
      </c>
      <c r="J250" s="28">
        <f t="shared" si="22"/>
        <v>-458.28000000000003</v>
      </c>
      <c r="K250" s="50">
        <f t="shared" si="23"/>
        <v>4365.72</v>
      </c>
      <c r="L250" s="28">
        <f t="shared" si="72"/>
        <v>-458.27999999999975</v>
      </c>
    </row>
    <row r="251" spans="1:12" x14ac:dyDescent="0.25">
      <c r="A251" s="2" t="s">
        <v>68</v>
      </c>
      <c r="B251" s="2" t="s">
        <v>405</v>
      </c>
      <c r="C251" s="42" t="str">
        <f t="shared" si="57"/>
        <v>Otter Creek|Harpoon Brewery</v>
      </c>
      <c r="D251" s="26">
        <f>'[1]2024 Finish'!H244</f>
        <v>3.4137919999999999</v>
      </c>
      <c r="E251" s="27">
        <f>'[1]2024 Finish'!I244</f>
        <v>-0.89655175757575756</v>
      </c>
      <c r="F251" s="18">
        <v>0</v>
      </c>
      <c r="G251" s="28">
        <f t="shared" ref="G251:G252" si="98">F251*D251</f>
        <v>0</v>
      </c>
      <c r="H251" s="11">
        <f t="shared" si="97"/>
        <v>3.4137919999999999</v>
      </c>
      <c r="I251" s="18">
        <v>0</v>
      </c>
      <c r="J251" s="28">
        <f t="shared" si="22"/>
        <v>0</v>
      </c>
      <c r="K251" s="50">
        <f t="shared" si="23"/>
        <v>3.4137919999999999</v>
      </c>
      <c r="L251" s="28">
        <f t="shared" si="72"/>
        <v>0</v>
      </c>
    </row>
    <row r="252" spans="1:12" x14ac:dyDescent="0.25">
      <c r="A252" s="2" t="s">
        <v>268</v>
      </c>
      <c r="B252" s="2" t="s">
        <v>405</v>
      </c>
      <c r="C252" s="42" t="str">
        <f t="shared" si="57"/>
        <v>Shed|Harpoon Brewery</v>
      </c>
      <c r="D252" s="26">
        <f>'[1]2024 Finish'!H245</f>
        <v>13</v>
      </c>
      <c r="E252" s="27">
        <f>'[1]2024 Finish'!I245</f>
        <v>-0.91247836540932792</v>
      </c>
      <c r="F252" s="18">
        <v>0</v>
      </c>
      <c r="G252" s="28">
        <f t="shared" si="98"/>
        <v>0</v>
      </c>
      <c r="H252" s="11">
        <f t="shared" si="97"/>
        <v>13</v>
      </c>
      <c r="I252" s="18">
        <v>0</v>
      </c>
      <c r="J252" s="28">
        <f t="shared" si="22"/>
        <v>0</v>
      </c>
      <c r="K252" s="50">
        <f t="shared" si="23"/>
        <v>13</v>
      </c>
      <c r="L252" s="28">
        <f t="shared" si="72"/>
        <v>0</v>
      </c>
    </row>
    <row r="253" spans="1:12" x14ac:dyDescent="0.25">
      <c r="A253" s="20" t="s">
        <v>381</v>
      </c>
      <c r="B253" s="21"/>
      <c r="C253" s="42" t="str">
        <f t="shared" si="57"/>
        <v>Travelers Club|</v>
      </c>
      <c r="D253" s="10">
        <f>'[1]2024 Finish'!H246</f>
        <v>4234</v>
      </c>
      <c r="E253" s="22">
        <f>'[1]2024 Finish'!I246</f>
        <v>-0.22868689432031519</v>
      </c>
      <c r="F253" s="23">
        <f>G253/D253</f>
        <v>0</v>
      </c>
      <c r="G253" s="24">
        <f>SUMIF($B254:$B668,$B254,G254:G668)</f>
        <v>0</v>
      </c>
      <c r="H253" s="25">
        <f>SUMIF($B254:$B668,$B254,H254:H668)</f>
        <v>4234</v>
      </c>
      <c r="I253" s="23">
        <f>J253/D253</f>
        <v>0</v>
      </c>
      <c r="J253" s="24">
        <f>SUMIF($B254:$B668,$B254,J254:J668)</f>
        <v>0</v>
      </c>
      <c r="K253" s="48">
        <f>SUMIF($B254:$B668,$B254,K254:K668)</f>
        <v>4234</v>
      </c>
      <c r="L253" s="49">
        <f>K253-H253</f>
        <v>0</v>
      </c>
    </row>
    <row r="254" spans="1:12" x14ac:dyDescent="0.25">
      <c r="A254" s="2" t="s">
        <v>381</v>
      </c>
      <c r="B254" s="2" t="s">
        <v>381</v>
      </c>
      <c r="C254" s="42" t="str">
        <f t="shared" si="57"/>
        <v>Travelers Club|Travelers Club</v>
      </c>
      <c r="D254" s="26">
        <f>'[1]2024 Finish'!H247</f>
        <v>4234</v>
      </c>
      <c r="E254" s="27">
        <f>'[1]2024 Finish'!I247</f>
        <v>-0.22868689432031519</v>
      </c>
      <c r="F254" s="18">
        <v>0</v>
      </c>
      <c r="G254" s="28">
        <f t="shared" ref="G254" si="99">F254*D254</f>
        <v>0</v>
      </c>
      <c r="H254" s="11">
        <f t="shared" ref="H254" si="100">D254+G254</f>
        <v>4234</v>
      </c>
      <c r="I254" s="18">
        <v>0</v>
      </c>
      <c r="J254" s="28">
        <f t="shared" si="22"/>
        <v>0</v>
      </c>
      <c r="K254" s="50">
        <f t="shared" si="23"/>
        <v>4234</v>
      </c>
      <c r="L254" s="28">
        <f t="shared" si="72"/>
        <v>0</v>
      </c>
    </row>
    <row r="255" spans="1:12" x14ac:dyDescent="0.25">
      <c r="A255" s="20" t="s">
        <v>227</v>
      </c>
      <c r="B255" s="21"/>
      <c r="C255" s="42" t="str">
        <f t="shared" si="57"/>
        <v>Gambrinus Imports|</v>
      </c>
      <c r="D255" s="10">
        <f>'[1]2024 Finish'!H248</f>
        <v>2725</v>
      </c>
      <c r="E255" s="22">
        <f>'[1]2024 Finish'!I248</f>
        <v>3.32841901476566E-2</v>
      </c>
      <c r="F255" s="23">
        <f>G255/D255</f>
        <v>0.1</v>
      </c>
      <c r="G255" s="24">
        <f>SUMIF($B256:$B670,$B256,G256:G670)</f>
        <v>272.5</v>
      </c>
      <c r="H255" s="25">
        <f>SUMIF($B256:$B670,$B256,H256:H670)</f>
        <v>2997.5</v>
      </c>
      <c r="I255" s="23">
        <f>J255/D255</f>
        <v>0.05</v>
      </c>
      <c r="J255" s="24">
        <f>SUMIF($B256:$B670,$B256,J256:J670)</f>
        <v>136.25</v>
      </c>
      <c r="K255" s="48">
        <f>SUMIF($B256:$B670,$B256,K256:K670)</f>
        <v>2861.25</v>
      </c>
      <c r="L255" s="49">
        <f>K255-H255</f>
        <v>-136.25</v>
      </c>
    </row>
    <row r="256" spans="1:12" x14ac:dyDescent="0.25">
      <c r="A256" s="2" t="s">
        <v>228</v>
      </c>
      <c r="B256" s="2" t="s">
        <v>227</v>
      </c>
      <c r="C256" s="42" t="str">
        <f t="shared" si="57"/>
        <v>Shiner|Gambrinus Imports</v>
      </c>
      <c r="D256" s="26">
        <f>'[1]2024 Finish'!H249</f>
        <v>2725</v>
      </c>
      <c r="E256" s="27">
        <f>'[1]2024 Finish'!I249</f>
        <v>3.32841901476566E-2</v>
      </c>
      <c r="F256" s="18">
        <v>0.1</v>
      </c>
      <c r="G256" s="28">
        <f t="shared" ref="G256" si="101">F256*D256</f>
        <v>272.5</v>
      </c>
      <c r="H256" s="11">
        <f t="shared" ref="H256" si="102">D256+G256</f>
        <v>2997.5</v>
      </c>
      <c r="I256" s="18">
        <v>0.05</v>
      </c>
      <c r="J256" s="28">
        <f t="shared" si="22"/>
        <v>136.25</v>
      </c>
      <c r="K256" s="50">
        <f t="shared" si="23"/>
        <v>2861.25</v>
      </c>
      <c r="L256" s="28">
        <f t="shared" si="72"/>
        <v>-136.25</v>
      </c>
    </row>
    <row r="257" spans="1:12" x14ac:dyDescent="0.25">
      <c r="A257" s="20" t="s">
        <v>145</v>
      </c>
      <c r="B257" s="21"/>
      <c r="C257" s="42" t="str">
        <f t="shared" si="57"/>
        <v>Jersey Girl|</v>
      </c>
      <c r="D257" s="10">
        <f>'[1]2024 Finish'!H250</f>
        <v>3883</v>
      </c>
      <c r="E257" s="22">
        <f>'[1]2024 Finish'!I250</f>
        <v>-0.35028927632082485</v>
      </c>
      <c r="F257" s="23">
        <f>G257/D257</f>
        <v>-1</v>
      </c>
      <c r="G257" s="24">
        <f>SUMIF($B258:$B672,$B258,G258:G672)</f>
        <v>-3883</v>
      </c>
      <c r="H257" s="25">
        <f>SUMIF($B258:$B672,$B258,H258:H672)</f>
        <v>0</v>
      </c>
      <c r="I257" s="23">
        <f>J257/D257</f>
        <v>-1</v>
      </c>
      <c r="J257" s="24">
        <f>SUMIF($B258:$B672,$B258,J258:J672)</f>
        <v>-3883</v>
      </c>
      <c r="K257" s="48">
        <f>SUMIF($B258:$B672,$B258,K258:K672)</f>
        <v>0</v>
      </c>
      <c r="L257" s="49">
        <f>K257-H257</f>
        <v>0</v>
      </c>
    </row>
    <row r="258" spans="1:12" x14ac:dyDescent="0.25">
      <c r="A258" s="2" t="s">
        <v>145</v>
      </c>
      <c r="B258" s="2" t="s">
        <v>145</v>
      </c>
      <c r="C258" s="42" t="str">
        <f t="shared" si="57"/>
        <v>Jersey Girl|Jersey Girl</v>
      </c>
      <c r="D258" s="26">
        <f>'[1]2024 Finish'!H251</f>
        <v>3883</v>
      </c>
      <c r="E258" s="27">
        <f>'[1]2024 Finish'!I251</f>
        <v>-0.35028927632082485</v>
      </c>
      <c r="F258" s="18">
        <v>-1</v>
      </c>
      <c r="G258" s="28">
        <f t="shared" ref="G258" si="103">F258*D258</f>
        <v>-3883</v>
      </c>
      <c r="H258" s="11">
        <f t="shared" ref="H258" si="104">D258+G258</f>
        <v>0</v>
      </c>
      <c r="I258" s="18">
        <v>-1</v>
      </c>
      <c r="J258" s="28">
        <f t="shared" si="22"/>
        <v>-3883</v>
      </c>
      <c r="K258" s="50">
        <f t="shared" si="23"/>
        <v>0</v>
      </c>
      <c r="L258" s="28">
        <f t="shared" si="72"/>
        <v>0</v>
      </c>
    </row>
    <row r="259" spans="1:12" x14ac:dyDescent="0.25">
      <c r="A259" s="20" t="s">
        <v>324</v>
      </c>
      <c r="B259" s="21"/>
      <c r="C259" s="42" t="str">
        <f t="shared" si="57"/>
        <v>Vermont Hard Cider|</v>
      </c>
      <c r="D259" s="10">
        <f>'[1]2024 Finish'!H252</f>
        <v>4134</v>
      </c>
      <c r="E259" s="22">
        <f>'[1]2024 Finish'!I252</f>
        <v>-0.25149375366594462</v>
      </c>
      <c r="F259" s="23">
        <f>G259/D259</f>
        <v>-0.20360909530720853</v>
      </c>
      <c r="G259" s="24">
        <f>SUMIF($B260:$B674,$B260,G260:G674)</f>
        <v>-841.72</v>
      </c>
      <c r="H259" s="25">
        <f>SUMIF($B260:$B674,$B260,H260:H674)</f>
        <v>3292.28</v>
      </c>
      <c r="I259" s="23">
        <f>J259/D259</f>
        <v>-0.20360909530720853</v>
      </c>
      <c r="J259" s="24">
        <f>SUMIF($B260:$B674,$B260,J260:J674)</f>
        <v>-841.72</v>
      </c>
      <c r="K259" s="48">
        <f>SUMIF($B260:$B674,$B260,K260:K674)</f>
        <v>3292.28</v>
      </c>
      <c r="L259" s="49">
        <f>K259-H259</f>
        <v>0</v>
      </c>
    </row>
    <row r="260" spans="1:12" x14ac:dyDescent="0.25">
      <c r="A260" s="2" t="s">
        <v>252</v>
      </c>
      <c r="B260" s="2" t="s">
        <v>324</v>
      </c>
      <c r="C260" s="42" t="str">
        <f t="shared" si="57"/>
        <v>Woodchuck|Vermont Hard Cider</v>
      </c>
      <c r="D260" s="26">
        <f>'[1]2024 Finish'!H253</f>
        <v>3099</v>
      </c>
      <c r="E260" s="27">
        <f>'[1]2024 Finish'!I253</f>
        <v>-6.0624431645953325E-2</v>
      </c>
      <c r="F260" s="18">
        <v>0.02</v>
      </c>
      <c r="G260" s="28">
        <f t="shared" ref="G260:G262" si="105">F260*D260</f>
        <v>61.980000000000004</v>
      </c>
      <c r="H260" s="11">
        <f t="shared" ref="H260:H262" si="106">D260+G260</f>
        <v>3160.98</v>
      </c>
      <c r="I260" s="18">
        <v>0.02</v>
      </c>
      <c r="J260" s="28">
        <f t="shared" si="22"/>
        <v>61.980000000000004</v>
      </c>
      <c r="K260" s="50">
        <f t="shared" si="23"/>
        <v>3160.98</v>
      </c>
      <c r="L260" s="28">
        <f t="shared" si="72"/>
        <v>0</v>
      </c>
    </row>
    <row r="261" spans="1:12" x14ac:dyDescent="0.25">
      <c r="A261" s="2" t="s">
        <v>172</v>
      </c>
      <c r="B261" s="2" t="s">
        <v>324</v>
      </c>
      <c r="C261" s="42" t="str">
        <f t="shared" ref="C261:C324" si="107">A261 &amp; "|" &amp; B261</f>
        <v>Day Chaser|Vermont Hard Cider</v>
      </c>
      <c r="D261" s="26">
        <f>'[1]2024 Finish'!H254</f>
        <v>905</v>
      </c>
      <c r="E261" s="27">
        <f>'[1]2024 Finish'!I254</f>
        <v>-0.56904761904761902</v>
      </c>
      <c r="F261" s="18">
        <v>-1</v>
      </c>
      <c r="G261" s="28">
        <f t="shared" si="105"/>
        <v>-905</v>
      </c>
      <c r="H261" s="11">
        <f t="shared" si="106"/>
        <v>0</v>
      </c>
      <c r="I261" s="18">
        <v>-1</v>
      </c>
      <c r="J261" s="28">
        <f t="shared" si="22"/>
        <v>-905</v>
      </c>
      <c r="K261" s="50">
        <f t="shared" si="23"/>
        <v>0</v>
      </c>
      <c r="L261" s="28">
        <f t="shared" si="72"/>
        <v>0</v>
      </c>
    </row>
    <row r="262" spans="1:12" x14ac:dyDescent="0.25">
      <c r="A262" s="2" t="s">
        <v>118</v>
      </c>
      <c r="B262" s="2" t="s">
        <v>324</v>
      </c>
      <c r="C262" s="42" t="str">
        <f t="shared" si="107"/>
        <v>Wyder's|Vermont Hard Cider</v>
      </c>
      <c r="D262" s="26">
        <f>'[1]2024 Finish'!H255</f>
        <v>130</v>
      </c>
      <c r="E262" s="27">
        <f>'[1]2024 Finish'!I255</f>
        <v>4.8387079864724569E-2</v>
      </c>
      <c r="F262" s="18">
        <v>0.01</v>
      </c>
      <c r="G262" s="28">
        <f t="shared" si="105"/>
        <v>1.3</v>
      </c>
      <c r="H262" s="11">
        <f t="shared" si="106"/>
        <v>131.30000000000001</v>
      </c>
      <c r="I262" s="18">
        <v>0.01</v>
      </c>
      <c r="J262" s="28">
        <f t="shared" si="22"/>
        <v>1.3</v>
      </c>
      <c r="K262" s="50">
        <f t="shared" si="23"/>
        <v>131.30000000000001</v>
      </c>
      <c r="L262" s="28">
        <f t="shared" si="72"/>
        <v>0</v>
      </c>
    </row>
    <row r="263" spans="1:12" x14ac:dyDescent="0.25">
      <c r="A263" s="20" t="s">
        <v>269</v>
      </c>
      <c r="B263" s="21"/>
      <c r="C263" s="42" t="str">
        <f t="shared" si="107"/>
        <v>Global Beer|</v>
      </c>
      <c r="D263" s="10">
        <f>'[1]2024 Finish'!H256</f>
        <v>4462.8020839999999</v>
      </c>
      <c r="E263" s="22">
        <f>'[1]2024 Finish'!I256</f>
        <v>-4.950068533474683E-3</v>
      </c>
      <c r="F263" s="23">
        <f>G263/D263</f>
        <v>0.12210987117572565</v>
      </c>
      <c r="G263" s="24">
        <f>SUMIF($B264:$B678,$B264,G264:G678)</f>
        <v>544.95218755999997</v>
      </c>
      <c r="H263" s="25">
        <f>SUMIF($B264:$B678,$B264,H264:H678)</f>
        <v>5007.7542715600011</v>
      </c>
      <c r="I263" s="23">
        <f>J263/D263</f>
        <v>-1.1416594113072033E-2</v>
      </c>
      <c r="J263" s="24">
        <f>SUMIF($B264:$B678,$B264,J264:J678)</f>
        <v>-50.95</v>
      </c>
      <c r="K263" s="48">
        <f>SUMIF($B264:$B678,$B264,K264:K678)</f>
        <v>4411.8520840000001</v>
      </c>
      <c r="L263" s="49">
        <f>K263-H263</f>
        <v>-595.90218756000104</v>
      </c>
    </row>
    <row r="264" spans="1:12" x14ac:dyDescent="0.25">
      <c r="A264" s="2" t="s">
        <v>18</v>
      </c>
      <c r="B264" s="2" t="s">
        <v>269</v>
      </c>
      <c r="C264" s="42" t="str">
        <f t="shared" si="107"/>
        <v>Stiegl|Global Beer</v>
      </c>
      <c r="D264" s="26">
        <f>'[1]2024 Finish'!H257</f>
        <v>1957</v>
      </c>
      <c r="E264" s="27">
        <f>'[1]2024 Finish'!I257</f>
        <v>0.17116533494236408</v>
      </c>
      <c r="F264" s="18">
        <v>0.12</v>
      </c>
      <c r="G264" s="28">
        <f t="shared" ref="G264:G272" si="108">F264*D264</f>
        <v>234.84</v>
      </c>
      <c r="H264" s="11">
        <f t="shared" ref="H264:H272" si="109">D264+G264</f>
        <v>2191.84</v>
      </c>
      <c r="I264" s="18">
        <v>0.05</v>
      </c>
      <c r="J264" s="28">
        <f t="shared" si="22"/>
        <v>97.850000000000009</v>
      </c>
      <c r="K264" s="50">
        <f t="shared" si="23"/>
        <v>2054.85</v>
      </c>
      <c r="L264" s="28">
        <f t="shared" si="72"/>
        <v>-136.99000000000024</v>
      </c>
    </row>
    <row r="265" spans="1:12" x14ac:dyDescent="0.25">
      <c r="A265" s="2" t="s">
        <v>71</v>
      </c>
      <c r="B265" s="2" t="s">
        <v>269</v>
      </c>
      <c r="C265" s="42" t="str">
        <f t="shared" si="107"/>
        <v>Sullivan's|Global Beer</v>
      </c>
      <c r="D265" s="26">
        <f>'[1]2024 Finish'!H258</f>
        <v>1488</v>
      </c>
      <c r="E265" s="27">
        <f>'[1]2024 Finish'!I258</f>
        <v>-0.12858970881171561</v>
      </c>
      <c r="F265" s="18">
        <v>0.08</v>
      </c>
      <c r="G265" s="28">
        <f t="shared" si="108"/>
        <v>119.04</v>
      </c>
      <c r="H265" s="11">
        <f t="shared" si="109"/>
        <v>1607.04</v>
      </c>
      <c r="I265" s="18">
        <v>-0.1</v>
      </c>
      <c r="J265" s="28">
        <f t="shared" si="22"/>
        <v>-148.80000000000001</v>
      </c>
      <c r="K265" s="50">
        <f t="shared" si="23"/>
        <v>1339.2</v>
      </c>
      <c r="L265" s="28">
        <f t="shared" si="72"/>
        <v>-267.83999999999992</v>
      </c>
    </row>
    <row r="266" spans="1:12" x14ac:dyDescent="0.25">
      <c r="A266" s="2" t="s">
        <v>195</v>
      </c>
      <c r="B266" s="2" t="s">
        <v>269</v>
      </c>
      <c r="C266" s="42" t="str">
        <f t="shared" si="107"/>
        <v>Yard House|Global Beer</v>
      </c>
      <c r="D266" s="26">
        <f>'[1]2024 Finish'!H259</f>
        <v>388</v>
      </c>
      <c r="E266" s="27">
        <f>'[1]2024 Finish'!I259</f>
        <v>-0.14184347547907317</v>
      </c>
      <c r="F266" s="18">
        <v>0.09</v>
      </c>
      <c r="G266" s="28">
        <f t="shared" si="108"/>
        <v>34.92</v>
      </c>
      <c r="H266" s="11">
        <f t="shared" si="109"/>
        <v>422.92</v>
      </c>
      <c r="I266" s="18">
        <v>0</v>
      </c>
      <c r="J266" s="28">
        <f t="shared" si="22"/>
        <v>0</v>
      </c>
      <c r="K266" s="50">
        <f t="shared" si="23"/>
        <v>388</v>
      </c>
      <c r="L266" s="28">
        <f t="shared" si="72"/>
        <v>-34.920000000000016</v>
      </c>
    </row>
    <row r="267" spans="1:12" x14ac:dyDescent="0.25">
      <c r="A267" s="2" t="s">
        <v>353</v>
      </c>
      <c r="B267" s="2" t="s">
        <v>269</v>
      </c>
      <c r="C267" s="42" t="str">
        <f t="shared" si="107"/>
        <v>Gulden Draak|Global Beer</v>
      </c>
      <c r="D267" s="26">
        <f>'[1]2024 Finish'!H260</f>
        <v>150</v>
      </c>
      <c r="E267" s="27">
        <f>'[1]2024 Finish'!I260</f>
        <v>-6.0379499690670579E-2</v>
      </c>
      <c r="F267" s="18">
        <v>0.09</v>
      </c>
      <c r="G267" s="28">
        <f t="shared" si="108"/>
        <v>13.5</v>
      </c>
      <c r="H267" s="11">
        <f t="shared" si="109"/>
        <v>163.5</v>
      </c>
      <c r="I267" s="18">
        <v>0</v>
      </c>
      <c r="J267" s="28">
        <f t="shared" si="22"/>
        <v>0</v>
      </c>
      <c r="K267" s="50">
        <f t="shared" si="23"/>
        <v>150</v>
      </c>
      <c r="L267" s="28">
        <f t="shared" si="72"/>
        <v>-13.5</v>
      </c>
    </row>
    <row r="268" spans="1:12" x14ac:dyDescent="0.25">
      <c r="A268" s="2" t="s">
        <v>406</v>
      </c>
      <c r="B268" s="2" t="s">
        <v>269</v>
      </c>
      <c r="C268" s="42" t="str">
        <f t="shared" si="107"/>
        <v>Petrus|Global Beer</v>
      </c>
      <c r="D268" s="26">
        <f>'[1]2024 Finish'!H261</f>
        <v>171</v>
      </c>
      <c r="E268" s="27">
        <f>'[1]2024 Finish'!I261</f>
        <v>-1.6554600954693188E-2</v>
      </c>
      <c r="F268" s="18">
        <v>0.38</v>
      </c>
      <c r="G268" s="28">
        <f t="shared" si="108"/>
        <v>64.98</v>
      </c>
      <c r="H268" s="11">
        <f t="shared" si="109"/>
        <v>235.98000000000002</v>
      </c>
      <c r="I268" s="18">
        <v>0</v>
      </c>
      <c r="J268" s="28">
        <f t="shared" si="22"/>
        <v>0</v>
      </c>
      <c r="K268" s="50">
        <f t="shared" si="23"/>
        <v>171</v>
      </c>
      <c r="L268" s="28">
        <f t="shared" si="72"/>
        <v>-64.980000000000018</v>
      </c>
    </row>
    <row r="269" spans="1:12" x14ac:dyDescent="0.25">
      <c r="A269" s="2" t="s">
        <v>352</v>
      </c>
      <c r="B269" s="2" t="s">
        <v>269</v>
      </c>
      <c r="C269" s="42" t="str">
        <f t="shared" si="107"/>
        <v>Bavik|Global Beer</v>
      </c>
      <c r="D269" s="26">
        <f>'[1]2024 Finish'!H262</f>
        <v>172</v>
      </c>
      <c r="E269" s="27">
        <f>'[1]2024 Finish'!I262</f>
        <v>-0.10829494525791561</v>
      </c>
      <c r="F269" s="18">
        <v>0.38</v>
      </c>
      <c r="G269" s="28">
        <f t="shared" si="108"/>
        <v>65.36</v>
      </c>
      <c r="H269" s="11">
        <f t="shared" si="109"/>
        <v>237.36</v>
      </c>
      <c r="I269" s="18">
        <v>0</v>
      </c>
      <c r="J269" s="28">
        <f t="shared" si="22"/>
        <v>0</v>
      </c>
      <c r="K269" s="50">
        <f t="shared" si="23"/>
        <v>172</v>
      </c>
      <c r="L269" s="28">
        <f t="shared" si="72"/>
        <v>-65.360000000000014</v>
      </c>
    </row>
    <row r="270" spans="1:12" x14ac:dyDescent="0.25">
      <c r="A270" s="2" t="s">
        <v>117</v>
      </c>
      <c r="B270" s="2" t="s">
        <v>269</v>
      </c>
      <c r="C270" s="42" t="str">
        <f t="shared" si="107"/>
        <v>Piraat|Global Beer</v>
      </c>
      <c r="D270" s="26">
        <f>'[1]2024 Finish'!H263</f>
        <v>52</v>
      </c>
      <c r="E270" s="27">
        <f>'[1]2024 Finish'!I263</f>
        <v>-0.20268347303596634</v>
      </c>
      <c r="F270" s="18">
        <v>0.09</v>
      </c>
      <c r="G270" s="28">
        <f t="shared" si="108"/>
        <v>4.68</v>
      </c>
      <c r="H270" s="11">
        <f t="shared" si="109"/>
        <v>56.68</v>
      </c>
      <c r="I270" s="18">
        <v>0</v>
      </c>
      <c r="J270" s="28">
        <f t="shared" si="22"/>
        <v>0</v>
      </c>
      <c r="K270" s="50">
        <f t="shared" si="23"/>
        <v>52</v>
      </c>
      <c r="L270" s="28">
        <f t="shared" si="72"/>
        <v>-4.68</v>
      </c>
    </row>
    <row r="271" spans="1:12" x14ac:dyDescent="0.25">
      <c r="A271" s="2" t="s">
        <v>72</v>
      </c>
      <c r="B271" s="2" t="s">
        <v>269</v>
      </c>
      <c r="C271" s="42" t="str">
        <f t="shared" si="107"/>
        <v>Baptist Wit|Global Beer</v>
      </c>
      <c r="D271" s="26">
        <f>'[1]2024 Finish'!H264</f>
        <v>82</v>
      </c>
      <c r="E271" s="27">
        <f>'[1]2024 Finish'!I264</f>
        <v>0.39681696076477424</v>
      </c>
      <c r="F271" s="18">
        <v>0.09</v>
      </c>
      <c r="G271" s="28">
        <f t="shared" si="108"/>
        <v>7.38</v>
      </c>
      <c r="H271" s="11">
        <f t="shared" si="109"/>
        <v>89.38</v>
      </c>
      <c r="I271" s="18">
        <v>0</v>
      </c>
      <c r="J271" s="28">
        <f t="shared" si="22"/>
        <v>0</v>
      </c>
      <c r="K271" s="50">
        <f t="shared" si="23"/>
        <v>82</v>
      </c>
      <c r="L271" s="28">
        <f t="shared" si="72"/>
        <v>-7.3799999999999955</v>
      </c>
    </row>
    <row r="272" spans="1:12" x14ac:dyDescent="0.25">
      <c r="A272" s="2" t="s">
        <v>171</v>
      </c>
      <c r="B272" s="2" t="s">
        <v>269</v>
      </c>
      <c r="C272" s="42" t="str">
        <f t="shared" si="107"/>
        <v>Van Steenberge|Global Beer</v>
      </c>
      <c r="D272" s="26">
        <f>'[1]2024 Finish'!H265</f>
        <v>2.8020839999999998</v>
      </c>
      <c r="E272" s="27">
        <f>'[1]2024 Finish'!I265</f>
        <v>-0.29581158674376162</v>
      </c>
      <c r="F272" s="18">
        <v>0.09</v>
      </c>
      <c r="G272" s="28">
        <f t="shared" si="108"/>
        <v>0.25218755999999998</v>
      </c>
      <c r="H272" s="11">
        <f t="shared" si="109"/>
        <v>3.0542715599999997</v>
      </c>
      <c r="I272" s="18">
        <v>0</v>
      </c>
      <c r="J272" s="28">
        <f t="shared" si="22"/>
        <v>0</v>
      </c>
      <c r="K272" s="50">
        <f t="shared" si="23"/>
        <v>2.8020839999999998</v>
      </c>
      <c r="L272" s="28">
        <f t="shared" si="72"/>
        <v>-0.25218755999999987</v>
      </c>
    </row>
    <row r="273" spans="1:12" x14ac:dyDescent="0.25">
      <c r="A273" s="20" t="s">
        <v>325</v>
      </c>
      <c r="B273" s="21"/>
      <c r="C273" s="42" t="str">
        <f t="shared" si="107"/>
        <v>BJ'S Private Label Brew|</v>
      </c>
      <c r="D273" s="10">
        <f>'[1]2024 Finish'!H266</f>
        <v>2892</v>
      </c>
      <c r="E273" s="22">
        <f>'[1]2024 Finish'!I266</f>
        <v>-0.10770196627976414</v>
      </c>
      <c r="F273" s="23">
        <f>G273/D273</f>
        <v>0.3</v>
      </c>
      <c r="G273" s="24">
        <f>SUMIF($B274:$B688,$B274,G274:G688)</f>
        <v>867.6</v>
      </c>
      <c r="H273" s="25">
        <f>SUMIF($B274:$B688,$B274,H274:H688)</f>
        <v>3759.6</v>
      </c>
      <c r="I273" s="23">
        <f>J273/D273</f>
        <v>0.3</v>
      </c>
      <c r="J273" s="24">
        <f>SUMIF($B274:$B688,$B274,J274:J688)</f>
        <v>867.6</v>
      </c>
      <c r="K273" s="48">
        <f>SUMIF($B274:$B688,$B274,K274:K688)</f>
        <v>3759.6</v>
      </c>
      <c r="L273" s="49">
        <f>K273-H273</f>
        <v>0</v>
      </c>
    </row>
    <row r="274" spans="1:12" x14ac:dyDescent="0.25">
      <c r="A274" s="2" t="s">
        <v>270</v>
      </c>
      <c r="B274" s="2" t="s">
        <v>325</v>
      </c>
      <c r="C274" s="42" t="str">
        <f t="shared" si="107"/>
        <v>BJ'S Private Label Brewa|BJ'S Private Label Brew</v>
      </c>
      <c r="D274" s="26">
        <f>'[1]2024 Finish'!H267</f>
        <v>2892</v>
      </c>
      <c r="E274" s="27">
        <f>'[1]2024 Finish'!I267</f>
        <v>-0.10770196627976414</v>
      </c>
      <c r="F274" s="18">
        <v>0.3</v>
      </c>
      <c r="G274" s="28">
        <f t="shared" ref="G274" si="110">F274*D274</f>
        <v>867.6</v>
      </c>
      <c r="H274" s="11">
        <f t="shared" ref="H274" si="111">D274+G274</f>
        <v>3759.6</v>
      </c>
      <c r="I274" s="18">
        <v>0.3</v>
      </c>
      <c r="J274" s="28">
        <f t="shared" si="22"/>
        <v>867.6</v>
      </c>
      <c r="K274" s="50">
        <f t="shared" si="23"/>
        <v>3759.6</v>
      </c>
      <c r="L274" s="28">
        <f t="shared" si="72"/>
        <v>0</v>
      </c>
    </row>
    <row r="275" spans="1:12" x14ac:dyDescent="0.25">
      <c r="A275" s="20" t="s">
        <v>74</v>
      </c>
      <c r="B275" s="21"/>
      <c r="C275" s="42" t="str">
        <f t="shared" si="107"/>
        <v>Global Village Imp.|</v>
      </c>
      <c r="D275" s="10">
        <f>'[1]2024 Finish'!H268</f>
        <v>1535</v>
      </c>
      <c r="E275" s="22">
        <f>'[1]2024 Finish'!I268</f>
        <v>0.25281265623175742</v>
      </c>
      <c r="F275" s="23">
        <f>G275/D275</f>
        <v>-0.2553745928338762</v>
      </c>
      <c r="G275" s="24">
        <f>SUMIF($B276:$B690,$B276,G276:G690)</f>
        <v>-392</v>
      </c>
      <c r="H275" s="25">
        <f>SUMIF($B276:$B690,$B276,H276:H690)</f>
        <v>1143</v>
      </c>
      <c r="I275" s="23">
        <f>J275/D275</f>
        <v>-0.30501628664495112</v>
      </c>
      <c r="J275" s="24">
        <f>SUMIF($B276:$B690,$B276,J276:J690)</f>
        <v>-468.2</v>
      </c>
      <c r="K275" s="48">
        <f>SUMIF($B276:$B690,$B276,K276:K690)</f>
        <v>1066.8</v>
      </c>
      <c r="L275" s="49">
        <f>K275-H275</f>
        <v>-76.200000000000045</v>
      </c>
    </row>
    <row r="276" spans="1:12" x14ac:dyDescent="0.25">
      <c r="A276" s="2" t="s">
        <v>196</v>
      </c>
      <c r="B276" s="2" t="s">
        <v>74</v>
      </c>
      <c r="C276" s="42" t="str">
        <f t="shared" si="107"/>
        <v>Augustiner|Global Village Imp.</v>
      </c>
      <c r="D276" s="26">
        <f>'[1]2024 Finish'!H269</f>
        <v>1524</v>
      </c>
      <c r="E276" s="27">
        <f>'[1]2024 Finish'!I269</f>
        <v>0.28067226890756292</v>
      </c>
      <c r="F276" s="18">
        <v>-0.25</v>
      </c>
      <c r="G276" s="28">
        <f t="shared" ref="G276:G277" si="112">F276*D276</f>
        <v>-381</v>
      </c>
      <c r="H276" s="11">
        <f t="shared" ref="H276:H277" si="113">D276+G276</f>
        <v>1143</v>
      </c>
      <c r="I276" s="18">
        <v>-0.3</v>
      </c>
      <c r="J276" s="28">
        <f t="shared" si="22"/>
        <v>-457.2</v>
      </c>
      <c r="K276" s="50">
        <f t="shared" si="23"/>
        <v>1066.8</v>
      </c>
      <c r="L276" s="28">
        <f t="shared" si="72"/>
        <v>-76.200000000000045</v>
      </c>
    </row>
    <row r="277" spans="1:12" x14ac:dyDescent="0.25">
      <c r="A277" s="2" t="s">
        <v>119</v>
      </c>
      <c r="B277" s="2" t="s">
        <v>74</v>
      </c>
      <c r="C277" s="42" t="str">
        <f t="shared" si="107"/>
        <v>Oranjeboom|Global Village Imp.</v>
      </c>
      <c r="D277" s="26">
        <f>'[1]2024 Finish'!H270</f>
        <v>11</v>
      </c>
      <c r="E277" s="27">
        <f>'[1]2024 Finish'!I270</f>
        <v>-0.68788172419810434</v>
      </c>
      <c r="F277" s="18">
        <v>-1</v>
      </c>
      <c r="G277" s="28">
        <f t="shared" si="112"/>
        <v>-11</v>
      </c>
      <c r="H277" s="11">
        <f t="shared" si="113"/>
        <v>0</v>
      </c>
      <c r="I277" s="18">
        <v>-1</v>
      </c>
      <c r="J277" s="28">
        <f t="shared" si="22"/>
        <v>-11</v>
      </c>
      <c r="K277" s="50">
        <f t="shared" si="23"/>
        <v>0</v>
      </c>
      <c r="L277" s="28">
        <f t="shared" si="72"/>
        <v>0</v>
      </c>
    </row>
    <row r="278" spans="1:12" x14ac:dyDescent="0.25">
      <c r="A278" s="20" t="s">
        <v>147</v>
      </c>
      <c r="B278" s="21"/>
      <c r="C278" s="42" t="str">
        <f t="shared" si="107"/>
        <v>Duclaw Brewing|</v>
      </c>
      <c r="D278" s="10">
        <f>'[1]2024 Finish'!H271</f>
        <v>1614</v>
      </c>
      <c r="E278" s="22">
        <f>'[1]2024 Finish'!I271</f>
        <v>-0.12148317324386282</v>
      </c>
      <c r="F278" s="23">
        <f>G278/D278</f>
        <v>0.01</v>
      </c>
      <c r="G278" s="24">
        <f>SUMIF($B279:$B693,$B279,G279:G693)</f>
        <v>16.14</v>
      </c>
      <c r="H278" s="25">
        <f>SUMIF($B279:$B693,$B279,H279:H693)</f>
        <v>1630.14</v>
      </c>
      <c r="I278" s="23">
        <f>J278/D278</f>
        <v>0</v>
      </c>
      <c r="J278" s="24">
        <f>SUMIF($B279:$B693,$B279,J279:J693)</f>
        <v>0</v>
      </c>
      <c r="K278" s="48">
        <f>SUMIF($B279:$B693,$B279,K279:K693)</f>
        <v>1614</v>
      </c>
      <c r="L278" s="49">
        <f>K278-H278</f>
        <v>-16.1400000000001</v>
      </c>
    </row>
    <row r="279" spans="1:12" x14ac:dyDescent="0.25">
      <c r="A279" s="2" t="s">
        <v>326</v>
      </c>
      <c r="B279" s="2" t="s">
        <v>147</v>
      </c>
      <c r="C279" s="42" t="str">
        <f t="shared" si="107"/>
        <v>Duclaw|Duclaw Brewing</v>
      </c>
      <c r="D279" s="26">
        <f>'[1]2024 Finish'!H272</f>
        <v>1614</v>
      </c>
      <c r="E279" s="27">
        <f>'[1]2024 Finish'!I272</f>
        <v>-0.12148317324386282</v>
      </c>
      <c r="F279" s="18">
        <v>0.01</v>
      </c>
      <c r="G279" s="28">
        <f t="shared" ref="G279" si="114">F279*D279</f>
        <v>16.14</v>
      </c>
      <c r="H279" s="11">
        <f t="shared" ref="H279" si="115">D279+G279</f>
        <v>1630.14</v>
      </c>
      <c r="I279" s="18">
        <v>0</v>
      </c>
      <c r="J279" s="28">
        <f t="shared" si="22"/>
        <v>0</v>
      </c>
      <c r="K279" s="50">
        <f t="shared" si="23"/>
        <v>1614</v>
      </c>
      <c r="L279" s="28">
        <f t="shared" si="72"/>
        <v>-16.1400000000001</v>
      </c>
    </row>
    <row r="280" spans="1:12" x14ac:dyDescent="0.25">
      <c r="A280" s="20" t="s">
        <v>19</v>
      </c>
      <c r="B280" s="21"/>
      <c r="C280" s="42" t="str">
        <f t="shared" si="107"/>
        <v>Citizen Cider|</v>
      </c>
      <c r="D280" s="10">
        <f>'[1]2024 Finish'!H273</f>
        <v>1418</v>
      </c>
      <c r="E280" s="22">
        <f>'[1]2024 Finish'!I273</f>
        <v>1.2616296410825845E-2</v>
      </c>
      <c r="F280" s="23">
        <f>G280/D280</f>
        <v>0.06</v>
      </c>
      <c r="G280" s="24">
        <f>SUMIF($B281:$B695,$B281,G281:G695)</f>
        <v>85.08</v>
      </c>
      <c r="H280" s="25">
        <f>SUMIF($B281:$B695,$B281,H281:H695)</f>
        <v>1503.08</v>
      </c>
      <c r="I280" s="23">
        <f>J280/D280</f>
        <v>0.06</v>
      </c>
      <c r="J280" s="24">
        <f>SUMIF($B281:$B695,$B281,J281:J695)</f>
        <v>85.08</v>
      </c>
      <c r="K280" s="48">
        <f>SUMIF($B281:$B695,$B281,K281:K695)</f>
        <v>1503.08</v>
      </c>
      <c r="L280" s="49">
        <f>K280-H280</f>
        <v>0</v>
      </c>
    </row>
    <row r="281" spans="1:12" x14ac:dyDescent="0.25">
      <c r="A281" s="2" t="s">
        <v>19</v>
      </c>
      <c r="B281" s="2" t="s">
        <v>19</v>
      </c>
      <c r="C281" s="42" t="str">
        <f t="shared" si="107"/>
        <v>Citizen Cider|Citizen Cider</v>
      </c>
      <c r="D281" s="26">
        <f>'[1]2024 Finish'!H274</f>
        <v>1418</v>
      </c>
      <c r="E281" s="27">
        <f>'[1]2024 Finish'!I274</f>
        <v>1.2616296410825845E-2</v>
      </c>
      <c r="F281" s="18">
        <v>0.06</v>
      </c>
      <c r="G281" s="28">
        <f t="shared" ref="G281" si="116">F281*D281</f>
        <v>85.08</v>
      </c>
      <c r="H281" s="11">
        <f t="shared" ref="H281" si="117">D281+G281</f>
        <v>1503.08</v>
      </c>
      <c r="I281" s="18">
        <v>0.06</v>
      </c>
      <c r="J281" s="28">
        <f t="shared" si="22"/>
        <v>85.08</v>
      </c>
      <c r="K281" s="50">
        <f t="shared" si="23"/>
        <v>1503.08</v>
      </c>
      <c r="L281" s="28">
        <f t="shared" si="72"/>
        <v>0</v>
      </c>
    </row>
    <row r="282" spans="1:12" x14ac:dyDescent="0.25">
      <c r="A282" s="20" t="s">
        <v>267</v>
      </c>
      <c r="B282" s="21"/>
      <c r="C282" s="42" t="str">
        <f t="shared" si="107"/>
        <v>Artisanal Imports|</v>
      </c>
      <c r="D282" s="10">
        <f>'[1]2024 Finish'!H275</f>
        <v>5405</v>
      </c>
      <c r="E282" s="22">
        <f>'[1]2024 Finish'!I275</f>
        <v>2.4625240230621395</v>
      </c>
      <c r="F282" s="23">
        <f>G282/D282</f>
        <v>0.58843663274745606</v>
      </c>
      <c r="G282" s="24">
        <f>SUMIF($B283:$B697,$B283,G283:G697)</f>
        <v>3180.5</v>
      </c>
      <c r="H282" s="25">
        <f>SUMIF($B283:$B697,$B283,H283:H697)</f>
        <v>8585.5</v>
      </c>
      <c r="I282" s="23">
        <f>J282/D282</f>
        <v>0.58843663274745606</v>
      </c>
      <c r="J282" s="24">
        <f>SUMIF($B283:$B697,$B283,J283:J697)</f>
        <v>3180.5</v>
      </c>
      <c r="K282" s="48">
        <f>SUMIF($B283:$B697,$B283,K283:K697)</f>
        <v>8585.5</v>
      </c>
      <c r="L282" s="49">
        <f>K282-H282</f>
        <v>0</v>
      </c>
    </row>
    <row r="283" spans="1:12" x14ac:dyDescent="0.25">
      <c r="A283" s="2" t="s">
        <v>66</v>
      </c>
      <c r="B283" s="2" t="s">
        <v>267</v>
      </c>
      <c r="C283" s="42" t="str">
        <f t="shared" si="107"/>
        <v>Tona|Artisanal Imports</v>
      </c>
      <c r="D283" s="26">
        <f>'[1]2024 Finish'!H276</f>
        <v>2966</v>
      </c>
      <c r="E283" s="27">
        <f>'[1]2024 Finish'!I276</f>
        <v>0.90006406149903917</v>
      </c>
      <c r="F283" s="18">
        <v>0.25</v>
      </c>
      <c r="G283" s="28">
        <f t="shared" ref="G283:G284" si="118">F283*D283</f>
        <v>741.5</v>
      </c>
      <c r="H283" s="11">
        <f t="shared" ref="H283:H284" si="119">D283+G283</f>
        <v>3707.5</v>
      </c>
      <c r="I283" s="18">
        <v>0.25</v>
      </c>
      <c r="J283" s="28">
        <f t="shared" si="22"/>
        <v>741.5</v>
      </c>
      <c r="K283" s="50">
        <f t="shared" si="23"/>
        <v>3707.5</v>
      </c>
      <c r="L283" s="28">
        <f t="shared" si="72"/>
        <v>0</v>
      </c>
    </row>
    <row r="284" spans="1:12" x14ac:dyDescent="0.25">
      <c r="A284" s="2" t="s">
        <v>67</v>
      </c>
      <c r="B284" s="2" t="s">
        <v>267</v>
      </c>
      <c r="C284" s="42" t="str">
        <f t="shared" si="107"/>
        <v>Palma|Artisanal Imports</v>
      </c>
      <c r="D284" s="26">
        <f>'[1]2024 Finish'!H277</f>
        <v>2439</v>
      </c>
      <c r="E284" s="27" t="e">
        <f>'[1]2024 Finish'!I277</f>
        <v>#DIV/0!</v>
      </c>
      <c r="F284" s="18">
        <v>1</v>
      </c>
      <c r="G284" s="28">
        <f t="shared" si="118"/>
        <v>2439</v>
      </c>
      <c r="H284" s="11">
        <f t="shared" si="119"/>
        <v>4878</v>
      </c>
      <c r="I284" s="18">
        <v>1</v>
      </c>
      <c r="J284" s="28">
        <f t="shared" si="22"/>
        <v>2439</v>
      </c>
      <c r="K284" s="50">
        <f t="shared" si="23"/>
        <v>4878</v>
      </c>
      <c r="L284" s="28">
        <f t="shared" ref="L284:L331" si="120">K284-H284</f>
        <v>0</v>
      </c>
    </row>
    <row r="285" spans="1:12" x14ac:dyDescent="0.25">
      <c r="A285" s="20" t="s">
        <v>229</v>
      </c>
      <c r="B285" s="21"/>
      <c r="C285" s="42" t="str">
        <f t="shared" si="107"/>
        <v>Prestige|</v>
      </c>
      <c r="D285" s="10">
        <f>'[1]2024 Finish'!H278</f>
        <v>2174</v>
      </c>
      <c r="E285" s="22">
        <f>'[1]2024 Finish'!I278</f>
        <v>3.8597627696162373E-2</v>
      </c>
      <c r="F285" s="23">
        <f>G285/D285</f>
        <v>8.6062557497700101E-2</v>
      </c>
      <c r="G285" s="24">
        <f>SUMIF($B286:$B700,$B286,G286:G700)</f>
        <v>187.10000000000002</v>
      </c>
      <c r="H285" s="25">
        <f>SUMIF($B286:$B700,$B286,H286:H700)</f>
        <v>2361.1</v>
      </c>
      <c r="I285" s="23">
        <f>J285/D285</f>
        <v>8.6062557497700101E-2</v>
      </c>
      <c r="J285" s="24">
        <f>SUMIF($B286:$B700,$B286,J286:J700)</f>
        <v>187.10000000000002</v>
      </c>
      <c r="K285" s="48">
        <f>SUMIF($B286:$B700,$B286,K286:K700)</f>
        <v>2361.1</v>
      </c>
      <c r="L285" s="49">
        <f>K285-H285</f>
        <v>0</v>
      </c>
    </row>
    <row r="286" spans="1:12" x14ac:dyDescent="0.25">
      <c r="A286" s="2" t="s">
        <v>120</v>
      </c>
      <c r="B286" s="2" t="s">
        <v>229</v>
      </c>
      <c r="C286" s="42" t="str">
        <f t="shared" si="107"/>
        <v>Mythos|Prestige</v>
      </c>
      <c r="D286" s="26">
        <f>'[1]2024 Finish'!H279</f>
        <v>1871</v>
      </c>
      <c r="E286" s="27">
        <f>'[1]2024 Finish'!I279</f>
        <v>9.1041361530796339E-2</v>
      </c>
      <c r="F286" s="18">
        <v>0.1</v>
      </c>
      <c r="G286" s="28">
        <f t="shared" ref="G286:G289" si="121">F286*D286</f>
        <v>187.10000000000002</v>
      </c>
      <c r="H286" s="11">
        <f t="shared" ref="H286:H289" si="122">D286+G286</f>
        <v>2058.1</v>
      </c>
      <c r="I286" s="18">
        <v>0.1</v>
      </c>
      <c r="J286" s="28">
        <f t="shared" si="22"/>
        <v>187.10000000000002</v>
      </c>
      <c r="K286" s="50">
        <f t="shared" si="23"/>
        <v>2058.1</v>
      </c>
      <c r="L286" s="28">
        <f t="shared" si="120"/>
        <v>0</v>
      </c>
    </row>
    <row r="287" spans="1:12" x14ac:dyDescent="0.25">
      <c r="A287" s="2" t="s">
        <v>121</v>
      </c>
      <c r="B287" s="2" t="s">
        <v>229</v>
      </c>
      <c r="C287" s="42" t="str">
        <f t="shared" si="107"/>
        <v>Fix Hellas|Prestige</v>
      </c>
      <c r="D287" s="26">
        <f>'[1]2024 Finish'!H280</f>
        <v>142</v>
      </c>
      <c r="E287" s="27">
        <f>'[1]2024 Finish'!I280</f>
        <v>-0.60097190654510269</v>
      </c>
      <c r="F287" s="18">
        <v>0</v>
      </c>
      <c r="G287" s="28">
        <f t="shared" si="121"/>
        <v>0</v>
      </c>
      <c r="H287" s="11">
        <f t="shared" si="122"/>
        <v>142</v>
      </c>
      <c r="I287" s="18">
        <v>0</v>
      </c>
      <c r="J287" s="28">
        <f t="shared" si="22"/>
        <v>0</v>
      </c>
      <c r="K287" s="50">
        <f t="shared" si="23"/>
        <v>142</v>
      </c>
      <c r="L287" s="28">
        <f t="shared" si="120"/>
        <v>0</v>
      </c>
    </row>
    <row r="288" spans="1:12" x14ac:dyDescent="0.25">
      <c r="A288" s="2" t="s">
        <v>253</v>
      </c>
      <c r="B288" s="2" t="s">
        <v>229</v>
      </c>
      <c r="C288" s="42" t="str">
        <f t="shared" si="107"/>
        <v>Greek Spirits|Prestige</v>
      </c>
      <c r="D288" s="26">
        <f>'[1]2024 Finish'!H281</f>
        <v>10</v>
      </c>
      <c r="E288" s="27">
        <f>'[1]2024 Finish'!I281</f>
        <v>-5.3646866435504093E-2</v>
      </c>
      <c r="F288" s="18"/>
      <c r="G288" s="28">
        <f t="shared" si="121"/>
        <v>0</v>
      </c>
      <c r="H288" s="11">
        <f t="shared" si="122"/>
        <v>10</v>
      </c>
      <c r="I288" s="18">
        <v>0</v>
      </c>
      <c r="J288" s="28">
        <f t="shared" si="22"/>
        <v>0</v>
      </c>
      <c r="K288" s="50">
        <f t="shared" si="23"/>
        <v>10</v>
      </c>
      <c r="L288" s="28">
        <f t="shared" si="120"/>
        <v>0</v>
      </c>
    </row>
    <row r="289" spans="1:12" x14ac:dyDescent="0.25">
      <c r="A289" s="2" t="s">
        <v>383</v>
      </c>
      <c r="B289" s="2" t="s">
        <v>229</v>
      </c>
      <c r="C289" s="42" t="str">
        <f t="shared" si="107"/>
        <v>Greek Wines|Prestige</v>
      </c>
      <c r="D289" s="26">
        <f>'[1]2024 Finish'!H282</f>
        <v>151</v>
      </c>
      <c r="E289" s="27">
        <f>'[1]2024 Finish'!I282</f>
        <v>11.688848510526659</v>
      </c>
      <c r="F289" s="18"/>
      <c r="G289" s="28">
        <f t="shared" si="121"/>
        <v>0</v>
      </c>
      <c r="H289" s="11">
        <f t="shared" si="122"/>
        <v>151</v>
      </c>
      <c r="I289" s="18">
        <v>0</v>
      </c>
      <c r="J289" s="28">
        <f t="shared" si="22"/>
        <v>0</v>
      </c>
      <c r="K289" s="50">
        <f t="shared" si="23"/>
        <v>151</v>
      </c>
      <c r="L289" s="28">
        <f t="shared" si="120"/>
        <v>0</v>
      </c>
    </row>
    <row r="290" spans="1:12" x14ac:dyDescent="0.25">
      <c r="A290" s="20" t="s">
        <v>407</v>
      </c>
      <c r="B290" s="21"/>
      <c r="C290" s="42" t="str">
        <f t="shared" si="107"/>
        <v>Pampa Beverages|</v>
      </c>
      <c r="D290" s="10">
        <f>'[1]2024 Finish'!H283</f>
        <v>1966</v>
      </c>
      <c r="E290" s="22">
        <f>'[1]2024 Finish'!I283</f>
        <v>0.21884686918784868</v>
      </c>
      <c r="F290" s="23">
        <f>G290/D290</f>
        <v>0.1</v>
      </c>
      <c r="G290" s="24">
        <f>SUMIF($B291:$B705,$B291,G291:G705)</f>
        <v>196.60000000000002</v>
      </c>
      <c r="H290" s="25">
        <f>SUMIF($B291:$B705,$B291,H291:H705)</f>
        <v>2162.6</v>
      </c>
      <c r="I290" s="23">
        <f>J290/D290</f>
        <v>0.1</v>
      </c>
      <c r="J290" s="24">
        <f>SUMIF($B291:$B705,$B291,J291:J705)</f>
        <v>196.60000000000002</v>
      </c>
      <c r="K290" s="48">
        <f>SUMIF($B291:$B705,$B291,K291:K705)</f>
        <v>2162.6</v>
      </c>
      <c r="L290" s="49">
        <f>K290-H290</f>
        <v>0</v>
      </c>
    </row>
    <row r="291" spans="1:12" x14ac:dyDescent="0.25">
      <c r="A291" s="2" t="s">
        <v>44</v>
      </c>
      <c r="B291" s="2" t="s">
        <v>407</v>
      </c>
      <c r="C291" s="42" t="str">
        <f t="shared" si="107"/>
        <v>Quilmes|Pampa Beverages</v>
      </c>
      <c r="D291" s="26">
        <f>'[1]2024 Finish'!H284</f>
        <v>1966</v>
      </c>
      <c r="E291" s="27">
        <f>'[1]2024 Finish'!I284</f>
        <v>0.21884686918784868</v>
      </c>
      <c r="F291" s="18">
        <v>0.1</v>
      </c>
      <c r="G291" s="28">
        <f t="shared" ref="G291" si="123">F291*D291</f>
        <v>196.60000000000002</v>
      </c>
      <c r="H291" s="11">
        <f t="shared" ref="H291" si="124">D291+G291</f>
        <v>2162.6</v>
      </c>
      <c r="I291" s="18">
        <v>0.1</v>
      </c>
      <c r="J291" s="28">
        <f t="shared" si="22"/>
        <v>196.60000000000002</v>
      </c>
      <c r="K291" s="50">
        <f t="shared" si="23"/>
        <v>2162.6</v>
      </c>
      <c r="L291" s="28">
        <f t="shared" si="120"/>
        <v>0</v>
      </c>
    </row>
    <row r="292" spans="1:12" x14ac:dyDescent="0.25">
      <c r="A292" s="20" t="s">
        <v>297</v>
      </c>
      <c r="B292" s="21"/>
      <c r="C292" s="42" t="str">
        <f t="shared" si="107"/>
        <v>River Horse Brewing Co|</v>
      </c>
      <c r="D292" s="10">
        <f>'[1]2024 Finish'!H285</f>
        <v>2766</v>
      </c>
      <c r="E292" s="22">
        <f>'[1]2024 Finish'!I285</f>
        <v>-0.42471921078154473</v>
      </c>
      <c r="F292" s="23">
        <f>G292/D292</f>
        <v>-3.0730296456977585E-2</v>
      </c>
      <c r="G292" s="24">
        <f>SUMIF($B293:$B707,$B293,G293:G707)</f>
        <v>-85</v>
      </c>
      <c r="H292" s="25">
        <f>SUMIF($B293:$B707,$B293,H293:H707)</f>
        <v>2681</v>
      </c>
      <c r="I292" s="23">
        <f>J292/D292</f>
        <v>-7.9193781634128713E-2</v>
      </c>
      <c r="J292" s="24">
        <f>SUMIF($B293:$B707,$B293,J293:J707)</f>
        <v>-219.05</v>
      </c>
      <c r="K292" s="48">
        <f>SUMIF($B293:$B707,$B293,K293:K707)</f>
        <v>2546.9499999999998</v>
      </c>
      <c r="L292" s="49">
        <f>K292-H292</f>
        <v>-134.05000000000018</v>
      </c>
    </row>
    <row r="293" spans="1:12" x14ac:dyDescent="0.25">
      <c r="A293" s="2" t="s">
        <v>297</v>
      </c>
      <c r="B293" s="2" t="s">
        <v>297</v>
      </c>
      <c r="C293" s="42" t="str">
        <f t="shared" si="107"/>
        <v>River Horse Brewing Co|River Horse Brewing Co</v>
      </c>
      <c r="D293" s="26">
        <f>'[1]2024 Finish'!H286</f>
        <v>2681</v>
      </c>
      <c r="E293" s="27">
        <f>'[1]2024 Finish'!I286</f>
        <v>-0.40961270149712048</v>
      </c>
      <c r="F293" s="18">
        <v>0</v>
      </c>
      <c r="G293" s="28">
        <f t="shared" ref="G293:G294" si="125">F293*D293</f>
        <v>0</v>
      </c>
      <c r="H293" s="11">
        <f t="shared" ref="H293:H294" si="126">D293+G293</f>
        <v>2681</v>
      </c>
      <c r="I293" s="18">
        <v>-0.05</v>
      </c>
      <c r="J293" s="28">
        <f t="shared" si="22"/>
        <v>-134.05000000000001</v>
      </c>
      <c r="K293" s="50">
        <f t="shared" si="23"/>
        <v>2546.9499999999998</v>
      </c>
      <c r="L293" s="28">
        <f t="shared" si="120"/>
        <v>-134.05000000000018</v>
      </c>
    </row>
    <row r="294" spans="1:12" x14ac:dyDescent="0.25">
      <c r="A294" s="2" t="s">
        <v>73</v>
      </c>
      <c r="B294" s="2" t="s">
        <v>297</v>
      </c>
      <c r="C294" s="42" t="str">
        <f t="shared" si="107"/>
        <v>The Garden State Experience|River Horse Brewing Co</v>
      </c>
      <c r="D294" s="26">
        <f>'[1]2024 Finish'!H287</f>
        <v>85</v>
      </c>
      <c r="E294" s="27">
        <f>'[1]2024 Finish'!I287</f>
        <v>-0.68164794007490637</v>
      </c>
      <c r="F294" s="18">
        <v>-1</v>
      </c>
      <c r="G294" s="28">
        <f t="shared" si="125"/>
        <v>-85</v>
      </c>
      <c r="H294" s="11">
        <f t="shared" si="126"/>
        <v>0</v>
      </c>
      <c r="I294" s="18">
        <v>-1</v>
      </c>
      <c r="J294" s="28">
        <f t="shared" si="22"/>
        <v>-85</v>
      </c>
      <c r="K294" s="50">
        <f t="shared" si="23"/>
        <v>0</v>
      </c>
      <c r="L294" s="28">
        <f t="shared" si="120"/>
        <v>0</v>
      </c>
    </row>
    <row r="295" spans="1:12" x14ac:dyDescent="0.25">
      <c r="A295" s="20" t="s">
        <v>382</v>
      </c>
      <c r="B295" s="21"/>
      <c r="C295" s="42" t="str">
        <f t="shared" si="107"/>
        <v>Newburgh Brewing|</v>
      </c>
      <c r="D295" s="10">
        <f>'[1]2024 Finish'!H288</f>
        <v>1287</v>
      </c>
      <c r="E295" s="22">
        <f>'[1]2024 Finish'!I288</f>
        <v>-0.15672213222333176</v>
      </c>
      <c r="F295" s="23">
        <f>G295/D295</f>
        <v>-0.20000000000000004</v>
      </c>
      <c r="G295" s="24">
        <f>SUMIF($B296:$B710,$B296,G296:G710)</f>
        <v>-257.40000000000003</v>
      </c>
      <c r="H295" s="25">
        <f>SUMIF($B296:$B710,$B296,H296:H710)</f>
        <v>1029.5999999999999</v>
      </c>
      <c r="I295" s="23">
        <f>J295/D295</f>
        <v>-0.20000000000000004</v>
      </c>
      <c r="J295" s="24">
        <f>SUMIF($B296:$B710,$B296,J296:J710)</f>
        <v>-257.40000000000003</v>
      </c>
      <c r="K295" s="48">
        <f>SUMIF($B296:$B710,$B296,K296:K710)</f>
        <v>1029.5999999999999</v>
      </c>
      <c r="L295" s="49">
        <f>K295-H295</f>
        <v>0</v>
      </c>
    </row>
    <row r="296" spans="1:12" x14ac:dyDescent="0.25">
      <c r="A296" s="2" t="s">
        <v>197</v>
      </c>
      <c r="B296" s="2" t="s">
        <v>382</v>
      </c>
      <c r="C296" s="42" t="str">
        <f t="shared" si="107"/>
        <v>Newburgh|Newburgh Brewing</v>
      </c>
      <c r="D296" s="26">
        <f>'[1]2024 Finish'!H289</f>
        <v>1287</v>
      </c>
      <c r="E296" s="27">
        <f>'[1]2024 Finish'!I289</f>
        <v>-0.15672213222333176</v>
      </c>
      <c r="F296" s="18">
        <v>-0.2</v>
      </c>
      <c r="G296" s="28">
        <f t="shared" ref="G296" si="127">F296*D296</f>
        <v>-257.40000000000003</v>
      </c>
      <c r="H296" s="11">
        <f t="shared" ref="H296" si="128">D296+G296</f>
        <v>1029.5999999999999</v>
      </c>
      <c r="I296" s="18">
        <v>-0.2</v>
      </c>
      <c r="J296" s="28">
        <f t="shared" si="22"/>
        <v>-257.40000000000003</v>
      </c>
      <c r="K296" s="50">
        <f t="shared" si="23"/>
        <v>1029.5999999999999</v>
      </c>
      <c r="L296" s="28">
        <f t="shared" si="120"/>
        <v>0</v>
      </c>
    </row>
    <row r="297" spans="1:12" x14ac:dyDescent="0.25">
      <c r="A297" s="20" t="s">
        <v>408</v>
      </c>
      <c r="B297" s="21"/>
      <c r="C297" s="42" t="str">
        <f t="shared" si="107"/>
        <v>Ithaca|</v>
      </c>
      <c r="D297" s="10">
        <f>'[1]2024 Finish'!H290</f>
        <v>1195</v>
      </c>
      <c r="E297" s="22">
        <f>'[1]2024 Finish'!I290</f>
        <v>-4.8477361609874703E-2</v>
      </c>
      <c r="F297" s="23">
        <f>G297/D297</f>
        <v>0</v>
      </c>
      <c r="G297" s="24">
        <f>SUMIF($B298:$B712,$B298,G298:G712)</f>
        <v>0</v>
      </c>
      <c r="H297" s="25">
        <f>SUMIF($B298:$B712,$B298,H298:H712)</f>
        <v>1195</v>
      </c>
      <c r="I297" s="23">
        <f>J297/D297</f>
        <v>0</v>
      </c>
      <c r="J297" s="24">
        <f>SUMIF($B298:$B712,$B298,J298:J712)</f>
        <v>0</v>
      </c>
      <c r="K297" s="48">
        <f>SUMIF($B298:$B712,$B298,K298:K712)</f>
        <v>1195</v>
      </c>
      <c r="L297" s="49">
        <f>K297-H297</f>
        <v>0</v>
      </c>
    </row>
    <row r="298" spans="1:12" x14ac:dyDescent="0.25">
      <c r="A298" s="2" t="s">
        <v>408</v>
      </c>
      <c r="B298" s="2" t="s">
        <v>408</v>
      </c>
      <c r="C298" s="42" t="str">
        <f t="shared" si="107"/>
        <v>Ithaca|Ithaca</v>
      </c>
      <c r="D298" s="26">
        <f>'[1]2024 Finish'!H291</f>
        <v>1195</v>
      </c>
      <c r="E298" s="27">
        <f>'[1]2024 Finish'!I291</f>
        <v>-4.8477361609874703E-2</v>
      </c>
      <c r="F298" s="18">
        <v>0</v>
      </c>
      <c r="G298" s="28">
        <f t="shared" ref="G298" si="129">F298*D298</f>
        <v>0</v>
      </c>
      <c r="H298" s="11">
        <f t="shared" ref="H298" si="130">D298+G298</f>
        <v>1195</v>
      </c>
      <c r="I298" s="18">
        <v>0</v>
      </c>
      <c r="J298" s="28">
        <f t="shared" si="22"/>
        <v>0</v>
      </c>
      <c r="K298" s="50">
        <f t="shared" si="23"/>
        <v>1195</v>
      </c>
      <c r="L298" s="28">
        <f t="shared" si="120"/>
        <v>0</v>
      </c>
    </row>
    <row r="299" spans="1:12" x14ac:dyDescent="0.25">
      <c r="A299" s="20" t="s">
        <v>21</v>
      </c>
      <c r="B299" s="21"/>
      <c r="C299" s="42" t="str">
        <f t="shared" si="107"/>
        <v>Hygrade Beverage|</v>
      </c>
      <c r="D299" s="10">
        <f>'[1]2024 Finish'!H292</f>
        <v>1381</v>
      </c>
      <c r="E299" s="22">
        <f>'[1]2024 Finish'!I292</f>
        <v>-0.10305261364444351</v>
      </c>
      <c r="F299" s="23">
        <f>G299/D299</f>
        <v>-1</v>
      </c>
      <c r="G299" s="24">
        <f>SUMIF($B300:$B714,$B300,G300:G714)</f>
        <v>-1381</v>
      </c>
      <c r="H299" s="25">
        <f>SUMIF($B300:$B714,$B300,H300:H714)</f>
        <v>0</v>
      </c>
      <c r="I299" s="23">
        <f>J299/D299</f>
        <v>-1</v>
      </c>
      <c r="J299" s="24">
        <f>SUMIF($B300:$B714,$B300,J300:J714)</f>
        <v>-1381</v>
      </c>
      <c r="K299" s="48">
        <f>SUMIF($B300:$B714,$B300,K300:K714)</f>
        <v>0</v>
      </c>
      <c r="L299" s="49">
        <f>K299-H299</f>
        <v>0</v>
      </c>
    </row>
    <row r="300" spans="1:12" x14ac:dyDescent="0.25">
      <c r="A300" s="2" t="s">
        <v>230</v>
      </c>
      <c r="B300" s="2" t="s">
        <v>21</v>
      </c>
      <c r="C300" s="42" t="str">
        <f t="shared" si="107"/>
        <v>Soda Birch|Hygrade Beverage</v>
      </c>
      <c r="D300" s="26">
        <f>'[1]2024 Finish'!H293</f>
        <v>1381</v>
      </c>
      <c r="E300" s="27">
        <f>'[1]2024 Finish'!I293</f>
        <v>-0.10305261364444351</v>
      </c>
      <c r="F300" s="18">
        <v>-1</v>
      </c>
      <c r="G300" s="28">
        <f t="shared" ref="G300" si="131">F300*D300</f>
        <v>-1381</v>
      </c>
      <c r="H300" s="11">
        <f t="shared" ref="H300" si="132">D300+G300</f>
        <v>0</v>
      </c>
      <c r="I300" s="18">
        <v>-1</v>
      </c>
      <c r="J300" s="28">
        <f t="shared" si="22"/>
        <v>-1381</v>
      </c>
      <c r="K300" s="50">
        <f t="shared" si="23"/>
        <v>0</v>
      </c>
      <c r="L300" s="28">
        <f t="shared" si="120"/>
        <v>0</v>
      </c>
    </row>
    <row r="301" spans="1:12" x14ac:dyDescent="0.25">
      <c r="A301" s="20" t="s">
        <v>98</v>
      </c>
      <c r="B301" s="21"/>
      <c r="C301" s="42" t="str">
        <f t="shared" si="107"/>
        <v>Caravella Inc|</v>
      </c>
      <c r="D301" s="10">
        <f>'[1]2024 Finish'!H294</f>
        <v>712</v>
      </c>
      <c r="E301" s="22">
        <f>'[1]2024 Finish'!I294</f>
        <v>0.61196993085627049</v>
      </c>
      <c r="F301" s="23">
        <f>G301/D301</f>
        <v>0</v>
      </c>
      <c r="G301" s="24">
        <f>SUMIF($B302:$B716,$B302,G302:G716)</f>
        <v>0</v>
      </c>
      <c r="H301" s="25">
        <f>SUMIF($B302:$B716,$B302,H302:H716)</f>
        <v>712</v>
      </c>
      <c r="I301" s="23">
        <f>J301/D301</f>
        <v>-0.05</v>
      </c>
      <c r="J301" s="24">
        <f>SUMIF($B302:$B716,$B302,J302:J716)</f>
        <v>-35.6</v>
      </c>
      <c r="K301" s="48">
        <f>SUMIF($B302:$B716,$B302,K302:K716)</f>
        <v>676.4</v>
      </c>
      <c r="L301" s="49">
        <f>K301-H301</f>
        <v>-35.600000000000023</v>
      </c>
    </row>
    <row r="302" spans="1:12" x14ac:dyDescent="0.25">
      <c r="A302" s="2" t="s">
        <v>148</v>
      </c>
      <c r="B302" s="2" t="s">
        <v>98</v>
      </c>
      <c r="C302" s="42" t="str">
        <f t="shared" si="107"/>
        <v>Dancing Vines|Caravella Inc</v>
      </c>
      <c r="D302" s="26">
        <f>'[1]2024 Finish'!H295</f>
        <v>84</v>
      </c>
      <c r="E302" s="27">
        <f>'[1]2024 Finish'!I295</f>
        <v>-0.54313986655507096</v>
      </c>
      <c r="F302" s="18"/>
      <c r="G302" s="28">
        <f t="shared" ref="G302:G304" si="133">F302*D302</f>
        <v>0</v>
      </c>
      <c r="H302" s="11">
        <f t="shared" ref="H302:H304" si="134">D302+G302</f>
        <v>84</v>
      </c>
      <c r="I302" s="18">
        <v>-0.05</v>
      </c>
      <c r="J302" s="28">
        <f t="shared" si="22"/>
        <v>-4.2</v>
      </c>
      <c r="K302" s="50">
        <f t="shared" si="23"/>
        <v>79.8</v>
      </c>
      <c r="L302" s="28">
        <f t="shared" si="120"/>
        <v>-4.2000000000000028</v>
      </c>
    </row>
    <row r="303" spans="1:12" x14ac:dyDescent="0.25">
      <c r="A303" s="2" t="s">
        <v>357</v>
      </c>
      <c r="B303" s="2" t="s">
        <v>98</v>
      </c>
      <c r="C303" s="42" t="str">
        <f t="shared" si="107"/>
        <v>2 Canos|Caravella Inc</v>
      </c>
      <c r="D303" s="26">
        <f>'[1]2024 Finish'!H296</f>
        <v>231</v>
      </c>
      <c r="E303" s="27">
        <f>'[1]2024 Finish'!I296</f>
        <v>-0.10406732027295673</v>
      </c>
      <c r="F303" s="18"/>
      <c r="G303" s="28">
        <f t="shared" si="133"/>
        <v>0</v>
      </c>
      <c r="H303" s="11">
        <f t="shared" si="134"/>
        <v>231</v>
      </c>
      <c r="I303" s="18">
        <v>-0.05</v>
      </c>
      <c r="J303" s="28">
        <f t="shared" si="22"/>
        <v>-11.55</v>
      </c>
      <c r="K303" s="50">
        <f t="shared" si="23"/>
        <v>219.45</v>
      </c>
      <c r="L303" s="28">
        <f t="shared" si="120"/>
        <v>-11.550000000000011</v>
      </c>
    </row>
    <row r="304" spans="1:12" x14ac:dyDescent="0.25">
      <c r="A304" s="2" t="s">
        <v>330</v>
      </c>
      <c r="B304" s="2" t="s">
        <v>98</v>
      </c>
      <c r="C304" s="42" t="str">
        <f t="shared" si="107"/>
        <v>Caravella|Caravella Inc</v>
      </c>
      <c r="D304" s="26">
        <f>'[1]2024 Finish'!H297</f>
        <v>397</v>
      </c>
      <c r="E304" s="27" t="e">
        <f>'[1]2024 Finish'!I297</f>
        <v>#DIV/0!</v>
      </c>
      <c r="F304" s="18"/>
      <c r="G304" s="28">
        <f t="shared" si="133"/>
        <v>0</v>
      </c>
      <c r="H304" s="11">
        <f t="shared" si="134"/>
        <v>397</v>
      </c>
      <c r="I304" s="18">
        <v>-0.05</v>
      </c>
      <c r="J304" s="28">
        <f t="shared" si="22"/>
        <v>-19.850000000000001</v>
      </c>
      <c r="K304" s="50">
        <f t="shared" si="23"/>
        <v>377.15</v>
      </c>
      <c r="L304" s="28">
        <f t="shared" si="120"/>
        <v>-19.850000000000023</v>
      </c>
    </row>
    <row r="305" spans="1:12" x14ac:dyDescent="0.25">
      <c r="A305" s="20" t="s">
        <v>45</v>
      </c>
      <c r="B305" s="21"/>
      <c r="C305" s="42" t="str">
        <f t="shared" si="107"/>
        <v>Bold Rock Hard Cider|</v>
      </c>
      <c r="D305" s="10">
        <f>'[1]2024 Finish'!H298</f>
        <v>1123</v>
      </c>
      <c r="E305" s="22">
        <f>'[1]2024 Finish'!I298</f>
        <v>0.44367666842434406</v>
      </c>
      <c r="F305" s="23">
        <f>G305/D305</f>
        <v>0</v>
      </c>
      <c r="G305" s="24">
        <f>SUMIF($B306:$B720,$B306,G306:G720)</f>
        <v>0</v>
      </c>
      <c r="H305" s="25">
        <f>SUMIF($B306:$B720,$B306,H306:H720)</f>
        <v>1123</v>
      </c>
      <c r="I305" s="23">
        <f>J305/D305</f>
        <v>0.1</v>
      </c>
      <c r="J305" s="24">
        <f>SUMIF($B306:$B720,$B306,J306:J720)</f>
        <v>112.30000000000001</v>
      </c>
      <c r="K305" s="48">
        <f>SUMIF($B306:$B720,$B306,K306:K720)</f>
        <v>1235.3</v>
      </c>
      <c r="L305" s="49">
        <f>K305-H305</f>
        <v>112.29999999999995</v>
      </c>
    </row>
    <row r="306" spans="1:12" x14ac:dyDescent="0.25">
      <c r="A306" s="2" t="s">
        <v>146</v>
      </c>
      <c r="B306" s="2" t="s">
        <v>45</v>
      </c>
      <c r="C306" s="42" t="str">
        <f t="shared" si="107"/>
        <v>Bold Rock|Bold Rock Hard Cider</v>
      </c>
      <c r="D306" s="26">
        <f>'[1]2024 Finish'!H299</f>
        <v>1123</v>
      </c>
      <c r="E306" s="27">
        <f>'[1]2024 Finish'!I299</f>
        <v>0.44367666842434406</v>
      </c>
      <c r="F306" s="18">
        <v>0</v>
      </c>
      <c r="G306" s="28">
        <f t="shared" ref="G306" si="135">F306*D306</f>
        <v>0</v>
      </c>
      <c r="H306" s="11">
        <f t="shared" ref="H306" si="136">D306+G306</f>
        <v>1123</v>
      </c>
      <c r="I306" s="18">
        <v>0.1</v>
      </c>
      <c r="J306" s="28">
        <f t="shared" si="22"/>
        <v>112.30000000000001</v>
      </c>
      <c r="K306" s="50">
        <f t="shared" si="23"/>
        <v>1235.3</v>
      </c>
      <c r="L306" s="28">
        <f t="shared" si="120"/>
        <v>112.29999999999995</v>
      </c>
    </row>
    <row r="307" spans="1:12" x14ac:dyDescent="0.25">
      <c r="A307" s="20" t="s">
        <v>384</v>
      </c>
      <c r="B307" s="21"/>
      <c r="C307" s="42" t="str">
        <f t="shared" si="107"/>
        <v>Waterbird Spirits|</v>
      </c>
      <c r="D307" s="10">
        <f>'[1]2024 Finish'!H300</f>
        <v>337</v>
      </c>
      <c r="E307" s="22">
        <f>'[1]2024 Finish'!I300</f>
        <v>-0.84376448771441814</v>
      </c>
      <c r="F307" s="23">
        <f>G307/D307</f>
        <v>-1</v>
      </c>
      <c r="G307" s="24">
        <f>SUMIF($B308:$B722,$B308,G308:G722)</f>
        <v>-337</v>
      </c>
      <c r="H307" s="25">
        <f>SUMIF($B308:$B722,$B308,H308:H722)</f>
        <v>0</v>
      </c>
      <c r="I307" s="23">
        <f>J307/D307</f>
        <v>-1</v>
      </c>
      <c r="J307" s="24">
        <f>SUMIF($B308:$B722,$B308,J308:J722)</f>
        <v>-337</v>
      </c>
      <c r="K307" s="48">
        <f>SUMIF($B308:$B722,$B308,K308:K722)</f>
        <v>0</v>
      </c>
      <c r="L307" s="49">
        <f>K307-H307</f>
        <v>0</v>
      </c>
    </row>
    <row r="308" spans="1:12" x14ac:dyDescent="0.25">
      <c r="A308" s="2" t="s">
        <v>384</v>
      </c>
      <c r="B308" s="2" t="s">
        <v>384</v>
      </c>
      <c r="C308" s="42" t="str">
        <f t="shared" si="107"/>
        <v>Waterbird Spirits|Waterbird Spirits</v>
      </c>
      <c r="D308" s="26">
        <f>'[1]2024 Finish'!H301</f>
        <v>337</v>
      </c>
      <c r="E308" s="27">
        <f>'[1]2024 Finish'!I301</f>
        <v>-0.84376448771441814</v>
      </c>
      <c r="F308" s="18">
        <v>-1</v>
      </c>
      <c r="G308" s="28">
        <f t="shared" ref="G308" si="137">F308*D308</f>
        <v>-337</v>
      </c>
      <c r="H308" s="11">
        <f t="shared" ref="H308" si="138">D308+G308</f>
        <v>0</v>
      </c>
      <c r="I308" s="18">
        <v>-1</v>
      </c>
      <c r="J308" s="28">
        <f t="shared" si="22"/>
        <v>-337</v>
      </c>
      <c r="K308" s="50">
        <f t="shared" si="23"/>
        <v>0</v>
      </c>
      <c r="L308" s="28">
        <f t="shared" si="120"/>
        <v>0</v>
      </c>
    </row>
    <row r="309" spans="1:12" x14ac:dyDescent="0.25">
      <c r="A309" s="20" t="s">
        <v>75</v>
      </c>
      <c r="B309" s="21"/>
      <c r="C309" s="42" t="str">
        <f t="shared" si="107"/>
        <v>Cricket Hill|</v>
      </c>
      <c r="D309" s="10">
        <f>'[1]2024 Finish'!H302</f>
        <v>1172</v>
      </c>
      <c r="E309" s="22">
        <f>'[1]2024 Finish'!I302</f>
        <v>-0.20463614388557261</v>
      </c>
      <c r="F309" s="23">
        <f>G309/D309</f>
        <v>-0.1</v>
      </c>
      <c r="G309" s="24">
        <f>SUMIF($B310:$B724,$B310,G310:G724)</f>
        <v>-117.2</v>
      </c>
      <c r="H309" s="25">
        <f>SUMIF($B310:$B724,$B310,H310:H724)</f>
        <v>1054.8</v>
      </c>
      <c r="I309" s="23">
        <f>J309/D309</f>
        <v>-0.1</v>
      </c>
      <c r="J309" s="24">
        <f>SUMIF($B310:$B724,$B310,J310:J724)</f>
        <v>-117.2</v>
      </c>
      <c r="K309" s="48">
        <f>SUMIF($B310:$B724,$B310,K310:K724)</f>
        <v>1054.8</v>
      </c>
      <c r="L309" s="49">
        <f>K309-H309</f>
        <v>0</v>
      </c>
    </row>
    <row r="310" spans="1:12" x14ac:dyDescent="0.25">
      <c r="A310" s="2" t="s">
        <v>75</v>
      </c>
      <c r="B310" s="2" t="s">
        <v>75</v>
      </c>
      <c r="C310" s="42" t="str">
        <f t="shared" si="107"/>
        <v>Cricket Hill|Cricket Hill</v>
      </c>
      <c r="D310" s="26">
        <f>'[1]2024 Finish'!H303</f>
        <v>1172</v>
      </c>
      <c r="E310" s="27">
        <f>'[1]2024 Finish'!I303</f>
        <v>-0.20463614388557261</v>
      </c>
      <c r="F310" s="18">
        <v>-0.1</v>
      </c>
      <c r="G310" s="28">
        <f t="shared" ref="G310" si="139">F310*D310</f>
        <v>-117.2</v>
      </c>
      <c r="H310" s="11">
        <f t="shared" ref="H310" si="140">D310+G310</f>
        <v>1054.8</v>
      </c>
      <c r="I310" s="18">
        <v>-0.1</v>
      </c>
      <c r="J310" s="28">
        <f t="shared" si="22"/>
        <v>-117.2</v>
      </c>
      <c r="K310" s="50">
        <f t="shared" si="23"/>
        <v>1054.8</v>
      </c>
      <c r="L310" s="28">
        <f t="shared" si="120"/>
        <v>0</v>
      </c>
    </row>
    <row r="311" spans="1:12" x14ac:dyDescent="0.25">
      <c r="A311" s="20" t="s">
        <v>356</v>
      </c>
      <c r="B311" s="21"/>
      <c r="C311" s="42" t="str">
        <f t="shared" si="107"/>
        <v>Defiant Brewing Co.|</v>
      </c>
      <c r="D311" s="10">
        <f>'[1]2024 Finish'!H304</f>
        <v>463</v>
      </c>
      <c r="E311" s="22">
        <f>'[1]2024 Finish'!I304</f>
        <v>-0.43414831057840808</v>
      </c>
      <c r="F311" s="23">
        <f>G311/D311</f>
        <v>-0.3</v>
      </c>
      <c r="G311" s="24">
        <f>SUMIF($B312:$B726,$B312,G312:G726)</f>
        <v>-138.9</v>
      </c>
      <c r="H311" s="25">
        <f>SUMIF($B312:$B726,$B312,H312:H726)</f>
        <v>324.10000000000002</v>
      </c>
      <c r="I311" s="23">
        <f>J311/D311</f>
        <v>-0.3</v>
      </c>
      <c r="J311" s="24">
        <f>SUMIF($B312:$B726,$B312,J312:J726)</f>
        <v>-138.9</v>
      </c>
      <c r="K311" s="48">
        <f>SUMIF($B312:$B726,$B312,K312:K726)</f>
        <v>324.10000000000002</v>
      </c>
      <c r="L311" s="49">
        <f>K311-H311</f>
        <v>0</v>
      </c>
    </row>
    <row r="312" spans="1:12" x14ac:dyDescent="0.25">
      <c r="A312" s="2" t="s">
        <v>200</v>
      </c>
      <c r="B312" s="2" t="s">
        <v>356</v>
      </c>
      <c r="C312" s="42" t="str">
        <f t="shared" si="107"/>
        <v>Defiant|Defiant Brewing Co.</v>
      </c>
      <c r="D312" s="26">
        <f>'[1]2024 Finish'!H305</f>
        <v>463</v>
      </c>
      <c r="E312" s="27">
        <f>'[1]2024 Finish'!I305</f>
        <v>-0.43414831057840808</v>
      </c>
      <c r="F312" s="18">
        <v>-0.3</v>
      </c>
      <c r="G312" s="28">
        <f t="shared" ref="G312" si="141">F312*D312</f>
        <v>-138.9</v>
      </c>
      <c r="H312" s="11">
        <f t="shared" ref="H312" si="142">D312+G312</f>
        <v>324.10000000000002</v>
      </c>
      <c r="I312" s="18">
        <v>-0.3</v>
      </c>
      <c r="J312" s="28">
        <f t="shared" si="22"/>
        <v>-138.9</v>
      </c>
      <c r="K312" s="50">
        <f t="shared" si="23"/>
        <v>324.10000000000002</v>
      </c>
      <c r="L312" s="28">
        <f t="shared" si="120"/>
        <v>0</v>
      </c>
    </row>
    <row r="313" spans="1:12" x14ac:dyDescent="0.25">
      <c r="A313" s="20" t="s">
        <v>150</v>
      </c>
      <c r="B313" s="21"/>
      <c r="C313" s="42" t="str">
        <f t="shared" si="107"/>
        <v>Molly's|</v>
      </c>
      <c r="D313" s="10">
        <f>'[1]2024 Finish'!H306</f>
        <v>352</v>
      </c>
      <c r="E313" s="22">
        <f>'[1]2024 Finish'!I306</f>
        <v>-0.37506574792123293</v>
      </c>
      <c r="F313" s="23">
        <f>G313/D313</f>
        <v>0</v>
      </c>
      <c r="G313" s="24">
        <f>SUMIF($B314:$B728,$B314,G314:G728)</f>
        <v>0</v>
      </c>
      <c r="H313" s="25">
        <f>SUMIF($B314:$B728,$B314,H314:H728)</f>
        <v>352</v>
      </c>
      <c r="I313" s="23">
        <f>J313/D313</f>
        <v>0</v>
      </c>
      <c r="J313" s="24">
        <f>SUMIF($B314:$B728,$B314,J314:J728)</f>
        <v>0</v>
      </c>
      <c r="K313" s="48">
        <f>SUMIF($B314:$B728,$B314,K314:K728)</f>
        <v>352</v>
      </c>
      <c r="L313" s="49">
        <f>K313-H313</f>
        <v>0</v>
      </c>
    </row>
    <row r="314" spans="1:12" x14ac:dyDescent="0.25">
      <c r="A314" s="2" t="s">
        <v>150</v>
      </c>
      <c r="B314" s="2" t="s">
        <v>150</v>
      </c>
      <c r="C314" s="42" t="str">
        <f t="shared" si="107"/>
        <v>Molly's|Molly's</v>
      </c>
      <c r="D314" s="26">
        <f>'[1]2024 Finish'!H307</f>
        <v>352</v>
      </c>
      <c r="E314" s="27">
        <f>'[1]2024 Finish'!I307</f>
        <v>-0.37506574792123293</v>
      </c>
      <c r="F314" s="18"/>
      <c r="G314" s="28">
        <f t="shared" ref="G314" si="143">F314*D314</f>
        <v>0</v>
      </c>
      <c r="H314" s="11">
        <f t="shared" ref="H314" si="144">D314+G314</f>
        <v>352</v>
      </c>
      <c r="I314" s="18"/>
      <c r="J314" s="28">
        <f t="shared" si="22"/>
        <v>0</v>
      </c>
      <c r="K314" s="50">
        <f t="shared" si="23"/>
        <v>352</v>
      </c>
      <c r="L314" s="28">
        <f t="shared" si="120"/>
        <v>0</v>
      </c>
    </row>
    <row r="315" spans="1:12" x14ac:dyDescent="0.25">
      <c r="A315" s="20" t="s">
        <v>254</v>
      </c>
      <c r="B315" s="21"/>
      <c r="C315" s="42" t="str">
        <f t="shared" si="107"/>
        <v>Unibroue|</v>
      </c>
      <c r="D315" s="10">
        <f>'[1]2024 Finish'!H308</f>
        <v>477</v>
      </c>
      <c r="E315" s="22">
        <f>'[1]2024 Finish'!I308</f>
        <v>-0.18850085638678482</v>
      </c>
      <c r="F315" s="23">
        <f>G315/D315</f>
        <v>0</v>
      </c>
      <c r="G315" s="24">
        <f>SUMIF($B316:$B730,$B316,G316:G730)</f>
        <v>0</v>
      </c>
      <c r="H315" s="25">
        <f>SUMIF($B316:$B730,$B316,H316:H730)</f>
        <v>477</v>
      </c>
      <c r="I315" s="23">
        <f>J315/D315</f>
        <v>0</v>
      </c>
      <c r="J315" s="24">
        <f>SUMIF($B316:$B730,$B316,J316:J730)</f>
        <v>0</v>
      </c>
      <c r="K315" s="48">
        <f>SUMIF($B316:$B730,$B316,K316:K730)</f>
        <v>477</v>
      </c>
      <c r="L315" s="49">
        <f>K315-H315</f>
        <v>0</v>
      </c>
    </row>
    <row r="316" spans="1:12" x14ac:dyDescent="0.25">
      <c r="A316" s="2" t="s">
        <v>254</v>
      </c>
      <c r="B316" s="2" t="s">
        <v>254</v>
      </c>
      <c r="C316" s="42" t="str">
        <f t="shared" si="107"/>
        <v>Unibroue|Unibroue</v>
      </c>
      <c r="D316" s="26">
        <f>'[1]2024 Finish'!H309</f>
        <v>477</v>
      </c>
      <c r="E316" s="27">
        <f>'[1]2024 Finish'!I309</f>
        <v>-0.18850085638678482</v>
      </c>
      <c r="F316" s="18"/>
      <c r="G316" s="28">
        <f t="shared" ref="G316" si="145">F316*D316</f>
        <v>0</v>
      </c>
      <c r="H316" s="11">
        <f t="shared" ref="H316" si="146">D316+G316</f>
        <v>477</v>
      </c>
      <c r="I316" s="18"/>
      <c r="J316" s="28">
        <f t="shared" si="22"/>
        <v>0</v>
      </c>
      <c r="K316" s="50">
        <f t="shared" si="23"/>
        <v>477</v>
      </c>
      <c r="L316" s="28">
        <f t="shared" si="120"/>
        <v>0</v>
      </c>
    </row>
    <row r="317" spans="1:12" x14ac:dyDescent="0.25">
      <c r="A317" s="20" t="s">
        <v>46</v>
      </c>
      <c r="B317" s="21"/>
      <c r="C317" s="42" t="str">
        <f t="shared" si="107"/>
        <v>HOP WTR|</v>
      </c>
      <c r="D317" s="10">
        <f>'[1]2024 Finish'!H310</f>
        <v>915</v>
      </c>
      <c r="E317" s="22">
        <f>'[1]2024 Finish'!I310</f>
        <v>0.30714285714285716</v>
      </c>
      <c r="F317" s="23">
        <f>G317/D317</f>
        <v>1</v>
      </c>
      <c r="G317" s="24">
        <f>SUMIF($B318:$B732,$B318,G318:G732)</f>
        <v>915</v>
      </c>
      <c r="H317" s="25">
        <f>SUMIF($B318:$B732,$B318,H318:H732)</f>
        <v>1830</v>
      </c>
      <c r="I317" s="23">
        <f>J317/D317</f>
        <v>0.5</v>
      </c>
      <c r="J317" s="24">
        <f>SUMIF($B318:$B732,$B318,J318:J732)</f>
        <v>457.5</v>
      </c>
      <c r="K317" s="48">
        <f>SUMIF($B318:$B732,$B318,K318:K732)</f>
        <v>1372.5</v>
      </c>
      <c r="L317" s="49">
        <f>K317-H317</f>
        <v>-457.5</v>
      </c>
    </row>
    <row r="318" spans="1:12" x14ac:dyDescent="0.25">
      <c r="A318" s="2" t="s">
        <v>46</v>
      </c>
      <c r="B318" s="2" t="s">
        <v>46</v>
      </c>
      <c r="C318" s="42" t="str">
        <f t="shared" si="107"/>
        <v>HOP WTR|HOP WTR</v>
      </c>
      <c r="D318" s="26">
        <f>'[1]2024 Finish'!H311</f>
        <v>915</v>
      </c>
      <c r="E318" s="27">
        <f>'[1]2024 Finish'!I311</f>
        <v>0.30714285714285716</v>
      </c>
      <c r="F318" s="18">
        <v>1</v>
      </c>
      <c r="G318" s="28">
        <f t="shared" ref="G318" si="147">F318*D318</f>
        <v>915</v>
      </c>
      <c r="H318" s="11">
        <f t="shared" ref="H318" si="148">D318+G318</f>
        <v>1830</v>
      </c>
      <c r="I318" s="18">
        <v>0.5</v>
      </c>
      <c r="J318" s="28">
        <f t="shared" si="22"/>
        <v>457.5</v>
      </c>
      <c r="K318" s="50">
        <f t="shared" si="23"/>
        <v>1372.5</v>
      </c>
      <c r="L318" s="28">
        <f t="shared" si="120"/>
        <v>-457.5</v>
      </c>
    </row>
    <row r="319" spans="1:12" x14ac:dyDescent="0.25">
      <c r="A319" s="20" t="s">
        <v>27</v>
      </c>
      <c r="B319" s="21"/>
      <c r="C319" s="42" t="str">
        <f t="shared" si="107"/>
        <v>Ballast Point|</v>
      </c>
      <c r="D319" s="10">
        <f>'[1]2024 Finish'!H312</f>
        <v>188</v>
      </c>
      <c r="E319" s="22">
        <f>'[1]2024 Finish'!I312</f>
        <v>-0.61554192229038862</v>
      </c>
      <c r="F319" s="23">
        <f>G319/D319</f>
        <v>-1</v>
      </c>
      <c r="G319" s="24">
        <f>SUMIF($B320:$B734,$B320,G320:G734)</f>
        <v>-188</v>
      </c>
      <c r="H319" s="25">
        <f>SUMIF($B320:$B734,$B320,H320:H734)</f>
        <v>0</v>
      </c>
      <c r="I319" s="23">
        <f>J319/D319</f>
        <v>-1</v>
      </c>
      <c r="J319" s="24">
        <f>SUMIF($B320:$B734,$B320,J320:J734)</f>
        <v>-188</v>
      </c>
      <c r="K319" s="48">
        <f>SUMIF($B320:$B734,$B320,K320:K734)</f>
        <v>0</v>
      </c>
      <c r="L319" s="49">
        <f>K319-H319</f>
        <v>0</v>
      </c>
    </row>
    <row r="320" spans="1:12" x14ac:dyDescent="0.25">
      <c r="A320" s="2" t="s">
        <v>27</v>
      </c>
      <c r="B320" s="2" t="s">
        <v>27</v>
      </c>
      <c r="C320" s="42" t="str">
        <f t="shared" si="107"/>
        <v>Ballast Point|Ballast Point</v>
      </c>
      <c r="D320" s="26">
        <f>'[1]2024 Finish'!H313</f>
        <v>188</v>
      </c>
      <c r="E320" s="27">
        <f>'[1]2024 Finish'!I313</f>
        <v>-0.61554192229038862</v>
      </c>
      <c r="F320" s="18">
        <v>-1</v>
      </c>
      <c r="G320" s="28">
        <f t="shared" ref="G320" si="149">F320*D320</f>
        <v>-188</v>
      </c>
      <c r="H320" s="11">
        <f t="shared" ref="H320" si="150">D320+G320</f>
        <v>0</v>
      </c>
      <c r="I320" s="18">
        <v>-1</v>
      </c>
      <c r="J320" s="28">
        <f t="shared" si="22"/>
        <v>-188</v>
      </c>
      <c r="K320" s="50">
        <f t="shared" si="23"/>
        <v>0</v>
      </c>
      <c r="L320" s="28">
        <f t="shared" si="120"/>
        <v>0</v>
      </c>
    </row>
    <row r="321" spans="1:12" x14ac:dyDescent="0.25">
      <c r="A321" s="20" t="s">
        <v>409</v>
      </c>
      <c r="B321" s="21"/>
      <c r="C321" s="42" t="str">
        <f t="shared" si="107"/>
        <v>Southern Tier Distilling Company|</v>
      </c>
      <c r="D321" s="10">
        <f>'[1]2024 Finish'!H314</f>
        <v>753</v>
      </c>
      <c r="E321" s="22">
        <f>'[1]2024 Finish'!I314</f>
        <v>0.45930232558139528</v>
      </c>
      <c r="F321" s="23">
        <f>G321/D321</f>
        <v>0.3</v>
      </c>
      <c r="G321" s="24">
        <f>SUMIF($B322:$B736,$B322,G322:G736)</f>
        <v>225.9</v>
      </c>
      <c r="H321" s="25">
        <f>SUMIF($B322:$B736,$B322,H322:H736)</f>
        <v>978.9</v>
      </c>
      <c r="I321" s="23">
        <f>J321/D321</f>
        <v>0.3</v>
      </c>
      <c r="J321" s="24">
        <f>SUMIF($B322:$B736,$B322,J322:J736)</f>
        <v>225.9</v>
      </c>
      <c r="K321" s="48">
        <f>SUMIF($B322:$B736,$B322,K322:K736)</f>
        <v>978.9</v>
      </c>
      <c r="L321" s="49">
        <f>K321-H321</f>
        <v>0</v>
      </c>
    </row>
    <row r="322" spans="1:12" x14ac:dyDescent="0.25">
      <c r="A322" s="2" t="s">
        <v>77</v>
      </c>
      <c r="B322" s="2" t="s">
        <v>409</v>
      </c>
      <c r="C322" s="42" t="str">
        <f t="shared" si="107"/>
        <v>Southern Tier Distilling|Southern Tier Distilling Company</v>
      </c>
      <c r="D322" s="26">
        <f>'[1]2024 Finish'!H315</f>
        <v>753</v>
      </c>
      <c r="E322" s="27">
        <f>'[1]2024 Finish'!I315</f>
        <v>0.45930232558139528</v>
      </c>
      <c r="F322" s="18">
        <v>0.3</v>
      </c>
      <c r="G322" s="28">
        <f t="shared" ref="G322" si="151">F322*D322</f>
        <v>225.9</v>
      </c>
      <c r="H322" s="11">
        <f t="shared" ref="H322" si="152">D322+G322</f>
        <v>978.9</v>
      </c>
      <c r="I322" s="18">
        <v>0.3</v>
      </c>
      <c r="J322" s="28">
        <f t="shared" si="22"/>
        <v>225.9</v>
      </c>
      <c r="K322" s="50">
        <f t="shared" si="23"/>
        <v>978.9</v>
      </c>
      <c r="L322" s="28">
        <f t="shared" si="120"/>
        <v>0</v>
      </c>
    </row>
    <row r="323" spans="1:12" x14ac:dyDescent="0.25">
      <c r="A323" s="20" t="s">
        <v>355</v>
      </c>
      <c r="B323" s="21"/>
      <c r="C323" s="42" t="str">
        <f t="shared" si="107"/>
        <v>XYZ Beverage|</v>
      </c>
      <c r="D323" s="10">
        <f>'[1]2024 Finish'!H316</f>
        <v>504</v>
      </c>
      <c r="E323" s="40">
        <f>'[1]2024 Finish'!I316</f>
        <v>-0.22817764165390508</v>
      </c>
      <c r="F323" s="23">
        <f>G323/D323</f>
        <v>-0.3</v>
      </c>
      <c r="G323" s="24">
        <f>SUMIF($B324:$B738,$B324,G324:G738)</f>
        <v>-151.19999999999999</v>
      </c>
      <c r="H323" s="25">
        <f>SUMIF($B324:$B738,$B324,H324:H738)</f>
        <v>352.8</v>
      </c>
      <c r="I323" s="23">
        <f>J323/D323</f>
        <v>-0.3</v>
      </c>
      <c r="J323" s="24">
        <f>SUMIF($B324:$B738,$B324,J324:J738)</f>
        <v>-151.19999999999999</v>
      </c>
      <c r="K323" s="48">
        <f>SUMIF($B324:$B738,$B324,K324:K738)</f>
        <v>352.8</v>
      </c>
      <c r="L323" s="49">
        <f>K323-H323</f>
        <v>0</v>
      </c>
    </row>
    <row r="324" spans="1:12" x14ac:dyDescent="0.25">
      <c r="A324" s="2" t="s">
        <v>271</v>
      </c>
      <c r="B324" s="2" t="s">
        <v>355</v>
      </c>
      <c r="C324" s="42" t="str">
        <f t="shared" si="107"/>
        <v>Press|XYZ Beverage</v>
      </c>
      <c r="D324" s="26">
        <f>'[1]2024 Finish'!H317</f>
        <v>504</v>
      </c>
      <c r="E324" s="27">
        <f>'[1]2024 Finish'!I317</f>
        <v>-0.22817764165390508</v>
      </c>
      <c r="F324" s="18">
        <v>-0.3</v>
      </c>
      <c r="G324" s="28">
        <f t="shared" ref="G324" si="153">F324*D324</f>
        <v>-151.19999999999999</v>
      </c>
      <c r="H324" s="11">
        <f t="shared" ref="H324" si="154">D324+G324</f>
        <v>352.8</v>
      </c>
      <c r="I324" s="18">
        <v>-0.3</v>
      </c>
      <c r="J324" s="28">
        <f t="shared" si="22"/>
        <v>-151.19999999999999</v>
      </c>
      <c r="K324" s="50">
        <f t="shared" si="23"/>
        <v>352.8</v>
      </c>
      <c r="L324" s="28">
        <f t="shared" si="120"/>
        <v>0</v>
      </c>
    </row>
    <row r="325" spans="1:12" x14ac:dyDescent="0.25">
      <c r="A325" s="20" t="s">
        <v>327</v>
      </c>
      <c r="B325" s="21"/>
      <c r="C325" s="42" t="str">
        <f t="shared" ref="C325:C388" si="155">A325 &amp; "|" &amp; B325</f>
        <v>Crook &amp; Marker|</v>
      </c>
      <c r="D325" s="10">
        <f>'[1]2024 Finish'!H318</f>
        <v>1076</v>
      </c>
      <c r="E325" s="22">
        <f>'[1]2024 Finish'!I318</f>
        <v>0.29299566583286474</v>
      </c>
      <c r="F325" s="23">
        <f>G325/D325</f>
        <v>0</v>
      </c>
      <c r="G325" s="24">
        <f>SUMIF($B326:$B740,$B326,G326:G740)</f>
        <v>0</v>
      </c>
      <c r="H325" s="25">
        <f>SUMIF($B326:$B740,$B326,H326:H740)</f>
        <v>21149</v>
      </c>
      <c r="I325" s="23">
        <f>J325/D325</f>
        <v>-0.5</v>
      </c>
      <c r="J325" s="24">
        <f>SUMIF($B326:$B740,$B326,J326:J740)</f>
        <v>-538</v>
      </c>
      <c r="K325" s="48">
        <f>SUMIF($B326:$B740,$B326,K326:K740)</f>
        <v>12538</v>
      </c>
      <c r="L325" s="49">
        <f>K325-H325</f>
        <v>-8611</v>
      </c>
    </row>
    <row r="326" spans="1:12" x14ac:dyDescent="0.25">
      <c r="A326" s="2" t="s">
        <v>76</v>
      </c>
      <c r="B326" s="2" t="s">
        <v>327</v>
      </c>
      <c r="C326" s="42" t="str">
        <f t="shared" si="155"/>
        <v>Crook&amp;Marker|Crook &amp; Marker</v>
      </c>
      <c r="D326" s="26">
        <f>'[1]2024 Finish'!H319</f>
        <v>1076</v>
      </c>
      <c r="E326" s="27">
        <f>'[1]2024 Finish'!I319</f>
        <v>0.29299566583286474</v>
      </c>
      <c r="F326" s="18"/>
      <c r="G326" s="28">
        <f t="shared" ref="G326" si="156">F326*D326</f>
        <v>0</v>
      </c>
      <c r="H326" s="11">
        <f t="shared" ref="H326" si="157">D326+G326</f>
        <v>1076</v>
      </c>
      <c r="I326" s="18">
        <v>-0.5</v>
      </c>
      <c r="J326" s="28">
        <f t="shared" si="22"/>
        <v>-538</v>
      </c>
      <c r="K326" s="50">
        <f t="shared" si="23"/>
        <v>538</v>
      </c>
      <c r="L326" s="28">
        <f t="shared" si="120"/>
        <v>-538</v>
      </c>
    </row>
    <row r="327" spans="1:12" x14ac:dyDescent="0.25">
      <c r="A327" s="2" t="s">
        <v>328</v>
      </c>
      <c r="B327" s="2" t="s">
        <v>327</v>
      </c>
      <c r="C327" s="42" t="str">
        <f t="shared" si="155"/>
        <v>Crooked Tea|Crook &amp; Marker</v>
      </c>
      <c r="D327" s="26"/>
      <c r="E327" s="27"/>
      <c r="F327" s="18"/>
      <c r="G327" s="28"/>
      <c r="H327" s="11">
        <v>20073</v>
      </c>
      <c r="I327" s="18"/>
      <c r="J327" s="28"/>
      <c r="K327" s="50">
        <v>12000</v>
      </c>
      <c r="L327" s="28"/>
    </row>
    <row r="328" spans="1:12" x14ac:dyDescent="0.25">
      <c r="A328" s="20" t="s">
        <v>280</v>
      </c>
      <c r="B328" s="21"/>
      <c r="C328" s="42" t="str">
        <f t="shared" si="155"/>
        <v>Heavy Seas|</v>
      </c>
      <c r="D328" s="10">
        <f>'[1]2024 Finish'!H320</f>
        <v>8.9227876619129951</v>
      </c>
      <c r="E328" s="22">
        <f>'[1]2024 Finish'!I320</f>
        <v>-0.98573875179226944</v>
      </c>
      <c r="F328" s="23">
        <f>G328/D328</f>
        <v>-1</v>
      </c>
      <c r="G328" s="24">
        <f>SUMIF($B329:$B742,$B329,G329:G742)</f>
        <v>-8.9227876619129951</v>
      </c>
      <c r="H328" s="25">
        <f>SUMIF($B329:$B742,$B329,H329:H742)</f>
        <v>0</v>
      </c>
      <c r="I328" s="23">
        <f>J328/D328</f>
        <v>-1</v>
      </c>
      <c r="J328" s="24">
        <f>SUMIF($B329:$B742,$B329,J329:J742)</f>
        <v>-8.9227876619129951</v>
      </c>
      <c r="K328" s="48">
        <f>SUMIF($B329:$B742,$B329,K329:K742)</f>
        <v>0</v>
      </c>
      <c r="L328" s="49">
        <f>K328-H328</f>
        <v>0</v>
      </c>
    </row>
    <row r="329" spans="1:12" x14ac:dyDescent="0.25">
      <c r="A329" s="2" t="s">
        <v>280</v>
      </c>
      <c r="B329" s="2" t="s">
        <v>280</v>
      </c>
      <c r="C329" s="42" t="str">
        <f t="shared" si="155"/>
        <v>Heavy Seas|Heavy Seas</v>
      </c>
      <c r="D329" s="26">
        <f>'[1]2024 Finish'!H321</f>
        <v>8.9227876619129951</v>
      </c>
      <c r="E329" s="27">
        <f>'[1]2024 Finish'!I321</f>
        <v>-0.98573875179226944</v>
      </c>
      <c r="F329" s="18">
        <v>-1</v>
      </c>
      <c r="G329" s="28">
        <f t="shared" ref="G329" si="158">F329*D329</f>
        <v>-8.9227876619129951</v>
      </c>
      <c r="H329" s="11">
        <f t="shared" ref="H329" si="159">D329+G329</f>
        <v>0</v>
      </c>
      <c r="I329" s="18">
        <v>-1</v>
      </c>
      <c r="J329" s="28">
        <f t="shared" si="22"/>
        <v>-8.9227876619129951</v>
      </c>
      <c r="K329" s="50">
        <f t="shared" si="23"/>
        <v>0</v>
      </c>
      <c r="L329" s="28">
        <f t="shared" si="120"/>
        <v>0</v>
      </c>
    </row>
    <row r="330" spans="1:12" x14ac:dyDescent="0.25">
      <c r="A330" s="20" t="s">
        <v>411</v>
      </c>
      <c r="B330" s="21"/>
      <c r="C330" s="42" t="str">
        <f t="shared" si="155"/>
        <v>OVO Vodka LLC|</v>
      </c>
      <c r="D330" s="10">
        <f>'[1]2024 Finish'!H322</f>
        <v>186</v>
      </c>
      <c r="E330" s="22">
        <f>'[1]2024 Finish'!I322</f>
        <v>0.23633735881675433</v>
      </c>
      <c r="F330" s="23">
        <f>G330/D330</f>
        <v>0</v>
      </c>
      <c r="G330" s="24">
        <f>SUMIF($B331:$B744,$B331,G331:G744)</f>
        <v>0</v>
      </c>
      <c r="H330" s="25">
        <f>SUMIF($B331:$B744,$B331,H331:H744)</f>
        <v>186</v>
      </c>
      <c r="I330" s="23">
        <f>J330/D330</f>
        <v>0</v>
      </c>
      <c r="J330" s="24">
        <f>SUMIF($B331:$B744,$B331,J331:J744)</f>
        <v>0</v>
      </c>
      <c r="K330" s="48">
        <f>SUMIF($B331:$B744,$B331,K331:K744)</f>
        <v>186</v>
      </c>
      <c r="L330" s="49">
        <f>K330-H330</f>
        <v>0</v>
      </c>
    </row>
    <row r="331" spans="1:12" x14ac:dyDescent="0.25">
      <c r="A331" s="2" t="s">
        <v>275</v>
      </c>
      <c r="B331" s="2" t="s">
        <v>411</v>
      </c>
      <c r="C331" s="42" t="str">
        <f t="shared" si="155"/>
        <v>OVO Vodka|OVO Vodka LLC</v>
      </c>
      <c r="D331" s="26">
        <f>'[1]2024 Finish'!H323</f>
        <v>186</v>
      </c>
      <c r="E331" s="27">
        <f>'[1]2024 Finish'!I323</f>
        <v>0.23633735881675433</v>
      </c>
      <c r="F331" s="18"/>
      <c r="G331" s="28">
        <f t="shared" ref="G331" si="160">F331*D331</f>
        <v>0</v>
      </c>
      <c r="H331" s="11">
        <f t="shared" ref="H331" si="161">D331+G331</f>
        <v>186</v>
      </c>
      <c r="I331" s="18">
        <v>0</v>
      </c>
      <c r="J331" s="28">
        <f t="shared" si="22"/>
        <v>0</v>
      </c>
      <c r="K331" s="50">
        <f t="shared" si="23"/>
        <v>186</v>
      </c>
      <c r="L331" s="28">
        <f t="shared" si="120"/>
        <v>0</v>
      </c>
    </row>
    <row r="332" spans="1:12" x14ac:dyDescent="0.25">
      <c r="A332" s="20" t="s">
        <v>338</v>
      </c>
      <c r="B332" s="21"/>
      <c r="C332" s="42" t="str">
        <f t="shared" si="155"/>
        <v>Berczy LLC|</v>
      </c>
      <c r="D332" s="10">
        <f>'[1]2024 Finish'!H324</f>
        <v>-18</v>
      </c>
      <c r="E332" s="22">
        <f>'[1]2024 Finish'!I324</f>
        <v>-1.0347490347490347</v>
      </c>
      <c r="F332" s="23">
        <f>G332/D332</f>
        <v>-1</v>
      </c>
      <c r="G332" s="24">
        <f>SUMIF($B333:$B746,$B333,G333:G746)</f>
        <v>18</v>
      </c>
      <c r="H332" s="25">
        <f>SUMIF($B333:$B746,$B333,H333:H746)</f>
        <v>0</v>
      </c>
      <c r="I332" s="23">
        <f>J332/D332</f>
        <v>-1</v>
      </c>
      <c r="J332" s="24">
        <f>SUMIF($B333:$B746,$B333,J333:J746)</f>
        <v>18</v>
      </c>
      <c r="K332" s="48">
        <f>SUMIF($B333:$B746,$B333,K333:K746)</f>
        <v>0</v>
      </c>
      <c r="L332" s="49">
        <f>K332-H332</f>
        <v>0</v>
      </c>
    </row>
    <row r="333" spans="1:12" x14ac:dyDescent="0.25">
      <c r="A333" s="2" t="s">
        <v>156</v>
      </c>
      <c r="B333" s="2" t="s">
        <v>338</v>
      </c>
      <c r="C333" s="42" t="str">
        <f t="shared" si="155"/>
        <v>Berczy|Berczy LLC</v>
      </c>
      <c r="D333" s="26">
        <f>'[1]2024 Finish'!H325</f>
        <v>-18</v>
      </c>
      <c r="E333" s="27">
        <f>'[1]2024 Finish'!I325</f>
        <v>-1.0347490347490347</v>
      </c>
      <c r="F333" s="18">
        <v>-1</v>
      </c>
      <c r="G333" s="28">
        <f t="shared" ref="G333" si="162">F333*D333</f>
        <v>18</v>
      </c>
      <c r="H333" s="11">
        <f t="shared" ref="H333" si="163">D333+G333</f>
        <v>0</v>
      </c>
      <c r="I333" s="18">
        <v>-1</v>
      </c>
      <c r="J333" s="28">
        <f t="shared" si="22"/>
        <v>18</v>
      </c>
      <c r="K333" s="50">
        <f t="shared" si="23"/>
        <v>0</v>
      </c>
      <c r="L333" s="28">
        <f t="shared" ref="L333:L395" si="164">K333-H333</f>
        <v>0</v>
      </c>
    </row>
    <row r="334" spans="1:12" x14ac:dyDescent="0.25">
      <c r="A334" s="20" t="s">
        <v>233</v>
      </c>
      <c r="B334" s="21"/>
      <c r="C334" s="42" t="str">
        <f t="shared" si="155"/>
        <v>Montucky Cold Snacks|</v>
      </c>
      <c r="D334" s="10">
        <f>'[1]2024 Finish'!H326</f>
        <v>25</v>
      </c>
      <c r="E334" s="22">
        <f>'[1]2024 Finish'!I326</f>
        <v>-0.75429975188500986</v>
      </c>
      <c r="F334" s="23">
        <f>G334/D334</f>
        <v>0</v>
      </c>
      <c r="G334" s="24">
        <f>SUMIF($B335:$B748,$B335,G335:G748)</f>
        <v>0</v>
      </c>
      <c r="H334" s="25">
        <f>SUMIF($B335:$B748,$B335,H335:H748)</f>
        <v>25</v>
      </c>
      <c r="I334" s="23">
        <f>J334/D334</f>
        <v>0</v>
      </c>
      <c r="J334" s="24">
        <f>SUMIF($B335:$B748,$B335,J335:J748)</f>
        <v>0</v>
      </c>
      <c r="K334" s="48">
        <f>SUMIF($B335:$B748,$B335,K335:K748)</f>
        <v>25</v>
      </c>
      <c r="L334" s="49">
        <f>K334-H334</f>
        <v>0</v>
      </c>
    </row>
    <row r="335" spans="1:12" x14ac:dyDescent="0.25">
      <c r="A335" s="2" t="s">
        <v>300</v>
      </c>
      <c r="B335" s="2" t="s">
        <v>233</v>
      </c>
      <c r="C335" s="42" t="str">
        <f t="shared" si="155"/>
        <v>Montucky|Montucky Cold Snacks</v>
      </c>
      <c r="D335" s="26">
        <f>'[1]2024 Finish'!H327</f>
        <v>25</v>
      </c>
      <c r="E335" s="27">
        <f>'[1]2024 Finish'!I327</f>
        <v>-0.75429975188500986</v>
      </c>
      <c r="F335" s="18"/>
      <c r="G335" s="28">
        <f t="shared" ref="G335" si="165">F335*D335</f>
        <v>0</v>
      </c>
      <c r="H335" s="11">
        <f t="shared" ref="H335" si="166">D335+G335</f>
        <v>25</v>
      </c>
      <c r="I335" s="18"/>
      <c r="J335" s="28">
        <f t="shared" si="22"/>
        <v>0</v>
      </c>
      <c r="K335" s="50">
        <f t="shared" si="23"/>
        <v>25</v>
      </c>
      <c r="L335" s="28">
        <f t="shared" si="164"/>
        <v>0</v>
      </c>
    </row>
    <row r="336" spans="1:12" x14ac:dyDescent="0.25">
      <c r="A336" s="20" t="s">
        <v>152</v>
      </c>
      <c r="B336" s="21"/>
      <c r="C336" s="42" t="str">
        <f t="shared" si="155"/>
        <v>Eleven20|</v>
      </c>
      <c r="D336" s="10">
        <f>'[1]2024 Finish'!H328</f>
        <v>6</v>
      </c>
      <c r="E336" s="22">
        <f>'[1]2024 Finish'!I328</f>
        <v>-0.63316743534392628</v>
      </c>
      <c r="F336" s="23">
        <f>G336/D336</f>
        <v>-1</v>
      </c>
      <c r="G336" s="24">
        <f>SUMIF($B337:$B750,$B337,G337:G750)</f>
        <v>-6</v>
      </c>
      <c r="H336" s="25">
        <f>SUMIF($B337:$B750,$B337,H337:H750)</f>
        <v>0</v>
      </c>
      <c r="I336" s="23">
        <f>J336/D336</f>
        <v>-1</v>
      </c>
      <c r="J336" s="24">
        <f>SUMIF($B337:$B750,$B337,J337:J750)</f>
        <v>-6</v>
      </c>
      <c r="K336" s="48">
        <f>SUMIF($B337:$B750,$B337,K337:K750)</f>
        <v>0</v>
      </c>
      <c r="L336" s="49">
        <f>K336-H336</f>
        <v>0</v>
      </c>
    </row>
    <row r="337" spans="1:12" x14ac:dyDescent="0.25">
      <c r="A337" s="2" t="s">
        <v>205</v>
      </c>
      <c r="B337" s="2" t="s">
        <v>152</v>
      </c>
      <c r="C337" s="42" t="str">
        <f t="shared" si="155"/>
        <v>Eleven20 Tequila|Eleven20</v>
      </c>
      <c r="D337" s="26">
        <f>'[1]2024 Finish'!H329</f>
        <v>6</v>
      </c>
      <c r="E337" s="27">
        <f>'[1]2024 Finish'!I329</f>
        <v>-0.63316743534392628</v>
      </c>
      <c r="F337" s="18">
        <v>-1</v>
      </c>
      <c r="G337" s="28">
        <f t="shared" ref="G337" si="167">F337*D337</f>
        <v>-6</v>
      </c>
      <c r="H337" s="11">
        <f t="shared" ref="H337" si="168">D337+G337</f>
        <v>0</v>
      </c>
      <c r="I337" s="18">
        <v>-1</v>
      </c>
      <c r="J337" s="28">
        <f t="shared" si="22"/>
        <v>-6</v>
      </c>
      <c r="K337" s="50">
        <f t="shared" si="23"/>
        <v>0</v>
      </c>
      <c r="L337" s="28">
        <f t="shared" si="164"/>
        <v>0</v>
      </c>
    </row>
    <row r="338" spans="1:12" x14ac:dyDescent="0.25">
      <c r="A338" s="20" t="s">
        <v>207</v>
      </c>
      <c r="B338" s="21"/>
      <c r="C338" s="42" t="str">
        <f t="shared" si="155"/>
        <v>Stewart's|</v>
      </c>
      <c r="D338" s="10">
        <f>'[1]2024 Finish'!H330</f>
        <v>7.2804129999999994</v>
      </c>
      <c r="E338" s="22">
        <f>'[1]2024 Finish'!I330</f>
        <v>-0.97083946405831179</v>
      </c>
      <c r="F338" s="23">
        <f>G338/D338</f>
        <v>-1</v>
      </c>
      <c r="G338" s="24">
        <f>SUMIF($B339:$B752,$B339,G339:G752)</f>
        <v>-7.2804129999999994</v>
      </c>
      <c r="H338" s="25">
        <f>SUMIF($B339:$B752,$B339,H339:H752)</f>
        <v>0</v>
      </c>
      <c r="I338" s="23">
        <f>J338/D338</f>
        <v>-1</v>
      </c>
      <c r="J338" s="24">
        <f>SUMIF($B339:$B752,$B339,J339:J752)</f>
        <v>-7.2804129999999994</v>
      </c>
      <c r="K338" s="48">
        <f>SUMIF($B339:$B752,$B339,K339:K752)</f>
        <v>0</v>
      </c>
      <c r="L338" s="49">
        <f>K338-H338</f>
        <v>0</v>
      </c>
    </row>
    <row r="339" spans="1:12" x14ac:dyDescent="0.25">
      <c r="A339" s="2" t="s">
        <v>207</v>
      </c>
      <c r="B339" s="2" t="s">
        <v>207</v>
      </c>
      <c r="C339" s="42" t="str">
        <f t="shared" si="155"/>
        <v>Stewart's|Stewart's</v>
      </c>
      <c r="D339" s="26">
        <f>'[1]2024 Finish'!H331</f>
        <v>7.2804129999999994</v>
      </c>
      <c r="E339" s="27">
        <f>'[1]2024 Finish'!I331</f>
        <v>-0.96884273668180765</v>
      </c>
      <c r="F339" s="18">
        <v>-1</v>
      </c>
      <c r="G339" s="28">
        <f t="shared" ref="G339:G340" si="169">F339*D339</f>
        <v>-7.2804129999999994</v>
      </c>
      <c r="H339" s="11">
        <f t="shared" ref="H339:H340" si="170">D339+G339</f>
        <v>0</v>
      </c>
      <c r="I339" s="18">
        <v>-1</v>
      </c>
      <c r="J339" s="28">
        <f t="shared" si="22"/>
        <v>-7.2804129999999994</v>
      </c>
      <c r="K339" s="50">
        <f t="shared" si="23"/>
        <v>0</v>
      </c>
      <c r="L339" s="28">
        <f t="shared" si="164"/>
        <v>0</v>
      </c>
    </row>
    <row r="340" spans="1:12" x14ac:dyDescent="0.25">
      <c r="A340" s="2" t="s">
        <v>452</v>
      </c>
      <c r="B340" s="2" t="s">
        <v>207</v>
      </c>
      <c r="C340" s="42" t="str">
        <f t="shared" si="155"/>
        <v>Hard Rock|Stewart's</v>
      </c>
      <c r="D340" s="26">
        <f>'[1]2024 Finish'!H332</f>
        <v>0</v>
      </c>
      <c r="E340" s="27">
        <f>'[1]2024 Finish'!I332</f>
        <v>-1</v>
      </c>
      <c r="F340" s="18">
        <v>-1</v>
      </c>
      <c r="G340" s="28">
        <f t="shared" si="169"/>
        <v>0</v>
      </c>
      <c r="H340" s="11">
        <f t="shared" si="170"/>
        <v>0</v>
      </c>
      <c r="I340" s="18">
        <v>-1</v>
      </c>
      <c r="J340" s="28">
        <f t="shared" si="22"/>
        <v>0</v>
      </c>
      <c r="K340" s="50">
        <f t="shared" si="23"/>
        <v>0</v>
      </c>
      <c r="L340" s="28">
        <f t="shared" si="164"/>
        <v>0</v>
      </c>
    </row>
    <row r="341" spans="1:12" x14ac:dyDescent="0.25">
      <c r="A341" s="20" t="s">
        <v>208</v>
      </c>
      <c r="B341" s="21"/>
      <c r="C341" s="42" t="str">
        <f t="shared" si="155"/>
        <v>Seafarer|</v>
      </c>
      <c r="D341" s="10">
        <f>'[1]2024 Finish'!H333</f>
        <v>55</v>
      </c>
      <c r="E341" s="22">
        <f>'[1]2024 Finish'!I333</f>
        <v>-0.36781610648698604</v>
      </c>
      <c r="F341" s="23">
        <f>G341/D341</f>
        <v>0</v>
      </c>
      <c r="G341" s="24">
        <f>SUMIF($B342:$B755,$B342,G342:G755)</f>
        <v>0</v>
      </c>
      <c r="H341" s="25">
        <f>SUMIF($B342:$B755,$B342,H342:H755)</f>
        <v>55</v>
      </c>
      <c r="I341" s="23">
        <f>J341/D341</f>
        <v>0</v>
      </c>
      <c r="J341" s="24">
        <f>SUMIF($B342:$B755,$B342,J342:J755)</f>
        <v>0</v>
      </c>
      <c r="K341" s="48">
        <f>SUMIF($B342:$B755,$B342,K342:K755)</f>
        <v>55</v>
      </c>
      <c r="L341" s="49">
        <f>K341-H341</f>
        <v>0</v>
      </c>
    </row>
    <row r="342" spans="1:12" x14ac:dyDescent="0.25">
      <c r="A342" s="2" t="s">
        <v>208</v>
      </c>
      <c r="B342" s="2" t="s">
        <v>208</v>
      </c>
      <c r="C342" s="42" t="str">
        <f t="shared" si="155"/>
        <v>Seafarer|Seafarer</v>
      </c>
      <c r="D342" s="26">
        <f>'[1]2024 Finish'!H334</f>
        <v>55</v>
      </c>
      <c r="E342" s="27">
        <f>'[1]2024 Finish'!I334</f>
        <v>-0.36781610648698604</v>
      </c>
      <c r="F342" s="18"/>
      <c r="G342" s="28">
        <f t="shared" ref="G342" si="171">F342*D342</f>
        <v>0</v>
      </c>
      <c r="H342" s="11">
        <f t="shared" ref="H342" si="172">D342+G342</f>
        <v>55</v>
      </c>
      <c r="I342" s="18"/>
      <c r="J342" s="28">
        <f t="shared" si="22"/>
        <v>0</v>
      </c>
      <c r="K342" s="50">
        <f t="shared" si="23"/>
        <v>55</v>
      </c>
      <c r="L342" s="28">
        <f t="shared" si="164"/>
        <v>0</v>
      </c>
    </row>
    <row r="343" spans="1:12" x14ac:dyDescent="0.25">
      <c r="A343" s="20" t="s">
        <v>302</v>
      </c>
      <c r="B343" s="21"/>
      <c r="C343" s="42" t="str">
        <f t="shared" si="155"/>
        <v>Iron Horse|</v>
      </c>
      <c r="D343" s="10">
        <f>'[1]2024 Finish'!H335</f>
        <v>36</v>
      </c>
      <c r="E343" s="22">
        <f>'[1]2024 Finish'!I335</f>
        <v>1.3775483355576621</v>
      </c>
      <c r="F343" s="23">
        <f>G343/D343</f>
        <v>-1</v>
      </c>
      <c r="G343" s="24">
        <f>SUMIF($B344:$B757,$B344,G344:G757)</f>
        <v>-36</v>
      </c>
      <c r="H343" s="25">
        <f>SUMIF($B344:$B757,$B344,H344:H757)</f>
        <v>0</v>
      </c>
      <c r="I343" s="23">
        <f>J343/D343</f>
        <v>-1</v>
      </c>
      <c r="J343" s="24">
        <f>SUMIF($B344:$B757,$B344,J344:J757)</f>
        <v>-36</v>
      </c>
      <c r="K343" s="48">
        <f>SUMIF($B344:$B757,$B344,K344:K757)</f>
        <v>0</v>
      </c>
      <c r="L343" s="49">
        <f>K343-H343</f>
        <v>0</v>
      </c>
    </row>
    <row r="344" spans="1:12" x14ac:dyDescent="0.25">
      <c r="A344" s="2" t="s">
        <v>211</v>
      </c>
      <c r="B344" s="2" t="s">
        <v>302</v>
      </c>
      <c r="C344" s="42" t="str">
        <f t="shared" si="155"/>
        <v>Sabrasol|Iron Horse</v>
      </c>
      <c r="D344" s="26">
        <f>'[1]2024 Finish'!H336</f>
        <v>36</v>
      </c>
      <c r="E344" s="27">
        <f>'[1]2024 Finish'!I336</f>
        <v>1.3775483355576621</v>
      </c>
      <c r="F344" s="18">
        <v>-1</v>
      </c>
      <c r="G344" s="28">
        <f t="shared" ref="G344" si="173">F344*D344</f>
        <v>-36</v>
      </c>
      <c r="H344" s="11">
        <f t="shared" ref="H344" si="174">D344+G344</f>
        <v>0</v>
      </c>
      <c r="I344" s="18">
        <v>-1</v>
      </c>
      <c r="J344" s="28">
        <f t="shared" si="22"/>
        <v>-36</v>
      </c>
      <c r="K344" s="50">
        <f t="shared" si="23"/>
        <v>0</v>
      </c>
      <c r="L344" s="28">
        <f t="shared" si="164"/>
        <v>0</v>
      </c>
    </row>
    <row r="345" spans="1:12" x14ac:dyDescent="0.25">
      <c r="A345" s="20" t="s">
        <v>26</v>
      </c>
      <c r="B345" s="21"/>
      <c r="C345" s="42" t="str">
        <f t="shared" si="155"/>
        <v>Flagship Brewery|</v>
      </c>
      <c r="D345" s="10">
        <f>'[1]2024 Finish'!H337</f>
        <v>32</v>
      </c>
      <c r="E345" s="22">
        <f>'[1]2024 Finish'!I337</f>
        <v>-0.92469111862263853</v>
      </c>
      <c r="F345" s="23">
        <f>G345/D345</f>
        <v>-1</v>
      </c>
      <c r="G345" s="24">
        <f>SUMIF($B346:$B759,$B346,G346:G759)</f>
        <v>-32</v>
      </c>
      <c r="H345" s="25">
        <f>SUMIF($B346:$B759,$B346,H346:H759)</f>
        <v>0</v>
      </c>
      <c r="I345" s="23">
        <f>J345/D345</f>
        <v>-1</v>
      </c>
      <c r="J345" s="24">
        <f>SUMIF($B346:$B759,$B346,J346:J759)</f>
        <v>-32</v>
      </c>
      <c r="K345" s="48">
        <f>SUMIF($B346:$B759,$B346,K346:K759)</f>
        <v>0</v>
      </c>
      <c r="L345" s="49">
        <f>K345-H345</f>
        <v>0</v>
      </c>
    </row>
    <row r="346" spans="1:12" x14ac:dyDescent="0.25">
      <c r="A346" s="2" t="s">
        <v>127</v>
      </c>
      <c r="B346" s="2" t="s">
        <v>26</v>
      </c>
      <c r="C346" s="42" t="str">
        <f t="shared" si="155"/>
        <v>Flagship|Flagship Brewery</v>
      </c>
      <c r="D346" s="26">
        <f>'[1]2024 Finish'!H338</f>
        <v>32</v>
      </c>
      <c r="E346" s="27">
        <f>'[1]2024 Finish'!I338</f>
        <v>-0.91395922380271177</v>
      </c>
      <c r="F346" s="18">
        <v>-1</v>
      </c>
      <c r="G346" s="28">
        <f t="shared" ref="G346:G347" si="175">F346*D346</f>
        <v>-32</v>
      </c>
      <c r="H346" s="11">
        <f t="shared" ref="H346:H347" si="176">D346+G346</f>
        <v>0</v>
      </c>
      <c r="I346" s="18">
        <v>-1</v>
      </c>
      <c r="J346" s="28">
        <f t="shared" si="22"/>
        <v>-32</v>
      </c>
      <c r="K346" s="50">
        <f t="shared" si="23"/>
        <v>0</v>
      </c>
      <c r="L346" s="28">
        <f t="shared" si="164"/>
        <v>0</v>
      </c>
    </row>
    <row r="347" spans="1:12" x14ac:dyDescent="0.25">
      <c r="A347" s="2" t="s">
        <v>453</v>
      </c>
      <c r="B347" s="2" t="s">
        <v>26</v>
      </c>
      <c r="C347" s="42" t="str">
        <f t="shared" si="155"/>
        <v>Ralph's|Flagship Brewery</v>
      </c>
      <c r="D347" s="26">
        <f>'[1]2024 Finish'!H339</f>
        <v>0</v>
      </c>
      <c r="E347" s="27">
        <f>'[1]2024 Finish'!I339</f>
        <v>-1</v>
      </c>
      <c r="F347" s="18">
        <v>-1</v>
      </c>
      <c r="G347" s="28">
        <f t="shared" si="175"/>
        <v>0</v>
      </c>
      <c r="H347" s="11">
        <f t="shared" si="176"/>
        <v>0</v>
      </c>
      <c r="I347" s="18">
        <v>-1</v>
      </c>
      <c r="J347" s="28">
        <f t="shared" si="22"/>
        <v>0</v>
      </c>
      <c r="K347" s="50">
        <f t="shared" si="23"/>
        <v>0</v>
      </c>
      <c r="L347" s="28">
        <f t="shared" si="164"/>
        <v>0</v>
      </c>
    </row>
    <row r="348" spans="1:12" x14ac:dyDescent="0.25">
      <c r="A348" s="20" t="s">
        <v>360</v>
      </c>
      <c r="B348" s="21"/>
      <c r="C348" s="42" t="str">
        <f t="shared" si="155"/>
        <v>Primos Imports LLC|</v>
      </c>
      <c r="D348" s="10">
        <f>'[1]2024 Finish'!H340</f>
        <v>37.220462611907998</v>
      </c>
      <c r="E348" s="22">
        <f>'[1]2024 Finish'!I340</f>
        <v>-0.57967736865055053</v>
      </c>
      <c r="F348" s="23">
        <f>G348/D348</f>
        <v>0</v>
      </c>
      <c r="G348" s="24">
        <f>SUMIF($B349:$B762,$B349,G349:G762)</f>
        <v>0</v>
      </c>
      <c r="H348" s="25">
        <f>SUMIF($B349:$B762,$B349,H349:H762)</f>
        <v>37.220462611907998</v>
      </c>
      <c r="I348" s="23">
        <f>J348/D348</f>
        <v>0</v>
      </c>
      <c r="J348" s="24">
        <f>SUMIF($B349:$B762,$B349,J349:J762)</f>
        <v>0</v>
      </c>
      <c r="K348" s="48">
        <f>SUMIF($B349:$B762,$B349,K349:K762)</f>
        <v>37.220462611907998</v>
      </c>
      <c r="L348" s="49">
        <f>K348-H348</f>
        <v>0</v>
      </c>
    </row>
    <row r="349" spans="1:12" x14ac:dyDescent="0.25">
      <c r="A349" s="2" t="s">
        <v>332</v>
      </c>
      <c r="B349" s="2" t="s">
        <v>360</v>
      </c>
      <c r="C349" s="42" t="str">
        <f t="shared" si="155"/>
        <v>Monte Xanic|Primos Imports LLC</v>
      </c>
      <c r="D349" s="26">
        <f>'[1]2024 Finish'!H341</f>
        <v>12.95763075</v>
      </c>
      <c r="E349" s="27">
        <f>'[1]2024 Finish'!I341</f>
        <v>-0.28125</v>
      </c>
      <c r="F349" s="18"/>
      <c r="G349" s="28">
        <f t="shared" ref="G349:G352" si="177">F349*D349</f>
        <v>0</v>
      </c>
      <c r="H349" s="11">
        <f t="shared" ref="H349:H352" si="178">D349+G349</f>
        <v>12.95763075</v>
      </c>
      <c r="I349" s="18">
        <v>0</v>
      </c>
      <c r="J349" s="28">
        <f t="shared" si="22"/>
        <v>0</v>
      </c>
      <c r="K349" s="50">
        <f t="shared" si="23"/>
        <v>12.95763075</v>
      </c>
      <c r="L349" s="28">
        <f t="shared" si="164"/>
        <v>0</v>
      </c>
    </row>
    <row r="350" spans="1:12" x14ac:dyDescent="0.25">
      <c r="A350" s="2" t="s">
        <v>202</v>
      </c>
      <c r="B350" s="2" t="s">
        <v>360</v>
      </c>
      <c r="C350" s="42" t="str">
        <f t="shared" si="155"/>
        <v>Rompe Corazon|Primos Imports LLC</v>
      </c>
      <c r="D350" s="26">
        <f>'[1]2024 Finish'!H342</f>
        <v>6.4237728619080006</v>
      </c>
      <c r="E350" s="27">
        <f>'[1]2024 Finish'!I342</f>
        <v>-0.58620690322580637</v>
      </c>
      <c r="F350" s="18"/>
      <c r="G350" s="28">
        <f t="shared" si="177"/>
        <v>0</v>
      </c>
      <c r="H350" s="11">
        <f t="shared" si="178"/>
        <v>6.4237728619080006</v>
      </c>
      <c r="I350" s="18">
        <v>0</v>
      </c>
      <c r="J350" s="28">
        <f t="shared" si="22"/>
        <v>0</v>
      </c>
      <c r="K350" s="50">
        <f t="shared" si="23"/>
        <v>6.4237728619080006</v>
      </c>
      <c r="L350" s="28">
        <f t="shared" si="164"/>
        <v>0</v>
      </c>
    </row>
    <row r="351" spans="1:12" x14ac:dyDescent="0.25">
      <c r="A351" s="2" t="s">
        <v>413</v>
      </c>
      <c r="B351" s="2" t="s">
        <v>360</v>
      </c>
      <c r="C351" s="42" t="str">
        <f t="shared" si="155"/>
        <v>Charro|Primos Imports LLC</v>
      </c>
      <c r="D351" s="26">
        <f>'[1]2024 Finish'!H343</f>
        <v>15</v>
      </c>
      <c r="E351" s="27">
        <f>'[1]2024 Finish'!I343</f>
        <v>-0.72727272727272729</v>
      </c>
      <c r="F351" s="18"/>
      <c r="G351" s="28">
        <f t="shared" si="177"/>
        <v>0</v>
      </c>
      <c r="H351" s="11">
        <f t="shared" si="178"/>
        <v>15</v>
      </c>
      <c r="I351" s="18">
        <v>0</v>
      </c>
      <c r="J351" s="28">
        <f t="shared" si="22"/>
        <v>0</v>
      </c>
      <c r="K351" s="50">
        <f t="shared" si="23"/>
        <v>15</v>
      </c>
      <c r="L351" s="28">
        <f t="shared" si="164"/>
        <v>0</v>
      </c>
    </row>
    <row r="352" spans="1:12" x14ac:dyDescent="0.25">
      <c r="A352" s="2" t="s">
        <v>255</v>
      </c>
      <c r="B352" s="2" t="s">
        <v>360</v>
      </c>
      <c r="C352" s="42" t="str">
        <f t="shared" si="155"/>
        <v>Guaname Rompope|Primos Imports LLC</v>
      </c>
      <c r="D352" s="26">
        <f>'[1]2024 Finish'!H344</f>
        <v>2.8390590000000002</v>
      </c>
      <c r="E352" s="27" t="e">
        <f>'[1]2024 Finish'!I344</f>
        <v>#DIV/0!</v>
      </c>
      <c r="F352" s="18"/>
      <c r="G352" s="28">
        <f t="shared" si="177"/>
        <v>0</v>
      </c>
      <c r="H352" s="11">
        <f t="shared" si="178"/>
        <v>2.8390590000000002</v>
      </c>
      <c r="I352" s="18">
        <v>0</v>
      </c>
      <c r="J352" s="28">
        <f t="shared" si="22"/>
        <v>0</v>
      </c>
      <c r="K352" s="50">
        <f t="shared" si="23"/>
        <v>2.8390590000000002</v>
      </c>
      <c r="L352" s="28">
        <f t="shared" si="164"/>
        <v>0</v>
      </c>
    </row>
    <row r="353" spans="1:12" x14ac:dyDescent="0.25">
      <c r="A353" s="20" t="s">
        <v>336</v>
      </c>
      <c r="B353" s="21"/>
      <c r="C353" s="42" t="str">
        <f t="shared" si="155"/>
        <v>Funky Buddha|</v>
      </c>
      <c r="D353" s="10">
        <f>'[1]2024 Finish'!H345</f>
        <v>7</v>
      </c>
      <c r="E353" s="22">
        <f>'[1]2024 Finish'!I345</f>
        <v>-0.66366366366366369</v>
      </c>
      <c r="F353" s="23">
        <f>G353/D353</f>
        <v>0</v>
      </c>
      <c r="G353" s="24">
        <f>SUMIF($B354:$B767,$B354,G354:G767)</f>
        <v>0</v>
      </c>
      <c r="H353" s="25">
        <f>SUMIF($B354:$B767,$B354,H354:H767)</f>
        <v>7</v>
      </c>
      <c r="I353" s="23">
        <f>J353/D353</f>
        <v>0</v>
      </c>
      <c r="J353" s="24">
        <f>SUMIF($B354:$B767,$B354,J354:J767)</f>
        <v>0</v>
      </c>
      <c r="K353" s="48">
        <f>SUMIF($B354:$B767,$B354,K354:K767)</f>
        <v>7</v>
      </c>
      <c r="L353" s="49">
        <f>K353-H353</f>
        <v>0</v>
      </c>
    </row>
    <row r="354" spans="1:12" x14ac:dyDescent="0.25">
      <c r="A354" s="2" t="s">
        <v>336</v>
      </c>
      <c r="B354" s="2" t="s">
        <v>336</v>
      </c>
      <c r="C354" s="42" t="str">
        <f t="shared" si="155"/>
        <v>Funky Buddha|Funky Buddha</v>
      </c>
      <c r="D354" s="26">
        <f>'[1]2024 Finish'!H346</f>
        <v>7</v>
      </c>
      <c r="E354" s="27">
        <f>'[1]2024 Finish'!I346</f>
        <v>-0.66366366366366369</v>
      </c>
      <c r="F354" s="18"/>
      <c r="G354" s="28">
        <f t="shared" ref="G354" si="179">F354*D354</f>
        <v>0</v>
      </c>
      <c r="H354" s="11">
        <f t="shared" ref="H354" si="180">D354+G354</f>
        <v>7</v>
      </c>
      <c r="I354" s="18"/>
      <c r="J354" s="28">
        <f t="shared" si="22"/>
        <v>0</v>
      </c>
      <c r="K354" s="50">
        <f t="shared" si="23"/>
        <v>7</v>
      </c>
      <c r="L354" s="28">
        <f t="shared" si="164"/>
        <v>0</v>
      </c>
    </row>
    <row r="355" spans="1:12" x14ac:dyDescent="0.25">
      <c r="A355" s="20" t="s">
        <v>250</v>
      </c>
      <c r="B355" s="21"/>
      <c r="C355" s="42" t="str">
        <f t="shared" si="155"/>
        <v>Vinaio Imports LTD|</v>
      </c>
      <c r="D355" s="10">
        <f>'[1]2024 Finish'!H347</f>
        <v>7278</v>
      </c>
      <c r="E355" s="22" t="e">
        <f>'[1]2024 Finish'!I347</f>
        <v>#DIV/0!</v>
      </c>
      <c r="F355" s="23">
        <f>G355/D355</f>
        <v>0</v>
      </c>
      <c r="G355" s="24">
        <f>SUMIF($B356:$B769,$B356,G356:G769)</f>
        <v>0</v>
      </c>
      <c r="H355" s="25">
        <f>SUMIF($B356:$B769,$B356,H356:H769)</f>
        <v>7825</v>
      </c>
      <c r="I355" s="23">
        <f>J355/D355</f>
        <v>0.61156911239351475</v>
      </c>
      <c r="J355" s="24">
        <f>SUMIF($B356:$B769,$B356,J356:J769)</f>
        <v>4451</v>
      </c>
      <c r="K355" s="48">
        <f>SUMIF($B356:$B769,$B356,K356:K769)</f>
        <v>12276</v>
      </c>
      <c r="L355" s="49">
        <f>K355-H355</f>
        <v>4451</v>
      </c>
    </row>
    <row r="356" spans="1:12" x14ac:dyDescent="0.25">
      <c r="A356" s="2" t="s">
        <v>404</v>
      </c>
      <c r="B356" s="2" t="s">
        <v>250</v>
      </c>
      <c r="C356" s="42" t="str">
        <f t="shared" si="155"/>
        <v>Cerveza Republica La Tuya 5.0 La Dura|Vinaio Imports LTD</v>
      </c>
      <c r="D356" s="26">
        <f>'[1]2024 Finish'!H348</f>
        <v>1077</v>
      </c>
      <c r="E356" s="27" t="e">
        <f>'[1]2024 Finish'!I348</f>
        <v>#DIV/0!</v>
      </c>
      <c r="F356" s="18"/>
      <c r="G356" s="28">
        <f t="shared" ref="G356:G357" si="181">F356*D356</f>
        <v>0</v>
      </c>
      <c r="H356" s="11">
        <f t="shared" ref="H356:H357" si="182">D356+G356</f>
        <v>1077</v>
      </c>
      <c r="I356" s="18">
        <v>1</v>
      </c>
      <c r="J356" s="28">
        <f t="shared" si="22"/>
        <v>1077</v>
      </c>
      <c r="K356" s="50">
        <f t="shared" si="23"/>
        <v>2154</v>
      </c>
      <c r="L356" s="28">
        <f t="shared" si="164"/>
        <v>1077</v>
      </c>
    </row>
    <row r="357" spans="1:12" x14ac:dyDescent="0.25">
      <c r="A357" s="2" t="s">
        <v>225</v>
      </c>
      <c r="B357" s="2" t="s">
        <v>250</v>
      </c>
      <c r="C357" s="42" t="str">
        <f t="shared" si="155"/>
        <v>Cerveza Republica LA Tuya|Vinaio Imports LTD</v>
      </c>
      <c r="D357" s="26">
        <v>6748</v>
      </c>
      <c r="E357" s="27" t="e">
        <f>'[1]2024 Finish'!I349</f>
        <v>#DIV/0!</v>
      </c>
      <c r="F357" s="18"/>
      <c r="G357" s="28">
        <f t="shared" si="181"/>
        <v>0</v>
      </c>
      <c r="H357" s="11">
        <f t="shared" si="182"/>
        <v>6748</v>
      </c>
      <c r="I357" s="18">
        <v>0.5</v>
      </c>
      <c r="J357" s="28">
        <f t="shared" si="22"/>
        <v>3374</v>
      </c>
      <c r="K357" s="50">
        <f t="shared" si="23"/>
        <v>10122</v>
      </c>
      <c r="L357" s="28">
        <f t="shared" si="164"/>
        <v>3374</v>
      </c>
    </row>
    <row r="358" spans="1:12" x14ac:dyDescent="0.25">
      <c r="A358" s="20" t="s">
        <v>454</v>
      </c>
      <c r="B358" s="21"/>
      <c r="C358" s="42" t="str">
        <f t="shared" si="155"/>
        <v>Truss USA|</v>
      </c>
      <c r="D358" s="10">
        <f>'[1]2024 Finish'!H350</f>
        <v>0</v>
      </c>
      <c r="E358" s="22">
        <f>'[1]2024 Finish'!I350</f>
        <v>-1</v>
      </c>
      <c r="F358" s="23" t="e">
        <f>G358/D358</f>
        <v>#DIV/0!</v>
      </c>
      <c r="G358" s="24">
        <f>SUMIF($B359:$B772,$B359,G359:G772)</f>
        <v>0</v>
      </c>
      <c r="H358" s="25">
        <f>SUMIF($B359:$B772,$B359,H359:H772)</f>
        <v>0</v>
      </c>
      <c r="I358" s="23" t="e">
        <f>J358/D358</f>
        <v>#DIV/0!</v>
      </c>
      <c r="J358" s="24">
        <f>SUMIF($B359:$B772,$B359,J359:J772)</f>
        <v>0</v>
      </c>
      <c r="K358" s="48">
        <f>SUMIF($B359:$B772,$B359,K359:K772)</f>
        <v>0</v>
      </c>
      <c r="L358" s="49">
        <f>K358-H358</f>
        <v>0</v>
      </c>
    </row>
    <row r="359" spans="1:12" x14ac:dyDescent="0.25">
      <c r="A359" s="2" t="s">
        <v>455</v>
      </c>
      <c r="B359" s="2" t="s">
        <v>454</v>
      </c>
      <c r="C359" s="42" t="str">
        <f t="shared" si="155"/>
        <v>Veryvell|Truss USA</v>
      </c>
      <c r="D359" s="26">
        <f>'[1]2024 Finish'!H351</f>
        <v>0</v>
      </c>
      <c r="E359" s="27">
        <f>'[1]2024 Finish'!I351</f>
        <v>-1</v>
      </c>
      <c r="F359" s="18"/>
      <c r="G359" s="28">
        <f t="shared" ref="G359" si="183">F359*D359</f>
        <v>0</v>
      </c>
      <c r="H359" s="11">
        <f t="shared" ref="H359" si="184">D359+G359</f>
        <v>0</v>
      </c>
      <c r="I359" s="18"/>
      <c r="J359" s="28">
        <f t="shared" si="22"/>
        <v>0</v>
      </c>
      <c r="K359" s="50">
        <f t="shared" si="23"/>
        <v>0</v>
      </c>
      <c r="L359" s="28">
        <f t="shared" si="164"/>
        <v>0</v>
      </c>
    </row>
    <row r="360" spans="1:12" x14ac:dyDescent="0.25">
      <c r="A360" s="20" t="s">
        <v>80</v>
      </c>
      <c r="B360" s="21"/>
      <c r="C360" s="42" t="str">
        <f t="shared" si="155"/>
        <v>Trinity Flavors|</v>
      </c>
      <c r="D360" s="10">
        <f>'[1]2024 Finish'!H352</f>
        <v>27</v>
      </c>
      <c r="E360" s="22">
        <f>'[1]2024 Finish'!I352</f>
        <v>-0.30769230769230771</v>
      </c>
      <c r="F360" s="23">
        <f>G360/D360</f>
        <v>0</v>
      </c>
      <c r="G360" s="24">
        <f>SUMIF($B361:$B774,$B361,G361:G774)</f>
        <v>0</v>
      </c>
      <c r="H360" s="25">
        <f>SUMIF($B361:$B774,$B361,H361:H774)</f>
        <v>27</v>
      </c>
      <c r="I360" s="23">
        <f>J360/D360</f>
        <v>0</v>
      </c>
      <c r="J360" s="24">
        <f>SUMIF($B361:$B774,$B361,J361:J774)</f>
        <v>0</v>
      </c>
      <c r="K360" s="48">
        <f>SUMIF($B361:$B774,$B361,K361:K774)</f>
        <v>27</v>
      </c>
      <c r="L360" s="49">
        <f>K360-H360</f>
        <v>0</v>
      </c>
    </row>
    <row r="361" spans="1:12" x14ac:dyDescent="0.25">
      <c r="A361" s="2" t="s">
        <v>99</v>
      </c>
      <c r="B361" s="2" t="s">
        <v>80</v>
      </c>
      <c r="C361" s="42" t="str">
        <f t="shared" si="155"/>
        <v>Trinity|Trinity Flavors</v>
      </c>
      <c r="D361" s="26">
        <f>'[1]2024 Finish'!H353</f>
        <v>27</v>
      </c>
      <c r="E361" s="27">
        <f>'[1]2024 Finish'!I353</f>
        <v>-0.30769230769230771</v>
      </c>
      <c r="F361" s="18"/>
      <c r="G361" s="28">
        <f t="shared" ref="G361" si="185">F361*D361</f>
        <v>0</v>
      </c>
      <c r="H361" s="11">
        <f t="shared" ref="H361" si="186">D361+G361</f>
        <v>27</v>
      </c>
      <c r="I361" s="18"/>
      <c r="J361" s="28">
        <f t="shared" si="22"/>
        <v>0</v>
      </c>
      <c r="K361" s="50">
        <f t="shared" si="23"/>
        <v>27</v>
      </c>
      <c r="L361" s="28">
        <f t="shared" si="164"/>
        <v>0</v>
      </c>
    </row>
    <row r="362" spans="1:12" x14ac:dyDescent="0.25">
      <c r="A362" s="20" t="s">
        <v>198</v>
      </c>
      <c r="B362" s="21"/>
      <c r="C362" s="42" t="str">
        <f t="shared" si="155"/>
        <v>Talkhouse Encore|</v>
      </c>
      <c r="D362" s="10">
        <f>'[1]2024 Finish'!H354</f>
        <v>673</v>
      </c>
      <c r="E362" s="22" t="e">
        <f>'[1]2024 Finish'!I354</f>
        <v>#DIV/0!</v>
      </c>
      <c r="F362" s="23">
        <f>G362/D362</f>
        <v>16</v>
      </c>
      <c r="G362" s="24">
        <f>SUMIF($B363:$B776,$B363,G363:G776)</f>
        <v>10768</v>
      </c>
      <c r="H362" s="25">
        <f>SUMIF($B363:$B776,$B363,H363:H776)</f>
        <v>11441</v>
      </c>
      <c r="I362" s="23">
        <f>J362/D362</f>
        <v>16</v>
      </c>
      <c r="J362" s="24">
        <f>SUMIF($B363:$B776,$B363,J363:J776)</f>
        <v>10768</v>
      </c>
      <c r="K362" s="48">
        <f>SUMIF($B363:$B776,$B363,K363:K776)</f>
        <v>11441</v>
      </c>
      <c r="L362" s="49">
        <f>K362-H362</f>
        <v>0</v>
      </c>
    </row>
    <row r="363" spans="1:12" x14ac:dyDescent="0.25">
      <c r="A363" s="2" t="s">
        <v>198</v>
      </c>
      <c r="B363" s="2" t="s">
        <v>198</v>
      </c>
      <c r="C363" s="42" t="str">
        <f t="shared" si="155"/>
        <v>Talkhouse Encore|Talkhouse Encore</v>
      </c>
      <c r="D363" s="26">
        <f>'[1]2024 Finish'!H355</f>
        <v>673</v>
      </c>
      <c r="E363" s="27" t="e">
        <f>'[1]2024 Finish'!I355</f>
        <v>#DIV/0!</v>
      </c>
      <c r="F363" s="18">
        <v>16</v>
      </c>
      <c r="G363" s="28">
        <f t="shared" ref="G363" si="187">F363*D363</f>
        <v>10768</v>
      </c>
      <c r="H363" s="11">
        <f t="shared" ref="H363" si="188">D363+G363</f>
        <v>11441</v>
      </c>
      <c r="I363" s="18">
        <v>16</v>
      </c>
      <c r="J363" s="28">
        <f t="shared" si="22"/>
        <v>10768</v>
      </c>
      <c r="K363" s="50">
        <f t="shared" si="23"/>
        <v>11441</v>
      </c>
      <c r="L363" s="28">
        <f t="shared" si="164"/>
        <v>0</v>
      </c>
    </row>
    <row r="364" spans="1:12" x14ac:dyDescent="0.25">
      <c r="A364" s="20" t="s">
        <v>456</v>
      </c>
      <c r="B364" s="21"/>
      <c r="C364" s="42" t="str">
        <f t="shared" si="155"/>
        <v>Sterling|</v>
      </c>
      <c r="D364" s="10">
        <f>'[1]2024 Finish'!H356</f>
        <v>0</v>
      </c>
      <c r="E364" s="22">
        <f>'[1]2024 Finish'!I356</f>
        <v>-1</v>
      </c>
      <c r="F364" s="23" t="e">
        <f>G364/D364</f>
        <v>#DIV/0!</v>
      </c>
      <c r="G364" s="24">
        <f>SUMIF($B365:$B778,$B365,G365:G778)</f>
        <v>0</v>
      </c>
      <c r="H364" s="25">
        <f>SUMIF($B365:$B778,$B365,H365:H778)</f>
        <v>0</v>
      </c>
      <c r="I364" s="23" t="e">
        <f>J364/D364</f>
        <v>#DIV/0!</v>
      </c>
      <c r="J364" s="24">
        <f>SUMIF($B365:$B778,$B365,J365:J778)</f>
        <v>0</v>
      </c>
      <c r="K364" s="48">
        <f>SUMIF($B365:$B778,$B365,K365:K778)</f>
        <v>0</v>
      </c>
      <c r="L364" s="49">
        <f>K364-H364</f>
        <v>0</v>
      </c>
    </row>
    <row r="365" spans="1:12" x14ac:dyDescent="0.25">
      <c r="A365" s="2" t="s">
        <v>456</v>
      </c>
      <c r="B365" s="2" t="s">
        <v>456</v>
      </c>
      <c r="C365" s="42" t="str">
        <f t="shared" si="155"/>
        <v>Sterling|Sterling</v>
      </c>
      <c r="D365" s="26">
        <f>'[1]2024 Finish'!H357</f>
        <v>0</v>
      </c>
      <c r="E365" s="27">
        <f>'[1]2024 Finish'!I357</f>
        <v>-1</v>
      </c>
      <c r="F365" s="18"/>
      <c r="G365" s="28">
        <f t="shared" ref="G365" si="189">F365*D365</f>
        <v>0</v>
      </c>
      <c r="H365" s="11">
        <f t="shared" ref="H365" si="190">D365+G365</f>
        <v>0</v>
      </c>
      <c r="I365" s="18"/>
      <c r="J365" s="28">
        <f t="shared" si="22"/>
        <v>0</v>
      </c>
      <c r="K365" s="50">
        <f t="shared" si="23"/>
        <v>0</v>
      </c>
      <c r="L365" s="28">
        <f t="shared" si="164"/>
        <v>0</v>
      </c>
    </row>
    <row r="366" spans="1:12" x14ac:dyDescent="0.25">
      <c r="A366" s="20" t="s">
        <v>457</v>
      </c>
      <c r="B366" s="21"/>
      <c r="C366" s="42" t="str">
        <f t="shared" si="155"/>
        <v>Rocky Mtn|</v>
      </c>
      <c r="D366" s="10">
        <f>'[1]2024 Finish'!H358</f>
        <v>0</v>
      </c>
      <c r="E366" s="22">
        <f>'[1]2024 Finish'!I358</f>
        <v>-1</v>
      </c>
      <c r="F366" s="23" t="e">
        <f>G366/D366</f>
        <v>#DIV/0!</v>
      </c>
      <c r="G366" s="24">
        <f>SUMIF($B367:$B780,$B367,G367:G780)</f>
        <v>0</v>
      </c>
      <c r="H366" s="25">
        <f>SUMIF($B367:$B780,$B367,H367:H780)</f>
        <v>0</v>
      </c>
      <c r="I366" s="23" t="e">
        <f>J366/D366</f>
        <v>#DIV/0!</v>
      </c>
      <c r="J366" s="24">
        <f>SUMIF($B367:$B780,$B367,J367:J780)</f>
        <v>0</v>
      </c>
      <c r="K366" s="48">
        <f>SUMIF($B367:$B780,$B367,K367:K780)</f>
        <v>0</v>
      </c>
      <c r="L366" s="49">
        <f>K366-H366</f>
        <v>0</v>
      </c>
    </row>
    <row r="367" spans="1:12" x14ac:dyDescent="0.25">
      <c r="A367" s="2" t="s">
        <v>458</v>
      </c>
      <c r="B367" s="2" t="s">
        <v>457</v>
      </c>
      <c r="C367" s="42" t="str">
        <f t="shared" si="155"/>
        <v>Lifted Libations|Rocky Mtn</v>
      </c>
      <c r="D367" s="26">
        <f>'[1]2024 Finish'!H359</f>
        <v>0</v>
      </c>
      <c r="E367" s="27">
        <f>'[1]2024 Finish'!I359</f>
        <v>-1</v>
      </c>
      <c r="F367" s="18"/>
      <c r="G367" s="28">
        <f t="shared" ref="G367" si="191">F367*D367</f>
        <v>0</v>
      </c>
      <c r="H367" s="11">
        <f t="shared" ref="H367" si="192">D367+G367</f>
        <v>0</v>
      </c>
      <c r="I367" s="18"/>
      <c r="J367" s="28">
        <f t="shared" si="22"/>
        <v>0</v>
      </c>
      <c r="K367" s="50">
        <f t="shared" si="23"/>
        <v>0</v>
      </c>
      <c r="L367" s="28">
        <f t="shared" si="164"/>
        <v>0</v>
      </c>
    </row>
    <row r="368" spans="1:12" x14ac:dyDescent="0.25">
      <c r="A368" s="20" t="s">
        <v>203</v>
      </c>
      <c r="B368" s="21"/>
      <c r="C368" s="42" t="str">
        <f t="shared" si="155"/>
        <v>Oceano|</v>
      </c>
      <c r="D368" s="10">
        <f>'[1]2024 Finish'!H360</f>
        <v>17</v>
      </c>
      <c r="E368" s="22" t="e">
        <f>'[1]2024 Finish'!I360</f>
        <v>#DIV/0!</v>
      </c>
      <c r="F368" s="23">
        <f>G368/D368</f>
        <v>0</v>
      </c>
      <c r="G368" s="24">
        <f>SUMIF($B369:$B782,$B369,G369:G782)</f>
        <v>0</v>
      </c>
      <c r="H368" s="25">
        <f>SUMIF($B369:$B782,$B369,H369:H782)</f>
        <v>17</v>
      </c>
      <c r="I368" s="23">
        <f>J368/D368</f>
        <v>0</v>
      </c>
      <c r="J368" s="24">
        <f>SUMIF($B369:$B782,$B369,J369:J782)</f>
        <v>0</v>
      </c>
      <c r="K368" s="48">
        <f>SUMIF($B369:$B782,$B369,K369:K782)</f>
        <v>17</v>
      </c>
      <c r="L368" s="49">
        <f>K368-H368</f>
        <v>0</v>
      </c>
    </row>
    <row r="369" spans="1:12" x14ac:dyDescent="0.25">
      <c r="A369" s="2" t="s">
        <v>203</v>
      </c>
      <c r="B369" s="2" t="s">
        <v>203</v>
      </c>
      <c r="C369" s="42" t="str">
        <f t="shared" si="155"/>
        <v>Oceano|Oceano</v>
      </c>
      <c r="D369" s="26">
        <f>'[1]2024 Finish'!H361</f>
        <v>17</v>
      </c>
      <c r="E369" s="27" t="e">
        <f>'[1]2024 Finish'!I361</f>
        <v>#DIV/0!</v>
      </c>
      <c r="F369" s="18"/>
      <c r="G369" s="28">
        <f t="shared" ref="G369" si="193">F369*D369</f>
        <v>0</v>
      </c>
      <c r="H369" s="11">
        <f t="shared" ref="H369" si="194">D369+G369</f>
        <v>17</v>
      </c>
      <c r="I369" s="18"/>
      <c r="J369" s="28">
        <f t="shared" si="22"/>
        <v>0</v>
      </c>
      <c r="K369" s="50">
        <f t="shared" si="23"/>
        <v>17</v>
      </c>
      <c r="L369" s="28">
        <f t="shared" si="164"/>
        <v>0</v>
      </c>
    </row>
    <row r="370" spans="1:12" x14ac:dyDescent="0.25">
      <c r="A370" s="20" t="s">
        <v>459</v>
      </c>
      <c r="B370" s="21"/>
      <c r="C370" s="42" t="str">
        <f t="shared" si="155"/>
        <v>Luneau Usa Inc|</v>
      </c>
      <c r="D370" s="10">
        <f>'[1]2024 Finish'!H362</f>
        <v>0</v>
      </c>
      <c r="E370" s="22">
        <f>'[1]2024 Finish'!I362</f>
        <v>-1</v>
      </c>
      <c r="F370" s="23" t="e">
        <f>G370/D370</f>
        <v>#DIV/0!</v>
      </c>
      <c r="G370" s="24">
        <f>SUMIF($B371:$B784,$B371,G371:G784)</f>
        <v>0</v>
      </c>
      <c r="H370" s="25">
        <f>SUMIF($B371:$B784,$B371,H371:H784)</f>
        <v>0</v>
      </c>
      <c r="I370" s="23" t="e">
        <f>J370/D370</f>
        <v>#DIV/0!</v>
      </c>
      <c r="J370" s="24">
        <f>SUMIF($B371:$B784,$B371,J371:J784)</f>
        <v>0</v>
      </c>
      <c r="K370" s="48">
        <f>SUMIF($B371:$B784,$B371,K371:K784)</f>
        <v>0</v>
      </c>
      <c r="L370" s="49">
        <f>K370-H370</f>
        <v>0</v>
      </c>
    </row>
    <row r="371" spans="1:12" x14ac:dyDescent="0.25">
      <c r="A371" s="2" t="s">
        <v>460</v>
      </c>
      <c r="B371" s="2" t="s">
        <v>459</v>
      </c>
      <c r="C371" s="42" t="str">
        <f t="shared" si="155"/>
        <v>Rodia|Luneau Usa Inc</v>
      </c>
      <c r="D371" s="26">
        <f>'[1]2024 Finish'!H363</f>
        <v>0</v>
      </c>
      <c r="E371" s="27">
        <f>'[1]2024 Finish'!I363</f>
        <v>-1</v>
      </c>
      <c r="F371" s="18"/>
      <c r="G371" s="28">
        <f t="shared" ref="G371" si="195">F371*D371</f>
        <v>0</v>
      </c>
      <c r="H371" s="11">
        <f t="shared" ref="H371" si="196">D371+G371</f>
        <v>0</v>
      </c>
      <c r="I371" s="18"/>
      <c r="J371" s="28">
        <f t="shared" si="22"/>
        <v>0</v>
      </c>
      <c r="K371" s="50">
        <f t="shared" si="23"/>
        <v>0</v>
      </c>
      <c r="L371" s="28">
        <f t="shared" si="164"/>
        <v>0</v>
      </c>
    </row>
    <row r="372" spans="1:12" x14ac:dyDescent="0.25">
      <c r="A372" s="20" t="s">
        <v>22</v>
      </c>
      <c r="B372" s="21"/>
      <c r="C372" s="42" t="str">
        <f t="shared" si="155"/>
        <v>Little Water Distillery|</v>
      </c>
      <c r="D372" s="10">
        <f>'[1]2024 Finish'!H364</f>
        <v>70</v>
      </c>
      <c r="E372" s="22" t="e">
        <f>'[1]2024 Finish'!I364</f>
        <v>#DIV/0!</v>
      </c>
      <c r="F372" s="23">
        <f>G372/D372</f>
        <v>0</v>
      </c>
      <c r="G372" s="24">
        <f>SUMIF($B373:$B786,$B373,G373:G786)</f>
        <v>0</v>
      </c>
      <c r="H372" s="25">
        <f>SUMIF($B373:$B786,$B373,H373:H786)</f>
        <v>70</v>
      </c>
      <c r="I372" s="23">
        <f>J372/D372</f>
        <v>12</v>
      </c>
      <c r="J372" s="24">
        <f>SUMIF($B373:$B786,$B373,J373:J786)</f>
        <v>840</v>
      </c>
      <c r="K372" s="48">
        <f>SUMIF($B373:$B786,$B373,K373:K786)</f>
        <v>910</v>
      </c>
      <c r="L372" s="49">
        <f>K372-H372</f>
        <v>840</v>
      </c>
    </row>
    <row r="373" spans="1:12" x14ac:dyDescent="0.25">
      <c r="A373" s="2" t="s">
        <v>274</v>
      </c>
      <c r="B373" s="2" t="s">
        <v>22</v>
      </c>
      <c r="C373" s="42" t="str">
        <f t="shared" si="155"/>
        <v>Whitecap|Little Water Distillery</v>
      </c>
      <c r="D373" s="26">
        <f>'[1]2024 Finish'!H365</f>
        <v>7</v>
      </c>
      <c r="E373" s="27" t="e">
        <f>'[1]2024 Finish'!I365</f>
        <v>#DIV/0!</v>
      </c>
      <c r="F373" s="18"/>
      <c r="G373" s="28">
        <f t="shared" ref="G373:G375" si="197">F373*D373</f>
        <v>0</v>
      </c>
      <c r="H373" s="11">
        <f t="shared" ref="H373:H375" si="198">D373+G373</f>
        <v>7</v>
      </c>
      <c r="I373" s="18">
        <v>12</v>
      </c>
      <c r="J373" s="28">
        <f t="shared" si="22"/>
        <v>84</v>
      </c>
      <c r="K373" s="50">
        <f t="shared" si="23"/>
        <v>91</v>
      </c>
      <c r="L373" s="28">
        <f t="shared" si="164"/>
        <v>84</v>
      </c>
    </row>
    <row r="374" spans="1:12" x14ac:dyDescent="0.25">
      <c r="A374" s="2" t="s">
        <v>149</v>
      </c>
      <c r="B374" s="2" t="s">
        <v>22</v>
      </c>
      <c r="C374" s="42" t="str">
        <f t="shared" si="155"/>
        <v>Rusted Revolver|Little Water Distillery</v>
      </c>
      <c r="D374" s="26">
        <f>'[1]2024 Finish'!H366</f>
        <v>6</v>
      </c>
      <c r="E374" s="27" t="e">
        <f>'[1]2024 Finish'!I366</f>
        <v>#DIV/0!</v>
      </c>
      <c r="F374" s="18"/>
      <c r="G374" s="28">
        <f t="shared" si="197"/>
        <v>0</v>
      </c>
      <c r="H374" s="11">
        <f t="shared" si="198"/>
        <v>6</v>
      </c>
      <c r="I374" s="18">
        <v>12</v>
      </c>
      <c r="J374" s="28">
        <f t="shared" si="22"/>
        <v>72</v>
      </c>
      <c r="K374" s="50">
        <f t="shared" si="23"/>
        <v>78</v>
      </c>
      <c r="L374" s="28">
        <f t="shared" si="164"/>
        <v>72</v>
      </c>
    </row>
    <row r="375" spans="1:12" x14ac:dyDescent="0.25">
      <c r="A375" s="2" t="s">
        <v>273</v>
      </c>
      <c r="B375" s="2" t="s">
        <v>22</v>
      </c>
      <c r="C375" s="42" t="str">
        <f t="shared" si="155"/>
        <v>48 Blocks|Little Water Distillery</v>
      </c>
      <c r="D375" s="26">
        <f>'[1]2024 Finish'!H367</f>
        <v>57</v>
      </c>
      <c r="E375" s="27" t="e">
        <f>'[1]2024 Finish'!I367</f>
        <v>#DIV/0!</v>
      </c>
      <c r="F375" s="18"/>
      <c r="G375" s="28">
        <f t="shared" si="197"/>
        <v>0</v>
      </c>
      <c r="H375" s="11">
        <f t="shared" si="198"/>
        <v>57</v>
      </c>
      <c r="I375" s="18">
        <v>12</v>
      </c>
      <c r="J375" s="28">
        <f t="shared" si="22"/>
        <v>684</v>
      </c>
      <c r="K375" s="50">
        <f t="shared" si="23"/>
        <v>741</v>
      </c>
      <c r="L375" s="28">
        <f t="shared" si="164"/>
        <v>684</v>
      </c>
    </row>
    <row r="376" spans="1:12" x14ac:dyDescent="0.25">
      <c r="A376" s="20" t="s">
        <v>418</v>
      </c>
      <c r="B376" s="21"/>
      <c r="C376" s="42" t="str">
        <f t="shared" si="155"/>
        <v>Laird &amp; Company|</v>
      </c>
      <c r="D376" s="10">
        <f>'[1]2024 Finish'!H368</f>
        <v>62</v>
      </c>
      <c r="E376" s="22" t="e">
        <f>'[1]2024 Finish'!I368</f>
        <v>#DIV/0!</v>
      </c>
      <c r="F376" s="23">
        <f>G376/D376</f>
        <v>0</v>
      </c>
      <c r="G376" s="24">
        <f>SUMIF($B377:$B790,$B377,G377:G790)</f>
        <v>0</v>
      </c>
      <c r="H376" s="25">
        <f>SUMIF($B377:$B790,$B377,H377:H790)</f>
        <v>62</v>
      </c>
      <c r="I376" s="23">
        <f>J376/D376</f>
        <v>0</v>
      </c>
      <c r="J376" s="24">
        <f>SUMIF($B377:$B790,$B377,J377:J790)</f>
        <v>0</v>
      </c>
      <c r="K376" s="48">
        <f>SUMIF($B377:$B790,$B377,K377:K790)</f>
        <v>62</v>
      </c>
      <c r="L376" s="49">
        <f>K376-H376</f>
        <v>0</v>
      </c>
    </row>
    <row r="377" spans="1:12" x14ac:dyDescent="0.25">
      <c r="A377" s="2" t="s">
        <v>102</v>
      </c>
      <c r="B377" s="2" t="s">
        <v>418</v>
      </c>
      <c r="C377" s="42" t="str">
        <f t="shared" si="155"/>
        <v>Five O'Clock|Laird &amp; Company</v>
      </c>
      <c r="D377" s="26">
        <f>'[1]2024 Finish'!H369</f>
        <v>62</v>
      </c>
      <c r="E377" s="27" t="e">
        <f>'[1]2024 Finish'!I369</f>
        <v>#DIV/0!</v>
      </c>
      <c r="F377" s="18"/>
      <c r="G377" s="28">
        <f t="shared" ref="G377" si="199">F377*D377</f>
        <v>0</v>
      </c>
      <c r="H377" s="11">
        <f t="shared" ref="H377" si="200">D377+G377</f>
        <v>62</v>
      </c>
      <c r="I377" s="18"/>
      <c r="J377" s="28">
        <f t="shared" si="22"/>
        <v>0</v>
      </c>
      <c r="K377" s="50">
        <f t="shared" si="23"/>
        <v>62</v>
      </c>
      <c r="L377" s="28">
        <f t="shared" si="164"/>
        <v>0</v>
      </c>
    </row>
    <row r="378" spans="1:12" x14ac:dyDescent="0.25">
      <c r="A378" s="20" t="s">
        <v>298</v>
      </c>
      <c r="B378" s="21"/>
      <c r="C378" s="42" t="str">
        <f t="shared" si="155"/>
        <v>Kimo Spirits|</v>
      </c>
      <c r="D378" s="10">
        <f>'[1]2024 Finish'!H370</f>
        <v>103</v>
      </c>
      <c r="E378" s="22" t="e">
        <f>'[1]2024 Finish'!I370</f>
        <v>#DIV/0!</v>
      </c>
      <c r="F378" s="23">
        <f>G378/D378</f>
        <v>0</v>
      </c>
      <c r="G378" s="24">
        <f>SUMIF($B379:$B792,$B379,G379:G792)</f>
        <v>0</v>
      </c>
      <c r="H378" s="25">
        <f>SUMIF($B379:$B792,$B379,H379:H792)</f>
        <v>103</v>
      </c>
      <c r="I378" s="23">
        <f>J378/D378</f>
        <v>1</v>
      </c>
      <c r="J378" s="24">
        <f>SUMIF($B379:$B792,$B379,J379:J792)</f>
        <v>103</v>
      </c>
      <c r="K378" s="48">
        <f>SUMIF($B379:$B792,$B379,K379:K792)</f>
        <v>206</v>
      </c>
      <c r="L378" s="49">
        <f>K378-H378</f>
        <v>103</v>
      </c>
    </row>
    <row r="379" spans="1:12" x14ac:dyDescent="0.25">
      <c r="A379" s="2" t="s">
        <v>23</v>
      </c>
      <c r="B379" s="2" t="s">
        <v>298</v>
      </c>
      <c r="C379" s="42" t="str">
        <f t="shared" si="155"/>
        <v>Trusted Friend Cocktails|Kimo Spirits</v>
      </c>
      <c r="D379" s="26">
        <f>'[1]2024 Finish'!H371</f>
        <v>103</v>
      </c>
      <c r="E379" s="27" t="e">
        <f>'[1]2024 Finish'!I371</f>
        <v>#DIV/0!</v>
      </c>
      <c r="F379" s="18">
        <v>0</v>
      </c>
      <c r="G379" s="28">
        <f t="shared" ref="G379" si="201">F379*D379</f>
        <v>0</v>
      </c>
      <c r="H379" s="11">
        <f t="shared" ref="H379" si="202">D379+G379</f>
        <v>103</v>
      </c>
      <c r="I379" s="18">
        <v>1</v>
      </c>
      <c r="J379" s="28">
        <f t="shared" si="22"/>
        <v>103</v>
      </c>
      <c r="K379" s="50">
        <f t="shared" si="23"/>
        <v>206</v>
      </c>
      <c r="L379" s="28">
        <f t="shared" si="164"/>
        <v>103</v>
      </c>
    </row>
    <row r="380" spans="1:12" x14ac:dyDescent="0.25">
      <c r="A380" s="20" t="s">
        <v>97</v>
      </c>
      <c r="B380" s="21"/>
      <c r="C380" s="42" t="str">
        <f t="shared" si="155"/>
        <v>GUSH INC|</v>
      </c>
      <c r="D380" s="10">
        <f>'[1]2024 Finish'!H372</f>
        <v>136</v>
      </c>
      <c r="E380" s="22" t="e">
        <f>'[1]2024 Finish'!I372</f>
        <v>#DIV/0!</v>
      </c>
      <c r="F380" s="23">
        <f>G380/D380</f>
        <v>0</v>
      </c>
      <c r="G380" s="24">
        <f>SUMIF($B381:$B794,$B381,G381:G794)</f>
        <v>0</v>
      </c>
      <c r="H380" s="25">
        <f>SUMIF($B381:$B794,$B381,H381:H794)</f>
        <v>136</v>
      </c>
      <c r="I380" s="23">
        <f>J380/D380</f>
        <v>5</v>
      </c>
      <c r="J380" s="24">
        <f>SUMIF($B381:$B794,$B381,J381:J794)</f>
        <v>680</v>
      </c>
      <c r="K380" s="48">
        <f>SUMIF($B381:$B794,$B381,K381:K794)</f>
        <v>816</v>
      </c>
      <c r="L380" s="49">
        <f>K380-H380</f>
        <v>680</v>
      </c>
    </row>
    <row r="381" spans="1:12" x14ac:dyDescent="0.25">
      <c r="A381" s="2" t="s">
        <v>272</v>
      </c>
      <c r="B381" s="2" t="s">
        <v>97</v>
      </c>
      <c r="C381" s="42" t="str">
        <f t="shared" si="155"/>
        <v>Gush|GUSH INC</v>
      </c>
      <c r="D381" s="26">
        <f>'[1]2024 Finish'!H373</f>
        <v>136</v>
      </c>
      <c r="E381" s="27" t="e">
        <f>'[1]2024 Finish'!I373</f>
        <v>#DIV/0!</v>
      </c>
      <c r="F381" s="18"/>
      <c r="G381" s="28">
        <f t="shared" ref="G381" si="203">F381*D381</f>
        <v>0</v>
      </c>
      <c r="H381" s="11">
        <f t="shared" ref="H381" si="204">D381+G381</f>
        <v>136</v>
      </c>
      <c r="I381" s="18">
        <v>5</v>
      </c>
      <c r="J381" s="28">
        <f t="shared" si="22"/>
        <v>680</v>
      </c>
      <c r="K381" s="50">
        <f t="shared" si="23"/>
        <v>816</v>
      </c>
      <c r="L381" s="28">
        <f t="shared" si="164"/>
        <v>680</v>
      </c>
    </row>
    <row r="382" spans="1:12" x14ac:dyDescent="0.25">
      <c r="A382" s="20" t="s">
        <v>249</v>
      </c>
      <c r="B382" s="21"/>
      <c r="C382" s="42" t="str">
        <f t="shared" si="155"/>
        <v>Garage Beer|</v>
      </c>
      <c r="D382" s="10">
        <f>'[1]2024 Finish'!H374</f>
        <v>4068</v>
      </c>
      <c r="E382" s="22" t="e">
        <f>'[1]2024 Finish'!I374</f>
        <v>#DIV/0!</v>
      </c>
      <c r="F382" s="23">
        <f>G382/D382</f>
        <v>2.5</v>
      </c>
      <c r="G382" s="24">
        <f>SUMIF($B383:$B796,$B383,G383:G796)</f>
        <v>10170</v>
      </c>
      <c r="H382" s="25">
        <f>SUMIF($B383:$B796,$B383,H383:H796)</f>
        <v>14238</v>
      </c>
      <c r="I382" s="23">
        <f>J382/D382</f>
        <v>2.5</v>
      </c>
      <c r="J382" s="24">
        <f>SUMIF($B383:$B796,$B383,J383:J796)</f>
        <v>10170</v>
      </c>
      <c r="K382" s="48">
        <f>SUMIF($B383:$B796,$B383,K383:K796)</f>
        <v>14238</v>
      </c>
      <c r="L382" s="49">
        <f>K382-H382</f>
        <v>0</v>
      </c>
    </row>
    <row r="383" spans="1:12" x14ac:dyDescent="0.25">
      <c r="A383" s="2" t="s">
        <v>249</v>
      </c>
      <c r="B383" s="2" t="s">
        <v>249</v>
      </c>
      <c r="C383" s="42" t="str">
        <f t="shared" si="155"/>
        <v>Garage Beer|Garage Beer</v>
      </c>
      <c r="D383" s="26">
        <f>'[1]2024 Finish'!H375</f>
        <v>4068</v>
      </c>
      <c r="E383" s="27" t="e">
        <f>'[1]2024 Finish'!I375</f>
        <v>#DIV/0!</v>
      </c>
      <c r="F383" s="18">
        <v>2.5</v>
      </c>
      <c r="G383" s="28">
        <f t="shared" ref="G383" si="205">F383*D383</f>
        <v>10170</v>
      </c>
      <c r="H383" s="11">
        <f t="shared" ref="H383" si="206">D383+G383</f>
        <v>14238</v>
      </c>
      <c r="I383" s="18">
        <v>2.5</v>
      </c>
      <c r="J383" s="28">
        <f t="shared" si="22"/>
        <v>10170</v>
      </c>
      <c r="K383" s="50">
        <f t="shared" si="23"/>
        <v>14238</v>
      </c>
      <c r="L383" s="28">
        <f t="shared" si="164"/>
        <v>0</v>
      </c>
    </row>
    <row r="384" spans="1:12" x14ac:dyDescent="0.25">
      <c r="A384" s="20" t="s">
        <v>95</v>
      </c>
      <c r="B384" s="21"/>
      <c r="C384" s="42" t="str">
        <f t="shared" si="155"/>
        <v>Food &amp; Bev Enterprise LLC|</v>
      </c>
      <c r="D384" s="10">
        <f>'[1]2024 Finish'!H376</f>
        <v>5104</v>
      </c>
      <c r="E384" s="22" t="e">
        <f>'[1]2024 Finish'!I376</f>
        <v>#DIV/0!</v>
      </c>
      <c r="F384" s="23">
        <f>G384/D384</f>
        <v>0</v>
      </c>
      <c r="G384" s="24">
        <f>SUMIF($B385:$B798,$B385,G385:G798)</f>
        <v>0</v>
      </c>
      <c r="H384" s="25">
        <f>SUMIF($B385:$B798,$B385,H385:H798)</f>
        <v>5104</v>
      </c>
      <c r="I384" s="23">
        <f>J384/D384</f>
        <v>0</v>
      </c>
      <c r="J384" s="24">
        <f>SUMIF($B385:$B798,$B385,J385:J798)</f>
        <v>0</v>
      </c>
      <c r="K384" s="48">
        <f>SUMIF($B385:$B798,$B385,K385:K798)</f>
        <v>10000</v>
      </c>
      <c r="L384" s="49">
        <f>K384-H384</f>
        <v>4896</v>
      </c>
    </row>
    <row r="385" spans="1:12" x14ac:dyDescent="0.25">
      <c r="A385" s="2" t="s">
        <v>96</v>
      </c>
      <c r="B385" s="2" t="s">
        <v>95</v>
      </c>
      <c r="C385" s="42" t="str">
        <f t="shared" si="155"/>
        <v>Poker Import|Food &amp; Bev Enterprise LLC</v>
      </c>
      <c r="D385" s="26">
        <f>'[1]2024 Finish'!H377</f>
        <v>1827</v>
      </c>
      <c r="E385" s="27" t="e">
        <f>'[1]2024 Finish'!I377</f>
        <v>#DIV/0!</v>
      </c>
      <c r="F385" s="18"/>
      <c r="G385" s="28">
        <f t="shared" ref="G385:G388" si="207">F385*D385</f>
        <v>0</v>
      </c>
      <c r="H385" s="11">
        <f t="shared" ref="H385:H388" si="208">D385+G385</f>
        <v>1827</v>
      </c>
      <c r="I385" s="18"/>
      <c r="J385" s="28">
        <f t="shared" si="22"/>
        <v>0</v>
      </c>
      <c r="K385" s="50">
        <v>3500</v>
      </c>
      <c r="L385" s="28">
        <f t="shared" si="164"/>
        <v>1673</v>
      </c>
    </row>
    <row r="386" spans="1:12" x14ac:dyDescent="0.25">
      <c r="A386" s="2" t="s">
        <v>226</v>
      </c>
      <c r="B386" s="2" t="s">
        <v>95</v>
      </c>
      <c r="C386" s="42" t="str">
        <f t="shared" si="155"/>
        <v>Food &amp; Bev|Food &amp; Bev Enterprise LLC</v>
      </c>
      <c r="D386" s="26">
        <f>'[1]2024 Finish'!H378</f>
        <v>1399</v>
      </c>
      <c r="E386" s="27" t="e">
        <f>'[1]2024 Finish'!I378</f>
        <v>#DIV/0!</v>
      </c>
      <c r="F386" s="18"/>
      <c r="G386" s="28">
        <f t="shared" si="207"/>
        <v>0</v>
      </c>
      <c r="H386" s="11">
        <f t="shared" si="208"/>
        <v>1399</v>
      </c>
      <c r="I386" s="18"/>
      <c r="J386" s="28">
        <f t="shared" si="22"/>
        <v>0</v>
      </c>
      <c r="K386" s="50">
        <v>3000</v>
      </c>
      <c r="L386" s="28">
        <f t="shared" si="164"/>
        <v>1601</v>
      </c>
    </row>
    <row r="387" spans="1:12" x14ac:dyDescent="0.25">
      <c r="A387" s="2" t="s">
        <v>322</v>
      </c>
      <c r="B387" s="2" t="s">
        <v>95</v>
      </c>
      <c r="C387" s="42" t="str">
        <f t="shared" si="155"/>
        <v>Costenita|Food &amp; Bev Enterprise LLC</v>
      </c>
      <c r="D387" s="26">
        <f>'[1]2024 Finish'!H379</f>
        <v>275</v>
      </c>
      <c r="E387" s="27" t="e">
        <f>'[1]2024 Finish'!I379</f>
        <v>#DIV/0!</v>
      </c>
      <c r="F387" s="18"/>
      <c r="G387" s="28">
        <f t="shared" si="207"/>
        <v>0</v>
      </c>
      <c r="H387" s="11">
        <f t="shared" si="208"/>
        <v>275</v>
      </c>
      <c r="I387" s="18"/>
      <c r="J387" s="28">
        <f t="shared" si="22"/>
        <v>0</v>
      </c>
      <c r="K387" s="50">
        <v>500</v>
      </c>
      <c r="L387" s="28">
        <f t="shared" si="164"/>
        <v>225</v>
      </c>
    </row>
    <row r="388" spans="1:12" x14ac:dyDescent="0.25">
      <c r="A388" s="2" t="s">
        <v>144</v>
      </c>
      <c r="B388" s="2" t="s">
        <v>95</v>
      </c>
      <c r="C388" s="42" t="str">
        <f t="shared" si="155"/>
        <v>Aguila Import|Food &amp; Bev Enterprise LLC</v>
      </c>
      <c r="D388" s="26">
        <f>'[1]2024 Finish'!H380</f>
        <v>1603</v>
      </c>
      <c r="E388" s="27" t="e">
        <f>'[1]2024 Finish'!I380</f>
        <v>#DIV/0!</v>
      </c>
      <c r="F388" s="18"/>
      <c r="G388" s="28">
        <f t="shared" si="207"/>
        <v>0</v>
      </c>
      <c r="H388" s="11">
        <f t="shared" si="208"/>
        <v>1603</v>
      </c>
      <c r="I388" s="18"/>
      <c r="J388" s="28">
        <f t="shared" si="22"/>
        <v>0</v>
      </c>
      <c r="K388" s="50">
        <v>3000</v>
      </c>
      <c r="L388" s="28">
        <f t="shared" si="164"/>
        <v>1397</v>
      </c>
    </row>
    <row r="389" spans="1:12" x14ac:dyDescent="0.25">
      <c r="A389" s="20" t="s">
        <v>303</v>
      </c>
      <c r="B389" s="21"/>
      <c r="C389" s="42" t="str">
        <f t="shared" ref="C389:C425" si="209">A389 &amp; "|" &amp; B389</f>
        <v>Florida Caribbean Distillers LLC|</v>
      </c>
      <c r="D389" s="10">
        <f>'[1]2024 Finish'!H381</f>
        <v>0</v>
      </c>
      <c r="E389" s="22">
        <f>'[1]2024 Finish'!I381</f>
        <v>-1</v>
      </c>
      <c r="F389" s="23" t="e">
        <f>G389/D389</f>
        <v>#DIV/0!</v>
      </c>
      <c r="G389" s="24">
        <f>SUMIF($B390:$B803,$B390,G390:G803)</f>
        <v>0</v>
      </c>
      <c r="H389" s="25">
        <f>SUMIF($B390:$B803,$B390,H390:H803)</f>
        <v>0</v>
      </c>
      <c r="I389" s="23" t="e">
        <f>J389/D389</f>
        <v>#DIV/0!</v>
      </c>
      <c r="J389" s="24">
        <f>SUMIF($B390:$B803,$B390,J390:J803)</f>
        <v>0</v>
      </c>
      <c r="K389" s="48">
        <f>SUMIF($B390:$B803,$B390,K390:K803)</f>
        <v>0</v>
      </c>
      <c r="L389" s="49">
        <f>K389-H389</f>
        <v>0</v>
      </c>
    </row>
    <row r="390" spans="1:12" x14ac:dyDescent="0.25">
      <c r="A390" s="2" t="s">
        <v>257</v>
      </c>
      <c r="B390" s="2" t="s">
        <v>303</v>
      </c>
      <c r="C390" s="42" t="str">
        <f t="shared" si="209"/>
        <v>Capriccio|Florida Caribbean Distillers LLC</v>
      </c>
      <c r="D390" s="26">
        <f>'[1]2024 Finish'!H382</f>
        <v>0</v>
      </c>
      <c r="E390" s="27">
        <f>'[1]2024 Finish'!I382</f>
        <v>-1</v>
      </c>
      <c r="F390" s="18"/>
      <c r="G390" s="28">
        <f t="shared" ref="G390" si="210">F390*D390</f>
        <v>0</v>
      </c>
      <c r="H390" s="11">
        <f t="shared" ref="H390" si="211">D390+G390</f>
        <v>0</v>
      </c>
      <c r="I390" s="18"/>
      <c r="J390" s="28">
        <f t="shared" si="22"/>
        <v>0</v>
      </c>
      <c r="K390" s="50">
        <f t="shared" si="23"/>
        <v>0</v>
      </c>
      <c r="L390" s="28">
        <f t="shared" si="164"/>
        <v>0</v>
      </c>
    </row>
    <row r="391" spans="1:12" x14ac:dyDescent="0.25">
      <c r="A391" s="20" t="s">
        <v>231</v>
      </c>
      <c r="B391" s="21"/>
      <c r="C391" s="42" t="str">
        <f t="shared" si="209"/>
        <v>Ever Grand Group LLC|</v>
      </c>
      <c r="D391" s="10">
        <f>'[1]2024 Finish'!H383</f>
        <v>442</v>
      </c>
      <c r="E391" s="22" t="e">
        <f>'[1]2024 Finish'!I383</f>
        <v>#DIV/0!</v>
      </c>
      <c r="F391" s="23">
        <f>G391/D391</f>
        <v>0</v>
      </c>
      <c r="G391" s="24">
        <f>SUMIF($B392:$B805,$B392,G392:G805)</f>
        <v>0</v>
      </c>
      <c r="H391" s="25">
        <f>SUMIF($B392:$B805,$B392,H392:H805)</f>
        <v>442</v>
      </c>
      <c r="I391" s="23">
        <f>J391/D391</f>
        <v>0.2</v>
      </c>
      <c r="J391" s="24">
        <f>SUMIF($B392:$B805,$B392,J392:J805)</f>
        <v>88.4</v>
      </c>
      <c r="K391" s="48">
        <f>SUMIF($B392:$B805,$B392,K392:K805)</f>
        <v>530.4</v>
      </c>
      <c r="L391" s="49">
        <f>K391-H391</f>
        <v>88.399999999999977</v>
      </c>
    </row>
    <row r="392" spans="1:12" x14ac:dyDescent="0.25">
      <c r="A392" s="2" t="s">
        <v>232</v>
      </c>
      <c r="B392" s="2" t="s">
        <v>231</v>
      </c>
      <c r="C392" s="42" t="str">
        <f t="shared" si="209"/>
        <v>Snow Beer|Ever Grand Group LLC</v>
      </c>
      <c r="D392" s="26">
        <f>'[1]2024 Finish'!H384</f>
        <v>442</v>
      </c>
      <c r="E392" s="27" t="e">
        <f>'[1]2024 Finish'!I384</f>
        <v>#DIV/0!</v>
      </c>
      <c r="F392" s="18"/>
      <c r="G392" s="28">
        <f t="shared" ref="G392" si="212">F392*D392</f>
        <v>0</v>
      </c>
      <c r="H392" s="11">
        <f t="shared" ref="H392" si="213">D392+G392</f>
        <v>442</v>
      </c>
      <c r="I392" s="18">
        <v>0.2</v>
      </c>
      <c r="J392" s="28">
        <f t="shared" si="22"/>
        <v>88.4</v>
      </c>
      <c r="K392" s="50">
        <f t="shared" si="23"/>
        <v>530.4</v>
      </c>
      <c r="L392" s="28">
        <f t="shared" si="164"/>
        <v>88.399999999999977</v>
      </c>
    </row>
    <row r="393" spans="1:12" x14ac:dyDescent="0.25">
      <c r="A393" s="20" t="s">
        <v>461</v>
      </c>
      <c r="B393" s="21"/>
      <c r="C393" s="42" t="str">
        <f t="shared" si="209"/>
        <v>Ennoble Beverages|</v>
      </c>
      <c r="D393" s="10">
        <f>'[1]2024 Finish'!H385</f>
        <v>0</v>
      </c>
      <c r="E393" s="22">
        <f>'[1]2024 Finish'!I385</f>
        <v>-1</v>
      </c>
      <c r="F393" s="23" t="e">
        <f>G393/D393</f>
        <v>#DIV/0!</v>
      </c>
      <c r="G393" s="24">
        <f>SUMIF($B394:$B807,$B394,G394:G807)</f>
        <v>0</v>
      </c>
      <c r="H393" s="25">
        <f>SUMIF($B394:$B807,$B394,H394:H807)</f>
        <v>0</v>
      </c>
      <c r="I393" s="23" t="e">
        <f>J393/D393</f>
        <v>#DIV/0!</v>
      </c>
      <c r="J393" s="24">
        <f>SUMIF($B394:$B807,$B394,J394:J807)</f>
        <v>0</v>
      </c>
      <c r="K393" s="48">
        <f>SUMIF($B394:$B807,$B394,K394:K807)</f>
        <v>0</v>
      </c>
      <c r="L393" s="49">
        <f>K393-H393</f>
        <v>0</v>
      </c>
    </row>
    <row r="394" spans="1:12" x14ac:dyDescent="0.25">
      <c r="A394" s="2" t="s">
        <v>462</v>
      </c>
      <c r="B394" s="2" t="s">
        <v>461</v>
      </c>
      <c r="C394" s="42" t="str">
        <f t="shared" si="209"/>
        <v>Tgi Fridays|Ennoble Beverages</v>
      </c>
      <c r="D394" s="26">
        <f>'[1]2024 Finish'!H386</f>
        <v>0</v>
      </c>
      <c r="E394" s="27">
        <f>'[1]2024 Finish'!I386</f>
        <v>-1</v>
      </c>
      <c r="F394" s="18"/>
      <c r="G394" s="28">
        <f t="shared" ref="G394:G395" si="214">F394*D394</f>
        <v>0</v>
      </c>
      <c r="H394" s="11">
        <f t="shared" ref="H394:H395" si="215">D394+G394</f>
        <v>0</v>
      </c>
      <c r="I394" s="18"/>
      <c r="J394" s="28">
        <f t="shared" si="22"/>
        <v>0</v>
      </c>
      <c r="K394" s="50">
        <f t="shared" si="23"/>
        <v>0</v>
      </c>
      <c r="L394" s="28">
        <f t="shared" si="164"/>
        <v>0</v>
      </c>
    </row>
    <row r="395" spans="1:12" x14ac:dyDescent="0.25">
      <c r="A395" s="2" t="s">
        <v>463</v>
      </c>
      <c r="B395" s="2" t="s">
        <v>461</v>
      </c>
      <c r="C395" s="42" t="str">
        <f t="shared" si="209"/>
        <v>Franks|Ennoble Beverages</v>
      </c>
      <c r="D395" s="26">
        <f>'[1]2024 Finish'!H387</f>
        <v>0</v>
      </c>
      <c r="E395" s="27">
        <f>'[1]2024 Finish'!I387</f>
        <v>-1</v>
      </c>
      <c r="F395" s="18"/>
      <c r="G395" s="28">
        <f t="shared" si="214"/>
        <v>0</v>
      </c>
      <c r="H395" s="11">
        <f t="shared" si="215"/>
        <v>0</v>
      </c>
      <c r="I395" s="18"/>
      <c r="J395" s="28">
        <f t="shared" si="22"/>
        <v>0</v>
      </c>
      <c r="K395" s="50">
        <f t="shared" si="23"/>
        <v>0</v>
      </c>
      <c r="L395" s="28">
        <f t="shared" si="164"/>
        <v>0</v>
      </c>
    </row>
    <row r="396" spans="1:12" x14ac:dyDescent="0.25">
      <c r="A396" s="20" t="s">
        <v>174</v>
      </c>
      <c r="B396" s="21"/>
      <c r="C396" s="42" t="str">
        <f t="shared" si="209"/>
        <v>Emergent Beverage Partners|</v>
      </c>
      <c r="D396" s="10">
        <f>'[1]2024 Finish'!H388</f>
        <v>135</v>
      </c>
      <c r="E396" s="22" t="e">
        <f>'[1]2024 Finish'!I388</f>
        <v>#DIV/0!</v>
      </c>
      <c r="F396" s="23">
        <f>G396/D396</f>
        <v>0</v>
      </c>
      <c r="G396" s="24">
        <f>SUMIF($B397:$B810,$B397,G397:G810)</f>
        <v>0</v>
      </c>
      <c r="H396" s="25">
        <f>SUMIF($B397:$B810,$B397,H397:H810)</f>
        <v>800</v>
      </c>
      <c r="I396" s="23">
        <f>J396/D396</f>
        <v>0</v>
      </c>
      <c r="J396" s="24">
        <f>SUMIF($B397:$B810,$B397,J397:J810)</f>
        <v>0</v>
      </c>
      <c r="K396" s="48">
        <f>SUMIF($B397:$B810,$B397,K397:K810)</f>
        <v>800</v>
      </c>
      <c r="L396" s="49">
        <f>K396-H396</f>
        <v>0</v>
      </c>
    </row>
    <row r="397" spans="1:12" x14ac:dyDescent="0.25">
      <c r="A397" s="2" t="s">
        <v>175</v>
      </c>
      <c r="B397" s="2" t="s">
        <v>174</v>
      </c>
      <c r="C397" s="42" t="str">
        <f t="shared" si="209"/>
        <v>Hectare's|Emergent Beverage Partners</v>
      </c>
      <c r="D397" s="26">
        <f>'[1]2024 Finish'!H389</f>
        <v>76</v>
      </c>
      <c r="E397" s="27" t="e">
        <f>'[1]2024 Finish'!I389</f>
        <v>#DIV/0!</v>
      </c>
      <c r="F397" s="18"/>
      <c r="G397" s="28">
        <f t="shared" ref="G397:G398" si="216">F397*D397</f>
        <v>0</v>
      </c>
      <c r="H397" s="11">
        <v>400</v>
      </c>
      <c r="I397" s="18"/>
      <c r="J397" s="28">
        <f t="shared" si="22"/>
        <v>0</v>
      </c>
      <c r="K397" s="50">
        <v>400</v>
      </c>
      <c r="L397" s="28">
        <f t="shared" ref="L397:L425" si="217">K397-H397</f>
        <v>0</v>
      </c>
    </row>
    <row r="398" spans="1:12" x14ac:dyDescent="0.25">
      <c r="A398" s="2" t="s">
        <v>359</v>
      </c>
      <c r="B398" s="2" t="s">
        <v>174</v>
      </c>
      <c r="C398" s="42" t="str">
        <f t="shared" si="209"/>
        <v>Crooked Beverage|Emergent Beverage Partners</v>
      </c>
      <c r="D398" s="26">
        <f>'[1]2024 Finish'!H390</f>
        <v>59</v>
      </c>
      <c r="E398" s="27" t="e">
        <f>'[1]2024 Finish'!I390</f>
        <v>#DIV/0!</v>
      </c>
      <c r="F398" s="18"/>
      <c r="G398" s="28">
        <f t="shared" si="216"/>
        <v>0</v>
      </c>
      <c r="H398" s="11">
        <v>400</v>
      </c>
      <c r="I398" s="18"/>
      <c r="J398" s="28">
        <f t="shared" si="22"/>
        <v>0</v>
      </c>
      <c r="K398" s="50">
        <v>400</v>
      </c>
      <c r="L398" s="28">
        <f t="shared" si="217"/>
        <v>0</v>
      </c>
    </row>
    <row r="399" spans="1:12" x14ac:dyDescent="0.25">
      <c r="A399" s="2" t="s">
        <v>464</v>
      </c>
      <c r="B399" s="2"/>
      <c r="C399" s="42" t="str">
        <f t="shared" si="209"/>
        <v>Boldt|</v>
      </c>
      <c r="D399" s="26"/>
      <c r="E399" s="27"/>
      <c r="F399" s="18"/>
      <c r="G399" s="28"/>
      <c r="H399" s="11">
        <v>400</v>
      </c>
      <c r="I399" s="18"/>
      <c r="J399" s="28"/>
      <c r="K399" s="50">
        <v>400</v>
      </c>
      <c r="L399" s="28"/>
    </row>
    <row r="400" spans="1:12" x14ac:dyDescent="0.25">
      <c r="A400" s="2" t="s">
        <v>465</v>
      </c>
      <c r="B400" s="2"/>
      <c r="C400" s="42" t="str">
        <f t="shared" si="209"/>
        <v>Lark|</v>
      </c>
      <c r="D400" s="26"/>
      <c r="E400" s="27"/>
      <c r="F400" s="18"/>
      <c r="G400" s="28"/>
      <c r="H400" s="11">
        <v>400</v>
      </c>
      <c r="I400" s="18"/>
      <c r="J400" s="28"/>
      <c r="K400" s="50">
        <v>400</v>
      </c>
      <c r="L400" s="28"/>
    </row>
    <row r="401" spans="1:12" x14ac:dyDescent="0.25">
      <c r="A401" s="20" t="s">
        <v>466</v>
      </c>
      <c r="B401" s="21"/>
      <c r="C401" s="42" t="str">
        <f t="shared" si="209"/>
        <v>Brewts|</v>
      </c>
      <c r="D401" s="10">
        <v>0</v>
      </c>
      <c r="E401" s="22">
        <v>0</v>
      </c>
      <c r="F401" s="23" t="e">
        <f>G401/D401</f>
        <v>#DIV/0!</v>
      </c>
      <c r="G401" s="24">
        <f>SUMIF($B402:$B811,$B402,G402:G811)</f>
        <v>0</v>
      </c>
      <c r="H401" s="25">
        <f>SUMIF($B402:$B811,$B402,H402:H811)</f>
        <v>0</v>
      </c>
      <c r="I401" s="23" t="e">
        <f>J401/D401</f>
        <v>#DIV/0!</v>
      </c>
      <c r="J401" s="24">
        <f>SUMIF($B402:$B811,$B402,J402:J811)</f>
        <v>0</v>
      </c>
      <c r="K401" s="48">
        <f>SUMIF($B402:$B811,$B402,K402:K811)</f>
        <v>500</v>
      </c>
      <c r="L401" s="49">
        <f>K401-H401</f>
        <v>500</v>
      </c>
    </row>
    <row r="402" spans="1:12" x14ac:dyDescent="0.25">
      <c r="A402" s="2" t="s">
        <v>466</v>
      </c>
      <c r="B402" s="2" t="s">
        <v>466</v>
      </c>
      <c r="C402" s="42" t="str">
        <f t="shared" si="209"/>
        <v>Brewts|Brewts</v>
      </c>
      <c r="D402" s="26">
        <v>0</v>
      </c>
      <c r="E402" s="27">
        <v>0</v>
      </c>
      <c r="F402" s="18"/>
      <c r="G402" s="28">
        <f t="shared" ref="G402" si="218">F402*D402</f>
        <v>0</v>
      </c>
      <c r="H402" s="11">
        <f t="shared" ref="H402" si="219">D402+G402</f>
        <v>0</v>
      </c>
      <c r="I402" s="18"/>
      <c r="J402" s="28">
        <f t="shared" ref="J402" si="220">I402*D402</f>
        <v>0</v>
      </c>
      <c r="K402" s="50">
        <v>500</v>
      </c>
      <c r="L402" s="28">
        <f t="shared" ref="L402" si="221">K402-H402</f>
        <v>500</v>
      </c>
    </row>
    <row r="403" spans="1:12" x14ac:dyDescent="0.25">
      <c r="A403" s="20" t="s">
        <v>467</v>
      </c>
      <c r="B403" s="21"/>
      <c r="C403" s="42" t="str">
        <f t="shared" si="209"/>
        <v>Buzbees|</v>
      </c>
      <c r="D403" s="10">
        <v>0</v>
      </c>
      <c r="E403" s="22">
        <v>0</v>
      </c>
      <c r="F403" s="23" t="e">
        <f>G403/D403</f>
        <v>#DIV/0!</v>
      </c>
      <c r="G403" s="24">
        <f>SUMIF($B404:$B811,$B404,G404:G811)</f>
        <v>0</v>
      </c>
      <c r="H403" s="25">
        <f>SUMIF($B404:$B811,$B404,H404:H811)</f>
        <v>0</v>
      </c>
      <c r="I403" s="23" t="e">
        <f>J403/D403</f>
        <v>#DIV/0!</v>
      </c>
      <c r="J403" s="24">
        <f>SUMIF($B404:$B811,$B404,J404:J811)</f>
        <v>0</v>
      </c>
      <c r="K403" s="48">
        <f>SUMIF($B404:$B811,$B404,K404:K811)</f>
        <v>500</v>
      </c>
      <c r="L403" s="49">
        <f>K403-H403</f>
        <v>500</v>
      </c>
    </row>
    <row r="404" spans="1:12" x14ac:dyDescent="0.25">
      <c r="A404" s="2" t="s">
        <v>467</v>
      </c>
      <c r="B404" s="2" t="s">
        <v>467</v>
      </c>
      <c r="C404" s="42" t="str">
        <f t="shared" si="209"/>
        <v>Buzbees|Buzbees</v>
      </c>
      <c r="D404" s="26">
        <v>0</v>
      </c>
      <c r="E404" s="27">
        <v>0</v>
      </c>
      <c r="F404" s="18"/>
      <c r="G404" s="28">
        <f t="shared" ref="G404" si="222">F404*D404</f>
        <v>0</v>
      </c>
      <c r="H404" s="11">
        <f t="shared" ref="H404" si="223">D404+G404</f>
        <v>0</v>
      </c>
      <c r="I404" s="18"/>
      <c r="J404" s="28">
        <f t="shared" ref="J404" si="224">I404*D404</f>
        <v>0</v>
      </c>
      <c r="K404" s="50">
        <v>500</v>
      </c>
      <c r="L404" s="28">
        <f t="shared" ref="L404" si="225">K404-H404</f>
        <v>500</v>
      </c>
    </row>
    <row r="405" spans="1:12" x14ac:dyDescent="0.25">
      <c r="A405" s="20" t="s">
        <v>468</v>
      </c>
      <c r="B405" s="21"/>
      <c r="C405" s="42" t="str">
        <f t="shared" si="209"/>
        <v>Bardstown|</v>
      </c>
      <c r="D405" s="10">
        <v>0</v>
      </c>
      <c r="E405" s="22">
        <v>0</v>
      </c>
      <c r="F405" s="23" t="e">
        <f>G405/D405</f>
        <v>#DIV/0!</v>
      </c>
      <c r="G405" s="24">
        <f>SUMIF($B406:$B813,$B406,G406:G813)</f>
        <v>0</v>
      </c>
      <c r="H405" s="25">
        <f>SUMIF($B406:$B813,$B406,H406:H813)</f>
        <v>1500</v>
      </c>
      <c r="I405" s="23" t="e">
        <f>J405/D405</f>
        <v>#DIV/0!</v>
      </c>
      <c r="J405" s="24">
        <f>SUMIF($B406:$B813,$B406,J406:J813)</f>
        <v>0</v>
      </c>
      <c r="K405" s="48">
        <f>SUMIF($B406:$B813,$B406,K406:K813)</f>
        <v>1500</v>
      </c>
      <c r="L405" s="49">
        <f>K405-H405</f>
        <v>0</v>
      </c>
    </row>
    <row r="406" spans="1:12" x14ac:dyDescent="0.25">
      <c r="A406" s="2" t="s">
        <v>468</v>
      </c>
      <c r="B406" s="2" t="s">
        <v>468</v>
      </c>
      <c r="C406" s="42" t="str">
        <f t="shared" si="209"/>
        <v>Bardstown|Bardstown</v>
      </c>
      <c r="D406" s="26">
        <v>0</v>
      </c>
      <c r="E406" s="27">
        <v>0</v>
      </c>
      <c r="F406" s="18"/>
      <c r="G406" s="28">
        <f t="shared" ref="G406" si="226">F406*D406</f>
        <v>0</v>
      </c>
      <c r="H406" s="11">
        <v>1500</v>
      </c>
      <c r="I406" s="18"/>
      <c r="J406" s="28">
        <f t="shared" ref="J406" si="227">I406*D406</f>
        <v>0</v>
      </c>
      <c r="K406" s="50">
        <v>1500</v>
      </c>
      <c r="L406" s="28">
        <f t="shared" ref="L406" si="228">K406-H406</f>
        <v>0</v>
      </c>
    </row>
    <row r="407" spans="1:12" x14ac:dyDescent="0.25">
      <c r="A407" s="20" t="s">
        <v>199</v>
      </c>
      <c r="B407" s="21"/>
      <c r="C407" s="42" t="str">
        <f t="shared" si="209"/>
        <v>Efes|</v>
      </c>
      <c r="D407" s="10">
        <f>'[1]2024 Finish'!H391</f>
        <v>396</v>
      </c>
      <c r="E407" s="22">
        <f>'[1]2024 Finish'!I391</f>
        <v>1.1967365769576399</v>
      </c>
      <c r="F407" s="23">
        <f>G407/D407</f>
        <v>0</v>
      </c>
      <c r="G407" s="24">
        <f>SUMIF($B408:$B813,$B408,G408:G813)</f>
        <v>0</v>
      </c>
      <c r="H407" s="25">
        <f>SUMIF($B408:$B813,$B408,H408:H813)</f>
        <v>396</v>
      </c>
      <c r="I407" s="23">
        <f>J407/D407</f>
        <v>0</v>
      </c>
      <c r="J407" s="24">
        <f>SUMIF($B408:$B813,$B408,J408:J813)</f>
        <v>0</v>
      </c>
      <c r="K407" s="48">
        <f>SUMIF($B408:$B813,$B408,K408:K813)</f>
        <v>396</v>
      </c>
      <c r="L407" s="49">
        <f>K407-H407</f>
        <v>0</v>
      </c>
    </row>
    <row r="408" spans="1:12" x14ac:dyDescent="0.25">
      <c r="A408" s="2" t="s">
        <v>199</v>
      </c>
      <c r="B408" s="2" t="s">
        <v>199</v>
      </c>
      <c r="C408" s="42" t="str">
        <f t="shared" si="209"/>
        <v>Efes|Efes</v>
      </c>
      <c r="D408" s="26">
        <f>'[1]2024 Finish'!H392</f>
        <v>396</v>
      </c>
      <c r="E408" s="27">
        <f>'[1]2024 Finish'!I392</f>
        <v>1.1967365769576399</v>
      </c>
      <c r="F408" s="18"/>
      <c r="G408" s="28">
        <f t="shared" ref="G408" si="229">F408*D408</f>
        <v>0</v>
      </c>
      <c r="H408" s="11">
        <f t="shared" ref="H408" si="230">D408+G408</f>
        <v>396</v>
      </c>
      <c r="I408" s="18"/>
      <c r="J408" s="28">
        <f t="shared" si="22"/>
        <v>0</v>
      </c>
      <c r="K408" s="50">
        <f t="shared" si="23"/>
        <v>396</v>
      </c>
      <c r="L408" s="28">
        <f t="shared" si="217"/>
        <v>0</v>
      </c>
    </row>
    <row r="409" spans="1:12" x14ac:dyDescent="0.25">
      <c r="A409" s="20" t="s">
        <v>469</v>
      </c>
      <c r="B409" s="21"/>
      <c r="C409" s="42" t="str">
        <f t="shared" si="209"/>
        <v>Coastal Spritz|</v>
      </c>
      <c r="D409" s="10">
        <f>'[1]2024 Finish'!H393</f>
        <v>0</v>
      </c>
      <c r="E409" s="22">
        <f>'[1]2024 Finish'!I393</f>
        <v>-1</v>
      </c>
      <c r="F409" s="23" t="e">
        <f>G409/D409</f>
        <v>#DIV/0!</v>
      </c>
      <c r="G409" s="24">
        <f>SUMIF($B410:$B815,$B410,G410:G815)</f>
        <v>0</v>
      </c>
      <c r="H409" s="25">
        <f>SUMIF($B410:$B815,$B410,H410:H815)</f>
        <v>0</v>
      </c>
      <c r="I409" s="23" t="e">
        <f>J409/D409</f>
        <v>#DIV/0!</v>
      </c>
      <c r="J409" s="24">
        <f>SUMIF($B410:$B815,$B410,J410:J815)</f>
        <v>0</v>
      </c>
      <c r="K409" s="48">
        <f>SUMIF($B410:$B815,$B410,K410:K815)</f>
        <v>0</v>
      </c>
      <c r="L409" s="49">
        <f>K409-H409</f>
        <v>0</v>
      </c>
    </row>
    <row r="410" spans="1:12" x14ac:dyDescent="0.25">
      <c r="A410" s="2" t="s">
        <v>469</v>
      </c>
      <c r="B410" s="2" t="s">
        <v>469</v>
      </c>
      <c r="C410" s="42" t="str">
        <f t="shared" si="209"/>
        <v>Coastal Spritz|Coastal Spritz</v>
      </c>
      <c r="D410" s="26">
        <f>'[1]2024 Finish'!H394</f>
        <v>0</v>
      </c>
      <c r="E410" s="27">
        <f>'[1]2024 Finish'!I394</f>
        <v>-1</v>
      </c>
      <c r="F410" s="18"/>
      <c r="G410" s="28">
        <f t="shared" ref="G410" si="231">F410*D410</f>
        <v>0</v>
      </c>
      <c r="H410" s="11">
        <f t="shared" ref="H410" si="232">D410+G410</f>
        <v>0</v>
      </c>
      <c r="I410" s="18"/>
      <c r="J410" s="28">
        <f t="shared" si="22"/>
        <v>0</v>
      </c>
      <c r="K410" s="50">
        <f t="shared" si="23"/>
        <v>0</v>
      </c>
      <c r="L410" s="28">
        <f t="shared" si="217"/>
        <v>0</v>
      </c>
    </row>
    <row r="411" spans="1:12" x14ac:dyDescent="0.25">
      <c r="A411" s="20" t="s">
        <v>470</v>
      </c>
      <c r="B411" s="21"/>
      <c r="C411" s="42" t="str">
        <f t="shared" si="209"/>
        <v>Ceria|</v>
      </c>
      <c r="D411" s="10">
        <f>'[1]2024 Finish'!H395</f>
        <v>0</v>
      </c>
      <c r="E411" s="22">
        <f>'[1]2024 Finish'!I395</f>
        <v>-1</v>
      </c>
      <c r="F411" s="23" t="e">
        <f>G411/D411</f>
        <v>#DIV/0!</v>
      </c>
      <c r="G411" s="24">
        <f>SUMIF($B412:$B817,$B412,G412:G817)</f>
        <v>0</v>
      </c>
      <c r="H411" s="25">
        <f>SUMIF($B412:$B817,$B412,H412:H817)</f>
        <v>0</v>
      </c>
      <c r="I411" s="23" t="e">
        <f>J411/D411</f>
        <v>#DIV/0!</v>
      </c>
      <c r="J411" s="24">
        <f>SUMIF($B412:$B817,$B412,J412:J817)</f>
        <v>0</v>
      </c>
      <c r="K411" s="48">
        <f>SUMIF($B412:$B817,$B412,K412:K817)</f>
        <v>0</v>
      </c>
      <c r="L411" s="49">
        <f>K411-H411</f>
        <v>0</v>
      </c>
    </row>
    <row r="412" spans="1:12" x14ac:dyDescent="0.25">
      <c r="A412" s="2" t="s">
        <v>470</v>
      </c>
      <c r="B412" s="2" t="s">
        <v>470</v>
      </c>
      <c r="C412" s="42" t="str">
        <f t="shared" si="209"/>
        <v>Ceria|Ceria</v>
      </c>
      <c r="D412" s="26">
        <f>'[1]2024 Finish'!H396</f>
        <v>0</v>
      </c>
      <c r="E412" s="27">
        <f>'[1]2024 Finish'!I396</f>
        <v>-1</v>
      </c>
      <c r="F412" s="18"/>
      <c r="G412" s="28">
        <f t="shared" ref="G412" si="233">F412*D412</f>
        <v>0</v>
      </c>
      <c r="H412" s="11">
        <f t="shared" ref="H412" si="234">D412+G412</f>
        <v>0</v>
      </c>
      <c r="I412" s="18"/>
      <c r="J412" s="28">
        <f t="shared" si="22"/>
        <v>0</v>
      </c>
      <c r="K412" s="50">
        <f t="shared" si="23"/>
        <v>0</v>
      </c>
      <c r="L412" s="28">
        <f t="shared" si="217"/>
        <v>0</v>
      </c>
    </row>
    <row r="413" spans="1:12" x14ac:dyDescent="0.25">
      <c r="A413" s="20" t="s">
        <v>354</v>
      </c>
      <c r="B413" s="21"/>
      <c r="C413" s="42" t="str">
        <f t="shared" si="209"/>
        <v>Barn Brew Co|</v>
      </c>
      <c r="D413" s="10">
        <f>'[1]2024 Finish'!H397</f>
        <v>491</v>
      </c>
      <c r="E413" s="22" t="e">
        <f>'[1]2024 Finish'!I397</f>
        <v>#DIV/0!</v>
      </c>
      <c r="F413" s="23">
        <f>G413/D413</f>
        <v>0.4</v>
      </c>
      <c r="G413" s="24">
        <f>SUMIF($B414:$B819,$B414,G414:G819)</f>
        <v>196.4</v>
      </c>
      <c r="H413" s="25">
        <f>SUMIF($B414:$B819,$B414,H414:H819)</f>
        <v>687.4</v>
      </c>
      <c r="I413" s="23">
        <f>J413/D413</f>
        <v>0.4</v>
      </c>
      <c r="J413" s="24">
        <f>SUMIF($B414:$B819,$B414,J414:J819)</f>
        <v>196.4</v>
      </c>
      <c r="K413" s="48">
        <f>SUMIF($B414:$B819,$B414,K414:K819)</f>
        <v>687.4</v>
      </c>
      <c r="L413" s="49">
        <f>K413-H413</f>
        <v>0</v>
      </c>
    </row>
    <row r="414" spans="1:12" x14ac:dyDescent="0.25">
      <c r="A414" s="2" t="s">
        <v>47</v>
      </c>
      <c r="B414" s="2" t="s">
        <v>354</v>
      </c>
      <c r="C414" s="42" t="str">
        <f t="shared" si="209"/>
        <v>Barn Brew|Barn Brew Co</v>
      </c>
      <c r="D414" s="26">
        <f>'[1]2024 Finish'!H398</f>
        <v>491</v>
      </c>
      <c r="E414" s="27" t="e">
        <f>'[1]2024 Finish'!I398</f>
        <v>#DIV/0!</v>
      </c>
      <c r="F414" s="18">
        <v>0.4</v>
      </c>
      <c r="G414" s="28">
        <f t="shared" ref="G414" si="235">F414*D414</f>
        <v>196.4</v>
      </c>
      <c r="H414" s="11">
        <f t="shared" ref="H414" si="236">D414+G414</f>
        <v>687.4</v>
      </c>
      <c r="I414" s="18">
        <v>0.4</v>
      </c>
      <c r="J414" s="28">
        <f t="shared" si="22"/>
        <v>196.4</v>
      </c>
      <c r="K414" s="50">
        <f t="shared" si="23"/>
        <v>687.4</v>
      </c>
      <c r="L414" s="28">
        <f t="shared" si="217"/>
        <v>0</v>
      </c>
    </row>
    <row r="415" spans="1:12" x14ac:dyDescent="0.25">
      <c r="A415" s="20" t="s">
        <v>331</v>
      </c>
      <c r="B415" s="21"/>
      <c r="C415" s="42" t="str">
        <f t="shared" si="209"/>
        <v>2 Towns Ciderhouse|</v>
      </c>
      <c r="D415" s="10">
        <f>'[1]2024 Finish'!H399</f>
        <v>329</v>
      </c>
      <c r="E415" s="22" t="e">
        <f>'[1]2024 Finish'!I399</f>
        <v>#DIV/0!</v>
      </c>
      <c r="F415" s="23">
        <f>G415/D415</f>
        <v>-1</v>
      </c>
      <c r="G415" s="24">
        <f>SUMIF($B416:$B821,$B416,G416:G821)</f>
        <v>-329</v>
      </c>
      <c r="H415" s="25">
        <f>SUMIF($B416:$B821,$B416,H416:H821)</f>
        <v>0</v>
      </c>
      <c r="I415" s="23">
        <f>J415/D415</f>
        <v>-1</v>
      </c>
      <c r="J415" s="24">
        <f>SUMIF($B416:$B821,$B416,J416:J821)</f>
        <v>-329</v>
      </c>
      <c r="K415" s="48">
        <f>SUMIF($B416:$B821,$B416,K416:K821)</f>
        <v>0</v>
      </c>
      <c r="L415" s="49">
        <f>K415-H415</f>
        <v>0</v>
      </c>
    </row>
    <row r="416" spans="1:12" x14ac:dyDescent="0.25">
      <c r="A416" s="2" t="s">
        <v>277</v>
      </c>
      <c r="B416" s="2" t="s">
        <v>331</v>
      </c>
      <c r="C416" s="42" t="str">
        <f t="shared" si="209"/>
        <v>Craftwell|2 Towns Ciderhouse</v>
      </c>
      <c r="D416" s="26">
        <f>'[1]2024 Finish'!H400</f>
        <v>329</v>
      </c>
      <c r="E416" s="27" t="e">
        <f>'[1]2024 Finish'!I400</f>
        <v>#DIV/0!</v>
      </c>
      <c r="F416" s="18">
        <v>-1</v>
      </c>
      <c r="G416" s="28">
        <f t="shared" ref="G416" si="237">F416*D416</f>
        <v>-329</v>
      </c>
      <c r="H416" s="11">
        <f t="shared" ref="H416" si="238">D416+G416</f>
        <v>0</v>
      </c>
      <c r="I416" s="18">
        <v>-1</v>
      </c>
      <c r="J416" s="28">
        <f t="shared" si="22"/>
        <v>-329</v>
      </c>
      <c r="K416" s="50">
        <f t="shared" si="23"/>
        <v>0</v>
      </c>
      <c r="L416" s="28">
        <f t="shared" si="217"/>
        <v>0</v>
      </c>
    </row>
    <row r="417" spans="1:12" x14ac:dyDescent="0.25">
      <c r="A417" s="20" t="s">
        <v>471</v>
      </c>
      <c r="B417" s="21"/>
      <c r="C417" s="42" t="str">
        <f t="shared" si="209"/>
        <v>Anchor Brewing|</v>
      </c>
      <c r="D417" s="10">
        <f>'[1]2024 Finish'!H401</f>
        <v>0</v>
      </c>
      <c r="E417" s="22">
        <f>'[1]2024 Finish'!I401</f>
        <v>-1</v>
      </c>
      <c r="F417" s="23" t="e">
        <f>G417/D417</f>
        <v>#DIV/0!</v>
      </c>
      <c r="G417" s="24">
        <f>SUMIF($B418:$B823,$B418,G418:G823)</f>
        <v>0</v>
      </c>
      <c r="H417" s="25">
        <f>SUMIF($B418:$B823,$B418,H418:H823)</f>
        <v>0</v>
      </c>
      <c r="I417" s="23" t="e">
        <f>J417/D417</f>
        <v>#DIV/0!</v>
      </c>
      <c r="J417" s="24">
        <f>SUMIF($B418:$B823,$B418,J418:J823)</f>
        <v>0</v>
      </c>
      <c r="K417" s="48">
        <f>SUMIF($B418:$B823,$B418,K418:K823)</f>
        <v>0</v>
      </c>
      <c r="L417" s="49">
        <f>K417-H417</f>
        <v>0</v>
      </c>
    </row>
    <row r="418" spans="1:12" x14ac:dyDescent="0.25">
      <c r="A418" s="2" t="s">
        <v>472</v>
      </c>
      <c r="B418" s="2" t="s">
        <v>471</v>
      </c>
      <c r="C418" s="42" t="str">
        <f t="shared" si="209"/>
        <v>Anchor|Anchor Brewing</v>
      </c>
      <c r="D418" s="26">
        <f>'[1]2024 Finish'!H402</f>
        <v>0</v>
      </c>
      <c r="E418" s="27">
        <f>'[1]2024 Finish'!I402</f>
        <v>-1</v>
      </c>
      <c r="F418" s="18"/>
      <c r="G418" s="28">
        <f t="shared" ref="G418" si="239">F418*D418</f>
        <v>0</v>
      </c>
      <c r="H418" s="11">
        <f t="shared" ref="H418" si="240">D418+G418</f>
        <v>0</v>
      </c>
      <c r="I418" s="18"/>
      <c r="J418" s="28">
        <f t="shared" si="22"/>
        <v>0</v>
      </c>
      <c r="K418" s="50">
        <f t="shared" si="23"/>
        <v>0</v>
      </c>
      <c r="L418" s="28">
        <f t="shared" si="217"/>
        <v>0</v>
      </c>
    </row>
    <row r="419" spans="1:12" x14ac:dyDescent="0.25">
      <c r="A419" s="20" t="s">
        <v>281</v>
      </c>
      <c r="B419" s="21"/>
      <c r="C419" s="42" t="str">
        <f t="shared" si="209"/>
        <v>Good Supply|</v>
      </c>
      <c r="D419" s="10">
        <f>'[1]2024 Finish'!H403</f>
        <v>-12.444442222222001</v>
      </c>
      <c r="E419" s="22">
        <f>'[1]2024 Finish'!I403</f>
        <v>-1.2222222380952381</v>
      </c>
      <c r="F419" s="23">
        <f>G419/D419</f>
        <v>-1</v>
      </c>
      <c r="G419" s="24">
        <f>SUMIF($B420:$B825,$B420,G420:G825)</f>
        <v>12.444442222222001</v>
      </c>
      <c r="H419" s="25">
        <f>SUMIF($B420:$B825,$B420,H420:H825)</f>
        <v>0</v>
      </c>
      <c r="I419" s="23">
        <f>J419/D419</f>
        <v>-1</v>
      </c>
      <c r="J419" s="24">
        <f>SUMIF($B420:$B825,$B420,J420:J825)</f>
        <v>12.444442222222001</v>
      </c>
      <c r="K419" s="48">
        <f>SUMIF($B420:$B825,$B420,K420:K825)</f>
        <v>0</v>
      </c>
      <c r="L419" s="49">
        <f>K419-H419</f>
        <v>0</v>
      </c>
    </row>
    <row r="420" spans="1:12" x14ac:dyDescent="0.25">
      <c r="A420" s="2" t="s">
        <v>281</v>
      </c>
      <c r="B420" s="2" t="s">
        <v>281</v>
      </c>
      <c r="C420" s="42" t="str">
        <f t="shared" si="209"/>
        <v>Good Supply|Good Supply</v>
      </c>
      <c r="D420" s="26">
        <f>'[1]2024 Finish'!H404</f>
        <v>-12.444442222222001</v>
      </c>
      <c r="E420" s="27">
        <f>'[1]2024 Finish'!I404</f>
        <v>-1.2222222380952381</v>
      </c>
      <c r="F420" s="18">
        <v>-1</v>
      </c>
      <c r="G420" s="28">
        <f t="shared" ref="G420" si="241">F420*D420</f>
        <v>12.444442222222001</v>
      </c>
      <c r="H420" s="11">
        <f t="shared" ref="H420" si="242">D420+G420</f>
        <v>0</v>
      </c>
      <c r="I420" s="18">
        <v>-1</v>
      </c>
      <c r="J420" s="28">
        <f t="shared" si="22"/>
        <v>12.444442222222001</v>
      </c>
      <c r="K420" s="50">
        <f t="shared" si="23"/>
        <v>0</v>
      </c>
      <c r="L420" s="28">
        <f t="shared" si="217"/>
        <v>0</v>
      </c>
    </row>
    <row r="421" spans="1:12" x14ac:dyDescent="0.25">
      <c r="A421" s="20" t="s">
        <v>176</v>
      </c>
      <c r="B421" s="21"/>
      <c r="C421" s="42" t="str">
        <f t="shared" si="209"/>
        <v>Island Brands USA|</v>
      </c>
      <c r="D421" s="10">
        <f>'[1]2024 Finish'!H405</f>
        <v>136</v>
      </c>
      <c r="E421" s="22">
        <f>'[1]2024 Finish'!I405</f>
        <v>-0.49836062407685899</v>
      </c>
      <c r="F421" s="23">
        <f>G421/D421</f>
        <v>0</v>
      </c>
      <c r="G421" s="24">
        <f>SUMIF($B422:$B827,$B422,G422:G827)</f>
        <v>0</v>
      </c>
      <c r="H421" s="25">
        <f>SUMIF($B422:$B827,$B422,H422:H827)</f>
        <v>136</v>
      </c>
      <c r="I421" s="23">
        <f>J421/D421</f>
        <v>0</v>
      </c>
      <c r="J421" s="24">
        <f>SUMIF($B422:$B827,$B422,J422:J827)</f>
        <v>0</v>
      </c>
      <c r="K421" s="48">
        <f>SUMIF($B422:$B827,$B422,K422:K827)</f>
        <v>136</v>
      </c>
      <c r="L421" s="49">
        <f>K421-H421</f>
        <v>0</v>
      </c>
    </row>
    <row r="422" spans="1:12" x14ac:dyDescent="0.25">
      <c r="A422" s="2" t="s">
        <v>204</v>
      </c>
      <c r="B422" s="2" t="s">
        <v>176</v>
      </c>
      <c r="C422" s="42" t="str">
        <f t="shared" si="209"/>
        <v>Island Brands|Island Brands USA</v>
      </c>
      <c r="D422" s="26">
        <f>'[1]2024 Finish'!H406</f>
        <v>136</v>
      </c>
      <c r="E422" s="27">
        <f>'[1]2024 Finish'!I406</f>
        <v>-0.49836062407685899</v>
      </c>
      <c r="F422" s="18"/>
      <c r="G422" s="28">
        <f t="shared" ref="G422" si="243">F422*D422</f>
        <v>0</v>
      </c>
      <c r="H422" s="11">
        <f t="shared" ref="H422" si="244">D422+G422</f>
        <v>136</v>
      </c>
      <c r="I422" s="18"/>
      <c r="J422" s="28">
        <f t="shared" si="22"/>
        <v>0</v>
      </c>
      <c r="K422" s="50">
        <f t="shared" si="23"/>
        <v>136</v>
      </c>
      <c r="L422" s="28">
        <f t="shared" si="217"/>
        <v>0</v>
      </c>
    </row>
    <row r="423" spans="1:12" x14ac:dyDescent="0.25">
      <c r="A423" s="20" t="s">
        <v>122</v>
      </c>
      <c r="B423" s="21"/>
      <c r="C423" s="42" t="str">
        <f t="shared" si="209"/>
        <v>Point Brewing|</v>
      </c>
      <c r="D423" s="10">
        <f>'[1]2024 Finish'!H407</f>
        <v>2617</v>
      </c>
      <c r="E423" s="22">
        <f>'[1]2024 Finish'!I407</f>
        <v>-2.3669345595117131E-2</v>
      </c>
      <c r="F423" s="23">
        <f>G423/D423</f>
        <v>0</v>
      </c>
      <c r="G423" s="24">
        <f>SUMIF($B424:$B829,$B424,G424:G829)</f>
        <v>0</v>
      </c>
      <c r="H423" s="25">
        <f>SUMIF($B424:$B829,$B424,H424:H829)</f>
        <v>2617</v>
      </c>
      <c r="I423" s="23">
        <f>J423/D423</f>
        <v>0</v>
      </c>
      <c r="J423" s="24">
        <f>SUMIF($B424:$B829,$B424,J424:J829)</f>
        <v>0</v>
      </c>
      <c r="K423" s="48">
        <f>SUMIF($B424:$B829,$B424,K424:K829)</f>
        <v>2617</v>
      </c>
      <c r="L423" s="49">
        <f>K423-H423</f>
        <v>0</v>
      </c>
    </row>
    <row r="424" spans="1:12" x14ac:dyDescent="0.25">
      <c r="A424" s="2" t="s">
        <v>473</v>
      </c>
      <c r="B424" s="2" t="s">
        <v>122</v>
      </c>
      <c r="C424" s="42" t="str">
        <f t="shared" si="209"/>
        <v>Ciderboys|Point Brewing</v>
      </c>
      <c r="D424" s="26">
        <f>'[1]2024 Finish'!H408</f>
        <v>0</v>
      </c>
      <c r="E424" s="27">
        <f>'[1]2024 Finish'!I408</f>
        <v>-1</v>
      </c>
      <c r="F424" s="18"/>
      <c r="G424" s="28">
        <f t="shared" ref="G424:G425" si="245">F424*D424</f>
        <v>0</v>
      </c>
      <c r="H424" s="11">
        <f t="shared" ref="H424:H425" si="246">D424+G424</f>
        <v>0</v>
      </c>
      <c r="I424" s="18"/>
      <c r="J424" s="28">
        <f t="shared" si="22"/>
        <v>0</v>
      </c>
      <c r="K424" s="50">
        <f t="shared" si="23"/>
        <v>0</v>
      </c>
      <c r="L424" s="28">
        <f t="shared" si="217"/>
        <v>0</v>
      </c>
    </row>
    <row r="425" spans="1:12" x14ac:dyDescent="0.25">
      <c r="A425" s="2" t="s">
        <v>412</v>
      </c>
      <c r="B425" s="2" t="s">
        <v>122</v>
      </c>
      <c r="C425" s="42" t="str">
        <f t="shared" si="209"/>
        <v>Whole Hog|Point Brewing</v>
      </c>
      <c r="D425" s="26">
        <f>'[1]2024 Finish'!H409</f>
        <v>2617</v>
      </c>
      <c r="E425" s="27">
        <f>'[1]2024 Finish'!I409</f>
        <v>-1.8543182324579743E-2</v>
      </c>
      <c r="F425" s="18"/>
      <c r="G425" s="28">
        <f t="shared" si="245"/>
        <v>0</v>
      </c>
      <c r="H425" s="11">
        <f t="shared" si="246"/>
        <v>2617</v>
      </c>
      <c r="I425" s="18"/>
      <c r="J425" s="28">
        <f t="shared" ref="J425" si="247">I425*G425</f>
        <v>0</v>
      </c>
      <c r="K425" s="50">
        <f t="shared" si="23"/>
        <v>2617</v>
      </c>
      <c r="L425" s="28">
        <f t="shared" si="217"/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325FB3D99FA2F488BF8739446309F7D" ma:contentTypeVersion="5" ma:contentTypeDescription="Create a new document." ma:contentTypeScope="" ma:versionID="868fc67da8d51d343d5fb92014120423">
  <xsd:schema xmlns:xsd="http://www.w3.org/2001/XMLSchema" xmlns:xs="http://www.w3.org/2001/XMLSchema" xmlns:p="http://schemas.microsoft.com/office/2006/metadata/properties" xmlns:ns3="f0696a74-0c88-4cc7-9d98-c77b8b9383c4" targetNamespace="http://schemas.microsoft.com/office/2006/metadata/properties" ma:root="true" ma:fieldsID="2e0968432e00510e8d1896b97dd5c2df" ns3:_="">
    <xsd:import namespace="f0696a74-0c88-4cc7-9d98-c77b8b9383c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696a74-0c88-4cc7-9d98-c77b8b9383c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0696a74-0c88-4cc7-9d98-c77b8b9383c4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C0E1E3C-7886-4EB8-B641-27B81A5DE0E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696a74-0c88-4cc7-9d98-c77b8b9383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A946CE1-7760-4BD1-AE18-01E9D263D8EA}">
  <ds:schemaRefs>
    <ds:schemaRef ds:uri="http://www.w3.org/XML/1998/namespace"/>
    <ds:schemaRef ds:uri="http://purl.org/dc/elements/1.1/"/>
    <ds:schemaRef ds:uri="f0696a74-0c88-4cc7-9d98-c77b8b9383c4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1206E30C-AA54-41F6-B3A7-53B7F0B5A69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2026 Planning by Brand</vt:lpstr>
      <vt:lpstr>2026 Planning by Sub-Segment</vt:lpstr>
      <vt:lpstr>2025 Finish (ACTUAL)</vt:lpstr>
      <vt:lpstr>Brand Managers</vt:lpstr>
      <vt:lpstr>DATA - 2025 Review</vt:lpstr>
      <vt:lpstr>DATA - Segments</vt:lpstr>
      <vt:lpstr>2025 Goal Data</vt:lpstr>
      <vt:lpstr>'2026 Planning by Sub-Segment'!_FilterDatabase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Gavin Sharkey</dc:creator>
  <cp:lastModifiedBy>Gavin Sharkey</cp:lastModifiedBy>
  <dcterms:created xsi:type="dcterms:W3CDTF">2025-11-20T19:04:25Z</dcterms:created>
  <dcterms:modified xsi:type="dcterms:W3CDTF">2026-01-08T14:21:15Z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0x0101003325FB3D99FA2F488BF8739446309F7D</vt:lpwstr>
  </property>
</Properties>
</file>