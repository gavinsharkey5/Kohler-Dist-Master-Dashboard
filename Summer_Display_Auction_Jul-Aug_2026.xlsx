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by Supplier" sheetId="1" state="visible" r:id="rId1"/>
    <sheet name="Summary by Brand" sheetId="2" state="visible" r:id="rId2"/>
    <sheet name="Summary by Person" sheetId="3" state="visible" r:id="rId3"/>
    <sheet name="Duplicate Check" sheetId="4" state="visible" r:id="rId4"/>
    <sheet name="Multi-Supplier Audit" sheetId="5" state="visible" r:id="rId5"/>
    <sheet name="Display Detail" sheetId="6" state="visible" r:id="rId6"/>
    <sheet name="Notes &amp; Method" sheetId="7" state="visible" r:id="rId7"/>
  </sheets>
  <definedNames>
    <definedName name="_xlnm._FilterDatabase" localSheetId="3" hidden="1">'Duplicate Check'!$A$12:$M$136</definedName>
    <definedName name="_xlnm._FilterDatabase" localSheetId="5" hidden="1">'Display Detail'!$A$1:$Y$656</definedName>
  </definedNames>
  <calcPr calcId="124519" fullCalcOnLoad="1"/>
</workbook>
</file>

<file path=xl/styles.xml><?xml version="1.0" encoding="utf-8"?>
<styleSheet xmlns="http://schemas.openxmlformats.org/spreadsheetml/2006/main">
  <numFmts count="1">
    <numFmt numFmtId="164" formatCode="#,##0;-;-"/>
  </numFmts>
  <fonts count="10">
    <font>
      <name val="Calibri"/>
      <family val="2"/>
      <color theme="1"/>
      <sz val="11"/>
      <scheme val="minor"/>
    </font>
    <font>
      <name val="Arial"/>
      <b val="1"/>
      <color rgb="00FFFFFF"/>
      <sz val="10"/>
    </font>
    <font>
      <name val="Arial"/>
      <sz val="10"/>
    </font>
    <font>
      <name val="Arial"/>
      <color rgb="000563C1"/>
      <sz val="10"/>
      <u val="single"/>
    </font>
    <font>
      <name val="Arial"/>
      <b val="1"/>
      <color rgb="009C0006"/>
      <sz val="10"/>
    </font>
    <font>
      <name val="Arial"/>
      <b val="1"/>
      <color rgb="00FFFFFF"/>
      <sz val="16"/>
    </font>
    <font>
      <name val="Arial"/>
      <color rgb="00FFFFFF"/>
      <sz val="10"/>
    </font>
    <font>
      <name val="Arial"/>
      <b val="1"/>
      <sz val="10"/>
    </font>
    <font>
      <name val="Arial"/>
      <i val="1"/>
      <color rgb="00595959"/>
      <sz val="9"/>
    </font>
    <font>
      <name val="Arial"/>
      <b val="1"/>
      <color rgb="00FFFFFF"/>
      <sz val="11"/>
    </font>
  </fonts>
  <fills count="7">
    <fill>
      <patternFill/>
    </fill>
    <fill>
      <patternFill patternType="gray125"/>
    </fill>
    <fill>
      <patternFill patternType="solid">
        <fgColor rgb="001F4E5F"/>
      </patternFill>
    </fill>
    <fill>
      <patternFill patternType="solid">
        <fgColor rgb="00FDECEA"/>
      </patternFill>
    </fill>
    <fill>
      <patternFill patternType="solid">
        <fgColor rgb="00F2F2F2"/>
      </patternFill>
    </fill>
    <fill>
      <patternFill patternType="solid">
        <fgColor rgb="00EAF0F3"/>
      </patternFill>
    </fill>
    <fill>
      <patternFill patternType="solid">
        <fgColor rgb="00C46A2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5" fillId="2" borderId="0" applyAlignment="1" pivotButton="0" quotePrefix="0" xfId="0">
      <alignment horizontal="left" vertical="center" indent="1"/>
    </xf>
    <xf numFmtId="0" fontId="6" fillId="2" borderId="0" applyAlignment="1" pivotButton="0" quotePrefix="0" xfId="0">
      <alignment horizontal="left" vertical="center" indent="1"/>
    </xf>
    <xf numFmtId="0" fontId="1" fillId="2" borderId="0" applyAlignment="1" pivotButton="0" quotePrefix="0" xfId="0">
      <alignment horizontal="left" vertical="center" wrapText="1" indent="1"/>
    </xf>
    <xf numFmtId="0" fontId="1" fillId="2" borderId="0" applyAlignment="1" pivotButton="0" quotePrefix="0" xfId="0">
      <alignment horizontal="center" vertical="center" wrapText="1"/>
    </xf>
    <xf numFmtId="0" fontId="2" fillId="0" borderId="1" applyAlignment="1" pivotButton="0" quotePrefix="0" xfId="0">
      <alignment horizontal="left" indent="1"/>
    </xf>
    <xf numFmtId="164" fontId="2" fillId="0" borderId="1" applyAlignment="1" pivotButton="0" quotePrefix="0" xfId="0">
      <alignment horizontal="center"/>
    </xf>
    <xf numFmtId="164" fontId="7" fillId="5" borderId="1" applyAlignment="1" pivotButton="0" quotePrefix="0" xfId="0">
      <alignment horizontal="center"/>
    </xf>
    <xf numFmtId="164" fontId="7" fillId="0" borderId="1" applyAlignment="1" pivotButton="0" quotePrefix="0" xfId="0">
      <alignment horizontal="center"/>
    </xf>
    <xf numFmtId="0" fontId="1" fillId="6" borderId="0" applyAlignment="1" pivotButton="0" quotePrefix="0" xfId="0">
      <alignment horizontal="left" vertical="center" indent="1"/>
    </xf>
    <xf numFmtId="0" fontId="1" fillId="2" borderId="0" applyAlignment="1" pivotButton="0" quotePrefix="0" xfId="0">
      <alignment horizontal="left" indent="1"/>
    </xf>
    <xf numFmtId="3" fontId="1" fillId="2" borderId="0" applyAlignment="1" pivotButton="0" quotePrefix="0" xfId="0">
      <alignment horizontal="center"/>
    </xf>
    <xf numFmtId="0" fontId="8" fillId="0" borderId="0" pivotButton="0" quotePrefix="0" xfId="0"/>
    <xf numFmtId="0" fontId="7" fillId="5" borderId="1" applyAlignment="1" pivotButton="0" quotePrefix="0" xfId="0">
      <alignment horizontal="left" indent="1"/>
    </xf>
    <xf numFmtId="3" fontId="7" fillId="5" borderId="1" applyAlignment="1" pivotButton="0" quotePrefix="0" xfId="0">
      <alignment horizontal="center"/>
    </xf>
    <xf numFmtId="0" fontId="8" fillId="0" borderId="1" applyAlignment="1" pivotButton="0" quotePrefix="0" xfId="0">
      <alignment horizontal="left" vertical="center" indent="1"/>
    </xf>
    <xf numFmtId="0" fontId="2" fillId="5" borderId="1" applyAlignment="1" pivotButton="0" quotePrefix="0" xfId="0">
      <alignment horizontal="left" indent="1"/>
    </xf>
    <xf numFmtId="0" fontId="2" fillId="0" borderId="1" pivotButton="0" quotePrefix="0" xfId="0"/>
    <xf numFmtId="3" fontId="2" fillId="0" borderId="1" applyAlignment="1" pivotButton="0" quotePrefix="0" xfId="0">
      <alignment horizontal="center"/>
    </xf>
    <xf numFmtId="0" fontId="3" fillId="0" borderId="1" pivotButton="0" quotePrefix="0" xfId="0"/>
    <xf numFmtId="0" fontId="2" fillId="3" borderId="1" pivotButton="0" quotePrefix="0" xfId="0"/>
    <xf numFmtId="3" fontId="2" fillId="3" borderId="1" applyAlignment="1" pivotButton="0" quotePrefix="0" xfId="0">
      <alignment horizontal="center"/>
    </xf>
    <xf numFmtId="0" fontId="3" fillId="3" borderId="1" pivotButton="0" quotePrefix="0" xfId="0"/>
    <xf numFmtId="0" fontId="2" fillId="4" borderId="1" pivotButton="0" quotePrefix="0" xfId="0"/>
    <xf numFmtId="3" fontId="2" fillId="4" borderId="1" applyAlignment="1" pivotButton="0" quotePrefix="0" xfId="0">
      <alignment horizontal="center"/>
    </xf>
    <xf numFmtId="0" fontId="2" fillId="0" borderId="1" applyAlignment="1" pivotButton="0" quotePrefix="0" xfId="0">
      <alignment horizontal="center"/>
    </xf>
    <xf numFmtId="0" fontId="4" fillId="3" borderId="1" pivotButton="0" quotePrefix="0" xfId="0"/>
    <xf numFmtId="0" fontId="2" fillId="4" borderId="1" applyAlignment="1" pivotButton="0" quotePrefix="0" xfId="0">
      <alignment horizontal="center"/>
    </xf>
    <xf numFmtId="0" fontId="3" fillId="4" borderId="1" pivotButton="0" quotePrefix="0" xfId="0"/>
    <xf numFmtId="0" fontId="9" fillId="6" borderId="0" applyAlignment="1" pivotButton="0" quotePrefix="0" xfId="0">
      <alignment horizontal="left" vertical="center" indent="1"/>
    </xf>
    <xf numFmtId="0" fontId="7" fillId="0" borderId="1" applyAlignment="1" pivotButton="0" quotePrefix="0" xfId="0">
      <alignment vertical="top" wrapText="1" indent="1"/>
    </xf>
    <xf numFmtId="0" fontId="2" fillId="0" borderId="1" applyAlignment="1" pivotButton="0" quotePrefix="0" xfId="0">
      <alignment vertical="top" wrapText="1" indent="1"/>
    </xf>
    <xf numFmtId="0" fontId="4" fillId="0" borderId="1" applyAlignment="1" pivotButton="0" quotePrefix="0" xfId="0">
      <alignment vertical="top" wrapText="1" indent="1"/>
    </xf>
    <xf numFmtId="0" fontId="2" fillId="3"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ep.cpgdata.com/external-api/view-photo/displays/7435c805-41af-4822-a6fb-aafb6d7c4683/" TargetMode="External" Id="rId1" /><Relationship Type="http://schemas.openxmlformats.org/officeDocument/2006/relationships/hyperlink" Target="https://ep.cpgdata.com/external-api/view-photo/displays/453a4758-33bf-462e-8c04-024fb86c2d2a/" TargetMode="External" Id="rId2" /><Relationship Type="http://schemas.openxmlformats.org/officeDocument/2006/relationships/hyperlink" Target="https://ep.cpgdata.com/external-api/view-photo/displays/97818d84-e2ff-46ad-b70d-62952a0fbce3/" TargetMode="External" Id="rId3" /><Relationship Type="http://schemas.openxmlformats.org/officeDocument/2006/relationships/hyperlink" Target="https://ep.cpgdata.com/external-api/view-photo/displays/8e46d568-25be-4c21-88cc-a31aafd53b66/" TargetMode="External" Id="rId4" /><Relationship Type="http://schemas.openxmlformats.org/officeDocument/2006/relationships/hyperlink" Target="https://ep.cpgdata.com/external-api/view-photo/displays/bb1a6c11-d0da-481e-81a5-c2c4d0603c70/" TargetMode="External" Id="rId5" /><Relationship Type="http://schemas.openxmlformats.org/officeDocument/2006/relationships/hyperlink" Target="https://ep.cpgdata.com/external-api/view-photo/displays/40c0f11c-c55e-4e43-acf1-d278139fd7ac/" TargetMode="External" Id="rId6" /><Relationship Type="http://schemas.openxmlformats.org/officeDocument/2006/relationships/hyperlink" Target="https://ep.cpgdata.com/external-api/view-photo/displays/2245b391-639f-42d0-83ee-434de54042b8/" TargetMode="External" Id="rId7" /><Relationship Type="http://schemas.openxmlformats.org/officeDocument/2006/relationships/hyperlink" Target="https://ep.cpgdata.com/external-api/view-photo/displays/c95aa28b-dd27-465e-83b4-4f322a2456a6/" TargetMode="External" Id="rId8" /><Relationship Type="http://schemas.openxmlformats.org/officeDocument/2006/relationships/hyperlink" Target="https://ep.cpgdata.com/external-api/view-photo/displays/48d6c74b-4a39-4dd6-a8ec-f0c65631ad17/" TargetMode="External" Id="rId9" /><Relationship Type="http://schemas.openxmlformats.org/officeDocument/2006/relationships/hyperlink" Target="https://ep.cpgdata.com/external-api/view-photo/displays/a255fd8b-b625-4b69-88da-bcbda3f33d22/" TargetMode="External" Id="rId10" /><Relationship Type="http://schemas.openxmlformats.org/officeDocument/2006/relationships/hyperlink" Target="https://ep.cpgdata.com/external-api/view-photo/displays/f4742c5c-d3b9-4fcf-baa5-b05562ccc841/" TargetMode="External" Id="rId11" /><Relationship Type="http://schemas.openxmlformats.org/officeDocument/2006/relationships/hyperlink" Target="https://ep.cpgdata.com/external-api/view-photo/displays/e302df69-ab4f-4410-813d-e99e889aa35e/" TargetMode="External" Id="rId12" /><Relationship Type="http://schemas.openxmlformats.org/officeDocument/2006/relationships/hyperlink" Target="https://ep.cpgdata.com/external-api/view-photo/displays/16a1779d-2135-4667-8c03-bd527b709fab/" TargetMode="External" Id="rId13" /><Relationship Type="http://schemas.openxmlformats.org/officeDocument/2006/relationships/hyperlink" Target="https://ep.cpgdata.com/external-api/view-photo/displays/0c895c52-9a40-407c-a77b-51c029842b1e/" TargetMode="External" Id="rId14" /><Relationship Type="http://schemas.openxmlformats.org/officeDocument/2006/relationships/hyperlink" Target="https://ep.cpgdata.com/external-api/view-photo/displays/7581048b-61f6-4deb-972d-253401ba622c/" TargetMode="External" Id="rId15" /><Relationship Type="http://schemas.openxmlformats.org/officeDocument/2006/relationships/hyperlink" Target="https://ep.cpgdata.com/external-api/view-photo/displays/1ce4ed75-3ce6-4f96-9e84-3e14e454f35c/" TargetMode="External" Id="rId16" /><Relationship Type="http://schemas.openxmlformats.org/officeDocument/2006/relationships/hyperlink" Target="https://ep.cpgdata.com/external-api/view-photo/displays/b7cf30d7-7f76-41f0-b095-95c134c18ee3/" TargetMode="External" Id="rId17" /><Relationship Type="http://schemas.openxmlformats.org/officeDocument/2006/relationships/hyperlink" Target="https://ep.cpgdata.com/external-api/view-photo/displays/22a2e0ae-1909-4d2c-8131-6f8b72430cba/" TargetMode="External" Id="rId18" /><Relationship Type="http://schemas.openxmlformats.org/officeDocument/2006/relationships/hyperlink" Target="https://ep.cpgdata.com/external-api/view-photo/displays/c3c23c8e-ed55-4c79-b916-916cdd8f601a/" TargetMode="External" Id="rId19" /><Relationship Type="http://schemas.openxmlformats.org/officeDocument/2006/relationships/hyperlink" Target="https://ep.cpgdata.com/external-api/view-photo/displays/bc8fe8ab-442b-4a91-bdf3-e66c4245d561/" TargetMode="External" Id="rId20" /><Relationship Type="http://schemas.openxmlformats.org/officeDocument/2006/relationships/hyperlink" Target="https://ep.cpgdata.com/external-api/view-photo/displays/af53c005-549e-46c1-888b-e203769b0ebe/" TargetMode="External" Id="rId21" /><Relationship Type="http://schemas.openxmlformats.org/officeDocument/2006/relationships/hyperlink" Target="https://ep.cpgdata.com/external-api/view-photo/displays/91eadee4-9d10-46cd-8881-7273edc8b61b/" TargetMode="External" Id="rId22" /><Relationship Type="http://schemas.openxmlformats.org/officeDocument/2006/relationships/hyperlink" Target="https://ep.cpgdata.com/external-api/view-photo/displays/e3d1f1cb-d714-46d3-8917-80752e4862c7/" TargetMode="External" Id="rId23" /><Relationship Type="http://schemas.openxmlformats.org/officeDocument/2006/relationships/hyperlink" Target="https://ep.cpgdata.com/external-api/view-photo/displays/c6406309-ef86-41df-a1ad-125dcf663e8b/" TargetMode="External" Id="rId24" /><Relationship Type="http://schemas.openxmlformats.org/officeDocument/2006/relationships/hyperlink" Target="https://ep.cpgdata.com/external-api/view-photo/displays/74225d53-b393-4125-bde3-345c2e5cf6fa/" TargetMode="External" Id="rId25" /><Relationship Type="http://schemas.openxmlformats.org/officeDocument/2006/relationships/hyperlink" Target="https://ep.cpgdata.com/external-api/view-photo/displays/44b0ecce-188f-49d6-86fa-efc017ed83c3/" TargetMode="External" Id="rId26" /><Relationship Type="http://schemas.openxmlformats.org/officeDocument/2006/relationships/hyperlink" Target="https://ep.cpgdata.com/external-api/view-photo/displays/42da1830-4971-4b4d-a3b9-b6151c2a9063/" TargetMode="External" Id="rId27" /><Relationship Type="http://schemas.openxmlformats.org/officeDocument/2006/relationships/hyperlink" Target="https://ep.cpgdata.com/external-api/view-photo/displays/2ae11299-9a53-4b97-b169-0be505678593/" TargetMode="External" Id="rId28" /><Relationship Type="http://schemas.openxmlformats.org/officeDocument/2006/relationships/hyperlink" Target="https://ep.cpgdata.com/external-api/view-photo/displays/225b85a1-c288-45c1-9bd0-96aff7e99b90/" TargetMode="External" Id="rId29" /><Relationship Type="http://schemas.openxmlformats.org/officeDocument/2006/relationships/hyperlink" Target="https://ep.cpgdata.com/external-api/view-photo/displays/dcb82f14-eed0-4869-95ba-d52afb2f40ce/" TargetMode="External" Id="rId30" /><Relationship Type="http://schemas.openxmlformats.org/officeDocument/2006/relationships/hyperlink" Target="https://ep.cpgdata.com/external-api/view-photo/displays/f5368d06-5ec9-4835-9097-7e4d14c5be16/" TargetMode="External" Id="rId31" /><Relationship Type="http://schemas.openxmlformats.org/officeDocument/2006/relationships/hyperlink" Target="https://ep.cpgdata.com/external-api/view-photo/displays/aa6f4dc7-3120-44ad-881c-428d51cd0c52/" TargetMode="External" Id="rId32" /><Relationship Type="http://schemas.openxmlformats.org/officeDocument/2006/relationships/hyperlink" Target="https://ep.cpgdata.com/external-api/view-photo/displays/57959a7e-7cc7-47a8-8fdd-80b46cc890ab/" TargetMode="External" Id="rId33" /><Relationship Type="http://schemas.openxmlformats.org/officeDocument/2006/relationships/hyperlink" Target="https://ep.cpgdata.com/external-api/view-photo/displays/4c804f04-9daa-4368-99aa-c80271549288/" TargetMode="External" Id="rId34" /><Relationship Type="http://schemas.openxmlformats.org/officeDocument/2006/relationships/hyperlink" Target="https://ep.cpgdata.com/external-api/view-photo/displays/c9c9f36a-ed3d-466a-88c8-dc9a3a9aa585/" TargetMode="External" Id="rId35" /><Relationship Type="http://schemas.openxmlformats.org/officeDocument/2006/relationships/hyperlink" Target="https://ep.cpgdata.com/external-api/view-photo/displays/d41634c8-e3a5-4bf0-81a1-db95dede7d51/" TargetMode="External" Id="rId36" /><Relationship Type="http://schemas.openxmlformats.org/officeDocument/2006/relationships/hyperlink" Target="https://ep.cpgdata.com/external-api/view-photo/displays/83bfb555-c49b-4b67-b1ca-493be8d5a56e/" TargetMode="External" Id="rId37" /><Relationship Type="http://schemas.openxmlformats.org/officeDocument/2006/relationships/hyperlink" Target="https://ep.cpgdata.com/external-api/view-photo/displays/ce6a1533-b329-4c31-9605-5aebf2800076/" TargetMode="External" Id="rId38" /><Relationship Type="http://schemas.openxmlformats.org/officeDocument/2006/relationships/hyperlink" Target="https://ep.cpgdata.com/external-api/view-photo/displays/4fa64595-1b6c-4bc8-bf3e-4be5a5de12ea/" TargetMode="External" Id="rId39" /><Relationship Type="http://schemas.openxmlformats.org/officeDocument/2006/relationships/hyperlink" Target="https://ep.cpgdata.com/external-api/view-photo/displays/cf57b827-c52e-467b-a5f1-1bcb181ba0a2/" TargetMode="External" Id="rId40" /><Relationship Type="http://schemas.openxmlformats.org/officeDocument/2006/relationships/hyperlink" Target="https://ep.cpgdata.com/external-api/view-photo/displays/8988483e-fbd1-4903-acb9-3d60fdc56d43/" TargetMode="External" Id="rId41" /><Relationship Type="http://schemas.openxmlformats.org/officeDocument/2006/relationships/hyperlink" Target="https://ep.cpgdata.com/external-api/view-photo/displays/b98db4bd-2c08-4051-94e2-a8980b4d5425/" TargetMode="External" Id="rId42" /><Relationship Type="http://schemas.openxmlformats.org/officeDocument/2006/relationships/hyperlink" Target="https://ep.cpgdata.com/external-api/view-photo/displays/95dec845-0e51-4820-b50e-7e42ed30e8b8/" TargetMode="External" Id="rId43" /><Relationship Type="http://schemas.openxmlformats.org/officeDocument/2006/relationships/hyperlink" Target="https://ep.cpgdata.com/external-api/view-photo/displays/a7fe63d8-58d9-4a71-808e-4e0e6054651d/" TargetMode="External" Id="rId44" /><Relationship Type="http://schemas.openxmlformats.org/officeDocument/2006/relationships/hyperlink" Target="https://ep.cpgdata.com/external-api/view-photo/displays/7f861311-ba7d-4f21-9d9c-cc4dc9a7c548/" TargetMode="External" Id="rId45" /><Relationship Type="http://schemas.openxmlformats.org/officeDocument/2006/relationships/hyperlink" Target="https://ep.cpgdata.com/external-api/view-photo/displays/c7baf805-8bae-4a8e-b64c-e1abb06aabf4/" TargetMode="External" Id="rId46" /><Relationship Type="http://schemas.openxmlformats.org/officeDocument/2006/relationships/hyperlink" Target="https://ep.cpgdata.com/external-api/view-photo/displays/ae9b2bf4-c92d-4453-ad29-e0a22e6110c4/" TargetMode="External" Id="rId47" /><Relationship Type="http://schemas.openxmlformats.org/officeDocument/2006/relationships/hyperlink" Target="https://ep.cpgdata.com/external-api/view-photo/displays/e00276a9-771f-44df-b1bb-c085354bbcef/" TargetMode="External" Id="rId48" /><Relationship Type="http://schemas.openxmlformats.org/officeDocument/2006/relationships/hyperlink" Target="https://ep.cpgdata.com/external-api/view-photo/displays/87a5674c-583e-407f-a8c0-493b257132a9/" TargetMode="External" Id="rId49" /><Relationship Type="http://schemas.openxmlformats.org/officeDocument/2006/relationships/hyperlink" Target="https://ep.cpgdata.com/external-api/view-photo/displays/a50fe4fe-dace-418e-8cda-526ac608935e/" TargetMode="External" Id="rId50" /><Relationship Type="http://schemas.openxmlformats.org/officeDocument/2006/relationships/hyperlink" Target="https://ep.cpgdata.com/external-api/view-photo/displays/c094f8cc-1d5f-4e9e-9a9f-72f3eb363aaa/" TargetMode="External" Id="rId51" /><Relationship Type="http://schemas.openxmlformats.org/officeDocument/2006/relationships/hyperlink" Target="https://ep.cpgdata.com/external-api/view-photo/displays/a0a21ac8-ee1e-416b-b102-fdf2a02281ab/" TargetMode="External" Id="rId52" /><Relationship Type="http://schemas.openxmlformats.org/officeDocument/2006/relationships/hyperlink" Target="https://ep.cpgdata.com/external-api/view-photo/displays/5943343d-74ac-49e1-9fee-02d578aa09f0/" TargetMode="External" Id="rId53" /><Relationship Type="http://schemas.openxmlformats.org/officeDocument/2006/relationships/hyperlink" Target="https://ep.cpgdata.com/external-api/view-photo/displays/6e193ea3-f8a0-46f4-a9c8-3b8b0c374b47/" TargetMode="External" Id="rId54" /><Relationship Type="http://schemas.openxmlformats.org/officeDocument/2006/relationships/hyperlink" Target="https://ep.cpgdata.com/external-api/view-photo/displays/5be552d9-ee66-4dd0-85a6-fa7a39850e80/" TargetMode="External" Id="rId55" /><Relationship Type="http://schemas.openxmlformats.org/officeDocument/2006/relationships/hyperlink" Target="https://ep.cpgdata.com/external-api/view-photo/displays/f545a18e-0164-487b-9bc2-62ef92aedb5a/" TargetMode="External" Id="rId56" /><Relationship Type="http://schemas.openxmlformats.org/officeDocument/2006/relationships/hyperlink" Target="https://ep.cpgdata.com/external-api/view-photo/displays/4c8beb28-5ea7-403c-a52e-95208cafd991/" TargetMode="External" Id="rId57" /><Relationship Type="http://schemas.openxmlformats.org/officeDocument/2006/relationships/hyperlink" Target="https://ep.cpgdata.com/external-api/view-photo/displays/480babba-8888-4202-b931-f95f46696c98/" TargetMode="External" Id="rId58" /><Relationship Type="http://schemas.openxmlformats.org/officeDocument/2006/relationships/hyperlink" Target="https://ep.cpgdata.com/external-api/view-photo/displays/5b01587e-88fa-45b6-bbdc-eaa958e4820a/" TargetMode="External" Id="rId59" /><Relationship Type="http://schemas.openxmlformats.org/officeDocument/2006/relationships/hyperlink" Target="https://ep.cpgdata.com/external-api/view-photo/displays/022a4626-09c2-44be-8ba0-32930a264756/" TargetMode="External" Id="rId60" /><Relationship Type="http://schemas.openxmlformats.org/officeDocument/2006/relationships/hyperlink" Target="https://ep.cpgdata.com/external-api/view-photo/displays/8a15d161-84b3-479c-9a1e-54df890087d8/" TargetMode="External" Id="rId61" /><Relationship Type="http://schemas.openxmlformats.org/officeDocument/2006/relationships/hyperlink" Target="https://ep.cpgdata.com/external-api/view-photo/displays/69e6a06c-51fd-4bdc-a918-dc22d0525bbb/" TargetMode="External" Id="rId62" /><Relationship Type="http://schemas.openxmlformats.org/officeDocument/2006/relationships/hyperlink" Target="https://ep.cpgdata.com/external-api/view-photo/displays/ae75d195-3c01-4541-8b62-155e24d5f030/" TargetMode="External" Id="rId63" /><Relationship Type="http://schemas.openxmlformats.org/officeDocument/2006/relationships/hyperlink" Target="https://ep.cpgdata.com/external-api/view-photo/displays/295760ca-7882-460e-81bf-b2090ff46521/" TargetMode="External" Id="rId64" /><Relationship Type="http://schemas.openxmlformats.org/officeDocument/2006/relationships/hyperlink" Target="https://ep.cpgdata.com/external-api/view-photo/displays/f62e3a4b-a4a2-4b69-9803-d729f8f8aa38/" TargetMode="External" Id="rId65" /><Relationship Type="http://schemas.openxmlformats.org/officeDocument/2006/relationships/hyperlink" Target="https://ep.cpgdata.com/external-api/view-photo/displays/ca02c31d-6352-4254-b015-beaa2767e44f/" TargetMode="External" Id="rId66" /><Relationship Type="http://schemas.openxmlformats.org/officeDocument/2006/relationships/hyperlink" Target="https://ep.cpgdata.com/external-api/view-photo/displays/ee2bb5d2-ae51-4908-bbd0-74eabd05c1d4/" TargetMode="External" Id="rId67" /><Relationship Type="http://schemas.openxmlformats.org/officeDocument/2006/relationships/hyperlink" Target="https://ep.cpgdata.com/external-api/view-photo/displays/4c968139-68c9-44f5-a21a-75da2d1f778f/" TargetMode="External" Id="rId68" /><Relationship Type="http://schemas.openxmlformats.org/officeDocument/2006/relationships/hyperlink" Target="https://ep.cpgdata.com/external-api/view-photo/displays/45fef456-8a3b-489a-8574-2e471885c5eb/" TargetMode="External" Id="rId69" /><Relationship Type="http://schemas.openxmlformats.org/officeDocument/2006/relationships/hyperlink" Target="https://ep.cpgdata.com/external-api/view-photo/displays/61955c9f-47ab-47fe-97d6-1ff2f8190d39/" TargetMode="External" Id="rId70" /><Relationship Type="http://schemas.openxmlformats.org/officeDocument/2006/relationships/hyperlink" Target="https://ep.cpgdata.com/external-api/view-photo/displays/0eddac16-f103-4943-89dc-8fc5bb89adf4/" TargetMode="External" Id="rId71" /><Relationship Type="http://schemas.openxmlformats.org/officeDocument/2006/relationships/hyperlink" Target="https://ep.cpgdata.com/external-api/view-photo/displays/75b606c9-6dd6-49a5-b460-44fbf8135be6/" TargetMode="External" Id="rId72" /><Relationship Type="http://schemas.openxmlformats.org/officeDocument/2006/relationships/hyperlink" Target="https://ep.cpgdata.com/external-api/view-photo/displays/d5fac915-cb73-4412-8e81-9333dde07b7d/" TargetMode="External" Id="rId73" /><Relationship Type="http://schemas.openxmlformats.org/officeDocument/2006/relationships/hyperlink" Target="https://ep.cpgdata.com/external-api/view-photo/displays/eb9208d4-205a-4be6-929a-ddcf8746515f/" TargetMode="External" Id="rId74" /><Relationship Type="http://schemas.openxmlformats.org/officeDocument/2006/relationships/hyperlink" Target="https://ep.cpgdata.com/external-api/view-photo/displays/bddbb5b8-c836-4364-93ad-70220b0a732b/" TargetMode="External" Id="rId75" /><Relationship Type="http://schemas.openxmlformats.org/officeDocument/2006/relationships/hyperlink" Target="https://ep.cpgdata.com/external-api/view-photo/displays/0d82e4ef-0f28-4412-ad6b-566bb7406ae9/" TargetMode="External" Id="rId76" /><Relationship Type="http://schemas.openxmlformats.org/officeDocument/2006/relationships/hyperlink" Target="https://ep.cpgdata.com/external-api/view-photo/displays/4d1d0510-b79b-4d53-ba01-792e7e79a4b4/" TargetMode="External" Id="rId77" /><Relationship Type="http://schemas.openxmlformats.org/officeDocument/2006/relationships/hyperlink" Target="https://ep.cpgdata.com/external-api/view-photo/displays/7d82ea59-efd6-4f2c-8380-4966feff119e/" TargetMode="External" Id="rId78" /><Relationship Type="http://schemas.openxmlformats.org/officeDocument/2006/relationships/hyperlink" Target="https://ep.cpgdata.com/external-api/view-photo/displays/242c7c80-c6d8-4b57-849e-7e3a28bbab9f/" TargetMode="External" Id="rId79" /><Relationship Type="http://schemas.openxmlformats.org/officeDocument/2006/relationships/hyperlink" Target="https://ep.cpgdata.com/external-api/view-photo/displays/1a46b357-2f6b-4f44-85b4-8687910656b0/" TargetMode="External" Id="rId80" /><Relationship Type="http://schemas.openxmlformats.org/officeDocument/2006/relationships/hyperlink" Target="https://ep.cpgdata.com/external-api/view-photo/displays/e9842057-9f07-45ae-a4db-878d43819e0d/" TargetMode="External" Id="rId81" /><Relationship Type="http://schemas.openxmlformats.org/officeDocument/2006/relationships/hyperlink" Target="https://ep.cpgdata.com/external-api/view-photo/displays/dc21211f-e376-44c0-95e7-d0ad8d3b3660/" TargetMode="External" Id="rId82" /><Relationship Type="http://schemas.openxmlformats.org/officeDocument/2006/relationships/hyperlink" Target="https://ep.cpgdata.com/external-api/view-photo/displays/54aeccee-2078-438a-88b0-de6a62436ba6/" TargetMode="External" Id="rId83" /><Relationship Type="http://schemas.openxmlformats.org/officeDocument/2006/relationships/hyperlink" Target="https://ep.cpgdata.com/external-api/view-photo/displays/791dee37-5448-4805-a41e-8c0f5f0165f4/" TargetMode="External" Id="rId84" /><Relationship Type="http://schemas.openxmlformats.org/officeDocument/2006/relationships/hyperlink" Target="https://ep.cpgdata.com/external-api/view-photo/displays/0ebc5189-b193-48d1-8e51-b7dcdf556c1d/" TargetMode="External" Id="rId85" /><Relationship Type="http://schemas.openxmlformats.org/officeDocument/2006/relationships/hyperlink" Target="https://ep.cpgdata.com/external-api/view-photo/displays/e3d014c0-d75d-495e-94b7-e3235eac733a/" TargetMode="External" Id="rId86" /><Relationship Type="http://schemas.openxmlformats.org/officeDocument/2006/relationships/hyperlink" Target="https://ep.cpgdata.com/external-api/view-photo/displays/c6e32440-beee-4694-b68c-d4a63c8beb21/" TargetMode="External" Id="rId87" /><Relationship Type="http://schemas.openxmlformats.org/officeDocument/2006/relationships/hyperlink" Target="https://ep.cpgdata.com/external-api/view-photo/displays/15431b57-f821-4dff-9e0d-d073332c2949/" TargetMode="External" Id="rId88" /><Relationship Type="http://schemas.openxmlformats.org/officeDocument/2006/relationships/hyperlink" Target="https://ep.cpgdata.com/external-api/view-photo/displays/8e536ee5-c942-49b0-a51f-ae43fd18f75a/" TargetMode="External" Id="rId89" /><Relationship Type="http://schemas.openxmlformats.org/officeDocument/2006/relationships/hyperlink" Target="https://ep.cpgdata.com/external-api/view-photo/displays/14ecf521-cfa5-430b-9fbb-6aa29a031916/" TargetMode="External" Id="rId90" /><Relationship Type="http://schemas.openxmlformats.org/officeDocument/2006/relationships/hyperlink" Target="https://ep.cpgdata.com/external-api/view-photo/displays/a7497154-e1aa-4487-99cd-f5fbc9918886/" TargetMode="External" Id="rId91" /><Relationship Type="http://schemas.openxmlformats.org/officeDocument/2006/relationships/hyperlink" Target="https://ep.cpgdata.com/external-api/view-photo/displays/65b16755-bbb0-49a6-a8e7-123034598d12/" TargetMode="External" Id="rId92" /><Relationship Type="http://schemas.openxmlformats.org/officeDocument/2006/relationships/hyperlink" Target="https://ep.cpgdata.com/external-api/view-photo/displays/dce24735-a76d-403b-994b-7ce34d53ae3f/" TargetMode="External" Id="rId93" /><Relationship Type="http://schemas.openxmlformats.org/officeDocument/2006/relationships/hyperlink" Target="https://ep.cpgdata.com/external-api/view-photo/displays/1d77c4b1-47e2-4e07-868d-33e2b856f7d4/" TargetMode="External" Id="rId94" /><Relationship Type="http://schemas.openxmlformats.org/officeDocument/2006/relationships/hyperlink" Target="https://ep.cpgdata.com/external-api/view-photo/displays/3e311783-9536-4d17-98d4-2df8da38fbd9/" TargetMode="External" Id="rId95" /><Relationship Type="http://schemas.openxmlformats.org/officeDocument/2006/relationships/hyperlink" Target="https://ep.cpgdata.com/external-api/view-photo/displays/20d92481-450b-4586-8779-41215e145496/" TargetMode="External" Id="rId96" /><Relationship Type="http://schemas.openxmlformats.org/officeDocument/2006/relationships/hyperlink" Target="https://ep.cpgdata.com/external-api/view-photo/displays/b8078525-220b-4c89-a01a-8091c06afc97/" TargetMode="External" Id="rId97" /><Relationship Type="http://schemas.openxmlformats.org/officeDocument/2006/relationships/hyperlink" Target="https://ep.cpgdata.com/external-api/view-photo/displays/aa56d0eb-80bb-4f06-bb54-3796f2d3030e/" TargetMode="External" Id="rId98" /><Relationship Type="http://schemas.openxmlformats.org/officeDocument/2006/relationships/hyperlink" Target="https://ep.cpgdata.com/external-api/view-photo/displays/16a141f1-df35-49d1-ae48-044719402abd/" TargetMode="External" Id="rId99" /><Relationship Type="http://schemas.openxmlformats.org/officeDocument/2006/relationships/hyperlink" Target="https://ep.cpgdata.com/external-api/view-photo/displays/a1b9ab6b-5886-4824-84e0-4644776d6252/" TargetMode="External" Id="rId100" /><Relationship Type="http://schemas.openxmlformats.org/officeDocument/2006/relationships/hyperlink" Target="https://ep.cpgdata.com/external-api/view-photo/displays/04daef4d-95b3-4e00-855e-8a9089d6bc0e/" TargetMode="External" Id="rId101" /><Relationship Type="http://schemas.openxmlformats.org/officeDocument/2006/relationships/hyperlink" Target="https://ep.cpgdata.com/external-api/view-photo/displays/c99b265e-0b94-46d3-8260-c28cebb48830/" TargetMode="External" Id="rId102" /><Relationship Type="http://schemas.openxmlformats.org/officeDocument/2006/relationships/hyperlink" Target="https://ep.cpgdata.com/external-api/view-photo/displays/4db1809f-583f-47d6-88d6-223fe8936646/" TargetMode="External" Id="rId103" /><Relationship Type="http://schemas.openxmlformats.org/officeDocument/2006/relationships/hyperlink" Target="https://ep.cpgdata.com/external-api/view-photo/displays/48c5e8d6-4324-452e-bdbd-67e80ebb2a42/" TargetMode="External" Id="rId104" /><Relationship Type="http://schemas.openxmlformats.org/officeDocument/2006/relationships/hyperlink" Target="https://ep.cpgdata.com/external-api/view-photo/displays/b6d65380-1efb-4b3e-94d5-705fb87a3022/" TargetMode="External" Id="rId105" /><Relationship Type="http://schemas.openxmlformats.org/officeDocument/2006/relationships/hyperlink" Target="https://ep.cpgdata.com/external-api/view-photo/displays/97e1ce9a-42cc-4f7d-9e3d-7f8dfdfd303d/" TargetMode="External" Id="rId106" /><Relationship Type="http://schemas.openxmlformats.org/officeDocument/2006/relationships/hyperlink" Target="https://ep.cpgdata.com/external-api/view-photo/displays/400438fd-23e7-487c-bd9b-0f549851dfd9/" TargetMode="External" Id="rId107" /><Relationship Type="http://schemas.openxmlformats.org/officeDocument/2006/relationships/hyperlink" Target="https://ep.cpgdata.com/external-api/view-photo/displays/309fbd6f-fae0-4b5c-b05b-b68671b61eeb/" TargetMode="External" Id="rId108" /><Relationship Type="http://schemas.openxmlformats.org/officeDocument/2006/relationships/hyperlink" Target="https://ep.cpgdata.com/external-api/view-photo/displays/57763205-7543-408a-9548-f3bb06a905d3/" TargetMode="External" Id="rId109" /><Relationship Type="http://schemas.openxmlformats.org/officeDocument/2006/relationships/hyperlink" Target="https://ep.cpgdata.com/external-api/view-photo/displays/6acb414a-c47a-41cd-8ad0-38a040f32dfb/" TargetMode="External" Id="rId110" /><Relationship Type="http://schemas.openxmlformats.org/officeDocument/2006/relationships/hyperlink" Target="https://ep.cpgdata.com/external-api/view-photo/displays/f064786a-3d37-47ca-b84c-8e660337cebf/" TargetMode="External" Id="rId111" /><Relationship Type="http://schemas.openxmlformats.org/officeDocument/2006/relationships/hyperlink" Target="https://ep.cpgdata.com/external-api/view-photo/displays/a776c5aa-9e7d-437b-bee4-7e85ddf1e4b8/" TargetMode="External" Id="rId112" /><Relationship Type="http://schemas.openxmlformats.org/officeDocument/2006/relationships/hyperlink" Target="https://ep.cpgdata.com/external-api/view-photo/displays/254a006b-6b9a-4fbc-92b6-364847f49979/" TargetMode="External" Id="rId113" /><Relationship Type="http://schemas.openxmlformats.org/officeDocument/2006/relationships/hyperlink" Target="https://ep.cpgdata.com/external-api/view-photo/displays/13126636-b345-4809-991e-1e3b1089deae/" TargetMode="External" Id="rId114" /><Relationship Type="http://schemas.openxmlformats.org/officeDocument/2006/relationships/hyperlink" Target="https://ep.cpgdata.com/external-api/view-photo/displays/31f6e05b-1e9f-4b46-a916-35e910f58c08/" TargetMode="External" Id="rId115" /><Relationship Type="http://schemas.openxmlformats.org/officeDocument/2006/relationships/hyperlink" Target="https://ep.cpgdata.com/external-api/view-photo/displays/f37e6faa-0c1c-441e-a68b-a1bf75a8eec3/" TargetMode="External" Id="rId116" /><Relationship Type="http://schemas.openxmlformats.org/officeDocument/2006/relationships/hyperlink" Target="https://ep.cpgdata.com/external-api/view-photo/displays/d9899b2a-3923-428f-b36b-43e36268e496/" TargetMode="External" Id="rId117" /><Relationship Type="http://schemas.openxmlformats.org/officeDocument/2006/relationships/hyperlink" Target="https://ep.cpgdata.com/external-api/view-photo/displays/c20a83ec-f4e8-49fe-8a0d-e4f0b1a46eb2/" TargetMode="External" Id="rId118" /><Relationship Type="http://schemas.openxmlformats.org/officeDocument/2006/relationships/hyperlink" Target="https://ep.cpgdata.com/external-api/view-photo/displays/3fa9ef80-049e-4131-b2a5-048effdadc87/" TargetMode="External" Id="rId119" /><Relationship Type="http://schemas.openxmlformats.org/officeDocument/2006/relationships/hyperlink" Target="https://ep.cpgdata.com/external-api/view-photo/displays/a4f02c1a-4b7b-4e2c-8cec-816c50682124/" TargetMode="External" Id="rId120" /><Relationship Type="http://schemas.openxmlformats.org/officeDocument/2006/relationships/hyperlink" Target="https://ep.cpgdata.com/external-api/view-photo/displays/60bb32e1-9d65-4994-a2ca-7a8959b77181/" TargetMode="External" Id="rId121" /><Relationship Type="http://schemas.openxmlformats.org/officeDocument/2006/relationships/hyperlink" Target="https://ep.cpgdata.com/external-api/view-photo/displays/441823df-9eda-42ef-aca9-4e662a8d0250/" TargetMode="External" Id="rId122" /><Relationship Type="http://schemas.openxmlformats.org/officeDocument/2006/relationships/hyperlink" Target="https://ep.cpgdata.com/external-api/view-photo/displays/2504bada-0227-4fd5-9ec7-52a74648752a/" TargetMode="External" Id="rId123" /><Relationship Type="http://schemas.openxmlformats.org/officeDocument/2006/relationships/hyperlink" Target="https://ep.cpgdata.com/external-api/view-photo/displays/8030f26e-fbc2-4107-94b5-729bb22eee76/" TargetMode="External" Id="rId124" /></Relationships>
</file>

<file path=xl/worksheets/_rels/sheet6.xml.rels><Relationships xmlns="http://schemas.openxmlformats.org/package/2006/relationships"><Relationship Type="http://schemas.openxmlformats.org/officeDocument/2006/relationships/hyperlink" Target="https://ep.cpgdata.com/external-api/view-photo/displays/ecf6c550-aa97-46ca-9854-cecb47cf5a93/" TargetMode="External" Id="rId1" /><Relationship Type="http://schemas.openxmlformats.org/officeDocument/2006/relationships/hyperlink" Target="https://ep.cpgdata.com/external-api/view-photo/displays/90f3b054-6a1e-4b74-8170-08c1cdcaf9a0/" TargetMode="External" Id="rId2" /><Relationship Type="http://schemas.openxmlformats.org/officeDocument/2006/relationships/hyperlink" Target="https://ep.cpgdata.com/external-api/view-photo/displays/141337b2-3c2f-4750-80f3-d7a06c7fb49a/" TargetMode="External" Id="rId3" /><Relationship Type="http://schemas.openxmlformats.org/officeDocument/2006/relationships/hyperlink" Target="https://ep.cpgdata.com/external-api/view-photo/displays/1914bb32-8551-4fcd-87bb-dcc4bea1a115/" TargetMode="External" Id="rId4" /><Relationship Type="http://schemas.openxmlformats.org/officeDocument/2006/relationships/hyperlink" Target="https://ep.cpgdata.com/external-api/view-photo/displays/12d81ca9-069d-4bfc-9f36-c863cb56179e/" TargetMode="External" Id="rId5" /><Relationship Type="http://schemas.openxmlformats.org/officeDocument/2006/relationships/hyperlink" Target="https://ep.cpgdata.com/external-api/view-photo/displays/7a5a7eb0-6d57-46ff-860c-437ec3caab7a/" TargetMode="External" Id="rId6" /><Relationship Type="http://schemas.openxmlformats.org/officeDocument/2006/relationships/hyperlink" Target="https://ep.cpgdata.com/external-api/view-photo/displays/4db1809f-583f-47d6-88d6-223fe8936646/" TargetMode="External" Id="rId7" /><Relationship Type="http://schemas.openxmlformats.org/officeDocument/2006/relationships/hyperlink" Target="https://ep.cpgdata.com/external-api/view-photo/displays/2773913d-d244-404b-be6e-ffe7ff13b6dc/" TargetMode="External" Id="rId8" /><Relationship Type="http://schemas.openxmlformats.org/officeDocument/2006/relationships/hyperlink" Target="https://ep.cpgdata.com/external-api/view-photo/displays/3287ce91-d427-4f5b-a3ea-779ed832faa6/" TargetMode="External" Id="rId9" /><Relationship Type="http://schemas.openxmlformats.org/officeDocument/2006/relationships/hyperlink" Target="https://ep.cpgdata.com/external-api/view-photo/displays/1723130f-ce7c-4d65-b787-13b434c606bf/" TargetMode="External" Id="rId10" /><Relationship Type="http://schemas.openxmlformats.org/officeDocument/2006/relationships/hyperlink" Target="https://ep.cpgdata.com/external-api/view-photo/displays/10d6b830-f186-495d-a0ca-99761c984e4d/" TargetMode="External" Id="rId11" /><Relationship Type="http://schemas.openxmlformats.org/officeDocument/2006/relationships/hyperlink" Target="https://ep.cpgdata.com/external-api/view-photo/displays/ee0eb748-9131-4ecc-ba0f-a1d6b8e06973/" TargetMode="External" Id="rId12" /><Relationship Type="http://schemas.openxmlformats.org/officeDocument/2006/relationships/hyperlink" Target="https://ep.cpgdata.com/external-api/view-photo/displays/e4a1df4d-f820-4caa-9727-7f0c5932bb16/" TargetMode="External" Id="rId13" /><Relationship Type="http://schemas.openxmlformats.org/officeDocument/2006/relationships/hyperlink" Target="https://ep.cpgdata.com/external-api/view-photo/displays/6ebe70ef-f6cd-495b-8b7c-dc130334ac1c/" TargetMode="External" Id="rId14" /><Relationship Type="http://schemas.openxmlformats.org/officeDocument/2006/relationships/hyperlink" Target="https://ep.cpgdata.com/external-api/view-photo/displays/aa56d0eb-80bb-4f06-bb54-3796f2d3030e/" TargetMode="External" Id="rId15" /><Relationship Type="http://schemas.openxmlformats.org/officeDocument/2006/relationships/hyperlink" Target="https://ep.cpgdata.com/external-api/view-photo/displays/794ea9ff-5e25-46d9-a7b6-6911dad6d426/" TargetMode="External" Id="rId16" /><Relationship Type="http://schemas.openxmlformats.org/officeDocument/2006/relationships/hyperlink" Target="https://ep.cpgdata.com/external-api/view-photo/displays/22a2e0ae-1909-4d2c-8131-6f8b72430cba/" TargetMode="External" Id="rId17" /><Relationship Type="http://schemas.openxmlformats.org/officeDocument/2006/relationships/hyperlink" Target="https://ep.cpgdata.com/external-api/view-photo/displays/c3c23c8e-ed55-4c79-b916-916cdd8f601a/" TargetMode="External" Id="rId18" /><Relationship Type="http://schemas.openxmlformats.org/officeDocument/2006/relationships/hyperlink" Target="https://ep.cpgdata.com/external-api/view-photo/displays/48c5e8d6-4324-452e-bdbd-67e80ebb2a42/" TargetMode="External" Id="rId19" /><Relationship Type="http://schemas.openxmlformats.org/officeDocument/2006/relationships/hyperlink" Target="https://ep.cpgdata.com/external-api/view-photo/displays/755ab9e7-99c9-414d-902e-b8f41210fdff/" TargetMode="External" Id="rId20" /><Relationship Type="http://schemas.openxmlformats.org/officeDocument/2006/relationships/hyperlink" Target="https://ep.cpgdata.com/external-api/view-photo/displays/505ac3b2-8a25-4c08-9cba-8124dada4b31/" TargetMode="External" Id="rId21" /><Relationship Type="http://schemas.openxmlformats.org/officeDocument/2006/relationships/hyperlink" Target="https://ep.cpgdata.com/external-api/view-photo/displays/a867b6f0-4105-4024-9955-00cb68339429/" TargetMode="External" Id="rId22" /><Relationship Type="http://schemas.openxmlformats.org/officeDocument/2006/relationships/hyperlink" Target="https://ep.cpgdata.com/external-api/view-photo/displays/5b9186a0-0425-4dbc-b06d-4ce3f2f991b0/" TargetMode="External" Id="rId23" /><Relationship Type="http://schemas.openxmlformats.org/officeDocument/2006/relationships/hyperlink" Target="https://ep.cpgdata.com/external-api/view-photo/displays/3e311783-9536-4d17-98d4-2df8da38fbd9/" TargetMode="External" Id="rId24" /><Relationship Type="http://schemas.openxmlformats.org/officeDocument/2006/relationships/hyperlink" Target="https://ep.cpgdata.com/external-api/view-photo/displays/1e7a8b31-68c3-403a-b48b-93c957eeeb34/" TargetMode="External" Id="rId25" /><Relationship Type="http://schemas.openxmlformats.org/officeDocument/2006/relationships/hyperlink" Target="https://ep.cpgdata.com/external-api/view-photo/displays/5059d6ff-eced-47fb-afa6-d24c876b2588/" TargetMode="External" Id="rId26" /><Relationship Type="http://schemas.openxmlformats.org/officeDocument/2006/relationships/hyperlink" Target="https://ep.cpgdata.com/external-api/view-photo/displays/fa3fdde5-cb8d-4036-9110-6cad7347336b/" TargetMode="External" Id="rId27" /><Relationship Type="http://schemas.openxmlformats.org/officeDocument/2006/relationships/hyperlink" Target="https://ep.cpgdata.com/external-api/view-photo/displays/6a9482e0-1bc3-4b66-bffa-63845839b208/" TargetMode="External" Id="rId28" /><Relationship Type="http://schemas.openxmlformats.org/officeDocument/2006/relationships/hyperlink" Target="https://ep.cpgdata.com/external-api/view-photo/displays/5571a64c-3fad-46de-8b44-0d55d1a4bcb0/" TargetMode="External" Id="rId29" /><Relationship Type="http://schemas.openxmlformats.org/officeDocument/2006/relationships/hyperlink" Target="https://ep.cpgdata.com/external-api/view-photo/displays/2195a71c-7fc0-4f25-a2f9-96033fcbc684/" TargetMode="External" Id="rId30" /><Relationship Type="http://schemas.openxmlformats.org/officeDocument/2006/relationships/hyperlink" Target="https://ep.cpgdata.com/external-api/view-photo/displays/91eadee4-9d10-46cd-8881-7273edc8b61b/" TargetMode="External" Id="rId31" /><Relationship Type="http://schemas.openxmlformats.org/officeDocument/2006/relationships/hyperlink" Target="https://ep.cpgdata.com/external-api/view-photo/displays/e3d1f1cb-d714-46d3-8917-80752e4862c7/" TargetMode="External" Id="rId32" /><Relationship Type="http://schemas.openxmlformats.org/officeDocument/2006/relationships/hyperlink" Target="https://ep.cpgdata.com/external-api/view-photo/displays/1d2dcc76-da0c-407b-b44b-625357104c34/" TargetMode="External" Id="rId33" /><Relationship Type="http://schemas.openxmlformats.org/officeDocument/2006/relationships/hyperlink" Target="https://ep.cpgdata.com/external-api/view-photo/displays/b8078525-220b-4c89-a01a-8091c06afc97/" TargetMode="External" Id="rId34" /><Relationship Type="http://schemas.openxmlformats.org/officeDocument/2006/relationships/hyperlink" Target="https://ep.cpgdata.com/external-api/view-photo/displays/a776c5aa-9e7d-437b-bee4-7e85ddf1e4b8/" TargetMode="External" Id="rId35" /><Relationship Type="http://schemas.openxmlformats.org/officeDocument/2006/relationships/hyperlink" Target="https://ep.cpgdata.com/external-api/view-photo/displays/3252ea7a-a05c-414f-9c9e-91df94a4a69f/" TargetMode="External" Id="rId36" /><Relationship Type="http://schemas.openxmlformats.org/officeDocument/2006/relationships/hyperlink" Target="https://ep.cpgdata.com/external-api/view-photo/displays/293abed5-ede7-4093-ad26-ebc8374feb33/" TargetMode="External" Id="rId37" /><Relationship Type="http://schemas.openxmlformats.org/officeDocument/2006/relationships/hyperlink" Target="https://ep.cpgdata.com/external-api/view-photo/displays/8e536ee5-c942-49b0-a51f-ae43fd18f75a/" TargetMode="External" Id="rId38" /><Relationship Type="http://schemas.openxmlformats.org/officeDocument/2006/relationships/hyperlink" Target="https://ep.cpgdata.com/external-api/view-photo/displays/c7877ad6-c441-4607-9a63-9eb8bced855e/" TargetMode="External" Id="rId39" /><Relationship Type="http://schemas.openxmlformats.org/officeDocument/2006/relationships/hyperlink" Target="https://ep.cpgdata.com/external-api/view-photo/displays/f983bff4-38b8-44a7-893a-03979bb39fe1/" TargetMode="External" Id="rId40" /><Relationship Type="http://schemas.openxmlformats.org/officeDocument/2006/relationships/hyperlink" Target="https://ep.cpgdata.com/external-api/view-photo/displays/1a46b357-2f6b-4f44-85b4-8687910656b0/" TargetMode="External" Id="rId41" /><Relationship Type="http://schemas.openxmlformats.org/officeDocument/2006/relationships/hyperlink" Target="https://ep.cpgdata.com/external-api/view-photo/displays/27b97c82-d324-4221-bc91-a349977bdf01/" TargetMode="External" Id="rId42" /><Relationship Type="http://schemas.openxmlformats.org/officeDocument/2006/relationships/hyperlink" Target="https://ep.cpgdata.com/external-api/view-photo/displays/d509437d-38fb-4442-932a-29f6784d2e8c/" TargetMode="External" Id="rId43" /><Relationship Type="http://schemas.openxmlformats.org/officeDocument/2006/relationships/hyperlink" Target="https://ep.cpgdata.com/external-api/view-photo/displays/0cd722cc-60b5-4b41-b06f-b478fbc4ebee/" TargetMode="External" Id="rId44" /><Relationship Type="http://schemas.openxmlformats.org/officeDocument/2006/relationships/hyperlink" Target="https://ep.cpgdata.com/external-api/view-photo/displays/b21e7877-925e-4439-b843-c029d694394b/" TargetMode="External" Id="rId45" /><Relationship Type="http://schemas.openxmlformats.org/officeDocument/2006/relationships/hyperlink" Target="https://ep.cpgdata.com/external-api/view-photo/displays/254a006b-6b9a-4fbc-92b6-364847f49979/" TargetMode="External" Id="rId46" /><Relationship Type="http://schemas.openxmlformats.org/officeDocument/2006/relationships/hyperlink" Target="https://ep.cpgdata.com/external-api/view-photo/displays/93091b75-3286-46ea-bdbe-a4b8cdf16d49/" TargetMode="External" Id="rId47" /><Relationship Type="http://schemas.openxmlformats.org/officeDocument/2006/relationships/hyperlink" Target="https://ep.cpgdata.com/external-api/view-photo/displays/5649e1dd-3483-4fea-84e2-fd7197cacd12/" TargetMode="External" Id="rId48" /><Relationship Type="http://schemas.openxmlformats.org/officeDocument/2006/relationships/hyperlink" Target="https://ep.cpgdata.com/external-api/view-photo/displays/60633483-5cb7-4ec9-b919-8fe4c8d71214/" TargetMode="External" Id="rId49" /><Relationship Type="http://schemas.openxmlformats.org/officeDocument/2006/relationships/hyperlink" Target="https://ep.cpgdata.com/external-api/view-photo/displays/45bb1e45-90a8-4a4e-9d81-f220311765de/" TargetMode="External" Id="rId50" /><Relationship Type="http://schemas.openxmlformats.org/officeDocument/2006/relationships/hyperlink" Target="https://ep.cpgdata.com/external-api/view-photo/displays/74f42678-e54a-48fb-b8d6-87129c7780fe/" TargetMode="External" Id="rId51" /><Relationship Type="http://schemas.openxmlformats.org/officeDocument/2006/relationships/hyperlink" Target="https://ep.cpgdata.com/external-api/view-photo/displays/eba4808c-d70a-407a-9371-6c160881c207/" TargetMode="External" Id="rId52" /><Relationship Type="http://schemas.openxmlformats.org/officeDocument/2006/relationships/hyperlink" Target="https://ep.cpgdata.com/external-api/view-photo/displays/9efb9fa8-724d-4bb4-baa2-27eed1a32467/" TargetMode="External" Id="rId53" /><Relationship Type="http://schemas.openxmlformats.org/officeDocument/2006/relationships/hyperlink" Target="https://ep.cpgdata.com/external-api/view-photo/displays/473a00da-e9e6-419a-84d7-7dc1fa9b4ce5/" TargetMode="External" Id="rId54" /><Relationship Type="http://schemas.openxmlformats.org/officeDocument/2006/relationships/hyperlink" Target="https://ep.cpgdata.com/external-api/view-photo/displays/e262aa83-bcb0-4ad8-a18e-3aa5950a60ee/" TargetMode="External" Id="rId55" /><Relationship Type="http://schemas.openxmlformats.org/officeDocument/2006/relationships/hyperlink" Target="https://ep.cpgdata.com/external-api/view-photo/displays/280f8b4d-768a-49ec-b57c-8abf270453a0/" TargetMode="External" Id="rId56" /><Relationship Type="http://schemas.openxmlformats.org/officeDocument/2006/relationships/hyperlink" Target="https://ep.cpgdata.com/external-api/view-photo/displays/16333300-2e78-4801-b4b8-d87912872f94/" TargetMode="External" Id="rId57" /><Relationship Type="http://schemas.openxmlformats.org/officeDocument/2006/relationships/hyperlink" Target="https://ep.cpgdata.com/external-api/view-photo/displays/3437b09a-583b-4964-af5b-4fc6a74bf148/" TargetMode="External" Id="rId58" /><Relationship Type="http://schemas.openxmlformats.org/officeDocument/2006/relationships/hyperlink" Target="https://ep.cpgdata.com/external-api/view-photo/displays/b6d65380-1efb-4b3e-94d5-705fb87a3022/" TargetMode="External" Id="rId59" /><Relationship Type="http://schemas.openxmlformats.org/officeDocument/2006/relationships/hyperlink" Target="https://ep.cpgdata.com/external-api/view-photo/displays/7cca1ea7-b7bd-4c96-9026-90ebc7040e9b/" TargetMode="External" Id="rId60" /><Relationship Type="http://schemas.openxmlformats.org/officeDocument/2006/relationships/hyperlink" Target="https://ep.cpgdata.com/external-api/view-photo/displays/63b52bfa-53b5-4d32-86f5-75a088b7409c/" TargetMode="External" Id="rId61" /><Relationship Type="http://schemas.openxmlformats.org/officeDocument/2006/relationships/hyperlink" Target="https://ep.cpgdata.com/external-api/view-photo/displays/fc64897f-9a58-41aa-a0fa-13d010f84469/" TargetMode="External" Id="rId62" /><Relationship Type="http://schemas.openxmlformats.org/officeDocument/2006/relationships/hyperlink" Target="https://ep.cpgdata.com/external-api/view-photo/displays/4dc85cae-94ea-4d34-a2ae-8fc11df391a8/" TargetMode="External" Id="rId63" /><Relationship Type="http://schemas.openxmlformats.org/officeDocument/2006/relationships/hyperlink" Target="https://ep.cpgdata.com/external-api/view-photo/displays/74ee6776-9a8e-4a95-9613-fa6e1db69ab2/" TargetMode="External" Id="rId64" /><Relationship Type="http://schemas.openxmlformats.org/officeDocument/2006/relationships/hyperlink" Target="https://ep.cpgdata.com/external-api/view-photo/displays/bb4504c6-40c4-4816-96b8-b61479c1e79e/" TargetMode="External" Id="rId65" /><Relationship Type="http://schemas.openxmlformats.org/officeDocument/2006/relationships/hyperlink" Target="https://ep.cpgdata.com/external-api/view-photo/displays/1b38f899-9ba7-4a30-8059-a075fb9ff794/" TargetMode="External" Id="rId66" /><Relationship Type="http://schemas.openxmlformats.org/officeDocument/2006/relationships/hyperlink" Target="https://ep.cpgdata.com/external-api/view-photo/displays/693ee849-49ef-43ab-824d-cf0930f24f2c/" TargetMode="External" Id="rId67" /><Relationship Type="http://schemas.openxmlformats.org/officeDocument/2006/relationships/hyperlink" Target="https://ep.cpgdata.com/external-api/view-photo/displays/54aeccee-2078-438a-88b0-de6a62436ba6/" TargetMode="External" Id="rId68" /><Relationship Type="http://schemas.openxmlformats.org/officeDocument/2006/relationships/hyperlink" Target="https://ep.cpgdata.com/external-api/view-photo/displays/b83d530c-c9d6-40b8-9675-5598689e887e/" TargetMode="External" Id="rId69" /><Relationship Type="http://schemas.openxmlformats.org/officeDocument/2006/relationships/hyperlink" Target="https://ep.cpgdata.com/external-api/view-photo/displays/ba807c51-9cc5-45fc-adfd-2b9fc56091c8/" TargetMode="External" Id="rId70" /><Relationship Type="http://schemas.openxmlformats.org/officeDocument/2006/relationships/hyperlink" Target="https://ep.cpgdata.com/external-api/view-photo/displays/48d6c74b-4a39-4dd6-a8ec-f0c65631ad17/" TargetMode="External" Id="rId71" /><Relationship Type="http://schemas.openxmlformats.org/officeDocument/2006/relationships/hyperlink" Target="https://ep.cpgdata.com/external-api/view-photo/displays/f4742c5c-d3b9-4fcf-baa5-b05562ccc841/" TargetMode="External" Id="rId72" /><Relationship Type="http://schemas.openxmlformats.org/officeDocument/2006/relationships/hyperlink" Target="https://ep.cpgdata.com/external-api/view-photo/displays/e302df69-ab4f-4410-813d-e99e889aa35e/" TargetMode="External" Id="rId73" /><Relationship Type="http://schemas.openxmlformats.org/officeDocument/2006/relationships/hyperlink" Target="https://ep.cpgdata.com/external-api/view-photo/displays/a255fd8b-b625-4b69-88da-bcbda3f33d22/" TargetMode="External" Id="rId74" /><Relationship Type="http://schemas.openxmlformats.org/officeDocument/2006/relationships/hyperlink" Target="https://ep.cpgdata.com/external-api/view-photo/displays/16a1779d-2135-4667-8c03-bd527b709fab/" TargetMode="External" Id="rId75" /><Relationship Type="http://schemas.openxmlformats.org/officeDocument/2006/relationships/hyperlink" Target="https://ep.cpgdata.com/external-api/view-photo/displays/0c895c52-9a40-407c-a77b-51c029842b1e/" TargetMode="External" Id="rId76" /><Relationship Type="http://schemas.openxmlformats.org/officeDocument/2006/relationships/hyperlink" Target="https://ep.cpgdata.com/external-api/view-photo/displays/7581048b-61f6-4deb-972d-253401ba622c/" TargetMode="External" Id="rId77" /><Relationship Type="http://schemas.openxmlformats.org/officeDocument/2006/relationships/hyperlink" Target="https://ep.cpgdata.com/external-api/view-photo/displays/1ce4ed75-3ce6-4f96-9e84-3e14e454f35c/" TargetMode="External" Id="rId78" /><Relationship Type="http://schemas.openxmlformats.org/officeDocument/2006/relationships/hyperlink" Target="https://ep.cpgdata.com/external-api/view-photo/displays/b7cf30d7-7f76-41f0-b095-95c134c18ee3/" TargetMode="External" Id="rId79" /><Relationship Type="http://schemas.openxmlformats.org/officeDocument/2006/relationships/hyperlink" Target="https://ep.cpgdata.com/external-api/view-photo/displays/bc8fe8ab-442b-4a91-bdf3-e66c4245d561/" TargetMode="External" Id="rId80" /><Relationship Type="http://schemas.openxmlformats.org/officeDocument/2006/relationships/hyperlink" Target="https://ep.cpgdata.com/external-api/view-photo/displays/af53c005-549e-46c1-888b-e203769b0ebe/" TargetMode="External" Id="rId81" /><Relationship Type="http://schemas.openxmlformats.org/officeDocument/2006/relationships/hyperlink" Target="https://ep.cpgdata.com/external-api/view-photo/displays/5de5655c-324a-4b1f-9e86-1af6e54d0f48/" TargetMode="External" Id="rId82" /><Relationship Type="http://schemas.openxmlformats.org/officeDocument/2006/relationships/hyperlink" Target="https://ep.cpgdata.com/external-api/view-photo/displays/455010db-ce6b-48d3-b043-4c6ee5134dd6/" TargetMode="External" Id="rId83" /><Relationship Type="http://schemas.openxmlformats.org/officeDocument/2006/relationships/hyperlink" Target="https://ep.cpgdata.com/external-api/view-photo/displays/2ee58c17-88ac-4ad9-a7df-ab5eb5148b03/" TargetMode="External" Id="rId84" /><Relationship Type="http://schemas.openxmlformats.org/officeDocument/2006/relationships/hyperlink" Target="https://ep.cpgdata.com/external-api/view-photo/displays/55472750-790c-4be1-bb6f-9aecc6a6ff7f/" TargetMode="External" Id="rId85" /><Relationship Type="http://schemas.openxmlformats.org/officeDocument/2006/relationships/hyperlink" Target="https://ep.cpgdata.com/external-api/view-photo/displays/1d77c4b1-47e2-4e07-868d-33e2b856f7d4/" TargetMode="External" Id="rId86" /><Relationship Type="http://schemas.openxmlformats.org/officeDocument/2006/relationships/hyperlink" Target="https://ep.cpgdata.com/external-api/view-photo/displays/b6b6582f-bf07-4063-986d-2144510f41b1/" TargetMode="External" Id="rId87" /><Relationship Type="http://schemas.openxmlformats.org/officeDocument/2006/relationships/hyperlink" Target="https://ep.cpgdata.com/external-api/view-photo/displays/8a95897a-4a15-4012-ba29-3d55660e87be/" TargetMode="External" Id="rId88" /><Relationship Type="http://schemas.openxmlformats.org/officeDocument/2006/relationships/hyperlink" Target="https://ep.cpgdata.com/external-api/view-photo/displays/400438fd-23e7-487c-bd9b-0f549851dfd9/" TargetMode="External" Id="rId89" /><Relationship Type="http://schemas.openxmlformats.org/officeDocument/2006/relationships/hyperlink" Target="https://ep.cpgdata.com/external-api/view-photo/displays/c2c93b03-8a6a-40aa-95cf-ce15ddac8021/" TargetMode="External" Id="rId90" /><Relationship Type="http://schemas.openxmlformats.org/officeDocument/2006/relationships/hyperlink" Target="https://ep.cpgdata.com/external-api/view-photo/displays/d01bd0fd-bcff-4279-a63c-fdf284e07a27/" TargetMode="External" Id="rId91" /><Relationship Type="http://schemas.openxmlformats.org/officeDocument/2006/relationships/hyperlink" Target="https://ep.cpgdata.com/external-api/view-photo/displays/b5bc1018-a103-4b06-b3e9-acfe33e4dc2a/" TargetMode="External" Id="rId92" /><Relationship Type="http://schemas.openxmlformats.org/officeDocument/2006/relationships/hyperlink" Target="https://ep.cpgdata.com/external-api/view-photo/displays/8346d385-21cb-41b3-88e0-56eae3251497/" TargetMode="External" Id="rId93" /><Relationship Type="http://schemas.openxmlformats.org/officeDocument/2006/relationships/hyperlink" Target="https://ep.cpgdata.com/external-api/view-photo/displays/fd513822-53b1-418e-9114-6775747c0c71/" TargetMode="External" Id="rId94" /><Relationship Type="http://schemas.openxmlformats.org/officeDocument/2006/relationships/hyperlink" Target="https://ep.cpgdata.com/external-api/view-photo/displays/17d4c6ee-6d82-4465-aae9-94fe987191a5/" TargetMode="External" Id="rId95" /><Relationship Type="http://schemas.openxmlformats.org/officeDocument/2006/relationships/hyperlink" Target="https://ep.cpgdata.com/external-api/view-photo/displays/3c893d83-ec9c-4160-806f-43909ac36d81/" TargetMode="External" Id="rId96" /><Relationship Type="http://schemas.openxmlformats.org/officeDocument/2006/relationships/hyperlink" Target="https://ep.cpgdata.com/external-api/view-photo/displays/3967c651-2171-469d-a51e-50d4c3005b03/" TargetMode="External" Id="rId97" /><Relationship Type="http://schemas.openxmlformats.org/officeDocument/2006/relationships/hyperlink" Target="https://ep.cpgdata.com/external-api/view-photo/displays/e79f7806-5d06-4539-92c1-60b3b0671948/" TargetMode="External" Id="rId98" /><Relationship Type="http://schemas.openxmlformats.org/officeDocument/2006/relationships/hyperlink" Target="https://ep.cpgdata.com/external-api/view-photo/displays/6776dd21-b0f6-4dd4-b8d8-f6800cdc19a1/" TargetMode="External" Id="rId99" /><Relationship Type="http://schemas.openxmlformats.org/officeDocument/2006/relationships/hyperlink" Target="https://ep.cpgdata.com/external-api/view-photo/displays/fd5cebca-490f-4608-bd8e-5c9f02de42d9/" TargetMode="External" Id="rId100" /><Relationship Type="http://schemas.openxmlformats.org/officeDocument/2006/relationships/hyperlink" Target="https://ep.cpgdata.com/external-api/view-photo/displays/87a5674c-583e-407f-a8c0-493b257132a9/" TargetMode="External" Id="rId101" /><Relationship Type="http://schemas.openxmlformats.org/officeDocument/2006/relationships/hyperlink" Target="https://ep.cpgdata.com/external-api/view-photo/displays/a50fe4fe-dace-418e-8cda-526ac608935e/" TargetMode="External" Id="rId102" /><Relationship Type="http://schemas.openxmlformats.org/officeDocument/2006/relationships/hyperlink" Target="https://ep.cpgdata.com/external-api/view-photo/displays/5fbf6f3c-7ee9-4b17-8895-18948bf70dc5/" TargetMode="External" Id="rId103" /><Relationship Type="http://schemas.openxmlformats.org/officeDocument/2006/relationships/hyperlink" Target="https://ep.cpgdata.com/external-api/view-photo/displays/a11d67d5-37a0-416d-903d-270c425edcf1/" TargetMode="External" Id="rId104" /><Relationship Type="http://schemas.openxmlformats.org/officeDocument/2006/relationships/hyperlink" Target="https://ep.cpgdata.com/external-api/view-photo/displays/2810800c-5e5c-4937-807a-9c152f14f81e/" TargetMode="External" Id="rId105" /><Relationship Type="http://schemas.openxmlformats.org/officeDocument/2006/relationships/hyperlink" Target="https://ep.cpgdata.com/external-api/view-photo/displays/b852fd6e-dd92-4bd7-b667-33eda393e6ff/" TargetMode="External" Id="rId106" /><Relationship Type="http://schemas.openxmlformats.org/officeDocument/2006/relationships/hyperlink" Target="https://ep.cpgdata.com/external-api/view-photo/displays/e9842057-9f07-45ae-a4db-878d43819e0d/" TargetMode="External" Id="rId107" /><Relationship Type="http://schemas.openxmlformats.org/officeDocument/2006/relationships/hyperlink" Target="https://ep.cpgdata.com/external-api/view-photo/displays/43de9eb1-ab92-4c4e-b23d-008ba1abbe81/" TargetMode="External" Id="rId108" /><Relationship Type="http://schemas.openxmlformats.org/officeDocument/2006/relationships/hyperlink" Target="https://ep.cpgdata.com/external-api/view-photo/displays/142c695d-f6a4-4606-826e-df95597c5655/" TargetMode="External" Id="rId109" /><Relationship Type="http://schemas.openxmlformats.org/officeDocument/2006/relationships/hyperlink" Target="https://ep.cpgdata.com/external-api/view-photo/displays/4c804f04-9daa-4368-99aa-c80271549288/" TargetMode="External" Id="rId110" /><Relationship Type="http://schemas.openxmlformats.org/officeDocument/2006/relationships/hyperlink" Target="https://ep.cpgdata.com/external-api/view-photo/displays/c9c9f36a-ed3d-466a-88c8-dc9a3a9aa585/" TargetMode="External" Id="rId111" /><Relationship Type="http://schemas.openxmlformats.org/officeDocument/2006/relationships/hyperlink" Target="https://ep.cpgdata.com/external-api/view-photo/displays/b486667c-d843-41ff-9a3b-3a2e0b90c9fe/" TargetMode="External" Id="rId112" /><Relationship Type="http://schemas.openxmlformats.org/officeDocument/2006/relationships/hyperlink" Target="https://ep.cpgdata.com/external-api/view-photo/displays/17472c6c-d7cf-4349-a5f8-bf6ce195daa9/" TargetMode="External" Id="rId113" /><Relationship Type="http://schemas.openxmlformats.org/officeDocument/2006/relationships/hyperlink" Target="https://ep.cpgdata.com/external-api/view-photo/displays/ac1fc0c5-e615-49f0-9d1f-3e6a8f2d14e9/" TargetMode="External" Id="rId114" /><Relationship Type="http://schemas.openxmlformats.org/officeDocument/2006/relationships/hyperlink" Target="https://ep.cpgdata.com/external-api/view-photo/displays/944dd8c1-f951-48b1-99a7-067e422472fe/" TargetMode="External" Id="rId115" /><Relationship Type="http://schemas.openxmlformats.org/officeDocument/2006/relationships/hyperlink" Target="https://ep.cpgdata.com/external-api/view-photo/displays/99cf3ed1-25e8-44b3-9522-341ad4ce309e/" TargetMode="External" Id="rId116" /><Relationship Type="http://schemas.openxmlformats.org/officeDocument/2006/relationships/hyperlink" Target="https://ep.cpgdata.com/external-api/view-photo/displays/24b57329-fb34-4f59-9815-45b2ccb2066c/" TargetMode="External" Id="rId117" /><Relationship Type="http://schemas.openxmlformats.org/officeDocument/2006/relationships/hyperlink" Target="https://ep.cpgdata.com/external-api/view-photo/displays/d1ee2aee-c230-427c-bc6b-ae709873c69e/" TargetMode="External" Id="rId118" /><Relationship Type="http://schemas.openxmlformats.org/officeDocument/2006/relationships/hyperlink" Target="https://ep.cpgdata.com/external-api/view-photo/displays/97e1ce9a-42cc-4f7d-9e3d-7f8dfdfd303d/" TargetMode="External" Id="rId119" /><Relationship Type="http://schemas.openxmlformats.org/officeDocument/2006/relationships/hyperlink" Target="https://ep.cpgdata.com/external-api/view-photo/displays/0d82e4ef-0f28-4412-ad6b-566bb7406ae9/" TargetMode="External" Id="rId120" /><Relationship Type="http://schemas.openxmlformats.org/officeDocument/2006/relationships/hyperlink" Target="https://ep.cpgdata.com/external-api/view-photo/displays/9582a2fe-b2a9-476f-9981-f413ac23ab49/" TargetMode="External" Id="rId121" /><Relationship Type="http://schemas.openxmlformats.org/officeDocument/2006/relationships/hyperlink" Target="https://ep.cpgdata.com/external-api/view-photo/displays/b15db9c5-a213-49f5-92be-4ea378ab038d/" TargetMode="External" Id="rId122" /><Relationship Type="http://schemas.openxmlformats.org/officeDocument/2006/relationships/hyperlink" Target="https://ep.cpgdata.com/external-api/view-photo/displays/3b6e302d-e7a0-47ba-9823-2b8f23d39847/" TargetMode="External" Id="rId123" /><Relationship Type="http://schemas.openxmlformats.org/officeDocument/2006/relationships/hyperlink" Target="https://ep.cpgdata.com/external-api/view-photo/displays/ef166d3c-c102-4531-9851-805216e82d09/" TargetMode="External" Id="rId124" /><Relationship Type="http://schemas.openxmlformats.org/officeDocument/2006/relationships/hyperlink" Target="https://ep.cpgdata.com/external-api/view-photo/displays/1556b5d4-5759-4a81-a23c-eadb79758862/" TargetMode="External" Id="rId125" /><Relationship Type="http://schemas.openxmlformats.org/officeDocument/2006/relationships/hyperlink" Target="https://ep.cpgdata.com/external-api/view-photo/displays/231b999c-65d1-4fb0-8a92-d8471e05e414/" TargetMode="External" Id="rId126" /><Relationship Type="http://schemas.openxmlformats.org/officeDocument/2006/relationships/hyperlink" Target="https://ep.cpgdata.com/external-api/view-photo/displays/18713eb2-86cf-44d1-85fa-e39cf9d7a4c6/" TargetMode="External" Id="rId127" /><Relationship Type="http://schemas.openxmlformats.org/officeDocument/2006/relationships/hyperlink" Target="https://ep.cpgdata.com/external-api/view-photo/displays/15431b57-f821-4dff-9e0d-d073332c2949/" TargetMode="External" Id="rId128" /><Relationship Type="http://schemas.openxmlformats.org/officeDocument/2006/relationships/hyperlink" Target="https://ep.cpgdata.com/external-api/view-photo/displays/16a141f1-df35-49d1-ae48-044719402abd/" TargetMode="External" Id="rId129" /><Relationship Type="http://schemas.openxmlformats.org/officeDocument/2006/relationships/hyperlink" Target="https://ep.cpgdata.com/external-api/view-photo/displays/f064786a-3d37-47ca-b84c-8e660337cebf/" TargetMode="External" Id="rId130" /><Relationship Type="http://schemas.openxmlformats.org/officeDocument/2006/relationships/hyperlink" Target="https://ep.cpgdata.com/external-api/view-photo/displays/8f17e831-02c2-4724-b867-cfecf2390026/" TargetMode="External" Id="rId131" /><Relationship Type="http://schemas.openxmlformats.org/officeDocument/2006/relationships/hyperlink" Target="https://ep.cpgdata.com/external-api/view-photo/displays/76a45cb4-6963-4a49-a1c6-07bd733c7dea/" TargetMode="External" Id="rId132" /><Relationship Type="http://schemas.openxmlformats.org/officeDocument/2006/relationships/hyperlink" Target="https://ep.cpgdata.com/external-api/view-photo/displays/c094f8cc-1d5f-4e9e-9a9f-72f3eb363aaa/" TargetMode="External" Id="rId133" /><Relationship Type="http://schemas.openxmlformats.org/officeDocument/2006/relationships/hyperlink" Target="https://ep.cpgdata.com/external-api/view-photo/displays/a0a21ac8-ee1e-416b-b102-fdf2a02281ab/" TargetMode="External" Id="rId134" /><Relationship Type="http://schemas.openxmlformats.org/officeDocument/2006/relationships/hyperlink" Target="https://ep.cpgdata.com/external-api/view-photo/displays/13126636-b345-4809-991e-1e3b1089deae/" TargetMode="External" Id="rId135" /><Relationship Type="http://schemas.openxmlformats.org/officeDocument/2006/relationships/hyperlink" Target="https://ep.cpgdata.com/external-api/view-photo/displays/31f6e05b-1e9f-4b46-a916-35e910f58c08/" TargetMode="External" Id="rId136" /><Relationship Type="http://schemas.openxmlformats.org/officeDocument/2006/relationships/hyperlink" Target="https://ep.cpgdata.com/external-api/view-photo/displays/b6e58c2a-7889-4cac-9535-bac906089d4b/" TargetMode="External" Id="rId137" /><Relationship Type="http://schemas.openxmlformats.org/officeDocument/2006/relationships/hyperlink" Target="https://ep.cpgdata.com/external-api/view-photo/displays/ed49528d-811e-4e70-bf9b-e68d5773ab5e/" TargetMode="External" Id="rId138" /><Relationship Type="http://schemas.openxmlformats.org/officeDocument/2006/relationships/hyperlink" Target="https://ep.cpgdata.com/external-api/view-photo/displays/bd78f1de-574a-467e-9b39-ad6e1879dcea/" TargetMode="External" Id="rId139" /><Relationship Type="http://schemas.openxmlformats.org/officeDocument/2006/relationships/hyperlink" Target="https://ep.cpgdata.com/external-api/view-photo/displays/4d1d0510-b79b-4d53-ba01-792e7e79a4b4/" TargetMode="External" Id="rId140" /><Relationship Type="http://schemas.openxmlformats.org/officeDocument/2006/relationships/hyperlink" Target="https://ep.cpgdata.com/external-api/view-photo/displays/ef3a6e2d-de9c-4712-938e-4b315f2a1f92/" TargetMode="External" Id="rId141" /><Relationship Type="http://schemas.openxmlformats.org/officeDocument/2006/relationships/hyperlink" Target="https://ep.cpgdata.com/external-api/view-photo/displays/db8d6724-fe68-4740-bff5-f88c9f00dc6e/" TargetMode="External" Id="rId142" /><Relationship Type="http://schemas.openxmlformats.org/officeDocument/2006/relationships/hyperlink" Target="https://ep.cpgdata.com/external-api/view-photo/displays/dc0e2fba-9e11-4a3a-b49b-13e6bec716df/" TargetMode="External" Id="rId143" /><Relationship Type="http://schemas.openxmlformats.org/officeDocument/2006/relationships/hyperlink" Target="https://ep.cpgdata.com/external-api/view-photo/displays/955c2769-b7e4-48a6-865a-9a0b8dee08e4/" TargetMode="External" Id="rId144" /><Relationship Type="http://schemas.openxmlformats.org/officeDocument/2006/relationships/hyperlink" Target="https://ep.cpgdata.com/external-api/view-photo/displays/f8bc1298-9d46-45ad-9c40-55e729e77446/" TargetMode="External" Id="rId145" /><Relationship Type="http://schemas.openxmlformats.org/officeDocument/2006/relationships/hyperlink" Target="https://ep.cpgdata.com/external-api/view-photo/displays/c33cb999-3663-4dbd-8dd3-f140d4e85890/" TargetMode="External" Id="rId146" /><Relationship Type="http://schemas.openxmlformats.org/officeDocument/2006/relationships/hyperlink" Target="https://ep.cpgdata.com/external-api/view-photo/displays/8335fbca-13d7-42cc-bcb7-0e7a0df79ad5/" TargetMode="External" Id="rId147" /><Relationship Type="http://schemas.openxmlformats.org/officeDocument/2006/relationships/hyperlink" Target="https://ep.cpgdata.com/external-api/view-photo/displays/0a5d17ff-9be9-4e75-8a06-b1f654cddd22/" TargetMode="External" Id="rId148" /><Relationship Type="http://schemas.openxmlformats.org/officeDocument/2006/relationships/hyperlink" Target="https://ep.cpgdata.com/external-api/view-photo/displays/0a58c2cb-cf4c-4a1a-a718-0ff60242916f/" TargetMode="External" Id="rId149" /><Relationship Type="http://schemas.openxmlformats.org/officeDocument/2006/relationships/hyperlink" Target="https://ep.cpgdata.com/external-api/view-photo/displays/d41634c8-e3a5-4bf0-81a1-db95dede7d51/" TargetMode="External" Id="rId150" /><Relationship Type="http://schemas.openxmlformats.org/officeDocument/2006/relationships/hyperlink" Target="https://ep.cpgdata.com/external-api/view-photo/displays/83bfb555-c49b-4b67-b1ca-493be8d5a56e/" TargetMode="External" Id="rId151" /><Relationship Type="http://schemas.openxmlformats.org/officeDocument/2006/relationships/hyperlink" Target="https://ep.cpgdata.com/external-api/view-photo/displays/f37e6faa-0c1c-441e-a68b-a1bf75a8eec3/" TargetMode="External" Id="rId152" /><Relationship Type="http://schemas.openxmlformats.org/officeDocument/2006/relationships/hyperlink" Target="https://ep.cpgdata.com/external-api/view-photo/displays/08b2e260-e407-4864-a3ac-9c592bb1dee2/" TargetMode="External" Id="rId153" /><Relationship Type="http://schemas.openxmlformats.org/officeDocument/2006/relationships/hyperlink" Target="https://ep.cpgdata.com/external-api/view-photo/displays/3fa9ef80-049e-4131-b2a5-048effdadc87/" TargetMode="External" Id="rId154" /><Relationship Type="http://schemas.openxmlformats.org/officeDocument/2006/relationships/hyperlink" Target="https://ep.cpgdata.com/external-api/view-photo/displays/ee2bb5d2-ae51-4908-bbd0-74eabd05c1d4/" TargetMode="External" Id="rId155" /><Relationship Type="http://schemas.openxmlformats.org/officeDocument/2006/relationships/hyperlink" Target="https://ep.cpgdata.com/external-api/view-photo/displays/4c968139-68c9-44f5-a21a-75da2d1f778f/" TargetMode="External" Id="rId156" /><Relationship Type="http://schemas.openxmlformats.org/officeDocument/2006/relationships/hyperlink" Target="https://ep.cpgdata.com/external-api/view-photo/displays/a4f02c1a-4b7b-4e2c-8cec-816c50682124/" TargetMode="External" Id="rId157" /><Relationship Type="http://schemas.openxmlformats.org/officeDocument/2006/relationships/hyperlink" Target="https://ep.cpgdata.com/external-api/view-photo/displays/fc6632a9-a8f5-47be-a66a-5131b3f7afa6/" TargetMode="External" Id="rId158" /><Relationship Type="http://schemas.openxmlformats.org/officeDocument/2006/relationships/hyperlink" Target="https://ep.cpgdata.com/external-api/view-photo/displays/314dcf4b-eb94-4d6c-ae33-c161cfd17412/" TargetMode="External" Id="rId159" /><Relationship Type="http://schemas.openxmlformats.org/officeDocument/2006/relationships/hyperlink" Target="https://ep.cpgdata.com/external-api/view-photo/displays/c53e44e8-4b09-4f96-850b-b2eea4ceaa8a/" TargetMode="External" Id="rId160" /><Relationship Type="http://schemas.openxmlformats.org/officeDocument/2006/relationships/hyperlink" Target="https://ep.cpgdata.com/external-api/view-photo/displays/0ebc5189-b193-48d1-8e51-b7dcdf556c1d/" TargetMode="External" Id="rId161" /><Relationship Type="http://schemas.openxmlformats.org/officeDocument/2006/relationships/hyperlink" Target="https://ep.cpgdata.com/external-api/view-photo/displays/712c1388-ae19-4818-bee7-4c34a56dd11c/" TargetMode="External" Id="rId162" /><Relationship Type="http://schemas.openxmlformats.org/officeDocument/2006/relationships/hyperlink" Target="https://ep.cpgdata.com/external-api/view-photo/displays/309fbd6f-fae0-4b5c-b05b-b68671b61eeb/" TargetMode="External" Id="rId163" /><Relationship Type="http://schemas.openxmlformats.org/officeDocument/2006/relationships/hyperlink" Target="https://ep.cpgdata.com/external-api/view-photo/displays/fbd9617c-fdbc-4e8a-81dd-f9bc87044618/" TargetMode="External" Id="rId164" /><Relationship Type="http://schemas.openxmlformats.org/officeDocument/2006/relationships/hyperlink" Target="https://ep.cpgdata.com/external-api/view-photo/displays/1c541728-5a92-4691-850e-863787fa8ce2/" TargetMode="External" Id="rId165" /><Relationship Type="http://schemas.openxmlformats.org/officeDocument/2006/relationships/hyperlink" Target="https://ep.cpgdata.com/external-api/view-photo/displays/ec91daf8-0111-4f7e-a44f-11614941499d/" TargetMode="External" Id="rId166" /><Relationship Type="http://schemas.openxmlformats.org/officeDocument/2006/relationships/hyperlink" Target="https://ep.cpgdata.com/external-api/view-photo/displays/e34c4b47-99b1-4ee4-9ada-eb7f6ebe17aa/" TargetMode="External" Id="rId167" /><Relationship Type="http://schemas.openxmlformats.org/officeDocument/2006/relationships/hyperlink" Target="https://ep.cpgdata.com/external-api/view-photo/displays/780ba2d3-51bc-40fc-a34e-7417efdb1eaa/" TargetMode="External" Id="rId168" /><Relationship Type="http://schemas.openxmlformats.org/officeDocument/2006/relationships/hyperlink" Target="https://ep.cpgdata.com/external-api/view-photo/displays/2abca0d7-a81b-43fa-acb6-3da65ab2b59f/" TargetMode="External" Id="rId169" /><Relationship Type="http://schemas.openxmlformats.org/officeDocument/2006/relationships/hyperlink" Target="https://ep.cpgdata.com/external-api/view-photo/displays/6e5b1f46-0416-426a-9608-d3d26c68890d/" TargetMode="External" Id="rId170" /><Relationship Type="http://schemas.openxmlformats.org/officeDocument/2006/relationships/hyperlink" Target="https://ep.cpgdata.com/external-api/view-photo/displays/e699d5e1-7de6-4806-9b00-06c66b6ca7d2/" TargetMode="External" Id="rId171" /><Relationship Type="http://schemas.openxmlformats.org/officeDocument/2006/relationships/hyperlink" Target="https://ep.cpgdata.com/external-api/view-photo/displays/4dcc91e5-c14e-4316-82b5-9701f39fded9/" TargetMode="External" Id="rId172" /><Relationship Type="http://schemas.openxmlformats.org/officeDocument/2006/relationships/hyperlink" Target="https://ep.cpgdata.com/external-api/view-photo/displays/791dee37-5448-4805-a41e-8c0f5f0165f4/" TargetMode="External" Id="rId173" /><Relationship Type="http://schemas.openxmlformats.org/officeDocument/2006/relationships/hyperlink" Target="https://ep.cpgdata.com/external-api/view-photo/displays/dce24735-a76d-403b-994b-7ce34d53ae3f/" TargetMode="External" Id="rId174" /><Relationship Type="http://schemas.openxmlformats.org/officeDocument/2006/relationships/hyperlink" Target="https://ep.cpgdata.com/external-api/view-photo/displays/956bf456-e5a4-4ea0-af9f-2db0234add58/" TargetMode="External" Id="rId175" /><Relationship Type="http://schemas.openxmlformats.org/officeDocument/2006/relationships/hyperlink" Target="https://ep.cpgdata.com/external-api/view-photo/displays/a53c138c-f262-47bd-8a91-73d5c6d0e17c/" TargetMode="External" Id="rId176" /><Relationship Type="http://schemas.openxmlformats.org/officeDocument/2006/relationships/hyperlink" Target="https://ep.cpgdata.com/external-api/view-photo/displays/6a358bbe-868c-40eb-ae68-841869181ed1/" TargetMode="External" Id="rId177" /><Relationship Type="http://schemas.openxmlformats.org/officeDocument/2006/relationships/hyperlink" Target="https://ep.cpgdata.com/external-api/view-photo/displays/f4ec5cbf-f897-4860-9ea5-dd8649e3ba0c/" TargetMode="External" Id="rId178" /><Relationship Type="http://schemas.openxmlformats.org/officeDocument/2006/relationships/hyperlink" Target="https://ep.cpgdata.com/external-api/view-photo/displays/6acb414a-c47a-41cd-8ad0-38a040f32dfb/" TargetMode="External" Id="rId179" /><Relationship Type="http://schemas.openxmlformats.org/officeDocument/2006/relationships/hyperlink" Target="https://ep.cpgdata.com/external-api/view-photo/displays/2504bada-0227-4fd5-9ec7-52a74648752a/" TargetMode="External" Id="rId180" /><Relationship Type="http://schemas.openxmlformats.org/officeDocument/2006/relationships/hyperlink" Target="https://ep.cpgdata.com/external-api/view-photo/displays/8030f26e-fbc2-4107-94b5-729bb22eee76/" TargetMode="External" Id="rId181" /><Relationship Type="http://schemas.openxmlformats.org/officeDocument/2006/relationships/hyperlink" Target="https://ep.cpgdata.com/external-api/view-photo/displays/c404dd4d-1803-4ecf-a769-f34484cf9b17/" TargetMode="External" Id="rId182" /><Relationship Type="http://schemas.openxmlformats.org/officeDocument/2006/relationships/hyperlink" Target="https://ep.cpgdata.com/external-api/view-photo/displays/2632c0bc-9a66-4a9e-b4ca-0af0fc8596ad/" TargetMode="External" Id="rId183" /><Relationship Type="http://schemas.openxmlformats.org/officeDocument/2006/relationships/hyperlink" Target="https://ep.cpgdata.com/external-api/view-photo/displays/54015704-7798-447c-90d9-f4c16273c3f6/" TargetMode="External" Id="rId184" /><Relationship Type="http://schemas.openxmlformats.org/officeDocument/2006/relationships/hyperlink" Target="https://ep.cpgdata.com/external-api/view-photo/displays/41847146-4236-426b-8339-5c89bae05b9c/" TargetMode="External" Id="rId185" /><Relationship Type="http://schemas.openxmlformats.org/officeDocument/2006/relationships/hyperlink" Target="https://ep.cpgdata.com/external-api/view-photo/displays/c1801269-e3bf-4473-a2ee-ad711a80451b/" TargetMode="External" Id="rId186" /><Relationship Type="http://schemas.openxmlformats.org/officeDocument/2006/relationships/hyperlink" Target="https://ep.cpgdata.com/external-api/view-photo/displays/c5736584-d936-4c10-9d81-8730e74202bd/" TargetMode="External" Id="rId187" /><Relationship Type="http://schemas.openxmlformats.org/officeDocument/2006/relationships/hyperlink" Target="https://ep.cpgdata.com/external-api/view-photo/displays/5b8d049c-e076-4a9d-8c05-b8b54d53bb48/" TargetMode="External" Id="rId188" /><Relationship Type="http://schemas.openxmlformats.org/officeDocument/2006/relationships/hyperlink" Target="https://ep.cpgdata.com/external-api/view-photo/displays/220012b8-d4ad-42a4-a822-9b29bfc7d484/" TargetMode="External" Id="rId189" /><Relationship Type="http://schemas.openxmlformats.org/officeDocument/2006/relationships/hyperlink" Target="https://ep.cpgdata.com/external-api/view-photo/displays/d9899b2a-3923-428f-b36b-43e36268e496/" TargetMode="External" Id="rId190" /><Relationship Type="http://schemas.openxmlformats.org/officeDocument/2006/relationships/hyperlink" Target="https://ep.cpgdata.com/external-api/view-photo/displays/3506b72f-3b13-4c7b-b3d5-fd92eb7541e5/" TargetMode="External" Id="rId191" /><Relationship Type="http://schemas.openxmlformats.org/officeDocument/2006/relationships/hyperlink" Target="https://ep.cpgdata.com/external-api/view-photo/displays/d0319a2d-6c11-429c-9ae5-d2c37ba0f94a/" TargetMode="External" Id="rId192" /><Relationship Type="http://schemas.openxmlformats.org/officeDocument/2006/relationships/hyperlink" Target="https://ep.cpgdata.com/external-api/view-photo/displays/88dade20-5377-4dce-96af-ce996b9c8485/" TargetMode="External" Id="rId193" /><Relationship Type="http://schemas.openxmlformats.org/officeDocument/2006/relationships/hyperlink" Target="https://ep.cpgdata.com/external-api/view-photo/displays/154bf5fc-908b-45e5-b061-45a40a0c1993/" TargetMode="External" Id="rId194" /><Relationship Type="http://schemas.openxmlformats.org/officeDocument/2006/relationships/hyperlink" Target="https://ep.cpgdata.com/external-api/view-photo/displays/3fcb690b-4339-4d6f-8c69-535cd78e22c0/" TargetMode="External" Id="rId195" /><Relationship Type="http://schemas.openxmlformats.org/officeDocument/2006/relationships/hyperlink" Target="https://ep.cpgdata.com/external-api/view-photo/displays/60bb32e1-9d65-4994-a2ca-7a8959b77181/" TargetMode="External" Id="rId196" /><Relationship Type="http://schemas.openxmlformats.org/officeDocument/2006/relationships/hyperlink" Target="https://ep.cpgdata.com/external-api/view-photo/displays/441823df-9eda-42ef-aca9-4e662a8d0250/" TargetMode="External" Id="rId197" /><Relationship Type="http://schemas.openxmlformats.org/officeDocument/2006/relationships/hyperlink" Target="https://ep.cpgdata.com/external-api/view-photo/displays/707c81cb-ba19-4772-9c5b-daee7287f95d/" TargetMode="External" Id="rId198" /><Relationship Type="http://schemas.openxmlformats.org/officeDocument/2006/relationships/hyperlink" Target="https://ep.cpgdata.com/external-api/view-photo/displays/e57dd0d6-a32e-43b6-b05a-a00d292f24ea/" TargetMode="External" Id="rId199" /><Relationship Type="http://schemas.openxmlformats.org/officeDocument/2006/relationships/hyperlink" Target="https://ep.cpgdata.com/external-api/view-photo/displays/b98db4bd-2c08-4051-94e2-a8980b4d5425/" TargetMode="External" Id="rId200" /><Relationship Type="http://schemas.openxmlformats.org/officeDocument/2006/relationships/hyperlink" Target="https://ep.cpgdata.com/external-api/view-photo/displays/95dec845-0e51-4820-b50e-7e42ed30e8b8/" TargetMode="External" Id="rId201" /><Relationship Type="http://schemas.openxmlformats.org/officeDocument/2006/relationships/hyperlink" Target="https://ep.cpgdata.com/external-api/view-photo/displays/80ca8624-1ba4-40e0-be09-c7a3ec4ceb88/" TargetMode="External" Id="rId202" /><Relationship Type="http://schemas.openxmlformats.org/officeDocument/2006/relationships/hyperlink" Target="https://ep.cpgdata.com/external-api/view-photo/displays/4790804e-1581-42d6-90b0-4cd326e43ba6/" TargetMode="External" Id="rId203" /><Relationship Type="http://schemas.openxmlformats.org/officeDocument/2006/relationships/hyperlink" Target="https://ep.cpgdata.com/external-api/view-photo/displays/8817ebd0-2d03-4e6b-a3f7-34a8348b582a/" TargetMode="External" Id="rId204" /><Relationship Type="http://schemas.openxmlformats.org/officeDocument/2006/relationships/hyperlink" Target="https://ep.cpgdata.com/external-api/view-photo/displays/446eaad3-61a9-4dfe-825a-23501c02a645/" TargetMode="External" Id="rId205" /><Relationship Type="http://schemas.openxmlformats.org/officeDocument/2006/relationships/hyperlink" Target="https://ep.cpgdata.com/external-api/view-photo/displays/053fa7d3-21da-4055-aa1f-ae459979b2c3/" TargetMode="External" Id="rId206" /><Relationship Type="http://schemas.openxmlformats.org/officeDocument/2006/relationships/hyperlink" Target="https://ep.cpgdata.com/external-api/view-photo/displays/3acca41d-aba1-4c63-80d7-94bea0a45f13/" TargetMode="External" Id="rId207" /><Relationship Type="http://schemas.openxmlformats.org/officeDocument/2006/relationships/hyperlink" Target="https://ep.cpgdata.com/external-api/view-photo/displays/2060ffe6-daec-4305-8168-10cae4ec2106/" TargetMode="External" Id="rId208" /><Relationship Type="http://schemas.openxmlformats.org/officeDocument/2006/relationships/hyperlink" Target="https://ep.cpgdata.com/external-api/view-photo/displays/5925c350-4a6e-4515-9d07-821984198c69/" TargetMode="External" Id="rId209" /><Relationship Type="http://schemas.openxmlformats.org/officeDocument/2006/relationships/hyperlink" Target="https://ep.cpgdata.com/external-api/view-photo/displays/52fa9f5c-f2a5-4c98-8d8e-9a06b6b7aa0f/" TargetMode="External" Id="rId210" /><Relationship Type="http://schemas.openxmlformats.org/officeDocument/2006/relationships/hyperlink" Target="https://ep.cpgdata.com/external-api/view-photo/displays/d7171ee6-abfa-467e-86ed-76c92dea12ae/" TargetMode="External" Id="rId211" /><Relationship Type="http://schemas.openxmlformats.org/officeDocument/2006/relationships/hyperlink" Target="https://ep.cpgdata.com/external-api/view-photo/displays/7414125c-7e94-47d3-a63a-6f6bfc62b916/" TargetMode="External" Id="rId212" /><Relationship Type="http://schemas.openxmlformats.org/officeDocument/2006/relationships/hyperlink" Target="https://ep.cpgdata.com/external-api/view-photo/displays/d2c37903-6b67-4c98-ba2a-3b2807230ae6/" TargetMode="External" Id="rId213" /><Relationship Type="http://schemas.openxmlformats.org/officeDocument/2006/relationships/hyperlink" Target="https://ep.cpgdata.com/external-api/view-photo/displays/bab17b41-34a1-4c96-8ded-58ed5795dec1/" TargetMode="External" Id="rId214" /><Relationship Type="http://schemas.openxmlformats.org/officeDocument/2006/relationships/hyperlink" Target="https://ep.cpgdata.com/external-api/view-photo/displays/90ce4f6a-3f1f-420f-8859-48ed811a6df1/" TargetMode="External" Id="rId215" /><Relationship Type="http://schemas.openxmlformats.org/officeDocument/2006/relationships/hyperlink" Target="https://ep.cpgdata.com/external-api/view-photo/displays/e292e1cd-18dd-4bbc-ba8c-fb182f330a5c/" TargetMode="External" Id="rId216" /><Relationship Type="http://schemas.openxmlformats.org/officeDocument/2006/relationships/hyperlink" Target="https://ep.cpgdata.com/external-api/view-photo/displays/5c3a66ce-8485-4067-8453-3ae03c40406d/" TargetMode="External" Id="rId217" /><Relationship Type="http://schemas.openxmlformats.org/officeDocument/2006/relationships/hyperlink" Target="https://ep.cpgdata.com/external-api/view-photo/displays/20d92481-450b-4586-8779-41215e145496/" TargetMode="External" Id="rId218" /><Relationship Type="http://schemas.openxmlformats.org/officeDocument/2006/relationships/hyperlink" Target="https://ep.cpgdata.com/external-api/view-photo/displays/f5ede873-1fdc-43a5-ab43-b4375f56aab0/" TargetMode="External" Id="rId219" /><Relationship Type="http://schemas.openxmlformats.org/officeDocument/2006/relationships/hyperlink" Target="https://ep.cpgdata.com/external-api/view-photo/displays/b5a86596-5109-4734-935a-8128148507f3/" TargetMode="External" Id="rId220" /><Relationship Type="http://schemas.openxmlformats.org/officeDocument/2006/relationships/hyperlink" Target="https://ep.cpgdata.com/external-api/view-photo/displays/ae9b2bf4-c92d-4453-ad29-e0a22e6110c4/" TargetMode="External" Id="rId221" /><Relationship Type="http://schemas.openxmlformats.org/officeDocument/2006/relationships/hyperlink" Target="https://ep.cpgdata.com/external-api/view-photo/displays/e00276a9-771f-44df-b1bb-c085354bbcef/" TargetMode="External" Id="rId222" /><Relationship Type="http://schemas.openxmlformats.org/officeDocument/2006/relationships/hyperlink" Target="https://ep.cpgdata.com/external-api/view-photo/displays/32873a0b-b0f8-4011-9416-cacf38ccafbc/" TargetMode="External" Id="rId223" /><Relationship Type="http://schemas.openxmlformats.org/officeDocument/2006/relationships/hyperlink" Target="https://ep.cpgdata.com/external-api/view-photo/displays/20ee0260-cb19-494e-b689-84d167822305/" TargetMode="External" Id="rId224" /><Relationship Type="http://schemas.openxmlformats.org/officeDocument/2006/relationships/hyperlink" Target="https://ep.cpgdata.com/external-api/view-photo/displays/52bb7689-db29-4671-b3cf-aa5989471b94/" TargetMode="External" Id="rId225" /><Relationship Type="http://schemas.openxmlformats.org/officeDocument/2006/relationships/hyperlink" Target="https://ep.cpgdata.com/external-api/view-photo/displays/691f5b8b-96ab-43c1-9a36-509661f857c3/" TargetMode="External" Id="rId226" /><Relationship Type="http://schemas.openxmlformats.org/officeDocument/2006/relationships/hyperlink" Target="https://ep.cpgdata.com/external-api/view-photo/displays/c20a83ec-f4e8-49fe-8a0d-e4f0b1a46eb2/" TargetMode="External" Id="rId227" /><Relationship Type="http://schemas.openxmlformats.org/officeDocument/2006/relationships/hyperlink" Target="https://ep.cpgdata.com/external-api/view-photo/displays/8a15d161-84b3-479c-9a1e-54df890087d8/" TargetMode="External" Id="rId228" /><Relationship Type="http://schemas.openxmlformats.org/officeDocument/2006/relationships/hyperlink" Target="https://ep.cpgdata.com/external-api/view-photo/displays/69e6a06c-51fd-4bdc-a918-dc22d0525bbb/" TargetMode="External" Id="rId229" /><Relationship Type="http://schemas.openxmlformats.org/officeDocument/2006/relationships/hyperlink" Target="https://ep.cpgdata.com/external-api/view-photo/displays/65ffa31c-b8f3-49fa-8ce9-13d57218cec8/" TargetMode="External" Id="rId230" /><Relationship Type="http://schemas.openxmlformats.org/officeDocument/2006/relationships/hyperlink" Target="https://ep.cpgdata.com/external-api/view-photo/displays/951ea3f2-4d02-48a6-adec-05ca18e05490/" TargetMode="External" Id="rId231" /><Relationship Type="http://schemas.openxmlformats.org/officeDocument/2006/relationships/hyperlink" Target="https://ep.cpgdata.com/external-api/view-photo/displays/2a6834a0-5b00-42ce-9034-f3343ee4a151/" TargetMode="External" Id="rId232" /><Relationship Type="http://schemas.openxmlformats.org/officeDocument/2006/relationships/hyperlink" Target="https://ep.cpgdata.com/external-api/view-photo/displays/14da50ff-204f-49a4-9c2a-16fe6eabd3a7/" TargetMode="External" Id="rId233" /><Relationship Type="http://schemas.openxmlformats.org/officeDocument/2006/relationships/hyperlink" Target="https://ep.cpgdata.com/external-api/view-photo/displays/5015910b-b22b-4f68-8102-4f24c2e4528d/" TargetMode="External" Id="rId234" /><Relationship Type="http://schemas.openxmlformats.org/officeDocument/2006/relationships/hyperlink" Target="https://ep.cpgdata.com/external-api/view-photo/displays/86046e1b-06ce-47c4-92aa-5164fa3bd871/" TargetMode="External" Id="rId235" /><Relationship Type="http://schemas.openxmlformats.org/officeDocument/2006/relationships/hyperlink" Target="https://ep.cpgdata.com/external-api/view-photo/displays/12604dd6-0716-4437-949d-599d41b30828/" TargetMode="External" Id="rId236" /><Relationship Type="http://schemas.openxmlformats.org/officeDocument/2006/relationships/hyperlink" Target="https://ep.cpgdata.com/external-api/view-photo/displays/e577c756-f5f3-4679-bb6d-543ebfa64514/" TargetMode="External" Id="rId237" /><Relationship Type="http://schemas.openxmlformats.org/officeDocument/2006/relationships/hyperlink" Target="https://ep.cpgdata.com/external-api/view-photo/displays/c6e32440-beee-4694-b68c-d4a63c8beb21/" TargetMode="External" Id="rId238" /><Relationship Type="http://schemas.openxmlformats.org/officeDocument/2006/relationships/hyperlink" Target="https://ep.cpgdata.com/external-api/view-photo/displays/92a6c7a7-4d51-4393-8e2b-6bb8f3d23857/" TargetMode="External" Id="rId239" /><Relationship Type="http://schemas.openxmlformats.org/officeDocument/2006/relationships/hyperlink" Target="https://ep.cpgdata.com/external-api/view-photo/displays/e7cd5713-ca38-4b43-9f88-002289421630/" TargetMode="External" Id="rId240" /><Relationship Type="http://schemas.openxmlformats.org/officeDocument/2006/relationships/hyperlink" Target="https://ep.cpgdata.com/external-api/view-photo/displays/6138ebbd-7540-43f6-ae8e-15dae4e5d0d1/" TargetMode="External" Id="rId241" /><Relationship Type="http://schemas.openxmlformats.org/officeDocument/2006/relationships/hyperlink" Target="https://ep.cpgdata.com/external-api/view-photo/displays/40d1c547-6d6c-4616-8253-a73ad18bfcb4/" TargetMode="External" Id="rId242" /><Relationship Type="http://schemas.openxmlformats.org/officeDocument/2006/relationships/hyperlink" Target="https://ep.cpgdata.com/external-api/view-photo/displays/449fc8c5-085a-45bc-9cdc-3e6c2ad6a1a2/" TargetMode="External" Id="rId243" /><Relationship Type="http://schemas.openxmlformats.org/officeDocument/2006/relationships/hyperlink" Target="https://ep.cpgdata.com/external-api/view-photo/displays/b98ed3b9-3275-4d7c-9eb9-2aa4e11ad6c5/" TargetMode="External" Id="rId244" /><Relationship Type="http://schemas.openxmlformats.org/officeDocument/2006/relationships/hyperlink" Target="https://ep.cpgdata.com/external-api/view-photo/displays/2035667a-57bc-4ea8-b647-8ddd8b8a66c9/" TargetMode="External" Id="rId245" /><Relationship Type="http://schemas.openxmlformats.org/officeDocument/2006/relationships/hyperlink" Target="https://ep.cpgdata.com/external-api/view-photo/displays/a09a442e-baf8-426b-8eb0-72f4150e3cf0/" TargetMode="External" Id="rId246" /><Relationship Type="http://schemas.openxmlformats.org/officeDocument/2006/relationships/hyperlink" Target="https://ep.cpgdata.com/external-api/view-photo/displays/e9c12cbb-d25c-4877-8b14-af5e22d097e3/" TargetMode="External" Id="rId247" /><Relationship Type="http://schemas.openxmlformats.org/officeDocument/2006/relationships/hyperlink" Target="https://ep.cpgdata.com/external-api/view-photo/displays/bb1a6c11-d0da-481e-81a5-c2c4d0603c70/" TargetMode="External" Id="rId248" /><Relationship Type="http://schemas.openxmlformats.org/officeDocument/2006/relationships/hyperlink" Target="https://ep.cpgdata.com/external-api/view-photo/displays/8f428868-46be-424a-887a-f6d66fcf1337/" TargetMode="External" Id="rId249" /><Relationship Type="http://schemas.openxmlformats.org/officeDocument/2006/relationships/hyperlink" Target="https://ep.cpgdata.com/external-api/view-photo/displays/94a053ac-49e1-4fbf-ba98-23f6e945b4be/" TargetMode="External" Id="rId250" /><Relationship Type="http://schemas.openxmlformats.org/officeDocument/2006/relationships/hyperlink" Target="https://ep.cpgdata.com/external-api/view-photo/displays/40c0f11c-c55e-4e43-acf1-d278139fd7ac/" TargetMode="External" Id="rId251" /><Relationship Type="http://schemas.openxmlformats.org/officeDocument/2006/relationships/hyperlink" Target="https://ep.cpgdata.com/external-api/view-photo/displays/0582d47c-79d9-44cf-88b0-be9b7a3345ac/" TargetMode="External" Id="rId252" /><Relationship Type="http://schemas.openxmlformats.org/officeDocument/2006/relationships/hyperlink" Target="https://ep.cpgdata.com/external-api/view-photo/displays/c96c66a4-1d83-4496-a85a-ede4626cc190/" TargetMode="External" Id="rId253" /><Relationship Type="http://schemas.openxmlformats.org/officeDocument/2006/relationships/hyperlink" Target="https://ep.cpgdata.com/external-api/view-photo/displays/2899241b-60df-42d8-82b8-a24f07305373/" TargetMode="External" Id="rId254" /><Relationship Type="http://schemas.openxmlformats.org/officeDocument/2006/relationships/hyperlink" Target="https://ep.cpgdata.com/external-api/view-photo/displays/971e5f64-277f-4140-9f52-eb117b88fc30/" TargetMode="External" Id="rId255" /><Relationship Type="http://schemas.openxmlformats.org/officeDocument/2006/relationships/hyperlink" Target="https://ep.cpgdata.com/external-api/view-photo/displays/dc21211f-e376-44c0-95e7-d0ad8d3b3660/" TargetMode="External" Id="rId256" /><Relationship Type="http://schemas.openxmlformats.org/officeDocument/2006/relationships/hyperlink" Target="https://ep.cpgdata.com/external-api/view-photo/displays/34bec13f-fcc4-44aa-a464-76a929c31e4f/" TargetMode="External" Id="rId257" /><Relationship Type="http://schemas.openxmlformats.org/officeDocument/2006/relationships/hyperlink" Target="https://ep.cpgdata.com/external-api/view-photo/displays/65b16755-bbb0-49a6-a8e7-123034598d12/" TargetMode="External" Id="rId258" /><Relationship Type="http://schemas.openxmlformats.org/officeDocument/2006/relationships/hyperlink" Target="https://ep.cpgdata.com/external-api/view-photo/displays/845db009-cdf8-4ad0-8e4c-f899dee5fcf7/" TargetMode="External" Id="rId259" /><Relationship Type="http://schemas.openxmlformats.org/officeDocument/2006/relationships/hyperlink" Target="https://ep.cpgdata.com/external-api/view-photo/displays/7ec8b2e0-33c6-47e4-acee-f50306d8b249/" TargetMode="External" Id="rId260" /><Relationship Type="http://schemas.openxmlformats.org/officeDocument/2006/relationships/hyperlink" Target="https://ep.cpgdata.com/external-api/view-photo/displays/bb40b90a-8e81-4a0e-9332-9cc40154bdae/" TargetMode="External" Id="rId261" /><Relationship Type="http://schemas.openxmlformats.org/officeDocument/2006/relationships/hyperlink" Target="https://ep.cpgdata.com/external-api/view-photo/displays/cf57b827-c52e-467b-a5f1-1bcb181ba0a2/" TargetMode="External" Id="rId262" /><Relationship Type="http://schemas.openxmlformats.org/officeDocument/2006/relationships/hyperlink" Target="https://ep.cpgdata.com/external-api/view-photo/displays/8988483e-fbd1-4903-acb9-3d60fdc56d43/" TargetMode="External" Id="rId263" /><Relationship Type="http://schemas.openxmlformats.org/officeDocument/2006/relationships/hyperlink" Target="https://ep.cpgdata.com/external-api/view-photo/displays/c99b265e-0b94-46d3-8260-c28cebb48830/" TargetMode="External" Id="rId264" /><Relationship Type="http://schemas.openxmlformats.org/officeDocument/2006/relationships/hyperlink" Target="https://ep.cpgdata.com/external-api/view-photo/displays/314c2a4a-f438-4547-be42-4324047cb793/" TargetMode="External" Id="rId265" /><Relationship Type="http://schemas.openxmlformats.org/officeDocument/2006/relationships/hyperlink" Target="https://ep.cpgdata.com/external-api/view-photo/displays/21580a8c-8447-4f15-8efb-7fc584ed199d/" TargetMode="External" Id="rId266" /><Relationship Type="http://schemas.openxmlformats.org/officeDocument/2006/relationships/hyperlink" Target="https://ep.cpgdata.com/external-api/view-photo/displays/af42b87c-2283-49ae-a486-e762a511b585/" TargetMode="External" Id="rId267" /><Relationship Type="http://schemas.openxmlformats.org/officeDocument/2006/relationships/hyperlink" Target="https://ep.cpgdata.com/external-api/view-photo/displays/6f37e3d2-6770-4346-bed0-5ae11e1ec3d6/" TargetMode="External" Id="rId268" /><Relationship Type="http://schemas.openxmlformats.org/officeDocument/2006/relationships/hyperlink" Target="https://ep.cpgdata.com/external-api/view-photo/displays/7bbc3d7d-a039-46fd-8be6-c9fbd0e96b04/" TargetMode="External" Id="rId269" /><Relationship Type="http://schemas.openxmlformats.org/officeDocument/2006/relationships/hyperlink" Target="https://ep.cpgdata.com/external-api/view-photo/displays/67c9c1d4-1bad-45bb-92f3-4ac01a5fa23b/" TargetMode="External" Id="rId270" /><Relationship Type="http://schemas.openxmlformats.org/officeDocument/2006/relationships/hyperlink" Target="https://ep.cpgdata.com/external-api/view-photo/displays/9998af78-f321-4520-a2d3-72b9111d633d/" TargetMode="External" Id="rId271" /><Relationship Type="http://schemas.openxmlformats.org/officeDocument/2006/relationships/hyperlink" Target="https://ep.cpgdata.com/external-api/view-photo/displays/0e6f679a-e05c-470c-81f3-e55efe3ca928/" TargetMode="External" Id="rId272" /><Relationship Type="http://schemas.openxmlformats.org/officeDocument/2006/relationships/hyperlink" Target="https://ep.cpgdata.com/external-api/view-photo/displays/d2963d20-2730-42b5-a00d-b49cc87377c3/" TargetMode="External" Id="rId273" /><Relationship Type="http://schemas.openxmlformats.org/officeDocument/2006/relationships/hyperlink" Target="https://ep.cpgdata.com/external-api/view-photo/displays/4c8beb28-5ea7-403c-a52e-95208cafd991/" TargetMode="External" Id="rId274" /><Relationship Type="http://schemas.openxmlformats.org/officeDocument/2006/relationships/hyperlink" Target="https://ep.cpgdata.com/external-api/view-photo/displays/480babba-8888-4202-b931-f95f46696c98/" TargetMode="External" Id="rId275" /><Relationship Type="http://schemas.openxmlformats.org/officeDocument/2006/relationships/hyperlink" Target="https://ep.cpgdata.com/external-api/view-photo/displays/d0efdf74-3880-4711-b870-0c37135e9157/" TargetMode="External" Id="rId276" /><Relationship Type="http://schemas.openxmlformats.org/officeDocument/2006/relationships/hyperlink" Target="https://ep.cpgdata.com/external-api/view-photo/displays/2999f63a-8ff1-4323-b1e5-7b15544bf810/" TargetMode="External" Id="rId277" /><Relationship Type="http://schemas.openxmlformats.org/officeDocument/2006/relationships/hyperlink" Target="https://ep.cpgdata.com/external-api/view-photo/displays/634e4b77-b061-4c8e-87e1-2e597d8ae926/" TargetMode="External" Id="rId278" /><Relationship Type="http://schemas.openxmlformats.org/officeDocument/2006/relationships/hyperlink" Target="https://ep.cpgdata.com/external-api/view-photo/displays/94e5e43b-04d5-426d-a83e-1ba5e4aa89e6/" TargetMode="External" Id="rId279" /><Relationship Type="http://schemas.openxmlformats.org/officeDocument/2006/relationships/hyperlink" Target="https://ep.cpgdata.com/external-api/view-photo/displays/53cca37d-a410-428b-a89b-c3f2c93839b3/" TargetMode="External" Id="rId280" /><Relationship Type="http://schemas.openxmlformats.org/officeDocument/2006/relationships/hyperlink" Target="https://ep.cpgdata.com/external-api/view-photo/displays/a416f649-cce8-461b-a3eb-bb7c0feddf48/" TargetMode="External" Id="rId281" /><Relationship Type="http://schemas.openxmlformats.org/officeDocument/2006/relationships/hyperlink" Target="https://ep.cpgdata.com/external-api/view-photo/displays/30924174-7ca6-437d-832c-4434bdcbcac4/" TargetMode="External" Id="rId282" /><Relationship Type="http://schemas.openxmlformats.org/officeDocument/2006/relationships/hyperlink" Target="https://ep.cpgdata.com/external-api/view-photo/displays/d0e3e370-aa9a-472f-b40f-254742da12bf/" TargetMode="External" Id="rId283" /><Relationship Type="http://schemas.openxmlformats.org/officeDocument/2006/relationships/hyperlink" Target="https://ep.cpgdata.com/external-api/view-photo/displays/a6b9490e-13dc-4213-bb7c-034fff39754c/" TargetMode="External" Id="rId284" /><Relationship Type="http://schemas.openxmlformats.org/officeDocument/2006/relationships/hyperlink" Target="https://ep.cpgdata.com/external-api/view-photo/displays/c7f3ad1e-bb77-448a-b969-c98b41877a89/" TargetMode="External" Id="rId285" /><Relationship Type="http://schemas.openxmlformats.org/officeDocument/2006/relationships/hyperlink" Target="https://ep.cpgdata.com/external-api/view-photo/displays/e41d5e06-dd38-4776-8b6b-e82292d2a0b5/" TargetMode="External" Id="rId286" /><Relationship Type="http://schemas.openxmlformats.org/officeDocument/2006/relationships/hyperlink" Target="https://ep.cpgdata.com/external-api/view-photo/displays/bd6e8efe-15b2-4281-b9f8-631104e26cf1/" TargetMode="External" Id="rId287" /><Relationship Type="http://schemas.openxmlformats.org/officeDocument/2006/relationships/hyperlink" Target="https://ep.cpgdata.com/external-api/view-photo/displays/cd34a066-95b6-4543-9b78-f16bd1719338/" TargetMode="External" Id="rId288" /><Relationship Type="http://schemas.openxmlformats.org/officeDocument/2006/relationships/hyperlink" Target="https://ep.cpgdata.com/external-api/view-photo/displays/c42f212f-4cfb-41cb-b73d-2c19a9c646c1/" TargetMode="External" Id="rId289" /><Relationship Type="http://schemas.openxmlformats.org/officeDocument/2006/relationships/hyperlink" Target="https://ep.cpgdata.com/external-api/view-photo/displays/6f49e073-c664-479e-bc54-8ac5609261f1/" TargetMode="External" Id="rId290" /><Relationship Type="http://schemas.openxmlformats.org/officeDocument/2006/relationships/hyperlink" Target="https://ep.cpgdata.com/external-api/view-photo/displays/85d20691-367d-44f7-aa3d-d8ad821ade28/" TargetMode="External" Id="rId291" /><Relationship Type="http://schemas.openxmlformats.org/officeDocument/2006/relationships/hyperlink" Target="https://ep.cpgdata.com/external-api/view-photo/displays/38911406-3c32-4c4c-8e36-657aeae75d86/" TargetMode="External" Id="rId292" /><Relationship Type="http://schemas.openxmlformats.org/officeDocument/2006/relationships/hyperlink" Target="https://ep.cpgdata.com/external-api/view-photo/displays/86c61f9a-7dd6-43a4-b789-2fa0fd774dbb/" TargetMode="External" Id="rId293" /><Relationship Type="http://schemas.openxmlformats.org/officeDocument/2006/relationships/hyperlink" Target="https://ep.cpgdata.com/external-api/view-photo/displays/72e9a264-3b47-49a6-a446-89add122e4b2/" TargetMode="External" Id="rId294" /><Relationship Type="http://schemas.openxmlformats.org/officeDocument/2006/relationships/hyperlink" Target="https://ep.cpgdata.com/external-api/view-photo/displays/94d9f81d-df1e-4b07-bdb6-e63911ea7f31/" TargetMode="External" Id="rId295" /><Relationship Type="http://schemas.openxmlformats.org/officeDocument/2006/relationships/hyperlink" Target="https://ep.cpgdata.com/external-api/view-photo/displays/8f3a5020-aee6-4c3e-b2dd-0c7163821a81/" TargetMode="External" Id="rId296" /><Relationship Type="http://schemas.openxmlformats.org/officeDocument/2006/relationships/hyperlink" Target="https://ep.cpgdata.com/external-api/view-photo/displays/dc910fde-eb99-461b-99e1-434e38810d2c/" TargetMode="External" Id="rId297" /><Relationship Type="http://schemas.openxmlformats.org/officeDocument/2006/relationships/hyperlink" Target="https://ep.cpgdata.com/external-api/view-photo/displays/aa6f4dc7-3120-44ad-881c-428d51cd0c52/" TargetMode="External" Id="rId298" /><Relationship Type="http://schemas.openxmlformats.org/officeDocument/2006/relationships/hyperlink" Target="https://ep.cpgdata.com/external-api/view-photo/displays/57959a7e-7cc7-47a8-8fdd-80b46cc890ab/" TargetMode="External" Id="rId299" /><Relationship Type="http://schemas.openxmlformats.org/officeDocument/2006/relationships/hyperlink" Target="https://ep.cpgdata.com/external-api/view-photo/displays/a7fe63d8-58d9-4a71-808e-4e0e6054651d/" TargetMode="External" Id="rId300" /><Relationship Type="http://schemas.openxmlformats.org/officeDocument/2006/relationships/hyperlink" Target="https://ep.cpgdata.com/external-api/view-photo/displays/7f861311-ba7d-4f21-9d9c-cc4dc9a7c548/" TargetMode="External" Id="rId301" /><Relationship Type="http://schemas.openxmlformats.org/officeDocument/2006/relationships/hyperlink" Target="https://ep.cpgdata.com/external-api/view-photo/displays/c7baf805-8bae-4a8e-b64c-e1abb06aabf4/" TargetMode="External" Id="rId302" /><Relationship Type="http://schemas.openxmlformats.org/officeDocument/2006/relationships/hyperlink" Target="https://ep.cpgdata.com/external-api/view-photo/displays/f7df6d80-fb4e-45c9-bcb4-768df8367627/" TargetMode="External" Id="rId303" /><Relationship Type="http://schemas.openxmlformats.org/officeDocument/2006/relationships/hyperlink" Target="https://ep.cpgdata.com/external-api/view-photo/displays/0cb42439-1d64-47fd-a538-f854014742b2/" TargetMode="External" Id="rId304" /><Relationship Type="http://schemas.openxmlformats.org/officeDocument/2006/relationships/hyperlink" Target="https://ep.cpgdata.com/external-api/view-photo/displays/139f5712-54e1-49bd-8056-c082996db6b2/" TargetMode="External" Id="rId305" /><Relationship Type="http://schemas.openxmlformats.org/officeDocument/2006/relationships/hyperlink" Target="https://ep.cpgdata.com/external-api/view-photo/displays/6742261c-a60b-47b6-a5a4-5690469d9b10/" TargetMode="External" Id="rId306" /><Relationship Type="http://schemas.openxmlformats.org/officeDocument/2006/relationships/hyperlink" Target="https://ep.cpgdata.com/external-api/view-photo/displays/033556ba-6e4a-4132-b163-91030cf223fb/" TargetMode="External" Id="rId307" /><Relationship Type="http://schemas.openxmlformats.org/officeDocument/2006/relationships/hyperlink" Target="https://ep.cpgdata.com/external-api/view-photo/displays/11e30b87-a655-441b-8a2a-056f1f7f19cf/" TargetMode="External" Id="rId308" /><Relationship Type="http://schemas.openxmlformats.org/officeDocument/2006/relationships/hyperlink" Target="https://ep.cpgdata.com/external-api/view-photo/displays/2ae11299-9a53-4b97-b169-0be505678593/" TargetMode="External" Id="rId309" /><Relationship Type="http://schemas.openxmlformats.org/officeDocument/2006/relationships/hyperlink" Target="https://ep.cpgdata.com/external-api/view-photo/displays/225b85a1-c288-45c1-9bd0-96aff7e99b90/" TargetMode="External" Id="rId310" /><Relationship Type="http://schemas.openxmlformats.org/officeDocument/2006/relationships/hyperlink" Target="https://ep.cpgdata.com/external-api/view-photo/displays/a1b9ab6b-5886-4824-84e0-4644776d6252/" TargetMode="External" Id="rId311" /><Relationship Type="http://schemas.openxmlformats.org/officeDocument/2006/relationships/hyperlink" Target="https://ep.cpgdata.com/external-api/view-photo/displays/b7f20952-b5ec-4360-b13a-b58f1639bb21/" TargetMode="External" Id="rId312" /><Relationship Type="http://schemas.openxmlformats.org/officeDocument/2006/relationships/hyperlink" Target="https://ep.cpgdata.com/external-api/view-photo/displays/d83cadcc-ca3c-4f57-aadc-df6e093be529/" TargetMode="External" Id="rId313" /><Relationship Type="http://schemas.openxmlformats.org/officeDocument/2006/relationships/hyperlink" Target="https://ep.cpgdata.com/external-api/view-photo/displays/f0a3cf49-d394-41d1-86fc-f149bd1a8b1c/" TargetMode="External" Id="rId314" /><Relationship Type="http://schemas.openxmlformats.org/officeDocument/2006/relationships/hyperlink" Target="https://ep.cpgdata.com/external-api/view-photo/displays/0a0a0eeb-9f7f-4f14-9203-0aac8e5fdd77/" TargetMode="External" Id="rId315" /><Relationship Type="http://schemas.openxmlformats.org/officeDocument/2006/relationships/hyperlink" Target="https://ep.cpgdata.com/external-api/view-photo/displays/ad290e0f-39eb-48ae-b731-b243178d04bc/" TargetMode="External" Id="rId316" /><Relationship Type="http://schemas.openxmlformats.org/officeDocument/2006/relationships/hyperlink" Target="https://ep.cpgdata.com/external-api/view-photo/displays/5863f624-28e1-48c0-acfe-55fbc7bff2ab/" TargetMode="External" Id="rId317" /><Relationship Type="http://schemas.openxmlformats.org/officeDocument/2006/relationships/hyperlink" Target="https://ep.cpgdata.com/external-api/view-photo/displays/04daef4d-95b3-4e00-855e-8a9089d6bc0e/" TargetMode="External" Id="rId318" /><Relationship Type="http://schemas.openxmlformats.org/officeDocument/2006/relationships/hyperlink" Target="https://ep.cpgdata.com/external-api/view-photo/displays/3d7e3d74-918e-4d6a-8b87-87e75314ba40/" TargetMode="External" Id="rId319" /><Relationship Type="http://schemas.openxmlformats.org/officeDocument/2006/relationships/hyperlink" Target="https://ep.cpgdata.com/external-api/view-photo/displays/0d020ebd-fd64-43cf-a2d4-02b35433874e/" TargetMode="External" Id="rId320" /><Relationship Type="http://schemas.openxmlformats.org/officeDocument/2006/relationships/hyperlink" Target="https://ep.cpgdata.com/external-api/view-photo/displays/9335bc03-02ab-4a7b-a96f-4e73778615de/" TargetMode="External" Id="rId321" /><Relationship Type="http://schemas.openxmlformats.org/officeDocument/2006/relationships/hyperlink" Target="https://ep.cpgdata.com/external-api/view-photo/displays/1f34c6c5-294f-47e3-8492-53b2dae87c82/" TargetMode="External" Id="rId322" /><Relationship Type="http://schemas.openxmlformats.org/officeDocument/2006/relationships/hyperlink" Target="https://ep.cpgdata.com/external-api/view-photo/displays/60063b2f-eb5b-4bcb-b2b5-029e631fdca2/" TargetMode="External" Id="rId323" /><Relationship Type="http://schemas.openxmlformats.org/officeDocument/2006/relationships/hyperlink" Target="https://ep.cpgdata.com/external-api/view-photo/displays/61955c9f-47ab-47fe-97d6-1ff2f8190d39/" TargetMode="External" Id="rId324" /><Relationship Type="http://schemas.openxmlformats.org/officeDocument/2006/relationships/hyperlink" Target="https://ep.cpgdata.com/external-api/view-photo/displays/f538c8e4-5b2d-48e4-9ded-adab05b92205/" TargetMode="External" Id="rId325" /><Relationship Type="http://schemas.openxmlformats.org/officeDocument/2006/relationships/hyperlink" Target="https://ep.cpgdata.com/external-api/view-photo/displays/97818d84-e2ff-46ad-b70d-62952a0fbce3/" TargetMode="External" Id="rId326" /><Relationship Type="http://schemas.openxmlformats.org/officeDocument/2006/relationships/hyperlink" Target="https://ep.cpgdata.com/external-api/view-photo/displays/8e46d568-25be-4c21-88cc-a31aafd53b66/" TargetMode="External" Id="rId327" /><Relationship Type="http://schemas.openxmlformats.org/officeDocument/2006/relationships/hyperlink" Target="https://ep.cpgdata.com/external-api/view-photo/displays/2245b391-639f-42d0-83ee-434de54042b8/" TargetMode="External" Id="rId328" /><Relationship Type="http://schemas.openxmlformats.org/officeDocument/2006/relationships/hyperlink" Target="https://ep.cpgdata.com/external-api/view-photo/displays/c95aa28b-dd27-465e-83b4-4f322a2456a6/" TargetMode="External" Id="rId329" /><Relationship Type="http://schemas.openxmlformats.org/officeDocument/2006/relationships/hyperlink" Target="https://ep.cpgdata.com/external-api/view-photo/displays/73dc0b84-ff2a-4376-b0d7-5e2aa8cea20e/" TargetMode="External" Id="rId330" /><Relationship Type="http://schemas.openxmlformats.org/officeDocument/2006/relationships/hyperlink" Target="https://ep.cpgdata.com/external-api/view-photo/displays/19b42409-716a-4519-8079-a5c003f0a1cb/" TargetMode="External" Id="rId331" /><Relationship Type="http://schemas.openxmlformats.org/officeDocument/2006/relationships/hyperlink" Target="https://ep.cpgdata.com/external-api/view-photo/displays/47675a1d-77ef-4029-9752-68b1a12d6e98/" TargetMode="External" Id="rId332" /><Relationship Type="http://schemas.openxmlformats.org/officeDocument/2006/relationships/hyperlink" Target="https://ep.cpgdata.com/external-api/view-photo/displays/fb9bed43-95b5-4d6d-ae1d-1c004371b89d/" TargetMode="External" Id="rId333" /><Relationship Type="http://schemas.openxmlformats.org/officeDocument/2006/relationships/hyperlink" Target="https://ep.cpgdata.com/external-api/view-photo/displays/f89f45c6-fd8d-46cb-a4bd-7b5b9dda7038/" TargetMode="External" Id="rId334" /><Relationship Type="http://schemas.openxmlformats.org/officeDocument/2006/relationships/hyperlink" Target="https://ep.cpgdata.com/external-api/view-photo/displays/9a19207c-a96a-48e4-8cc4-37afc7d95fd3/" TargetMode="External" Id="rId335" /><Relationship Type="http://schemas.openxmlformats.org/officeDocument/2006/relationships/hyperlink" Target="https://ep.cpgdata.com/external-api/view-photo/displays/b6f35e6f-bbb7-4290-9b64-b6ce65e601f2/" TargetMode="External" Id="rId336" /><Relationship Type="http://schemas.openxmlformats.org/officeDocument/2006/relationships/hyperlink" Target="https://ep.cpgdata.com/external-api/view-photo/displays/2141947c-83b5-439c-9234-198cdfe3293b/" TargetMode="External" Id="rId337" /><Relationship Type="http://schemas.openxmlformats.org/officeDocument/2006/relationships/hyperlink" Target="https://ep.cpgdata.com/external-api/view-photo/displays/5b29c082-88c6-44f6-967a-b9896668107a/" TargetMode="External" Id="rId338" /><Relationship Type="http://schemas.openxmlformats.org/officeDocument/2006/relationships/hyperlink" Target="https://ep.cpgdata.com/external-api/view-photo/displays/639d3667-d318-48f8-b773-a3d3e14b190a/" TargetMode="External" Id="rId339" /><Relationship Type="http://schemas.openxmlformats.org/officeDocument/2006/relationships/hyperlink" Target="https://ep.cpgdata.com/external-api/view-photo/displays/9743f310-5a26-40d8-895c-b20ae6ef6a7c/" TargetMode="External" Id="rId340" /><Relationship Type="http://schemas.openxmlformats.org/officeDocument/2006/relationships/hyperlink" Target="https://ep.cpgdata.com/external-api/view-photo/displays/eaa2391f-e0a6-42db-8db6-11c420b84f42/" TargetMode="External" Id="rId341" /><Relationship Type="http://schemas.openxmlformats.org/officeDocument/2006/relationships/hyperlink" Target="https://ep.cpgdata.com/external-api/view-photo/displays/0c2750f5-9d07-4b21-9c3f-d24905bcca5d/" TargetMode="External" Id="rId342" /><Relationship Type="http://schemas.openxmlformats.org/officeDocument/2006/relationships/hyperlink" Target="https://ep.cpgdata.com/external-api/view-photo/displays/94c96ed0-67cb-418b-984b-b03e7510ed1e/" TargetMode="External" Id="rId343" /><Relationship Type="http://schemas.openxmlformats.org/officeDocument/2006/relationships/hyperlink" Target="https://ep.cpgdata.com/external-api/view-photo/displays/89db6023-7381-4ec7-8871-925d90cefc83/" TargetMode="External" Id="rId344" /><Relationship Type="http://schemas.openxmlformats.org/officeDocument/2006/relationships/hyperlink" Target="https://ep.cpgdata.com/external-api/view-photo/displays/7e4676e8-a12d-48ae-ae74-d0cdef1a9e98/" TargetMode="External" Id="rId345" /><Relationship Type="http://schemas.openxmlformats.org/officeDocument/2006/relationships/hyperlink" Target="https://ep.cpgdata.com/external-api/view-photo/displays/ae75d195-3c01-4541-8b62-155e24d5f030/" TargetMode="External" Id="rId346" /><Relationship Type="http://schemas.openxmlformats.org/officeDocument/2006/relationships/hyperlink" Target="https://ep.cpgdata.com/external-api/view-photo/displays/295760ca-7882-460e-81bf-b2090ff46521/" TargetMode="External" Id="rId347" /><Relationship Type="http://schemas.openxmlformats.org/officeDocument/2006/relationships/hyperlink" Target="https://ep.cpgdata.com/external-api/view-photo/displays/f996b93c-12ae-416a-9c42-0b52f9498500/" TargetMode="External" Id="rId348" /><Relationship Type="http://schemas.openxmlformats.org/officeDocument/2006/relationships/hyperlink" Target="https://ep.cpgdata.com/external-api/view-photo/displays/65f09e36-bc50-4a9f-a710-6bddf0f89f0a/" TargetMode="External" Id="rId349" /><Relationship Type="http://schemas.openxmlformats.org/officeDocument/2006/relationships/hyperlink" Target="https://ep.cpgdata.com/external-api/view-photo/displays/78ac0eb2-cc9b-41d0-bdba-505a49e9a298/" TargetMode="External" Id="rId350" /><Relationship Type="http://schemas.openxmlformats.org/officeDocument/2006/relationships/hyperlink" Target="https://ep.cpgdata.com/external-api/view-photo/displays/4e3ecf44-9864-4a20-a0c3-d372b6a3d4c4/" TargetMode="External" Id="rId351" /><Relationship Type="http://schemas.openxmlformats.org/officeDocument/2006/relationships/hyperlink" Target="https://ep.cpgdata.com/external-api/view-photo/displays/dc60d6db-4544-469d-b8cb-91d90da22f64/" TargetMode="External" Id="rId352" /><Relationship Type="http://schemas.openxmlformats.org/officeDocument/2006/relationships/hyperlink" Target="https://ep.cpgdata.com/external-api/view-photo/displays/e3d014c0-d75d-495e-94b7-e3235eac733a/" TargetMode="External" Id="rId353" /><Relationship Type="http://schemas.openxmlformats.org/officeDocument/2006/relationships/hyperlink" Target="https://ep.cpgdata.com/external-api/view-photo/displays/659beef0-7504-4bfa-b56e-b0b119d42ee7/" TargetMode="External" Id="rId354" /><Relationship Type="http://schemas.openxmlformats.org/officeDocument/2006/relationships/hyperlink" Target="https://ep.cpgdata.com/external-api/view-photo/displays/0eddac16-f103-4943-89dc-8fc5bb89adf4/" TargetMode="External" Id="rId355" /><Relationship Type="http://schemas.openxmlformats.org/officeDocument/2006/relationships/hyperlink" Target="https://ep.cpgdata.com/external-api/view-photo/displays/05f86b53-f4f7-4f9a-97ec-c44f36539d21/" TargetMode="External" Id="rId356" /><Relationship Type="http://schemas.openxmlformats.org/officeDocument/2006/relationships/hyperlink" Target="https://ep.cpgdata.com/external-api/view-photo/displays/fad80de6-bfbc-48b2-a2c0-5e8bb4d69c7e/" TargetMode="External" Id="rId357" /><Relationship Type="http://schemas.openxmlformats.org/officeDocument/2006/relationships/hyperlink" Target="https://ep.cpgdata.com/external-api/view-photo/displays/bb9b325f-b278-4e1b-a846-23f6821fa530/" TargetMode="External" Id="rId358" /><Relationship Type="http://schemas.openxmlformats.org/officeDocument/2006/relationships/hyperlink" Target="https://ep.cpgdata.com/external-api/view-photo/displays/3f9a53b1-de1b-4292-8164-51067c4aa277/" TargetMode="External" Id="rId359" /><Relationship Type="http://schemas.openxmlformats.org/officeDocument/2006/relationships/hyperlink" Target="https://ep.cpgdata.com/external-api/view-photo/displays/a7497154-e1aa-4487-99cd-f5fbc9918886/" TargetMode="External" Id="rId360" /><Relationship Type="http://schemas.openxmlformats.org/officeDocument/2006/relationships/hyperlink" Target="https://ep.cpgdata.com/external-api/view-photo/displays/4009d360-e246-4568-b4fa-a778abbae066/" TargetMode="External" Id="rId361" /><Relationship Type="http://schemas.openxmlformats.org/officeDocument/2006/relationships/hyperlink" Target="https://ep.cpgdata.com/external-api/view-photo/displays/ce6a1533-b329-4c31-9605-5aebf2800076/" TargetMode="External" Id="rId362" /><Relationship Type="http://schemas.openxmlformats.org/officeDocument/2006/relationships/hyperlink" Target="https://ep.cpgdata.com/external-api/view-photo/displays/4fa64595-1b6c-4bc8-bf3e-4be5a5de12ea/" TargetMode="External" Id="rId363" /><Relationship Type="http://schemas.openxmlformats.org/officeDocument/2006/relationships/hyperlink" Target="https://ep.cpgdata.com/external-api/view-photo/displays/0b707179-960c-4854-b7fb-dd439f7b3654/" TargetMode="External" Id="rId364" /><Relationship Type="http://schemas.openxmlformats.org/officeDocument/2006/relationships/hyperlink" Target="https://ep.cpgdata.com/external-api/view-photo/displays/56da9717-883e-44bd-b853-586ff14e45c2/" TargetMode="External" Id="rId365" /><Relationship Type="http://schemas.openxmlformats.org/officeDocument/2006/relationships/hyperlink" Target="https://ep.cpgdata.com/external-api/view-photo/displays/54f10e38-fcce-459a-acee-535e21695a5b/" TargetMode="External" Id="rId366" /><Relationship Type="http://schemas.openxmlformats.org/officeDocument/2006/relationships/hyperlink" Target="https://ep.cpgdata.com/external-api/view-photo/displays/242c7c80-c6d8-4b57-849e-7e3a28bbab9f/" TargetMode="External" Id="rId367" /><Relationship Type="http://schemas.openxmlformats.org/officeDocument/2006/relationships/hyperlink" Target="https://ep.cpgdata.com/external-api/view-photo/displays/f560bf67-39eb-4964-9198-c915f61b55a7/" TargetMode="External" Id="rId368" /><Relationship Type="http://schemas.openxmlformats.org/officeDocument/2006/relationships/hyperlink" Target="https://ep.cpgdata.com/external-api/view-photo/displays/e330db8d-e19d-4e2a-b770-ec4ac883a370/" TargetMode="External" Id="rId369" /><Relationship Type="http://schemas.openxmlformats.org/officeDocument/2006/relationships/hyperlink" Target="https://ep.cpgdata.com/external-api/view-photo/displays/6754ab05-34bc-45a3-a0a9-dd24bbd0fc8a/" TargetMode="External" Id="rId370" /><Relationship Type="http://schemas.openxmlformats.org/officeDocument/2006/relationships/hyperlink" Target="https://ep.cpgdata.com/external-api/view-photo/displays/5cefb206-d28f-4333-a833-4eb6d171c88d/" TargetMode="External" Id="rId371" /><Relationship Type="http://schemas.openxmlformats.org/officeDocument/2006/relationships/hyperlink" Target="https://ep.cpgdata.com/external-api/view-photo/displays/7d82ea59-efd6-4f2c-8380-4966feff119e/" TargetMode="External" Id="rId372" /><Relationship Type="http://schemas.openxmlformats.org/officeDocument/2006/relationships/hyperlink" Target="https://ep.cpgdata.com/external-api/view-photo/displays/cec5704a-ca49-4de7-bac0-c54fa41a43d2/" TargetMode="External" Id="rId373" /><Relationship Type="http://schemas.openxmlformats.org/officeDocument/2006/relationships/hyperlink" Target="https://ep.cpgdata.com/external-api/view-photo/displays/245bf6d4-ddcb-4753-8d9a-5265bdddf13c/" TargetMode="External" Id="rId374" /><Relationship Type="http://schemas.openxmlformats.org/officeDocument/2006/relationships/hyperlink" Target="https://ep.cpgdata.com/external-api/view-photo/displays/44d77409-5e5b-4110-97b9-e5bfdfee3a84/" TargetMode="External" Id="rId375" /><Relationship Type="http://schemas.openxmlformats.org/officeDocument/2006/relationships/hyperlink" Target="https://ep.cpgdata.com/external-api/view-photo/displays/7b3214ff-1de2-4d20-9dee-1b69ed749c73/" TargetMode="External" Id="rId376" /><Relationship Type="http://schemas.openxmlformats.org/officeDocument/2006/relationships/hyperlink" Target="https://ep.cpgdata.com/external-api/view-photo/displays/45fef456-8a3b-489a-8574-2e471885c5eb/" TargetMode="External" Id="rId377" /><Relationship Type="http://schemas.openxmlformats.org/officeDocument/2006/relationships/hyperlink" Target="https://ep.cpgdata.com/external-api/view-photo/displays/7435c805-41af-4822-a6fb-aafb6d7c4683/" TargetMode="External" Id="rId378" /><Relationship Type="http://schemas.openxmlformats.org/officeDocument/2006/relationships/hyperlink" Target="https://ep.cpgdata.com/external-api/view-photo/displays/453a4758-33bf-462e-8c04-024fb86c2d2a/" TargetMode="External" Id="rId379" /><Relationship Type="http://schemas.openxmlformats.org/officeDocument/2006/relationships/hyperlink" Target="https://ep.cpgdata.com/external-api/view-photo/displays/75b606c9-6dd6-49a5-b460-44fbf8135be6/" TargetMode="External" Id="rId380" /><Relationship Type="http://schemas.openxmlformats.org/officeDocument/2006/relationships/hyperlink" Target="https://ep.cpgdata.com/external-api/view-photo/displays/bddbb5b8-c836-4364-93ad-70220b0a732b/" TargetMode="External" Id="rId381" /><Relationship Type="http://schemas.openxmlformats.org/officeDocument/2006/relationships/hyperlink" Target="https://ep.cpgdata.com/external-api/view-photo/displays/da586193-41b8-4ad1-9d14-0d8bc52220a4/" TargetMode="External" Id="rId382" /><Relationship Type="http://schemas.openxmlformats.org/officeDocument/2006/relationships/hyperlink" Target="https://ep.cpgdata.com/external-api/view-photo/displays/55c38c68-1a08-4ff6-b3f4-ecb2e83b8492/" TargetMode="External" Id="rId383" /><Relationship Type="http://schemas.openxmlformats.org/officeDocument/2006/relationships/hyperlink" Target="https://ep.cpgdata.com/external-api/view-photo/displays/72e0829d-10c3-49b7-b543-378a6b8286a5/" TargetMode="External" Id="rId384" /><Relationship Type="http://schemas.openxmlformats.org/officeDocument/2006/relationships/hyperlink" Target="https://ep.cpgdata.com/external-api/view-photo/displays/f1d4a851-f3b5-4a46-9968-7c5879fbedce/" TargetMode="External" Id="rId385" /><Relationship Type="http://schemas.openxmlformats.org/officeDocument/2006/relationships/hyperlink" Target="https://ep.cpgdata.com/external-api/view-photo/displays/dcb82f14-eed0-4869-95ba-d52afb2f40ce/" TargetMode="External" Id="rId386" /><Relationship Type="http://schemas.openxmlformats.org/officeDocument/2006/relationships/hyperlink" Target="https://ep.cpgdata.com/external-api/view-photo/displays/f5368d06-5ec9-4835-9097-7e4d14c5be16/" TargetMode="External" Id="rId387" /><Relationship Type="http://schemas.openxmlformats.org/officeDocument/2006/relationships/hyperlink" Target="https://ep.cpgdata.com/external-api/view-photo/displays/c3287e1c-ac5c-47b9-ab37-40268147e2ae/" TargetMode="External" Id="rId388" /><Relationship Type="http://schemas.openxmlformats.org/officeDocument/2006/relationships/hyperlink" Target="https://ep.cpgdata.com/external-api/view-photo/displays/8951d79d-830e-456c-9447-9da9e969c8e7/" TargetMode="External" Id="rId389" /><Relationship Type="http://schemas.openxmlformats.org/officeDocument/2006/relationships/hyperlink" Target="https://ep.cpgdata.com/external-api/view-photo/displays/5943343d-74ac-49e1-9fee-02d578aa09f0/" TargetMode="External" Id="rId390" /><Relationship Type="http://schemas.openxmlformats.org/officeDocument/2006/relationships/hyperlink" Target="https://ep.cpgdata.com/external-api/view-photo/displays/6e193ea3-f8a0-46f4-a9c8-3b8b0c374b47/" TargetMode="External" Id="rId391" /><Relationship Type="http://schemas.openxmlformats.org/officeDocument/2006/relationships/hyperlink" Target="https://ep.cpgdata.com/external-api/view-photo/displays/00c0c777-2052-4f80-81c5-3b0cdda1b7cb/" TargetMode="External" Id="rId392" /><Relationship Type="http://schemas.openxmlformats.org/officeDocument/2006/relationships/hyperlink" Target="https://ep.cpgdata.com/external-api/view-photo/displays/304cc2c3-605c-4211-9943-6fd3a3db1818/" TargetMode="External" Id="rId393" /><Relationship Type="http://schemas.openxmlformats.org/officeDocument/2006/relationships/hyperlink" Target="https://ep.cpgdata.com/external-api/view-photo/displays/7e724e54-7104-4427-8754-203ebdddf3fe/" TargetMode="External" Id="rId394" /><Relationship Type="http://schemas.openxmlformats.org/officeDocument/2006/relationships/hyperlink" Target="https://ep.cpgdata.com/external-api/view-photo/displays/4466d0f0-be01-48d2-ba8c-359010db76d4/" TargetMode="External" Id="rId395" /><Relationship Type="http://schemas.openxmlformats.org/officeDocument/2006/relationships/hyperlink" Target="https://ep.cpgdata.com/external-api/view-photo/displays/23cf2295-6a7d-4eb4-9e62-b9506cf59834/" TargetMode="External" Id="rId396" /><Relationship Type="http://schemas.openxmlformats.org/officeDocument/2006/relationships/hyperlink" Target="https://ep.cpgdata.com/external-api/view-photo/displays/2d6dfa07-2465-4f0d-808b-198ce25faba7/" TargetMode="External" Id="rId397" /><Relationship Type="http://schemas.openxmlformats.org/officeDocument/2006/relationships/hyperlink" Target="https://ep.cpgdata.com/external-api/view-photo/displays/854a1532-65b5-4019-b413-e17d26714e0c/" TargetMode="External" Id="rId398" /><Relationship Type="http://schemas.openxmlformats.org/officeDocument/2006/relationships/hyperlink" Target="https://ep.cpgdata.com/external-api/view-photo/displays/c13fc287-58d8-472a-91df-abb4c3dbf802/" TargetMode="External" Id="rId399" /><Relationship Type="http://schemas.openxmlformats.org/officeDocument/2006/relationships/hyperlink" Target="https://ep.cpgdata.com/external-api/view-photo/displays/2154253f-011c-4ba3-a980-8f85366d069b/" TargetMode="External" Id="rId400" /><Relationship Type="http://schemas.openxmlformats.org/officeDocument/2006/relationships/hyperlink" Target="https://ep.cpgdata.com/external-api/view-photo/displays/03213c6a-4c56-4185-b083-3d2b3ba851e6/" TargetMode="External" Id="rId401" /><Relationship Type="http://schemas.openxmlformats.org/officeDocument/2006/relationships/hyperlink" Target="https://ep.cpgdata.com/external-api/view-photo/displays/a49d73df-a784-4455-a1a7-c6316965d44a/" TargetMode="External" Id="rId402" /><Relationship Type="http://schemas.openxmlformats.org/officeDocument/2006/relationships/hyperlink" Target="https://ep.cpgdata.com/external-api/view-photo/displays/fb3c58ed-a78d-4c66-9285-b33cdc2392d9/" TargetMode="External" Id="rId403" /><Relationship Type="http://schemas.openxmlformats.org/officeDocument/2006/relationships/hyperlink" Target="https://ep.cpgdata.com/external-api/view-photo/displays/399fc3e1-e83c-4c8e-8894-83852a10313d/" TargetMode="External" Id="rId404" /><Relationship Type="http://schemas.openxmlformats.org/officeDocument/2006/relationships/hyperlink" Target="https://ep.cpgdata.com/external-api/view-photo/displays/b114f1f2-87d8-41a7-895c-8e2d85c1efa3/" TargetMode="External" Id="rId405" /><Relationship Type="http://schemas.openxmlformats.org/officeDocument/2006/relationships/hyperlink" Target="https://ep.cpgdata.com/external-api/view-photo/displays/c4a1509e-6662-409d-831d-bbdb1bd41691/" TargetMode="External" Id="rId406" /><Relationship Type="http://schemas.openxmlformats.org/officeDocument/2006/relationships/hyperlink" Target="https://ep.cpgdata.com/external-api/view-photo/displays/44b0ecce-188f-49d6-86fa-efc017ed83c3/" TargetMode="External" Id="rId407" /><Relationship Type="http://schemas.openxmlformats.org/officeDocument/2006/relationships/hyperlink" Target="https://ep.cpgdata.com/external-api/view-photo/displays/42da1830-4971-4b4d-a3b9-b6151c2a9063/" TargetMode="External" Id="rId408" /><Relationship Type="http://schemas.openxmlformats.org/officeDocument/2006/relationships/hyperlink" Target="https://ep.cpgdata.com/external-api/view-photo/displays/cc84fc11-22f2-4dbc-ac5e-9b63a19da5ba/" TargetMode="External" Id="rId409" /><Relationship Type="http://schemas.openxmlformats.org/officeDocument/2006/relationships/hyperlink" Target="https://ep.cpgdata.com/external-api/view-photo/displays/b4394ba6-f390-4a88-a503-16e58ae70f33/" TargetMode="External" Id="rId410" /><Relationship Type="http://schemas.openxmlformats.org/officeDocument/2006/relationships/hyperlink" Target="https://ep.cpgdata.com/external-api/view-photo/displays/c66858fd-357e-4add-84f9-5958a09c7451/" TargetMode="External" Id="rId411" /><Relationship Type="http://schemas.openxmlformats.org/officeDocument/2006/relationships/hyperlink" Target="https://ep.cpgdata.com/external-api/view-photo/displays/c8244346-5cdf-44f1-8d0b-4a959e49e470/" TargetMode="External" Id="rId412" /><Relationship Type="http://schemas.openxmlformats.org/officeDocument/2006/relationships/hyperlink" Target="https://ep.cpgdata.com/external-api/view-photo/displays/c664da7c-9bbc-4fcc-8478-a72fd7b777d3/" TargetMode="External" Id="rId413" /><Relationship Type="http://schemas.openxmlformats.org/officeDocument/2006/relationships/hyperlink" Target="https://ep.cpgdata.com/external-api/view-photo/displays/9a81831c-9d0c-4c7e-b317-13ccd50c43b4/" TargetMode="External" Id="rId414" /><Relationship Type="http://schemas.openxmlformats.org/officeDocument/2006/relationships/hyperlink" Target="https://ep.cpgdata.com/external-api/view-photo/displays/52b276ff-28b5-43d4-a47a-0262e31af190/" TargetMode="External" Id="rId415" /><Relationship Type="http://schemas.openxmlformats.org/officeDocument/2006/relationships/hyperlink" Target="https://ep.cpgdata.com/external-api/view-photo/displays/185d9ca7-9042-438a-be21-0064fd0530f5/" TargetMode="External" Id="rId416" /><Relationship Type="http://schemas.openxmlformats.org/officeDocument/2006/relationships/hyperlink" Target="https://ep.cpgdata.com/external-api/view-photo/displays/af83fa97-ad68-4a2f-864c-b69b4dc9a039/" TargetMode="External" Id="rId417" /><Relationship Type="http://schemas.openxmlformats.org/officeDocument/2006/relationships/hyperlink" Target="https://ep.cpgdata.com/external-api/view-photo/displays/6dd6bdb7-8cfc-449d-b7b1-d223e9bf291c/" TargetMode="External" Id="rId418" /><Relationship Type="http://schemas.openxmlformats.org/officeDocument/2006/relationships/hyperlink" Target="https://ep.cpgdata.com/external-api/view-photo/displays/14ecf521-cfa5-430b-9fbb-6aa29a031916/" TargetMode="External" Id="rId419" /><Relationship Type="http://schemas.openxmlformats.org/officeDocument/2006/relationships/hyperlink" Target="https://ep.cpgdata.com/external-api/view-photo/displays/17193e8f-5b2d-4eb8-8c48-19bf1619d9d8/" TargetMode="External" Id="rId420" /><Relationship Type="http://schemas.openxmlformats.org/officeDocument/2006/relationships/hyperlink" Target="https://ep.cpgdata.com/external-api/view-photo/displays/36c9754b-425d-4da4-b704-197a0b191275/" TargetMode="External" Id="rId421" /><Relationship Type="http://schemas.openxmlformats.org/officeDocument/2006/relationships/hyperlink" Target="https://ep.cpgdata.com/external-api/view-photo/displays/4b80ec8f-7ac0-4657-9e76-75a1a803d945/" TargetMode="External" Id="rId422" /><Relationship Type="http://schemas.openxmlformats.org/officeDocument/2006/relationships/hyperlink" Target="https://ep.cpgdata.com/external-api/view-photo/displays/dd706b18-6125-4543-95d9-4e10f79da0df/" TargetMode="External" Id="rId423" /><Relationship Type="http://schemas.openxmlformats.org/officeDocument/2006/relationships/hyperlink" Target="https://ep.cpgdata.com/external-api/view-photo/displays/d3d951ec-2a00-402f-ad8a-23769e7e3196/" TargetMode="External" Id="rId424" /><Relationship Type="http://schemas.openxmlformats.org/officeDocument/2006/relationships/hyperlink" Target="https://ep.cpgdata.com/external-api/view-photo/displays/fee9cdc6-3e06-4cbc-b295-4daadbe05cac/" TargetMode="External" Id="rId425" /><Relationship Type="http://schemas.openxmlformats.org/officeDocument/2006/relationships/hyperlink" Target="https://ep.cpgdata.com/external-api/view-photo/displays/99faa0c0-a615-465b-97b3-6f1ebe3dc5f8/" TargetMode="External" Id="rId426" /><Relationship Type="http://schemas.openxmlformats.org/officeDocument/2006/relationships/hyperlink" Target="https://ep.cpgdata.com/external-api/view-photo/displays/18192488-3e1f-4f7a-b10d-1830fa3999c3/" TargetMode="External" Id="rId427" /><Relationship Type="http://schemas.openxmlformats.org/officeDocument/2006/relationships/hyperlink" Target="https://ep.cpgdata.com/external-api/view-photo/displays/e102301e-2fec-4f4a-a28b-7fd18e50d3fe/" TargetMode="External" Id="rId428" /><Relationship Type="http://schemas.openxmlformats.org/officeDocument/2006/relationships/hyperlink" Target="https://ep.cpgdata.com/external-api/view-photo/displays/251afceb-2ae0-4a2d-bc18-bedba905c9bc/" TargetMode="External" Id="rId429" /><Relationship Type="http://schemas.openxmlformats.org/officeDocument/2006/relationships/hyperlink" Target="https://ep.cpgdata.com/external-api/view-photo/displays/742ae7f4-a773-4800-8740-8c1c8eca2b11/" TargetMode="External" Id="rId430" /><Relationship Type="http://schemas.openxmlformats.org/officeDocument/2006/relationships/hyperlink" Target="https://ep.cpgdata.com/external-api/view-photo/displays/3dcc2ba6-9cf7-4043-bae4-ad757dafd08c/" TargetMode="External" Id="rId431" /><Relationship Type="http://schemas.openxmlformats.org/officeDocument/2006/relationships/hyperlink" Target="https://ep.cpgdata.com/external-api/view-photo/displays/0306f15b-3782-4b1f-aa7a-6ac017e783b0/" TargetMode="External" Id="rId432" /><Relationship Type="http://schemas.openxmlformats.org/officeDocument/2006/relationships/hyperlink" Target="https://ep.cpgdata.com/external-api/view-photo/displays/6800922b-6fc9-4e86-927f-bf12c03b9e22/" TargetMode="External" Id="rId433" /><Relationship Type="http://schemas.openxmlformats.org/officeDocument/2006/relationships/hyperlink" Target="https://ep.cpgdata.com/external-api/view-photo/displays/5c757a5b-b73f-464f-b749-ab1d799d863e/" TargetMode="External" Id="rId434" /><Relationship Type="http://schemas.openxmlformats.org/officeDocument/2006/relationships/hyperlink" Target="https://ep.cpgdata.com/external-api/view-photo/displays/acd312d6-0abb-403d-95a0-e544bcba0280/" TargetMode="External" Id="rId435" /><Relationship Type="http://schemas.openxmlformats.org/officeDocument/2006/relationships/hyperlink" Target="https://ep.cpgdata.com/external-api/view-photo/displays/12f8b9cf-602a-46c5-b26a-a1846ec276b1/" TargetMode="External" Id="rId436" /><Relationship Type="http://schemas.openxmlformats.org/officeDocument/2006/relationships/hyperlink" Target="https://ep.cpgdata.com/external-api/view-photo/displays/5be552d9-ee66-4dd0-85a6-fa7a39850e80/" TargetMode="External" Id="rId437" /><Relationship Type="http://schemas.openxmlformats.org/officeDocument/2006/relationships/hyperlink" Target="https://ep.cpgdata.com/external-api/view-photo/displays/f545a18e-0164-487b-9bc2-62ef92aedb5a/" TargetMode="External" Id="rId438" /><Relationship Type="http://schemas.openxmlformats.org/officeDocument/2006/relationships/hyperlink" Target="https://ep.cpgdata.com/external-api/view-photo/displays/747283f8-dd8d-4258-a636-edb0f5ac87bd/" TargetMode="External" Id="rId439" /><Relationship Type="http://schemas.openxmlformats.org/officeDocument/2006/relationships/hyperlink" Target="https://ep.cpgdata.com/external-api/view-photo/displays/1fe112d2-af52-4e64-a8b6-45b5beb63190/" TargetMode="External" Id="rId440" /><Relationship Type="http://schemas.openxmlformats.org/officeDocument/2006/relationships/hyperlink" Target="https://ep.cpgdata.com/external-api/view-photo/displays/439e8be9-1dcd-49c3-8d9f-b277ffaf73d2/" TargetMode="External" Id="rId441" /><Relationship Type="http://schemas.openxmlformats.org/officeDocument/2006/relationships/hyperlink" Target="https://ep.cpgdata.com/external-api/view-photo/displays/f62e3a4b-a4a2-4b69-9803-d729f8f8aa38/" TargetMode="External" Id="rId442" /><Relationship Type="http://schemas.openxmlformats.org/officeDocument/2006/relationships/hyperlink" Target="https://ep.cpgdata.com/external-api/view-photo/displays/ca02c31d-6352-4254-b015-beaa2767e44f/" TargetMode="External" Id="rId443" /><Relationship Type="http://schemas.openxmlformats.org/officeDocument/2006/relationships/hyperlink" Target="https://ep.cpgdata.com/external-api/view-photo/displays/50ed71f5-a707-4d91-9cd0-c83c878326bc/" TargetMode="External" Id="rId444" /><Relationship Type="http://schemas.openxmlformats.org/officeDocument/2006/relationships/hyperlink" Target="https://ep.cpgdata.com/external-api/view-photo/displays/6748e2c9-f6a9-48fd-9e2c-426625f95674/" TargetMode="External" Id="rId445" /><Relationship Type="http://schemas.openxmlformats.org/officeDocument/2006/relationships/hyperlink" Target="https://ep.cpgdata.com/external-api/view-photo/displays/a49a646d-9175-4128-83c5-a6204640f933/" TargetMode="External" Id="rId446" /><Relationship Type="http://schemas.openxmlformats.org/officeDocument/2006/relationships/hyperlink" Target="https://ep.cpgdata.com/external-api/view-photo/displays/e3bb0e6e-e1c9-4e4e-bba5-bcd293793615/" TargetMode="External" Id="rId447" /><Relationship Type="http://schemas.openxmlformats.org/officeDocument/2006/relationships/hyperlink" Target="https://ep.cpgdata.com/external-api/view-photo/displays/559d0863-58d1-4345-9c8f-b0330e743d9e/" TargetMode="External" Id="rId448" /><Relationship Type="http://schemas.openxmlformats.org/officeDocument/2006/relationships/hyperlink" Target="https://ep.cpgdata.com/external-api/view-photo/displays/33a4f866-37ca-4485-a673-60522f0145d4/" TargetMode="External" Id="rId449" /><Relationship Type="http://schemas.openxmlformats.org/officeDocument/2006/relationships/hyperlink" Target="https://ep.cpgdata.com/external-api/view-photo/displays/f084d124-74f2-4a69-9abf-8c585f69c9cb/" TargetMode="External" Id="rId450" /><Relationship Type="http://schemas.openxmlformats.org/officeDocument/2006/relationships/hyperlink" Target="https://ep.cpgdata.com/external-api/view-photo/displays/eb9208d4-205a-4be6-929a-ddcf8746515f/" TargetMode="External" Id="rId451" /><Relationship Type="http://schemas.openxmlformats.org/officeDocument/2006/relationships/hyperlink" Target="https://ep.cpgdata.com/external-api/view-photo/displays/20a0a171-a50b-46ee-8fa2-05e94d370efe/" TargetMode="External" Id="rId452" /><Relationship Type="http://schemas.openxmlformats.org/officeDocument/2006/relationships/hyperlink" Target="https://ep.cpgdata.com/external-api/view-photo/displays/946851d3-cf58-4366-a686-382b41f866d7/" TargetMode="External" Id="rId453" /><Relationship Type="http://schemas.openxmlformats.org/officeDocument/2006/relationships/hyperlink" Target="https://ep.cpgdata.com/external-api/view-photo/displays/c6406309-ef86-41df-a1ad-125dcf663e8b/" TargetMode="External" Id="rId454" /><Relationship Type="http://schemas.openxmlformats.org/officeDocument/2006/relationships/hyperlink" Target="https://ep.cpgdata.com/external-api/view-photo/displays/74225d53-b393-4125-bde3-345c2e5cf6fa/" TargetMode="External" Id="rId455" /><Relationship Type="http://schemas.openxmlformats.org/officeDocument/2006/relationships/hyperlink" Target="https://ep.cpgdata.com/external-api/view-photo/displays/3e408704-e0ed-4472-9f65-2b1ce3a00868/" TargetMode="External" Id="rId456" /><Relationship Type="http://schemas.openxmlformats.org/officeDocument/2006/relationships/hyperlink" Target="https://ep.cpgdata.com/external-api/view-photo/displays/9bc29371-621d-4427-84aa-ecaab92330ec/" TargetMode="External" Id="rId457" /><Relationship Type="http://schemas.openxmlformats.org/officeDocument/2006/relationships/hyperlink" Target="https://ep.cpgdata.com/external-api/view-photo/displays/c0367820-9dae-44ae-80cc-6f13b22e3a87/" TargetMode="External" Id="rId458" /><Relationship Type="http://schemas.openxmlformats.org/officeDocument/2006/relationships/hyperlink" Target="https://ep.cpgdata.com/external-api/view-photo/displays/167e8793-0e63-491f-97ec-98145da6502b/" TargetMode="External" Id="rId459" /><Relationship Type="http://schemas.openxmlformats.org/officeDocument/2006/relationships/hyperlink" Target="https://ep.cpgdata.com/external-api/view-photo/displays/8a3751f0-7994-4627-9c49-8b3e0c8d5f47/" TargetMode="External" Id="rId460" /><Relationship Type="http://schemas.openxmlformats.org/officeDocument/2006/relationships/hyperlink" Target="https://ep.cpgdata.com/external-api/view-photo/displays/f88bc101-0028-44a5-81c5-015dacea545e/" TargetMode="External" Id="rId461" /><Relationship Type="http://schemas.openxmlformats.org/officeDocument/2006/relationships/hyperlink" Target="https://ep.cpgdata.com/external-api/view-photo/displays/ff6f0f9b-ba9c-4974-9347-337d8506c7a2/" TargetMode="External" Id="rId462" /><Relationship Type="http://schemas.openxmlformats.org/officeDocument/2006/relationships/hyperlink" Target="https://ep.cpgdata.com/external-api/view-photo/displays/32c59ac5-4c69-45f4-8f1e-6fed4def20cf/" TargetMode="External" Id="rId463" /><Relationship Type="http://schemas.openxmlformats.org/officeDocument/2006/relationships/hyperlink" Target="https://ep.cpgdata.com/external-api/view-photo/displays/ffea6505-ddf4-4921-8d6e-7c492510380b/" TargetMode="External" Id="rId464" /><Relationship Type="http://schemas.openxmlformats.org/officeDocument/2006/relationships/hyperlink" Target="https://ep.cpgdata.com/external-api/view-photo/displays/acc3b7b1-4436-4c2c-aae5-36d08a48804c/" TargetMode="External" Id="rId465" /><Relationship Type="http://schemas.openxmlformats.org/officeDocument/2006/relationships/hyperlink" Target="https://ep.cpgdata.com/external-api/view-photo/displays/4d12dbc9-6a8f-4bde-ab1a-57936e72f365/" TargetMode="External" Id="rId466" /><Relationship Type="http://schemas.openxmlformats.org/officeDocument/2006/relationships/hyperlink" Target="https://ep.cpgdata.com/external-api/view-photo/displays/3d4034a7-689d-49ab-9451-4843322aaceb/" TargetMode="External" Id="rId467" /><Relationship Type="http://schemas.openxmlformats.org/officeDocument/2006/relationships/hyperlink" Target="https://ep.cpgdata.com/external-api/view-photo/displays/c15eae57-49f4-43b4-9aef-c6204e4ec80b/" TargetMode="External" Id="rId468" /><Relationship Type="http://schemas.openxmlformats.org/officeDocument/2006/relationships/hyperlink" Target="https://ep.cpgdata.com/external-api/view-photo/displays/2e1d43f4-7d65-445a-9898-62a9132f9333/" TargetMode="External" Id="rId469" /><Relationship Type="http://schemas.openxmlformats.org/officeDocument/2006/relationships/hyperlink" Target="https://ep.cpgdata.com/external-api/view-photo/displays/01f1aab7-8105-44ad-bbc0-7a6c1f2443ba/" TargetMode="External" Id="rId470" /><Relationship Type="http://schemas.openxmlformats.org/officeDocument/2006/relationships/hyperlink" Target="https://ep.cpgdata.com/external-api/view-photo/displays/29b32e3c-499b-4d3b-bdf7-5c2f7dea0901/" TargetMode="External" Id="rId471" /><Relationship Type="http://schemas.openxmlformats.org/officeDocument/2006/relationships/hyperlink" Target="https://ep.cpgdata.com/external-api/view-photo/displays/2a5c07cf-f25f-4668-89b1-b6ffde8f6eca/" TargetMode="External" Id="rId472" /><Relationship Type="http://schemas.openxmlformats.org/officeDocument/2006/relationships/hyperlink" Target="https://ep.cpgdata.com/external-api/view-photo/displays/95b11262-412d-4d56-85c1-3d41910d8950/" TargetMode="External" Id="rId473" /><Relationship Type="http://schemas.openxmlformats.org/officeDocument/2006/relationships/hyperlink" Target="https://ep.cpgdata.com/external-api/view-photo/displays/71b23e90-d285-4945-ae08-d5857b531d3f/" TargetMode="External" Id="rId474" /><Relationship Type="http://schemas.openxmlformats.org/officeDocument/2006/relationships/hyperlink" Target="https://ep.cpgdata.com/external-api/view-photo/displays/d5fac915-cb73-4412-8e81-9333dde07b7d/" TargetMode="External" Id="rId475" /><Relationship Type="http://schemas.openxmlformats.org/officeDocument/2006/relationships/hyperlink" Target="https://ep.cpgdata.com/external-api/view-photo/displays/042fa5dd-bff8-40b1-8fdc-8e0d3dd1461a/" TargetMode="External" Id="rId476" /><Relationship Type="http://schemas.openxmlformats.org/officeDocument/2006/relationships/hyperlink" Target="https://ep.cpgdata.com/external-api/view-photo/displays/114df23e-c42e-48b9-ba70-9dc87d559147/" TargetMode="External" Id="rId477" /><Relationship Type="http://schemas.openxmlformats.org/officeDocument/2006/relationships/hyperlink" Target="https://ep.cpgdata.com/external-api/view-photo/displays/10bfbac1-bd60-49c0-a9f5-057b0923f28c/" TargetMode="External" Id="rId478" /><Relationship Type="http://schemas.openxmlformats.org/officeDocument/2006/relationships/hyperlink" Target="https://ep.cpgdata.com/external-api/view-photo/displays/33dc3ddd-175a-4711-994a-46efeb0b2909/" TargetMode="External" Id="rId479" /><Relationship Type="http://schemas.openxmlformats.org/officeDocument/2006/relationships/hyperlink" Target="https://ep.cpgdata.com/external-api/view-photo/displays/590ac015-0ce8-4698-aa1d-0f6c3b33d223/" TargetMode="External" Id="rId480" /><Relationship Type="http://schemas.openxmlformats.org/officeDocument/2006/relationships/hyperlink" Target="https://ep.cpgdata.com/external-api/view-photo/displays/f3c71585-833a-4f1b-ad56-e2c456fe01a5/" TargetMode="External" Id="rId481" /><Relationship Type="http://schemas.openxmlformats.org/officeDocument/2006/relationships/hyperlink" Target="https://ep.cpgdata.com/external-api/view-photo/displays/83a50574-778e-4676-91cb-d8df566e4e08/" TargetMode="External" Id="rId482" /><Relationship Type="http://schemas.openxmlformats.org/officeDocument/2006/relationships/hyperlink" Target="https://ep.cpgdata.com/external-api/view-photo/displays/c2e4deb5-2a87-4229-bb34-0269cdb7f610/" TargetMode="External" Id="rId483" /><Relationship Type="http://schemas.openxmlformats.org/officeDocument/2006/relationships/hyperlink" Target="https://ep.cpgdata.com/external-api/view-photo/displays/4775e45f-ee6a-42ad-91a9-e3fdf6e64e47/" TargetMode="External" Id="rId484" /><Relationship Type="http://schemas.openxmlformats.org/officeDocument/2006/relationships/hyperlink" Target="https://ep.cpgdata.com/external-api/view-photo/displays/f71f27af-e7eb-42b9-a000-fa6ae2bf40dc/" TargetMode="External" Id="rId485" /><Relationship Type="http://schemas.openxmlformats.org/officeDocument/2006/relationships/hyperlink" Target="https://ep.cpgdata.com/external-api/view-photo/displays/57763205-7543-408a-9548-f3bb06a905d3/" TargetMode="External" Id="rId486" /><Relationship Type="http://schemas.openxmlformats.org/officeDocument/2006/relationships/hyperlink" Target="https://ep.cpgdata.com/external-api/view-photo/displays/619b9223-8955-42e0-a4dc-7146d24fabae/" TargetMode="External" Id="rId487" /><Relationship Type="http://schemas.openxmlformats.org/officeDocument/2006/relationships/hyperlink" Target="https://ep.cpgdata.com/external-api/view-photo/displays/ab470d37-b7c1-429d-8758-34c32ccc0b60/" TargetMode="External" Id="rId488" /><Relationship Type="http://schemas.openxmlformats.org/officeDocument/2006/relationships/hyperlink" Target="https://ep.cpgdata.com/external-api/view-photo/displays/cefca4fd-7c4b-43ab-b022-28dead77504d/" TargetMode="External" Id="rId489" /><Relationship Type="http://schemas.openxmlformats.org/officeDocument/2006/relationships/hyperlink" Target="https://ep.cpgdata.com/external-api/view-photo/displays/5b01587e-88fa-45b6-bbdc-eaa958e4820a/" TargetMode="External" Id="rId490" /><Relationship Type="http://schemas.openxmlformats.org/officeDocument/2006/relationships/hyperlink" Target="https://ep.cpgdata.com/external-api/view-photo/displays/022a4626-09c2-44be-8ba0-32930a264756/" TargetMode="External" Id="rId491" /><Relationship Type="http://schemas.openxmlformats.org/officeDocument/2006/relationships/hyperlink" Target="https://ep.cpgdata.com/external-api/view-photo/displays/ec45280f-eb32-423d-97f4-c4b8c20af546/" TargetMode="External" Id="rId492" /><Relationship Type="http://schemas.openxmlformats.org/officeDocument/2006/relationships/hyperlink" Target="https://ep.cpgdata.com/external-api/view-photo/displays/26594234-71cc-4d9a-929f-9327582b0dba/" TargetMode="External" Id="rId493" /><Relationship Type="http://schemas.openxmlformats.org/officeDocument/2006/relationships/hyperlink" Target="https://ep.cpgdata.com/external-api/view-photo/displays/790a3586-acf9-419c-b662-81f94f1b7905/" TargetMode="External" Id="rId494" /><Relationship Type="http://schemas.openxmlformats.org/officeDocument/2006/relationships/hyperlink" Target="https://ep.cpgdata.com/external-api/view-photo/displays/46d15682-a1f0-4a74-9182-d516a23623a2/" TargetMode="External" Id="rId495" /><Relationship Type="http://schemas.openxmlformats.org/officeDocument/2006/relationships/hyperlink" Target="https://ep.cpgdata.com/external-api/view-photo/displays/418c016c-c25c-4213-94d7-06670b9077f3/" TargetMode="External" Id="rId496" /><Relationship Type="http://schemas.openxmlformats.org/officeDocument/2006/relationships/hyperlink" Target="https://ep.cpgdata.com/external-api/view-photo/displays/b24ff8b9-f221-46e8-82d9-b37250d38c79/" TargetMode="External" Id="rId497" /><Relationship Type="http://schemas.openxmlformats.org/officeDocument/2006/relationships/hyperlink" Target="https://ep.cpgdata.com/external-api/view-photo/displays/352272b0-d4d6-41f7-b053-f650828b45e2/" TargetMode="External" Id="rId498" /><Relationship Type="http://schemas.openxmlformats.org/officeDocument/2006/relationships/hyperlink" Target="https://ep.cpgdata.com/external-api/view-photo/displays/72a1e55b-5a51-4d2c-be2c-66104ba58bfe/" TargetMode="External" Id="rId499" /><Relationship Type="http://schemas.openxmlformats.org/officeDocument/2006/relationships/hyperlink" Target="https://ep.cpgdata.com/external-api/view-photo/displays/8a5b09d1-666d-4520-9603-0bfd6a1a6b3e/" TargetMode="External" Id="rId500" /><Relationship Type="http://schemas.openxmlformats.org/officeDocument/2006/relationships/hyperlink" Target="https://ep.cpgdata.com/external-api/view-photo/displays/ca15a353-2f1c-41c0-85ba-9c4f3bdd4b8e/" TargetMode="External" Id="rId501" /><Relationship Type="http://schemas.openxmlformats.org/officeDocument/2006/relationships/hyperlink" Target="https://ep.cpgdata.com/external-api/view-photo/displays/e2091941-a84c-4072-b719-eb915f76a45d/" TargetMode="External" Id="rId502" /><Relationship Type="http://schemas.openxmlformats.org/officeDocument/2006/relationships/hyperlink" Target="https://ep.cpgdata.com/external-api/view-photo/displays/5c1610bb-3eb5-483b-b057-8a4fcc5db703/" TargetMode="External" Id="rId503" /><Relationship Type="http://schemas.openxmlformats.org/officeDocument/2006/relationships/hyperlink" Target="https://ep.cpgdata.com/external-api/view-photo/displays/8a93ff17-3a65-4437-a903-71a7969d46b2/" TargetMode="External" Id="rId504" /><Relationship Type="http://schemas.openxmlformats.org/officeDocument/2006/relationships/hyperlink" Target="https://ep.cpgdata.com/external-api/view-photo/displays/87051702-cd22-4f01-941d-3fdae152a3b5/" TargetMode="External" Id="rId505" /><Relationship Type="http://schemas.openxmlformats.org/officeDocument/2006/relationships/hyperlink" Target="https://ep.cpgdata.com/external-api/view-photo/displays/ae1389a9-2049-4c22-848e-db9b1f1b4f20/" TargetMode="External" Id="rId506" /><Relationship Type="http://schemas.openxmlformats.org/officeDocument/2006/relationships/hyperlink" Target="https://ep.cpgdata.com/external-api/view-photo/displays/746e5e3f-efb3-4e85-a37d-b6015dbd7c49/" TargetMode="External" Id="rId507" /><Relationship Type="http://schemas.openxmlformats.org/officeDocument/2006/relationships/hyperlink" Target="https://ep.cpgdata.com/external-api/view-photo/displays/ff55a805-1eff-4d1e-ac84-014e9a4f99f7/" TargetMode="External" Id="rId508" /><Relationship Type="http://schemas.openxmlformats.org/officeDocument/2006/relationships/hyperlink" Target="https://ep.cpgdata.com/external-api/view-photo/displays/84835b2e-69c6-4821-9800-275aa7c5448f/" TargetMode="External" Id="rId509" /><Relationship Type="http://schemas.openxmlformats.org/officeDocument/2006/relationships/hyperlink" Target="https://ep.cpgdata.com/external-api/view-photo/displays/0e4a6b16-2751-46e8-bdc6-49a52e3ce110/" TargetMode="External" Id="rId510" /><Relationship Type="http://schemas.openxmlformats.org/officeDocument/2006/relationships/hyperlink" Target="https://ep.cpgdata.com/external-api/view-photo/displays/7049f4ed-3135-43d1-9182-a34390d9ed71/" TargetMode="External" Id="rId511" /><Relationship Type="http://schemas.openxmlformats.org/officeDocument/2006/relationships/hyperlink" Target="https://ep.cpgdata.com/external-api/view-photo/displays/99619744-f432-42e9-8f0a-10c98b9386e9/" TargetMode="External" Id="rId512" /><Relationship Type="http://schemas.openxmlformats.org/officeDocument/2006/relationships/hyperlink" Target="https://ep.cpgdata.com/external-api/view-photo/displays/d5215450-3a01-49a9-8d27-ed643ea0f85c/" TargetMode="External" Id="rId513" /><Relationship Type="http://schemas.openxmlformats.org/officeDocument/2006/relationships/hyperlink" Target="https://ep.cpgdata.com/external-api/view-photo/displays/07d3ce2e-d648-457b-842c-c0fc4634a0e5/" TargetMode="External" Id="rId514" /><Relationship Type="http://schemas.openxmlformats.org/officeDocument/2006/relationships/hyperlink" Target="https://ep.cpgdata.com/external-api/view-photo/displays/295e5189-1119-41ab-8554-5c2b3ef60190/" TargetMode="External" Id="rId515" /><Relationship Type="http://schemas.openxmlformats.org/officeDocument/2006/relationships/hyperlink" Target="https://ep.cpgdata.com/external-api/view-photo/displays/6a567702-30f6-4c47-82fa-69340f76f3b2/" TargetMode="External" Id="rId516" /><Relationship Type="http://schemas.openxmlformats.org/officeDocument/2006/relationships/hyperlink" Target="https://ep.cpgdata.com/external-api/view-photo/displays/6f2e1884-56c8-4a4e-9bc7-75eadbe55e95/" TargetMode="External" Id="rId517" /><Relationship Type="http://schemas.openxmlformats.org/officeDocument/2006/relationships/hyperlink" Target="https://ep.cpgdata.com/external-api/view-photo/displays/0bb728dd-360c-4cd7-9f85-af55fe6ccf94/" TargetMode="External" Id="rId518" /><Relationship Type="http://schemas.openxmlformats.org/officeDocument/2006/relationships/hyperlink" Target="https://ep.cpgdata.com/external-api/view-photo/displays/a91724c1-f67f-4a3f-a5e0-5a17ec9be2d0/" TargetMode="External" Id="rId519" /><Relationship Type="http://schemas.openxmlformats.org/officeDocument/2006/relationships/hyperlink" Target="https://ep.cpgdata.com/external-api/view-photo/displays/e146f3d6-04d2-4d48-a17f-4b29e424ba3d/" TargetMode="External" Id="rId520" /><Relationship Type="http://schemas.openxmlformats.org/officeDocument/2006/relationships/hyperlink" Target="https://ep.cpgdata.com/external-api/view-photo/displays/db31325a-fc97-4ca3-9bb3-4bd093f17f34/" TargetMode="External" Id="rId521" /><Relationship Type="http://schemas.openxmlformats.org/officeDocument/2006/relationships/hyperlink" Target="https://ep.cpgdata.com/external-api/view-photo/displays/f64a12e6-8375-4daf-b06c-c4ce65851c01/" TargetMode="External" Id="rId522" /><Relationship Type="http://schemas.openxmlformats.org/officeDocument/2006/relationships/hyperlink" Target="https://ep.cpgdata.com/external-api/view-photo/displays/fe3f8abf-3f39-4c37-9d80-b02509cf0472/" TargetMode="External" Id="rId523" /><Relationship Type="http://schemas.openxmlformats.org/officeDocument/2006/relationships/hyperlink" Target="https://ep.cpgdata.com/external-api/view-photo/displays/5e4b44b1-7abb-4357-b7d6-9ff4de8185be/" TargetMode="External" Id="rId524" /><Relationship Type="http://schemas.openxmlformats.org/officeDocument/2006/relationships/hyperlink" Target="https://ep.cpgdata.com/external-api/view-photo/displays/3d30c6fb-f0b8-4fb2-b1dd-807869abe40f/" TargetMode="External" Id="rId525" /><Relationship Type="http://schemas.openxmlformats.org/officeDocument/2006/relationships/hyperlink" Target="https://ep.cpgdata.com/external-api/view-photo/displays/b4253e58-4727-4f80-9b6e-8e36c17815a0/" TargetMode="External" Id="rId526" /><Relationship Type="http://schemas.openxmlformats.org/officeDocument/2006/relationships/hyperlink" Target="https://ep.cpgdata.com/external-api/view-photo/displays/ddad5e18-0e6a-44ee-bd28-ef929d03d210/" TargetMode="External" Id="rId527" /><Relationship Type="http://schemas.openxmlformats.org/officeDocument/2006/relationships/hyperlink" Target="https://ep.cpgdata.com/external-api/view-photo/displays/16765779-b5cf-4cd9-adbc-0a7afb284665/" TargetMode="External" Id="rId528" /><Relationship Type="http://schemas.openxmlformats.org/officeDocument/2006/relationships/hyperlink" Target="https://ep.cpgdata.com/external-api/view-photo/displays/9c7c8af1-5104-4090-94a7-8de668923992/" TargetMode="External" Id="rId529" /><Relationship Type="http://schemas.openxmlformats.org/officeDocument/2006/relationships/hyperlink" Target="https://ep.cpgdata.com/external-api/view-photo/displays/24f5b7fb-828e-4f0b-9423-e168c9c26c56/" TargetMode="External" Id="rId530" /><Relationship Type="http://schemas.openxmlformats.org/officeDocument/2006/relationships/hyperlink" Target="https://ep.cpgdata.com/external-api/view-photo/displays/f05bc31d-6cd9-40a7-aadf-02c69064109e/" TargetMode="External" Id="rId531" /><Relationship Type="http://schemas.openxmlformats.org/officeDocument/2006/relationships/hyperlink" Target="https://ep.cpgdata.com/external-api/view-photo/displays/dcb27d33-c56d-46b5-a41f-6f84525b10e9/" TargetMode="External" Id="rId532" /><Relationship Type="http://schemas.openxmlformats.org/officeDocument/2006/relationships/hyperlink" Target="https://ep.cpgdata.com/external-api/view-photo/displays/21439737-88d0-450e-b061-8e0bbf2b9544/" TargetMode="External" Id="rId533" /><Relationship Type="http://schemas.openxmlformats.org/officeDocument/2006/relationships/hyperlink" Target="https://ep.cpgdata.com/external-api/view-photo/displays/545d6f6f-a380-4f66-8d68-bc6e4960fc39/" TargetMode="External" Id="rId534" /><Relationship Type="http://schemas.openxmlformats.org/officeDocument/2006/relationships/hyperlink" Target="https://ep.cpgdata.com/external-api/view-photo/displays/fce8c1fc-3120-4a32-a960-a43be3c7d7c2/" TargetMode="External" Id="rId535" /><Relationship Type="http://schemas.openxmlformats.org/officeDocument/2006/relationships/hyperlink" Target="https://ep.cpgdata.com/external-api/view-photo/displays/363953d7-73fa-40ae-af87-6909610da43a/" TargetMode="External" Id="rId536" /><Relationship Type="http://schemas.openxmlformats.org/officeDocument/2006/relationships/hyperlink" Target="https://ep.cpgdata.com/external-api/view-photo/displays/2101fb1f-3325-455d-a7f1-151025d99bc8/" TargetMode="External" Id="rId537" /><Relationship Type="http://schemas.openxmlformats.org/officeDocument/2006/relationships/hyperlink" Target="https://ep.cpgdata.com/external-api/view-photo/displays/57f487cd-0bb0-48fe-b772-1547536dd707/" TargetMode="External" Id="rId538" /><Relationship Type="http://schemas.openxmlformats.org/officeDocument/2006/relationships/hyperlink" Target="https://ep.cpgdata.com/external-api/view-photo/displays/175e851a-aa1f-4465-9259-5409d855847e/" TargetMode="External" Id="rId539" /><Relationship Type="http://schemas.openxmlformats.org/officeDocument/2006/relationships/hyperlink" Target="https://ep.cpgdata.com/external-api/view-photo/displays/67ec119c-eebc-46a1-8105-8900742d5bf9/" TargetMode="External" Id="rId540" /><Relationship Type="http://schemas.openxmlformats.org/officeDocument/2006/relationships/hyperlink" Target="https://ep.cpgdata.com/external-api/view-photo/displays/7e77b89b-c284-4be4-88b1-14e263b83648/" TargetMode="External" Id="rId541" /><Relationship Type="http://schemas.openxmlformats.org/officeDocument/2006/relationships/hyperlink" Target="https://ep.cpgdata.com/external-api/view-photo/displays/d84278a9-fdfc-404e-83ee-b7f077bee712/" TargetMode="External" Id="rId542" /><Relationship Type="http://schemas.openxmlformats.org/officeDocument/2006/relationships/hyperlink" Target="https://ep.cpgdata.com/external-api/view-photo/displays/5762f2a8-e535-4b6c-9ef7-735cfde64d7c/" TargetMode="External" Id="rId543" /><Relationship Type="http://schemas.openxmlformats.org/officeDocument/2006/relationships/hyperlink" Target="https://ep.cpgdata.com/external-api/view-photo/displays/8e4e86d7-51dc-4750-a1e5-95176fe83285/" TargetMode="External" Id="rId544" /><Relationship Type="http://schemas.openxmlformats.org/officeDocument/2006/relationships/hyperlink" Target="https://ep.cpgdata.com/external-api/view-photo/displays/9cbce43a-6927-4bae-b290-baed207121b2/" TargetMode="External" Id="rId545" /><Relationship Type="http://schemas.openxmlformats.org/officeDocument/2006/relationships/hyperlink" Target="https://ep.cpgdata.com/external-api/view-photo/displays/4ffb6d2a-51ea-48a9-8c6c-6a8546fe472f/" TargetMode="External" Id="rId546" /><Relationship Type="http://schemas.openxmlformats.org/officeDocument/2006/relationships/hyperlink" Target="https://ep.cpgdata.com/external-api/view-photo/displays/175b1246-aa7c-4992-8606-27d236e54f67/" TargetMode="External" Id="rId547" /><Relationship Type="http://schemas.openxmlformats.org/officeDocument/2006/relationships/hyperlink" Target="https://ep.cpgdata.com/external-api/view-photo/displays/19eac08b-1e3c-4d54-8241-8bbd28ca022c/" TargetMode="External" Id="rId548" /><Relationship Type="http://schemas.openxmlformats.org/officeDocument/2006/relationships/hyperlink" Target="https://ep.cpgdata.com/external-api/view-photo/displays/c09bca19-4fe7-4e57-a360-4bf3a175fb82/" TargetMode="External" Id="rId549" /><Relationship Type="http://schemas.openxmlformats.org/officeDocument/2006/relationships/hyperlink" Target="https://ep.cpgdata.com/external-api/view-photo/displays/9bd0801e-5530-45eb-b1f5-c924e36995e2/" TargetMode="External" Id="rId550" /><Relationship Type="http://schemas.openxmlformats.org/officeDocument/2006/relationships/hyperlink" Target="https://ep.cpgdata.com/external-api/view-photo/displays/7bb8eead-f793-4438-bea4-684cf57f713f/" TargetMode="External" Id="rId551" /><Relationship Type="http://schemas.openxmlformats.org/officeDocument/2006/relationships/hyperlink" Target="https://ep.cpgdata.com/external-api/view-photo/displays/5a4d6c99-73e7-466b-8788-d16e0a8bbda7/" TargetMode="External" Id="rId552" /><Relationship Type="http://schemas.openxmlformats.org/officeDocument/2006/relationships/hyperlink" Target="https://ep.cpgdata.com/external-api/view-photo/displays/01fa5821-e6d0-41ec-a2f8-6023e3fb9612/" TargetMode="External" Id="rId553" /><Relationship Type="http://schemas.openxmlformats.org/officeDocument/2006/relationships/hyperlink" Target="https://ep.cpgdata.com/external-api/view-photo/displays/8066b707-eb85-4ac9-817a-5eaab1b0b34c/" TargetMode="External" Id="rId554" /><Relationship Type="http://schemas.openxmlformats.org/officeDocument/2006/relationships/hyperlink" Target="https://ep.cpgdata.com/external-api/view-photo/displays/d274dedc-5230-46a7-88dd-568510dc9197/" TargetMode="External" Id="rId555" /><Relationship Type="http://schemas.openxmlformats.org/officeDocument/2006/relationships/hyperlink" Target="https://ep.cpgdata.com/external-api/view-photo/displays/02e8fa2f-ddc7-41e7-89b0-cafb9e778c42/" TargetMode="External" Id="rId556" /><Relationship Type="http://schemas.openxmlformats.org/officeDocument/2006/relationships/hyperlink" Target="https://ep.cpgdata.com/external-api/view-photo/displays/6854a6bb-f1bb-46ca-a81f-e0a57a4c15bc/" TargetMode="External" Id="rId557" /><Relationship Type="http://schemas.openxmlformats.org/officeDocument/2006/relationships/hyperlink" Target="https://ep.cpgdata.com/external-api/view-photo/displays/de7b2ec9-47e2-4d18-aa86-2a3d34c64308/" TargetMode="External" Id="rId558" /><Relationship Type="http://schemas.openxmlformats.org/officeDocument/2006/relationships/hyperlink" Target="https://ep.cpgdata.com/external-api/view-photo/displays/d2e3a173-fa12-428c-8c77-f656e473ea80/" TargetMode="External" Id="rId559" /><Relationship Type="http://schemas.openxmlformats.org/officeDocument/2006/relationships/hyperlink" Target="https://ep.cpgdata.com/external-api/view-photo/displays/88a5e369-5828-482e-811c-667d7fe5d3b2/" TargetMode="External" Id="rId560" /><Relationship Type="http://schemas.openxmlformats.org/officeDocument/2006/relationships/hyperlink" Target="https://ep.cpgdata.com/external-api/view-photo/displays/1c0fb85b-2d14-4147-856c-ebb979e432e5/" TargetMode="External" Id="rId561" /><Relationship Type="http://schemas.openxmlformats.org/officeDocument/2006/relationships/hyperlink" Target="https://ep.cpgdata.com/external-api/view-photo/displays/e3c72d07-fc86-4613-adc5-acc32bd8b28e/" TargetMode="External" Id="rId562" /><Relationship Type="http://schemas.openxmlformats.org/officeDocument/2006/relationships/hyperlink" Target="https://ep.cpgdata.com/external-api/view-photo/displays/0d029919-abaf-41c6-b839-0c86aeefda84/" TargetMode="External" Id="rId563" /><Relationship Type="http://schemas.openxmlformats.org/officeDocument/2006/relationships/hyperlink" Target="https://ep.cpgdata.com/external-api/view-photo/displays/769bbe75-3167-46f1-8e04-202d5e0d5cd4/" TargetMode="External" Id="rId564" /><Relationship Type="http://schemas.openxmlformats.org/officeDocument/2006/relationships/hyperlink" Target="https://ep.cpgdata.com/external-api/view-photo/displays/eb0cad89-dfa3-439d-ab68-1fcd4a0729d3/" TargetMode="External" Id="rId565" /><Relationship Type="http://schemas.openxmlformats.org/officeDocument/2006/relationships/hyperlink" Target="https://ep.cpgdata.com/external-api/view-photo/displays/244f3c78-eb0d-4c09-91a8-ed9e6d1d0465/" TargetMode="External" Id="rId566" /><Relationship Type="http://schemas.openxmlformats.org/officeDocument/2006/relationships/hyperlink" Target="https://ep.cpgdata.com/external-api/view-photo/displays/b8f8f9a5-0115-4ec2-8731-11035f7c138e/" TargetMode="External" Id="rId567" /><Relationship Type="http://schemas.openxmlformats.org/officeDocument/2006/relationships/hyperlink" Target="https://ep.cpgdata.com/external-api/view-photo/displays/ad9f9cca-88ed-4a26-80f9-6e49d3ba29e5/" TargetMode="External" Id="rId568" /><Relationship Type="http://schemas.openxmlformats.org/officeDocument/2006/relationships/hyperlink" Target="https://ep.cpgdata.com/external-api/view-photo/displays/19849442-eb70-4a4b-9ea6-ab8d93ba4de7/" TargetMode="External" Id="rId569" /><Relationship Type="http://schemas.openxmlformats.org/officeDocument/2006/relationships/hyperlink" Target="https://ep.cpgdata.com/external-api/view-photo/displays/619c0ac0-0e30-4e95-b6b1-3eaf297d6a4d/" TargetMode="External" Id="rId570" /><Relationship Type="http://schemas.openxmlformats.org/officeDocument/2006/relationships/hyperlink" Target="https://ep.cpgdata.com/external-api/view-photo/displays/81f875bf-043e-40ff-b371-df3caa305dab/" TargetMode="External" Id="rId571" /><Relationship Type="http://schemas.openxmlformats.org/officeDocument/2006/relationships/hyperlink" Target="https://ep.cpgdata.com/external-api/view-photo/displays/ab155b96-db14-4208-bacc-1d8571b0170f/" TargetMode="External" Id="rId572" /><Relationship Type="http://schemas.openxmlformats.org/officeDocument/2006/relationships/hyperlink" Target="https://ep.cpgdata.com/external-api/view-photo/displays/8515459e-c247-479f-bd43-51a3e35ec7de/" TargetMode="External" Id="rId573" /><Relationship Type="http://schemas.openxmlformats.org/officeDocument/2006/relationships/hyperlink" Target="https://ep.cpgdata.com/external-api/view-photo/displays/26b22564-17e9-4de9-afde-06a846bf8dff/" TargetMode="External" Id="rId574" /><Relationship Type="http://schemas.openxmlformats.org/officeDocument/2006/relationships/hyperlink" Target="https://ep.cpgdata.com/external-api/view-photo/displays/2159bdd0-04d2-481f-82e7-cfc714a2eae4/" TargetMode="External" Id="rId575" /><Relationship Type="http://schemas.openxmlformats.org/officeDocument/2006/relationships/hyperlink" Target="https://ep.cpgdata.com/external-api/view-photo/displays/d142a080-419a-4bcd-918a-ad71b1af9249/" TargetMode="External" Id="rId576" /><Relationship Type="http://schemas.openxmlformats.org/officeDocument/2006/relationships/hyperlink" Target="https://ep.cpgdata.com/external-api/view-photo/displays/5253bd9d-265e-4515-8abf-b4cdadeee37b/" TargetMode="External" Id="rId577" /><Relationship Type="http://schemas.openxmlformats.org/officeDocument/2006/relationships/hyperlink" Target="https://ep.cpgdata.com/external-api/view-photo/displays/275a74d2-c724-4b09-90d8-15992fd4ff5e/" TargetMode="External" Id="rId578" /><Relationship Type="http://schemas.openxmlformats.org/officeDocument/2006/relationships/hyperlink" Target="https://ep.cpgdata.com/external-api/view-photo/displays/e95b98c6-77af-435c-afdb-11d1b5fd8ab3/" TargetMode="External" Id="rId579" /><Relationship Type="http://schemas.openxmlformats.org/officeDocument/2006/relationships/hyperlink" Target="https://ep.cpgdata.com/external-api/view-photo/displays/89037f78-4455-459d-a5b9-5f97e7b37c60/" TargetMode="External" Id="rId580" /><Relationship Type="http://schemas.openxmlformats.org/officeDocument/2006/relationships/hyperlink" Target="https://ep.cpgdata.com/external-api/view-photo/displays/ab3dcc41-cb55-42dc-8d46-0e71ba4be837/" TargetMode="External" Id="rId581" /><Relationship Type="http://schemas.openxmlformats.org/officeDocument/2006/relationships/hyperlink" Target="https://ep.cpgdata.com/external-api/view-photo/displays/5c6bcc40-8189-427e-aab1-78910f62fd44/" TargetMode="External" Id="rId582" /><Relationship Type="http://schemas.openxmlformats.org/officeDocument/2006/relationships/hyperlink" Target="https://ep.cpgdata.com/external-api/view-photo/displays/d5c2e1b2-844a-43bd-a352-7faae26b89fc/" TargetMode="External" Id="rId583" /><Relationship Type="http://schemas.openxmlformats.org/officeDocument/2006/relationships/hyperlink" Target="https://ep.cpgdata.com/external-api/view-photo/displays/1857ae70-cad7-4450-af67-28794a1a8b34/" TargetMode="External" Id="rId584" /><Relationship Type="http://schemas.openxmlformats.org/officeDocument/2006/relationships/hyperlink" Target="https://ep.cpgdata.com/external-api/view-photo/displays/b6c8adc9-4884-48b5-bc79-82d03c7a08c0/" TargetMode="External" Id="rId585" /><Relationship Type="http://schemas.openxmlformats.org/officeDocument/2006/relationships/hyperlink" Target="https://ep.cpgdata.com/external-api/view-photo/displays/8fdbbbe1-56e2-42b7-a4ba-eebad23bdcca/" TargetMode="External" Id="rId586" /><Relationship Type="http://schemas.openxmlformats.org/officeDocument/2006/relationships/hyperlink" Target="https://ep.cpgdata.com/external-api/view-photo/displays/e02df97a-e3c0-45d3-bde4-8c3f4b497543/" TargetMode="External" Id="rId587" /><Relationship Type="http://schemas.openxmlformats.org/officeDocument/2006/relationships/hyperlink" Target="https://ep.cpgdata.com/external-api/view-photo/displays/79f05fa6-7f11-4001-9230-30422b741ca1/" TargetMode="External" Id="rId588" /><Relationship Type="http://schemas.openxmlformats.org/officeDocument/2006/relationships/hyperlink" Target="https://ep.cpgdata.com/external-api/view-photo/displays/d86df4ba-2f79-4eea-9efa-86af76906f39/" TargetMode="External" Id="rId589" /><Relationship Type="http://schemas.openxmlformats.org/officeDocument/2006/relationships/hyperlink" Target="https://ep.cpgdata.com/external-api/view-photo/displays/92fe75b5-ffa2-4d14-943c-fb2d19341d90/" TargetMode="External" Id="rId590" /><Relationship Type="http://schemas.openxmlformats.org/officeDocument/2006/relationships/hyperlink" Target="https://ep.cpgdata.com/external-api/view-photo/displays/d4acaff2-4435-4b6a-9f88-a19168db94c1/" TargetMode="External" Id="rId591" /><Relationship Type="http://schemas.openxmlformats.org/officeDocument/2006/relationships/hyperlink" Target="https://ep.cpgdata.com/external-api/view-photo/displays/070b7b8f-031d-44a8-b2eb-4e97d6b5adef/" TargetMode="External" Id="rId592" /><Relationship Type="http://schemas.openxmlformats.org/officeDocument/2006/relationships/hyperlink" Target="https://ep.cpgdata.com/external-api/view-photo/displays/5e40bf83-2239-473f-895a-24fc1d9177eb/" TargetMode="External" Id="rId593" /><Relationship Type="http://schemas.openxmlformats.org/officeDocument/2006/relationships/hyperlink" Target="https://ep.cpgdata.com/external-api/view-photo/displays/4d1585d0-a6c2-4555-aca7-7962a2836ef3/" TargetMode="External" Id="rId594" /><Relationship Type="http://schemas.openxmlformats.org/officeDocument/2006/relationships/hyperlink" Target="https://ep.cpgdata.com/external-api/view-photo/displays/d2a57a19-1ddd-4002-a86f-81b95d2a9373/" TargetMode="External" Id="rId595" /><Relationship Type="http://schemas.openxmlformats.org/officeDocument/2006/relationships/hyperlink" Target="https://ep.cpgdata.com/external-api/view-photo/displays/38556a8f-0506-4f4b-9dd2-86dfba7febd8/" TargetMode="External" Id="rId596" /><Relationship Type="http://schemas.openxmlformats.org/officeDocument/2006/relationships/hyperlink" Target="https://ep.cpgdata.com/external-api/view-photo/displays/73df4598-60ad-4e5b-9a8c-2520e73a8fc3/" TargetMode="External" Id="rId597" /><Relationship Type="http://schemas.openxmlformats.org/officeDocument/2006/relationships/hyperlink" Target="https://ep.cpgdata.com/external-api/view-photo/displays/7b955694-a69b-4dee-b140-dae49c4481f0/" TargetMode="External" Id="rId598" /><Relationship Type="http://schemas.openxmlformats.org/officeDocument/2006/relationships/hyperlink" Target="https://ep.cpgdata.com/external-api/view-photo/displays/e1f242cf-77d5-4406-92b8-5723e595ba53/" TargetMode="External" Id="rId599" /><Relationship Type="http://schemas.openxmlformats.org/officeDocument/2006/relationships/hyperlink" Target="https://ep.cpgdata.com/external-api/view-photo/displays/149a8c69-5707-4271-b616-12bb57d2a265/" TargetMode="External" Id="rId600" /><Relationship Type="http://schemas.openxmlformats.org/officeDocument/2006/relationships/hyperlink" Target="https://ep.cpgdata.com/external-api/view-photo/displays/f5b7d1f0-ad5c-4ca3-a88d-3100483aa0a5/" TargetMode="External" Id="rId601" /><Relationship Type="http://schemas.openxmlformats.org/officeDocument/2006/relationships/hyperlink" Target="https://ep.cpgdata.com/external-api/view-photo/displays/be1f462a-c52e-4295-8b45-42031b95477d/" TargetMode="External" Id="rId602" /><Relationship Type="http://schemas.openxmlformats.org/officeDocument/2006/relationships/hyperlink" Target="https://ep.cpgdata.com/external-api/view-photo/displays/2e1dac35-978c-47a1-a44a-77982fb2e172/" TargetMode="External" Id="rId603" /><Relationship Type="http://schemas.openxmlformats.org/officeDocument/2006/relationships/hyperlink" Target="https://ep.cpgdata.com/external-api/view-photo/displays/9bdc7e8b-f7b6-4217-ba94-2dea6039752d/" TargetMode="External" Id="rId604" /><Relationship Type="http://schemas.openxmlformats.org/officeDocument/2006/relationships/hyperlink" Target="https://ep.cpgdata.com/external-api/view-photo/displays/a4b5e77e-130b-4152-9b29-e1c7fdcc4672/" TargetMode="External" Id="rId605" /><Relationship Type="http://schemas.openxmlformats.org/officeDocument/2006/relationships/hyperlink" Target="https://ep.cpgdata.com/external-api/view-photo/displays/bac75ddc-c3da-4c71-87c5-ac506b31881c/" TargetMode="External" Id="rId606" /><Relationship Type="http://schemas.openxmlformats.org/officeDocument/2006/relationships/hyperlink" Target="https://ep.cpgdata.com/external-api/view-photo/displays/ceb30aec-55cf-497c-821b-ff27feb28ee4/" TargetMode="External" Id="rId607" /><Relationship Type="http://schemas.openxmlformats.org/officeDocument/2006/relationships/hyperlink" Target="https://ep.cpgdata.com/external-api/view-photo/displays/65bddb51-9e0f-41bd-afe9-86d5687a9111/" TargetMode="External" Id="rId608" /><Relationship Type="http://schemas.openxmlformats.org/officeDocument/2006/relationships/hyperlink" Target="https://ep.cpgdata.com/external-api/view-photo/displays/376f926f-b9ac-4c12-8931-b079d3e4b489/" TargetMode="External" Id="rId609" /><Relationship Type="http://schemas.openxmlformats.org/officeDocument/2006/relationships/hyperlink" Target="https://ep.cpgdata.com/external-api/view-photo/displays/c03010c5-b102-4492-870b-340ccecd129c/" TargetMode="External" Id="rId610" /><Relationship Type="http://schemas.openxmlformats.org/officeDocument/2006/relationships/hyperlink" Target="https://ep.cpgdata.com/external-api/view-photo/displays/dd2d04b4-cbeb-4df3-b82f-2f6745053261/" TargetMode="External" Id="rId611" /><Relationship Type="http://schemas.openxmlformats.org/officeDocument/2006/relationships/hyperlink" Target="https://ep.cpgdata.com/external-api/view-photo/displays/68431199-e3c9-4276-a1a1-c39b1fd2d9ad/" TargetMode="External" Id="rId612" /><Relationship Type="http://schemas.openxmlformats.org/officeDocument/2006/relationships/hyperlink" Target="https://ep.cpgdata.com/external-api/view-photo/displays/c98d5295-1939-42fc-88c9-c3da8291b82a/" TargetMode="External" Id="rId613" /><Relationship Type="http://schemas.openxmlformats.org/officeDocument/2006/relationships/hyperlink" Target="https://ep.cpgdata.com/external-api/view-photo/displays/980231e8-15f1-442d-b9d3-25e1d15cb606/" TargetMode="External" Id="rId614" /><Relationship Type="http://schemas.openxmlformats.org/officeDocument/2006/relationships/hyperlink" Target="https://ep.cpgdata.com/external-api/view-photo/displays/2a08d1ed-8bda-4ec8-b899-40b1e08d884f/" TargetMode="External" Id="rId615" /><Relationship Type="http://schemas.openxmlformats.org/officeDocument/2006/relationships/hyperlink" Target="https://ep.cpgdata.com/external-api/view-photo/displays/950a6e56-6c0f-4169-a54a-fb555b24a5d7/" TargetMode="External" Id="rId616" /><Relationship Type="http://schemas.openxmlformats.org/officeDocument/2006/relationships/hyperlink" Target="https://ep.cpgdata.com/external-api/view-photo/displays/9acb609e-5fe8-497d-ae3b-5d16583d7f85/" TargetMode="External" Id="rId617" /><Relationship Type="http://schemas.openxmlformats.org/officeDocument/2006/relationships/hyperlink" Target="https://ep.cpgdata.com/external-api/view-photo/displays/05b8b206-a6b0-4d6b-b65d-ea05e505eaa6/" TargetMode="External" Id="rId618" /><Relationship Type="http://schemas.openxmlformats.org/officeDocument/2006/relationships/hyperlink" Target="https://ep.cpgdata.com/external-api/view-photo/displays/7a611c53-ed82-4937-8d45-6af07cd75041/" TargetMode="External" Id="rId619" /><Relationship Type="http://schemas.openxmlformats.org/officeDocument/2006/relationships/hyperlink" Target="https://ep.cpgdata.com/external-api/view-photo/displays/40a5f854-290f-4208-85dc-2a9c053b7f77/" TargetMode="External" Id="rId620" /><Relationship Type="http://schemas.openxmlformats.org/officeDocument/2006/relationships/hyperlink" Target="https://ep.cpgdata.com/external-api/view-photo/displays/627f02d3-04bc-4d08-8ca5-35c5a82e263d/" TargetMode="External" Id="rId621" /><Relationship Type="http://schemas.openxmlformats.org/officeDocument/2006/relationships/hyperlink" Target="https://ep.cpgdata.com/external-api/view-photo/displays/0e1d78c6-cb85-4c66-ab9f-3ac6639bc2f2/" TargetMode="External" Id="rId622" /><Relationship Type="http://schemas.openxmlformats.org/officeDocument/2006/relationships/hyperlink" Target="https://ep.cpgdata.com/external-api/view-photo/displays/f74d8eaa-69ab-42cf-b8bb-c668e5c14559/" TargetMode="External" Id="rId623" /><Relationship Type="http://schemas.openxmlformats.org/officeDocument/2006/relationships/hyperlink" Target="https://ep.cpgdata.com/external-api/view-photo/displays/ad519d24-8ec7-4bc9-89b6-d8ef333bbb1f/" TargetMode="External" Id="rId624" /><Relationship Type="http://schemas.openxmlformats.org/officeDocument/2006/relationships/hyperlink" Target="https://ep.cpgdata.com/external-api/view-photo/displays/50d9a81f-36c7-45af-a6e2-36e8e0147d2a/" TargetMode="External" Id="rId625" /><Relationship Type="http://schemas.openxmlformats.org/officeDocument/2006/relationships/hyperlink" Target="https://ep.cpgdata.com/external-api/view-photo/displays/59c75377-1ad0-42aa-89ff-b97ffa82eb43/" TargetMode="External" Id="rId626" /><Relationship Type="http://schemas.openxmlformats.org/officeDocument/2006/relationships/hyperlink" Target="https://ep.cpgdata.com/external-api/view-photo/displays/0eeade60-bd76-4613-8d79-6767bc88edf5/" TargetMode="External" Id="rId627" /><Relationship Type="http://schemas.openxmlformats.org/officeDocument/2006/relationships/hyperlink" Target="https://ep.cpgdata.com/external-api/view-photo/displays/aa85ed49-074c-4d9e-9206-00ff847415dc/" TargetMode="External" Id="rId628" /><Relationship Type="http://schemas.openxmlformats.org/officeDocument/2006/relationships/hyperlink" Target="https://ep.cpgdata.com/external-api/view-photo/displays/21bc1f12-3af8-4647-9b9f-ae414afa457f/" TargetMode="External" Id="rId629" /><Relationship Type="http://schemas.openxmlformats.org/officeDocument/2006/relationships/hyperlink" Target="https://ep.cpgdata.com/external-api/view-photo/displays/2774fde6-e510-4618-baa4-37b168cfbaf6/" TargetMode="External" Id="rId630" /><Relationship Type="http://schemas.openxmlformats.org/officeDocument/2006/relationships/hyperlink" Target="https://ep.cpgdata.com/external-api/view-photo/displays/b7149ba2-b1c5-48b1-8e64-151402e37068/" TargetMode="External" Id="rId631" /><Relationship Type="http://schemas.openxmlformats.org/officeDocument/2006/relationships/hyperlink" Target="https://ep.cpgdata.com/external-api/view-photo/displays/9eaafb26-f47b-42e9-ba65-1e926635b7da/" TargetMode="External" Id="rId632" /><Relationship Type="http://schemas.openxmlformats.org/officeDocument/2006/relationships/hyperlink" Target="https://ep.cpgdata.com/external-api/view-photo/displays/adcc2d42-9add-4cf8-8b29-08f61e4564b7/" TargetMode="External" Id="rId633" /><Relationship Type="http://schemas.openxmlformats.org/officeDocument/2006/relationships/hyperlink" Target="https://ep.cpgdata.com/external-api/view-photo/displays/b2a44a0c-e711-4f4e-ba61-e4c28880c17f/" TargetMode="External" Id="rId634" /><Relationship Type="http://schemas.openxmlformats.org/officeDocument/2006/relationships/hyperlink" Target="https://ep.cpgdata.com/external-api/view-photo/displays/60625893-a136-48b8-9bbb-2aed607dc3e4/" TargetMode="External" Id="rId635" /><Relationship Type="http://schemas.openxmlformats.org/officeDocument/2006/relationships/hyperlink" Target="https://ep.cpgdata.com/external-api/view-photo/displays/52375d95-ab0a-49ed-a8df-037d3be71008/" TargetMode="External" Id="rId636" /><Relationship Type="http://schemas.openxmlformats.org/officeDocument/2006/relationships/hyperlink" Target="https://ep.cpgdata.com/external-api/view-photo/displays/1eef62c4-7288-4e2c-970a-e3a1e0423d5e/" TargetMode="External" Id="rId637" /><Relationship Type="http://schemas.openxmlformats.org/officeDocument/2006/relationships/hyperlink" Target="https://ep.cpgdata.com/external-api/view-photo/displays/7d9e2653-8d82-40b6-92c1-1f3d51d3ddfe/" TargetMode="External" Id="rId638" /><Relationship Type="http://schemas.openxmlformats.org/officeDocument/2006/relationships/hyperlink" Target="https://ep.cpgdata.com/external-api/view-photo/displays/07f94f0d-ccec-474c-9164-f3b74b5a4398/" TargetMode="External" Id="rId639" /><Relationship Type="http://schemas.openxmlformats.org/officeDocument/2006/relationships/hyperlink" Target="https://ep.cpgdata.com/external-api/view-photo/displays/88a72a96-0031-4608-9843-c45ddb2268f0/" TargetMode="External" Id="rId640" /><Relationship Type="http://schemas.openxmlformats.org/officeDocument/2006/relationships/hyperlink" Target="https://ep.cpgdata.com/external-api/view-photo/displays/cbf5ae07-d6c6-4b18-b8da-c85a45eb902c/" TargetMode="External" Id="rId641" /><Relationship Type="http://schemas.openxmlformats.org/officeDocument/2006/relationships/hyperlink" Target="https://ep.cpgdata.com/external-api/view-photo/displays/9e8a6bfc-535b-4e3b-87ec-a6f3563f4be3/" TargetMode="External" Id="rId642" /><Relationship Type="http://schemas.openxmlformats.org/officeDocument/2006/relationships/hyperlink" Target="https://ep.cpgdata.com/external-api/view-photo/displays/49dbc052-4fe7-4989-95a5-2b7aafd04d3c/" TargetMode="External" Id="rId643" /><Relationship Type="http://schemas.openxmlformats.org/officeDocument/2006/relationships/hyperlink" Target="https://ep.cpgdata.com/external-api/view-photo/displays/4690771c-c69d-4943-abf3-eaab2bd8f37e/" TargetMode="External" Id="rId644" /><Relationship Type="http://schemas.openxmlformats.org/officeDocument/2006/relationships/hyperlink" Target="https://ep.cpgdata.com/external-api/view-photo/displays/d9e75edc-db00-4789-bd0a-95802d01103f/" TargetMode="External" Id="rId645" /><Relationship Type="http://schemas.openxmlformats.org/officeDocument/2006/relationships/hyperlink" Target="https://ep.cpgdata.com/external-api/view-photo/displays/63bf11a5-f7dd-4b95-a457-0d86db83a151/" TargetMode="External" Id="rId646" /><Relationship Type="http://schemas.openxmlformats.org/officeDocument/2006/relationships/hyperlink" Target="https://ep.cpgdata.com/external-api/view-photo/displays/b330c5ab-0161-4600-99da-509ae27c665e/" TargetMode="External" Id="rId647" /><Relationship Type="http://schemas.openxmlformats.org/officeDocument/2006/relationships/hyperlink" Target="https://ep.cpgdata.com/external-api/view-photo/displays/11ac6eae-9058-42ed-89fc-4de444d1749c/" TargetMode="External" Id="rId648" /><Relationship Type="http://schemas.openxmlformats.org/officeDocument/2006/relationships/hyperlink" Target="https://ep.cpgdata.com/external-api/view-photo/displays/1070a15b-e991-46fe-9e39-046fc6754874/" TargetMode="External" Id="rId649" /><Relationship Type="http://schemas.openxmlformats.org/officeDocument/2006/relationships/hyperlink" Target="https://ep.cpgdata.com/external-api/view-photo/displays/9bb7ca4a-c5f5-4c7f-ac6a-d69f7dd48bf6/" TargetMode="External" Id="rId650" /><Relationship Type="http://schemas.openxmlformats.org/officeDocument/2006/relationships/hyperlink" Target="https://ep.cpgdata.com/external-api/view-photo/displays/1aa162bb-6173-4b5d-a1cd-de3f984b166a/" TargetMode="External" Id="rId651" /><Relationship Type="http://schemas.openxmlformats.org/officeDocument/2006/relationships/hyperlink" Target="https://ep.cpgdata.com/external-api/view-photo/displays/9272cc56-f326-4103-9d68-70174bf48ee6/" TargetMode="External" Id="rId652" /><Relationship Type="http://schemas.openxmlformats.org/officeDocument/2006/relationships/hyperlink" Target="https://ep.cpgdata.com/external-api/view-photo/displays/07ea867b-db43-421b-8f69-89c161486162/" TargetMode="External" Id="rId653" /><Relationship Type="http://schemas.openxmlformats.org/officeDocument/2006/relationships/hyperlink" Target="https://ep.cpgdata.com/external-api/view-photo/displays/a16334ff-256b-433f-8078-727dc685ccd9/" TargetMode="External" Id="rId654" /><Relationship Type="http://schemas.openxmlformats.org/officeDocument/2006/relationships/hyperlink" Target="https://ep.cpgdata.com/external-api/view-photo/displays/9ed7464d-a14d-4f8d-a816-80ec28199384/" TargetMode="External" Id="rId655" /></Relationships>
</file>

<file path=xl/worksheets/sheet1.xml><?xml version="1.0" encoding="utf-8"?>
<worksheet xmlns="http://schemas.openxmlformats.org/spreadsheetml/2006/main">
  <sheetPr>
    <outlinePr summaryBelow="1" summaryRight="1"/>
    <pageSetUpPr/>
  </sheetPr>
  <dimension ref="A1:J42"/>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4" customWidth="1" min="6" max="6"/>
    <col width="13" customWidth="1" min="7" max="7"/>
    <col width="12" customWidth="1" min="8" max="8"/>
    <col width="13" customWidth="1" min="9" max="9"/>
    <col width="12" customWidth="1" min="10" max="10"/>
  </cols>
  <sheetData>
    <row r="1" ht="30" customHeight="1">
      <c r="A1" s="1" t="inlineStr">
        <is>
          <t>Summer Display Auction — Qualifying Displays by Supplier</t>
        </is>
      </c>
    </row>
    <row r="2" ht="18" customHeight="1">
      <c r="A2" s="2" t="inlineStr">
        <is>
          <t>Kohler iSell Beer Summer Display Program · 07/01/2026 – 08/31/2026 · one row per photo submission, counted once in its case-size tier</t>
        </is>
      </c>
    </row>
    <row r="4" ht="32" customHeight="1">
      <c r="A4" s="3" t="inlineStr">
        <is>
          <t>Supplier / Brand Group</t>
        </is>
      </c>
      <c r="B4" s="4" t="inlineStr">
        <is>
          <t>Gold
70+ cases</t>
        </is>
      </c>
      <c r="C4" s="4" t="inlineStr">
        <is>
          <t>Silver
40-69 cases</t>
        </is>
      </c>
      <c r="D4" s="4" t="inlineStr">
        <is>
          <t>Bronze
20-39 cases</t>
        </is>
      </c>
      <c r="E4" s="4" t="inlineStr">
        <is>
          <t>Other
10-19 cases</t>
        </is>
      </c>
      <c r="F4" s="4" t="inlineStr">
        <is>
          <t>Total Qualifying
Displays</t>
        </is>
      </c>
      <c r="G4" s="4" t="inlineStr">
        <is>
          <t>Total Cases
(qualifying)</t>
        </is>
      </c>
      <c r="H4" s="4" t="inlineStr">
        <is>
          <t>Total Points</t>
        </is>
      </c>
      <c r="I4" s="4" t="inlineStr">
        <is>
          <t>Non-Qualifying
(&lt;10 cases)</t>
        </is>
      </c>
      <c r="J4" s="4" t="inlineStr">
        <is>
          <t>Total
Submissions</t>
        </is>
      </c>
    </row>
    <row r="5">
      <c r="A5" s="5" t="inlineStr">
        <is>
          <t>Constellation</t>
        </is>
      </c>
      <c r="B5" s="6">
        <f>COUNTIFS('Display Detail'!$J$2:$J$656,$A5,'Display Detail'!$K$2:$K$656,4)</f>
        <v>58</v>
      </c>
      <c r="C5" s="6">
        <f>COUNTIFS('Display Detail'!$J$2:$J$656,$A5,'Display Detail'!$K$2:$K$656,3)</f>
        <v>51</v>
      </c>
      <c r="D5" s="6">
        <f>COUNTIFS('Display Detail'!$J$2:$J$656,$A5,'Display Detail'!$K$2:$K$656,2)</f>
        <v>23</v>
      </c>
      <c r="E5" s="6">
        <f>COUNTIFS('Display Detail'!$J$2:$J$656,$A5,'Display Detail'!$K$2:$K$656,1)</f>
        <v>10</v>
      </c>
      <c r="F5" s="7">
        <f>COUNTIFS('Display Detail'!$J$2:$J$656,$A5,'Display Detail'!$K$2:$K$656,"&gt;0")</f>
        <v>142</v>
      </c>
      <c r="G5" s="8">
        <f>SUMIFS('Display Detail'!$M$2:$M$656,'Display Detail'!$J$2:$J$656,$A5,'Display Detail'!$K$2:$K$656,"&gt;0")</f>
        <v>9087</v>
      </c>
      <c r="H5" s="8">
        <f>SUMIFS('Display Detail'!$P$2:$P$656,'Display Detail'!$J$2:$J$656,$A5,'Display Detail'!$K$2:$K$656,"&gt;0")</f>
        <v>92400</v>
      </c>
      <c r="I5" s="6">
        <f>COUNTIFS('Display Detail'!$J$2:$J$656,$A5,'Display Detail'!$K$2:$K$656,0)</f>
        <v>45</v>
      </c>
      <c r="J5" s="6">
        <f>COUNTIF('Display Detail'!$J$2:$J$656,$A5)</f>
        <v>187</v>
      </c>
    </row>
    <row r="6">
      <c r="A6" s="5" t="inlineStr">
        <is>
          <t>Molson Coors</t>
        </is>
      </c>
      <c r="B6" s="6">
        <f>COUNTIFS('Display Detail'!$J$2:$J$656,$A6,'Display Detail'!$K$2:$K$656,4)</f>
        <v>38</v>
      </c>
      <c r="C6" s="6">
        <f>COUNTIFS('Display Detail'!$J$2:$J$656,$A6,'Display Detail'!$K$2:$K$656,3)</f>
        <v>28</v>
      </c>
      <c r="D6" s="6">
        <f>COUNTIFS('Display Detail'!$J$2:$J$656,$A6,'Display Detail'!$K$2:$K$656,2)</f>
        <v>15</v>
      </c>
      <c r="E6" s="6">
        <f>COUNTIFS('Display Detail'!$J$2:$J$656,$A6,'Display Detail'!$K$2:$K$656,1)</f>
        <v>6</v>
      </c>
      <c r="F6" s="7">
        <f>COUNTIFS('Display Detail'!$J$2:$J$656,$A6,'Display Detail'!$K$2:$K$656,"&gt;0")</f>
        <v>87</v>
      </c>
      <c r="G6" s="8">
        <f>SUMIFS('Display Detail'!$M$2:$M$656,'Display Detail'!$J$2:$J$656,$A6,'Display Detail'!$K$2:$K$656,"&gt;0")</f>
        <v>5983</v>
      </c>
      <c r="H6" s="8">
        <f>SUMIFS('Display Detail'!$P$2:$P$656,'Display Detail'!$J$2:$J$656,$A6,'Display Detail'!$K$2:$K$656,"&gt;0")</f>
        <v>57700</v>
      </c>
      <c r="I6" s="6">
        <f>COUNTIFS('Display Detail'!$J$2:$J$656,$A6,'Display Detail'!$K$2:$K$656,0)</f>
        <v>22</v>
      </c>
      <c r="J6" s="6">
        <f>COUNTIF('Display Detail'!$J$2:$J$656,$A6)</f>
        <v>109</v>
      </c>
    </row>
    <row r="7">
      <c r="A7" s="5" t="inlineStr">
        <is>
          <t>HUSA (Heineken USA)</t>
        </is>
      </c>
      <c r="B7" s="6">
        <f>COUNTIFS('Display Detail'!$J$2:$J$656,$A7,'Display Detail'!$K$2:$K$656,4)</f>
        <v>15</v>
      </c>
      <c r="C7" s="6">
        <f>COUNTIFS('Display Detail'!$J$2:$J$656,$A7,'Display Detail'!$K$2:$K$656,3)</f>
        <v>19</v>
      </c>
      <c r="D7" s="6">
        <f>COUNTIFS('Display Detail'!$J$2:$J$656,$A7,'Display Detail'!$K$2:$K$656,2)</f>
        <v>5</v>
      </c>
      <c r="E7" s="6">
        <f>COUNTIFS('Display Detail'!$J$2:$J$656,$A7,'Display Detail'!$K$2:$K$656,1)</f>
        <v>6</v>
      </c>
      <c r="F7" s="7">
        <f>COUNTIFS('Display Detail'!$J$2:$J$656,$A7,'Display Detail'!$K$2:$K$656,"&gt;0")</f>
        <v>45</v>
      </c>
      <c r="G7" s="8">
        <f>SUMIFS('Display Detail'!$M$2:$M$656,'Display Detail'!$J$2:$J$656,$A7,'Display Detail'!$K$2:$K$656,"&gt;0")</f>
        <v>2710</v>
      </c>
      <c r="H7" s="8">
        <f>SUMIFS('Display Detail'!$P$2:$P$656,'Display Detail'!$J$2:$J$656,$A7,'Display Detail'!$K$2:$K$656,"&gt;0")</f>
        <v>27200</v>
      </c>
      <c r="I7" s="6">
        <f>COUNTIFS('Display Detail'!$J$2:$J$656,$A7,'Display Detail'!$K$2:$K$656,0)</f>
        <v>3</v>
      </c>
      <c r="J7" s="6">
        <f>COUNTIF('Display Detail'!$J$2:$J$656,$A7)</f>
        <v>48</v>
      </c>
    </row>
    <row r="8">
      <c r="A8" s="5" t="inlineStr">
        <is>
          <t>Boston Beer</t>
        </is>
      </c>
      <c r="B8" s="6">
        <f>COUNTIFS('Display Detail'!$J$2:$J$656,$A8,'Display Detail'!$K$2:$K$656,4)</f>
        <v>46</v>
      </c>
      <c r="C8" s="6">
        <f>COUNTIFS('Display Detail'!$J$2:$J$656,$A8,'Display Detail'!$K$2:$K$656,3)</f>
        <v>41</v>
      </c>
      <c r="D8" s="6">
        <f>COUNTIFS('Display Detail'!$J$2:$J$656,$A8,'Display Detail'!$K$2:$K$656,2)</f>
        <v>38</v>
      </c>
      <c r="E8" s="6">
        <f>COUNTIFS('Display Detail'!$J$2:$J$656,$A8,'Display Detail'!$K$2:$K$656,1)</f>
        <v>13</v>
      </c>
      <c r="F8" s="7">
        <f>COUNTIFS('Display Detail'!$J$2:$J$656,$A8,'Display Detail'!$K$2:$K$656,"&gt;0")</f>
        <v>138</v>
      </c>
      <c r="G8" s="8">
        <f>SUMIFS('Display Detail'!$M$2:$M$656,'Display Detail'!$J$2:$J$656,$A8,'Display Detail'!$K$2:$K$656,"&gt;0")</f>
        <v>8104</v>
      </c>
      <c r="H8" s="8">
        <f>SUMIFS('Display Detail'!$P$2:$P$656,'Display Detail'!$J$2:$J$656,$A8,'Display Detail'!$K$2:$K$656,"&gt;0")</f>
        <v>80500</v>
      </c>
      <c r="I8" s="6">
        <f>COUNTIFS('Display Detail'!$J$2:$J$656,$A8,'Display Detail'!$K$2:$K$656,0)</f>
        <v>71</v>
      </c>
      <c r="J8" s="6">
        <f>COUNTIF('Display Detail'!$J$2:$J$656,$A8)</f>
        <v>209</v>
      </c>
    </row>
    <row r="9">
      <c r="A9" s="5" t="inlineStr">
        <is>
          <t>Mark Anthony</t>
        </is>
      </c>
      <c r="B9" s="6">
        <f>COUNTIFS('Display Detail'!$J$2:$J$656,$A9,'Display Detail'!$K$2:$K$656,4)</f>
        <v>24</v>
      </c>
      <c r="C9" s="6">
        <f>COUNTIFS('Display Detail'!$J$2:$J$656,$A9,'Display Detail'!$K$2:$K$656,3)</f>
        <v>11</v>
      </c>
      <c r="D9" s="6">
        <f>COUNTIFS('Display Detail'!$J$2:$J$656,$A9,'Display Detail'!$K$2:$K$656,2)</f>
        <v>2</v>
      </c>
      <c r="E9" s="6">
        <f>COUNTIFS('Display Detail'!$J$2:$J$656,$A9,'Display Detail'!$K$2:$K$656,1)</f>
        <v>1</v>
      </c>
      <c r="F9" s="7">
        <f>COUNTIFS('Display Detail'!$J$2:$J$656,$A9,'Display Detail'!$K$2:$K$656,"&gt;0")</f>
        <v>38</v>
      </c>
      <c r="G9" s="8">
        <f>SUMIFS('Display Detail'!$M$2:$M$656,'Display Detail'!$J$2:$J$656,$A9,'Display Detail'!$K$2:$K$656,"&gt;0")</f>
        <v>3566</v>
      </c>
      <c r="H9" s="8">
        <f>SUMIFS('Display Detail'!$P$2:$P$656,'Display Detail'!$J$2:$J$656,$A9,'Display Detail'!$K$2:$K$656,"&gt;0")</f>
        <v>30300</v>
      </c>
      <c r="I9" s="6">
        <f>COUNTIFS('Display Detail'!$J$2:$J$656,$A9,'Display Detail'!$K$2:$K$656,0)</f>
        <v>1</v>
      </c>
      <c r="J9" s="6">
        <f>COUNTIF('Display Detail'!$J$2:$J$656,$A9)</f>
        <v>39</v>
      </c>
    </row>
    <row r="10">
      <c r="A10" s="5" t="inlineStr">
        <is>
          <t>Yuengling</t>
        </is>
      </c>
      <c r="B10" s="6">
        <f>COUNTIFS('Display Detail'!$J$2:$J$656,$A10,'Display Detail'!$K$2:$K$656,4)</f>
        <v>2</v>
      </c>
      <c r="C10" s="6">
        <f>COUNTIFS('Display Detail'!$J$2:$J$656,$A10,'Display Detail'!$K$2:$K$656,3)</f>
        <v>0</v>
      </c>
      <c r="D10" s="6">
        <f>COUNTIFS('Display Detail'!$J$2:$J$656,$A10,'Display Detail'!$K$2:$K$656,2)</f>
        <v>1</v>
      </c>
      <c r="E10" s="6">
        <f>COUNTIFS('Display Detail'!$J$2:$J$656,$A10,'Display Detail'!$K$2:$K$656,1)</f>
        <v>1</v>
      </c>
      <c r="F10" s="7">
        <f>COUNTIFS('Display Detail'!$J$2:$J$656,$A10,'Display Detail'!$K$2:$K$656,"&gt;0")</f>
        <v>4</v>
      </c>
      <c r="G10" s="8">
        <f>SUMIFS('Display Detail'!$M$2:$M$656,'Display Detail'!$J$2:$J$656,$A10,'Display Detail'!$K$2:$K$656,"&gt;0")</f>
        <v>197</v>
      </c>
      <c r="H10" s="8">
        <f>SUMIFS('Display Detail'!$P$2:$P$656,'Display Detail'!$J$2:$J$656,$A10,'Display Detail'!$K$2:$K$656,"&gt;0")</f>
        <v>2100</v>
      </c>
      <c r="I10" s="6">
        <f>COUNTIFS('Display Detail'!$J$2:$J$656,$A10,'Display Detail'!$K$2:$K$656,0)</f>
        <v>1</v>
      </c>
      <c r="J10" s="6">
        <f>COUNTIF('Display Detail'!$J$2:$J$656,$A10)</f>
        <v>5</v>
      </c>
    </row>
    <row r="11">
      <c r="A11" s="5" t="inlineStr">
        <is>
          <t>Garage</t>
        </is>
      </c>
      <c r="B11" s="6">
        <f>COUNTIFS('Display Detail'!$J$2:$J$656,$A11,'Display Detail'!$K$2:$K$656,4)</f>
        <v>0</v>
      </c>
      <c r="C11" s="6">
        <f>COUNTIFS('Display Detail'!$J$2:$J$656,$A11,'Display Detail'!$K$2:$K$656,3)</f>
        <v>0</v>
      </c>
      <c r="D11" s="6">
        <f>COUNTIFS('Display Detail'!$J$2:$J$656,$A11,'Display Detail'!$K$2:$K$656,2)</f>
        <v>3</v>
      </c>
      <c r="E11" s="6">
        <f>COUNTIFS('Display Detail'!$J$2:$J$656,$A11,'Display Detail'!$K$2:$K$656,1)</f>
        <v>5</v>
      </c>
      <c r="F11" s="7">
        <f>COUNTIFS('Display Detail'!$J$2:$J$656,$A11,'Display Detail'!$K$2:$K$656,"&gt;0")</f>
        <v>8</v>
      </c>
      <c r="G11" s="8">
        <f>SUMIFS('Display Detail'!$M$2:$M$656,'Display Detail'!$J$2:$J$656,$A11,'Display Detail'!$K$2:$K$656,"&gt;0")</f>
        <v>120</v>
      </c>
      <c r="H11" s="8">
        <f>SUMIFS('Display Detail'!$P$2:$P$656,'Display Detail'!$J$2:$J$656,$A11,'Display Detail'!$K$2:$K$656,"&gt;0")</f>
        <v>1900</v>
      </c>
      <c r="I11" s="6">
        <f>COUNTIFS('Display Detail'!$J$2:$J$656,$A11,'Display Detail'!$K$2:$K$656,0)</f>
        <v>2</v>
      </c>
      <c r="J11" s="6">
        <f>COUNTIF('Display Detail'!$J$2:$J$656,$A11)</f>
        <v>10</v>
      </c>
    </row>
    <row r="12">
      <c r="A12" s="5" t="inlineStr">
        <is>
          <t>Sapporo</t>
        </is>
      </c>
      <c r="B12" s="6">
        <f>COUNTIFS('Display Detail'!$J$2:$J$656,$A12,'Display Detail'!$K$2:$K$656,4)</f>
        <v>1</v>
      </c>
      <c r="C12" s="6">
        <f>COUNTIFS('Display Detail'!$J$2:$J$656,$A12,'Display Detail'!$K$2:$K$656,3)</f>
        <v>1</v>
      </c>
      <c r="D12" s="6">
        <f>COUNTIFS('Display Detail'!$J$2:$J$656,$A12,'Display Detail'!$K$2:$K$656,2)</f>
        <v>0</v>
      </c>
      <c r="E12" s="6">
        <f>COUNTIFS('Display Detail'!$J$2:$J$656,$A12,'Display Detail'!$K$2:$K$656,1)</f>
        <v>0</v>
      </c>
      <c r="F12" s="7">
        <f>COUNTIFS('Display Detail'!$J$2:$J$656,$A12,'Display Detail'!$K$2:$K$656,"&gt;0")</f>
        <v>2</v>
      </c>
      <c r="G12" s="8">
        <f>SUMIFS('Display Detail'!$M$2:$M$656,'Display Detail'!$J$2:$J$656,$A12,'Display Detail'!$K$2:$K$656,"&gt;0")</f>
        <v>150</v>
      </c>
      <c r="H12" s="8">
        <f>SUMIFS('Display Detail'!$P$2:$P$656,'Display Detail'!$J$2:$J$656,$A12,'Display Detail'!$K$2:$K$656,"&gt;0")</f>
        <v>1500</v>
      </c>
      <c r="I12" s="6">
        <f>COUNTIFS('Display Detail'!$J$2:$J$656,$A12,'Display Detail'!$K$2:$K$656,0)</f>
        <v>1</v>
      </c>
      <c r="J12" s="6">
        <f>COUNTIF('Display Detail'!$J$2:$J$656,$A12)</f>
        <v>3</v>
      </c>
    </row>
    <row r="13">
      <c r="A13" s="5" t="inlineStr">
        <is>
          <t>Pabst</t>
        </is>
      </c>
      <c r="B13" s="6">
        <f>COUNTIFS('Display Detail'!$J$2:$J$656,$A13,'Display Detail'!$K$2:$K$656,4)</f>
        <v>0</v>
      </c>
      <c r="C13" s="6">
        <f>COUNTIFS('Display Detail'!$J$2:$J$656,$A13,'Display Detail'!$K$2:$K$656,3)</f>
        <v>0</v>
      </c>
      <c r="D13" s="6">
        <f>COUNTIFS('Display Detail'!$J$2:$J$656,$A13,'Display Detail'!$K$2:$K$656,2)</f>
        <v>0</v>
      </c>
      <c r="E13" s="6">
        <f>COUNTIFS('Display Detail'!$J$2:$J$656,$A13,'Display Detail'!$K$2:$K$656,1)</f>
        <v>0</v>
      </c>
      <c r="F13" s="7">
        <f>COUNTIFS('Display Detail'!$J$2:$J$656,$A13,'Display Detail'!$K$2:$K$656,"&gt;0")</f>
        <v>0</v>
      </c>
      <c r="G13" s="8">
        <f>SUMIFS('Display Detail'!$M$2:$M$656,'Display Detail'!$J$2:$J$656,$A13,'Display Detail'!$K$2:$K$656,"&gt;0")</f>
        <v>0</v>
      </c>
      <c r="H13" s="8">
        <f>SUMIFS('Display Detail'!$P$2:$P$656,'Display Detail'!$J$2:$J$656,$A13,'Display Detail'!$K$2:$K$656,"&gt;0")</f>
        <v>0</v>
      </c>
      <c r="I13" s="6">
        <f>COUNTIFS('Display Detail'!$J$2:$J$656,$A13,'Display Detail'!$K$2:$K$656,0)</f>
        <v>0</v>
      </c>
      <c r="J13" s="6">
        <f>COUNTIF('Display Detail'!$J$2:$J$656,$A13)</f>
        <v>0</v>
      </c>
    </row>
    <row r="14">
      <c r="A14" s="5" t="inlineStr">
        <is>
          <t>Montauk</t>
        </is>
      </c>
      <c r="B14" s="6">
        <f>COUNTIFS('Display Detail'!$J$2:$J$656,$A14,'Display Detail'!$K$2:$K$656,4)</f>
        <v>0</v>
      </c>
      <c r="C14" s="6">
        <f>COUNTIFS('Display Detail'!$J$2:$J$656,$A14,'Display Detail'!$K$2:$K$656,3)</f>
        <v>0</v>
      </c>
      <c r="D14" s="6">
        <f>COUNTIFS('Display Detail'!$J$2:$J$656,$A14,'Display Detail'!$K$2:$K$656,2)</f>
        <v>1</v>
      </c>
      <c r="E14" s="6">
        <f>COUNTIFS('Display Detail'!$J$2:$J$656,$A14,'Display Detail'!$K$2:$K$656,1)</f>
        <v>0</v>
      </c>
      <c r="F14" s="7">
        <f>COUNTIFS('Display Detail'!$J$2:$J$656,$A14,'Display Detail'!$K$2:$K$656,"&gt;0")</f>
        <v>1</v>
      </c>
      <c r="G14" s="8">
        <f>SUMIFS('Display Detail'!$M$2:$M$656,'Display Detail'!$J$2:$J$656,$A14,'Display Detail'!$K$2:$K$656,"&gt;0")</f>
        <v>25</v>
      </c>
      <c r="H14" s="8">
        <f>SUMIFS('Display Detail'!$P$2:$P$656,'Display Detail'!$J$2:$J$656,$A14,'Display Detail'!$K$2:$K$656,"&gt;0")</f>
        <v>300</v>
      </c>
      <c r="I14" s="6">
        <f>COUNTIFS('Display Detail'!$J$2:$J$656,$A14,'Display Detail'!$K$2:$K$656,0)</f>
        <v>0</v>
      </c>
      <c r="J14" s="6">
        <f>COUNTIF('Display Detail'!$J$2:$J$656,$A14)</f>
        <v>1</v>
      </c>
    </row>
    <row r="15">
      <c r="A15" s="5" t="inlineStr">
        <is>
          <t>Carbliss</t>
        </is>
      </c>
      <c r="B15" s="6">
        <f>COUNTIFS('Display Detail'!$J$2:$J$656,$A15,'Display Detail'!$K$2:$K$656,4)</f>
        <v>0</v>
      </c>
      <c r="C15" s="6">
        <f>COUNTIFS('Display Detail'!$J$2:$J$656,$A15,'Display Detail'!$K$2:$K$656,3)</f>
        <v>0</v>
      </c>
      <c r="D15" s="6">
        <f>COUNTIFS('Display Detail'!$J$2:$J$656,$A15,'Display Detail'!$K$2:$K$656,2)</f>
        <v>0</v>
      </c>
      <c r="E15" s="6">
        <f>COUNTIFS('Display Detail'!$J$2:$J$656,$A15,'Display Detail'!$K$2:$K$656,1)</f>
        <v>2</v>
      </c>
      <c r="F15" s="7">
        <f>COUNTIFS('Display Detail'!$J$2:$J$656,$A15,'Display Detail'!$K$2:$K$656,"&gt;0")</f>
        <v>2</v>
      </c>
      <c r="G15" s="8">
        <f>SUMIFS('Display Detail'!$M$2:$M$656,'Display Detail'!$J$2:$J$656,$A15,'Display Detail'!$K$2:$K$656,"&gt;0")</f>
        <v>22</v>
      </c>
      <c r="H15" s="8">
        <f>SUMIFS('Display Detail'!$P$2:$P$656,'Display Detail'!$J$2:$J$656,$A15,'Display Detail'!$K$2:$K$656,"&gt;0")</f>
        <v>400</v>
      </c>
      <c r="I15" s="6">
        <f>COUNTIFS('Display Detail'!$J$2:$J$656,$A15,'Display Detail'!$K$2:$K$656,0)</f>
        <v>4</v>
      </c>
      <c r="J15" s="6">
        <f>COUNTIF('Display Detail'!$J$2:$J$656,$A15)</f>
        <v>6</v>
      </c>
    </row>
    <row r="16">
      <c r="A16" s="9" t="inlineStr">
        <is>
          <t>ALL OTHER BRANDS / SUPPLIERS — not named on the program slide</t>
        </is>
      </c>
    </row>
    <row r="17">
      <c r="A17" s="5" t="inlineStr">
        <is>
          <t>All Other: 1925 SPIRITS LLC</t>
        </is>
      </c>
      <c r="B17" s="6">
        <f>COUNTIFS('Display Detail'!$J$2:$J$656,$A17,'Display Detail'!$K$2:$K$656,4)</f>
        <v>0</v>
      </c>
      <c r="C17" s="6">
        <f>COUNTIFS('Display Detail'!$J$2:$J$656,$A17,'Display Detail'!$K$2:$K$656,3)</f>
        <v>0</v>
      </c>
      <c r="D17" s="6">
        <f>COUNTIFS('Display Detail'!$J$2:$J$656,$A17,'Display Detail'!$K$2:$K$656,2)</f>
        <v>0</v>
      </c>
      <c r="E17" s="6">
        <f>COUNTIFS('Display Detail'!$J$2:$J$656,$A17,'Display Detail'!$K$2:$K$656,1)</f>
        <v>0</v>
      </c>
      <c r="F17" s="7">
        <f>COUNTIFS('Display Detail'!$J$2:$J$656,$A17,'Display Detail'!$K$2:$K$656,"&gt;0")</f>
        <v>0</v>
      </c>
      <c r="G17" s="8">
        <f>SUMIFS('Display Detail'!$M$2:$M$656,'Display Detail'!$J$2:$J$656,$A17,'Display Detail'!$K$2:$K$656,"&gt;0")</f>
        <v>0</v>
      </c>
      <c r="H17" s="8">
        <f>SUMIFS('Display Detail'!$P$2:$P$656,'Display Detail'!$J$2:$J$656,$A17,'Display Detail'!$K$2:$K$656,"&gt;0")</f>
        <v>0</v>
      </c>
      <c r="I17" s="6">
        <f>COUNTIFS('Display Detail'!$J$2:$J$656,$A17,'Display Detail'!$K$2:$K$656,0)</f>
        <v>1</v>
      </c>
      <c r="J17" s="6">
        <f>COUNTIF('Display Detail'!$J$2:$J$656,$A17)</f>
        <v>1</v>
      </c>
    </row>
    <row r="18">
      <c r="A18" s="5" t="inlineStr">
        <is>
          <t>All Other: ARTISANAL BREWING VENTURES (EBI)</t>
        </is>
      </c>
      <c r="B18" s="6">
        <f>COUNTIFS('Display Detail'!$J$2:$J$656,$A18,'Display Detail'!$K$2:$K$656,4)</f>
        <v>0</v>
      </c>
      <c r="C18" s="6">
        <f>COUNTIFS('Display Detail'!$J$2:$J$656,$A18,'Display Detail'!$K$2:$K$656,3)</f>
        <v>1</v>
      </c>
      <c r="D18" s="6">
        <f>COUNTIFS('Display Detail'!$J$2:$J$656,$A18,'Display Detail'!$K$2:$K$656,2)</f>
        <v>1</v>
      </c>
      <c r="E18" s="6">
        <f>COUNTIFS('Display Detail'!$J$2:$J$656,$A18,'Display Detail'!$K$2:$K$656,1)</f>
        <v>0</v>
      </c>
      <c r="F18" s="7">
        <f>COUNTIFS('Display Detail'!$J$2:$J$656,$A18,'Display Detail'!$K$2:$K$656,"&gt;0")</f>
        <v>2</v>
      </c>
      <c r="G18" s="8">
        <f>SUMIFS('Display Detail'!$M$2:$M$656,'Display Detail'!$J$2:$J$656,$A18,'Display Detail'!$K$2:$K$656,"&gt;0")</f>
        <v>70</v>
      </c>
      <c r="H18" s="8">
        <f>SUMIFS('Display Detail'!$P$2:$P$656,'Display Detail'!$J$2:$J$656,$A18,'Display Detail'!$K$2:$K$656,"&gt;0")</f>
        <v>500</v>
      </c>
      <c r="I18" s="6">
        <f>COUNTIFS('Display Detail'!$J$2:$J$656,$A18,'Display Detail'!$K$2:$K$656,0)</f>
        <v>1</v>
      </c>
      <c r="J18" s="6">
        <f>COUNTIF('Display Detail'!$J$2:$J$656,$A18)</f>
        <v>3</v>
      </c>
    </row>
    <row r="19">
      <c r="A19" s="5" t="inlineStr">
        <is>
          <t>All Other: ATHLETIC BREWING COMPANY</t>
        </is>
      </c>
      <c r="B19" s="6">
        <f>COUNTIFS('Display Detail'!$J$2:$J$656,$A19,'Display Detail'!$K$2:$K$656,4)</f>
        <v>0</v>
      </c>
      <c r="C19" s="6">
        <f>COUNTIFS('Display Detail'!$J$2:$J$656,$A19,'Display Detail'!$K$2:$K$656,3)</f>
        <v>0</v>
      </c>
      <c r="D19" s="6">
        <f>COUNTIFS('Display Detail'!$J$2:$J$656,$A19,'Display Detail'!$K$2:$K$656,2)</f>
        <v>1</v>
      </c>
      <c r="E19" s="6">
        <f>COUNTIFS('Display Detail'!$J$2:$J$656,$A19,'Display Detail'!$K$2:$K$656,1)</f>
        <v>1</v>
      </c>
      <c r="F19" s="7">
        <f>COUNTIFS('Display Detail'!$J$2:$J$656,$A19,'Display Detail'!$K$2:$K$656,"&gt;0")</f>
        <v>2</v>
      </c>
      <c r="G19" s="8">
        <f>SUMIFS('Display Detail'!$M$2:$M$656,'Display Detail'!$J$2:$J$656,$A19,'Display Detail'!$K$2:$K$656,"&gt;0")</f>
        <v>48</v>
      </c>
      <c r="H19" s="8">
        <f>SUMIFS('Display Detail'!$P$2:$P$656,'Display Detail'!$J$2:$J$656,$A19,'Display Detail'!$K$2:$K$656,"&gt;0")</f>
        <v>300</v>
      </c>
      <c r="I19" s="6">
        <f>COUNTIFS('Display Detail'!$J$2:$J$656,$A19,'Display Detail'!$K$2:$K$656,0)</f>
        <v>0</v>
      </c>
      <c r="J19" s="6">
        <f>COUNTIF('Display Detail'!$J$2:$J$656,$A19)</f>
        <v>2</v>
      </c>
    </row>
    <row r="20">
      <c r="A20" s="5" t="inlineStr">
        <is>
          <t>All Other: ATOMIC BRANDS</t>
        </is>
      </c>
      <c r="B20" s="6">
        <f>COUNTIFS('Display Detail'!$J$2:$J$656,$A20,'Display Detail'!$K$2:$K$656,4)</f>
        <v>0</v>
      </c>
      <c r="C20" s="6">
        <f>COUNTIFS('Display Detail'!$J$2:$J$656,$A20,'Display Detail'!$K$2:$K$656,3)</f>
        <v>0</v>
      </c>
      <c r="D20" s="6">
        <f>COUNTIFS('Display Detail'!$J$2:$J$656,$A20,'Display Detail'!$K$2:$K$656,2)</f>
        <v>0</v>
      </c>
      <c r="E20" s="6">
        <f>COUNTIFS('Display Detail'!$J$2:$J$656,$A20,'Display Detail'!$K$2:$K$656,1)</f>
        <v>0</v>
      </c>
      <c r="F20" s="7">
        <f>COUNTIFS('Display Detail'!$J$2:$J$656,$A20,'Display Detail'!$K$2:$K$656,"&gt;0")</f>
        <v>0</v>
      </c>
      <c r="G20" s="8">
        <f>SUMIFS('Display Detail'!$M$2:$M$656,'Display Detail'!$J$2:$J$656,$A20,'Display Detail'!$K$2:$K$656,"&gt;0")</f>
        <v>0</v>
      </c>
      <c r="H20" s="8">
        <f>SUMIFS('Display Detail'!$P$2:$P$656,'Display Detail'!$J$2:$J$656,$A20,'Display Detail'!$K$2:$K$656,"&gt;0")</f>
        <v>0</v>
      </c>
      <c r="I20" s="6">
        <f>COUNTIFS('Display Detail'!$J$2:$J$656,$A20,'Display Detail'!$K$2:$K$656,0)</f>
        <v>1</v>
      </c>
      <c r="J20" s="6">
        <f>COUNTIF('Display Detail'!$J$2:$J$656,$A20)</f>
        <v>1</v>
      </c>
    </row>
    <row r="21">
      <c r="A21" s="5" t="inlineStr">
        <is>
          <t>All Other: CENTRAL BEER IMPORT &amp; EXPORT FAMOSA</t>
        </is>
      </c>
      <c r="B21" s="6">
        <f>COUNTIFS('Display Detail'!$J$2:$J$656,$A21,'Display Detail'!$K$2:$K$656,4)</f>
        <v>0</v>
      </c>
      <c r="C21" s="6">
        <f>COUNTIFS('Display Detail'!$J$2:$J$656,$A21,'Display Detail'!$K$2:$K$656,3)</f>
        <v>0</v>
      </c>
      <c r="D21" s="6">
        <f>COUNTIFS('Display Detail'!$J$2:$J$656,$A21,'Display Detail'!$K$2:$K$656,2)</f>
        <v>2</v>
      </c>
      <c r="E21" s="6">
        <f>COUNTIFS('Display Detail'!$J$2:$J$656,$A21,'Display Detail'!$K$2:$K$656,1)</f>
        <v>1</v>
      </c>
      <c r="F21" s="7">
        <f>COUNTIFS('Display Detail'!$J$2:$J$656,$A21,'Display Detail'!$K$2:$K$656,"&gt;0")</f>
        <v>3</v>
      </c>
      <c r="G21" s="8">
        <f>SUMIFS('Display Detail'!$M$2:$M$656,'Display Detail'!$J$2:$J$656,$A21,'Display Detail'!$K$2:$K$656,"&gt;0")</f>
        <v>61</v>
      </c>
      <c r="H21" s="8">
        <f>SUMIFS('Display Detail'!$P$2:$P$656,'Display Detail'!$J$2:$J$656,$A21,'Display Detail'!$K$2:$K$656,"&gt;0")</f>
        <v>500</v>
      </c>
      <c r="I21" s="6">
        <f>COUNTIFS('Display Detail'!$J$2:$J$656,$A21,'Display Detail'!$K$2:$K$656,0)</f>
        <v>4</v>
      </c>
      <c r="J21" s="6">
        <f>COUNTIF('Display Detail'!$J$2:$J$656,$A21)</f>
        <v>7</v>
      </c>
    </row>
    <row r="22">
      <c r="A22" s="5" t="inlineStr">
        <is>
          <t>All Other: DELTA BEVERAGES LLC</t>
        </is>
      </c>
      <c r="B22" s="6">
        <f>COUNTIFS('Display Detail'!$J$2:$J$656,$A22,'Display Detail'!$K$2:$K$656,4)</f>
        <v>0</v>
      </c>
      <c r="C22" s="6">
        <f>COUNTIFS('Display Detail'!$J$2:$J$656,$A22,'Display Detail'!$K$2:$K$656,3)</f>
        <v>0</v>
      </c>
      <c r="D22" s="6">
        <f>COUNTIFS('Display Detail'!$J$2:$J$656,$A22,'Display Detail'!$K$2:$K$656,2)</f>
        <v>0</v>
      </c>
      <c r="E22" s="6">
        <f>COUNTIFS('Display Detail'!$J$2:$J$656,$A22,'Display Detail'!$K$2:$K$656,1)</f>
        <v>1</v>
      </c>
      <c r="F22" s="7">
        <f>COUNTIFS('Display Detail'!$J$2:$J$656,$A22,'Display Detail'!$K$2:$K$656,"&gt;0")</f>
        <v>1</v>
      </c>
      <c r="G22" s="8">
        <f>SUMIFS('Display Detail'!$M$2:$M$656,'Display Detail'!$J$2:$J$656,$A22,'Display Detail'!$K$2:$K$656,"&gt;0")</f>
        <v>10</v>
      </c>
      <c r="H22" s="8">
        <f>SUMIFS('Display Detail'!$P$2:$P$656,'Display Detail'!$J$2:$J$656,$A22,'Display Detail'!$K$2:$K$656,"&gt;0")</f>
        <v>100</v>
      </c>
      <c r="I22" s="6">
        <f>COUNTIFS('Display Detail'!$J$2:$J$656,$A22,'Display Detail'!$K$2:$K$656,0)</f>
        <v>0</v>
      </c>
      <c r="J22" s="6">
        <f>COUNTIF('Display Detail'!$J$2:$J$656,$A22)</f>
        <v>1</v>
      </c>
    </row>
    <row r="23">
      <c r="A23" s="5" t="inlineStr">
        <is>
          <t>All Other: F.X. MATT BREWING COMPANY</t>
        </is>
      </c>
      <c r="B23" s="6">
        <f>COUNTIFS('Display Detail'!$J$2:$J$656,$A23,'Display Detail'!$K$2:$K$656,4)</f>
        <v>0</v>
      </c>
      <c r="C23" s="6">
        <f>COUNTIFS('Display Detail'!$J$2:$J$656,$A23,'Display Detail'!$K$2:$K$656,3)</f>
        <v>0</v>
      </c>
      <c r="D23" s="6">
        <f>COUNTIFS('Display Detail'!$J$2:$J$656,$A23,'Display Detail'!$K$2:$K$656,2)</f>
        <v>1</v>
      </c>
      <c r="E23" s="6">
        <f>COUNTIFS('Display Detail'!$J$2:$J$656,$A23,'Display Detail'!$K$2:$K$656,1)</f>
        <v>0</v>
      </c>
      <c r="F23" s="7">
        <f>COUNTIFS('Display Detail'!$J$2:$J$656,$A23,'Display Detail'!$K$2:$K$656,"&gt;0")</f>
        <v>1</v>
      </c>
      <c r="G23" s="8">
        <f>SUMIFS('Display Detail'!$M$2:$M$656,'Display Detail'!$J$2:$J$656,$A23,'Display Detail'!$K$2:$K$656,"&gt;0")</f>
        <v>29</v>
      </c>
      <c r="H23" s="8">
        <f>SUMIFS('Display Detail'!$P$2:$P$656,'Display Detail'!$J$2:$J$656,$A23,'Display Detail'!$K$2:$K$656,"&gt;0")</f>
        <v>200</v>
      </c>
      <c r="I23" s="6">
        <f>COUNTIFS('Display Detail'!$J$2:$J$656,$A23,'Display Detail'!$K$2:$K$656,0)</f>
        <v>0</v>
      </c>
      <c r="J23" s="6">
        <f>COUNTIF('Display Detail'!$J$2:$J$656,$A23)</f>
        <v>1</v>
      </c>
    </row>
    <row r="24">
      <c r="A24" s="5" t="inlineStr">
        <is>
          <t>All Other: FEVER TREE USA</t>
        </is>
      </c>
      <c r="B24" s="6">
        <f>COUNTIFS('Display Detail'!$J$2:$J$656,$A24,'Display Detail'!$K$2:$K$656,4)</f>
        <v>0</v>
      </c>
      <c r="C24" s="6">
        <f>COUNTIFS('Display Detail'!$J$2:$J$656,$A24,'Display Detail'!$K$2:$K$656,3)</f>
        <v>0</v>
      </c>
      <c r="D24" s="6">
        <f>COUNTIFS('Display Detail'!$J$2:$J$656,$A24,'Display Detail'!$K$2:$K$656,2)</f>
        <v>0</v>
      </c>
      <c r="E24" s="6">
        <f>COUNTIFS('Display Detail'!$J$2:$J$656,$A24,'Display Detail'!$K$2:$K$656,1)</f>
        <v>1</v>
      </c>
      <c r="F24" s="7">
        <f>COUNTIFS('Display Detail'!$J$2:$J$656,$A24,'Display Detail'!$K$2:$K$656,"&gt;0")</f>
        <v>1</v>
      </c>
      <c r="G24" s="8">
        <f>SUMIFS('Display Detail'!$M$2:$M$656,'Display Detail'!$J$2:$J$656,$A24,'Display Detail'!$K$2:$K$656,"&gt;0")</f>
        <v>14</v>
      </c>
      <c r="H24" s="8">
        <f>SUMIFS('Display Detail'!$P$2:$P$656,'Display Detail'!$J$2:$J$656,$A24,'Display Detail'!$K$2:$K$656,"&gt;0")</f>
        <v>200</v>
      </c>
      <c r="I24" s="6">
        <f>COUNTIFS('Display Detail'!$J$2:$J$656,$A24,'Display Detail'!$K$2:$K$656,0)</f>
        <v>1</v>
      </c>
      <c r="J24" s="6">
        <f>COUNTIF('Display Detail'!$J$2:$J$656,$A24)</f>
        <v>2</v>
      </c>
    </row>
    <row r="25">
      <c r="A25" s="5" t="inlineStr">
        <is>
          <t>All Other: KIRIN BREWERY COMPANY</t>
        </is>
      </c>
      <c r="B25" s="6">
        <f>COUNTIFS('Display Detail'!$J$2:$J$656,$A25,'Display Detail'!$K$2:$K$656,4)</f>
        <v>1</v>
      </c>
      <c r="C25" s="6">
        <f>COUNTIFS('Display Detail'!$J$2:$J$656,$A25,'Display Detail'!$K$2:$K$656,3)</f>
        <v>0</v>
      </c>
      <c r="D25" s="6">
        <f>COUNTIFS('Display Detail'!$J$2:$J$656,$A25,'Display Detail'!$K$2:$K$656,2)</f>
        <v>0</v>
      </c>
      <c r="E25" s="6">
        <f>COUNTIFS('Display Detail'!$J$2:$J$656,$A25,'Display Detail'!$K$2:$K$656,1)</f>
        <v>0</v>
      </c>
      <c r="F25" s="7">
        <f>COUNTIFS('Display Detail'!$J$2:$J$656,$A25,'Display Detail'!$K$2:$K$656,"&gt;0")</f>
        <v>1</v>
      </c>
      <c r="G25" s="8">
        <f>SUMIFS('Display Detail'!$M$2:$M$656,'Display Detail'!$J$2:$J$656,$A25,'Display Detail'!$K$2:$K$656,"&gt;0")</f>
        <v>150</v>
      </c>
      <c r="H25" s="8">
        <f>SUMIFS('Display Detail'!$P$2:$P$656,'Display Detail'!$J$2:$J$656,$A25,'Display Detail'!$K$2:$K$656,"&gt;0")</f>
        <v>600</v>
      </c>
      <c r="I25" s="6">
        <f>COUNTIFS('Display Detail'!$J$2:$J$656,$A25,'Display Detail'!$K$2:$K$656,0)</f>
        <v>1</v>
      </c>
      <c r="J25" s="6">
        <f>COUNTIF('Display Detail'!$J$2:$J$656,$A25)</f>
        <v>2</v>
      </c>
    </row>
    <row r="26">
      <c r="A26" s="5" t="inlineStr">
        <is>
          <t>All Other: NEW BELGIUM BRANDS</t>
        </is>
      </c>
      <c r="B26" s="6">
        <f>COUNTIFS('Display Detail'!$J$2:$J$656,$A26,'Display Detail'!$K$2:$K$656,4)</f>
        <v>3</v>
      </c>
      <c r="C26" s="6">
        <f>COUNTIFS('Display Detail'!$J$2:$J$656,$A26,'Display Detail'!$K$2:$K$656,3)</f>
        <v>0</v>
      </c>
      <c r="D26" s="6">
        <f>COUNTIFS('Display Detail'!$J$2:$J$656,$A26,'Display Detail'!$K$2:$K$656,2)</f>
        <v>0</v>
      </c>
      <c r="E26" s="6">
        <f>COUNTIFS('Display Detail'!$J$2:$J$656,$A26,'Display Detail'!$K$2:$K$656,1)</f>
        <v>0</v>
      </c>
      <c r="F26" s="7">
        <f>COUNTIFS('Display Detail'!$J$2:$J$656,$A26,'Display Detail'!$K$2:$K$656,"&gt;0")</f>
        <v>3</v>
      </c>
      <c r="G26" s="8">
        <f>SUMIFS('Display Detail'!$M$2:$M$656,'Display Detail'!$J$2:$J$656,$A26,'Display Detail'!$K$2:$K$656,"&gt;0")</f>
        <v>300</v>
      </c>
      <c r="H26" s="8">
        <f>SUMIFS('Display Detail'!$P$2:$P$656,'Display Detail'!$J$2:$J$656,$A26,'Display Detail'!$K$2:$K$656,"&gt;0")</f>
        <v>1800</v>
      </c>
      <c r="I26" s="6">
        <f>COUNTIFS('Display Detail'!$J$2:$J$656,$A26,'Display Detail'!$K$2:$K$656,0)</f>
        <v>0</v>
      </c>
      <c r="J26" s="6">
        <f>COUNTIF('Display Detail'!$J$2:$J$656,$A26)</f>
        <v>3</v>
      </c>
    </row>
    <row r="27">
      <c r="A27" s="5" t="inlineStr">
        <is>
          <t>All Other: NOCA BEVERAGES</t>
        </is>
      </c>
      <c r="B27" s="6">
        <f>COUNTIFS('Display Detail'!$J$2:$J$656,$A27,'Display Detail'!$K$2:$K$656,4)</f>
        <v>1</v>
      </c>
      <c r="C27" s="6">
        <f>COUNTIFS('Display Detail'!$J$2:$J$656,$A27,'Display Detail'!$K$2:$K$656,3)</f>
        <v>3</v>
      </c>
      <c r="D27" s="6">
        <f>COUNTIFS('Display Detail'!$J$2:$J$656,$A27,'Display Detail'!$K$2:$K$656,2)</f>
        <v>0</v>
      </c>
      <c r="E27" s="6">
        <f>COUNTIFS('Display Detail'!$J$2:$J$656,$A27,'Display Detail'!$K$2:$K$656,1)</f>
        <v>0</v>
      </c>
      <c r="F27" s="7">
        <f>COUNTIFS('Display Detail'!$J$2:$J$656,$A27,'Display Detail'!$K$2:$K$656,"&gt;0")</f>
        <v>4</v>
      </c>
      <c r="G27" s="8">
        <f>SUMIFS('Display Detail'!$M$2:$M$656,'Display Detail'!$J$2:$J$656,$A27,'Display Detail'!$K$2:$K$656,"&gt;0")</f>
        <v>220</v>
      </c>
      <c r="H27" s="8">
        <f>SUMIFS('Display Detail'!$P$2:$P$656,'Display Detail'!$J$2:$J$656,$A27,'Display Detail'!$K$2:$K$656,"&gt;0")</f>
        <v>1500</v>
      </c>
      <c r="I27" s="6">
        <f>COUNTIFS('Display Detail'!$J$2:$J$656,$A27,'Display Detail'!$K$2:$K$656,0)</f>
        <v>0</v>
      </c>
      <c r="J27" s="6">
        <f>COUNTIF('Display Detail'!$J$2:$J$656,$A27)</f>
        <v>4</v>
      </c>
    </row>
    <row r="28">
      <c r="A28" s="5" t="inlineStr">
        <is>
          <t>All Other: PAULANER</t>
        </is>
      </c>
      <c r="B28" s="6">
        <f>COUNTIFS('Display Detail'!$J$2:$J$656,$A28,'Display Detail'!$K$2:$K$656,4)</f>
        <v>1</v>
      </c>
      <c r="C28" s="6">
        <f>COUNTIFS('Display Detail'!$J$2:$J$656,$A28,'Display Detail'!$K$2:$K$656,3)</f>
        <v>1</v>
      </c>
      <c r="D28" s="6">
        <f>COUNTIFS('Display Detail'!$J$2:$J$656,$A28,'Display Detail'!$K$2:$K$656,2)</f>
        <v>1</v>
      </c>
      <c r="E28" s="6">
        <f>COUNTIFS('Display Detail'!$J$2:$J$656,$A28,'Display Detail'!$K$2:$K$656,1)</f>
        <v>0</v>
      </c>
      <c r="F28" s="7">
        <f>COUNTIFS('Display Detail'!$J$2:$J$656,$A28,'Display Detail'!$K$2:$K$656,"&gt;0")</f>
        <v>3</v>
      </c>
      <c r="G28" s="8">
        <f>SUMIFS('Display Detail'!$M$2:$M$656,'Display Detail'!$J$2:$J$656,$A28,'Display Detail'!$K$2:$K$656,"&gt;0")</f>
        <v>177</v>
      </c>
      <c r="H28" s="8">
        <f>SUMIFS('Display Detail'!$P$2:$P$656,'Display Detail'!$J$2:$J$656,$A28,'Display Detail'!$K$2:$K$656,"&gt;0")</f>
        <v>1100</v>
      </c>
      <c r="I28" s="6">
        <f>COUNTIFS('Display Detail'!$J$2:$J$656,$A28,'Display Detail'!$K$2:$K$656,0)</f>
        <v>0</v>
      </c>
      <c r="J28" s="6">
        <f>COUNTIF('Display Detail'!$J$2:$J$656,$A28)</f>
        <v>3</v>
      </c>
    </row>
    <row r="29">
      <c r="A29" s="5" t="inlineStr">
        <is>
          <t>All Other: SARATOGA SPRING WATER CO.</t>
        </is>
      </c>
      <c r="B29" s="6">
        <f>COUNTIFS('Display Detail'!$J$2:$J$656,$A29,'Display Detail'!$K$2:$K$656,4)</f>
        <v>0</v>
      </c>
      <c r="C29" s="6">
        <f>COUNTIFS('Display Detail'!$J$2:$J$656,$A29,'Display Detail'!$K$2:$K$656,3)</f>
        <v>0</v>
      </c>
      <c r="D29" s="6">
        <f>COUNTIFS('Display Detail'!$J$2:$J$656,$A29,'Display Detail'!$K$2:$K$656,2)</f>
        <v>0</v>
      </c>
      <c r="E29" s="6">
        <f>COUNTIFS('Display Detail'!$J$2:$J$656,$A29,'Display Detail'!$K$2:$K$656,1)</f>
        <v>1</v>
      </c>
      <c r="F29" s="7">
        <f>COUNTIFS('Display Detail'!$J$2:$J$656,$A29,'Display Detail'!$K$2:$K$656,"&gt;0")</f>
        <v>1</v>
      </c>
      <c r="G29" s="8">
        <f>SUMIFS('Display Detail'!$M$2:$M$656,'Display Detail'!$J$2:$J$656,$A29,'Display Detail'!$K$2:$K$656,"&gt;0")</f>
        <v>10</v>
      </c>
      <c r="H29" s="8">
        <f>SUMIFS('Display Detail'!$P$2:$P$656,'Display Detail'!$J$2:$J$656,$A29,'Display Detail'!$K$2:$K$656,"&gt;0")</f>
        <v>100</v>
      </c>
      <c r="I29" s="6">
        <f>COUNTIFS('Display Detail'!$J$2:$J$656,$A29,'Display Detail'!$K$2:$K$656,0)</f>
        <v>0</v>
      </c>
      <c r="J29" s="6">
        <f>COUNTIF('Display Detail'!$J$2:$J$656,$A29)</f>
        <v>1</v>
      </c>
    </row>
    <row r="30">
      <c r="A30" s="5" t="inlineStr">
        <is>
          <t>All Other: SIERRA NEVADA BREWING COMPANY</t>
        </is>
      </c>
      <c r="B30" s="6">
        <f>COUNTIFS('Display Detail'!$J$2:$J$656,$A30,'Display Detail'!$K$2:$K$656,4)</f>
        <v>0</v>
      </c>
      <c r="C30" s="6">
        <f>COUNTIFS('Display Detail'!$J$2:$J$656,$A30,'Display Detail'!$K$2:$K$656,3)</f>
        <v>1</v>
      </c>
      <c r="D30" s="6">
        <f>COUNTIFS('Display Detail'!$J$2:$J$656,$A30,'Display Detail'!$K$2:$K$656,2)</f>
        <v>0</v>
      </c>
      <c r="E30" s="6">
        <f>COUNTIFS('Display Detail'!$J$2:$J$656,$A30,'Display Detail'!$K$2:$K$656,1)</f>
        <v>0</v>
      </c>
      <c r="F30" s="7">
        <f>COUNTIFS('Display Detail'!$J$2:$J$656,$A30,'Display Detail'!$K$2:$K$656,"&gt;0")</f>
        <v>1</v>
      </c>
      <c r="G30" s="8">
        <f>SUMIFS('Display Detail'!$M$2:$M$656,'Display Detail'!$J$2:$J$656,$A30,'Display Detail'!$K$2:$K$656,"&gt;0")</f>
        <v>45</v>
      </c>
      <c r="H30" s="8">
        <f>SUMIFS('Display Detail'!$P$2:$P$656,'Display Detail'!$J$2:$J$656,$A30,'Display Detail'!$K$2:$K$656,"&gt;0")</f>
        <v>300</v>
      </c>
      <c r="I30" s="6">
        <f>COUNTIFS('Display Detail'!$J$2:$J$656,$A30,'Display Detail'!$K$2:$K$656,0)</f>
        <v>0</v>
      </c>
      <c r="J30" s="6">
        <f>COUNTIF('Display Detail'!$J$2:$J$656,$A30)</f>
        <v>1</v>
      </c>
    </row>
    <row r="31">
      <c r="A31" s="5" t="inlineStr">
        <is>
          <t>All Other: TALKHOUSE ENCORE</t>
        </is>
      </c>
      <c r="B31" s="6">
        <f>COUNTIFS('Display Detail'!$J$2:$J$656,$A31,'Display Detail'!$K$2:$K$656,4)</f>
        <v>0</v>
      </c>
      <c r="C31" s="6">
        <f>COUNTIFS('Display Detail'!$J$2:$J$656,$A31,'Display Detail'!$K$2:$K$656,3)</f>
        <v>0</v>
      </c>
      <c r="D31" s="6">
        <f>COUNTIFS('Display Detail'!$J$2:$J$656,$A31,'Display Detail'!$K$2:$K$656,2)</f>
        <v>1</v>
      </c>
      <c r="E31" s="6">
        <f>COUNTIFS('Display Detail'!$J$2:$J$656,$A31,'Display Detail'!$K$2:$K$656,1)</f>
        <v>1</v>
      </c>
      <c r="F31" s="7">
        <f>COUNTIFS('Display Detail'!$J$2:$J$656,$A31,'Display Detail'!$K$2:$K$656,"&gt;0")</f>
        <v>2</v>
      </c>
      <c r="G31" s="8">
        <f>SUMIFS('Display Detail'!$M$2:$M$656,'Display Detail'!$J$2:$J$656,$A31,'Display Detail'!$K$2:$K$656,"&gt;0")</f>
        <v>38</v>
      </c>
      <c r="H31" s="8">
        <f>SUMIFS('Display Detail'!$P$2:$P$656,'Display Detail'!$J$2:$J$656,$A31,'Display Detail'!$K$2:$K$656,"&gt;0")</f>
        <v>300</v>
      </c>
      <c r="I31" s="6">
        <f>COUNTIFS('Display Detail'!$J$2:$J$656,$A31,'Display Detail'!$K$2:$K$656,0)</f>
        <v>0</v>
      </c>
      <c r="J31" s="6">
        <f>COUNTIF('Display Detail'!$J$2:$J$656,$A31)</f>
        <v>2</v>
      </c>
    </row>
    <row r="32">
      <c r="A32" s="5" t="inlineStr">
        <is>
          <t>All Other: TILRAY BRANDS</t>
        </is>
      </c>
      <c r="B32" s="6">
        <f>COUNTIFS('Display Detail'!$J$2:$J$656,$A32,'Display Detail'!$K$2:$K$656,4)</f>
        <v>0</v>
      </c>
      <c r="C32" s="6">
        <f>COUNTIFS('Display Detail'!$J$2:$J$656,$A32,'Display Detail'!$K$2:$K$656,3)</f>
        <v>0</v>
      </c>
      <c r="D32" s="6">
        <f>COUNTIFS('Display Detail'!$J$2:$J$656,$A32,'Display Detail'!$K$2:$K$656,2)</f>
        <v>0</v>
      </c>
      <c r="E32" s="6">
        <f>COUNTIFS('Display Detail'!$J$2:$J$656,$A32,'Display Detail'!$K$2:$K$656,1)</f>
        <v>0</v>
      </c>
      <c r="F32" s="7">
        <f>COUNTIFS('Display Detail'!$J$2:$J$656,$A32,'Display Detail'!$K$2:$K$656,"&gt;0")</f>
        <v>0</v>
      </c>
      <c r="G32" s="8">
        <f>SUMIFS('Display Detail'!$M$2:$M$656,'Display Detail'!$J$2:$J$656,$A32,'Display Detail'!$K$2:$K$656,"&gt;0")</f>
        <v>0</v>
      </c>
      <c r="H32" s="8">
        <f>SUMIFS('Display Detail'!$P$2:$P$656,'Display Detail'!$J$2:$J$656,$A32,'Display Detail'!$K$2:$K$656,"&gt;0")</f>
        <v>0</v>
      </c>
      <c r="I32" s="6">
        <f>COUNTIFS('Display Detail'!$J$2:$J$656,$A32,'Display Detail'!$K$2:$K$656,0)</f>
        <v>1</v>
      </c>
      <c r="J32" s="6">
        <f>COUNTIF('Display Detail'!$J$2:$J$656,$A32)</f>
        <v>1</v>
      </c>
    </row>
    <row r="33">
      <c r="A33" s="5" t="inlineStr">
        <is>
          <t>All Other: TOTAL BEVERAGE SOLUTION</t>
        </is>
      </c>
      <c r="B33" s="6">
        <f>COUNTIFS('Display Detail'!$J$2:$J$656,$A33,'Display Detail'!$K$2:$K$656,4)</f>
        <v>0</v>
      </c>
      <c r="C33" s="6">
        <f>COUNTIFS('Display Detail'!$J$2:$J$656,$A33,'Display Detail'!$K$2:$K$656,3)</f>
        <v>0</v>
      </c>
      <c r="D33" s="6">
        <f>COUNTIFS('Display Detail'!$J$2:$J$656,$A33,'Display Detail'!$K$2:$K$656,2)</f>
        <v>2</v>
      </c>
      <c r="E33" s="6">
        <f>COUNTIFS('Display Detail'!$J$2:$J$656,$A33,'Display Detail'!$K$2:$K$656,1)</f>
        <v>0</v>
      </c>
      <c r="F33" s="7">
        <f>COUNTIFS('Display Detail'!$J$2:$J$656,$A33,'Display Detail'!$K$2:$K$656,"&gt;0")</f>
        <v>2</v>
      </c>
      <c r="G33" s="8">
        <f>SUMIFS('Display Detail'!$M$2:$M$656,'Display Detail'!$J$2:$J$656,$A33,'Display Detail'!$K$2:$K$656,"&gt;0")</f>
        <v>66</v>
      </c>
      <c r="H33" s="8">
        <f>SUMIFS('Display Detail'!$P$2:$P$656,'Display Detail'!$J$2:$J$656,$A33,'Display Detail'!$K$2:$K$656,"&gt;0")</f>
        <v>400</v>
      </c>
      <c r="I33" s="6">
        <f>COUNTIFS('Display Detail'!$J$2:$J$656,$A33,'Display Detail'!$K$2:$K$656,0)</f>
        <v>0</v>
      </c>
      <c r="J33" s="6">
        <f>COUNTIF('Display Detail'!$J$2:$J$656,$A33)</f>
        <v>2</v>
      </c>
    </row>
    <row r="34">
      <c r="A34" s="5" t="inlineStr">
        <is>
          <t>All Other: VIVA BEVERAGES</t>
        </is>
      </c>
      <c r="B34" s="6">
        <f>COUNTIFS('Display Detail'!$J$2:$J$656,$A34,'Display Detail'!$K$2:$K$656,4)</f>
        <v>0</v>
      </c>
      <c r="C34" s="6">
        <f>COUNTIFS('Display Detail'!$J$2:$J$656,$A34,'Display Detail'!$K$2:$K$656,3)</f>
        <v>0</v>
      </c>
      <c r="D34" s="6">
        <f>COUNTIFS('Display Detail'!$J$2:$J$656,$A34,'Display Detail'!$K$2:$K$656,2)</f>
        <v>0</v>
      </c>
      <c r="E34" s="6">
        <f>COUNTIFS('Display Detail'!$J$2:$J$656,$A34,'Display Detail'!$K$2:$K$656,1)</f>
        <v>0</v>
      </c>
      <c r="F34" s="7">
        <f>COUNTIFS('Display Detail'!$J$2:$J$656,$A34,'Display Detail'!$K$2:$K$656,"&gt;0")</f>
        <v>0</v>
      </c>
      <c r="G34" s="8">
        <f>SUMIFS('Display Detail'!$M$2:$M$656,'Display Detail'!$J$2:$J$656,$A34,'Display Detail'!$K$2:$K$656,"&gt;0")</f>
        <v>0</v>
      </c>
      <c r="H34" s="8">
        <f>SUMIFS('Display Detail'!$P$2:$P$656,'Display Detail'!$J$2:$J$656,$A34,'Display Detail'!$K$2:$K$656,"&gt;0")</f>
        <v>0</v>
      </c>
      <c r="I34" s="6">
        <f>COUNTIFS('Display Detail'!$J$2:$J$656,$A34,'Display Detail'!$K$2:$K$656,0)</f>
        <v>1</v>
      </c>
      <c r="J34" s="6">
        <f>COUNTIF('Display Detail'!$J$2:$J$656,$A34)</f>
        <v>1</v>
      </c>
    </row>
    <row r="35">
      <c r="A35" s="10" t="inlineStr">
        <is>
          <t>TOTAL — ALL DISPLAYS</t>
        </is>
      </c>
      <c r="B35" s="11">
        <f>COUNTIF('Display Detail'!$K$2:$K$656,4)</f>
        <v>190</v>
      </c>
      <c r="C35" s="11">
        <f>COUNTIF('Display Detail'!$K$2:$K$656,3)</f>
        <v>157</v>
      </c>
      <c r="D35" s="11">
        <f>COUNTIF('Display Detail'!$K$2:$K$656,2)</f>
        <v>97</v>
      </c>
      <c r="E35" s="11">
        <f>COUNTIF('Display Detail'!$K$2:$K$656,1)</f>
        <v>50</v>
      </c>
      <c r="F35" s="11">
        <f>COUNTIF('Display Detail'!$K$2:$K$656,"&gt;0")</f>
        <v>494</v>
      </c>
      <c r="G35" s="11">
        <f>SUMIFS('Display Detail'!$M$2:$M$656,'Display Detail'!$K$2:$K$656,"&gt;0")</f>
        <v>31202</v>
      </c>
      <c r="H35" s="11">
        <f>SUMIFS('Display Detail'!$P$2:$P$656,'Display Detail'!$K$2:$K$656,"&gt;0")</f>
        <v>302200</v>
      </c>
      <c r="I35" s="11">
        <f>COUNTIF('Display Detail'!$K$2:$K$656,0)</f>
        <v>161</v>
      </c>
      <c r="J35" s="11">
        <f>COUNTA('Display Detail'!$A$2:$A$656)</f>
        <v>655</v>
      </c>
    </row>
    <row r="37">
      <c r="A37" s="12" t="inlineStr">
        <is>
          <t>A display is counted once, in the single tier its TOTAL case count falls into (85 cases = Gold only, not Gold + Silver + Bronze).</t>
        </is>
      </c>
    </row>
    <row r="38">
      <c r="A38" s="12" t="inlineStr">
        <is>
          <t>A display carrying more than one supplier is credited to the supplier holding the most cases in that photo — see the Multi-Supplier Audit tab for all 29.</t>
        </is>
      </c>
    </row>
    <row r="39">
      <c r="A39" s="12" t="inlineStr">
        <is>
          <t>Pabst is on the program slide but has no display submissions in the July/August data, so it reads zero throughout.</t>
        </is>
      </c>
    </row>
    <row r="40">
      <c r="A40" s="12" t="inlineStr">
        <is>
          <t>Every figure is a live COUNTIFS/SUMIFS over the Display Detail tab — filter that tab to see the records behind any number.</t>
        </is>
      </c>
    </row>
    <row r="41">
      <c r="A41" s="12" t="inlineStr">
        <is>
          <t>These totals match the published leaderboard and include everything submitted. 65 displays look like the same display logged twice — see the Duplicate Check tab before treating any total as final.</t>
        </is>
      </c>
    </row>
    <row r="42">
      <c r="A42" s="12" t="inlineStr">
        <is>
          <t>Source: iSellBeer display photo export, 07/01/2026 – 08/31/2026 (Report_59, pulled 08/31/2026).</t>
        </is>
      </c>
    </row>
  </sheetData>
  <mergeCells count="3">
    <mergeCell ref="A16:J16"/>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4"/>
  <sheetViews>
    <sheetView workbookViewId="0">
      <pane ySplit="4" topLeftCell="A5" activePane="bottomLeft" state="frozen"/>
      <selection pane="bottomLef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4" customWidth="1" min="6" max="6"/>
    <col width="13" customWidth="1" min="7" max="7"/>
    <col width="12" customWidth="1" min="8" max="8"/>
    <col width="13" customWidth="1" min="9" max="9"/>
    <col width="12" customWidth="1" min="10" max="10"/>
  </cols>
  <sheetData>
    <row r="1" ht="30" customHeight="1">
      <c r="A1" s="1" t="inlineStr">
        <is>
          <t>Summer Display Auction — Qualifying Displays by Lead Brand</t>
        </is>
      </c>
    </row>
    <row r="2" ht="18" customHeight="1">
      <c r="A2" s="2" t="inlineStr">
        <is>
          <t>Kohler iSell Beer Summer Display Program · 07/01/2026 – 08/31/2026 · one row per photo submission, counted once in its case-size tier</t>
        </is>
      </c>
    </row>
    <row r="4" ht="32" customHeight="1">
      <c r="A4" s="3" t="inlineStr">
        <is>
          <t>Lead Brand</t>
        </is>
      </c>
      <c r="B4" s="4" t="inlineStr">
        <is>
          <t>Gold
70+ cases</t>
        </is>
      </c>
      <c r="C4" s="4" t="inlineStr">
        <is>
          <t>Silver
40-69 cases</t>
        </is>
      </c>
      <c r="D4" s="4" t="inlineStr">
        <is>
          <t>Bronze
20-39 cases</t>
        </is>
      </c>
      <c r="E4" s="4" t="inlineStr">
        <is>
          <t>Other
10-19 cases</t>
        </is>
      </c>
      <c r="F4" s="4" t="inlineStr">
        <is>
          <t>Total Qualifying
Displays</t>
        </is>
      </c>
      <c r="G4" s="4" t="inlineStr">
        <is>
          <t>Total Cases
(qualifying)</t>
        </is>
      </c>
      <c r="H4" s="4" t="inlineStr">
        <is>
          <t>Total Points</t>
        </is>
      </c>
      <c r="I4" s="4" t="inlineStr">
        <is>
          <t>Non-Qualifying
(&lt;10 cases)</t>
        </is>
      </c>
      <c r="J4" s="4" t="inlineStr">
        <is>
          <t>Total
Submissions</t>
        </is>
      </c>
    </row>
    <row r="5">
      <c r="A5" s="5" t="inlineStr">
        <is>
          <t>CORONA EXTRA</t>
        </is>
      </c>
      <c r="B5" s="6">
        <f>COUNTIFS('Display Detail'!$R$2:$R$656,$A5,'Display Detail'!$K$2:$K$656,4)</f>
        <v>23</v>
      </c>
      <c r="C5" s="6">
        <f>COUNTIFS('Display Detail'!$R$2:$R$656,$A5,'Display Detail'!$K$2:$K$656,3)</f>
        <v>21</v>
      </c>
      <c r="D5" s="6">
        <f>COUNTIFS('Display Detail'!$R$2:$R$656,$A5,'Display Detail'!$K$2:$K$656,2)</f>
        <v>11</v>
      </c>
      <c r="E5" s="6">
        <f>COUNTIFS('Display Detail'!$R$2:$R$656,$A5,'Display Detail'!$K$2:$K$656,1)</f>
        <v>3</v>
      </c>
      <c r="F5" s="7">
        <f>COUNTIFS('Display Detail'!$R$2:$R$656,$A5,'Display Detail'!$K$2:$K$656,"&gt;0")</f>
        <v>58</v>
      </c>
      <c r="G5" s="8">
        <f>SUMIFS('Display Detail'!$M$2:$M$656,'Display Detail'!$R$2:$R$656,$A5,'Display Detail'!$K$2:$K$656,"&gt;0")</f>
        <v>3712</v>
      </c>
      <c r="H5" s="8">
        <f>SUMIFS('Display Detail'!$P$2:$P$656,'Display Detail'!$R$2:$R$656,$A5,'Display Detail'!$K$2:$K$656,"&gt;0")</f>
        <v>37400</v>
      </c>
      <c r="I5" s="6">
        <f>COUNTIFS('Display Detail'!$R$2:$R$656,$A5,'Display Detail'!$K$2:$K$656,0)</f>
        <v>20</v>
      </c>
      <c r="J5" s="6">
        <f>COUNTIF('Display Detail'!$R$2:$R$656,$A5)</f>
        <v>78</v>
      </c>
    </row>
    <row r="6">
      <c r="A6" s="5" t="inlineStr">
        <is>
          <t>MODELO CERVEZA</t>
        </is>
      </c>
      <c r="B6" s="6">
        <f>COUNTIFS('Display Detail'!$R$2:$R$656,$A6,'Display Detail'!$K$2:$K$656,4)</f>
        <v>23</v>
      </c>
      <c r="C6" s="6">
        <f>COUNTIFS('Display Detail'!$R$2:$R$656,$A6,'Display Detail'!$K$2:$K$656,3)</f>
        <v>19</v>
      </c>
      <c r="D6" s="6">
        <f>COUNTIFS('Display Detail'!$R$2:$R$656,$A6,'Display Detail'!$K$2:$K$656,2)</f>
        <v>9</v>
      </c>
      <c r="E6" s="6">
        <f>COUNTIFS('Display Detail'!$R$2:$R$656,$A6,'Display Detail'!$K$2:$K$656,1)</f>
        <v>5</v>
      </c>
      <c r="F6" s="7">
        <f>COUNTIFS('Display Detail'!$R$2:$R$656,$A6,'Display Detail'!$K$2:$K$656,"&gt;0")</f>
        <v>56</v>
      </c>
      <c r="G6" s="8">
        <f>SUMIFS('Display Detail'!$M$2:$M$656,'Display Detail'!$R$2:$R$656,$A6,'Display Detail'!$K$2:$K$656,"&gt;0")</f>
        <v>3492</v>
      </c>
      <c r="H6" s="8">
        <f>SUMIFS('Display Detail'!$P$2:$P$656,'Display Detail'!$R$2:$R$656,$A6,'Display Detail'!$K$2:$K$656,"&gt;0")</f>
        <v>36200</v>
      </c>
      <c r="I6" s="6">
        <f>COUNTIFS('Display Detail'!$R$2:$R$656,$A6,'Display Detail'!$K$2:$K$656,0)</f>
        <v>20</v>
      </c>
      <c r="J6" s="6">
        <f>COUNTIF('Display Detail'!$R$2:$R$656,$A6)</f>
        <v>76</v>
      </c>
    </row>
    <row r="7">
      <c r="A7" s="5" t="inlineStr">
        <is>
          <t>SUN CRUISERS RTD</t>
        </is>
      </c>
      <c r="B7" s="6">
        <f>COUNTIFS('Display Detail'!$R$2:$R$656,$A7,'Display Detail'!$K$2:$K$656,4)</f>
        <v>20</v>
      </c>
      <c r="C7" s="6">
        <f>COUNTIFS('Display Detail'!$R$2:$R$656,$A7,'Display Detail'!$K$2:$K$656,3)</f>
        <v>12</v>
      </c>
      <c r="D7" s="6">
        <f>COUNTIFS('Display Detail'!$R$2:$R$656,$A7,'Display Detail'!$K$2:$K$656,2)</f>
        <v>11</v>
      </c>
      <c r="E7" s="6">
        <f>COUNTIFS('Display Detail'!$R$2:$R$656,$A7,'Display Detail'!$K$2:$K$656,1)</f>
        <v>1</v>
      </c>
      <c r="F7" s="7">
        <f>COUNTIFS('Display Detail'!$R$2:$R$656,$A7,'Display Detail'!$K$2:$K$656,"&gt;0")</f>
        <v>44</v>
      </c>
      <c r="G7" s="8">
        <f>SUMIFS('Display Detail'!$M$2:$M$656,'Display Detail'!$R$2:$R$656,$A7,'Display Detail'!$K$2:$K$656,"&gt;0")</f>
        <v>3331</v>
      </c>
      <c r="H7" s="8">
        <f>SUMIFS('Display Detail'!$P$2:$P$656,'Display Detail'!$R$2:$R$656,$A7,'Display Detail'!$K$2:$K$656,"&gt;0")</f>
        <v>29500</v>
      </c>
      <c r="I7" s="6">
        <f>COUNTIFS('Display Detail'!$R$2:$R$656,$A7,'Display Detail'!$K$2:$K$656,0)</f>
        <v>0</v>
      </c>
      <c r="J7" s="6">
        <f>COUNTIF('Display Detail'!$R$2:$R$656,$A7)</f>
        <v>44</v>
      </c>
    </row>
    <row r="8">
      <c r="A8" s="5" t="inlineStr">
        <is>
          <t>HEINEKEN</t>
        </is>
      </c>
      <c r="B8" s="6">
        <f>COUNTIFS('Display Detail'!$R$2:$R$656,$A8,'Display Detail'!$K$2:$K$656,4)</f>
        <v>15</v>
      </c>
      <c r="C8" s="6">
        <f>COUNTIFS('Display Detail'!$R$2:$R$656,$A8,'Display Detail'!$K$2:$K$656,3)</f>
        <v>19</v>
      </c>
      <c r="D8" s="6">
        <f>COUNTIFS('Display Detail'!$R$2:$R$656,$A8,'Display Detail'!$K$2:$K$656,2)</f>
        <v>4</v>
      </c>
      <c r="E8" s="6">
        <f>COUNTIFS('Display Detail'!$R$2:$R$656,$A8,'Display Detail'!$K$2:$K$656,1)</f>
        <v>4</v>
      </c>
      <c r="F8" s="7">
        <f>COUNTIFS('Display Detail'!$R$2:$R$656,$A8,'Display Detail'!$K$2:$K$656,"&gt;0")</f>
        <v>42</v>
      </c>
      <c r="G8" s="8">
        <f>SUMIFS('Display Detail'!$M$2:$M$656,'Display Detail'!$R$2:$R$656,$A8,'Display Detail'!$K$2:$K$656,"&gt;0")</f>
        <v>2697</v>
      </c>
      <c r="H8" s="8">
        <f>SUMIFS('Display Detail'!$P$2:$P$656,'Display Detail'!$R$2:$R$656,$A8,'Display Detail'!$K$2:$K$656,"&gt;0")</f>
        <v>26500</v>
      </c>
      <c r="I8" s="6">
        <f>COUNTIFS('Display Detail'!$R$2:$R$656,$A8,'Display Detail'!$K$2:$K$656,0)</f>
        <v>2</v>
      </c>
      <c r="J8" s="6">
        <f>COUNTIF('Display Detail'!$R$2:$R$656,$A8)</f>
        <v>44</v>
      </c>
    </row>
    <row r="9">
      <c r="A9" s="5" t="inlineStr">
        <is>
          <t>COORS LIGHT</t>
        </is>
      </c>
      <c r="B9" s="6">
        <f>COUNTIFS('Display Detail'!$R$2:$R$656,$A9,'Display Detail'!$K$2:$K$656,4)</f>
        <v>19</v>
      </c>
      <c r="C9" s="6">
        <f>COUNTIFS('Display Detail'!$R$2:$R$656,$A9,'Display Detail'!$K$2:$K$656,3)</f>
        <v>10</v>
      </c>
      <c r="D9" s="6">
        <f>COUNTIFS('Display Detail'!$R$2:$R$656,$A9,'Display Detail'!$K$2:$K$656,2)</f>
        <v>9</v>
      </c>
      <c r="E9" s="6">
        <f>COUNTIFS('Display Detail'!$R$2:$R$656,$A9,'Display Detail'!$K$2:$K$656,1)</f>
        <v>0</v>
      </c>
      <c r="F9" s="7">
        <f>COUNTIFS('Display Detail'!$R$2:$R$656,$A9,'Display Detail'!$K$2:$K$656,"&gt;0")</f>
        <v>38</v>
      </c>
      <c r="G9" s="8">
        <f>SUMIFS('Display Detail'!$M$2:$M$656,'Display Detail'!$R$2:$R$656,$A9,'Display Detail'!$K$2:$K$656,"&gt;0")</f>
        <v>2666</v>
      </c>
      <c r="H9" s="8">
        <f>SUMIFS('Display Detail'!$P$2:$P$656,'Display Detail'!$R$2:$R$656,$A9,'Display Detail'!$K$2:$K$656,"&gt;0")</f>
        <v>26700</v>
      </c>
      <c r="I9" s="6">
        <f>COUNTIFS('Display Detail'!$R$2:$R$656,$A9,'Display Detail'!$K$2:$K$656,0)</f>
        <v>12</v>
      </c>
      <c r="J9" s="6">
        <f>COUNTIF('Display Detail'!$R$2:$R$656,$A9)</f>
        <v>50</v>
      </c>
    </row>
    <row r="10">
      <c r="A10" s="5" t="inlineStr">
        <is>
          <t>TWISTED TEA</t>
        </is>
      </c>
      <c r="B10" s="6">
        <f>COUNTIFS('Display Detail'!$R$2:$R$656,$A10,'Display Detail'!$K$2:$K$656,4)</f>
        <v>10</v>
      </c>
      <c r="C10" s="6">
        <f>COUNTIFS('Display Detail'!$R$2:$R$656,$A10,'Display Detail'!$K$2:$K$656,3)</f>
        <v>8</v>
      </c>
      <c r="D10" s="6">
        <f>COUNTIFS('Display Detail'!$R$2:$R$656,$A10,'Display Detail'!$K$2:$K$656,2)</f>
        <v>7</v>
      </c>
      <c r="E10" s="6">
        <f>COUNTIFS('Display Detail'!$R$2:$R$656,$A10,'Display Detail'!$K$2:$K$656,1)</f>
        <v>3</v>
      </c>
      <c r="F10" s="7">
        <f>COUNTIFS('Display Detail'!$R$2:$R$656,$A10,'Display Detail'!$K$2:$K$656,"&gt;0")</f>
        <v>28</v>
      </c>
      <c r="G10" s="8">
        <f>SUMIFS('Display Detail'!$M$2:$M$656,'Display Detail'!$R$2:$R$656,$A10,'Display Detail'!$K$2:$K$656,"&gt;0")</f>
        <v>1681</v>
      </c>
      <c r="H10" s="8">
        <f>SUMIFS('Display Detail'!$P$2:$P$656,'Display Detail'!$R$2:$R$656,$A10,'Display Detail'!$K$2:$K$656,"&gt;0")</f>
        <v>16700</v>
      </c>
      <c r="I10" s="6">
        <f>COUNTIFS('Display Detail'!$R$2:$R$656,$A10,'Display Detail'!$K$2:$K$656,0)</f>
        <v>0</v>
      </c>
      <c r="J10" s="6">
        <f>COUNTIF('Display Detail'!$R$2:$R$656,$A10)</f>
        <v>28</v>
      </c>
    </row>
    <row r="11">
      <c r="A11" s="5" t="inlineStr">
        <is>
          <t>MILLER LITE</t>
        </is>
      </c>
      <c r="B11" s="6">
        <f>COUNTIFS('Display Detail'!$R$2:$R$656,$A11,'Display Detail'!$K$2:$K$656,4)</f>
        <v>14</v>
      </c>
      <c r="C11" s="6">
        <f>COUNTIFS('Display Detail'!$R$2:$R$656,$A11,'Display Detail'!$K$2:$K$656,3)</f>
        <v>11</v>
      </c>
      <c r="D11" s="6">
        <f>COUNTIFS('Display Detail'!$R$2:$R$656,$A11,'Display Detail'!$K$2:$K$656,2)</f>
        <v>0</v>
      </c>
      <c r="E11" s="6">
        <f>COUNTIFS('Display Detail'!$R$2:$R$656,$A11,'Display Detail'!$K$2:$K$656,1)</f>
        <v>1</v>
      </c>
      <c r="F11" s="7">
        <f>COUNTIFS('Display Detail'!$R$2:$R$656,$A11,'Display Detail'!$K$2:$K$656,"&gt;0")</f>
        <v>26</v>
      </c>
      <c r="G11" s="8">
        <f>SUMIFS('Display Detail'!$M$2:$M$656,'Display Detail'!$R$2:$R$656,$A11,'Display Detail'!$K$2:$K$656,"&gt;0")</f>
        <v>2236</v>
      </c>
      <c r="H11" s="8">
        <f>SUMIFS('Display Detail'!$P$2:$P$656,'Display Detail'!$R$2:$R$656,$A11,'Display Detail'!$K$2:$K$656,"&gt;0")</f>
        <v>19700</v>
      </c>
      <c r="I11" s="6">
        <f>COUNTIFS('Display Detail'!$R$2:$R$656,$A11,'Display Detail'!$K$2:$K$656,0)</f>
        <v>3</v>
      </c>
      <c r="J11" s="6">
        <f>COUNTIF('Display Detail'!$R$2:$R$656,$A11)</f>
        <v>29</v>
      </c>
    </row>
    <row r="12">
      <c r="A12" s="5" t="inlineStr">
        <is>
          <t>WHITE CLAW ORIGINAL HARD SELTZER</t>
        </is>
      </c>
      <c r="B12" s="6">
        <f>COUNTIFS('Display Detail'!$R$2:$R$656,$A12,'Display Detail'!$K$2:$K$656,4)</f>
        <v>11</v>
      </c>
      <c r="C12" s="6">
        <f>COUNTIFS('Display Detail'!$R$2:$R$656,$A12,'Display Detail'!$K$2:$K$656,3)</f>
        <v>5</v>
      </c>
      <c r="D12" s="6">
        <f>COUNTIFS('Display Detail'!$R$2:$R$656,$A12,'Display Detail'!$K$2:$K$656,2)</f>
        <v>1</v>
      </c>
      <c r="E12" s="6">
        <f>COUNTIFS('Display Detail'!$R$2:$R$656,$A12,'Display Detail'!$K$2:$K$656,1)</f>
        <v>0</v>
      </c>
      <c r="F12" s="7">
        <f>COUNTIFS('Display Detail'!$R$2:$R$656,$A12,'Display Detail'!$K$2:$K$656,"&gt;0")</f>
        <v>17</v>
      </c>
      <c r="G12" s="8">
        <f>SUMIFS('Display Detail'!$M$2:$M$656,'Display Detail'!$R$2:$R$656,$A12,'Display Detail'!$K$2:$K$656,"&gt;0")</f>
        <v>1813</v>
      </c>
      <c r="H12" s="8">
        <f>SUMIFS('Display Detail'!$P$2:$P$656,'Display Detail'!$R$2:$R$656,$A12,'Display Detail'!$K$2:$K$656,"&gt;0")</f>
        <v>13800</v>
      </c>
      <c r="I12" s="6">
        <f>COUNTIFS('Display Detail'!$R$2:$R$656,$A12,'Display Detail'!$K$2:$K$656,0)</f>
        <v>0</v>
      </c>
      <c r="J12" s="6">
        <f>COUNTIF('Display Detail'!$R$2:$R$656,$A12)</f>
        <v>17</v>
      </c>
    </row>
    <row r="13">
      <c r="A13" s="5" t="inlineStr">
        <is>
          <t>WHITE CLAW SURF HARD SELTZER</t>
        </is>
      </c>
      <c r="B13" s="6">
        <f>COUNTIFS('Display Detail'!$R$2:$R$656,$A13,'Display Detail'!$K$2:$K$656,4)</f>
        <v>12</v>
      </c>
      <c r="C13" s="6">
        <f>COUNTIFS('Display Detail'!$R$2:$R$656,$A13,'Display Detail'!$K$2:$K$656,3)</f>
        <v>3</v>
      </c>
      <c r="D13" s="6">
        <f>COUNTIFS('Display Detail'!$R$2:$R$656,$A13,'Display Detail'!$K$2:$K$656,2)</f>
        <v>0</v>
      </c>
      <c r="E13" s="6">
        <f>COUNTIFS('Display Detail'!$R$2:$R$656,$A13,'Display Detail'!$K$2:$K$656,1)</f>
        <v>1</v>
      </c>
      <c r="F13" s="7">
        <f>COUNTIFS('Display Detail'!$R$2:$R$656,$A13,'Display Detail'!$K$2:$K$656,"&gt;0")</f>
        <v>16</v>
      </c>
      <c r="G13" s="8">
        <f>SUMIFS('Display Detail'!$M$2:$M$656,'Display Detail'!$R$2:$R$656,$A13,'Display Detail'!$K$2:$K$656,"&gt;0")</f>
        <v>1478</v>
      </c>
      <c r="H13" s="8">
        <f>SUMIFS('Display Detail'!$P$2:$P$656,'Display Detail'!$R$2:$R$656,$A13,'Display Detail'!$K$2:$K$656,"&gt;0")</f>
        <v>13700</v>
      </c>
      <c r="I13" s="6">
        <f>COUNTIFS('Display Detail'!$R$2:$R$656,$A13,'Display Detail'!$K$2:$K$656,0)</f>
        <v>0</v>
      </c>
      <c r="J13" s="6">
        <f>COUNTIF('Display Detail'!$R$2:$R$656,$A13)</f>
        <v>16</v>
      </c>
    </row>
    <row r="14">
      <c r="A14" s="5" t="inlineStr">
        <is>
          <t>TRULY</t>
        </is>
      </c>
      <c r="B14" s="6">
        <f>COUNTIFS('Display Detail'!$R$2:$R$656,$A14,'Display Detail'!$K$2:$K$656,4)</f>
        <v>4</v>
      </c>
      <c r="C14" s="6">
        <f>COUNTIFS('Display Detail'!$R$2:$R$656,$A14,'Display Detail'!$K$2:$K$656,3)</f>
        <v>5</v>
      </c>
      <c r="D14" s="6">
        <f>COUNTIFS('Display Detail'!$R$2:$R$656,$A14,'Display Detail'!$K$2:$K$656,2)</f>
        <v>4</v>
      </c>
      <c r="E14" s="6">
        <f>COUNTIFS('Display Detail'!$R$2:$R$656,$A14,'Display Detail'!$K$2:$K$656,1)</f>
        <v>1</v>
      </c>
      <c r="F14" s="7">
        <f>COUNTIFS('Display Detail'!$R$2:$R$656,$A14,'Display Detail'!$K$2:$K$656,"&gt;0")</f>
        <v>14</v>
      </c>
      <c r="G14" s="8">
        <f>SUMIFS('Display Detail'!$M$2:$M$656,'Display Detail'!$R$2:$R$656,$A14,'Display Detail'!$K$2:$K$656,"&gt;0")</f>
        <v>761</v>
      </c>
      <c r="H14" s="8">
        <f>SUMIFS('Display Detail'!$P$2:$P$656,'Display Detail'!$R$2:$R$656,$A14,'Display Detail'!$K$2:$K$656,"&gt;0")</f>
        <v>7900</v>
      </c>
      <c r="I14" s="6">
        <f>COUNTIFS('Display Detail'!$R$2:$R$656,$A14,'Display Detail'!$K$2:$K$656,0)</f>
        <v>0</v>
      </c>
      <c r="J14" s="6">
        <f>COUNTIF('Display Detail'!$R$2:$R$656,$A14)</f>
        <v>14</v>
      </c>
    </row>
    <row r="15">
      <c r="A15" s="5" t="inlineStr">
        <is>
          <t>SAM ADAMS SEASONAL</t>
        </is>
      </c>
      <c r="B15" s="6">
        <f>COUNTIFS('Display Detail'!$R$2:$R$656,$A15,'Display Detail'!$K$2:$K$656,4)</f>
        <v>3</v>
      </c>
      <c r="C15" s="6">
        <f>COUNTIFS('Display Detail'!$R$2:$R$656,$A15,'Display Detail'!$K$2:$K$656,3)</f>
        <v>7</v>
      </c>
      <c r="D15" s="6">
        <f>COUNTIFS('Display Detail'!$R$2:$R$656,$A15,'Display Detail'!$K$2:$K$656,2)</f>
        <v>3</v>
      </c>
      <c r="E15" s="6">
        <f>COUNTIFS('Display Detail'!$R$2:$R$656,$A15,'Display Detail'!$K$2:$K$656,1)</f>
        <v>0</v>
      </c>
      <c r="F15" s="7">
        <f>COUNTIFS('Display Detail'!$R$2:$R$656,$A15,'Display Detail'!$K$2:$K$656,"&gt;0")</f>
        <v>13</v>
      </c>
      <c r="G15" s="8">
        <f>SUMIFS('Display Detail'!$M$2:$M$656,'Display Detail'!$R$2:$R$656,$A15,'Display Detail'!$K$2:$K$656,"&gt;0")</f>
        <v>715</v>
      </c>
      <c r="H15" s="8">
        <f>SUMIFS('Display Detail'!$P$2:$P$656,'Display Detail'!$R$2:$R$656,$A15,'Display Detail'!$K$2:$K$656,"&gt;0")</f>
        <v>7400</v>
      </c>
      <c r="I15" s="6">
        <f>COUNTIFS('Display Detail'!$R$2:$R$656,$A15,'Display Detail'!$K$2:$K$656,0)</f>
        <v>0</v>
      </c>
      <c r="J15" s="6">
        <f>COUNTIF('Display Detail'!$R$2:$R$656,$A15)</f>
        <v>13</v>
      </c>
    </row>
    <row r="16">
      <c r="A16" s="5" t="inlineStr">
        <is>
          <t>CORONA</t>
        </is>
      </c>
      <c r="B16" s="6">
        <f>COUNTIFS('Display Detail'!$R$2:$R$656,$A16,'Display Detail'!$K$2:$K$656,4)</f>
        <v>5</v>
      </c>
      <c r="C16" s="6">
        <f>COUNTIFS('Display Detail'!$R$2:$R$656,$A16,'Display Detail'!$K$2:$K$656,3)</f>
        <v>5</v>
      </c>
      <c r="D16" s="6">
        <f>COUNTIFS('Display Detail'!$R$2:$R$656,$A16,'Display Detail'!$K$2:$K$656,2)</f>
        <v>1</v>
      </c>
      <c r="E16" s="6">
        <f>COUNTIFS('Display Detail'!$R$2:$R$656,$A16,'Display Detail'!$K$2:$K$656,1)</f>
        <v>1</v>
      </c>
      <c r="F16" s="7">
        <f>COUNTIFS('Display Detail'!$R$2:$R$656,$A16,'Display Detail'!$K$2:$K$656,"&gt;0")</f>
        <v>12</v>
      </c>
      <c r="G16" s="8">
        <f>SUMIFS('Display Detail'!$M$2:$M$656,'Display Detail'!$R$2:$R$656,$A16,'Display Detail'!$K$2:$K$656,"&gt;0")</f>
        <v>832</v>
      </c>
      <c r="H16" s="8">
        <f>SUMIFS('Display Detail'!$P$2:$P$656,'Display Detail'!$R$2:$R$656,$A16,'Display Detail'!$K$2:$K$656,"&gt;0")</f>
        <v>8000</v>
      </c>
      <c r="I16" s="6">
        <f>COUNTIFS('Display Detail'!$R$2:$R$656,$A16,'Display Detail'!$K$2:$K$656,0)</f>
        <v>4</v>
      </c>
      <c r="J16" s="6">
        <f>COUNTIF('Display Detail'!$R$2:$R$656,$A16)</f>
        <v>16</v>
      </c>
    </row>
    <row r="17">
      <c r="A17" s="5" t="inlineStr">
        <is>
          <t>LYTT</t>
        </is>
      </c>
      <c r="B17" s="6">
        <f>COUNTIFS('Display Detail'!$R$2:$R$656,$A17,'Display Detail'!$K$2:$K$656,4)</f>
        <v>0</v>
      </c>
      <c r="C17" s="6">
        <f>COUNTIFS('Display Detail'!$R$2:$R$656,$A17,'Display Detail'!$K$2:$K$656,3)</f>
        <v>1</v>
      </c>
      <c r="D17" s="6">
        <f>COUNTIFS('Display Detail'!$R$2:$R$656,$A17,'Display Detail'!$K$2:$K$656,2)</f>
        <v>3</v>
      </c>
      <c r="E17" s="6">
        <f>COUNTIFS('Display Detail'!$R$2:$R$656,$A17,'Display Detail'!$K$2:$K$656,1)</f>
        <v>6</v>
      </c>
      <c r="F17" s="7">
        <f>COUNTIFS('Display Detail'!$R$2:$R$656,$A17,'Display Detail'!$K$2:$K$656,"&gt;0")</f>
        <v>10</v>
      </c>
      <c r="G17" s="8">
        <f>SUMIFS('Display Detail'!$M$2:$M$656,'Display Detail'!$R$2:$R$656,$A17,'Display Detail'!$K$2:$K$656,"&gt;0")</f>
        <v>199</v>
      </c>
      <c r="H17" s="8">
        <f>SUMIFS('Display Detail'!$P$2:$P$656,'Display Detail'!$R$2:$R$656,$A17,'Display Detail'!$K$2:$K$656,"&gt;0")</f>
        <v>2600</v>
      </c>
      <c r="I17" s="6">
        <f>COUNTIFS('Display Detail'!$R$2:$R$656,$A17,'Display Detail'!$K$2:$K$656,0)</f>
        <v>60</v>
      </c>
      <c r="J17" s="6">
        <f>COUNTIF('Display Detail'!$R$2:$R$656,$A17)</f>
        <v>70</v>
      </c>
    </row>
    <row r="18">
      <c r="A18" s="5" t="inlineStr">
        <is>
          <t>PERONI NASTRO AZZURRO</t>
        </is>
      </c>
      <c r="B18" s="6">
        <f>COUNTIFS('Display Detail'!$R$2:$R$656,$A18,'Display Detail'!$K$2:$K$656,4)</f>
        <v>2</v>
      </c>
      <c r="C18" s="6">
        <f>COUNTIFS('Display Detail'!$R$2:$R$656,$A18,'Display Detail'!$K$2:$K$656,3)</f>
        <v>4</v>
      </c>
      <c r="D18" s="6">
        <f>COUNTIFS('Display Detail'!$R$2:$R$656,$A18,'Display Detail'!$K$2:$K$656,2)</f>
        <v>3</v>
      </c>
      <c r="E18" s="6">
        <f>COUNTIFS('Display Detail'!$R$2:$R$656,$A18,'Display Detail'!$K$2:$K$656,1)</f>
        <v>1</v>
      </c>
      <c r="F18" s="7">
        <f>COUNTIFS('Display Detail'!$R$2:$R$656,$A18,'Display Detail'!$K$2:$K$656,"&gt;0")</f>
        <v>10</v>
      </c>
      <c r="G18" s="8">
        <f>SUMIFS('Display Detail'!$M$2:$M$656,'Display Detail'!$R$2:$R$656,$A18,'Display Detail'!$K$2:$K$656,"&gt;0")</f>
        <v>492</v>
      </c>
      <c r="H18" s="8">
        <f>SUMIFS('Display Detail'!$P$2:$P$656,'Display Detail'!$R$2:$R$656,$A18,'Display Detail'!$K$2:$K$656,"&gt;0")</f>
        <v>5100</v>
      </c>
      <c r="I18" s="6">
        <f>COUNTIFS('Display Detail'!$R$2:$R$656,$A18,'Display Detail'!$K$2:$K$656,0)</f>
        <v>0</v>
      </c>
      <c r="J18" s="6">
        <f>COUNTIF('Display Detail'!$R$2:$R$656,$A18)</f>
        <v>10</v>
      </c>
    </row>
    <row r="19">
      <c r="A19" s="5" t="inlineStr">
        <is>
          <t>GARAGE BEER - CONTRACT BREWING</t>
        </is>
      </c>
      <c r="B19" s="6">
        <f>COUNTIFS('Display Detail'!$R$2:$R$656,$A19,'Display Detail'!$K$2:$K$656,4)</f>
        <v>0</v>
      </c>
      <c r="C19" s="6">
        <f>COUNTIFS('Display Detail'!$R$2:$R$656,$A19,'Display Detail'!$K$2:$K$656,3)</f>
        <v>0</v>
      </c>
      <c r="D19" s="6">
        <f>COUNTIFS('Display Detail'!$R$2:$R$656,$A19,'Display Detail'!$K$2:$K$656,2)</f>
        <v>3</v>
      </c>
      <c r="E19" s="6">
        <f>COUNTIFS('Display Detail'!$R$2:$R$656,$A19,'Display Detail'!$K$2:$K$656,1)</f>
        <v>5</v>
      </c>
      <c r="F19" s="7">
        <f>COUNTIFS('Display Detail'!$R$2:$R$656,$A19,'Display Detail'!$K$2:$K$656,"&gt;0")</f>
        <v>8</v>
      </c>
      <c r="G19" s="8">
        <f>SUMIFS('Display Detail'!$M$2:$M$656,'Display Detail'!$R$2:$R$656,$A19,'Display Detail'!$K$2:$K$656,"&gt;0")</f>
        <v>120</v>
      </c>
      <c r="H19" s="8">
        <f>SUMIFS('Display Detail'!$P$2:$P$656,'Display Detail'!$R$2:$R$656,$A19,'Display Detail'!$K$2:$K$656,"&gt;0")</f>
        <v>1900</v>
      </c>
      <c r="I19" s="6">
        <f>COUNTIFS('Display Detail'!$R$2:$R$656,$A19,'Display Detail'!$K$2:$K$656,0)</f>
        <v>2</v>
      </c>
      <c r="J19" s="6">
        <f>COUNTIF('Display Detail'!$R$2:$R$656,$A19)</f>
        <v>10</v>
      </c>
    </row>
    <row r="20">
      <c r="A20" s="5" t="inlineStr">
        <is>
          <t>ANGRY ORCHARD</t>
        </is>
      </c>
      <c r="B20" s="6">
        <f>COUNTIFS('Display Detail'!$R$2:$R$656,$A20,'Display Detail'!$K$2:$K$656,4)</f>
        <v>3</v>
      </c>
      <c r="C20" s="6">
        <f>COUNTIFS('Display Detail'!$R$2:$R$656,$A20,'Display Detail'!$K$2:$K$656,3)</f>
        <v>1</v>
      </c>
      <c r="D20" s="6">
        <f>COUNTIFS('Display Detail'!$R$2:$R$656,$A20,'Display Detail'!$K$2:$K$656,2)</f>
        <v>1</v>
      </c>
      <c r="E20" s="6">
        <f>COUNTIFS('Display Detail'!$R$2:$R$656,$A20,'Display Detail'!$K$2:$K$656,1)</f>
        <v>1</v>
      </c>
      <c r="F20" s="7">
        <f>COUNTIFS('Display Detail'!$R$2:$R$656,$A20,'Display Detail'!$K$2:$K$656,"&gt;0")</f>
        <v>6</v>
      </c>
      <c r="G20" s="8">
        <f>SUMIFS('Display Detail'!$M$2:$M$656,'Display Detail'!$R$2:$R$656,$A20,'Display Detail'!$K$2:$K$656,"&gt;0")</f>
        <v>315</v>
      </c>
      <c r="H20" s="8">
        <f>SUMIFS('Display Detail'!$P$2:$P$656,'Display Detail'!$R$2:$R$656,$A20,'Display Detail'!$K$2:$K$656,"&gt;0")</f>
        <v>4000</v>
      </c>
      <c r="I20" s="6">
        <f>COUNTIFS('Display Detail'!$R$2:$R$656,$A20,'Display Detail'!$K$2:$K$656,0)</f>
        <v>0</v>
      </c>
      <c r="J20" s="6">
        <f>COUNTIF('Display Detail'!$R$2:$R$656,$A20)</f>
        <v>6</v>
      </c>
    </row>
    <row r="21">
      <c r="A21" s="5" t="inlineStr">
        <is>
          <t>PACIFICO</t>
        </is>
      </c>
      <c r="B21" s="6">
        <f>COUNTIFS('Display Detail'!$R$2:$R$656,$A21,'Display Detail'!$K$2:$K$656,4)</f>
        <v>3</v>
      </c>
      <c r="C21" s="6">
        <f>COUNTIFS('Display Detail'!$R$2:$R$656,$A21,'Display Detail'!$K$2:$K$656,3)</f>
        <v>3</v>
      </c>
      <c r="D21" s="6">
        <f>COUNTIFS('Display Detail'!$R$2:$R$656,$A21,'Display Detail'!$K$2:$K$656,2)</f>
        <v>0</v>
      </c>
      <c r="E21" s="6">
        <f>COUNTIFS('Display Detail'!$R$2:$R$656,$A21,'Display Detail'!$K$2:$K$656,1)</f>
        <v>0</v>
      </c>
      <c r="F21" s="7">
        <f>COUNTIFS('Display Detail'!$R$2:$R$656,$A21,'Display Detail'!$K$2:$K$656,"&gt;0")</f>
        <v>6</v>
      </c>
      <c r="G21" s="8">
        <f>SUMIFS('Display Detail'!$M$2:$M$656,'Display Detail'!$R$2:$R$656,$A21,'Display Detail'!$K$2:$K$656,"&gt;0")</f>
        <v>360</v>
      </c>
      <c r="H21" s="8">
        <f>SUMIFS('Display Detail'!$P$2:$P$656,'Display Detail'!$R$2:$R$656,$A21,'Display Detail'!$K$2:$K$656,"&gt;0")</f>
        <v>4500</v>
      </c>
      <c r="I21" s="6">
        <f>COUNTIFS('Display Detail'!$R$2:$R$656,$A21,'Display Detail'!$K$2:$K$656,0)</f>
        <v>0</v>
      </c>
      <c r="J21" s="6">
        <f>COUNTIF('Display Detail'!$R$2:$R$656,$A21)</f>
        <v>6</v>
      </c>
    </row>
    <row r="22">
      <c r="A22" s="5" t="inlineStr">
        <is>
          <t>SUN CRUISER ICED TEA VODKA</t>
        </is>
      </c>
      <c r="B22" s="6">
        <f>COUNTIFS('Display Detail'!$R$2:$R$656,$A22,'Display Detail'!$K$2:$K$656,4)</f>
        <v>2</v>
      </c>
      <c r="C22" s="6">
        <f>COUNTIFS('Display Detail'!$R$2:$R$656,$A22,'Display Detail'!$K$2:$K$656,3)</f>
        <v>2</v>
      </c>
      <c r="D22" s="6">
        <f>COUNTIFS('Display Detail'!$R$2:$R$656,$A22,'Display Detail'!$K$2:$K$656,2)</f>
        <v>2</v>
      </c>
      <c r="E22" s="6">
        <f>COUNTIFS('Display Detail'!$R$2:$R$656,$A22,'Display Detail'!$K$2:$K$656,1)</f>
        <v>0</v>
      </c>
      <c r="F22" s="7">
        <f>COUNTIFS('Display Detail'!$R$2:$R$656,$A22,'Display Detail'!$K$2:$K$656,"&gt;0")</f>
        <v>6</v>
      </c>
      <c r="G22" s="8">
        <f>SUMIFS('Display Detail'!$M$2:$M$656,'Display Detail'!$R$2:$R$656,$A22,'Display Detail'!$K$2:$K$656,"&gt;0")</f>
        <v>318</v>
      </c>
      <c r="H22" s="8">
        <f>SUMIFS('Display Detail'!$P$2:$P$656,'Display Detail'!$R$2:$R$656,$A22,'Display Detail'!$K$2:$K$656,"&gt;0")</f>
        <v>3600</v>
      </c>
      <c r="I22" s="6">
        <f>COUNTIFS('Display Detail'!$R$2:$R$656,$A22,'Display Detail'!$K$2:$K$656,0)</f>
        <v>3</v>
      </c>
      <c r="J22" s="6">
        <f>COUNTIF('Display Detail'!$R$2:$R$656,$A22)</f>
        <v>9</v>
      </c>
    </row>
    <row r="23">
      <c r="A23" s="5" t="inlineStr">
        <is>
          <t>BLUE MOON</t>
        </is>
      </c>
      <c r="B23" s="6">
        <f>COUNTIFS('Display Detail'!$R$2:$R$656,$A23,'Display Detail'!$K$2:$K$656,4)</f>
        <v>1</v>
      </c>
      <c r="C23" s="6">
        <f>COUNTIFS('Display Detail'!$R$2:$R$656,$A23,'Display Detail'!$K$2:$K$656,3)</f>
        <v>1</v>
      </c>
      <c r="D23" s="6">
        <f>COUNTIFS('Display Detail'!$R$2:$R$656,$A23,'Display Detail'!$K$2:$K$656,2)</f>
        <v>0</v>
      </c>
      <c r="E23" s="6">
        <f>COUNTIFS('Display Detail'!$R$2:$R$656,$A23,'Display Detail'!$K$2:$K$656,1)</f>
        <v>3</v>
      </c>
      <c r="F23" s="7">
        <f>COUNTIFS('Display Detail'!$R$2:$R$656,$A23,'Display Detail'!$K$2:$K$656,"&gt;0")</f>
        <v>5</v>
      </c>
      <c r="G23" s="8">
        <f>SUMIFS('Display Detail'!$M$2:$M$656,'Display Detail'!$R$2:$R$656,$A23,'Display Detail'!$K$2:$K$656,"&gt;0")</f>
        <v>154</v>
      </c>
      <c r="H23" s="8">
        <f>SUMIFS('Display Detail'!$P$2:$P$656,'Display Detail'!$R$2:$R$656,$A23,'Display Detail'!$K$2:$K$656,"&gt;0")</f>
        <v>2100</v>
      </c>
      <c r="I23" s="6">
        <f>COUNTIFS('Display Detail'!$R$2:$R$656,$A23,'Display Detail'!$K$2:$K$656,0)</f>
        <v>6</v>
      </c>
      <c r="J23" s="6">
        <f>COUNTIF('Display Detail'!$R$2:$R$656,$A23)</f>
        <v>11</v>
      </c>
    </row>
    <row r="24">
      <c r="A24" s="5" t="inlineStr">
        <is>
          <t>LEINENKUGEL'S</t>
        </is>
      </c>
      <c r="B24" s="6">
        <f>COUNTIFS('Display Detail'!$R$2:$R$656,$A24,'Display Detail'!$K$2:$K$656,4)</f>
        <v>0</v>
      </c>
      <c r="C24" s="6">
        <f>COUNTIFS('Display Detail'!$R$2:$R$656,$A24,'Display Detail'!$K$2:$K$656,3)</f>
        <v>3</v>
      </c>
      <c r="D24" s="6">
        <f>COUNTIFS('Display Detail'!$R$2:$R$656,$A24,'Display Detail'!$K$2:$K$656,2)</f>
        <v>2</v>
      </c>
      <c r="E24" s="6">
        <f>COUNTIFS('Display Detail'!$R$2:$R$656,$A24,'Display Detail'!$K$2:$K$656,1)</f>
        <v>0</v>
      </c>
      <c r="F24" s="7">
        <f>COUNTIFS('Display Detail'!$R$2:$R$656,$A24,'Display Detail'!$K$2:$K$656,"&gt;0")</f>
        <v>5</v>
      </c>
      <c r="G24" s="8">
        <f>SUMIFS('Display Detail'!$M$2:$M$656,'Display Detail'!$R$2:$R$656,$A24,'Display Detail'!$K$2:$K$656,"&gt;0")</f>
        <v>185</v>
      </c>
      <c r="H24" s="8">
        <f>SUMIFS('Display Detail'!$P$2:$P$656,'Display Detail'!$R$2:$R$656,$A24,'Display Detail'!$K$2:$K$656,"&gt;0")</f>
        <v>2100</v>
      </c>
      <c r="I24" s="6">
        <f>COUNTIFS('Display Detail'!$R$2:$R$656,$A24,'Display Detail'!$K$2:$K$656,0)</f>
        <v>1</v>
      </c>
      <c r="J24" s="6">
        <f>COUNTIF('Display Detail'!$R$2:$R$656,$A24)</f>
        <v>6</v>
      </c>
    </row>
    <row r="25">
      <c r="A25" s="5" t="inlineStr">
        <is>
          <t>SAMUEL ADAMS</t>
        </is>
      </c>
      <c r="B25" s="6">
        <f>COUNTIFS('Display Detail'!$R$2:$R$656,$A25,'Display Detail'!$K$2:$K$656,4)</f>
        <v>0</v>
      </c>
      <c r="C25" s="6">
        <f>COUNTIFS('Display Detail'!$R$2:$R$656,$A25,'Display Detail'!$K$2:$K$656,3)</f>
        <v>1</v>
      </c>
      <c r="D25" s="6">
        <f>COUNTIFS('Display Detail'!$R$2:$R$656,$A25,'Display Detail'!$K$2:$K$656,2)</f>
        <v>4</v>
      </c>
      <c r="E25" s="6">
        <f>COUNTIFS('Display Detail'!$R$2:$R$656,$A25,'Display Detail'!$K$2:$K$656,1)</f>
        <v>0</v>
      </c>
      <c r="F25" s="7">
        <f>COUNTIFS('Display Detail'!$R$2:$R$656,$A25,'Display Detail'!$K$2:$K$656,"&gt;0")</f>
        <v>5</v>
      </c>
      <c r="G25" s="8">
        <f>SUMIFS('Display Detail'!$M$2:$M$656,'Display Detail'!$R$2:$R$656,$A25,'Display Detail'!$K$2:$K$656,"&gt;0")</f>
        <v>147</v>
      </c>
      <c r="H25" s="8">
        <f>SUMIFS('Display Detail'!$P$2:$P$656,'Display Detail'!$R$2:$R$656,$A25,'Display Detail'!$K$2:$K$656,"&gt;0")</f>
        <v>1700</v>
      </c>
      <c r="I25" s="6">
        <f>COUNTIFS('Display Detail'!$R$2:$R$656,$A25,'Display Detail'!$K$2:$K$656,0)</f>
        <v>0</v>
      </c>
      <c r="J25" s="6">
        <f>COUNTIF('Display Detail'!$R$2:$R$656,$A25)</f>
        <v>5</v>
      </c>
    </row>
    <row r="26">
      <c r="A26" s="5" t="inlineStr">
        <is>
          <t>SUN CRUISER LEMONADE</t>
        </is>
      </c>
      <c r="B26" s="6">
        <f>COUNTIFS('Display Detail'!$R$2:$R$656,$A26,'Display Detail'!$K$2:$K$656,4)</f>
        <v>2</v>
      </c>
      <c r="C26" s="6">
        <f>COUNTIFS('Display Detail'!$R$2:$R$656,$A26,'Display Detail'!$K$2:$K$656,3)</f>
        <v>1</v>
      </c>
      <c r="D26" s="6">
        <f>COUNTIFS('Display Detail'!$R$2:$R$656,$A26,'Display Detail'!$K$2:$K$656,2)</f>
        <v>2</v>
      </c>
      <c r="E26" s="6">
        <f>COUNTIFS('Display Detail'!$R$2:$R$656,$A26,'Display Detail'!$K$2:$K$656,1)</f>
        <v>0</v>
      </c>
      <c r="F26" s="7">
        <f>COUNTIFS('Display Detail'!$R$2:$R$656,$A26,'Display Detail'!$K$2:$K$656,"&gt;0")</f>
        <v>5</v>
      </c>
      <c r="G26" s="8">
        <f>SUMIFS('Display Detail'!$M$2:$M$656,'Display Detail'!$R$2:$R$656,$A26,'Display Detail'!$K$2:$K$656,"&gt;0")</f>
        <v>257</v>
      </c>
      <c r="H26" s="8">
        <f>SUMIFS('Display Detail'!$P$2:$P$656,'Display Detail'!$R$2:$R$656,$A26,'Display Detail'!$K$2:$K$656,"&gt;0")</f>
        <v>3100</v>
      </c>
      <c r="I26" s="6">
        <f>COUNTIFS('Display Detail'!$R$2:$R$656,$A26,'Display Detail'!$K$2:$K$656,0)</f>
        <v>0</v>
      </c>
      <c r="J26" s="6">
        <f>COUNTIF('Display Detail'!$R$2:$R$656,$A26)</f>
        <v>5</v>
      </c>
    </row>
    <row r="27">
      <c r="A27" s="5" t="inlineStr">
        <is>
          <t>TRULY HARD SELTZER</t>
        </is>
      </c>
      <c r="B27" s="6">
        <f>COUNTIFS('Display Detail'!$R$2:$R$656,$A27,'Display Detail'!$K$2:$K$656,4)</f>
        <v>2</v>
      </c>
      <c r="C27" s="6">
        <f>COUNTIFS('Display Detail'!$R$2:$R$656,$A27,'Display Detail'!$K$2:$K$656,3)</f>
        <v>2</v>
      </c>
      <c r="D27" s="6">
        <f>COUNTIFS('Display Detail'!$R$2:$R$656,$A27,'Display Detail'!$K$2:$K$656,2)</f>
        <v>0</v>
      </c>
      <c r="E27" s="6">
        <f>COUNTIFS('Display Detail'!$R$2:$R$656,$A27,'Display Detail'!$K$2:$K$656,1)</f>
        <v>0</v>
      </c>
      <c r="F27" s="7">
        <f>COUNTIFS('Display Detail'!$R$2:$R$656,$A27,'Display Detail'!$K$2:$K$656,"&gt;0")</f>
        <v>4</v>
      </c>
      <c r="G27" s="8">
        <f>SUMIFS('Display Detail'!$M$2:$M$656,'Display Detail'!$R$2:$R$656,$A27,'Display Detail'!$K$2:$K$656,"&gt;0")</f>
        <v>290</v>
      </c>
      <c r="H27" s="8">
        <f>SUMIFS('Display Detail'!$P$2:$P$656,'Display Detail'!$R$2:$R$656,$A27,'Display Detail'!$K$2:$K$656,"&gt;0")</f>
        <v>3000</v>
      </c>
      <c r="I27" s="6">
        <f>COUNTIFS('Display Detail'!$R$2:$R$656,$A27,'Display Detail'!$K$2:$K$656,0)</f>
        <v>0</v>
      </c>
      <c r="J27" s="6">
        <f>COUNTIF('Display Detail'!$R$2:$R$656,$A27)</f>
        <v>4</v>
      </c>
    </row>
    <row r="28">
      <c r="A28" s="5" t="inlineStr">
        <is>
          <t>YUENGLING BREWERY</t>
        </is>
      </c>
      <c r="B28" s="6">
        <f>COUNTIFS('Display Detail'!$R$2:$R$656,$A28,'Display Detail'!$K$2:$K$656,4)</f>
        <v>2</v>
      </c>
      <c r="C28" s="6">
        <f>COUNTIFS('Display Detail'!$R$2:$R$656,$A28,'Display Detail'!$K$2:$K$656,3)</f>
        <v>0</v>
      </c>
      <c r="D28" s="6">
        <f>COUNTIFS('Display Detail'!$R$2:$R$656,$A28,'Display Detail'!$K$2:$K$656,2)</f>
        <v>1</v>
      </c>
      <c r="E28" s="6">
        <f>COUNTIFS('Display Detail'!$R$2:$R$656,$A28,'Display Detail'!$K$2:$K$656,1)</f>
        <v>1</v>
      </c>
      <c r="F28" s="7">
        <f>COUNTIFS('Display Detail'!$R$2:$R$656,$A28,'Display Detail'!$K$2:$K$656,"&gt;0")</f>
        <v>4</v>
      </c>
      <c r="G28" s="8">
        <f>SUMIFS('Display Detail'!$M$2:$M$656,'Display Detail'!$R$2:$R$656,$A28,'Display Detail'!$K$2:$K$656,"&gt;0")</f>
        <v>197</v>
      </c>
      <c r="H28" s="8">
        <f>SUMIFS('Display Detail'!$P$2:$P$656,'Display Detail'!$R$2:$R$656,$A28,'Display Detail'!$K$2:$K$656,"&gt;0")</f>
        <v>2100</v>
      </c>
      <c r="I28" s="6">
        <f>COUNTIFS('Display Detail'!$R$2:$R$656,$A28,'Display Detail'!$K$2:$K$656,0)</f>
        <v>1</v>
      </c>
      <c r="J28" s="6">
        <f>COUNTIF('Display Detail'!$R$2:$R$656,$A28)</f>
        <v>5</v>
      </c>
    </row>
    <row r="29">
      <c r="A29" s="5" t="inlineStr">
        <is>
          <t>CAYMAN JACK</t>
        </is>
      </c>
      <c r="B29" s="6">
        <f>COUNTIFS('Display Detail'!$R$2:$R$656,$A29,'Display Detail'!$K$2:$K$656,4)</f>
        <v>0</v>
      </c>
      <c r="C29" s="6">
        <f>COUNTIFS('Display Detail'!$R$2:$R$656,$A29,'Display Detail'!$K$2:$K$656,3)</f>
        <v>2</v>
      </c>
      <c r="D29" s="6">
        <f>COUNTIFS('Display Detail'!$R$2:$R$656,$A29,'Display Detail'!$K$2:$K$656,2)</f>
        <v>1</v>
      </c>
      <c r="E29" s="6">
        <f>COUNTIFS('Display Detail'!$R$2:$R$656,$A29,'Display Detail'!$K$2:$K$656,1)</f>
        <v>0</v>
      </c>
      <c r="F29" s="7">
        <f>COUNTIFS('Display Detail'!$R$2:$R$656,$A29,'Display Detail'!$K$2:$K$656,"&gt;0")</f>
        <v>3</v>
      </c>
      <c r="G29" s="8">
        <f>SUMIFS('Display Detail'!$M$2:$M$656,'Display Detail'!$R$2:$R$656,$A29,'Display Detail'!$K$2:$K$656,"&gt;0")</f>
        <v>118</v>
      </c>
      <c r="H29" s="8">
        <f>SUMIFS('Display Detail'!$P$2:$P$656,'Display Detail'!$R$2:$R$656,$A29,'Display Detail'!$K$2:$K$656,"&gt;0")</f>
        <v>1300</v>
      </c>
      <c r="I29" s="6">
        <f>COUNTIFS('Display Detail'!$R$2:$R$656,$A29,'Display Detail'!$K$2:$K$656,0)</f>
        <v>1</v>
      </c>
      <c r="J29" s="6">
        <f>COUNTIF('Display Detail'!$R$2:$R$656,$A29)</f>
        <v>4</v>
      </c>
    </row>
    <row r="30">
      <c r="A30" s="5" t="inlineStr">
        <is>
          <t>CERVEZA VICTORIA</t>
        </is>
      </c>
      <c r="B30" s="6">
        <f>COUNTIFS('Display Detail'!$R$2:$R$656,$A30,'Display Detail'!$K$2:$K$656,4)</f>
        <v>2</v>
      </c>
      <c r="C30" s="6">
        <f>COUNTIFS('Display Detail'!$R$2:$R$656,$A30,'Display Detail'!$K$2:$K$656,3)</f>
        <v>1</v>
      </c>
      <c r="D30" s="6">
        <f>COUNTIFS('Display Detail'!$R$2:$R$656,$A30,'Display Detail'!$K$2:$K$656,2)</f>
        <v>0</v>
      </c>
      <c r="E30" s="6">
        <f>COUNTIFS('Display Detail'!$R$2:$R$656,$A30,'Display Detail'!$K$2:$K$656,1)</f>
        <v>0</v>
      </c>
      <c r="F30" s="7">
        <f>COUNTIFS('Display Detail'!$R$2:$R$656,$A30,'Display Detail'!$K$2:$K$656,"&gt;0")</f>
        <v>3</v>
      </c>
      <c r="G30" s="8">
        <f>SUMIFS('Display Detail'!$M$2:$M$656,'Display Detail'!$R$2:$R$656,$A30,'Display Detail'!$K$2:$K$656,"&gt;0")</f>
        <v>240</v>
      </c>
      <c r="H30" s="8">
        <f>SUMIFS('Display Detail'!$P$2:$P$656,'Display Detail'!$R$2:$R$656,$A30,'Display Detail'!$K$2:$K$656,"&gt;0")</f>
        <v>2500</v>
      </c>
      <c r="I30" s="6">
        <f>COUNTIFS('Display Detail'!$R$2:$R$656,$A30,'Display Detail'!$K$2:$K$656,0)</f>
        <v>0</v>
      </c>
      <c r="J30" s="6">
        <f>COUNTIF('Display Detail'!$R$2:$R$656,$A30)</f>
        <v>3</v>
      </c>
    </row>
    <row r="31">
      <c r="A31" s="5" t="inlineStr">
        <is>
          <t>DOS EQUIS</t>
        </is>
      </c>
      <c r="B31" s="6">
        <f>COUNTIFS('Display Detail'!$R$2:$R$656,$A31,'Display Detail'!$K$2:$K$656,4)</f>
        <v>0</v>
      </c>
      <c r="C31" s="6">
        <f>COUNTIFS('Display Detail'!$R$2:$R$656,$A31,'Display Detail'!$K$2:$K$656,3)</f>
        <v>0</v>
      </c>
      <c r="D31" s="6">
        <f>COUNTIFS('Display Detail'!$R$2:$R$656,$A31,'Display Detail'!$K$2:$K$656,2)</f>
        <v>1</v>
      </c>
      <c r="E31" s="6">
        <f>COUNTIFS('Display Detail'!$R$2:$R$656,$A31,'Display Detail'!$K$2:$K$656,1)</f>
        <v>2</v>
      </c>
      <c r="F31" s="7">
        <f>COUNTIFS('Display Detail'!$R$2:$R$656,$A31,'Display Detail'!$K$2:$K$656,"&gt;0")</f>
        <v>3</v>
      </c>
      <c r="G31" s="8">
        <f>SUMIFS('Display Detail'!$M$2:$M$656,'Display Detail'!$R$2:$R$656,$A31,'Display Detail'!$K$2:$K$656,"&gt;0")</f>
        <v>63</v>
      </c>
      <c r="H31" s="8">
        <f>SUMIFS('Display Detail'!$P$2:$P$656,'Display Detail'!$R$2:$R$656,$A31,'Display Detail'!$K$2:$K$656,"&gt;0")</f>
        <v>700</v>
      </c>
      <c r="I31" s="6">
        <f>COUNTIFS('Display Detail'!$R$2:$R$656,$A31,'Display Detail'!$K$2:$K$656,0)</f>
        <v>1</v>
      </c>
      <c r="J31" s="6">
        <f>COUNTIF('Display Detail'!$R$2:$R$656,$A31)</f>
        <v>4</v>
      </c>
    </row>
    <row r="32">
      <c r="A32" s="5" t="inlineStr">
        <is>
          <t>FAMOSA</t>
        </is>
      </c>
      <c r="B32" s="6">
        <f>COUNTIFS('Display Detail'!$R$2:$R$656,$A32,'Display Detail'!$K$2:$K$656,4)</f>
        <v>0</v>
      </c>
      <c r="C32" s="6">
        <f>COUNTIFS('Display Detail'!$R$2:$R$656,$A32,'Display Detail'!$K$2:$K$656,3)</f>
        <v>0</v>
      </c>
      <c r="D32" s="6">
        <f>COUNTIFS('Display Detail'!$R$2:$R$656,$A32,'Display Detail'!$K$2:$K$656,2)</f>
        <v>2</v>
      </c>
      <c r="E32" s="6">
        <f>COUNTIFS('Display Detail'!$R$2:$R$656,$A32,'Display Detail'!$K$2:$K$656,1)</f>
        <v>1</v>
      </c>
      <c r="F32" s="7">
        <f>COUNTIFS('Display Detail'!$R$2:$R$656,$A32,'Display Detail'!$K$2:$K$656,"&gt;0")</f>
        <v>3</v>
      </c>
      <c r="G32" s="8">
        <f>SUMIFS('Display Detail'!$M$2:$M$656,'Display Detail'!$R$2:$R$656,$A32,'Display Detail'!$K$2:$K$656,"&gt;0")</f>
        <v>61</v>
      </c>
      <c r="H32" s="8">
        <f>SUMIFS('Display Detail'!$P$2:$P$656,'Display Detail'!$R$2:$R$656,$A32,'Display Detail'!$K$2:$K$656,"&gt;0")</f>
        <v>500</v>
      </c>
      <c r="I32" s="6">
        <f>COUNTIFS('Display Detail'!$R$2:$R$656,$A32,'Display Detail'!$K$2:$K$656,0)</f>
        <v>4</v>
      </c>
      <c r="J32" s="6">
        <f>COUNTIF('Display Detail'!$R$2:$R$656,$A32)</f>
        <v>7</v>
      </c>
    </row>
    <row r="33">
      <c r="A33" s="5" t="inlineStr">
        <is>
          <t>KEYSTONE BEER</t>
        </is>
      </c>
      <c r="B33" s="6">
        <f>COUNTIFS('Display Detail'!$R$2:$R$656,$A33,'Display Detail'!$K$2:$K$656,4)</f>
        <v>1</v>
      </c>
      <c r="C33" s="6">
        <f>COUNTIFS('Display Detail'!$R$2:$R$656,$A33,'Display Detail'!$K$2:$K$656,3)</f>
        <v>0</v>
      </c>
      <c r="D33" s="6">
        <f>COUNTIFS('Display Detail'!$R$2:$R$656,$A33,'Display Detail'!$K$2:$K$656,2)</f>
        <v>1</v>
      </c>
      <c r="E33" s="6">
        <f>COUNTIFS('Display Detail'!$R$2:$R$656,$A33,'Display Detail'!$K$2:$K$656,1)</f>
        <v>1</v>
      </c>
      <c r="F33" s="7">
        <f>COUNTIFS('Display Detail'!$R$2:$R$656,$A33,'Display Detail'!$K$2:$K$656,"&gt;0")</f>
        <v>3</v>
      </c>
      <c r="G33" s="8">
        <f>SUMIFS('Display Detail'!$M$2:$M$656,'Display Detail'!$R$2:$R$656,$A33,'Display Detail'!$K$2:$K$656,"&gt;0")</f>
        <v>110</v>
      </c>
      <c r="H33" s="8">
        <f>SUMIFS('Display Detail'!$P$2:$P$656,'Display Detail'!$R$2:$R$656,$A33,'Display Detail'!$K$2:$K$656,"&gt;0")</f>
        <v>1500</v>
      </c>
      <c r="I33" s="6">
        <f>COUNTIFS('Display Detail'!$R$2:$R$656,$A33,'Display Detail'!$K$2:$K$656,0)</f>
        <v>0</v>
      </c>
      <c r="J33" s="6">
        <f>COUNTIF('Display Detail'!$R$2:$R$656,$A33)</f>
        <v>3</v>
      </c>
    </row>
    <row r="34">
      <c r="A34" s="5" t="inlineStr">
        <is>
          <t>KIRIN ICHIBAN</t>
        </is>
      </c>
      <c r="B34" s="6">
        <f>COUNTIFS('Display Detail'!$R$2:$R$656,$A34,'Display Detail'!$K$2:$K$656,4)</f>
        <v>3</v>
      </c>
      <c r="C34" s="6">
        <f>COUNTIFS('Display Detail'!$R$2:$R$656,$A34,'Display Detail'!$K$2:$K$656,3)</f>
        <v>0</v>
      </c>
      <c r="D34" s="6">
        <f>COUNTIFS('Display Detail'!$R$2:$R$656,$A34,'Display Detail'!$K$2:$K$656,2)</f>
        <v>0</v>
      </c>
      <c r="E34" s="6">
        <f>COUNTIFS('Display Detail'!$R$2:$R$656,$A34,'Display Detail'!$K$2:$K$656,1)</f>
        <v>0</v>
      </c>
      <c r="F34" s="7">
        <f>COUNTIFS('Display Detail'!$R$2:$R$656,$A34,'Display Detail'!$K$2:$K$656,"&gt;0")</f>
        <v>3</v>
      </c>
      <c r="G34" s="8">
        <f>SUMIFS('Display Detail'!$M$2:$M$656,'Display Detail'!$R$2:$R$656,$A34,'Display Detail'!$K$2:$K$656,"&gt;0")</f>
        <v>300</v>
      </c>
      <c r="H34" s="8">
        <f>SUMIFS('Display Detail'!$P$2:$P$656,'Display Detail'!$R$2:$R$656,$A34,'Display Detail'!$K$2:$K$656,"&gt;0")</f>
        <v>1800</v>
      </c>
      <c r="I34" s="6">
        <f>COUNTIFS('Display Detail'!$R$2:$R$656,$A34,'Display Detail'!$K$2:$K$656,0)</f>
        <v>0</v>
      </c>
      <c r="J34" s="6">
        <f>COUNTIF('Display Detail'!$R$2:$R$656,$A34)</f>
        <v>3</v>
      </c>
    </row>
    <row r="35">
      <c r="A35" s="5" t="inlineStr">
        <is>
          <t>MODELO ORO</t>
        </is>
      </c>
      <c r="B35" s="6">
        <f>COUNTIFS('Display Detail'!$R$2:$R$656,$A35,'Display Detail'!$K$2:$K$656,4)</f>
        <v>0</v>
      </c>
      <c r="C35" s="6">
        <f>COUNTIFS('Display Detail'!$R$2:$R$656,$A35,'Display Detail'!$K$2:$K$656,3)</f>
        <v>1</v>
      </c>
      <c r="D35" s="6">
        <f>COUNTIFS('Display Detail'!$R$2:$R$656,$A35,'Display Detail'!$K$2:$K$656,2)</f>
        <v>2</v>
      </c>
      <c r="E35" s="6">
        <f>COUNTIFS('Display Detail'!$R$2:$R$656,$A35,'Display Detail'!$K$2:$K$656,1)</f>
        <v>0</v>
      </c>
      <c r="F35" s="7">
        <f>COUNTIFS('Display Detail'!$R$2:$R$656,$A35,'Display Detail'!$K$2:$K$656,"&gt;0")</f>
        <v>3</v>
      </c>
      <c r="G35" s="8">
        <f>SUMIFS('Display Detail'!$M$2:$M$656,'Display Detail'!$R$2:$R$656,$A35,'Display Detail'!$K$2:$K$656,"&gt;0")</f>
        <v>104</v>
      </c>
      <c r="H35" s="8">
        <f>SUMIFS('Display Detail'!$P$2:$P$656,'Display Detail'!$R$2:$R$656,$A35,'Display Detail'!$K$2:$K$656,"&gt;0")</f>
        <v>1100</v>
      </c>
      <c r="I35" s="6">
        <f>COUNTIFS('Display Detail'!$R$2:$R$656,$A35,'Display Detail'!$K$2:$K$656,0)</f>
        <v>0</v>
      </c>
      <c r="J35" s="6">
        <f>COUNTIF('Display Detail'!$R$2:$R$656,$A35)</f>
        <v>3</v>
      </c>
    </row>
    <row r="36">
      <c r="A36" s="5" t="inlineStr">
        <is>
          <t>NOCA</t>
        </is>
      </c>
      <c r="B36" s="6">
        <f>COUNTIFS('Display Detail'!$R$2:$R$656,$A36,'Display Detail'!$K$2:$K$656,4)</f>
        <v>1</v>
      </c>
      <c r="C36" s="6">
        <f>COUNTIFS('Display Detail'!$R$2:$R$656,$A36,'Display Detail'!$K$2:$K$656,3)</f>
        <v>2</v>
      </c>
      <c r="D36" s="6">
        <f>COUNTIFS('Display Detail'!$R$2:$R$656,$A36,'Display Detail'!$K$2:$K$656,2)</f>
        <v>0</v>
      </c>
      <c r="E36" s="6">
        <f>COUNTIFS('Display Detail'!$R$2:$R$656,$A36,'Display Detail'!$K$2:$K$656,1)</f>
        <v>0</v>
      </c>
      <c r="F36" s="7">
        <f>COUNTIFS('Display Detail'!$R$2:$R$656,$A36,'Display Detail'!$K$2:$K$656,"&gt;0")</f>
        <v>3</v>
      </c>
      <c r="G36" s="8">
        <f>SUMIFS('Display Detail'!$M$2:$M$656,'Display Detail'!$R$2:$R$656,$A36,'Display Detail'!$K$2:$K$656,"&gt;0")</f>
        <v>170</v>
      </c>
      <c r="H36" s="8">
        <f>SUMIFS('Display Detail'!$P$2:$P$656,'Display Detail'!$R$2:$R$656,$A36,'Display Detail'!$K$2:$K$656,"&gt;0")</f>
        <v>1200</v>
      </c>
      <c r="I36" s="6">
        <f>COUNTIFS('Display Detail'!$R$2:$R$656,$A36,'Display Detail'!$K$2:$K$656,0)</f>
        <v>0</v>
      </c>
      <c r="J36" s="6">
        <f>COUNTIF('Display Detail'!$R$2:$R$656,$A36)</f>
        <v>3</v>
      </c>
    </row>
    <row r="37">
      <c r="A37" s="5" t="inlineStr">
        <is>
          <t>PAULANER</t>
        </is>
      </c>
      <c r="B37" s="6">
        <f>COUNTIFS('Display Detail'!$R$2:$R$656,$A37,'Display Detail'!$K$2:$K$656,4)</f>
        <v>1</v>
      </c>
      <c r="C37" s="6">
        <f>COUNTIFS('Display Detail'!$R$2:$R$656,$A37,'Display Detail'!$K$2:$K$656,3)</f>
        <v>1</v>
      </c>
      <c r="D37" s="6">
        <f>COUNTIFS('Display Detail'!$R$2:$R$656,$A37,'Display Detail'!$K$2:$K$656,2)</f>
        <v>1</v>
      </c>
      <c r="E37" s="6">
        <f>COUNTIFS('Display Detail'!$R$2:$R$656,$A37,'Display Detail'!$K$2:$K$656,1)</f>
        <v>0</v>
      </c>
      <c r="F37" s="7">
        <f>COUNTIFS('Display Detail'!$R$2:$R$656,$A37,'Display Detail'!$K$2:$K$656,"&gt;0")</f>
        <v>3</v>
      </c>
      <c r="G37" s="8">
        <f>SUMIFS('Display Detail'!$M$2:$M$656,'Display Detail'!$R$2:$R$656,$A37,'Display Detail'!$K$2:$K$656,"&gt;0")</f>
        <v>177</v>
      </c>
      <c r="H37" s="8">
        <f>SUMIFS('Display Detail'!$P$2:$P$656,'Display Detail'!$R$2:$R$656,$A37,'Display Detail'!$K$2:$K$656,"&gt;0")</f>
        <v>1100</v>
      </c>
      <c r="I37" s="6">
        <f>COUNTIFS('Display Detail'!$R$2:$R$656,$A37,'Display Detail'!$K$2:$K$656,0)</f>
        <v>0</v>
      </c>
      <c r="J37" s="6">
        <f>COUNTIF('Display Detail'!$R$2:$R$656,$A37)</f>
        <v>3</v>
      </c>
    </row>
    <row r="38">
      <c r="A38" s="5" t="inlineStr">
        <is>
          <t>ATHLETIC BREWING COMPANY</t>
        </is>
      </c>
      <c r="B38" s="6">
        <f>COUNTIFS('Display Detail'!$R$2:$R$656,$A38,'Display Detail'!$K$2:$K$656,4)</f>
        <v>0</v>
      </c>
      <c r="C38" s="6">
        <f>COUNTIFS('Display Detail'!$R$2:$R$656,$A38,'Display Detail'!$K$2:$K$656,3)</f>
        <v>0</v>
      </c>
      <c r="D38" s="6">
        <f>COUNTIFS('Display Detail'!$R$2:$R$656,$A38,'Display Detail'!$K$2:$K$656,2)</f>
        <v>1</v>
      </c>
      <c r="E38" s="6">
        <f>COUNTIFS('Display Detail'!$R$2:$R$656,$A38,'Display Detail'!$K$2:$K$656,1)</f>
        <v>1</v>
      </c>
      <c r="F38" s="7">
        <f>COUNTIFS('Display Detail'!$R$2:$R$656,$A38,'Display Detail'!$K$2:$K$656,"&gt;0")</f>
        <v>2</v>
      </c>
      <c r="G38" s="8">
        <f>SUMIFS('Display Detail'!$M$2:$M$656,'Display Detail'!$R$2:$R$656,$A38,'Display Detail'!$K$2:$K$656,"&gt;0")</f>
        <v>48</v>
      </c>
      <c r="H38" s="8">
        <f>SUMIFS('Display Detail'!$P$2:$P$656,'Display Detail'!$R$2:$R$656,$A38,'Display Detail'!$K$2:$K$656,"&gt;0")</f>
        <v>300</v>
      </c>
      <c r="I38" s="6">
        <f>COUNTIFS('Display Detail'!$R$2:$R$656,$A38,'Display Detail'!$K$2:$K$656,0)</f>
        <v>0</v>
      </c>
      <c r="J38" s="6">
        <f>COUNTIF('Display Detail'!$R$2:$R$656,$A38)</f>
        <v>2</v>
      </c>
    </row>
    <row r="39">
      <c r="A39" s="5" t="inlineStr">
        <is>
          <t>CARBLISS</t>
        </is>
      </c>
      <c r="B39" s="6">
        <f>COUNTIFS('Display Detail'!$R$2:$R$656,$A39,'Display Detail'!$K$2:$K$656,4)</f>
        <v>0</v>
      </c>
      <c r="C39" s="6">
        <f>COUNTIFS('Display Detail'!$R$2:$R$656,$A39,'Display Detail'!$K$2:$K$656,3)</f>
        <v>0</v>
      </c>
      <c r="D39" s="6">
        <f>COUNTIFS('Display Detail'!$R$2:$R$656,$A39,'Display Detail'!$K$2:$K$656,2)</f>
        <v>0</v>
      </c>
      <c r="E39" s="6">
        <f>COUNTIFS('Display Detail'!$R$2:$R$656,$A39,'Display Detail'!$K$2:$K$656,1)</f>
        <v>2</v>
      </c>
      <c r="F39" s="7">
        <f>COUNTIFS('Display Detail'!$R$2:$R$656,$A39,'Display Detail'!$K$2:$K$656,"&gt;0")</f>
        <v>2</v>
      </c>
      <c r="G39" s="8">
        <f>SUMIFS('Display Detail'!$M$2:$M$656,'Display Detail'!$R$2:$R$656,$A39,'Display Detail'!$K$2:$K$656,"&gt;0")</f>
        <v>22</v>
      </c>
      <c r="H39" s="8">
        <f>SUMIFS('Display Detail'!$P$2:$P$656,'Display Detail'!$R$2:$R$656,$A39,'Display Detail'!$K$2:$K$656,"&gt;0")</f>
        <v>400</v>
      </c>
      <c r="I39" s="6">
        <f>COUNTIFS('Display Detail'!$R$2:$R$656,$A39,'Display Detail'!$K$2:$K$656,0)</f>
        <v>5</v>
      </c>
      <c r="J39" s="6">
        <f>COUNTIF('Display Detail'!$R$2:$R$656,$A39)</f>
        <v>7</v>
      </c>
    </row>
    <row r="40">
      <c r="A40" s="5" t="inlineStr">
        <is>
          <t>MODELO CHELADA</t>
        </is>
      </c>
      <c r="B40" s="6">
        <f>COUNTIFS('Display Detail'!$R$2:$R$656,$A40,'Display Detail'!$K$2:$K$656,4)</f>
        <v>1</v>
      </c>
      <c r="C40" s="6">
        <f>COUNTIFS('Display Detail'!$R$2:$R$656,$A40,'Display Detail'!$K$2:$K$656,3)</f>
        <v>0</v>
      </c>
      <c r="D40" s="6">
        <f>COUNTIFS('Display Detail'!$R$2:$R$656,$A40,'Display Detail'!$K$2:$K$656,2)</f>
        <v>0</v>
      </c>
      <c r="E40" s="6">
        <f>COUNTIFS('Display Detail'!$R$2:$R$656,$A40,'Display Detail'!$K$2:$K$656,1)</f>
        <v>1</v>
      </c>
      <c r="F40" s="7">
        <f>COUNTIFS('Display Detail'!$R$2:$R$656,$A40,'Display Detail'!$K$2:$K$656,"&gt;0")</f>
        <v>2</v>
      </c>
      <c r="G40" s="8">
        <f>SUMIFS('Display Detail'!$M$2:$M$656,'Display Detail'!$R$2:$R$656,$A40,'Display Detail'!$K$2:$K$656,"&gt;0")</f>
        <v>97</v>
      </c>
      <c r="H40" s="8">
        <f>SUMIFS('Display Detail'!$P$2:$P$656,'Display Detail'!$R$2:$R$656,$A40,'Display Detail'!$K$2:$K$656,"&gt;0")</f>
        <v>1200</v>
      </c>
      <c r="I40" s="6">
        <f>COUNTIFS('Display Detail'!$R$2:$R$656,$A40,'Display Detail'!$K$2:$K$656,0)</f>
        <v>0</v>
      </c>
      <c r="J40" s="6">
        <f>COUNTIF('Display Detail'!$R$2:$R$656,$A40)</f>
        <v>2</v>
      </c>
    </row>
    <row r="41">
      <c r="A41" s="5" t="inlineStr">
        <is>
          <t>SAPPORO</t>
        </is>
      </c>
      <c r="B41" s="6">
        <f>COUNTIFS('Display Detail'!$R$2:$R$656,$A41,'Display Detail'!$K$2:$K$656,4)</f>
        <v>1</v>
      </c>
      <c r="C41" s="6">
        <f>COUNTIFS('Display Detail'!$R$2:$R$656,$A41,'Display Detail'!$K$2:$K$656,3)</f>
        <v>1</v>
      </c>
      <c r="D41" s="6">
        <f>COUNTIFS('Display Detail'!$R$2:$R$656,$A41,'Display Detail'!$K$2:$K$656,2)</f>
        <v>0</v>
      </c>
      <c r="E41" s="6">
        <f>COUNTIFS('Display Detail'!$R$2:$R$656,$A41,'Display Detail'!$K$2:$K$656,1)</f>
        <v>0</v>
      </c>
      <c r="F41" s="7">
        <f>COUNTIFS('Display Detail'!$R$2:$R$656,$A41,'Display Detail'!$K$2:$K$656,"&gt;0")</f>
        <v>2</v>
      </c>
      <c r="G41" s="8">
        <f>SUMIFS('Display Detail'!$M$2:$M$656,'Display Detail'!$R$2:$R$656,$A41,'Display Detail'!$K$2:$K$656,"&gt;0")</f>
        <v>150</v>
      </c>
      <c r="H41" s="8">
        <f>SUMIFS('Display Detail'!$P$2:$P$656,'Display Detail'!$R$2:$R$656,$A41,'Display Detail'!$K$2:$K$656,"&gt;0")</f>
        <v>1500</v>
      </c>
      <c r="I41" s="6">
        <f>COUNTIFS('Display Detail'!$R$2:$R$656,$A41,'Display Detail'!$K$2:$K$656,0)</f>
        <v>1</v>
      </c>
      <c r="J41" s="6">
        <f>COUNTIF('Display Detail'!$R$2:$R$656,$A41)</f>
        <v>3</v>
      </c>
    </row>
    <row r="42">
      <c r="A42" s="5" t="inlineStr">
        <is>
          <t>SOUTHERN TIER BREWING COMPANY</t>
        </is>
      </c>
      <c r="B42" s="6">
        <f>COUNTIFS('Display Detail'!$R$2:$R$656,$A42,'Display Detail'!$K$2:$K$656,4)</f>
        <v>0</v>
      </c>
      <c r="C42" s="6">
        <f>COUNTIFS('Display Detail'!$R$2:$R$656,$A42,'Display Detail'!$K$2:$K$656,3)</f>
        <v>1</v>
      </c>
      <c r="D42" s="6">
        <f>COUNTIFS('Display Detail'!$R$2:$R$656,$A42,'Display Detail'!$K$2:$K$656,2)</f>
        <v>1</v>
      </c>
      <c r="E42" s="6">
        <f>COUNTIFS('Display Detail'!$R$2:$R$656,$A42,'Display Detail'!$K$2:$K$656,1)</f>
        <v>0</v>
      </c>
      <c r="F42" s="7">
        <f>COUNTIFS('Display Detail'!$R$2:$R$656,$A42,'Display Detail'!$K$2:$K$656,"&gt;0")</f>
        <v>2</v>
      </c>
      <c r="G42" s="8">
        <f>SUMIFS('Display Detail'!$M$2:$M$656,'Display Detail'!$R$2:$R$656,$A42,'Display Detail'!$K$2:$K$656,"&gt;0")</f>
        <v>70</v>
      </c>
      <c r="H42" s="8">
        <f>SUMIFS('Display Detail'!$P$2:$P$656,'Display Detail'!$R$2:$R$656,$A42,'Display Detail'!$K$2:$K$656,"&gt;0")</f>
        <v>500</v>
      </c>
      <c r="I42" s="6">
        <f>COUNTIFS('Display Detail'!$R$2:$R$656,$A42,'Display Detail'!$K$2:$K$656,0)</f>
        <v>0</v>
      </c>
      <c r="J42" s="6">
        <f>COUNTIF('Display Detail'!$R$2:$R$656,$A42)</f>
        <v>2</v>
      </c>
    </row>
    <row r="43">
      <c r="A43" s="5" t="inlineStr">
        <is>
          <t>CARIB BREWERY</t>
        </is>
      </c>
      <c r="B43" s="6">
        <f>COUNTIFS('Display Detail'!$R$2:$R$656,$A43,'Display Detail'!$K$2:$K$656,4)</f>
        <v>0</v>
      </c>
      <c r="C43" s="6">
        <f>COUNTIFS('Display Detail'!$R$2:$R$656,$A43,'Display Detail'!$K$2:$K$656,3)</f>
        <v>0</v>
      </c>
      <c r="D43" s="6">
        <f>COUNTIFS('Display Detail'!$R$2:$R$656,$A43,'Display Detail'!$K$2:$K$656,2)</f>
        <v>1</v>
      </c>
      <c r="E43" s="6">
        <f>COUNTIFS('Display Detail'!$R$2:$R$656,$A43,'Display Detail'!$K$2:$K$656,1)</f>
        <v>0</v>
      </c>
      <c r="F43" s="7">
        <f>COUNTIFS('Display Detail'!$R$2:$R$656,$A43,'Display Detail'!$K$2:$K$656,"&gt;0")</f>
        <v>1</v>
      </c>
      <c r="G43" s="8">
        <f>SUMIFS('Display Detail'!$M$2:$M$656,'Display Detail'!$R$2:$R$656,$A43,'Display Detail'!$K$2:$K$656,"&gt;0")</f>
        <v>38</v>
      </c>
      <c r="H43" s="8">
        <f>SUMIFS('Display Detail'!$P$2:$P$656,'Display Detail'!$R$2:$R$656,$A43,'Display Detail'!$K$2:$K$656,"&gt;0")</f>
        <v>200</v>
      </c>
      <c r="I43" s="6">
        <f>COUNTIFS('Display Detail'!$R$2:$R$656,$A43,'Display Detail'!$K$2:$K$656,0)</f>
        <v>0</v>
      </c>
      <c r="J43" s="6">
        <f>COUNTIF('Display Detail'!$R$2:$R$656,$A43)</f>
        <v>1</v>
      </c>
    </row>
    <row r="44">
      <c r="A44" s="5" t="inlineStr">
        <is>
          <t>COORS</t>
        </is>
      </c>
      <c r="B44" s="6">
        <f>COUNTIFS('Display Detail'!$R$2:$R$656,$A44,'Display Detail'!$K$2:$K$656,4)</f>
        <v>1</v>
      </c>
      <c r="C44" s="6">
        <f>COUNTIFS('Display Detail'!$R$2:$R$656,$A44,'Display Detail'!$K$2:$K$656,3)</f>
        <v>0</v>
      </c>
      <c r="D44" s="6">
        <f>COUNTIFS('Display Detail'!$R$2:$R$656,$A44,'Display Detail'!$K$2:$K$656,2)</f>
        <v>0</v>
      </c>
      <c r="E44" s="6">
        <f>COUNTIFS('Display Detail'!$R$2:$R$656,$A44,'Display Detail'!$K$2:$K$656,1)</f>
        <v>0</v>
      </c>
      <c r="F44" s="7">
        <f>COUNTIFS('Display Detail'!$R$2:$R$656,$A44,'Display Detail'!$K$2:$K$656,"&gt;0")</f>
        <v>1</v>
      </c>
      <c r="G44" s="8">
        <f>SUMIFS('Display Detail'!$M$2:$M$656,'Display Detail'!$R$2:$R$656,$A44,'Display Detail'!$K$2:$K$656,"&gt;0")</f>
        <v>190</v>
      </c>
      <c r="H44" s="8">
        <f>SUMIFS('Display Detail'!$P$2:$P$656,'Display Detail'!$R$2:$R$656,$A44,'Display Detail'!$K$2:$K$656,"&gt;0")</f>
        <v>1000</v>
      </c>
      <c r="I44" s="6">
        <f>COUNTIFS('Display Detail'!$R$2:$R$656,$A44,'Display Detail'!$K$2:$K$656,0)</f>
        <v>2</v>
      </c>
      <c r="J44" s="6">
        <f>COUNTIF('Display Detail'!$R$2:$R$656,$A44)</f>
        <v>3</v>
      </c>
    </row>
    <row r="45">
      <c r="A45" s="5" t="inlineStr">
        <is>
          <t>DELTA THC SELTZER</t>
        </is>
      </c>
      <c r="B45" s="6">
        <f>COUNTIFS('Display Detail'!$R$2:$R$656,$A45,'Display Detail'!$K$2:$K$656,4)</f>
        <v>0</v>
      </c>
      <c r="C45" s="6">
        <f>COUNTIFS('Display Detail'!$R$2:$R$656,$A45,'Display Detail'!$K$2:$K$656,3)</f>
        <v>0</v>
      </c>
      <c r="D45" s="6">
        <f>COUNTIFS('Display Detail'!$R$2:$R$656,$A45,'Display Detail'!$K$2:$K$656,2)</f>
        <v>0</v>
      </c>
      <c r="E45" s="6">
        <f>COUNTIFS('Display Detail'!$R$2:$R$656,$A45,'Display Detail'!$K$2:$K$656,1)</f>
        <v>1</v>
      </c>
      <c r="F45" s="7">
        <f>COUNTIFS('Display Detail'!$R$2:$R$656,$A45,'Display Detail'!$K$2:$K$656,"&gt;0")</f>
        <v>1</v>
      </c>
      <c r="G45" s="8">
        <f>SUMIFS('Display Detail'!$M$2:$M$656,'Display Detail'!$R$2:$R$656,$A45,'Display Detail'!$K$2:$K$656,"&gt;0")</f>
        <v>10</v>
      </c>
      <c r="H45" s="8">
        <f>SUMIFS('Display Detail'!$P$2:$P$656,'Display Detail'!$R$2:$R$656,$A45,'Display Detail'!$K$2:$K$656,"&gt;0")</f>
        <v>100</v>
      </c>
      <c r="I45" s="6">
        <f>COUNTIFS('Display Detail'!$R$2:$R$656,$A45,'Display Detail'!$K$2:$K$656,0)</f>
        <v>0</v>
      </c>
      <c r="J45" s="6">
        <f>COUNTIF('Display Detail'!$R$2:$R$656,$A45)</f>
        <v>1</v>
      </c>
    </row>
    <row r="46">
      <c r="A46" s="5" t="inlineStr">
        <is>
          <t>DOGFISH HEAD BREWERY</t>
        </is>
      </c>
      <c r="B46" s="6">
        <f>COUNTIFS('Display Detail'!$R$2:$R$656,$A46,'Display Detail'!$K$2:$K$656,4)</f>
        <v>0</v>
      </c>
      <c r="C46" s="6">
        <f>COUNTIFS('Display Detail'!$R$2:$R$656,$A46,'Display Detail'!$K$2:$K$656,3)</f>
        <v>0</v>
      </c>
      <c r="D46" s="6">
        <f>COUNTIFS('Display Detail'!$R$2:$R$656,$A46,'Display Detail'!$K$2:$K$656,2)</f>
        <v>0</v>
      </c>
      <c r="E46" s="6">
        <f>COUNTIFS('Display Detail'!$R$2:$R$656,$A46,'Display Detail'!$K$2:$K$656,1)</f>
        <v>1</v>
      </c>
      <c r="F46" s="7">
        <f>COUNTIFS('Display Detail'!$R$2:$R$656,$A46,'Display Detail'!$K$2:$K$656,"&gt;0")</f>
        <v>1</v>
      </c>
      <c r="G46" s="8">
        <f>SUMIFS('Display Detail'!$M$2:$M$656,'Display Detail'!$R$2:$R$656,$A46,'Display Detail'!$K$2:$K$656,"&gt;0")</f>
        <v>10</v>
      </c>
      <c r="H46" s="8">
        <f>SUMIFS('Display Detail'!$P$2:$P$656,'Display Detail'!$R$2:$R$656,$A46,'Display Detail'!$K$2:$K$656,"&gt;0")</f>
        <v>200</v>
      </c>
      <c r="I46" s="6">
        <f>COUNTIFS('Display Detail'!$R$2:$R$656,$A46,'Display Detail'!$K$2:$K$656,0)</f>
        <v>0</v>
      </c>
      <c r="J46" s="6">
        <f>COUNTIF('Display Detail'!$R$2:$R$656,$A46)</f>
        <v>1</v>
      </c>
    </row>
    <row r="47">
      <c r="A47" s="5" t="inlineStr">
        <is>
          <t>FEVER TREE</t>
        </is>
      </c>
      <c r="B47" s="6">
        <f>COUNTIFS('Display Detail'!$R$2:$R$656,$A47,'Display Detail'!$K$2:$K$656,4)</f>
        <v>0</v>
      </c>
      <c r="C47" s="6">
        <f>COUNTIFS('Display Detail'!$R$2:$R$656,$A47,'Display Detail'!$K$2:$K$656,3)</f>
        <v>0</v>
      </c>
      <c r="D47" s="6">
        <f>COUNTIFS('Display Detail'!$R$2:$R$656,$A47,'Display Detail'!$K$2:$K$656,2)</f>
        <v>0</v>
      </c>
      <c r="E47" s="6">
        <f>COUNTIFS('Display Detail'!$R$2:$R$656,$A47,'Display Detail'!$K$2:$K$656,1)</f>
        <v>1</v>
      </c>
      <c r="F47" s="7">
        <f>COUNTIFS('Display Detail'!$R$2:$R$656,$A47,'Display Detail'!$K$2:$K$656,"&gt;0")</f>
        <v>1</v>
      </c>
      <c r="G47" s="8">
        <f>SUMIFS('Display Detail'!$M$2:$M$656,'Display Detail'!$R$2:$R$656,$A47,'Display Detail'!$K$2:$K$656,"&gt;0")</f>
        <v>14</v>
      </c>
      <c r="H47" s="8">
        <f>SUMIFS('Display Detail'!$P$2:$P$656,'Display Detail'!$R$2:$R$656,$A47,'Display Detail'!$K$2:$K$656,"&gt;0")</f>
        <v>200</v>
      </c>
      <c r="I47" s="6">
        <f>COUNTIFS('Display Detail'!$R$2:$R$656,$A47,'Display Detail'!$K$2:$K$656,0)</f>
        <v>1</v>
      </c>
      <c r="J47" s="6">
        <f>COUNTIF('Display Detail'!$R$2:$R$656,$A47)</f>
        <v>2</v>
      </c>
    </row>
    <row r="48">
      <c r="A48" s="5" t="inlineStr">
        <is>
          <t>KIRIN</t>
        </is>
      </c>
      <c r="B48" s="6">
        <f>COUNTIFS('Display Detail'!$R$2:$R$656,$A48,'Display Detail'!$K$2:$K$656,4)</f>
        <v>1</v>
      </c>
      <c r="C48" s="6">
        <f>COUNTIFS('Display Detail'!$R$2:$R$656,$A48,'Display Detail'!$K$2:$K$656,3)</f>
        <v>0</v>
      </c>
      <c r="D48" s="6">
        <f>COUNTIFS('Display Detail'!$R$2:$R$656,$A48,'Display Detail'!$K$2:$K$656,2)</f>
        <v>0</v>
      </c>
      <c r="E48" s="6">
        <f>COUNTIFS('Display Detail'!$R$2:$R$656,$A48,'Display Detail'!$K$2:$K$656,1)</f>
        <v>0</v>
      </c>
      <c r="F48" s="7">
        <f>COUNTIFS('Display Detail'!$R$2:$R$656,$A48,'Display Detail'!$K$2:$K$656,"&gt;0")</f>
        <v>1</v>
      </c>
      <c r="G48" s="8">
        <f>SUMIFS('Display Detail'!$M$2:$M$656,'Display Detail'!$R$2:$R$656,$A48,'Display Detail'!$K$2:$K$656,"&gt;0")</f>
        <v>150</v>
      </c>
      <c r="H48" s="8">
        <f>SUMIFS('Display Detail'!$P$2:$P$656,'Display Detail'!$R$2:$R$656,$A48,'Display Detail'!$K$2:$K$656,"&gt;0")</f>
        <v>600</v>
      </c>
      <c r="I48" s="6">
        <f>COUNTIFS('Display Detail'!$R$2:$R$656,$A48,'Display Detail'!$K$2:$K$656,0)</f>
        <v>1</v>
      </c>
      <c r="J48" s="6">
        <f>COUNTIF('Display Detail'!$R$2:$R$656,$A48)</f>
        <v>2</v>
      </c>
    </row>
    <row r="49">
      <c r="A49" s="5" t="inlineStr">
        <is>
          <t>MONTAUK BREWING COMPANY</t>
        </is>
      </c>
      <c r="B49" s="6">
        <f>COUNTIFS('Display Detail'!$R$2:$R$656,$A49,'Display Detail'!$K$2:$K$656,4)</f>
        <v>0</v>
      </c>
      <c r="C49" s="6">
        <f>COUNTIFS('Display Detail'!$R$2:$R$656,$A49,'Display Detail'!$K$2:$K$656,3)</f>
        <v>0</v>
      </c>
      <c r="D49" s="6">
        <f>COUNTIFS('Display Detail'!$R$2:$R$656,$A49,'Display Detail'!$K$2:$K$656,2)</f>
        <v>1</v>
      </c>
      <c r="E49" s="6">
        <f>COUNTIFS('Display Detail'!$R$2:$R$656,$A49,'Display Detail'!$K$2:$K$656,1)</f>
        <v>0</v>
      </c>
      <c r="F49" s="7">
        <f>COUNTIFS('Display Detail'!$R$2:$R$656,$A49,'Display Detail'!$K$2:$K$656,"&gt;0")</f>
        <v>1</v>
      </c>
      <c r="G49" s="8">
        <f>SUMIFS('Display Detail'!$M$2:$M$656,'Display Detail'!$R$2:$R$656,$A49,'Display Detail'!$K$2:$K$656,"&gt;0")</f>
        <v>25</v>
      </c>
      <c r="H49" s="8">
        <f>SUMIFS('Display Detail'!$P$2:$P$656,'Display Detail'!$R$2:$R$656,$A49,'Display Detail'!$K$2:$K$656,"&gt;0")</f>
        <v>300</v>
      </c>
      <c r="I49" s="6">
        <f>COUNTIFS('Display Detail'!$R$2:$R$656,$A49,'Display Detail'!$K$2:$K$656,0)</f>
        <v>0</v>
      </c>
      <c r="J49" s="6">
        <f>COUNTIF('Display Detail'!$R$2:$R$656,$A49)</f>
        <v>1</v>
      </c>
    </row>
    <row r="50">
      <c r="A50" s="5" t="inlineStr">
        <is>
          <t>NOCA BEVERAGES</t>
        </is>
      </c>
      <c r="B50" s="6">
        <f>COUNTIFS('Display Detail'!$R$2:$R$656,$A50,'Display Detail'!$K$2:$K$656,4)</f>
        <v>0</v>
      </c>
      <c r="C50" s="6">
        <f>COUNTIFS('Display Detail'!$R$2:$R$656,$A50,'Display Detail'!$K$2:$K$656,3)</f>
        <v>1</v>
      </c>
      <c r="D50" s="6">
        <f>COUNTIFS('Display Detail'!$R$2:$R$656,$A50,'Display Detail'!$K$2:$K$656,2)</f>
        <v>0</v>
      </c>
      <c r="E50" s="6">
        <f>COUNTIFS('Display Detail'!$R$2:$R$656,$A50,'Display Detail'!$K$2:$K$656,1)</f>
        <v>0</v>
      </c>
      <c r="F50" s="7">
        <f>COUNTIFS('Display Detail'!$R$2:$R$656,$A50,'Display Detail'!$K$2:$K$656,"&gt;0")</f>
        <v>1</v>
      </c>
      <c r="G50" s="8">
        <f>SUMIFS('Display Detail'!$M$2:$M$656,'Display Detail'!$R$2:$R$656,$A50,'Display Detail'!$K$2:$K$656,"&gt;0")</f>
        <v>50</v>
      </c>
      <c r="H50" s="8">
        <f>SUMIFS('Display Detail'!$P$2:$P$656,'Display Detail'!$R$2:$R$656,$A50,'Display Detail'!$K$2:$K$656,"&gt;0")</f>
        <v>300</v>
      </c>
      <c r="I50" s="6">
        <f>COUNTIFS('Display Detail'!$R$2:$R$656,$A50,'Display Detail'!$K$2:$K$656,0)</f>
        <v>0</v>
      </c>
      <c r="J50" s="6">
        <f>COUNTIF('Display Detail'!$R$2:$R$656,$A50)</f>
        <v>1</v>
      </c>
    </row>
    <row r="51">
      <c r="A51" s="5" t="inlineStr">
        <is>
          <t>RED STRIPE</t>
        </is>
      </c>
      <c r="B51" s="6">
        <f>COUNTIFS('Display Detail'!$R$2:$R$656,$A51,'Display Detail'!$K$2:$K$656,4)</f>
        <v>1</v>
      </c>
      <c r="C51" s="6">
        <f>COUNTIFS('Display Detail'!$R$2:$R$656,$A51,'Display Detail'!$K$2:$K$656,3)</f>
        <v>0</v>
      </c>
      <c r="D51" s="6">
        <f>COUNTIFS('Display Detail'!$R$2:$R$656,$A51,'Display Detail'!$K$2:$K$656,2)</f>
        <v>0</v>
      </c>
      <c r="E51" s="6">
        <f>COUNTIFS('Display Detail'!$R$2:$R$656,$A51,'Display Detail'!$K$2:$K$656,1)</f>
        <v>0</v>
      </c>
      <c r="F51" s="7">
        <f>COUNTIFS('Display Detail'!$R$2:$R$656,$A51,'Display Detail'!$K$2:$K$656,"&gt;0")</f>
        <v>1</v>
      </c>
      <c r="G51" s="8">
        <f>SUMIFS('Display Detail'!$M$2:$M$656,'Display Detail'!$R$2:$R$656,$A51,'Display Detail'!$K$2:$K$656,"&gt;0")</f>
        <v>150</v>
      </c>
      <c r="H51" s="8">
        <f>SUMIFS('Display Detail'!$P$2:$P$656,'Display Detail'!$R$2:$R$656,$A51,'Display Detail'!$K$2:$K$656,"&gt;0")</f>
        <v>1000</v>
      </c>
      <c r="I51" s="6">
        <f>COUNTIFS('Display Detail'!$R$2:$R$656,$A51,'Display Detail'!$K$2:$K$656,0)</f>
        <v>0</v>
      </c>
      <c r="J51" s="6">
        <f>COUNTIF('Display Detail'!$R$2:$R$656,$A51)</f>
        <v>1</v>
      </c>
    </row>
    <row r="52">
      <c r="A52" s="5" t="inlineStr">
        <is>
          <t>SARANAC BREWERY</t>
        </is>
      </c>
      <c r="B52" s="6">
        <f>COUNTIFS('Display Detail'!$R$2:$R$656,$A52,'Display Detail'!$K$2:$K$656,4)</f>
        <v>0</v>
      </c>
      <c r="C52" s="6">
        <f>COUNTIFS('Display Detail'!$R$2:$R$656,$A52,'Display Detail'!$K$2:$K$656,3)</f>
        <v>0</v>
      </c>
      <c r="D52" s="6">
        <f>COUNTIFS('Display Detail'!$R$2:$R$656,$A52,'Display Detail'!$K$2:$K$656,2)</f>
        <v>1</v>
      </c>
      <c r="E52" s="6">
        <f>COUNTIFS('Display Detail'!$R$2:$R$656,$A52,'Display Detail'!$K$2:$K$656,1)</f>
        <v>0</v>
      </c>
      <c r="F52" s="7">
        <f>COUNTIFS('Display Detail'!$R$2:$R$656,$A52,'Display Detail'!$K$2:$K$656,"&gt;0")</f>
        <v>1</v>
      </c>
      <c r="G52" s="8">
        <f>SUMIFS('Display Detail'!$M$2:$M$656,'Display Detail'!$R$2:$R$656,$A52,'Display Detail'!$K$2:$K$656,"&gt;0")</f>
        <v>29</v>
      </c>
      <c r="H52" s="8">
        <f>SUMIFS('Display Detail'!$P$2:$P$656,'Display Detail'!$R$2:$R$656,$A52,'Display Detail'!$K$2:$K$656,"&gt;0")</f>
        <v>200</v>
      </c>
      <c r="I52" s="6">
        <f>COUNTIFS('Display Detail'!$R$2:$R$656,$A52,'Display Detail'!$K$2:$K$656,0)</f>
        <v>0</v>
      </c>
      <c r="J52" s="6">
        <f>COUNTIF('Display Detail'!$R$2:$R$656,$A52)</f>
        <v>1</v>
      </c>
    </row>
    <row r="53">
      <c r="A53" s="5" t="inlineStr">
        <is>
          <t>SARATOGA WATER</t>
        </is>
      </c>
      <c r="B53" s="6">
        <f>COUNTIFS('Display Detail'!$R$2:$R$656,$A53,'Display Detail'!$K$2:$K$656,4)</f>
        <v>0</v>
      </c>
      <c r="C53" s="6">
        <f>COUNTIFS('Display Detail'!$R$2:$R$656,$A53,'Display Detail'!$K$2:$K$656,3)</f>
        <v>0</v>
      </c>
      <c r="D53" s="6">
        <f>COUNTIFS('Display Detail'!$R$2:$R$656,$A53,'Display Detail'!$K$2:$K$656,2)</f>
        <v>0</v>
      </c>
      <c r="E53" s="6">
        <f>COUNTIFS('Display Detail'!$R$2:$R$656,$A53,'Display Detail'!$K$2:$K$656,1)</f>
        <v>1</v>
      </c>
      <c r="F53" s="7">
        <f>COUNTIFS('Display Detail'!$R$2:$R$656,$A53,'Display Detail'!$K$2:$K$656,"&gt;0")</f>
        <v>1</v>
      </c>
      <c r="G53" s="8">
        <f>SUMIFS('Display Detail'!$M$2:$M$656,'Display Detail'!$R$2:$R$656,$A53,'Display Detail'!$K$2:$K$656,"&gt;0")</f>
        <v>10</v>
      </c>
      <c r="H53" s="8">
        <f>SUMIFS('Display Detail'!$P$2:$P$656,'Display Detail'!$R$2:$R$656,$A53,'Display Detail'!$K$2:$K$656,"&gt;0")</f>
        <v>100</v>
      </c>
      <c r="I53" s="6">
        <f>COUNTIFS('Display Detail'!$R$2:$R$656,$A53,'Display Detail'!$K$2:$K$656,0)</f>
        <v>0</v>
      </c>
      <c r="J53" s="6">
        <f>COUNTIF('Display Detail'!$R$2:$R$656,$A53)</f>
        <v>1</v>
      </c>
    </row>
    <row r="54">
      <c r="A54" s="5" t="inlineStr">
        <is>
          <t>SHIPYARD BREWING COMPANY</t>
        </is>
      </c>
      <c r="B54" s="6">
        <f>COUNTIFS('Display Detail'!$R$2:$R$656,$A54,'Display Detail'!$K$2:$K$656,4)</f>
        <v>0</v>
      </c>
      <c r="C54" s="6">
        <f>COUNTIFS('Display Detail'!$R$2:$R$656,$A54,'Display Detail'!$K$2:$K$656,3)</f>
        <v>0</v>
      </c>
      <c r="D54" s="6">
        <f>COUNTIFS('Display Detail'!$R$2:$R$656,$A54,'Display Detail'!$K$2:$K$656,2)</f>
        <v>1</v>
      </c>
      <c r="E54" s="6">
        <f>COUNTIFS('Display Detail'!$R$2:$R$656,$A54,'Display Detail'!$K$2:$K$656,1)</f>
        <v>0</v>
      </c>
      <c r="F54" s="7">
        <f>COUNTIFS('Display Detail'!$R$2:$R$656,$A54,'Display Detail'!$K$2:$K$656,"&gt;0")</f>
        <v>1</v>
      </c>
      <c r="G54" s="8">
        <f>SUMIFS('Display Detail'!$M$2:$M$656,'Display Detail'!$R$2:$R$656,$A54,'Display Detail'!$K$2:$K$656,"&gt;0")</f>
        <v>28</v>
      </c>
      <c r="H54" s="8">
        <f>SUMIFS('Display Detail'!$P$2:$P$656,'Display Detail'!$R$2:$R$656,$A54,'Display Detail'!$K$2:$K$656,"&gt;0")</f>
        <v>200</v>
      </c>
      <c r="I54" s="6">
        <f>COUNTIFS('Display Detail'!$R$2:$R$656,$A54,'Display Detail'!$K$2:$K$656,0)</f>
        <v>0</v>
      </c>
      <c r="J54" s="6">
        <f>COUNTIF('Display Detail'!$R$2:$R$656,$A54)</f>
        <v>1</v>
      </c>
    </row>
    <row r="55">
      <c r="A55" s="5" t="inlineStr">
        <is>
          <t>SIERRA NEVADA BREWING COMPANY</t>
        </is>
      </c>
      <c r="B55" s="6">
        <f>COUNTIFS('Display Detail'!$R$2:$R$656,$A55,'Display Detail'!$K$2:$K$656,4)</f>
        <v>0</v>
      </c>
      <c r="C55" s="6">
        <f>COUNTIFS('Display Detail'!$R$2:$R$656,$A55,'Display Detail'!$K$2:$K$656,3)</f>
        <v>1</v>
      </c>
      <c r="D55" s="6">
        <f>COUNTIFS('Display Detail'!$R$2:$R$656,$A55,'Display Detail'!$K$2:$K$656,2)</f>
        <v>0</v>
      </c>
      <c r="E55" s="6">
        <f>COUNTIFS('Display Detail'!$R$2:$R$656,$A55,'Display Detail'!$K$2:$K$656,1)</f>
        <v>0</v>
      </c>
      <c r="F55" s="7">
        <f>COUNTIFS('Display Detail'!$R$2:$R$656,$A55,'Display Detail'!$K$2:$K$656,"&gt;0")</f>
        <v>1</v>
      </c>
      <c r="G55" s="8">
        <f>SUMIFS('Display Detail'!$M$2:$M$656,'Display Detail'!$R$2:$R$656,$A55,'Display Detail'!$K$2:$K$656,"&gt;0")</f>
        <v>45</v>
      </c>
      <c r="H55" s="8">
        <f>SUMIFS('Display Detail'!$P$2:$P$656,'Display Detail'!$R$2:$R$656,$A55,'Display Detail'!$K$2:$K$656,"&gt;0")</f>
        <v>300</v>
      </c>
      <c r="I55" s="6">
        <f>COUNTIFS('Display Detail'!$R$2:$R$656,$A55,'Display Detail'!$K$2:$K$656,0)</f>
        <v>0</v>
      </c>
      <c r="J55" s="6">
        <f>COUNTIF('Display Detail'!$R$2:$R$656,$A55)</f>
        <v>1</v>
      </c>
    </row>
    <row r="56">
      <c r="A56" s="5" t="inlineStr">
        <is>
          <t>SINLESS SPIRITS</t>
        </is>
      </c>
      <c r="B56" s="6">
        <f>COUNTIFS('Display Detail'!$R$2:$R$656,$A56,'Display Detail'!$K$2:$K$656,4)</f>
        <v>0</v>
      </c>
      <c r="C56" s="6">
        <f>COUNTIFS('Display Detail'!$R$2:$R$656,$A56,'Display Detail'!$K$2:$K$656,3)</f>
        <v>0</v>
      </c>
      <c r="D56" s="6">
        <f>COUNTIFS('Display Detail'!$R$2:$R$656,$A56,'Display Detail'!$K$2:$K$656,2)</f>
        <v>1</v>
      </c>
      <c r="E56" s="6">
        <f>COUNTIFS('Display Detail'!$R$2:$R$656,$A56,'Display Detail'!$K$2:$K$656,1)</f>
        <v>0</v>
      </c>
      <c r="F56" s="7">
        <f>COUNTIFS('Display Detail'!$R$2:$R$656,$A56,'Display Detail'!$K$2:$K$656,"&gt;0")</f>
        <v>1</v>
      </c>
      <c r="G56" s="8">
        <f>SUMIFS('Display Detail'!$M$2:$M$656,'Display Detail'!$R$2:$R$656,$A56,'Display Detail'!$K$2:$K$656,"&gt;0")</f>
        <v>30</v>
      </c>
      <c r="H56" s="8">
        <f>SUMIFS('Display Detail'!$P$2:$P$656,'Display Detail'!$R$2:$R$656,$A56,'Display Detail'!$K$2:$K$656,"&gt;0")</f>
        <v>300</v>
      </c>
      <c r="I56" s="6">
        <f>COUNTIFS('Display Detail'!$R$2:$R$656,$A56,'Display Detail'!$K$2:$K$656,0)</f>
        <v>1</v>
      </c>
      <c r="J56" s="6">
        <f>COUNTIF('Display Detail'!$R$2:$R$656,$A56)</f>
        <v>2</v>
      </c>
    </row>
    <row r="57">
      <c r="A57" s="5" t="inlineStr">
        <is>
          <t>TALKHOUSE ENCORE TEQUILA SODA</t>
        </is>
      </c>
      <c r="B57" s="6">
        <f>COUNTIFS('Display Detail'!$R$2:$R$656,$A57,'Display Detail'!$K$2:$K$656,4)</f>
        <v>0</v>
      </c>
      <c r="C57" s="6">
        <f>COUNTIFS('Display Detail'!$R$2:$R$656,$A57,'Display Detail'!$K$2:$K$656,3)</f>
        <v>0</v>
      </c>
      <c r="D57" s="6">
        <f>COUNTIFS('Display Detail'!$R$2:$R$656,$A57,'Display Detail'!$K$2:$K$656,2)</f>
        <v>1</v>
      </c>
      <c r="E57" s="6">
        <f>COUNTIFS('Display Detail'!$R$2:$R$656,$A57,'Display Detail'!$K$2:$K$656,1)</f>
        <v>0</v>
      </c>
      <c r="F57" s="7">
        <f>COUNTIFS('Display Detail'!$R$2:$R$656,$A57,'Display Detail'!$K$2:$K$656,"&gt;0")</f>
        <v>1</v>
      </c>
      <c r="G57" s="8">
        <f>SUMIFS('Display Detail'!$M$2:$M$656,'Display Detail'!$R$2:$R$656,$A57,'Display Detail'!$K$2:$K$656,"&gt;0")</f>
        <v>20</v>
      </c>
      <c r="H57" s="8">
        <f>SUMIFS('Display Detail'!$P$2:$P$656,'Display Detail'!$R$2:$R$656,$A57,'Display Detail'!$K$2:$K$656,"&gt;0")</f>
        <v>200</v>
      </c>
      <c r="I57" s="6">
        <f>COUNTIFS('Display Detail'!$R$2:$R$656,$A57,'Display Detail'!$K$2:$K$656,0)</f>
        <v>0</v>
      </c>
      <c r="J57" s="6">
        <f>COUNTIF('Display Detail'!$R$2:$R$656,$A57)</f>
        <v>1</v>
      </c>
    </row>
    <row r="58">
      <c r="A58" s="5" t="inlineStr">
        <is>
          <t>TALKHOUSE ENCORE VARIETY PACK</t>
        </is>
      </c>
      <c r="B58" s="6">
        <f>COUNTIFS('Display Detail'!$R$2:$R$656,$A58,'Display Detail'!$K$2:$K$656,4)</f>
        <v>0</v>
      </c>
      <c r="C58" s="6">
        <f>COUNTIFS('Display Detail'!$R$2:$R$656,$A58,'Display Detail'!$K$2:$K$656,3)</f>
        <v>0</v>
      </c>
      <c r="D58" s="6">
        <f>COUNTIFS('Display Detail'!$R$2:$R$656,$A58,'Display Detail'!$K$2:$K$656,2)</f>
        <v>0</v>
      </c>
      <c r="E58" s="6">
        <f>COUNTIFS('Display Detail'!$R$2:$R$656,$A58,'Display Detail'!$K$2:$K$656,1)</f>
        <v>1</v>
      </c>
      <c r="F58" s="7">
        <f>COUNTIFS('Display Detail'!$R$2:$R$656,$A58,'Display Detail'!$K$2:$K$656,"&gt;0")</f>
        <v>1</v>
      </c>
      <c r="G58" s="8">
        <f>SUMIFS('Display Detail'!$M$2:$M$656,'Display Detail'!$R$2:$R$656,$A58,'Display Detail'!$K$2:$K$656,"&gt;0")</f>
        <v>18</v>
      </c>
      <c r="H58" s="8">
        <f>SUMIFS('Display Detail'!$P$2:$P$656,'Display Detail'!$R$2:$R$656,$A58,'Display Detail'!$K$2:$K$656,"&gt;0")</f>
        <v>100</v>
      </c>
      <c r="I58" s="6">
        <f>COUNTIFS('Display Detail'!$R$2:$R$656,$A58,'Display Detail'!$K$2:$K$656,0)</f>
        <v>0</v>
      </c>
      <c r="J58" s="6">
        <f>COUNTIF('Display Detail'!$R$2:$R$656,$A58)</f>
        <v>1</v>
      </c>
    </row>
    <row r="59">
      <c r="A59" s="5" t="inlineStr">
        <is>
          <t>TRULY SEASONAL HARD SELTZER</t>
        </is>
      </c>
      <c r="B59" s="6">
        <f>COUNTIFS('Display Detail'!$R$2:$R$656,$A59,'Display Detail'!$K$2:$K$656,4)</f>
        <v>0</v>
      </c>
      <c r="C59" s="6">
        <f>COUNTIFS('Display Detail'!$R$2:$R$656,$A59,'Display Detail'!$K$2:$K$656,3)</f>
        <v>1</v>
      </c>
      <c r="D59" s="6">
        <f>COUNTIFS('Display Detail'!$R$2:$R$656,$A59,'Display Detail'!$K$2:$K$656,2)</f>
        <v>0</v>
      </c>
      <c r="E59" s="6">
        <f>COUNTIFS('Display Detail'!$R$2:$R$656,$A59,'Display Detail'!$K$2:$K$656,1)</f>
        <v>0</v>
      </c>
      <c r="F59" s="7">
        <f>COUNTIFS('Display Detail'!$R$2:$R$656,$A59,'Display Detail'!$K$2:$K$656,"&gt;0")</f>
        <v>1</v>
      </c>
      <c r="G59" s="8">
        <f>SUMIFS('Display Detail'!$M$2:$M$656,'Display Detail'!$R$2:$R$656,$A59,'Display Detail'!$K$2:$K$656,"&gt;0")</f>
        <v>50</v>
      </c>
      <c r="H59" s="8">
        <f>SUMIFS('Display Detail'!$P$2:$P$656,'Display Detail'!$R$2:$R$656,$A59,'Display Detail'!$K$2:$K$656,"&gt;0")</f>
        <v>500</v>
      </c>
      <c r="I59" s="6">
        <f>COUNTIFS('Display Detail'!$R$2:$R$656,$A59,'Display Detail'!$K$2:$K$656,0)</f>
        <v>1</v>
      </c>
      <c r="J59" s="6">
        <f>COUNTIF('Display Detail'!$R$2:$R$656,$A59)</f>
        <v>2</v>
      </c>
    </row>
    <row r="60">
      <c r="A60" s="5" t="inlineStr">
        <is>
          <t>WHITE CLAW SURGE HARD SELTZER</t>
        </is>
      </c>
      <c r="B60" s="6">
        <f>COUNTIFS('Display Detail'!$R$2:$R$656,$A60,'Display Detail'!$K$2:$K$656,4)</f>
        <v>1</v>
      </c>
      <c r="C60" s="6">
        <f>COUNTIFS('Display Detail'!$R$2:$R$656,$A60,'Display Detail'!$K$2:$K$656,3)</f>
        <v>0</v>
      </c>
      <c r="D60" s="6">
        <f>COUNTIFS('Display Detail'!$R$2:$R$656,$A60,'Display Detail'!$K$2:$K$656,2)</f>
        <v>0</v>
      </c>
      <c r="E60" s="6">
        <f>COUNTIFS('Display Detail'!$R$2:$R$656,$A60,'Display Detail'!$K$2:$K$656,1)</f>
        <v>0</v>
      </c>
      <c r="F60" s="7">
        <f>COUNTIFS('Display Detail'!$R$2:$R$656,$A60,'Display Detail'!$K$2:$K$656,"&gt;0")</f>
        <v>1</v>
      </c>
      <c r="G60" s="8">
        <f>SUMIFS('Display Detail'!$M$2:$M$656,'Display Detail'!$R$2:$R$656,$A60,'Display Detail'!$K$2:$K$656,"&gt;0")</f>
        <v>97</v>
      </c>
      <c r="H60" s="8">
        <f>SUMIFS('Display Detail'!$P$2:$P$656,'Display Detail'!$R$2:$R$656,$A60,'Display Detail'!$K$2:$K$656,"&gt;0")</f>
        <v>1000</v>
      </c>
      <c r="I60" s="6">
        <f>COUNTIFS('Display Detail'!$R$2:$R$656,$A60,'Display Detail'!$K$2:$K$656,0)</f>
        <v>0</v>
      </c>
      <c r="J60" s="6">
        <f>COUNTIF('Display Detail'!$R$2:$R$656,$A60)</f>
        <v>1</v>
      </c>
    </row>
    <row r="61">
      <c r="A61" s="5" t="inlineStr">
        <is>
          <t>WHITE CLAW VODKA + SODA</t>
        </is>
      </c>
      <c r="B61" s="6">
        <f>COUNTIFS('Display Detail'!$R$2:$R$656,$A61,'Display Detail'!$K$2:$K$656,4)</f>
        <v>0</v>
      </c>
      <c r="C61" s="6">
        <f>COUNTIFS('Display Detail'!$R$2:$R$656,$A61,'Display Detail'!$K$2:$K$656,3)</f>
        <v>1</v>
      </c>
      <c r="D61" s="6">
        <f>COUNTIFS('Display Detail'!$R$2:$R$656,$A61,'Display Detail'!$K$2:$K$656,2)</f>
        <v>0</v>
      </c>
      <c r="E61" s="6">
        <f>COUNTIFS('Display Detail'!$R$2:$R$656,$A61,'Display Detail'!$K$2:$K$656,1)</f>
        <v>0</v>
      </c>
      <c r="F61" s="7">
        <f>COUNTIFS('Display Detail'!$R$2:$R$656,$A61,'Display Detail'!$K$2:$K$656,"&gt;0")</f>
        <v>1</v>
      </c>
      <c r="G61" s="8">
        <f>SUMIFS('Display Detail'!$M$2:$M$656,'Display Detail'!$R$2:$R$656,$A61,'Display Detail'!$K$2:$K$656,"&gt;0")</f>
        <v>60</v>
      </c>
      <c r="H61" s="8">
        <f>SUMIFS('Display Detail'!$P$2:$P$656,'Display Detail'!$R$2:$R$656,$A61,'Display Detail'!$K$2:$K$656,"&gt;0")</f>
        <v>500</v>
      </c>
      <c r="I61" s="6">
        <f>COUNTIFS('Display Detail'!$R$2:$R$656,$A61,'Display Detail'!$K$2:$K$656,0)</f>
        <v>0</v>
      </c>
      <c r="J61" s="6">
        <f>COUNTIF('Display Detail'!$R$2:$R$656,$A61)</f>
        <v>1</v>
      </c>
    </row>
    <row r="62">
      <c r="A62" s="5" t="inlineStr">
        <is>
          <t>LEYENDA 1925</t>
        </is>
      </c>
      <c r="B62" s="6">
        <f>COUNTIFS('Display Detail'!$R$2:$R$656,$A62,'Display Detail'!$K$2:$K$656,4)</f>
        <v>0</v>
      </c>
      <c r="C62" s="6">
        <f>COUNTIFS('Display Detail'!$R$2:$R$656,$A62,'Display Detail'!$K$2:$K$656,3)</f>
        <v>0</v>
      </c>
      <c r="D62" s="6">
        <f>COUNTIFS('Display Detail'!$R$2:$R$656,$A62,'Display Detail'!$K$2:$K$656,2)</f>
        <v>0</v>
      </c>
      <c r="E62" s="6">
        <f>COUNTIFS('Display Detail'!$R$2:$R$656,$A62,'Display Detail'!$K$2:$K$656,1)</f>
        <v>0</v>
      </c>
      <c r="F62" s="7">
        <f>COUNTIFS('Display Detail'!$R$2:$R$656,$A62,'Display Detail'!$K$2:$K$656,"&gt;0")</f>
        <v>0</v>
      </c>
      <c r="G62" s="8">
        <f>SUMIFS('Display Detail'!$M$2:$M$656,'Display Detail'!$R$2:$R$656,$A62,'Display Detail'!$K$2:$K$656,"&gt;0")</f>
        <v>0</v>
      </c>
      <c r="H62" s="8">
        <f>SUMIFS('Display Detail'!$P$2:$P$656,'Display Detail'!$R$2:$R$656,$A62,'Display Detail'!$K$2:$K$656,"&gt;0")</f>
        <v>0</v>
      </c>
      <c r="I62" s="6">
        <f>COUNTIFS('Display Detail'!$R$2:$R$656,$A62,'Display Detail'!$K$2:$K$656,0)</f>
        <v>1</v>
      </c>
      <c r="J62" s="6">
        <f>COUNTIF('Display Detail'!$R$2:$R$656,$A62)</f>
        <v>1</v>
      </c>
    </row>
    <row r="63">
      <c r="A63" s="5" t="inlineStr">
        <is>
          <t>MONACO COCKTAILS</t>
        </is>
      </c>
      <c r="B63" s="6">
        <f>COUNTIFS('Display Detail'!$R$2:$R$656,$A63,'Display Detail'!$K$2:$K$656,4)</f>
        <v>0</v>
      </c>
      <c r="C63" s="6">
        <f>COUNTIFS('Display Detail'!$R$2:$R$656,$A63,'Display Detail'!$K$2:$K$656,3)</f>
        <v>0</v>
      </c>
      <c r="D63" s="6">
        <f>COUNTIFS('Display Detail'!$R$2:$R$656,$A63,'Display Detail'!$K$2:$K$656,2)</f>
        <v>0</v>
      </c>
      <c r="E63" s="6">
        <f>COUNTIFS('Display Detail'!$R$2:$R$656,$A63,'Display Detail'!$K$2:$K$656,1)</f>
        <v>0</v>
      </c>
      <c r="F63" s="7">
        <f>COUNTIFS('Display Detail'!$R$2:$R$656,$A63,'Display Detail'!$K$2:$K$656,"&gt;0")</f>
        <v>0</v>
      </c>
      <c r="G63" s="8">
        <f>SUMIFS('Display Detail'!$M$2:$M$656,'Display Detail'!$R$2:$R$656,$A63,'Display Detail'!$K$2:$K$656,"&gt;0")</f>
        <v>0</v>
      </c>
      <c r="H63" s="8">
        <f>SUMIFS('Display Detail'!$P$2:$P$656,'Display Detail'!$R$2:$R$656,$A63,'Display Detail'!$K$2:$K$656,"&gt;0")</f>
        <v>0</v>
      </c>
      <c r="I63" s="6">
        <f>COUNTIFS('Display Detail'!$R$2:$R$656,$A63,'Display Detail'!$K$2:$K$656,0)</f>
        <v>1</v>
      </c>
      <c r="J63" s="6">
        <f>COUNTIF('Display Detail'!$R$2:$R$656,$A63)</f>
        <v>1</v>
      </c>
    </row>
    <row r="64">
      <c r="A64" s="5" t="inlineStr">
        <is>
          <t>POPSICLE FMB</t>
        </is>
      </c>
      <c r="B64" s="6">
        <f>COUNTIFS('Display Detail'!$R$2:$R$656,$A64,'Display Detail'!$K$2:$K$656,4)</f>
        <v>0</v>
      </c>
      <c r="C64" s="6">
        <f>COUNTIFS('Display Detail'!$R$2:$R$656,$A64,'Display Detail'!$K$2:$K$656,3)</f>
        <v>0</v>
      </c>
      <c r="D64" s="6">
        <f>COUNTIFS('Display Detail'!$R$2:$R$656,$A64,'Display Detail'!$K$2:$K$656,2)</f>
        <v>0</v>
      </c>
      <c r="E64" s="6">
        <f>COUNTIFS('Display Detail'!$R$2:$R$656,$A64,'Display Detail'!$K$2:$K$656,1)</f>
        <v>0</v>
      </c>
      <c r="F64" s="7">
        <f>COUNTIFS('Display Detail'!$R$2:$R$656,$A64,'Display Detail'!$K$2:$K$656,"&gt;0")</f>
        <v>0</v>
      </c>
      <c r="G64" s="8">
        <f>SUMIFS('Display Detail'!$M$2:$M$656,'Display Detail'!$R$2:$R$656,$A64,'Display Detail'!$K$2:$K$656,"&gt;0")</f>
        <v>0</v>
      </c>
      <c r="H64" s="8">
        <f>SUMIFS('Display Detail'!$P$2:$P$656,'Display Detail'!$R$2:$R$656,$A64,'Display Detail'!$K$2:$K$656,"&gt;0")</f>
        <v>0</v>
      </c>
      <c r="I64" s="6">
        <f>COUNTIFS('Display Detail'!$R$2:$R$656,$A64,'Display Detail'!$K$2:$K$656,0)</f>
        <v>1</v>
      </c>
      <c r="J64" s="6">
        <f>COUNTIF('Display Detail'!$R$2:$R$656,$A64)</f>
        <v>1</v>
      </c>
    </row>
    <row r="65">
      <c r="A65" s="5" t="inlineStr">
        <is>
          <t>REDD'S</t>
        </is>
      </c>
      <c r="B65" s="6">
        <f>COUNTIFS('Display Detail'!$R$2:$R$656,$A65,'Display Detail'!$K$2:$K$656,4)</f>
        <v>0</v>
      </c>
      <c r="C65" s="6">
        <f>COUNTIFS('Display Detail'!$R$2:$R$656,$A65,'Display Detail'!$K$2:$K$656,3)</f>
        <v>0</v>
      </c>
      <c r="D65" s="6">
        <f>COUNTIFS('Display Detail'!$R$2:$R$656,$A65,'Display Detail'!$K$2:$K$656,2)</f>
        <v>0</v>
      </c>
      <c r="E65" s="6">
        <f>COUNTIFS('Display Detail'!$R$2:$R$656,$A65,'Display Detail'!$K$2:$K$656,1)</f>
        <v>0</v>
      </c>
      <c r="F65" s="7">
        <f>COUNTIFS('Display Detail'!$R$2:$R$656,$A65,'Display Detail'!$K$2:$K$656,"&gt;0")</f>
        <v>0</v>
      </c>
      <c r="G65" s="8">
        <f>SUMIFS('Display Detail'!$M$2:$M$656,'Display Detail'!$R$2:$R$656,$A65,'Display Detail'!$K$2:$K$656,"&gt;0")</f>
        <v>0</v>
      </c>
      <c r="H65" s="8">
        <f>SUMIFS('Display Detail'!$P$2:$P$656,'Display Detail'!$R$2:$R$656,$A65,'Display Detail'!$K$2:$K$656,"&gt;0")</f>
        <v>0</v>
      </c>
      <c r="I65" s="6">
        <f>COUNTIFS('Display Detail'!$R$2:$R$656,$A65,'Display Detail'!$K$2:$K$656,0)</f>
        <v>2</v>
      </c>
      <c r="J65" s="6">
        <f>COUNTIF('Display Detail'!$R$2:$R$656,$A65)</f>
        <v>2</v>
      </c>
    </row>
    <row r="66">
      <c r="A66" s="5" t="inlineStr">
        <is>
          <t>SIMPLY SPIKED LEMONADE</t>
        </is>
      </c>
      <c r="B66" s="6">
        <f>COUNTIFS('Display Detail'!$R$2:$R$656,$A66,'Display Detail'!$K$2:$K$656,4)</f>
        <v>0</v>
      </c>
      <c r="C66" s="6">
        <f>COUNTIFS('Display Detail'!$R$2:$R$656,$A66,'Display Detail'!$K$2:$K$656,3)</f>
        <v>0</v>
      </c>
      <c r="D66" s="6">
        <f>COUNTIFS('Display Detail'!$R$2:$R$656,$A66,'Display Detail'!$K$2:$K$656,2)</f>
        <v>0</v>
      </c>
      <c r="E66" s="6">
        <f>COUNTIFS('Display Detail'!$R$2:$R$656,$A66,'Display Detail'!$K$2:$K$656,1)</f>
        <v>0</v>
      </c>
      <c r="F66" s="7">
        <f>COUNTIFS('Display Detail'!$R$2:$R$656,$A66,'Display Detail'!$K$2:$K$656,"&gt;0")</f>
        <v>0</v>
      </c>
      <c r="G66" s="8">
        <f>SUMIFS('Display Detail'!$M$2:$M$656,'Display Detail'!$R$2:$R$656,$A66,'Display Detail'!$K$2:$K$656,"&gt;0")</f>
        <v>0</v>
      </c>
      <c r="H66" s="8">
        <f>SUMIFS('Display Detail'!$P$2:$P$656,'Display Detail'!$R$2:$R$656,$A66,'Display Detail'!$K$2:$K$656,"&gt;0")</f>
        <v>0</v>
      </c>
      <c r="I66" s="6">
        <f>COUNTIFS('Display Detail'!$R$2:$R$656,$A66,'Display Detail'!$K$2:$K$656,0)</f>
        <v>1</v>
      </c>
      <c r="J66" s="6">
        <f>COUNTIF('Display Detail'!$R$2:$R$656,$A66)</f>
        <v>1</v>
      </c>
    </row>
    <row r="67">
      <c r="A67" s="5" t="inlineStr">
        <is>
          <t>SINLESS RTD</t>
        </is>
      </c>
      <c r="B67" s="6">
        <f>COUNTIFS('Display Detail'!$R$2:$R$656,$A67,'Display Detail'!$K$2:$K$656,4)</f>
        <v>0</v>
      </c>
      <c r="C67" s="6">
        <f>COUNTIFS('Display Detail'!$R$2:$R$656,$A67,'Display Detail'!$K$2:$K$656,3)</f>
        <v>0</v>
      </c>
      <c r="D67" s="6">
        <f>COUNTIFS('Display Detail'!$R$2:$R$656,$A67,'Display Detail'!$K$2:$K$656,2)</f>
        <v>0</v>
      </c>
      <c r="E67" s="6">
        <f>COUNTIFS('Display Detail'!$R$2:$R$656,$A67,'Display Detail'!$K$2:$K$656,1)</f>
        <v>0</v>
      </c>
      <c r="F67" s="7">
        <f>COUNTIFS('Display Detail'!$R$2:$R$656,$A67,'Display Detail'!$K$2:$K$656,"&gt;0")</f>
        <v>0</v>
      </c>
      <c r="G67" s="8">
        <f>SUMIFS('Display Detail'!$M$2:$M$656,'Display Detail'!$R$2:$R$656,$A67,'Display Detail'!$K$2:$K$656,"&gt;0")</f>
        <v>0</v>
      </c>
      <c r="H67" s="8">
        <f>SUMIFS('Display Detail'!$P$2:$P$656,'Display Detail'!$R$2:$R$656,$A67,'Display Detail'!$K$2:$K$656,"&gt;0")</f>
        <v>0</v>
      </c>
      <c r="I67" s="6">
        <f>COUNTIFS('Display Detail'!$R$2:$R$656,$A67,'Display Detail'!$K$2:$K$656,0)</f>
        <v>1</v>
      </c>
      <c r="J67" s="6">
        <f>COUNTIF('Display Detail'!$R$2:$R$656,$A67)</f>
        <v>1</v>
      </c>
    </row>
    <row r="68">
      <c r="A68" s="5" t="inlineStr">
        <is>
          <t>VICTORY BREWING COMPANY</t>
        </is>
      </c>
      <c r="B68" s="6">
        <f>COUNTIFS('Display Detail'!$R$2:$R$656,$A68,'Display Detail'!$K$2:$K$656,4)</f>
        <v>0</v>
      </c>
      <c r="C68" s="6">
        <f>COUNTIFS('Display Detail'!$R$2:$R$656,$A68,'Display Detail'!$K$2:$K$656,3)</f>
        <v>0</v>
      </c>
      <c r="D68" s="6">
        <f>COUNTIFS('Display Detail'!$R$2:$R$656,$A68,'Display Detail'!$K$2:$K$656,2)</f>
        <v>0</v>
      </c>
      <c r="E68" s="6">
        <f>COUNTIFS('Display Detail'!$R$2:$R$656,$A68,'Display Detail'!$K$2:$K$656,1)</f>
        <v>0</v>
      </c>
      <c r="F68" s="7">
        <f>COUNTIFS('Display Detail'!$R$2:$R$656,$A68,'Display Detail'!$K$2:$K$656,"&gt;0")</f>
        <v>0</v>
      </c>
      <c r="G68" s="8">
        <f>SUMIFS('Display Detail'!$M$2:$M$656,'Display Detail'!$R$2:$R$656,$A68,'Display Detail'!$K$2:$K$656,"&gt;0")</f>
        <v>0</v>
      </c>
      <c r="H68" s="8">
        <f>SUMIFS('Display Detail'!$P$2:$P$656,'Display Detail'!$R$2:$R$656,$A68,'Display Detail'!$K$2:$K$656,"&gt;0")</f>
        <v>0</v>
      </c>
      <c r="I68" s="6">
        <f>COUNTIFS('Display Detail'!$R$2:$R$656,$A68,'Display Detail'!$K$2:$K$656,0)</f>
        <v>1</v>
      </c>
      <c r="J68" s="6">
        <f>COUNTIF('Display Detail'!$R$2:$R$656,$A68)</f>
        <v>1</v>
      </c>
    </row>
    <row r="69">
      <c r="A69" s="5" t="inlineStr">
        <is>
          <t>VIVA TEQUILA SELTZER</t>
        </is>
      </c>
      <c r="B69" s="6">
        <f>COUNTIFS('Display Detail'!$R$2:$R$656,$A69,'Display Detail'!$K$2:$K$656,4)</f>
        <v>0</v>
      </c>
      <c r="C69" s="6">
        <f>COUNTIFS('Display Detail'!$R$2:$R$656,$A69,'Display Detail'!$K$2:$K$656,3)</f>
        <v>0</v>
      </c>
      <c r="D69" s="6">
        <f>COUNTIFS('Display Detail'!$R$2:$R$656,$A69,'Display Detail'!$K$2:$K$656,2)</f>
        <v>0</v>
      </c>
      <c r="E69" s="6">
        <f>COUNTIFS('Display Detail'!$R$2:$R$656,$A69,'Display Detail'!$K$2:$K$656,1)</f>
        <v>0</v>
      </c>
      <c r="F69" s="7">
        <f>COUNTIFS('Display Detail'!$R$2:$R$656,$A69,'Display Detail'!$K$2:$K$656,"&gt;0")</f>
        <v>0</v>
      </c>
      <c r="G69" s="8">
        <f>SUMIFS('Display Detail'!$M$2:$M$656,'Display Detail'!$R$2:$R$656,$A69,'Display Detail'!$K$2:$K$656,"&gt;0")</f>
        <v>0</v>
      </c>
      <c r="H69" s="8">
        <f>SUMIFS('Display Detail'!$P$2:$P$656,'Display Detail'!$R$2:$R$656,$A69,'Display Detail'!$K$2:$K$656,"&gt;0")</f>
        <v>0</v>
      </c>
      <c r="I69" s="6">
        <f>COUNTIFS('Display Detail'!$R$2:$R$656,$A69,'Display Detail'!$K$2:$K$656,0)</f>
        <v>1</v>
      </c>
      <c r="J69" s="6">
        <f>COUNTIF('Display Detail'!$R$2:$R$656,$A69)</f>
        <v>1</v>
      </c>
    </row>
    <row r="70">
      <c r="A70" s="10" t="inlineStr">
        <is>
          <t>TOTAL — ALL DISPLAYS</t>
        </is>
      </c>
      <c r="B70" s="11">
        <f>COUNTIF('Display Detail'!$K$2:$K$656,4)</f>
        <v>190</v>
      </c>
      <c r="C70" s="11">
        <f>COUNTIF('Display Detail'!$K$2:$K$656,3)</f>
        <v>157</v>
      </c>
      <c r="D70" s="11">
        <f>COUNTIF('Display Detail'!$K$2:$K$656,2)</f>
        <v>97</v>
      </c>
      <c r="E70" s="11">
        <f>COUNTIF('Display Detail'!$K$2:$K$656,1)</f>
        <v>50</v>
      </c>
      <c r="F70" s="11">
        <f>COUNTIF('Display Detail'!$K$2:$K$656,"&gt;0")</f>
        <v>494</v>
      </c>
      <c r="G70" s="11">
        <f>SUMIFS('Display Detail'!$M$2:$M$656,'Display Detail'!$K$2:$K$656,"&gt;0")</f>
        <v>31202</v>
      </c>
      <c r="H70" s="11">
        <f>SUMIFS('Display Detail'!$P$2:$P$656,'Display Detail'!$K$2:$K$656,"&gt;0")</f>
        <v>302200</v>
      </c>
      <c r="I70" s="11">
        <f>COUNTIF('Display Detail'!$K$2:$K$656,0)</f>
        <v>161</v>
      </c>
      <c r="J70" s="11">
        <f>COUNTA('Display Detail'!$A$2:$A$656)</f>
        <v>655</v>
      </c>
    </row>
    <row r="72">
      <c r="A72" s="12" t="inlineStr">
        <is>
          <t>Lead Brand = the brand holding the most cases in that photo submission, so each display appears against exactly one brand.</t>
        </is>
      </c>
    </row>
    <row r="73">
      <c r="A73" s="12" t="inlineStr">
        <is>
          <t>Multi-brand displays are common (a single photo often carries 3-6 SKUs); the full brand list for every display is on the Display Detail tab.</t>
        </is>
      </c>
    </row>
    <row r="74">
      <c r="A74" s="12" t="inlineStr">
        <is>
          <t>Source: iSellBeer display photo export, 07/01/2026 – 08/31/2026 (Report_59, pulled 08/31/2026).</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4" customWidth="1" min="6" max="6"/>
    <col width="13" customWidth="1" min="7" max="7"/>
    <col width="12" customWidth="1" min="8" max="8"/>
    <col width="13" customWidth="1" min="9" max="9"/>
    <col width="12" customWidth="1" min="10" max="10"/>
  </cols>
  <sheetData>
    <row r="1" ht="30" customHeight="1">
      <c r="A1" s="1" t="inlineStr">
        <is>
          <t>Summer Display Auction — Qualifying Displays by Person</t>
        </is>
      </c>
    </row>
    <row r="2" ht="18" customHeight="1">
      <c r="A2" s="2" t="inlineStr">
        <is>
          <t>Kohler iSell Beer Summer Display Program · 07/01/2026 – 08/31/2026 · one row per photo submission, counted once in its case-size tier</t>
        </is>
      </c>
    </row>
    <row r="4" ht="32" customHeight="1">
      <c r="A4" s="3" t="inlineStr">
        <is>
          <t>Rep / Sales Associate</t>
        </is>
      </c>
      <c r="B4" s="4" t="inlineStr">
        <is>
          <t>Gold
70+ cases</t>
        </is>
      </c>
      <c r="C4" s="4" t="inlineStr">
        <is>
          <t>Silver
40-69 cases</t>
        </is>
      </c>
      <c r="D4" s="4" t="inlineStr">
        <is>
          <t>Bronze
20-39 cases</t>
        </is>
      </c>
      <c r="E4" s="4" t="inlineStr">
        <is>
          <t>Other
10-19 cases</t>
        </is>
      </c>
      <c r="F4" s="4" t="inlineStr">
        <is>
          <t>Total Qualifying
Displays</t>
        </is>
      </c>
      <c r="G4" s="4" t="inlineStr">
        <is>
          <t>Total Cases
(qualifying)</t>
        </is>
      </c>
      <c r="H4" s="4" t="inlineStr">
        <is>
          <t>Total Points</t>
        </is>
      </c>
      <c r="I4" s="4" t="inlineStr">
        <is>
          <t>Non-Qualifying
(&lt;10 cases)</t>
        </is>
      </c>
      <c r="J4" s="4" t="inlineStr">
        <is>
          <t>Total
Submissions</t>
        </is>
      </c>
    </row>
    <row r="5">
      <c r="A5" s="9" t="inlineStr">
        <is>
          <t>SALES REPS — Display Auction</t>
        </is>
      </c>
    </row>
    <row r="6">
      <c r="A6" s="5" t="inlineStr">
        <is>
          <t>Alex Rodriguez</t>
        </is>
      </c>
      <c r="B6" s="6">
        <f>COUNTIFS('Display Detail'!$D$2:$D$656,$A6,'Display Detail'!$K$2:$K$656,4)</f>
        <v>1</v>
      </c>
      <c r="C6" s="6">
        <f>COUNTIFS('Display Detail'!$D$2:$D$656,$A6,'Display Detail'!$K$2:$K$656,3)</f>
        <v>1</v>
      </c>
      <c r="D6" s="6">
        <f>COUNTIFS('Display Detail'!$D$2:$D$656,$A6,'Display Detail'!$K$2:$K$656,2)</f>
        <v>4</v>
      </c>
      <c r="E6" s="6">
        <f>COUNTIFS('Display Detail'!$D$2:$D$656,$A6,'Display Detail'!$K$2:$K$656,1)</f>
        <v>2</v>
      </c>
      <c r="F6" s="7">
        <f>COUNTIFS('Display Detail'!$D$2:$D$656,$A6,'Display Detail'!$K$2:$K$656,"&gt;0")</f>
        <v>8</v>
      </c>
      <c r="G6" s="8">
        <f>SUMIFS('Display Detail'!$M$2:$M$656,'Display Detail'!$D$2:$D$656,$A6,'Display Detail'!$K$2:$K$656,"&gt;0")</f>
        <v>364</v>
      </c>
      <c r="H6" s="8">
        <f>SUMIFS('Display Detail'!$P$2:$P$656,'Display Detail'!$D$2:$D$656,$A6,'Display Detail'!$K$2:$K$656,"&gt;0")</f>
        <v>2900</v>
      </c>
      <c r="I6" s="6">
        <f>COUNTIFS('Display Detail'!$D$2:$D$656,$A6,'Display Detail'!$K$2:$K$656,0)</f>
        <v>0</v>
      </c>
      <c r="J6" s="6">
        <f>COUNTIF('Display Detail'!$D$2:$D$656,$A6)</f>
        <v>8</v>
      </c>
    </row>
    <row r="7">
      <c r="A7" s="5" t="inlineStr">
        <is>
          <t>Andrew Lundy</t>
        </is>
      </c>
      <c r="B7" s="6">
        <f>COUNTIFS('Display Detail'!$D$2:$D$656,$A7,'Display Detail'!$K$2:$K$656,4)</f>
        <v>0</v>
      </c>
      <c r="C7" s="6">
        <f>COUNTIFS('Display Detail'!$D$2:$D$656,$A7,'Display Detail'!$K$2:$K$656,3)</f>
        <v>0</v>
      </c>
      <c r="D7" s="6">
        <f>COUNTIFS('Display Detail'!$D$2:$D$656,$A7,'Display Detail'!$K$2:$K$656,2)</f>
        <v>1</v>
      </c>
      <c r="E7" s="6">
        <f>COUNTIFS('Display Detail'!$D$2:$D$656,$A7,'Display Detail'!$K$2:$K$656,1)</f>
        <v>0</v>
      </c>
      <c r="F7" s="7">
        <f>COUNTIFS('Display Detail'!$D$2:$D$656,$A7,'Display Detail'!$K$2:$K$656,"&gt;0")</f>
        <v>1</v>
      </c>
      <c r="G7" s="8">
        <f>SUMIFS('Display Detail'!$M$2:$M$656,'Display Detail'!$D$2:$D$656,$A7,'Display Detail'!$K$2:$K$656,"&gt;0")</f>
        <v>25</v>
      </c>
      <c r="H7" s="8">
        <f>SUMIFS('Display Detail'!$P$2:$P$656,'Display Detail'!$D$2:$D$656,$A7,'Display Detail'!$K$2:$K$656,"&gt;0")</f>
        <v>300</v>
      </c>
      <c r="I7" s="6">
        <f>COUNTIFS('Display Detail'!$D$2:$D$656,$A7,'Display Detail'!$K$2:$K$656,0)</f>
        <v>0</v>
      </c>
      <c r="J7" s="6">
        <f>COUNTIF('Display Detail'!$D$2:$D$656,$A7)</f>
        <v>1</v>
      </c>
    </row>
    <row r="8">
      <c r="A8" s="5" t="inlineStr">
        <is>
          <t>Chris Payton</t>
        </is>
      </c>
      <c r="B8" s="6">
        <f>COUNTIFS('Display Detail'!$D$2:$D$656,$A8,'Display Detail'!$K$2:$K$656,4)</f>
        <v>1</v>
      </c>
      <c r="C8" s="6">
        <f>COUNTIFS('Display Detail'!$D$2:$D$656,$A8,'Display Detail'!$K$2:$K$656,3)</f>
        <v>6</v>
      </c>
      <c r="D8" s="6">
        <f>COUNTIFS('Display Detail'!$D$2:$D$656,$A8,'Display Detail'!$K$2:$K$656,2)</f>
        <v>4</v>
      </c>
      <c r="E8" s="6">
        <f>COUNTIFS('Display Detail'!$D$2:$D$656,$A8,'Display Detail'!$K$2:$K$656,1)</f>
        <v>0</v>
      </c>
      <c r="F8" s="7">
        <f>COUNTIFS('Display Detail'!$D$2:$D$656,$A8,'Display Detail'!$K$2:$K$656,"&gt;0")</f>
        <v>11</v>
      </c>
      <c r="G8" s="8">
        <f>SUMIFS('Display Detail'!$M$2:$M$656,'Display Detail'!$D$2:$D$656,$A8,'Display Detail'!$K$2:$K$656,"&gt;0")</f>
        <v>489</v>
      </c>
      <c r="H8" s="8">
        <f>SUMIFS('Display Detail'!$P$2:$P$656,'Display Detail'!$D$2:$D$656,$A8,'Display Detail'!$K$2:$K$656,"&gt;0")</f>
        <v>5200</v>
      </c>
      <c r="I8" s="6">
        <f>COUNTIFS('Display Detail'!$D$2:$D$656,$A8,'Display Detail'!$K$2:$K$656,0)</f>
        <v>8</v>
      </c>
      <c r="J8" s="6">
        <f>COUNTIF('Display Detail'!$D$2:$D$656,$A8)</f>
        <v>19</v>
      </c>
    </row>
    <row r="9">
      <c r="A9" s="5" t="inlineStr">
        <is>
          <t>Daniel La Gala</t>
        </is>
      </c>
      <c r="B9" s="6">
        <f>COUNTIFS('Display Detail'!$D$2:$D$656,$A9,'Display Detail'!$K$2:$K$656,4)</f>
        <v>3</v>
      </c>
      <c r="C9" s="6">
        <f>COUNTIFS('Display Detail'!$D$2:$D$656,$A9,'Display Detail'!$K$2:$K$656,3)</f>
        <v>0</v>
      </c>
      <c r="D9" s="6">
        <f>COUNTIFS('Display Detail'!$D$2:$D$656,$A9,'Display Detail'!$K$2:$K$656,2)</f>
        <v>0</v>
      </c>
      <c r="E9" s="6">
        <f>COUNTIFS('Display Detail'!$D$2:$D$656,$A9,'Display Detail'!$K$2:$K$656,1)</f>
        <v>0</v>
      </c>
      <c r="F9" s="7">
        <f>COUNTIFS('Display Detail'!$D$2:$D$656,$A9,'Display Detail'!$K$2:$K$656,"&gt;0")</f>
        <v>3</v>
      </c>
      <c r="G9" s="8">
        <f>SUMIFS('Display Detail'!$M$2:$M$656,'Display Detail'!$D$2:$D$656,$A9,'Display Detail'!$K$2:$K$656,"&gt;0")</f>
        <v>300</v>
      </c>
      <c r="H9" s="8">
        <f>SUMIFS('Display Detail'!$P$2:$P$656,'Display Detail'!$D$2:$D$656,$A9,'Display Detail'!$K$2:$K$656,"&gt;0")</f>
        <v>2600</v>
      </c>
      <c r="I9" s="6">
        <f>COUNTIFS('Display Detail'!$D$2:$D$656,$A9,'Display Detail'!$K$2:$K$656,0)</f>
        <v>5</v>
      </c>
      <c r="J9" s="6">
        <f>COUNTIF('Display Detail'!$D$2:$D$656,$A9)</f>
        <v>8</v>
      </c>
    </row>
    <row r="10">
      <c r="A10" s="5" t="inlineStr">
        <is>
          <t>Dave Ehlers</t>
        </is>
      </c>
      <c r="B10" s="6">
        <f>COUNTIFS('Display Detail'!$D$2:$D$656,$A10,'Display Detail'!$K$2:$K$656,4)</f>
        <v>21</v>
      </c>
      <c r="C10" s="6">
        <f>COUNTIFS('Display Detail'!$D$2:$D$656,$A10,'Display Detail'!$K$2:$K$656,3)</f>
        <v>6</v>
      </c>
      <c r="D10" s="6">
        <f>COUNTIFS('Display Detail'!$D$2:$D$656,$A10,'Display Detail'!$K$2:$K$656,2)</f>
        <v>4</v>
      </c>
      <c r="E10" s="6">
        <f>COUNTIFS('Display Detail'!$D$2:$D$656,$A10,'Display Detail'!$K$2:$K$656,1)</f>
        <v>3</v>
      </c>
      <c r="F10" s="7">
        <f>COUNTIFS('Display Detail'!$D$2:$D$656,$A10,'Display Detail'!$K$2:$K$656,"&gt;0")</f>
        <v>34</v>
      </c>
      <c r="G10" s="8">
        <f>SUMIFS('Display Detail'!$M$2:$M$656,'Display Detail'!$D$2:$D$656,$A10,'Display Detail'!$K$2:$K$656,"&gt;0")</f>
        <v>2773</v>
      </c>
      <c r="H10" s="8">
        <f>SUMIFS('Display Detail'!$P$2:$P$656,'Display Detail'!$D$2:$D$656,$A10,'Display Detail'!$K$2:$K$656,"&gt;0")</f>
        <v>25000</v>
      </c>
      <c r="I10" s="6">
        <f>COUNTIFS('Display Detail'!$D$2:$D$656,$A10,'Display Detail'!$K$2:$K$656,0)</f>
        <v>7</v>
      </c>
      <c r="J10" s="6">
        <f>COUNTIF('Display Detail'!$D$2:$D$656,$A10)</f>
        <v>41</v>
      </c>
    </row>
    <row r="11">
      <c r="A11" s="5" t="inlineStr">
        <is>
          <t>Derrick laws</t>
        </is>
      </c>
      <c r="B11" s="6">
        <f>COUNTIFS('Display Detail'!$D$2:$D$656,$A11,'Display Detail'!$K$2:$K$656,4)</f>
        <v>3</v>
      </c>
      <c r="C11" s="6">
        <f>COUNTIFS('Display Detail'!$D$2:$D$656,$A11,'Display Detail'!$K$2:$K$656,3)</f>
        <v>1</v>
      </c>
      <c r="D11" s="6">
        <f>COUNTIFS('Display Detail'!$D$2:$D$656,$A11,'Display Detail'!$K$2:$K$656,2)</f>
        <v>4</v>
      </c>
      <c r="E11" s="6">
        <f>COUNTIFS('Display Detail'!$D$2:$D$656,$A11,'Display Detail'!$K$2:$K$656,1)</f>
        <v>2</v>
      </c>
      <c r="F11" s="7">
        <f>COUNTIFS('Display Detail'!$D$2:$D$656,$A11,'Display Detail'!$K$2:$K$656,"&gt;0")</f>
        <v>10</v>
      </c>
      <c r="G11" s="8">
        <f>SUMIFS('Display Detail'!$M$2:$M$656,'Display Detail'!$D$2:$D$656,$A11,'Display Detail'!$K$2:$K$656,"&gt;0")</f>
        <v>426</v>
      </c>
      <c r="H11" s="8">
        <f>SUMIFS('Display Detail'!$P$2:$P$656,'Display Detail'!$D$2:$D$656,$A11,'Display Detail'!$K$2:$K$656,"&gt;0")</f>
        <v>5000</v>
      </c>
      <c r="I11" s="6">
        <f>COUNTIFS('Display Detail'!$D$2:$D$656,$A11,'Display Detail'!$K$2:$K$656,0)</f>
        <v>2</v>
      </c>
      <c r="J11" s="6">
        <f>COUNTIF('Display Detail'!$D$2:$D$656,$A11)</f>
        <v>12</v>
      </c>
    </row>
    <row r="12">
      <c r="A12" s="5" t="inlineStr">
        <is>
          <t>Dylan Rubino</t>
        </is>
      </c>
      <c r="B12" s="6">
        <f>COUNTIFS('Display Detail'!$D$2:$D$656,$A12,'Display Detail'!$K$2:$K$656,4)</f>
        <v>0</v>
      </c>
      <c r="C12" s="6">
        <f>COUNTIFS('Display Detail'!$D$2:$D$656,$A12,'Display Detail'!$K$2:$K$656,3)</f>
        <v>0</v>
      </c>
      <c r="D12" s="6">
        <f>COUNTIFS('Display Detail'!$D$2:$D$656,$A12,'Display Detail'!$K$2:$K$656,2)</f>
        <v>1</v>
      </c>
      <c r="E12" s="6">
        <f>COUNTIFS('Display Detail'!$D$2:$D$656,$A12,'Display Detail'!$K$2:$K$656,1)</f>
        <v>0</v>
      </c>
      <c r="F12" s="7">
        <f>COUNTIFS('Display Detail'!$D$2:$D$656,$A12,'Display Detail'!$K$2:$K$656,"&gt;0")</f>
        <v>1</v>
      </c>
      <c r="G12" s="8">
        <f>SUMIFS('Display Detail'!$M$2:$M$656,'Display Detail'!$D$2:$D$656,$A12,'Display Detail'!$K$2:$K$656,"&gt;0")</f>
        <v>38</v>
      </c>
      <c r="H12" s="8">
        <f>SUMIFS('Display Detail'!$P$2:$P$656,'Display Detail'!$D$2:$D$656,$A12,'Display Detail'!$K$2:$K$656,"&gt;0")</f>
        <v>200</v>
      </c>
      <c r="I12" s="6">
        <f>COUNTIFS('Display Detail'!$D$2:$D$656,$A12,'Display Detail'!$K$2:$K$656,0)</f>
        <v>5</v>
      </c>
      <c r="J12" s="6">
        <f>COUNTIF('Display Detail'!$D$2:$D$656,$A12)</f>
        <v>6</v>
      </c>
    </row>
    <row r="13">
      <c r="A13" s="5" t="inlineStr">
        <is>
          <t>Jaime Colonna</t>
        </is>
      </c>
      <c r="B13" s="6">
        <f>COUNTIFS('Display Detail'!$D$2:$D$656,$A13,'Display Detail'!$K$2:$K$656,4)</f>
        <v>0</v>
      </c>
      <c r="C13" s="6">
        <f>COUNTIFS('Display Detail'!$D$2:$D$656,$A13,'Display Detail'!$K$2:$K$656,3)</f>
        <v>0</v>
      </c>
      <c r="D13" s="6">
        <f>COUNTIFS('Display Detail'!$D$2:$D$656,$A13,'Display Detail'!$K$2:$K$656,2)</f>
        <v>1</v>
      </c>
      <c r="E13" s="6">
        <f>COUNTIFS('Display Detail'!$D$2:$D$656,$A13,'Display Detail'!$K$2:$K$656,1)</f>
        <v>0</v>
      </c>
      <c r="F13" s="7">
        <f>COUNTIFS('Display Detail'!$D$2:$D$656,$A13,'Display Detail'!$K$2:$K$656,"&gt;0")</f>
        <v>1</v>
      </c>
      <c r="G13" s="8">
        <f>SUMIFS('Display Detail'!$M$2:$M$656,'Display Detail'!$D$2:$D$656,$A13,'Display Detail'!$K$2:$K$656,"&gt;0")</f>
        <v>20</v>
      </c>
      <c r="H13" s="8">
        <f>SUMIFS('Display Detail'!$P$2:$P$656,'Display Detail'!$D$2:$D$656,$A13,'Display Detail'!$K$2:$K$656,"&gt;0")</f>
        <v>200</v>
      </c>
      <c r="I13" s="6">
        <f>COUNTIFS('Display Detail'!$D$2:$D$656,$A13,'Display Detail'!$K$2:$K$656,0)</f>
        <v>0</v>
      </c>
      <c r="J13" s="6">
        <f>COUNTIF('Display Detail'!$D$2:$D$656,$A13)</f>
        <v>1</v>
      </c>
    </row>
    <row r="14">
      <c r="A14" s="5" t="inlineStr">
        <is>
          <t>James Heaney</t>
        </is>
      </c>
      <c r="B14" s="6">
        <f>COUNTIFS('Display Detail'!$D$2:$D$656,$A14,'Display Detail'!$K$2:$K$656,4)</f>
        <v>3</v>
      </c>
      <c r="C14" s="6">
        <f>COUNTIFS('Display Detail'!$D$2:$D$656,$A14,'Display Detail'!$K$2:$K$656,3)</f>
        <v>2</v>
      </c>
      <c r="D14" s="6">
        <f>COUNTIFS('Display Detail'!$D$2:$D$656,$A14,'Display Detail'!$K$2:$K$656,2)</f>
        <v>1</v>
      </c>
      <c r="E14" s="6">
        <f>COUNTIFS('Display Detail'!$D$2:$D$656,$A14,'Display Detail'!$K$2:$K$656,1)</f>
        <v>1</v>
      </c>
      <c r="F14" s="7">
        <f>COUNTIFS('Display Detail'!$D$2:$D$656,$A14,'Display Detail'!$K$2:$K$656,"&gt;0")</f>
        <v>7</v>
      </c>
      <c r="G14" s="8">
        <f>SUMIFS('Display Detail'!$M$2:$M$656,'Display Detail'!$D$2:$D$656,$A14,'Display Detail'!$K$2:$K$656,"&gt;0")</f>
        <v>388</v>
      </c>
      <c r="H14" s="8">
        <f>SUMIFS('Display Detail'!$P$2:$P$656,'Display Detail'!$D$2:$D$656,$A14,'Display Detail'!$K$2:$K$656,"&gt;0")</f>
        <v>4500</v>
      </c>
      <c r="I14" s="6">
        <f>COUNTIFS('Display Detail'!$D$2:$D$656,$A14,'Display Detail'!$K$2:$K$656,0)</f>
        <v>5</v>
      </c>
      <c r="J14" s="6">
        <f>COUNTIF('Display Detail'!$D$2:$D$656,$A14)</f>
        <v>12</v>
      </c>
    </row>
    <row r="15">
      <c r="A15" s="5" t="inlineStr">
        <is>
          <t>Javier Melo</t>
        </is>
      </c>
      <c r="B15" s="6">
        <f>COUNTIFS('Display Detail'!$D$2:$D$656,$A15,'Display Detail'!$K$2:$K$656,4)</f>
        <v>1</v>
      </c>
      <c r="C15" s="6">
        <f>COUNTIFS('Display Detail'!$D$2:$D$656,$A15,'Display Detail'!$K$2:$K$656,3)</f>
        <v>4</v>
      </c>
      <c r="D15" s="6">
        <f>COUNTIFS('Display Detail'!$D$2:$D$656,$A15,'Display Detail'!$K$2:$K$656,2)</f>
        <v>5</v>
      </c>
      <c r="E15" s="6">
        <f>COUNTIFS('Display Detail'!$D$2:$D$656,$A15,'Display Detail'!$K$2:$K$656,1)</f>
        <v>6</v>
      </c>
      <c r="F15" s="7">
        <f>COUNTIFS('Display Detail'!$D$2:$D$656,$A15,'Display Detail'!$K$2:$K$656,"&gt;0")</f>
        <v>16</v>
      </c>
      <c r="G15" s="8">
        <f>SUMIFS('Display Detail'!$M$2:$M$656,'Display Detail'!$D$2:$D$656,$A15,'Display Detail'!$K$2:$K$656,"&gt;0")</f>
        <v>486</v>
      </c>
      <c r="H15" s="8">
        <f>SUMIFS('Display Detail'!$P$2:$P$656,'Display Detail'!$D$2:$D$656,$A15,'Display Detail'!$K$2:$K$656,"&gt;0")</f>
        <v>5600</v>
      </c>
      <c r="I15" s="6">
        <f>COUNTIFS('Display Detail'!$D$2:$D$656,$A15,'Display Detail'!$K$2:$K$656,0)</f>
        <v>3</v>
      </c>
      <c r="J15" s="6">
        <f>COUNTIF('Display Detail'!$D$2:$D$656,$A15)</f>
        <v>19</v>
      </c>
    </row>
    <row r="16">
      <c r="A16" s="5" t="inlineStr">
        <is>
          <t>Jayson Romine</t>
        </is>
      </c>
      <c r="B16" s="6">
        <f>COUNTIFS('Display Detail'!$D$2:$D$656,$A16,'Display Detail'!$K$2:$K$656,4)</f>
        <v>2</v>
      </c>
      <c r="C16" s="6">
        <f>COUNTIFS('Display Detail'!$D$2:$D$656,$A16,'Display Detail'!$K$2:$K$656,3)</f>
        <v>1</v>
      </c>
      <c r="D16" s="6">
        <f>COUNTIFS('Display Detail'!$D$2:$D$656,$A16,'Display Detail'!$K$2:$K$656,2)</f>
        <v>2</v>
      </c>
      <c r="E16" s="6">
        <f>COUNTIFS('Display Detail'!$D$2:$D$656,$A16,'Display Detail'!$K$2:$K$656,1)</f>
        <v>0</v>
      </c>
      <c r="F16" s="7">
        <f>COUNTIFS('Display Detail'!$D$2:$D$656,$A16,'Display Detail'!$K$2:$K$656,"&gt;0")</f>
        <v>5</v>
      </c>
      <c r="G16" s="8">
        <f>SUMIFS('Display Detail'!$M$2:$M$656,'Display Detail'!$D$2:$D$656,$A16,'Display Detail'!$K$2:$K$656,"&gt;0")</f>
        <v>256</v>
      </c>
      <c r="H16" s="8">
        <f>SUMIFS('Display Detail'!$P$2:$P$656,'Display Detail'!$D$2:$D$656,$A16,'Display Detail'!$K$2:$K$656,"&gt;0")</f>
        <v>3100</v>
      </c>
      <c r="I16" s="6">
        <f>COUNTIFS('Display Detail'!$D$2:$D$656,$A16,'Display Detail'!$K$2:$K$656,0)</f>
        <v>5</v>
      </c>
      <c r="J16" s="6">
        <f>COUNTIF('Display Detail'!$D$2:$D$656,$A16)</f>
        <v>10</v>
      </c>
    </row>
    <row r="17">
      <c r="A17" s="5" t="inlineStr">
        <is>
          <t>John Neukum</t>
        </is>
      </c>
      <c r="B17" s="6">
        <f>COUNTIFS('Display Detail'!$D$2:$D$656,$A17,'Display Detail'!$K$2:$K$656,4)</f>
        <v>13</v>
      </c>
      <c r="C17" s="6">
        <f>COUNTIFS('Display Detail'!$D$2:$D$656,$A17,'Display Detail'!$K$2:$K$656,3)</f>
        <v>5</v>
      </c>
      <c r="D17" s="6">
        <f>COUNTIFS('Display Detail'!$D$2:$D$656,$A17,'Display Detail'!$K$2:$K$656,2)</f>
        <v>0</v>
      </c>
      <c r="E17" s="6">
        <f>COUNTIFS('Display Detail'!$D$2:$D$656,$A17,'Display Detail'!$K$2:$K$656,1)</f>
        <v>1</v>
      </c>
      <c r="F17" s="7">
        <f>COUNTIFS('Display Detail'!$D$2:$D$656,$A17,'Display Detail'!$K$2:$K$656,"&gt;0")</f>
        <v>19</v>
      </c>
      <c r="G17" s="8">
        <f>SUMIFS('Display Detail'!$M$2:$M$656,'Display Detail'!$D$2:$D$656,$A17,'Display Detail'!$K$2:$K$656,"&gt;0")</f>
        <v>1584</v>
      </c>
      <c r="H17" s="8">
        <f>SUMIFS('Display Detail'!$P$2:$P$656,'Display Detail'!$D$2:$D$656,$A17,'Display Detail'!$K$2:$K$656,"&gt;0")</f>
        <v>15700</v>
      </c>
      <c r="I17" s="6">
        <f>COUNTIFS('Display Detail'!$D$2:$D$656,$A17,'Display Detail'!$K$2:$K$656,0)</f>
        <v>0</v>
      </c>
      <c r="J17" s="6">
        <f>COUNTIF('Display Detail'!$D$2:$D$656,$A17)</f>
        <v>19</v>
      </c>
    </row>
    <row r="18">
      <c r="A18" s="5" t="inlineStr">
        <is>
          <t>John O’Donoghue</t>
        </is>
      </c>
      <c r="B18" s="6">
        <f>COUNTIFS('Display Detail'!$D$2:$D$656,$A18,'Display Detail'!$K$2:$K$656,4)</f>
        <v>0</v>
      </c>
      <c r="C18" s="6">
        <f>COUNTIFS('Display Detail'!$D$2:$D$656,$A18,'Display Detail'!$K$2:$K$656,3)</f>
        <v>0</v>
      </c>
      <c r="D18" s="6">
        <f>COUNTIFS('Display Detail'!$D$2:$D$656,$A18,'Display Detail'!$K$2:$K$656,2)</f>
        <v>1</v>
      </c>
      <c r="E18" s="6">
        <f>COUNTIFS('Display Detail'!$D$2:$D$656,$A18,'Display Detail'!$K$2:$K$656,1)</f>
        <v>2</v>
      </c>
      <c r="F18" s="7">
        <f>COUNTIFS('Display Detail'!$D$2:$D$656,$A18,'Display Detail'!$K$2:$K$656,"&gt;0")</f>
        <v>3</v>
      </c>
      <c r="G18" s="8">
        <f>SUMIFS('Display Detail'!$M$2:$M$656,'Display Detail'!$D$2:$D$656,$A18,'Display Detail'!$K$2:$K$656,"&gt;0")</f>
        <v>49</v>
      </c>
      <c r="H18" s="8">
        <f>SUMIFS('Display Detail'!$P$2:$P$656,'Display Detail'!$D$2:$D$656,$A18,'Display Detail'!$K$2:$K$656,"&gt;0")</f>
        <v>600</v>
      </c>
      <c r="I18" s="6">
        <f>COUNTIFS('Display Detail'!$D$2:$D$656,$A18,'Display Detail'!$K$2:$K$656,0)</f>
        <v>2</v>
      </c>
      <c r="J18" s="6">
        <f>COUNTIF('Display Detail'!$D$2:$D$656,$A18)</f>
        <v>5</v>
      </c>
    </row>
    <row r="19">
      <c r="A19" s="5" t="inlineStr">
        <is>
          <t>Klejdi Lamo</t>
        </is>
      </c>
      <c r="B19" s="6">
        <f>COUNTIFS('Display Detail'!$D$2:$D$656,$A19,'Display Detail'!$K$2:$K$656,4)</f>
        <v>7</v>
      </c>
      <c r="C19" s="6">
        <f>COUNTIFS('Display Detail'!$D$2:$D$656,$A19,'Display Detail'!$K$2:$K$656,3)</f>
        <v>0</v>
      </c>
      <c r="D19" s="6">
        <f>COUNTIFS('Display Detail'!$D$2:$D$656,$A19,'Display Detail'!$K$2:$K$656,2)</f>
        <v>0</v>
      </c>
      <c r="E19" s="6">
        <f>COUNTIFS('Display Detail'!$D$2:$D$656,$A19,'Display Detail'!$K$2:$K$656,1)</f>
        <v>0</v>
      </c>
      <c r="F19" s="7">
        <f>COUNTIFS('Display Detail'!$D$2:$D$656,$A19,'Display Detail'!$K$2:$K$656,"&gt;0")</f>
        <v>7</v>
      </c>
      <c r="G19" s="8">
        <f>SUMIFS('Display Detail'!$M$2:$M$656,'Display Detail'!$D$2:$D$656,$A19,'Display Detail'!$K$2:$K$656,"&gt;0")</f>
        <v>610</v>
      </c>
      <c r="H19" s="8">
        <f>SUMIFS('Display Detail'!$P$2:$P$656,'Display Detail'!$D$2:$D$656,$A19,'Display Detail'!$K$2:$K$656,"&gt;0")</f>
        <v>7000</v>
      </c>
      <c r="I19" s="6">
        <f>COUNTIFS('Display Detail'!$D$2:$D$656,$A19,'Display Detail'!$K$2:$K$656,0)</f>
        <v>0</v>
      </c>
      <c r="J19" s="6">
        <f>COUNTIF('Display Detail'!$D$2:$D$656,$A19)</f>
        <v>7</v>
      </c>
    </row>
    <row r="20">
      <c r="A20" s="5" t="inlineStr">
        <is>
          <t>Matthew Powierski</t>
        </is>
      </c>
      <c r="B20" s="6">
        <f>COUNTIFS('Display Detail'!$D$2:$D$656,$A20,'Display Detail'!$K$2:$K$656,4)</f>
        <v>3</v>
      </c>
      <c r="C20" s="6">
        <f>COUNTIFS('Display Detail'!$D$2:$D$656,$A20,'Display Detail'!$K$2:$K$656,3)</f>
        <v>9</v>
      </c>
      <c r="D20" s="6">
        <f>COUNTIFS('Display Detail'!$D$2:$D$656,$A20,'Display Detail'!$K$2:$K$656,2)</f>
        <v>3</v>
      </c>
      <c r="E20" s="6">
        <f>COUNTIFS('Display Detail'!$D$2:$D$656,$A20,'Display Detail'!$K$2:$K$656,1)</f>
        <v>1</v>
      </c>
      <c r="F20" s="7">
        <f>COUNTIFS('Display Detail'!$D$2:$D$656,$A20,'Display Detail'!$K$2:$K$656,"&gt;0")</f>
        <v>16</v>
      </c>
      <c r="G20" s="8">
        <f>SUMIFS('Display Detail'!$M$2:$M$656,'Display Detail'!$D$2:$D$656,$A20,'Display Detail'!$K$2:$K$656,"&gt;0")</f>
        <v>894</v>
      </c>
      <c r="H20" s="8">
        <f>SUMIFS('Display Detail'!$P$2:$P$656,'Display Detail'!$D$2:$D$656,$A20,'Display Detail'!$K$2:$K$656,"&gt;0")</f>
        <v>8600</v>
      </c>
      <c r="I20" s="6">
        <f>COUNTIFS('Display Detail'!$D$2:$D$656,$A20,'Display Detail'!$K$2:$K$656,0)</f>
        <v>9</v>
      </c>
      <c r="J20" s="6">
        <f>COUNTIF('Display Detail'!$D$2:$D$656,$A20)</f>
        <v>25</v>
      </c>
    </row>
    <row r="21">
      <c r="A21" s="5" t="inlineStr">
        <is>
          <t>Michael Harboy</t>
        </is>
      </c>
      <c r="B21" s="6">
        <f>COUNTIFS('Display Detail'!$D$2:$D$656,$A21,'Display Detail'!$K$2:$K$656,4)</f>
        <v>1</v>
      </c>
      <c r="C21" s="6">
        <f>COUNTIFS('Display Detail'!$D$2:$D$656,$A21,'Display Detail'!$K$2:$K$656,3)</f>
        <v>4</v>
      </c>
      <c r="D21" s="6">
        <f>COUNTIFS('Display Detail'!$D$2:$D$656,$A21,'Display Detail'!$K$2:$K$656,2)</f>
        <v>3</v>
      </c>
      <c r="E21" s="6">
        <f>COUNTIFS('Display Detail'!$D$2:$D$656,$A21,'Display Detail'!$K$2:$K$656,1)</f>
        <v>4</v>
      </c>
      <c r="F21" s="7">
        <f>COUNTIFS('Display Detail'!$D$2:$D$656,$A21,'Display Detail'!$K$2:$K$656,"&gt;0")</f>
        <v>12</v>
      </c>
      <c r="G21" s="8">
        <f>SUMIFS('Display Detail'!$M$2:$M$656,'Display Detail'!$D$2:$D$656,$A21,'Display Detail'!$K$2:$K$656,"&gt;0")</f>
        <v>428</v>
      </c>
      <c r="H21" s="8">
        <f>SUMIFS('Display Detail'!$P$2:$P$656,'Display Detail'!$D$2:$D$656,$A21,'Display Detail'!$K$2:$K$656,"&gt;0")</f>
        <v>4600</v>
      </c>
      <c r="I21" s="6">
        <f>COUNTIFS('Display Detail'!$D$2:$D$656,$A21,'Display Detail'!$K$2:$K$656,0)</f>
        <v>1</v>
      </c>
      <c r="J21" s="6">
        <f>COUNTIF('Display Detail'!$D$2:$D$656,$A21)</f>
        <v>13</v>
      </c>
    </row>
    <row r="22">
      <c r="A22" s="5" t="inlineStr">
        <is>
          <t>Mike Ast</t>
        </is>
      </c>
      <c r="B22" s="6">
        <f>COUNTIFS('Display Detail'!$D$2:$D$656,$A22,'Display Detail'!$K$2:$K$656,4)</f>
        <v>28</v>
      </c>
      <c r="C22" s="6">
        <f>COUNTIFS('Display Detail'!$D$2:$D$656,$A22,'Display Detail'!$K$2:$K$656,3)</f>
        <v>10</v>
      </c>
      <c r="D22" s="6">
        <f>COUNTIFS('Display Detail'!$D$2:$D$656,$A22,'Display Detail'!$K$2:$K$656,2)</f>
        <v>10</v>
      </c>
      <c r="E22" s="6">
        <f>COUNTIFS('Display Detail'!$D$2:$D$656,$A22,'Display Detail'!$K$2:$K$656,1)</f>
        <v>6</v>
      </c>
      <c r="F22" s="7">
        <f>COUNTIFS('Display Detail'!$D$2:$D$656,$A22,'Display Detail'!$K$2:$K$656,"&gt;0")</f>
        <v>54</v>
      </c>
      <c r="G22" s="8">
        <f>SUMIFS('Display Detail'!$M$2:$M$656,'Display Detail'!$D$2:$D$656,$A22,'Display Detail'!$K$2:$K$656,"&gt;0")</f>
        <v>3632</v>
      </c>
      <c r="H22" s="8">
        <f>SUMIFS('Display Detail'!$P$2:$P$656,'Display Detail'!$D$2:$D$656,$A22,'Display Detail'!$K$2:$K$656,"&gt;0")</f>
        <v>36400</v>
      </c>
      <c r="I22" s="6">
        <f>COUNTIFS('Display Detail'!$D$2:$D$656,$A22,'Display Detail'!$K$2:$K$656,0)</f>
        <v>1</v>
      </c>
      <c r="J22" s="6">
        <f>COUNTIF('Display Detail'!$D$2:$D$656,$A22)</f>
        <v>55</v>
      </c>
    </row>
    <row r="23">
      <c r="A23" s="5" t="inlineStr">
        <is>
          <t>Pablo Lopez</t>
        </is>
      </c>
      <c r="B23" s="6">
        <f>COUNTIFS('Display Detail'!$D$2:$D$656,$A23,'Display Detail'!$K$2:$K$656,4)</f>
        <v>1</v>
      </c>
      <c r="C23" s="6">
        <f>COUNTIFS('Display Detail'!$D$2:$D$656,$A23,'Display Detail'!$K$2:$K$656,3)</f>
        <v>1</v>
      </c>
      <c r="D23" s="6">
        <f>COUNTIFS('Display Detail'!$D$2:$D$656,$A23,'Display Detail'!$K$2:$K$656,2)</f>
        <v>0</v>
      </c>
      <c r="E23" s="6">
        <f>COUNTIFS('Display Detail'!$D$2:$D$656,$A23,'Display Detail'!$K$2:$K$656,1)</f>
        <v>1</v>
      </c>
      <c r="F23" s="7">
        <f>COUNTIFS('Display Detail'!$D$2:$D$656,$A23,'Display Detail'!$K$2:$K$656,"&gt;0")</f>
        <v>3</v>
      </c>
      <c r="G23" s="8">
        <f>SUMIFS('Display Detail'!$M$2:$M$656,'Display Detail'!$D$2:$D$656,$A23,'Display Detail'!$K$2:$K$656,"&gt;0")</f>
        <v>129</v>
      </c>
      <c r="H23" s="8">
        <f>SUMIFS('Display Detail'!$P$2:$P$656,'Display Detail'!$D$2:$D$656,$A23,'Display Detail'!$K$2:$K$656,"&gt;0")</f>
        <v>1700</v>
      </c>
      <c r="I23" s="6">
        <f>COUNTIFS('Display Detail'!$D$2:$D$656,$A23,'Display Detail'!$K$2:$K$656,0)</f>
        <v>3</v>
      </c>
      <c r="J23" s="6">
        <f>COUNTIF('Display Detail'!$D$2:$D$656,$A23)</f>
        <v>6</v>
      </c>
    </row>
    <row r="24">
      <c r="A24" s="5" t="inlineStr">
        <is>
          <t>Shane Barreca</t>
        </is>
      </c>
      <c r="B24" s="6">
        <f>COUNTIFS('Display Detail'!$D$2:$D$656,$A24,'Display Detail'!$K$2:$K$656,4)</f>
        <v>13</v>
      </c>
      <c r="C24" s="6">
        <f>COUNTIFS('Display Detail'!$D$2:$D$656,$A24,'Display Detail'!$K$2:$K$656,3)</f>
        <v>9</v>
      </c>
      <c r="D24" s="6">
        <f>COUNTIFS('Display Detail'!$D$2:$D$656,$A24,'Display Detail'!$K$2:$K$656,2)</f>
        <v>5</v>
      </c>
      <c r="E24" s="6">
        <f>COUNTIFS('Display Detail'!$D$2:$D$656,$A24,'Display Detail'!$K$2:$K$656,1)</f>
        <v>0</v>
      </c>
      <c r="F24" s="7">
        <f>COUNTIFS('Display Detail'!$D$2:$D$656,$A24,'Display Detail'!$K$2:$K$656,"&gt;0")</f>
        <v>27</v>
      </c>
      <c r="G24" s="8">
        <f>SUMIFS('Display Detail'!$M$2:$M$656,'Display Detail'!$D$2:$D$656,$A24,'Display Detail'!$K$2:$K$656,"&gt;0")</f>
        <v>2198</v>
      </c>
      <c r="H24" s="8">
        <f>SUMIFS('Display Detail'!$P$2:$P$656,'Display Detail'!$D$2:$D$656,$A24,'Display Detail'!$K$2:$K$656,"&gt;0")</f>
        <v>18300</v>
      </c>
      <c r="I24" s="6">
        <f>COUNTIFS('Display Detail'!$D$2:$D$656,$A24,'Display Detail'!$K$2:$K$656,0)</f>
        <v>0</v>
      </c>
      <c r="J24" s="6">
        <f>COUNTIF('Display Detail'!$D$2:$D$656,$A24)</f>
        <v>27</v>
      </c>
    </row>
    <row r="25">
      <c r="A25" s="5" t="inlineStr">
        <is>
          <t>phil Ernst</t>
        </is>
      </c>
      <c r="B25" s="6">
        <f>COUNTIFS('Display Detail'!$D$2:$D$656,$A25,'Display Detail'!$K$2:$K$656,4)</f>
        <v>15</v>
      </c>
      <c r="C25" s="6">
        <f>COUNTIFS('Display Detail'!$D$2:$D$656,$A25,'Display Detail'!$K$2:$K$656,3)</f>
        <v>26</v>
      </c>
      <c r="D25" s="6">
        <f>COUNTIFS('Display Detail'!$D$2:$D$656,$A25,'Display Detail'!$K$2:$K$656,2)</f>
        <v>9</v>
      </c>
      <c r="E25" s="6">
        <f>COUNTIFS('Display Detail'!$D$2:$D$656,$A25,'Display Detail'!$K$2:$K$656,1)</f>
        <v>4</v>
      </c>
      <c r="F25" s="7">
        <f>COUNTIFS('Display Detail'!$D$2:$D$656,$A25,'Display Detail'!$K$2:$K$656,"&gt;0")</f>
        <v>54</v>
      </c>
      <c r="G25" s="8">
        <f>SUMIFS('Display Detail'!$M$2:$M$656,'Display Detail'!$D$2:$D$656,$A25,'Display Detail'!$K$2:$K$656,"&gt;0")</f>
        <v>3271</v>
      </c>
      <c r="H25" s="8">
        <f>SUMIFS('Display Detail'!$P$2:$P$656,'Display Detail'!$D$2:$D$656,$A25,'Display Detail'!$K$2:$K$656,"&gt;0")</f>
        <v>31200</v>
      </c>
      <c r="I25" s="6">
        <f>COUNTIFS('Display Detail'!$D$2:$D$656,$A25,'Display Detail'!$K$2:$K$656,0)</f>
        <v>18</v>
      </c>
      <c r="J25" s="6">
        <f>COUNTIF('Display Detail'!$D$2:$D$656,$A25)</f>
        <v>72</v>
      </c>
    </row>
    <row r="26">
      <c r="A26" s="9" t="inlineStr">
        <is>
          <t>SALES ASSOCIATES — Display Rewards</t>
        </is>
      </c>
    </row>
    <row r="27">
      <c r="A27" s="5" t="inlineStr">
        <is>
          <t>David Fletcher</t>
        </is>
      </c>
      <c r="B27" s="6">
        <f>COUNTIFS('Display Detail'!$D$2:$D$656,$A27,'Display Detail'!$K$2:$K$656,4)</f>
        <v>4</v>
      </c>
      <c r="C27" s="6">
        <f>COUNTIFS('Display Detail'!$D$2:$D$656,$A27,'Display Detail'!$K$2:$K$656,3)</f>
        <v>8</v>
      </c>
      <c r="D27" s="6">
        <f>COUNTIFS('Display Detail'!$D$2:$D$656,$A27,'Display Detail'!$K$2:$K$656,2)</f>
        <v>3</v>
      </c>
      <c r="E27" s="6">
        <f>COUNTIFS('Display Detail'!$D$2:$D$656,$A27,'Display Detail'!$K$2:$K$656,1)</f>
        <v>1</v>
      </c>
      <c r="F27" s="7">
        <f>COUNTIFS('Display Detail'!$D$2:$D$656,$A27,'Display Detail'!$K$2:$K$656,"&gt;0")</f>
        <v>16</v>
      </c>
      <c r="G27" s="8">
        <f>SUMIFS('Display Detail'!$M$2:$M$656,'Display Detail'!$D$2:$D$656,$A27,'Display Detail'!$K$2:$K$656,"&gt;0")</f>
        <v>913</v>
      </c>
      <c r="H27" s="8">
        <f>SUMIFS('Display Detail'!$P$2:$P$656,'Display Detail'!$D$2:$D$656,$A27,'Display Detail'!$K$2:$K$656,"&gt;0")</f>
        <v>9100</v>
      </c>
      <c r="I27" s="6">
        <f>COUNTIFS('Display Detail'!$D$2:$D$656,$A27,'Display Detail'!$K$2:$K$656,0)</f>
        <v>17</v>
      </c>
      <c r="J27" s="6">
        <f>COUNTIF('Display Detail'!$D$2:$D$656,$A27)</f>
        <v>33</v>
      </c>
    </row>
    <row r="28">
      <c r="A28" s="5" t="inlineStr">
        <is>
          <t>Jay Tabasco</t>
        </is>
      </c>
      <c r="B28" s="6">
        <f>COUNTIFS('Display Detail'!$D$2:$D$656,$A28,'Display Detail'!$K$2:$K$656,4)</f>
        <v>11</v>
      </c>
      <c r="C28" s="6">
        <f>COUNTIFS('Display Detail'!$D$2:$D$656,$A28,'Display Detail'!$K$2:$K$656,3)</f>
        <v>5</v>
      </c>
      <c r="D28" s="6">
        <f>COUNTIFS('Display Detail'!$D$2:$D$656,$A28,'Display Detail'!$K$2:$K$656,2)</f>
        <v>3</v>
      </c>
      <c r="E28" s="6">
        <f>COUNTIFS('Display Detail'!$D$2:$D$656,$A28,'Display Detail'!$K$2:$K$656,1)</f>
        <v>3</v>
      </c>
      <c r="F28" s="7">
        <f>COUNTIFS('Display Detail'!$D$2:$D$656,$A28,'Display Detail'!$K$2:$K$656,"&gt;0")</f>
        <v>22</v>
      </c>
      <c r="G28" s="8">
        <f>SUMIFS('Display Detail'!$M$2:$M$656,'Display Detail'!$D$2:$D$656,$A28,'Display Detail'!$K$2:$K$656,"&gt;0")</f>
        <v>1389</v>
      </c>
      <c r="H28" s="8">
        <f>SUMIFS('Display Detail'!$P$2:$P$656,'Display Detail'!$D$2:$D$656,$A28,'Display Detail'!$K$2:$K$656,"&gt;0")</f>
        <v>15000</v>
      </c>
      <c r="I28" s="6">
        <f>COUNTIFS('Display Detail'!$D$2:$D$656,$A28,'Display Detail'!$K$2:$K$656,0)</f>
        <v>3</v>
      </c>
      <c r="J28" s="6">
        <f>COUNTIF('Display Detail'!$D$2:$D$656,$A28)</f>
        <v>25</v>
      </c>
    </row>
    <row r="29">
      <c r="A29" s="5" t="inlineStr">
        <is>
          <t>Nicholas Micco</t>
        </is>
      </c>
      <c r="B29" s="6">
        <f>COUNTIFS('Display Detail'!$D$2:$D$656,$A29,'Display Detail'!$K$2:$K$656,4)</f>
        <v>12</v>
      </c>
      <c r="C29" s="6">
        <f>COUNTIFS('Display Detail'!$D$2:$D$656,$A29,'Display Detail'!$K$2:$K$656,3)</f>
        <v>16</v>
      </c>
      <c r="D29" s="6">
        <f>COUNTIFS('Display Detail'!$D$2:$D$656,$A29,'Display Detail'!$K$2:$K$656,2)</f>
        <v>6</v>
      </c>
      <c r="E29" s="6">
        <f>COUNTIFS('Display Detail'!$D$2:$D$656,$A29,'Display Detail'!$K$2:$K$656,1)</f>
        <v>2</v>
      </c>
      <c r="F29" s="7">
        <f>COUNTIFS('Display Detail'!$D$2:$D$656,$A29,'Display Detail'!$K$2:$K$656,"&gt;0")</f>
        <v>36</v>
      </c>
      <c r="G29" s="8">
        <f>SUMIFS('Display Detail'!$M$2:$M$656,'Display Detail'!$D$2:$D$656,$A29,'Display Detail'!$K$2:$K$656,"&gt;0")</f>
        <v>2257</v>
      </c>
      <c r="H29" s="8">
        <f>SUMIFS('Display Detail'!$P$2:$P$656,'Display Detail'!$D$2:$D$656,$A29,'Display Detail'!$K$2:$K$656,"&gt;0")</f>
        <v>22000</v>
      </c>
      <c r="I29" s="6">
        <f>COUNTIFS('Display Detail'!$D$2:$D$656,$A29,'Display Detail'!$K$2:$K$656,0)</f>
        <v>14</v>
      </c>
      <c r="J29" s="6">
        <f>COUNTIF('Display Detail'!$D$2:$D$656,$A29)</f>
        <v>50</v>
      </c>
    </row>
    <row r="30">
      <c r="A30" s="5" t="inlineStr">
        <is>
          <t>Todd Ewell</t>
        </is>
      </c>
      <c r="B30" s="6">
        <f>COUNTIFS('Display Detail'!$D$2:$D$656,$A30,'Display Detail'!$K$2:$K$656,4)</f>
        <v>10</v>
      </c>
      <c r="C30" s="6">
        <f>COUNTIFS('Display Detail'!$D$2:$D$656,$A30,'Display Detail'!$K$2:$K$656,3)</f>
        <v>9</v>
      </c>
      <c r="D30" s="6">
        <f>COUNTIFS('Display Detail'!$D$2:$D$656,$A30,'Display Detail'!$K$2:$K$656,2)</f>
        <v>2</v>
      </c>
      <c r="E30" s="6">
        <f>COUNTIFS('Display Detail'!$D$2:$D$656,$A30,'Display Detail'!$K$2:$K$656,1)</f>
        <v>1</v>
      </c>
      <c r="F30" s="7">
        <f>COUNTIFS('Display Detail'!$D$2:$D$656,$A30,'Display Detail'!$K$2:$K$656,"&gt;0")</f>
        <v>22</v>
      </c>
      <c r="G30" s="8">
        <f>SUMIFS('Display Detail'!$M$2:$M$656,'Display Detail'!$D$2:$D$656,$A30,'Display Detail'!$K$2:$K$656,"&gt;0")</f>
        <v>1348</v>
      </c>
      <c r="H30" s="8">
        <f>SUMIFS('Display Detail'!$P$2:$P$656,'Display Detail'!$D$2:$D$656,$A30,'Display Detail'!$K$2:$K$656,"&gt;0")</f>
        <v>15300</v>
      </c>
      <c r="I30" s="6">
        <f>COUNTIFS('Display Detail'!$D$2:$D$656,$A30,'Display Detail'!$K$2:$K$656,0)</f>
        <v>0</v>
      </c>
      <c r="J30" s="6">
        <f>COUNTIF('Display Detail'!$D$2:$D$656,$A30)</f>
        <v>22</v>
      </c>
    </row>
    <row r="31">
      <c r="A31" s="5" t="inlineStr">
        <is>
          <t>Vaughn Gallagher</t>
        </is>
      </c>
      <c r="B31" s="6">
        <f>COUNTIFS('Display Detail'!$D$2:$D$656,$A31,'Display Detail'!$K$2:$K$656,4)</f>
        <v>0</v>
      </c>
      <c r="C31" s="6">
        <f>COUNTIFS('Display Detail'!$D$2:$D$656,$A31,'Display Detail'!$K$2:$K$656,3)</f>
        <v>2</v>
      </c>
      <c r="D31" s="6">
        <f>COUNTIFS('Display Detail'!$D$2:$D$656,$A31,'Display Detail'!$K$2:$K$656,2)</f>
        <v>2</v>
      </c>
      <c r="E31" s="6">
        <f>COUNTIFS('Display Detail'!$D$2:$D$656,$A31,'Display Detail'!$K$2:$K$656,1)</f>
        <v>0</v>
      </c>
      <c r="F31" s="7">
        <f>COUNTIFS('Display Detail'!$D$2:$D$656,$A31,'Display Detail'!$K$2:$K$656,"&gt;0")</f>
        <v>4</v>
      </c>
      <c r="G31" s="8">
        <f>SUMIFS('Display Detail'!$M$2:$M$656,'Display Detail'!$D$2:$D$656,$A31,'Display Detail'!$K$2:$K$656,"&gt;0")</f>
        <v>161</v>
      </c>
      <c r="H31" s="8">
        <f>SUMIFS('Display Detail'!$P$2:$P$656,'Display Detail'!$D$2:$D$656,$A31,'Display Detail'!$K$2:$K$656,"&gt;0")</f>
        <v>1600</v>
      </c>
      <c r="I31" s="6">
        <f>COUNTIFS('Display Detail'!$D$2:$D$656,$A31,'Display Detail'!$K$2:$K$656,0)</f>
        <v>2</v>
      </c>
      <c r="J31" s="6">
        <f>COUNTIF('Display Detail'!$D$2:$D$656,$A31)</f>
        <v>6</v>
      </c>
    </row>
    <row r="32">
      <c r="A32" s="5" t="inlineStr">
        <is>
          <t>mickey obrien</t>
        </is>
      </c>
      <c r="B32" s="6">
        <f>COUNTIFS('Display Detail'!$D$2:$D$656,$A32,'Display Detail'!$K$2:$K$656,4)</f>
        <v>24</v>
      </c>
      <c r="C32" s="6">
        <f>COUNTIFS('Display Detail'!$D$2:$D$656,$A32,'Display Detail'!$K$2:$K$656,3)</f>
        <v>15</v>
      </c>
      <c r="D32" s="6">
        <f>COUNTIFS('Display Detail'!$D$2:$D$656,$A32,'Display Detail'!$K$2:$K$656,2)</f>
        <v>10</v>
      </c>
      <c r="E32" s="6">
        <f>COUNTIFS('Display Detail'!$D$2:$D$656,$A32,'Display Detail'!$K$2:$K$656,1)</f>
        <v>4</v>
      </c>
      <c r="F32" s="7">
        <f>COUNTIFS('Display Detail'!$D$2:$D$656,$A32,'Display Detail'!$K$2:$K$656,"&gt;0")</f>
        <v>53</v>
      </c>
      <c r="G32" s="8">
        <f>SUMIFS('Display Detail'!$M$2:$M$656,'Display Detail'!$D$2:$D$656,$A32,'Display Detail'!$K$2:$K$656,"&gt;0")</f>
        <v>4044</v>
      </c>
      <c r="H32" s="8">
        <f>SUMIFS('Display Detail'!$P$2:$P$656,'Display Detail'!$D$2:$D$656,$A32,'Display Detail'!$K$2:$K$656,"&gt;0")</f>
        <v>34300</v>
      </c>
      <c r="I32" s="6">
        <f>COUNTIFS('Display Detail'!$D$2:$D$656,$A32,'Display Detail'!$K$2:$K$656,0)</f>
        <v>5</v>
      </c>
      <c r="J32" s="6">
        <f>COUNTIF('Display Detail'!$D$2:$D$656,$A32)</f>
        <v>58</v>
      </c>
    </row>
    <row r="33">
      <c r="A33" s="5" t="inlineStr">
        <is>
          <t>patrick infante</t>
        </is>
      </c>
      <c r="B33" s="6">
        <f>COUNTIFS('Display Detail'!$D$2:$D$656,$A33,'Display Detail'!$K$2:$K$656,4)</f>
        <v>13</v>
      </c>
      <c r="C33" s="6">
        <f>COUNTIFS('Display Detail'!$D$2:$D$656,$A33,'Display Detail'!$K$2:$K$656,3)</f>
        <v>17</v>
      </c>
      <c r="D33" s="6">
        <f>COUNTIFS('Display Detail'!$D$2:$D$656,$A33,'Display Detail'!$K$2:$K$656,2)</f>
        <v>13</v>
      </c>
      <c r="E33" s="6">
        <f>COUNTIFS('Display Detail'!$D$2:$D$656,$A33,'Display Detail'!$K$2:$K$656,1)</f>
        <v>6</v>
      </c>
      <c r="F33" s="7">
        <f>COUNTIFS('Display Detail'!$D$2:$D$656,$A33,'Display Detail'!$K$2:$K$656,"&gt;0")</f>
        <v>49</v>
      </c>
      <c r="G33" s="8">
        <f>SUMIFS('Display Detail'!$M$2:$M$656,'Display Detail'!$D$2:$D$656,$A33,'Display Detail'!$K$2:$K$656,"&gt;0")</f>
        <v>2730</v>
      </c>
      <c r="H33" s="8">
        <f>SUMIFS('Display Detail'!$P$2:$P$656,'Display Detail'!$D$2:$D$656,$A33,'Display Detail'!$K$2:$K$656,"&gt;0")</f>
        <v>26200</v>
      </c>
      <c r="I33" s="6">
        <f>COUNTIFS('Display Detail'!$D$2:$D$656,$A33,'Display Detail'!$K$2:$K$656,0)</f>
        <v>46</v>
      </c>
      <c r="J33" s="6">
        <f>COUNTIF('Display Detail'!$D$2:$D$656,$A33)</f>
        <v>95</v>
      </c>
    </row>
    <row r="34">
      <c r="A34" s="10" t="inlineStr">
        <is>
          <t>TOTAL — ALL DISPLAYS</t>
        </is>
      </c>
      <c r="B34" s="11">
        <f>COUNTIF('Display Detail'!$K$2:$K$656,4)</f>
        <v>190</v>
      </c>
      <c r="C34" s="11">
        <f>COUNTIF('Display Detail'!$K$2:$K$656,3)</f>
        <v>157</v>
      </c>
      <c r="D34" s="11">
        <f>COUNTIF('Display Detail'!$K$2:$K$656,2)</f>
        <v>97</v>
      </c>
      <c r="E34" s="11">
        <f>COUNTIF('Display Detail'!$K$2:$K$656,1)</f>
        <v>50</v>
      </c>
      <c r="F34" s="11">
        <f>COUNTIF('Display Detail'!$K$2:$K$656,"&gt;0")</f>
        <v>494</v>
      </c>
      <c r="G34" s="11">
        <f>SUMIFS('Display Detail'!$M$2:$M$656,'Display Detail'!$K$2:$K$656,"&gt;0")</f>
        <v>31202</v>
      </c>
      <c r="H34" s="11">
        <f>SUMIFS('Display Detail'!$P$2:$P$656,'Display Detail'!$K$2:$K$656,"&gt;0")</f>
        <v>302200</v>
      </c>
      <c r="I34" s="11">
        <f>COUNTIF('Display Detail'!$K$2:$K$656,0)</f>
        <v>161</v>
      </c>
      <c r="J34" s="11">
        <f>COUNTA('Display Detail'!$A$2:$A$656)</f>
        <v>655</v>
      </c>
    </row>
    <row r="36">
      <c r="A36" s="12" t="inlineStr">
        <is>
          <t>Sales Reps and Sales Associates run as two separate programs but earn on the same point scale.</t>
        </is>
      </c>
    </row>
    <row r="37">
      <c r="A37" s="12" t="inlineStr">
        <is>
          <t>Points shown are the tracker's published scale — see the Notes &amp; Method tab on how that compares to the program slide.</t>
        </is>
      </c>
    </row>
    <row r="38">
      <c r="A38" s="12" t="inlineStr">
        <is>
          <t>Source: iSellBeer display photo export, 07/01/2026 – 08/31/2026 (Report_59, pulled 08/31/2026).</t>
        </is>
      </c>
    </row>
  </sheetData>
  <mergeCells count="4">
    <mergeCell ref="A1:J1"/>
    <mergeCell ref="A5:J5"/>
    <mergeCell ref="A26:J26"/>
    <mergeCell ref="A2:J2"/>
  </mergeCells>
  <pageMargins left="0.75" right="0.75" top="1" bottom="1" header="0.5" footer="0.5"/>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M136"/>
  <sheetViews>
    <sheetView workbookViewId="0">
      <pane ySplit="12" topLeftCell="A13" activePane="bottomLeft" state="frozen"/>
      <selection pane="bottomLeft" activeCell="A1" sqref="A1"/>
    </sheetView>
  </sheetViews>
  <sheetFormatPr baseColWidth="8" defaultRowHeight="15"/>
  <cols>
    <col width="30" customWidth="1" min="1" max="1"/>
    <col width="9" customWidth="1" min="2" max="2"/>
    <col width="20" customWidth="1" min="3" max="3"/>
    <col width="18" customWidth="1" min="4" max="4"/>
    <col width="20" customWidth="1" min="5" max="5"/>
    <col width="15" customWidth="1" min="6" max="6"/>
    <col width="34" customWidth="1" min="7" max="7"/>
    <col width="10" customWidth="1" min="8" max="8"/>
    <col width="8" customWidth="1" min="9" max="9"/>
    <col width="18" customWidth="1" min="10" max="10"/>
    <col width="8" customWidth="1" min="11" max="11"/>
    <col width="44" customWidth="1" min="12" max="12"/>
    <col width="11" customWidth="1" min="13" max="13"/>
  </cols>
  <sheetData>
    <row r="1" ht="30" customHeight="1">
      <c r="A1" s="1" t="inlineStr">
        <is>
          <t>Duplicate Check — displays that may have been logged twice</t>
        </is>
      </c>
    </row>
    <row r="2" ht="18" customHeight="1">
      <c r="A2" s="2" t="inlineStr">
        <is>
          <t>Qualifying displays only. Clusters are the same account on the same day with the same brands; the earliest submission is kept, the rest are flagged for review.</t>
        </is>
      </c>
    </row>
    <row r="4">
      <c r="A4" s="13" t="inlineStr">
        <is>
          <t>Clusters found</t>
        </is>
      </c>
      <c r="B4" s="14" t="n">
        <v>59</v>
      </c>
      <c r="C4" s="15" t="inlineStr">
        <is>
          <t>Groups of 2+ qualifying displays on one account/day with the same brand list.</t>
        </is>
      </c>
    </row>
    <row r="5">
      <c r="A5" s="13" t="inlineStr">
        <is>
          <t>Displays flagged as possible duplicates</t>
        </is>
      </c>
      <c r="B5" s="14" t="n">
        <v>65</v>
      </c>
      <c r="C5" s="15" t="inlineStr">
        <is>
          <t>Every display in a cluster except the first one submitted.</t>
        </is>
      </c>
    </row>
    <row r="6">
      <c r="A6" s="13" t="inlineStr">
        <is>
          <t>Points sitting on those displays</t>
        </is>
      </c>
      <c r="B6" s="14" t="n">
        <v>43800</v>
      </c>
      <c r="C6" s="15" t="inlineStr">
        <is>
          <t>14.5% of the 302,200 points on the board.</t>
        </is>
      </c>
    </row>
    <row r="7">
      <c r="A7" s="16" t="inlineStr">
        <is>
          <t xml:space="preserve">  · Same person — exact repeat</t>
        </is>
      </c>
      <c r="B7" s="14" t="n">
        <v>2</v>
      </c>
      <c r="C7" s="15" t="inlineStr">
        <is>
          <t>One person logged the identical display twice, minutes apart. Almost certainly a double submission.</t>
        </is>
      </c>
    </row>
    <row r="8">
      <c r="A8" s="16" t="inlineStr">
        <is>
          <t xml:space="preserve">  · Cross-person — exact match</t>
        </is>
      </c>
      <c r="B8" s="14" t="n">
        <v>35</v>
      </c>
      <c r="C8" s="15" t="inlineStr">
        <is>
          <t>Two+ people logged the same display, same case count. Usually a rep and the associate riding with them.</t>
        </is>
      </c>
    </row>
    <row r="9">
      <c r="A9" s="16" t="inlineStr">
        <is>
          <t xml:space="preserve">  · Cross-person — same brands, different cases</t>
        </is>
      </c>
      <c r="B9" s="14" t="n">
        <v>28</v>
      </c>
      <c r="C9" s="15" t="inlineStr">
        <is>
          <t>Same account/day/brands but the case counts differ — same display, counted differently by each person.</t>
        </is>
      </c>
    </row>
    <row r="10">
      <c r="A10" s="12" t="inlineStr">
        <is>
          <t>None of these are removed from the summary tabs — those match the published leaderboard exactly. This tab is the review list.</t>
        </is>
      </c>
    </row>
    <row r="12" ht="28" customHeight="1">
      <c r="A12" s="4" t="inlineStr">
        <is>
          <t>Flag</t>
        </is>
      </c>
      <c r="B12" s="4" t="inlineStr">
        <is>
          <t>Cluster</t>
        </is>
      </c>
      <c r="C12" s="4" t="inlineStr">
        <is>
          <t>Status</t>
        </is>
      </c>
      <c r="D12" s="4" t="inlineStr">
        <is>
          <t>Date / Time</t>
        </is>
      </c>
      <c r="E12" s="4" t="inlineStr">
        <is>
          <t>Rep / Associate</t>
        </is>
      </c>
      <c r="F12" s="4" t="inlineStr">
        <is>
          <t>Role</t>
        </is>
      </c>
      <c r="G12" s="4" t="inlineStr">
        <is>
          <t>Account (DBA)</t>
        </is>
      </c>
      <c r="H12" s="4" t="inlineStr">
        <is>
          <t>Account #</t>
        </is>
      </c>
      <c r="I12" s="4" t="inlineStr">
        <is>
          <t>Cases</t>
        </is>
      </c>
      <c r="J12" s="4" t="inlineStr">
        <is>
          <t>Display Tier</t>
        </is>
      </c>
      <c r="K12" s="4" t="inlineStr">
        <is>
          <t>Points</t>
        </is>
      </c>
      <c r="L12" s="4" t="inlineStr">
        <is>
          <t>Brands in Display</t>
        </is>
      </c>
      <c r="M12" s="4" t="inlineStr">
        <is>
          <t>Photo</t>
        </is>
      </c>
    </row>
    <row r="13">
      <c r="A13" s="17" t="inlineStr">
        <is>
          <t>Cross-person — exact match</t>
        </is>
      </c>
      <c r="B13" s="18" t="inlineStr">
        <is>
          <t>C001</t>
        </is>
      </c>
      <c r="C13" s="17" t="inlineStr">
        <is>
          <t>Kept (first submitted)</t>
        </is>
      </c>
      <c r="D13" s="17" t="inlineStr">
        <is>
          <t>07/02/2026 10:21 AM</t>
        </is>
      </c>
      <c r="E13" s="17" t="inlineStr">
        <is>
          <t>Nicholas Micco</t>
        </is>
      </c>
      <c r="F13" s="17" t="inlineStr">
        <is>
          <t>Sales Associate</t>
        </is>
      </c>
      <c r="G13" s="17" t="inlineStr">
        <is>
          <t>BUY RITE DISCOUNT LIQUOR</t>
        </is>
      </c>
      <c r="H13" s="17" t="inlineStr">
        <is>
          <t>38040</t>
        </is>
      </c>
      <c r="I13" s="18" t="n">
        <v>30</v>
      </c>
      <c r="J13" s="17" t="inlineStr">
        <is>
          <t>Bronze (20-39)</t>
        </is>
      </c>
      <c r="K13" s="18" t="n">
        <v>300</v>
      </c>
      <c r="L13" s="17" t="inlineStr">
        <is>
          <t>TWISTED TEA</t>
        </is>
      </c>
      <c r="M13" s="19" t="inlineStr">
        <is>
          <t>View Photo</t>
        </is>
      </c>
    </row>
    <row r="14">
      <c r="A14" s="20" t="inlineStr">
        <is>
          <t>Cross-person — exact match</t>
        </is>
      </c>
      <c r="B14" s="21" t="inlineStr">
        <is>
          <t>C001</t>
        </is>
      </c>
      <c r="C14" s="20" t="inlineStr">
        <is>
          <t>Possible duplicate</t>
        </is>
      </c>
      <c r="D14" s="20" t="inlineStr">
        <is>
          <t>07/02/2026 10:23 AM</t>
        </is>
      </c>
      <c r="E14" s="20" t="inlineStr">
        <is>
          <t>David Fletcher</t>
        </is>
      </c>
      <c r="F14" s="20" t="inlineStr">
        <is>
          <t>Sales Associate</t>
        </is>
      </c>
      <c r="G14" s="20" t="inlineStr">
        <is>
          <t>BUY RITE DISCOUNT LIQUOR</t>
        </is>
      </c>
      <c r="H14" s="20" t="inlineStr">
        <is>
          <t>38040</t>
        </is>
      </c>
      <c r="I14" s="21" t="n">
        <v>30</v>
      </c>
      <c r="J14" s="20" t="inlineStr">
        <is>
          <t>Bronze (20-39)</t>
        </is>
      </c>
      <c r="K14" s="21" t="n">
        <v>300</v>
      </c>
      <c r="L14" s="20" t="inlineStr">
        <is>
          <t>TWISTED TEA</t>
        </is>
      </c>
      <c r="M14" s="22" t="inlineStr">
        <is>
          <t>View Photo</t>
        </is>
      </c>
    </row>
    <row r="15">
      <c r="A15" s="17" t="inlineStr">
        <is>
          <t>Cross-person — exact match</t>
        </is>
      </c>
      <c r="B15" s="18" t="inlineStr">
        <is>
          <t>C002</t>
        </is>
      </c>
      <c r="C15" s="17" t="inlineStr">
        <is>
          <t>Kept (first submitted)</t>
        </is>
      </c>
      <c r="D15" s="17" t="inlineStr">
        <is>
          <t>07/02/2026 12:02 PM</t>
        </is>
      </c>
      <c r="E15" s="17" t="inlineStr">
        <is>
          <t>Nicholas Micco</t>
        </is>
      </c>
      <c r="F15" s="17" t="inlineStr">
        <is>
          <t>Sales Associate</t>
        </is>
      </c>
      <c r="G15" s="17" t="inlineStr">
        <is>
          <t>SUPER WINE WAREHSE(P)PATE</t>
        </is>
      </c>
      <c r="H15" s="17" t="inlineStr">
        <is>
          <t>20106</t>
        </is>
      </c>
      <c r="I15" s="18" t="n">
        <v>40</v>
      </c>
      <c r="J15" s="17" t="inlineStr">
        <is>
          <t>Silver (40-69)</t>
        </is>
      </c>
      <c r="K15" s="18" t="n">
        <v>500</v>
      </c>
      <c r="L15" s="17" t="inlineStr">
        <is>
          <t>CAYMAN JACK</t>
        </is>
      </c>
      <c r="M15" s="19" t="inlineStr">
        <is>
          <t>View Photo</t>
        </is>
      </c>
    </row>
    <row r="16">
      <c r="A16" s="20" t="inlineStr">
        <is>
          <t>Cross-person — exact match</t>
        </is>
      </c>
      <c r="B16" s="21" t="inlineStr">
        <is>
          <t>C002</t>
        </is>
      </c>
      <c r="C16" s="20" t="inlineStr">
        <is>
          <t>Possible duplicate</t>
        </is>
      </c>
      <c r="D16" s="20" t="inlineStr">
        <is>
          <t>07/02/2026 12:03 PM</t>
        </is>
      </c>
      <c r="E16" s="20" t="inlineStr">
        <is>
          <t>David Fletcher</t>
        </is>
      </c>
      <c r="F16" s="20" t="inlineStr">
        <is>
          <t>Sales Associate</t>
        </is>
      </c>
      <c r="G16" s="20" t="inlineStr">
        <is>
          <t>SUPER WINE WAREHSE(P)PATE</t>
        </is>
      </c>
      <c r="H16" s="20" t="inlineStr">
        <is>
          <t>20106</t>
        </is>
      </c>
      <c r="I16" s="21" t="n">
        <v>40</v>
      </c>
      <c r="J16" s="20" t="inlineStr">
        <is>
          <t>Silver (40-69)</t>
        </is>
      </c>
      <c r="K16" s="21" t="n">
        <v>500</v>
      </c>
      <c r="L16" s="20" t="inlineStr">
        <is>
          <t>CAYMAN JACK</t>
        </is>
      </c>
      <c r="M16" s="22" t="inlineStr">
        <is>
          <t>View Photo</t>
        </is>
      </c>
    </row>
    <row r="17">
      <c r="A17" s="17" t="inlineStr">
        <is>
          <t>Cross-person — exact match</t>
        </is>
      </c>
      <c r="B17" s="18" t="inlineStr">
        <is>
          <t>C003</t>
        </is>
      </c>
      <c r="C17" s="17" t="inlineStr">
        <is>
          <t>Kept (first submitted)</t>
        </is>
      </c>
      <c r="D17" s="17" t="inlineStr">
        <is>
          <t>07/02/2026 02:25 PM</t>
        </is>
      </c>
      <c r="E17" s="17" t="inlineStr">
        <is>
          <t>phil Ernst</t>
        </is>
      </c>
      <c r="F17" s="17" t="inlineStr">
        <is>
          <t>Sales Rep</t>
        </is>
      </c>
      <c r="G17" s="17" t="inlineStr">
        <is>
          <t>SUPER WINE WAREHSE(P)PATE</t>
        </is>
      </c>
      <c r="H17" s="17" t="inlineStr">
        <is>
          <t>20106</t>
        </is>
      </c>
      <c r="I17" s="18" t="n">
        <v>50</v>
      </c>
      <c r="J17" s="17" t="inlineStr">
        <is>
          <t>Silver (40-69)</t>
        </is>
      </c>
      <c r="K17" s="18" t="n">
        <v>500</v>
      </c>
      <c r="L17" s="17" t="inlineStr">
        <is>
          <t>TWISTED TEA</t>
        </is>
      </c>
      <c r="M17" s="19" t="inlineStr">
        <is>
          <t>View Photo</t>
        </is>
      </c>
    </row>
    <row r="18">
      <c r="A18" s="20" t="inlineStr">
        <is>
          <t>Cross-person — exact match</t>
        </is>
      </c>
      <c r="B18" s="21" t="inlineStr">
        <is>
          <t>C003</t>
        </is>
      </c>
      <c r="C18" s="20" t="inlineStr">
        <is>
          <t>Possible duplicate</t>
        </is>
      </c>
      <c r="D18" s="20" t="inlineStr">
        <is>
          <t>07/02/2026 12:01 PM</t>
        </is>
      </c>
      <c r="E18" s="20" t="inlineStr">
        <is>
          <t>Nicholas Micco</t>
        </is>
      </c>
      <c r="F18" s="20" t="inlineStr">
        <is>
          <t>Sales Associate</t>
        </is>
      </c>
      <c r="G18" s="20" t="inlineStr">
        <is>
          <t>SUPER WINE WAREHSE(P)PATE</t>
        </is>
      </c>
      <c r="H18" s="20" t="inlineStr">
        <is>
          <t>20106</t>
        </is>
      </c>
      <c r="I18" s="21" t="n">
        <v>50</v>
      </c>
      <c r="J18" s="20" t="inlineStr">
        <is>
          <t>Silver (40-69)</t>
        </is>
      </c>
      <c r="K18" s="21" t="n">
        <v>500</v>
      </c>
      <c r="L18" s="20" t="inlineStr">
        <is>
          <t>TWISTED TEA</t>
        </is>
      </c>
      <c r="M18" s="22" t="inlineStr">
        <is>
          <t>View Photo</t>
        </is>
      </c>
    </row>
    <row r="19">
      <c r="A19" s="17" t="inlineStr">
        <is>
          <t>Cross-person — exact match</t>
        </is>
      </c>
      <c r="B19" s="18" t="inlineStr">
        <is>
          <t>C004</t>
        </is>
      </c>
      <c r="C19" s="17" t="inlineStr">
        <is>
          <t>Kept (first submitted)</t>
        </is>
      </c>
      <c r="D19" s="17" t="inlineStr">
        <is>
          <t>07/03/2026 01:11 PM</t>
        </is>
      </c>
      <c r="E19" s="17" t="inlineStr">
        <is>
          <t>patrick infante</t>
        </is>
      </c>
      <c r="F19" s="17" t="inlineStr">
        <is>
          <t>Sales Associate</t>
        </is>
      </c>
      <c r="G19" s="17" t="inlineStr">
        <is>
          <t>C TOWN SUPERMARKET(P)</t>
        </is>
      </c>
      <c r="H19" s="17" t="inlineStr">
        <is>
          <t>21026</t>
        </is>
      </c>
      <c r="I19" s="18" t="n">
        <v>40</v>
      </c>
      <c r="J19" s="17" t="inlineStr">
        <is>
          <t>Silver (40-69)</t>
        </is>
      </c>
      <c r="K19" s="18" t="n">
        <v>500</v>
      </c>
      <c r="L19" s="17" t="inlineStr">
        <is>
          <t>MODELO CERVEZA</t>
        </is>
      </c>
      <c r="M19" s="19" t="inlineStr">
        <is>
          <t>View Photo</t>
        </is>
      </c>
    </row>
    <row r="20">
      <c r="A20" s="20" t="inlineStr">
        <is>
          <t>Cross-person — exact match</t>
        </is>
      </c>
      <c r="B20" s="21" t="inlineStr">
        <is>
          <t>C004</t>
        </is>
      </c>
      <c r="C20" s="20" t="inlineStr">
        <is>
          <t>Possible duplicate</t>
        </is>
      </c>
      <c r="D20" s="20" t="inlineStr">
        <is>
          <t>07/03/2026 01:13 PM</t>
        </is>
      </c>
      <c r="E20" s="20" t="inlineStr">
        <is>
          <t>Javier Melo</t>
        </is>
      </c>
      <c r="F20" s="20" t="inlineStr">
        <is>
          <t>Sales Rep</t>
        </is>
      </c>
      <c r="G20" s="20" t="inlineStr">
        <is>
          <t>C TOWN SUPERMARKET(P)</t>
        </is>
      </c>
      <c r="H20" s="20" t="inlineStr">
        <is>
          <t>21026</t>
        </is>
      </c>
      <c r="I20" s="21" t="n">
        <v>40</v>
      </c>
      <c r="J20" s="20" t="inlineStr">
        <is>
          <t>Silver (40-69)</t>
        </is>
      </c>
      <c r="K20" s="21" t="n">
        <v>500</v>
      </c>
      <c r="L20" s="20" t="inlineStr">
        <is>
          <t>MODELO CERVEZA</t>
        </is>
      </c>
      <c r="M20" s="22" t="inlineStr">
        <is>
          <t>View Photo</t>
        </is>
      </c>
    </row>
    <row r="21">
      <c r="A21" s="17" t="inlineStr">
        <is>
          <t>Cross-person — exact match</t>
        </is>
      </c>
      <c r="B21" s="18" t="inlineStr">
        <is>
          <t>C005</t>
        </is>
      </c>
      <c r="C21" s="17" t="inlineStr">
        <is>
          <t>Kept (first submitted)</t>
        </is>
      </c>
      <c r="D21" s="17" t="inlineStr">
        <is>
          <t>07/07/2026 11:41 AM</t>
        </is>
      </c>
      <c r="E21" s="17" t="inlineStr">
        <is>
          <t>Daniel La Gala</t>
        </is>
      </c>
      <c r="F21" s="17" t="inlineStr">
        <is>
          <t>Sales Rep</t>
        </is>
      </c>
      <c r="G21" s="17" t="inlineStr">
        <is>
          <t>MITSUWA MARKET (A)</t>
        </is>
      </c>
      <c r="H21" s="17" t="inlineStr">
        <is>
          <t>49066</t>
        </is>
      </c>
      <c r="I21" s="18" t="n">
        <v>100</v>
      </c>
      <c r="J21" s="17" t="inlineStr">
        <is>
          <t>Gold (70+)</t>
        </is>
      </c>
      <c r="K21" s="18" t="n">
        <v>1000</v>
      </c>
      <c r="L21" s="17" t="inlineStr">
        <is>
          <t>MODELO CERVEZA</t>
        </is>
      </c>
      <c r="M21" s="19" t="inlineStr">
        <is>
          <t>View Photo</t>
        </is>
      </c>
    </row>
    <row r="22">
      <c r="A22" s="20" t="inlineStr">
        <is>
          <t>Cross-person — exact match</t>
        </is>
      </c>
      <c r="B22" s="21" t="inlineStr">
        <is>
          <t>C005</t>
        </is>
      </c>
      <c r="C22" s="20" t="inlineStr">
        <is>
          <t>Possible duplicate</t>
        </is>
      </c>
      <c r="D22" s="20" t="inlineStr">
        <is>
          <t>07/07/2026 11:42 AM</t>
        </is>
      </c>
      <c r="E22" s="20" t="inlineStr">
        <is>
          <t>mickey obrien</t>
        </is>
      </c>
      <c r="F22" s="20" t="inlineStr">
        <is>
          <t>Sales Associate</t>
        </is>
      </c>
      <c r="G22" s="20" t="inlineStr">
        <is>
          <t>MITSUWA MARKET (A)</t>
        </is>
      </c>
      <c r="H22" s="20" t="inlineStr">
        <is>
          <t>49066</t>
        </is>
      </c>
      <c r="I22" s="21" t="n">
        <v>100</v>
      </c>
      <c r="J22" s="20" t="inlineStr">
        <is>
          <t>Gold (70+)</t>
        </is>
      </c>
      <c r="K22" s="21" t="n">
        <v>1000</v>
      </c>
      <c r="L22" s="20" t="inlineStr">
        <is>
          <t>MODELO CERVEZA</t>
        </is>
      </c>
      <c r="M22" s="22" t="inlineStr">
        <is>
          <t>View Photo</t>
        </is>
      </c>
    </row>
    <row r="23">
      <c r="A23" s="17" t="inlineStr">
        <is>
          <t>Cross-person — exact match</t>
        </is>
      </c>
      <c r="B23" s="18" t="inlineStr">
        <is>
          <t>C006</t>
        </is>
      </c>
      <c r="C23" s="17" t="inlineStr">
        <is>
          <t>Kept (first submitted)</t>
        </is>
      </c>
      <c r="D23" s="17" t="inlineStr">
        <is>
          <t>07/07/2026 11:41 AM</t>
        </is>
      </c>
      <c r="E23" s="17" t="inlineStr">
        <is>
          <t>mickey obrien</t>
        </is>
      </c>
      <c r="F23" s="17" t="inlineStr">
        <is>
          <t>Sales Associate</t>
        </is>
      </c>
      <c r="G23" s="17" t="inlineStr">
        <is>
          <t>MITSUWA MARKET (A)</t>
        </is>
      </c>
      <c r="H23" s="17" t="inlineStr">
        <is>
          <t>49066</t>
        </is>
      </c>
      <c r="I23" s="18" t="n">
        <v>100</v>
      </c>
      <c r="J23" s="17" t="inlineStr">
        <is>
          <t>Gold (70+)</t>
        </is>
      </c>
      <c r="K23" s="18" t="n">
        <v>1000</v>
      </c>
      <c r="L23" s="17" t="inlineStr">
        <is>
          <t>HEINEKEN</t>
        </is>
      </c>
      <c r="M23" s="19" t="inlineStr">
        <is>
          <t>View Photo</t>
        </is>
      </c>
    </row>
    <row r="24">
      <c r="A24" s="20" t="inlineStr">
        <is>
          <t>Cross-person — exact match</t>
        </is>
      </c>
      <c r="B24" s="21" t="inlineStr">
        <is>
          <t>C006</t>
        </is>
      </c>
      <c r="C24" s="20" t="inlineStr">
        <is>
          <t>Possible duplicate</t>
        </is>
      </c>
      <c r="D24" s="20" t="inlineStr">
        <is>
          <t>07/07/2026 11:42 AM</t>
        </is>
      </c>
      <c r="E24" s="20" t="inlineStr">
        <is>
          <t>Daniel La Gala</t>
        </is>
      </c>
      <c r="F24" s="20" t="inlineStr">
        <is>
          <t>Sales Rep</t>
        </is>
      </c>
      <c r="G24" s="20" t="inlineStr">
        <is>
          <t>MITSUWA MARKET (A)</t>
        </is>
      </c>
      <c r="H24" s="20" t="inlineStr">
        <is>
          <t>49066</t>
        </is>
      </c>
      <c r="I24" s="21" t="n">
        <v>100</v>
      </c>
      <c r="J24" s="20" t="inlineStr">
        <is>
          <t>Gold (70+)</t>
        </is>
      </c>
      <c r="K24" s="21" t="n">
        <v>1000</v>
      </c>
      <c r="L24" s="20" t="inlineStr">
        <is>
          <t>HEINEKEN</t>
        </is>
      </c>
      <c r="M24" s="22" t="inlineStr">
        <is>
          <t>View Photo</t>
        </is>
      </c>
    </row>
    <row r="25">
      <c r="A25" s="17" t="inlineStr">
        <is>
          <t>Cross-person — exact match</t>
        </is>
      </c>
      <c r="B25" s="18" t="inlineStr">
        <is>
          <t>C007</t>
        </is>
      </c>
      <c r="C25" s="17" t="inlineStr">
        <is>
          <t>Kept (first submitted)</t>
        </is>
      </c>
      <c r="D25" s="17" t="inlineStr">
        <is>
          <t>07/07/2026 11:48 AM</t>
        </is>
      </c>
      <c r="E25" s="17" t="inlineStr">
        <is>
          <t>Daniel La Gala</t>
        </is>
      </c>
      <c r="F25" s="17" t="inlineStr">
        <is>
          <t>Sales Rep</t>
        </is>
      </c>
      <c r="G25" s="17" t="inlineStr">
        <is>
          <t>MITSUWA MARKET (A)</t>
        </is>
      </c>
      <c r="H25" s="17" t="inlineStr">
        <is>
          <t>49066</t>
        </is>
      </c>
      <c r="I25" s="18" t="n">
        <v>100</v>
      </c>
      <c r="J25" s="17" t="inlineStr">
        <is>
          <t>Gold (70+)</t>
        </is>
      </c>
      <c r="K25" s="18" t="n">
        <v>600</v>
      </c>
      <c r="L25" s="17" t="inlineStr">
        <is>
          <t>KIRIN ICHIBAN</t>
        </is>
      </c>
      <c r="M25" s="19" t="inlineStr">
        <is>
          <t>View Photo</t>
        </is>
      </c>
    </row>
    <row r="26">
      <c r="A26" s="20" t="inlineStr">
        <is>
          <t>Cross-person — exact match</t>
        </is>
      </c>
      <c r="B26" s="21" t="inlineStr">
        <is>
          <t>C007</t>
        </is>
      </c>
      <c r="C26" s="20" t="inlineStr">
        <is>
          <t>Possible duplicate</t>
        </is>
      </c>
      <c r="D26" s="20" t="inlineStr">
        <is>
          <t>07/07/2026 11:54 AM</t>
        </is>
      </c>
      <c r="E26" s="20" t="inlineStr">
        <is>
          <t>mickey obrien</t>
        </is>
      </c>
      <c r="F26" s="20" t="inlineStr">
        <is>
          <t>Sales Associate</t>
        </is>
      </c>
      <c r="G26" s="20" t="inlineStr">
        <is>
          <t>MITSUWA MARKET (A)</t>
        </is>
      </c>
      <c r="H26" s="20" t="inlineStr">
        <is>
          <t>49066</t>
        </is>
      </c>
      <c r="I26" s="21" t="n">
        <v>100</v>
      </c>
      <c r="J26" s="20" t="inlineStr">
        <is>
          <t>Gold (70+)</t>
        </is>
      </c>
      <c r="K26" s="21" t="n">
        <v>600</v>
      </c>
      <c r="L26" s="20" t="inlineStr">
        <is>
          <t>KIRIN ICHIBAN</t>
        </is>
      </c>
      <c r="M26" s="22" t="inlineStr">
        <is>
          <t>View Photo</t>
        </is>
      </c>
    </row>
    <row r="27">
      <c r="A27" s="20" t="inlineStr">
        <is>
          <t>Cross-person — exact match</t>
        </is>
      </c>
      <c r="B27" s="21" t="inlineStr">
        <is>
          <t>C007</t>
        </is>
      </c>
      <c r="C27" s="20" t="inlineStr">
        <is>
          <t>Possible duplicate</t>
        </is>
      </c>
      <c r="D27" s="20" t="inlineStr">
        <is>
          <t>07/07/2026 11:54 AM</t>
        </is>
      </c>
      <c r="E27" s="20" t="inlineStr">
        <is>
          <t>patrick infante</t>
        </is>
      </c>
      <c r="F27" s="20" t="inlineStr">
        <is>
          <t>Sales Associate</t>
        </is>
      </c>
      <c r="G27" s="20" t="inlineStr">
        <is>
          <t>MITSUWA MARKET (A)</t>
        </is>
      </c>
      <c r="H27" s="20" t="inlineStr">
        <is>
          <t>49066</t>
        </is>
      </c>
      <c r="I27" s="21" t="n">
        <v>100</v>
      </c>
      <c r="J27" s="20" t="inlineStr">
        <is>
          <t>Gold (70+)</t>
        </is>
      </c>
      <c r="K27" s="21" t="n">
        <v>600</v>
      </c>
      <c r="L27" s="20" t="inlineStr">
        <is>
          <t>KIRIN ICHIBAN</t>
        </is>
      </c>
      <c r="M27" s="22" t="inlineStr">
        <is>
          <t>View Photo</t>
        </is>
      </c>
    </row>
    <row r="28">
      <c r="A28" s="17" t="inlineStr">
        <is>
          <t>Cross-person — exact match</t>
        </is>
      </c>
      <c r="B28" s="18" t="inlineStr">
        <is>
          <t>C008</t>
        </is>
      </c>
      <c r="C28" s="17" t="inlineStr">
        <is>
          <t>Kept (first submitted)</t>
        </is>
      </c>
      <c r="D28" s="17" t="inlineStr">
        <is>
          <t>07/08/2026 02:17 PM</t>
        </is>
      </c>
      <c r="E28" s="17" t="inlineStr">
        <is>
          <t>Dave Ehlers</t>
        </is>
      </c>
      <c r="F28" s="17" t="inlineStr">
        <is>
          <t>Sales Rep</t>
        </is>
      </c>
      <c r="G28" s="17" t="inlineStr">
        <is>
          <t>TOTAL WINE &amp; MORE (RIVER EDGE)</t>
        </is>
      </c>
      <c r="H28" s="17" t="inlineStr">
        <is>
          <t>58001</t>
        </is>
      </c>
      <c r="I28" s="18" t="n">
        <v>100</v>
      </c>
      <c r="J28" s="17" t="inlineStr">
        <is>
          <t>Gold (70+)</t>
        </is>
      </c>
      <c r="K28" s="18" t="n">
        <v>1000</v>
      </c>
      <c r="L28" s="17" t="inlineStr">
        <is>
          <t>CORONA EXTRA</t>
        </is>
      </c>
      <c r="M28" s="19" t="inlineStr">
        <is>
          <t>View Photo</t>
        </is>
      </c>
    </row>
    <row r="29">
      <c r="A29" s="20" t="inlineStr">
        <is>
          <t>Cross-person — exact match</t>
        </is>
      </c>
      <c r="B29" s="21" t="inlineStr">
        <is>
          <t>C008</t>
        </is>
      </c>
      <c r="C29" s="20" t="inlineStr">
        <is>
          <t>Possible duplicate</t>
        </is>
      </c>
      <c r="D29" s="20" t="inlineStr">
        <is>
          <t>07/08/2026 02:18 PM</t>
        </is>
      </c>
      <c r="E29" s="20" t="inlineStr">
        <is>
          <t>mickey obrien</t>
        </is>
      </c>
      <c r="F29" s="20" t="inlineStr">
        <is>
          <t>Sales Associate</t>
        </is>
      </c>
      <c r="G29" s="20" t="inlineStr">
        <is>
          <t>TOTAL WINE &amp; MORE (RIVER EDGE)</t>
        </is>
      </c>
      <c r="H29" s="20" t="inlineStr">
        <is>
          <t>58001</t>
        </is>
      </c>
      <c r="I29" s="21" t="n">
        <v>100</v>
      </c>
      <c r="J29" s="20" t="inlineStr">
        <is>
          <t>Gold (70+)</t>
        </is>
      </c>
      <c r="K29" s="21" t="n">
        <v>1000</v>
      </c>
      <c r="L29" s="20" t="inlineStr">
        <is>
          <t>CORONA EXTRA</t>
        </is>
      </c>
      <c r="M29" s="22" t="inlineStr">
        <is>
          <t>View Photo</t>
        </is>
      </c>
    </row>
    <row r="30">
      <c r="A30" s="17" t="inlineStr">
        <is>
          <t>Cross-person — exact match</t>
        </is>
      </c>
      <c r="B30" s="18" t="inlineStr">
        <is>
          <t>C009</t>
        </is>
      </c>
      <c r="C30" s="17" t="inlineStr">
        <is>
          <t>Kept (first submitted)</t>
        </is>
      </c>
      <c r="D30" s="17" t="inlineStr">
        <is>
          <t>07/08/2026 02:23 PM</t>
        </is>
      </c>
      <c r="E30" s="17" t="inlineStr">
        <is>
          <t>Dave Ehlers</t>
        </is>
      </c>
      <c r="F30" s="17" t="inlineStr">
        <is>
          <t>Sales Rep</t>
        </is>
      </c>
      <c r="G30" s="17" t="inlineStr">
        <is>
          <t>TOTAL WINE &amp; MORE (RIVER EDGE)</t>
        </is>
      </c>
      <c r="H30" s="17" t="inlineStr">
        <is>
          <t>58001</t>
        </is>
      </c>
      <c r="I30" s="18" t="n">
        <v>160</v>
      </c>
      <c r="J30" s="17" t="inlineStr">
        <is>
          <t>Gold (70+)</t>
        </is>
      </c>
      <c r="K30" s="18" t="n">
        <v>1000</v>
      </c>
      <c r="L30" s="17" t="inlineStr">
        <is>
          <t>SUN CRUISERS RTD</t>
        </is>
      </c>
      <c r="M30" s="19" t="inlineStr">
        <is>
          <t>View Photo</t>
        </is>
      </c>
    </row>
    <row r="31">
      <c r="A31" s="20" t="inlineStr">
        <is>
          <t>Cross-person — exact match</t>
        </is>
      </c>
      <c r="B31" s="21" t="inlineStr">
        <is>
          <t>C009</t>
        </is>
      </c>
      <c r="C31" s="20" t="inlineStr">
        <is>
          <t>Possible duplicate</t>
        </is>
      </c>
      <c r="D31" s="20" t="inlineStr">
        <is>
          <t>07/08/2026 02:23 PM</t>
        </is>
      </c>
      <c r="E31" s="20" t="inlineStr">
        <is>
          <t>mickey obrien</t>
        </is>
      </c>
      <c r="F31" s="20" t="inlineStr">
        <is>
          <t>Sales Associate</t>
        </is>
      </c>
      <c r="G31" s="20" t="inlineStr">
        <is>
          <t>TOTAL WINE &amp; MORE (RIVER EDGE)</t>
        </is>
      </c>
      <c r="H31" s="20" t="inlineStr">
        <is>
          <t>58001</t>
        </is>
      </c>
      <c r="I31" s="21" t="n">
        <v>160</v>
      </c>
      <c r="J31" s="20" t="inlineStr">
        <is>
          <t>Gold (70+)</t>
        </is>
      </c>
      <c r="K31" s="21" t="n">
        <v>1000</v>
      </c>
      <c r="L31" s="20" t="inlineStr">
        <is>
          <t>SUN CRUISERS RTD</t>
        </is>
      </c>
      <c r="M31" s="22" t="inlineStr">
        <is>
          <t>View Photo</t>
        </is>
      </c>
    </row>
    <row r="32">
      <c r="A32" s="17" t="inlineStr">
        <is>
          <t>Cross-person — exact match</t>
        </is>
      </c>
      <c r="B32" s="18" t="inlineStr">
        <is>
          <t>C010</t>
        </is>
      </c>
      <c r="C32" s="17" t="inlineStr">
        <is>
          <t>Kept (first submitted)</t>
        </is>
      </c>
      <c r="D32" s="17" t="inlineStr">
        <is>
          <t>07/08/2026 02:48 PM</t>
        </is>
      </c>
      <c r="E32" s="17" t="inlineStr">
        <is>
          <t>Dave Ehlers</t>
        </is>
      </c>
      <c r="F32" s="17" t="inlineStr">
        <is>
          <t>Sales Rep</t>
        </is>
      </c>
      <c r="G32" s="17" t="inlineStr">
        <is>
          <t>TOTAL WINE &amp; MORE (RIVER EDGE)</t>
        </is>
      </c>
      <c r="H32" s="17" t="inlineStr">
        <is>
          <t>58001</t>
        </is>
      </c>
      <c r="I32" s="18" t="n">
        <v>100</v>
      </c>
      <c r="J32" s="17" t="inlineStr">
        <is>
          <t>Gold (70+)</t>
        </is>
      </c>
      <c r="K32" s="18" t="n">
        <v>1000</v>
      </c>
      <c r="L32" s="17" t="inlineStr">
        <is>
          <t>CORONA</t>
        </is>
      </c>
      <c r="M32" s="19" t="inlineStr">
        <is>
          <t>View Photo</t>
        </is>
      </c>
    </row>
    <row r="33">
      <c r="A33" s="20" t="inlineStr">
        <is>
          <t>Cross-person — exact match</t>
        </is>
      </c>
      <c r="B33" s="21" t="inlineStr">
        <is>
          <t>C010</t>
        </is>
      </c>
      <c r="C33" s="20" t="inlineStr">
        <is>
          <t>Possible duplicate</t>
        </is>
      </c>
      <c r="D33" s="20" t="inlineStr">
        <is>
          <t>07/08/2026 02:48 PM</t>
        </is>
      </c>
      <c r="E33" s="20" t="inlineStr">
        <is>
          <t>mickey obrien</t>
        </is>
      </c>
      <c r="F33" s="20" t="inlineStr">
        <is>
          <t>Sales Associate</t>
        </is>
      </c>
      <c r="G33" s="20" t="inlineStr">
        <is>
          <t>TOTAL WINE &amp; MORE (RIVER EDGE)</t>
        </is>
      </c>
      <c r="H33" s="20" t="inlineStr">
        <is>
          <t>58001</t>
        </is>
      </c>
      <c r="I33" s="21" t="n">
        <v>100</v>
      </c>
      <c r="J33" s="20" t="inlineStr">
        <is>
          <t>Gold (70+)</t>
        </is>
      </c>
      <c r="K33" s="21" t="n">
        <v>1000</v>
      </c>
      <c r="L33" s="20" t="inlineStr">
        <is>
          <t>CORONA</t>
        </is>
      </c>
      <c r="M33" s="22" t="inlineStr">
        <is>
          <t>View Photo</t>
        </is>
      </c>
    </row>
    <row r="34">
      <c r="A34" s="17" t="inlineStr">
        <is>
          <t>Cross-person — exact match</t>
        </is>
      </c>
      <c r="B34" s="18" t="inlineStr">
        <is>
          <t>C011</t>
        </is>
      </c>
      <c r="C34" s="17" t="inlineStr">
        <is>
          <t>Kept (first submitted)</t>
        </is>
      </c>
      <c r="D34" s="17" t="inlineStr">
        <is>
          <t>07/08/2026 02:30 PM</t>
        </is>
      </c>
      <c r="E34" s="17" t="inlineStr">
        <is>
          <t>mickey obrien</t>
        </is>
      </c>
      <c r="F34" s="17" t="inlineStr">
        <is>
          <t>Sales Associate</t>
        </is>
      </c>
      <c r="G34" s="17" t="inlineStr">
        <is>
          <t>TOTAL WINE &amp; MORE (RIVER EDGE)</t>
        </is>
      </c>
      <c r="H34" s="17" t="inlineStr">
        <is>
          <t>58001</t>
        </is>
      </c>
      <c r="I34" s="18" t="n">
        <v>140</v>
      </c>
      <c r="J34" s="17" t="inlineStr">
        <is>
          <t>Gold (70+)</t>
        </is>
      </c>
      <c r="K34" s="18" t="n">
        <v>1000</v>
      </c>
      <c r="L34" s="17" t="inlineStr">
        <is>
          <t>TWISTED TEA</t>
        </is>
      </c>
      <c r="M34" s="19" t="inlineStr">
        <is>
          <t>View Photo</t>
        </is>
      </c>
    </row>
    <row r="35">
      <c r="A35" s="20" t="inlineStr">
        <is>
          <t>Cross-person — exact match</t>
        </is>
      </c>
      <c r="B35" s="21" t="inlineStr">
        <is>
          <t>C011</t>
        </is>
      </c>
      <c r="C35" s="20" t="inlineStr">
        <is>
          <t>Possible duplicate</t>
        </is>
      </c>
      <c r="D35" s="20" t="inlineStr">
        <is>
          <t>07/08/2026 02:51 PM</t>
        </is>
      </c>
      <c r="E35" s="20" t="inlineStr">
        <is>
          <t>Dave Ehlers</t>
        </is>
      </c>
      <c r="F35" s="20" t="inlineStr">
        <is>
          <t>Sales Rep</t>
        </is>
      </c>
      <c r="G35" s="20" t="inlineStr">
        <is>
          <t>TOTAL WINE &amp; MORE (RIVER EDGE)</t>
        </is>
      </c>
      <c r="H35" s="20" t="inlineStr">
        <is>
          <t>58001</t>
        </is>
      </c>
      <c r="I35" s="21" t="n">
        <v>140</v>
      </c>
      <c r="J35" s="20" t="inlineStr">
        <is>
          <t>Gold (70+)</t>
        </is>
      </c>
      <c r="K35" s="21" t="n">
        <v>1000</v>
      </c>
      <c r="L35" s="20" t="inlineStr">
        <is>
          <t>TWISTED TEA</t>
        </is>
      </c>
      <c r="M35" s="22" t="inlineStr">
        <is>
          <t>View Photo</t>
        </is>
      </c>
    </row>
    <row r="36">
      <c r="A36" s="17" t="inlineStr">
        <is>
          <t>Cross-person — exact match</t>
        </is>
      </c>
      <c r="B36" s="18" t="inlineStr">
        <is>
          <t>C012</t>
        </is>
      </c>
      <c r="C36" s="17" t="inlineStr">
        <is>
          <t>Kept (first submitted)</t>
        </is>
      </c>
      <c r="D36" s="17" t="inlineStr">
        <is>
          <t>07/15/2026 01:46 PM</t>
        </is>
      </c>
      <c r="E36" s="17" t="inlineStr">
        <is>
          <t>Dave Ehlers</t>
        </is>
      </c>
      <c r="F36" s="17" t="inlineStr">
        <is>
          <t>Sales Rep</t>
        </is>
      </c>
      <c r="G36" s="17" t="inlineStr">
        <is>
          <t>BUY RITE OF HACKENSACK</t>
        </is>
      </c>
      <c r="H36" s="17" t="inlineStr">
        <is>
          <t>40022</t>
        </is>
      </c>
      <c r="I36" s="18" t="n">
        <v>15</v>
      </c>
      <c r="J36" s="17" t="inlineStr">
        <is>
          <t>Other (10-19)</t>
        </is>
      </c>
      <c r="K36" s="18" t="n">
        <v>200</v>
      </c>
      <c r="L36" s="17" t="inlineStr">
        <is>
          <t>BLUE MOON</t>
        </is>
      </c>
      <c r="M36" s="19" t="inlineStr">
        <is>
          <t>View Photo</t>
        </is>
      </c>
    </row>
    <row r="37">
      <c r="A37" s="20" t="inlineStr">
        <is>
          <t>Cross-person — exact match</t>
        </is>
      </c>
      <c r="B37" s="21" t="inlineStr">
        <is>
          <t>C012</t>
        </is>
      </c>
      <c r="C37" s="20" t="inlineStr">
        <is>
          <t>Possible duplicate</t>
        </is>
      </c>
      <c r="D37" s="20" t="inlineStr">
        <is>
          <t>07/15/2026 01:46 PM</t>
        </is>
      </c>
      <c r="E37" s="20" t="inlineStr">
        <is>
          <t>mickey obrien</t>
        </is>
      </c>
      <c r="F37" s="20" t="inlineStr">
        <is>
          <t>Sales Associate</t>
        </is>
      </c>
      <c r="G37" s="20" t="inlineStr">
        <is>
          <t>BUY RITE OF HACKENSACK</t>
        </is>
      </c>
      <c r="H37" s="20" t="inlineStr">
        <is>
          <t>40022</t>
        </is>
      </c>
      <c r="I37" s="21" t="n">
        <v>15</v>
      </c>
      <c r="J37" s="20" t="inlineStr">
        <is>
          <t>Other (10-19)</t>
        </is>
      </c>
      <c r="K37" s="21" t="n">
        <v>200</v>
      </c>
      <c r="L37" s="20" t="inlineStr">
        <is>
          <t>BLUE MOON</t>
        </is>
      </c>
      <c r="M37" s="22" t="inlineStr">
        <is>
          <t>View Photo</t>
        </is>
      </c>
    </row>
    <row r="38">
      <c r="A38" s="17" t="inlineStr">
        <is>
          <t>Cross-person — exact match</t>
        </is>
      </c>
      <c r="B38" s="18" t="inlineStr">
        <is>
          <t>C013</t>
        </is>
      </c>
      <c r="C38" s="17" t="inlineStr">
        <is>
          <t>Kept (first submitted)</t>
        </is>
      </c>
      <c r="D38" s="17" t="inlineStr">
        <is>
          <t>07/21/2026 10:06 AM</t>
        </is>
      </c>
      <c r="E38" s="17" t="inlineStr">
        <is>
          <t>Nicholas Micco</t>
        </is>
      </c>
      <c r="F38" s="17" t="inlineStr">
        <is>
          <t>Sales Associate</t>
        </is>
      </c>
      <c r="G38" s="17" t="inlineStr">
        <is>
          <t>BOTTLE KING (A) GLEN ROCK</t>
        </is>
      </c>
      <c r="H38" s="17" t="inlineStr">
        <is>
          <t>83010</t>
        </is>
      </c>
      <c r="I38" s="18" t="n">
        <v>25</v>
      </c>
      <c r="J38" s="17" t="inlineStr">
        <is>
          <t>Bronze (20-39)</t>
        </is>
      </c>
      <c r="K38" s="18" t="n">
        <v>300</v>
      </c>
      <c r="L38" s="17" t="inlineStr">
        <is>
          <t>SAMUEL ADAMS</t>
        </is>
      </c>
      <c r="M38" s="19" t="inlineStr">
        <is>
          <t>View Photo</t>
        </is>
      </c>
    </row>
    <row r="39">
      <c r="A39" s="20" t="inlineStr">
        <is>
          <t>Cross-person — exact match</t>
        </is>
      </c>
      <c r="B39" s="21" t="inlineStr">
        <is>
          <t>C013</t>
        </is>
      </c>
      <c r="C39" s="20" t="inlineStr">
        <is>
          <t>Possible duplicate</t>
        </is>
      </c>
      <c r="D39" s="20" t="inlineStr">
        <is>
          <t>07/21/2026 10:12 AM</t>
        </is>
      </c>
      <c r="E39" s="20" t="inlineStr">
        <is>
          <t>mickey obrien</t>
        </is>
      </c>
      <c r="F39" s="20" t="inlineStr">
        <is>
          <t>Sales Associate</t>
        </is>
      </c>
      <c r="G39" s="20" t="inlineStr">
        <is>
          <t>BOTTLE KING (A) GLEN ROCK</t>
        </is>
      </c>
      <c r="H39" s="20" t="inlineStr">
        <is>
          <t>83010</t>
        </is>
      </c>
      <c r="I39" s="21" t="n">
        <v>25</v>
      </c>
      <c r="J39" s="20" t="inlineStr">
        <is>
          <t>Bronze (20-39)</t>
        </is>
      </c>
      <c r="K39" s="21" t="n">
        <v>300</v>
      </c>
      <c r="L39" s="20" t="inlineStr">
        <is>
          <t>SAMUEL ADAMS</t>
        </is>
      </c>
      <c r="M39" s="22" t="inlineStr">
        <is>
          <t>View Photo</t>
        </is>
      </c>
    </row>
    <row r="40">
      <c r="A40" s="17" t="inlineStr">
        <is>
          <t>Cross-person — exact match</t>
        </is>
      </c>
      <c r="B40" s="18" t="inlineStr">
        <is>
          <t>C014</t>
        </is>
      </c>
      <c r="C40" s="17" t="inlineStr">
        <is>
          <t>Kept (first submitted)</t>
        </is>
      </c>
      <c r="D40" s="17" t="inlineStr">
        <is>
          <t>07/23/2026 11:31 AM</t>
        </is>
      </c>
      <c r="E40" s="17" t="inlineStr">
        <is>
          <t>Pablo Lopez</t>
        </is>
      </c>
      <c r="F40" s="17" t="inlineStr">
        <is>
          <t>Sales Rep</t>
        </is>
      </c>
      <c r="G40" s="17" t="inlineStr">
        <is>
          <t>BOMBOLON LIQUOR &amp; GROCERY</t>
        </is>
      </c>
      <c r="H40" s="17" t="inlineStr">
        <is>
          <t>20014</t>
        </is>
      </c>
      <c r="I40" s="18" t="n">
        <v>44</v>
      </c>
      <c r="J40" s="17" t="inlineStr">
        <is>
          <t>Silver (40-69)</t>
        </is>
      </c>
      <c r="K40" s="18" t="n">
        <v>500</v>
      </c>
      <c r="L40" s="17" t="inlineStr">
        <is>
          <t>HEINEKEN</t>
        </is>
      </c>
      <c r="M40" s="19" t="inlineStr">
        <is>
          <t>View Photo</t>
        </is>
      </c>
    </row>
    <row r="41">
      <c r="A41" s="20" t="inlineStr">
        <is>
          <t>Cross-person — exact match</t>
        </is>
      </c>
      <c r="B41" s="21" t="inlineStr">
        <is>
          <t>C014</t>
        </is>
      </c>
      <c r="C41" s="20" t="inlineStr">
        <is>
          <t>Possible duplicate</t>
        </is>
      </c>
      <c r="D41" s="20" t="inlineStr">
        <is>
          <t>07/23/2026 11:32 AM</t>
        </is>
      </c>
      <c r="E41" s="20" t="inlineStr">
        <is>
          <t>patrick infante</t>
        </is>
      </c>
      <c r="F41" s="20" t="inlineStr">
        <is>
          <t>Sales Associate</t>
        </is>
      </c>
      <c r="G41" s="20" t="inlineStr">
        <is>
          <t>BOMBOLON LIQUOR &amp; GROCERY</t>
        </is>
      </c>
      <c r="H41" s="20" t="inlineStr">
        <is>
          <t>20014</t>
        </is>
      </c>
      <c r="I41" s="21" t="n">
        <v>44</v>
      </c>
      <c r="J41" s="20" t="inlineStr">
        <is>
          <t>Silver (40-69)</t>
        </is>
      </c>
      <c r="K41" s="21" t="n">
        <v>500</v>
      </c>
      <c r="L41" s="20" t="inlineStr">
        <is>
          <t>HEINEKEN</t>
        </is>
      </c>
      <c r="M41" s="22" t="inlineStr">
        <is>
          <t>View Photo</t>
        </is>
      </c>
    </row>
    <row r="42">
      <c r="A42" s="17" t="inlineStr">
        <is>
          <t>Cross-person — exact match</t>
        </is>
      </c>
      <c r="B42" s="18" t="inlineStr">
        <is>
          <t>C015</t>
        </is>
      </c>
      <c r="C42" s="17" t="inlineStr">
        <is>
          <t>Kept (first submitted)</t>
        </is>
      </c>
      <c r="D42" s="17" t="inlineStr">
        <is>
          <t>07/27/2026 11:17 AM</t>
        </is>
      </c>
      <c r="E42" s="17" t="inlineStr">
        <is>
          <t>Nicholas Micco</t>
        </is>
      </c>
      <c r="F42" s="17" t="inlineStr">
        <is>
          <t>Sales Associate</t>
        </is>
      </c>
      <c r="G42" s="17" t="inlineStr">
        <is>
          <t>SUPER WINE WAREHSE(P)PATE</t>
        </is>
      </c>
      <c r="H42" s="17" t="inlineStr">
        <is>
          <t>20106</t>
        </is>
      </c>
      <c r="I42" s="18" t="n">
        <v>30</v>
      </c>
      <c r="J42" s="17" t="inlineStr">
        <is>
          <t>Bronze (20-39)</t>
        </is>
      </c>
      <c r="K42" s="18" t="n">
        <v>300</v>
      </c>
      <c r="L42" s="17" t="inlineStr">
        <is>
          <t>COORS LIGHT</t>
        </is>
      </c>
      <c r="M42" s="19" t="inlineStr">
        <is>
          <t>View Photo</t>
        </is>
      </c>
    </row>
    <row r="43">
      <c r="A43" s="20" t="inlineStr">
        <is>
          <t>Cross-person — exact match</t>
        </is>
      </c>
      <c r="B43" s="21" t="inlineStr">
        <is>
          <t>C015</t>
        </is>
      </c>
      <c r="C43" s="20" t="inlineStr">
        <is>
          <t>Possible duplicate</t>
        </is>
      </c>
      <c r="D43" s="20" t="inlineStr">
        <is>
          <t>07/27/2026 11:17 AM</t>
        </is>
      </c>
      <c r="E43" s="20" t="inlineStr">
        <is>
          <t>mickey obrien</t>
        </is>
      </c>
      <c r="F43" s="20" t="inlineStr">
        <is>
          <t>Sales Associate</t>
        </is>
      </c>
      <c r="G43" s="20" t="inlineStr">
        <is>
          <t>SUPER WINE WAREHSE(P)PATE</t>
        </is>
      </c>
      <c r="H43" s="20" t="inlineStr">
        <is>
          <t>20106</t>
        </is>
      </c>
      <c r="I43" s="21" t="n">
        <v>30</v>
      </c>
      <c r="J43" s="20" t="inlineStr">
        <is>
          <t>Bronze (20-39)</t>
        </is>
      </c>
      <c r="K43" s="21" t="n">
        <v>300</v>
      </c>
      <c r="L43" s="20" t="inlineStr">
        <is>
          <t>COORS LIGHT</t>
        </is>
      </c>
      <c r="M43" s="22" t="inlineStr">
        <is>
          <t>View Photo</t>
        </is>
      </c>
    </row>
    <row r="44">
      <c r="A44" s="17" t="inlineStr">
        <is>
          <t>Cross-person — exact match</t>
        </is>
      </c>
      <c r="B44" s="18" t="inlineStr">
        <is>
          <t>C016</t>
        </is>
      </c>
      <c r="C44" s="17" t="inlineStr">
        <is>
          <t>Kept (first submitted)</t>
        </is>
      </c>
      <c r="D44" s="17" t="inlineStr">
        <is>
          <t>07/27/2026 11:18 AM</t>
        </is>
      </c>
      <c r="E44" s="17" t="inlineStr">
        <is>
          <t>Nicholas Micco</t>
        </is>
      </c>
      <c r="F44" s="17" t="inlineStr">
        <is>
          <t>Sales Associate</t>
        </is>
      </c>
      <c r="G44" s="17" t="inlineStr">
        <is>
          <t>SUPER WINE WAREHSE(P)PATE</t>
        </is>
      </c>
      <c r="H44" s="17" t="inlineStr">
        <is>
          <t>20106</t>
        </is>
      </c>
      <c r="I44" s="18" t="n">
        <v>45</v>
      </c>
      <c r="J44" s="17" t="inlineStr">
        <is>
          <t>Silver (40-69)</t>
        </is>
      </c>
      <c r="K44" s="18" t="n">
        <v>500</v>
      </c>
      <c r="L44" s="17" t="inlineStr">
        <is>
          <t>HEINEKEN</t>
        </is>
      </c>
      <c r="M44" s="19" t="inlineStr">
        <is>
          <t>View Photo</t>
        </is>
      </c>
    </row>
    <row r="45">
      <c r="A45" s="20" t="inlineStr">
        <is>
          <t>Cross-person — exact match</t>
        </is>
      </c>
      <c r="B45" s="21" t="inlineStr">
        <is>
          <t>C016</t>
        </is>
      </c>
      <c r="C45" s="20" t="inlineStr">
        <is>
          <t>Possible duplicate</t>
        </is>
      </c>
      <c r="D45" s="20" t="inlineStr">
        <is>
          <t>07/27/2026 11:18 AM</t>
        </is>
      </c>
      <c r="E45" s="20" t="inlineStr">
        <is>
          <t>mickey obrien</t>
        </is>
      </c>
      <c r="F45" s="20" t="inlineStr">
        <is>
          <t>Sales Associate</t>
        </is>
      </c>
      <c r="G45" s="20" t="inlineStr">
        <is>
          <t>SUPER WINE WAREHSE(P)PATE</t>
        </is>
      </c>
      <c r="H45" s="20" t="inlineStr">
        <is>
          <t>20106</t>
        </is>
      </c>
      <c r="I45" s="21" t="n">
        <v>45</v>
      </c>
      <c r="J45" s="20" t="inlineStr">
        <is>
          <t>Silver (40-69)</t>
        </is>
      </c>
      <c r="K45" s="21" t="n">
        <v>500</v>
      </c>
      <c r="L45" s="20" t="inlineStr">
        <is>
          <t>HEINEKEN</t>
        </is>
      </c>
      <c r="M45" s="22" t="inlineStr">
        <is>
          <t>View Photo</t>
        </is>
      </c>
    </row>
    <row r="46">
      <c r="A46" s="17" t="inlineStr">
        <is>
          <t>Cross-person — exact match</t>
        </is>
      </c>
      <c r="B46" s="18" t="inlineStr">
        <is>
          <t>C017</t>
        </is>
      </c>
      <c r="C46" s="17" t="inlineStr">
        <is>
          <t>Kept (first submitted)</t>
        </is>
      </c>
      <c r="D46" s="17" t="inlineStr">
        <is>
          <t>07/27/2026 01:28 PM</t>
        </is>
      </c>
      <c r="E46" s="17" t="inlineStr">
        <is>
          <t>Dave Ehlers</t>
        </is>
      </c>
      <c r="F46" s="17" t="inlineStr">
        <is>
          <t>Sales Rep</t>
        </is>
      </c>
      <c r="G46" s="17" t="inlineStr">
        <is>
          <t>TOTAL WINE &amp; MORE (RIVER EDGE)</t>
        </is>
      </c>
      <c r="H46" s="17" t="inlineStr">
        <is>
          <t>58001</t>
        </is>
      </c>
      <c r="I46" s="18" t="n">
        <v>90</v>
      </c>
      <c r="J46" s="17" t="inlineStr">
        <is>
          <t>Gold (70+)</t>
        </is>
      </c>
      <c r="K46" s="18" t="n">
        <v>1000</v>
      </c>
      <c r="L46" s="17" t="inlineStr">
        <is>
          <t>WHITE CLAW ORIGINAL HARD SELTZER, WHITE CLAW SURF HARD SELTZER</t>
        </is>
      </c>
      <c r="M46" s="19" t="inlineStr">
        <is>
          <t>View Photo</t>
        </is>
      </c>
    </row>
    <row r="47">
      <c r="A47" s="20" t="inlineStr">
        <is>
          <t>Cross-person — exact match</t>
        </is>
      </c>
      <c r="B47" s="21" t="inlineStr">
        <is>
          <t>C017</t>
        </is>
      </c>
      <c r="C47" s="20" t="inlineStr">
        <is>
          <t>Possible duplicate</t>
        </is>
      </c>
      <c r="D47" s="20" t="inlineStr">
        <is>
          <t>07/27/2026 01:28 PM</t>
        </is>
      </c>
      <c r="E47" s="20" t="inlineStr">
        <is>
          <t>mickey obrien</t>
        </is>
      </c>
      <c r="F47" s="20" t="inlineStr">
        <is>
          <t>Sales Associate</t>
        </is>
      </c>
      <c r="G47" s="20" t="inlineStr">
        <is>
          <t>TOTAL WINE &amp; MORE (RIVER EDGE)</t>
        </is>
      </c>
      <c r="H47" s="20" t="inlineStr">
        <is>
          <t>58001</t>
        </is>
      </c>
      <c r="I47" s="21" t="n">
        <v>90</v>
      </c>
      <c r="J47" s="20" t="inlineStr">
        <is>
          <t>Gold (70+)</t>
        </is>
      </c>
      <c r="K47" s="21" t="n">
        <v>1000</v>
      </c>
      <c r="L47" s="20" t="inlineStr">
        <is>
          <t>WHITE CLAW ORIGINAL HARD SELTZER, WHITE CLAW SURF HARD SELTZER</t>
        </is>
      </c>
      <c r="M47" s="22" t="inlineStr">
        <is>
          <t>View Photo</t>
        </is>
      </c>
    </row>
    <row r="48">
      <c r="A48" s="17" t="inlineStr">
        <is>
          <t>Cross-person — exact match</t>
        </is>
      </c>
      <c r="B48" s="18" t="inlineStr">
        <is>
          <t>C018</t>
        </is>
      </c>
      <c r="C48" s="17" t="inlineStr">
        <is>
          <t>Kept (first submitted)</t>
        </is>
      </c>
      <c r="D48" s="17" t="inlineStr">
        <is>
          <t>07/28/2026 02:01 PM</t>
        </is>
      </c>
      <c r="E48" s="17" t="inlineStr">
        <is>
          <t>patrick infante</t>
        </is>
      </c>
      <c r="F48" s="17" t="inlineStr">
        <is>
          <t>Sales Associate</t>
        </is>
      </c>
      <c r="G48" s="17" t="inlineStr">
        <is>
          <t>BOMBOLON LIQUOR &amp; GROCERY</t>
        </is>
      </c>
      <c r="H48" s="17" t="inlineStr">
        <is>
          <t>20014</t>
        </is>
      </c>
      <c r="I48" s="18" t="n">
        <v>75</v>
      </c>
      <c r="J48" s="17" t="inlineStr">
        <is>
          <t>Gold (70+)</t>
        </is>
      </c>
      <c r="K48" s="18" t="n">
        <v>1000</v>
      </c>
      <c r="L48" s="17" t="inlineStr">
        <is>
          <t>COORS LIGHT</t>
        </is>
      </c>
      <c r="M48" s="19" t="inlineStr">
        <is>
          <t>View Photo</t>
        </is>
      </c>
    </row>
    <row r="49">
      <c r="A49" s="20" t="inlineStr">
        <is>
          <t>Cross-person — exact match</t>
        </is>
      </c>
      <c r="B49" s="21" t="inlineStr">
        <is>
          <t>C018</t>
        </is>
      </c>
      <c r="C49" s="20" t="inlineStr">
        <is>
          <t>Possible duplicate</t>
        </is>
      </c>
      <c r="D49" s="20" t="inlineStr">
        <is>
          <t>07/28/2026 02:03 PM</t>
        </is>
      </c>
      <c r="E49" s="20" t="inlineStr">
        <is>
          <t>Pablo Lopez</t>
        </is>
      </c>
      <c r="F49" s="20" t="inlineStr">
        <is>
          <t>Sales Rep</t>
        </is>
      </c>
      <c r="G49" s="20" t="inlineStr">
        <is>
          <t>BOMBOLON LIQUOR &amp; GROCERY</t>
        </is>
      </c>
      <c r="H49" s="20" t="inlineStr">
        <is>
          <t>20014</t>
        </is>
      </c>
      <c r="I49" s="21" t="n">
        <v>75</v>
      </c>
      <c r="J49" s="20" t="inlineStr">
        <is>
          <t>Gold (70+)</t>
        </is>
      </c>
      <c r="K49" s="21" t="n">
        <v>1000</v>
      </c>
      <c r="L49" s="20" t="inlineStr">
        <is>
          <t>COORS LIGHT</t>
        </is>
      </c>
      <c r="M49" s="22" t="inlineStr">
        <is>
          <t>View Photo</t>
        </is>
      </c>
    </row>
    <row r="50">
      <c r="A50" s="17" t="inlineStr">
        <is>
          <t>Cross-person — exact match</t>
        </is>
      </c>
      <c r="B50" s="18" t="inlineStr">
        <is>
          <t>C019</t>
        </is>
      </c>
      <c r="C50" s="17" t="inlineStr">
        <is>
          <t>Kept (first submitted)</t>
        </is>
      </c>
      <c r="D50" s="17" t="inlineStr">
        <is>
          <t>07/29/2026 03:07 PM</t>
        </is>
      </c>
      <c r="E50" s="17" t="inlineStr">
        <is>
          <t>patrick infante</t>
        </is>
      </c>
      <c r="F50" s="17" t="inlineStr">
        <is>
          <t>Sales Associate</t>
        </is>
      </c>
      <c r="G50" s="17" t="inlineStr">
        <is>
          <t>CLIFTON COMMONS S &amp; W</t>
        </is>
      </c>
      <c r="H50" s="17" t="inlineStr">
        <is>
          <t>25008</t>
        </is>
      </c>
      <c r="I50" s="18" t="n">
        <v>35</v>
      </c>
      <c r="J50" s="17" t="inlineStr">
        <is>
          <t>Bronze (20-39)</t>
        </is>
      </c>
      <c r="K50" s="18" t="n">
        <v>300</v>
      </c>
      <c r="L50" s="17" t="inlineStr">
        <is>
          <t>COORS LIGHT</t>
        </is>
      </c>
      <c r="M50" s="19" t="inlineStr">
        <is>
          <t>View Photo</t>
        </is>
      </c>
    </row>
    <row r="51">
      <c r="A51" s="20" t="inlineStr">
        <is>
          <t>Cross-person — exact match</t>
        </is>
      </c>
      <c r="B51" s="21" t="inlineStr">
        <is>
          <t>C019</t>
        </is>
      </c>
      <c r="C51" s="20" t="inlineStr">
        <is>
          <t>Possible duplicate</t>
        </is>
      </c>
      <c r="D51" s="20" t="inlineStr">
        <is>
          <t>07/29/2026 03:08 PM</t>
        </is>
      </c>
      <c r="E51" s="20" t="inlineStr">
        <is>
          <t>mickey obrien</t>
        </is>
      </c>
      <c r="F51" s="20" t="inlineStr">
        <is>
          <t>Sales Associate</t>
        </is>
      </c>
      <c r="G51" s="20" t="inlineStr">
        <is>
          <t>CLIFTON COMMONS S &amp; W</t>
        </is>
      </c>
      <c r="H51" s="20" t="inlineStr">
        <is>
          <t>25008</t>
        </is>
      </c>
      <c r="I51" s="21" t="n">
        <v>35</v>
      </c>
      <c r="J51" s="20" t="inlineStr">
        <is>
          <t>Bronze (20-39)</t>
        </is>
      </c>
      <c r="K51" s="21" t="n">
        <v>300</v>
      </c>
      <c r="L51" s="20" t="inlineStr">
        <is>
          <t>COORS LIGHT</t>
        </is>
      </c>
      <c r="M51" s="22" t="inlineStr">
        <is>
          <t>View Photo</t>
        </is>
      </c>
    </row>
    <row r="52">
      <c r="A52" s="17" t="inlineStr">
        <is>
          <t>Cross-person — exact match</t>
        </is>
      </c>
      <c r="B52" s="18" t="inlineStr">
        <is>
          <t>C020</t>
        </is>
      </c>
      <c r="C52" s="17" t="inlineStr">
        <is>
          <t>Kept (first submitted)</t>
        </is>
      </c>
      <c r="D52" s="17" t="inlineStr">
        <is>
          <t>07/29/2026 10:49 AM</t>
        </is>
      </c>
      <c r="E52" s="17" t="inlineStr">
        <is>
          <t>Todd Ewell</t>
        </is>
      </c>
      <c r="F52" s="17" t="inlineStr">
        <is>
          <t>Sales Associate</t>
        </is>
      </c>
      <c r="G52" s="17" t="inlineStr">
        <is>
          <t>LINCOLN PARK FINE WINES &amp; SPIRITS</t>
        </is>
      </c>
      <c r="H52" s="17" t="inlineStr">
        <is>
          <t>11003</t>
        </is>
      </c>
      <c r="I52" s="18" t="n">
        <v>50</v>
      </c>
      <c r="J52" s="17" t="inlineStr">
        <is>
          <t>Silver (40-69)</t>
        </is>
      </c>
      <c r="K52" s="18" t="n">
        <v>500</v>
      </c>
      <c r="L52" s="17" t="inlineStr">
        <is>
          <t>MODELO CERVEZA</t>
        </is>
      </c>
      <c r="M52" s="19" t="inlineStr">
        <is>
          <t>View Photo</t>
        </is>
      </c>
    </row>
    <row r="53">
      <c r="A53" s="20" t="inlineStr">
        <is>
          <t>Cross-person — exact match</t>
        </is>
      </c>
      <c r="B53" s="21" t="inlineStr">
        <is>
          <t>C020</t>
        </is>
      </c>
      <c r="C53" s="20" t="inlineStr">
        <is>
          <t>Possible duplicate</t>
        </is>
      </c>
      <c r="D53" s="20" t="inlineStr">
        <is>
          <t>07/29/2026 10:50 AM</t>
        </is>
      </c>
      <c r="E53" s="20" t="inlineStr">
        <is>
          <t>Jay Tabasco</t>
        </is>
      </c>
      <c r="F53" s="20" t="inlineStr">
        <is>
          <t>Sales Associate</t>
        </is>
      </c>
      <c r="G53" s="20" t="inlineStr">
        <is>
          <t>LINCOLN PARK FINE WINES &amp; SPIRITS</t>
        </is>
      </c>
      <c r="H53" s="20" t="inlineStr">
        <is>
          <t>11003</t>
        </is>
      </c>
      <c r="I53" s="21" t="n">
        <v>50</v>
      </c>
      <c r="J53" s="20" t="inlineStr">
        <is>
          <t>Silver (40-69)</t>
        </is>
      </c>
      <c r="K53" s="21" t="n">
        <v>500</v>
      </c>
      <c r="L53" s="20" t="inlineStr">
        <is>
          <t>MODELO CERVEZA</t>
        </is>
      </c>
      <c r="M53" s="22" t="inlineStr">
        <is>
          <t>View Photo</t>
        </is>
      </c>
    </row>
    <row r="54">
      <c r="A54" s="17" t="inlineStr">
        <is>
          <t>Cross-person — exact match</t>
        </is>
      </c>
      <c r="B54" s="18" t="inlineStr">
        <is>
          <t>C021</t>
        </is>
      </c>
      <c r="C54" s="17" t="inlineStr">
        <is>
          <t>Kept (first submitted)</t>
        </is>
      </c>
      <c r="D54" s="17" t="inlineStr">
        <is>
          <t>07/29/2026 03:56 PM</t>
        </is>
      </c>
      <c r="E54" s="17" t="inlineStr">
        <is>
          <t>Dave Ehlers</t>
        </is>
      </c>
      <c r="F54" s="17" t="inlineStr">
        <is>
          <t>Sales Rep</t>
        </is>
      </c>
      <c r="G54" s="17" t="inlineStr">
        <is>
          <t>TOTAL WINE &amp; MORE (RIVER EDGE)</t>
        </is>
      </c>
      <c r="H54" s="17" t="inlineStr">
        <is>
          <t>58001</t>
        </is>
      </c>
      <c r="I54" s="18" t="n">
        <v>65</v>
      </c>
      <c r="J54" s="17" t="inlineStr">
        <is>
          <t>Silver (40-69)</t>
        </is>
      </c>
      <c r="K54" s="18" t="n">
        <v>500</v>
      </c>
      <c r="L54" s="17" t="inlineStr">
        <is>
          <t>PERONI NASTRO AZZURRO</t>
        </is>
      </c>
      <c r="M54" s="19" t="inlineStr">
        <is>
          <t>View Photo</t>
        </is>
      </c>
    </row>
    <row r="55">
      <c r="A55" s="20" t="inlineStr">
        <is>
          <t>Cross-person — exact match</t>
        </is>
      </c>
      <c r="B55" s="21" t="inlineStr">
        <is>
          <t>C021</t>
        </is>
      </c>
      <c r="C55" s="20" t="inlineStr">
        <is>
          <t>Possible duplicate</t>
        </is>
      </c>
      <c r="D55" s="20" t="inlineStr">
        <is>
          <t>07/29/2026 03:56 PM</t>
        </is>
      </c>
      <c r="E55" s="20" t="inlineStr">
        <is>
          <t>Nicholas Micco</t>
        </is>
      </c>
      <c r="F55" s="20" t="inlineStr">
        <is>
          <t>Sales Associate</t>
        </is>
      </c>
      <c r="G55" s="20" t="inlineStr">
        <is>
          <t>TOTAL WINE &amp; MORE (RIVER EDGE)</t>
        </is>
      </c>
      <c r="H55" s="20" t="inlineStr">
        <is>
          <t>58001</t>
        </is>
      </c>
      <c r="I55" s="21" t="n">
        <v>65</v>
      </c>
      <c r="J55" s="20" t="inlineStr">
        <is>
          <t>Silver (40-69)</t>
        </is>
      </c>
      <c r="K55" s="21" t="n">
        <v>500</v>
      </c>
      <c r="L55" s="20" t="inlineStr">
        <is>
          <t>PERONI NASTRO AZZURRO</t>
        </is>
      </c>
      <c r="M55" s="22" t="inlineStr">
        <is>
          <t>View Photo</t>
        </is>
      </c>
    </row>
    <row r="56">
      <c r="A56" s="17" t="inlineStr">
        <is>
          <t>Cross-person — exact match</t>
        </is>
      </c>
      <c r="B56" s="18" t="inlineStr">
        <is>
          <t>C022</t>
        </is>
      </c>
      <c r="C56" s="17" t="inlineStr">
        <is>
          <t>Kept (first submitted)</t>
        </is>
      </c>
      <c r="D56" s="17" t="inlineStr">
        <is>
          <t>07/30/2026 10:31 AM</t>
        </is>
      </c>
      <c r="E56" s="17" t="inlineStr">
        <is>
          <t>mickey obrien</t>
        </is>
      </c>
      <c r="F56" s="17" t="inlineStr">
        <is>
          <t>Sales Associate</t>
        </is>
      </c>
      <c r="G56" s="17" t="inlineStr">
        <is>
          <t>BOTTLE REPUBLIC (RUTHERFORD)</t>
        </is>
      </c>
      <c r="H56" s="17" t="inlineStr">
        <is>
          <t>31060</t>
        </is>
      </c>
      <c r="I56" s="18" t="n">
        <v>45</v>
      </c>
      <c r="J56" s="17" t="inlineStr">
        <is>
          <t>Silver (40-69)</t>
        </is>
      </c>
      <c r="K56" s="18" t="n">
        <v>500</v>
      </c>
      <c r="L56" s="17" t="inlineStr">
        <is>
          <t>LEINENKUGEL'S</t>
        </is>
      </c>
      <c r="M56" s="19" t="inlineStr">
        <is>
          <t>View Photo</t>
        </is>
      </c>
    </row>
    <row r="57">
      <c r="A57" s="20" t="inlineStr">
        <is>
          <t>Cross-person — exact match</t>
        </is>
      </c>
      <c r="B57" s="21" t="inlineStr">
        <is>
          <t>C022</t>
        </is>
      </c>
      <c r="C57" s="20" t="inlineStr">
        <is>
          <t>Possible duplicate</t>
        </is>
      </c>
      <c r="D57" s="20" t="inlineStr">
        <is>
          <t>07/30/2026 10:31 AM</t>
        </is>
      </c>
      <c r="E57" s="20" t="inlineStr">
        <is>
          <t>patrick infante</t>
        </is>
      </c>
      <c r="F57" s="20" t="inlineStr">
        <is>
          <t>Sales Associate</t>
        </is>
      </c>
      <c r="G57" s="20" t="inlineStr">
        <is>
          <t>BOTTLE REPUBLIC (RUTHERFORD)</t>
        </is>
      </c>
      <c r="H57" s="20" t="inlineStr">
        <is>
          <t>31060</t>
        </is>
      </c>
      <c r="I57" s="21" t="n">
        <v>45</v>
      </c>
      <c r="J57" s="20" t="inlineStr">
        <is>
          <t>Silver (40-69)</t>
        </is>
      </c>
      <c r="K57" s="21" t="n">
        <v>500</v>
      </c>
      <c r="L57" s="20" t="inlineStr">
        <is>
          <t>LEINENKUGEL'S</t>
        </is>
      </c>
      <c r="M57" s="22" t="inlineStr">
        <is>
          <t>View Photo</t>
        </is>
      </c>
    </row>
    <row r="58">
      <c r="A58" s="20" t="inlineStr">
        <is>
          <t>Cross-person — exact match</t>
        </is>
      </c>
      <c r="B58" s="21" t="inlineStr">
        <is>
          <t>C022</t>
        </is>
      </c>
      <c r="C58" s="20" t="inlineStr">
        <is>
          <t>Possible duplicate</t>
        </is>
      </c>
      <c r="D58" s="20" t="inlineStr">
        <is>
          <t>07/30/2026 10:36 AM</t>
        </is>
      </c>
      <c r="E58" s="20" t="inlineStr">
        <is>
          <t>Matthew Powierski</t>
        </is>
      </c>
      <c r="F58" s="20" t="inlineStr">
        <is>
          <t>Sales Rep</t>
        </is>
      </c>
      <c r="G58" s="20" t="inlineStr">
        <is>
          <t>BOTTLE REPUBLIC (RUTHERFORD)</t>
        </is>
      </c>
      <c r="H58" s="20" t="inlineStr">
        <is>
          <t>31060</t>
        </is>
      </c>
      <c r="I58" s="21" t="n">
        <v>45</v>
      </c>
      <c r="J58" s="20" t="inlineStr">
        <is>
          <t>Silver (40-69)</t>
        </is>
      </c>
      <c r="K58" s="21" t="n">
        <v>500</v>
      </c>
      <c r="L58" s="20" t="inlineStr">
        <is>
          <t>LEINENKUGEL'S</t>
        </is>
      </c>
      <c r="M58" s="22" t="inlineStr">
        <is>
          <t>View Photo</t>
        </is>
      </c>
    </row>
    <row r="59">
      <c r="A59" s="17" t="inlineStr">
        <is>
          <t>Cross-person — exact match</t>
        </is>
      </c>
      <c r="B59" s="18" t="inlineStr">
        <is>
          <t>C023</t>
        </is>
      </c>
      <c r="C59" s="17" t="inlineStr">
        <is>
          <t>Kept (first submitted)</t>
        </is>
      </c>
      <c r="D59" s="17" t="inlineStr">
        <is>
          <t>07/30/2026 10:40 AM</t>
        </is>
      </c>
      <c r="E59" s="17" t="inlineStr">
        <is>
          <t>mickey obrien</t>
        </is>
      </c>
      <c r="F59" s="17" t="inlineStr">
        <is>
          <t>Sales Associate</t>
        </is>
      </c>
      <c r="G59" s="17" t="inlineStr">
        <is>
          <t>BOTTLE REPUBLIC (RUTHERFORD)</t>
        </is>
      </c>
      <c r="H59" s="17" t="inlineStr">
        <is>
          <t>31060</t>
        </is>
      </c>
      <c r="I59" s="18" t="n">
        <v>60</v>
      </c>
      <c r="J59" s="17" t="inlineStr">
        <is>
          <t>Silver (40-69)</t>
        </is>
      </c>
      <c r="K59" s="18" t="n">
        <v>500</v>
      </c>
      <c r="L59" s="17" t="inlineStr">
        <is>
          <t>MILLER LITE</t>
        </is>
      </c>
      <c r="M59" s="19" t="inlineStr">
        <is>
          <t>View Photo</t>
        </is>
      </c>
    </row>
    <row r="60">
      <c r="A60" s="20" t="inlineStr">
        <is>
          <t>Cross-person — exact match</t>
        </is>
      </c>
      <c r="B60" s="21" t="inlineStr">
        <is>
          <t>C023</t>
        </is>
      </c>
      <c r="C60" s="20" t="inlineStr">
        <is>
          <t>Possible duplicate</t>
        </is>
      </c>
      <c r="D60" s="20" t="inlineStr">
        <is>
          <t>07/30/2026 10:41 AM</t>
        </is>
      </c>
      <c r="E60" s="20" t="inlineStr">
        <is>
          <t>patrick infante</t>
        </is>
      </c>
      <c r="F60" s="20" t="inlineStr">
        <is>
          <t>Sales Associate</t>
        </is>
      </c>
      <c r="G60" s="20" t="inlineStr">
        <is>
          <t>BOTTLE REPUBLIC (RUTHERFORD)</t>
        </is>
      </c>
      <c r="H60" s="20" t="inlineStr">
        <is>
          <t>31060</t>
        </is>
      </c>
      <c r="I60" s="21" t="n">
        <v>60</v>
      </c>
      <c r="J60" s="20" t="inlineStr">
        <is>
          <t>Silver (40-69)</t>
        </is>
      </c>
      <c r="K60" s="21" t="n">
        <v>500</v>
      </c>
      <c r="L60" s="20" t="inlineStr">
        <is>
          <t>MILLER LITE</t>
        </is>
      </c>
      <c r="M60" s="22" t="inlineStr">
        <is>
          <t>View Photo</t>
        </is>
      </c>
    </row>
    <row r="61">
      <c r="A61" s="17" t="inlineStr">
        <is>
          <t>Cross-person — exact match</t>
        </is>
      </c>
      <c r="B61" s="18" t="inlineStr">
        <is>
          <t>C024</t>
        </is>
      </c>
      <c r="C61" s="17" t="inlineStr">
        <is>
          <t>Kept (first submitted)</t>
        </is>
      </c>
      <c r="D61" s="17" t="inlineStr">
        <is>
          <t>07/30/2026 11:51 AM</t>
        </is>
      </c>
      <c r="E61" s="17" t="inlineStr">
        <is>
          <t>Jay Tabasco</t>
        </is>
      </c>
      <c r="F61" s="17" t="inlineStr">
        <is>
          <t>Sales Associate</t>
        </is>
      </c>
      <c r="G61" s="17" t="inlineStr">
        <is>
          <t>SHOP RITE WINE &amp; SPIRITS STANHOPE</t>
        </is>
      </c>
      <c r="H61" s="17" t="inlineStr">
        <is>
          <t>191710</t>
        </is>
      </c>
      <c r="I61" s="18" t="n">
        <v>92</v>
      </c>
      <c r="J61" s="17" t="inlineStr">
        <is>
          <t>Gold (70+)</t>
        </is>
      </c>
      <c r="K61" s="18" t="n">
        <v>1000</v>
      </c>
      <c r="L61" s="17" t="inlineStr">
        <is>
          <t>COORS LIGHT</t>
        </is>
      </c>
      <c r="M61" s="19" t="inlineStr">
        <is>
          <t>View Photo</t>
        </is>
      </c>
    </row>
    <row r="62">
      <c r="A62" s="20" t="inlineStr">
        <is>
          <t>Cross-person — exact match</t>
        </is>
      </c>
      <c r="B62" s="21" t="inlineStr">
        <is>
          <t>C024</t>
        </is>
      </c>
      <c r="C62" s="20" t="inlineStr">
        <is>
          <t>Possible duplicate</t>
        </is>
      </c>
      <c r="D62" s="20" t="inlineStr">
        <is>
          <t>07/30/2026 11:51 AM</t>
        </is>
      </c>
      <c r="E62" s="20" t="inlineStr">
        <is>
          <t>Todd Ewell</t>
        </is>
      </c>
      <c r="F62" s="20" t="inlineStr">
        <is>
          <t>Sales Associate</t>
        </is>
      </c>
      <c r="G62" s="20" t="inlineStr">
        <is>
          <t>SHOP RITE WINE &amp; SPIRITS STANHOPE</t>
        </is>
      </c>
      <c r="H62" s="20" t="inlineStr">
        <is>
          <t>191710</t>
        </is>
      </c>
      <c r="I62" s="21" t="n">
        <v>92</v>
      </c>
      <c r="J62" s="20" t="inlineStr">
        <is>
          <t>Gold (70+)</t>
        </is>
      </c>
      <c r="K62" s="21" t="n">
        <v>1000</v>
      </c>
      <c r="L62" s="20" t="inlineStr">
        <is>
          <t>COORS LIGHT</t>
        </is>
      </c>
      <c r="M62" s="22" t="inlineStr">
        <is>
          <t>View Photo</t>
        </is>
      </c>
    </row>
    <row r="63">
      <c r="A63" s="17" t="inlineStr">
        <is>
          <t>Cross-person — exact match</t>
        </is>
      </c>
      <c r="B63" s="18" t="inlineStr">
        <is>
          <t>C025</t>
        </is>
      </c>
      <c r="C63" s="17" t="inlineStr">
        <is>
          <t>Kept (first submitted)</t>
        </is>
      </c>
      <c r="D63" s="17" t="inlineStr">
        <is>
          <t>08/04/2026 11:59 AM</t>
        </is>
      </c>
      <c r="E63" s="17" t="inlineStr">
        <is>
          <t>Jay Tabasco</t>
        </is>
      </c>
      <c r="F63" s="17" t="inlineStr">
        <is>
          <t>Sales Associate</t>
        </is>
      </c>
      <c r="G63" s="17" t="inlineStr">
        <is>
          <t>LIQUOR FACTORY V ANDOVER</t>
        </is>
      </c>
      <c r="H63" s="17" t="inlineStr">
        <is>
          <t>230314</t>
        </is>
      </c>
      <c r="I63" s="18" t="n">
        <v>80</v>
      </c>
      <c r="J63" s="17" t="inlineStr">
        <is>
          <t>Gold (70+)</t>
        </is>
      </c>
      <c r="K63" s="18" t="n">
        <v>1000</v>
      </c>
      <c r="L63" s="17" t="inlineStr">
        <is>
          <t>CORONA EXTRA</t>
        </is>
      </c>
      <c r="M63" s="19" t="inlineStr">
        <is>
          <t>View Photo</t>
        </is>
      </c>
    </row>
    <row r="64">
      <c r="A64" s="20" t="inlineStr">
        <is>
          <t>Cross-person — exact match</t>
        </is>
      </c>
      <c r="B64" s="21" t="inlineStr">
        <is>
          <t>C025</t>
        </is>
      </c>
      <c r="C64" s="20" t="inlineStr">
        <is>
          <t>Possible duplicate</t>
        </is>
      </c>
      <c r="D64" s="20" t="inlineStr">
        <is>
          <t>08/04/2026 11:59 AM</t>
        </is>
      </c>
      <c r="E64" s="20" t="inlineStr">
        <is>
          <t>Todd Ewell</t>
        </is>
      </c>
      <c r="F64" s="20" t="inlineStr">
        <is>
          <t>Sales Associate</t>
        </is>
      </c>
      <c r="G64" s="20" t="inlineStr">
        <is>
          <t>LIQUOR FACTORY V ANDOVER</t>
        </is>
      </c>
      <c r="H64" s="20" t="inlineStr">
        <is>
          <t>230314</t>
        </is>
      </c>
      <c r="I64" s="21" t="n">
        <v>80</v>
      </c>
      <c r="J64" s="20" t="inlineStr">
        <is>
          <t>Gold (70+)</t>
        </is>
      </c>
      <c r="K64" s="21" t="n">
        <v>1000</v>
      </c>
      <c r="L64" s="20" t="inlineStr">
        <is>
          <t>CORONA EXTRA</t>
        </is>
      </c>
      <c r="M64" s="22" t="inlineStr">
        <is>
          <t>View Photo</t>
        </is>
      </c>
    </row>
    <row r="65">
      <c r="A65" s="17" t="inlineStr">
        <is>
          <t>Cross-person — exact match</t>
        </is>
      </c>
      <c r="B65" s="18" t="inlineStr">
        <is>
          <t>C026</t>
        </is>
      </c>
      <c r="C65" s="17" t="inlineStr">
        <is>
          <t>Kept (first submitted)</t>
        </is>
      </c>
      <c r="D65" s="17" t="inlineStr">
        <is>
          <t>08/06/2026 01:38 PM</t>
        </is>
      </c>
      <c r="E65" s="17" t="inlineStr">
        <is>
          <t>Javier Melo</t>
        </is>
      </c>
      <c r="F65" s="17" t="inlineStr">
        <is>
          <t>Sales Rep</t>
        </is>
      </c>
      <c r="G65" s="17" t="inlineStr">
        <is>
          <t>FARM BOY</t>
        </is>
      </c>
      <c r="H65" s="17" t="inlineStr">
        <is>
          <t>21044</t>
        </is>
      </c>
      <c r="I65" s="18" t="n">
        <v>30</v>
      </c>
      <c r="J65" s="17" t="inlineStr">
        <is>
          <t>Bronze (20-39)</t>
        </is>
      </c>
      <c r="K65" s="18" t="n">
        <v>300</v>
      </c>
      <c r="L65" s="17" t="inlineStr">
        <is>
          <t>LYTT</t>
        </is>
      </c>
      <c r="M65" s="19" t="inlineStr">
        <is>
          <t>View Photo</t>
        </is>
      </c>
    </row>
    <row r="66">
      <c r="A66" s="20" t="inlineStr">
        <is>
          <t>Cross-person — exact match</t>
        </is>
      </c>
      <c r="B66" s="21" t="inlineStr">
        <is>
          <t>C026</t>
        </is>
      </c>
      <c r="C66" s="20" t="inlineStr">
        <is>
          <t>Possible duplicate</t>
        </is>
      </c>
      <c r="D66" s="20" t="inlineStr">
        <is>
          <t>08/06/2026 02:38 PM</t>
        </is>
      </c>
      <c r="E66" s="20" t="inlineStr">
        <is>
          <t>patrick infante</t>
        </is>
      </c>
      <c r="F66" s="20" t="inlineStr">
        <is>
          <t>Sales Associate</t>
        </is>
      </c>
      <c r="G66" s="20" t="inlineStr">
        <is>
          <t>FARM BOY</t>
        </is>
      </c>
      <c r="H66" s="20" t="inlineStr">
        <is>
          <t>21044</t>
        </is>
      </c>
      <c r="I66" s="21" t="n">
        <v>30</v>
      </c>
      <c r="J66" s="20" t="inlineStr">
        <is>
          <t>Bronze (20-39)</t>
        </is>
      </c>
      <c r="K66" s="21" t="n">
        <v>300</v>
      </c>
      <c r="L66" s="20" t="inlineStr">
        <is>
          <t>LYTT</t>
        </is>
      </c>
      <c r="M66" s="22" t="inlineStr">
        <is>
          <t>View Photo</t>
        </is>
      </c>
    </row>
    <row r="67">
      <c r="A67" s="17" t="inlineStr">
        <is>
          <t>Cross-person — exact match</t>
        </is>
      </c>
      <c r="B67" s="18" t="inlineStr">
        <is>
          <t>C027</t>
        </is>
      </c>
      <c r="C67" s="17" t="inlineStr">
        <is>
          <t>Kept (first submitted)</t>
        </is>
      </c>
      <c r="D67" s="17" t="inlineStr">
        <is>
          <t>08/06/2026 02:22 PM</t>
        </is>
      </c>
      <c r="E67" s="17" t="inlineStr">
        <is>
          <t>Javier Melo</t>
        </is>
      </c>
      <c r="F67" s="17" t="inlineStr">
        <is>
          <t>Sales Rep</t>
        </is>
      </c>
      <c r="G67" s="17" t="inlineStr">
        <is>
          <t>FARM BOY</t>
        </is>
      </c>
      <c r="H67" s="17" t="inlineStr">
        <is>
          <t>21044</t>
        </is>
      </c>
      <c r="I67" s="18" t="n">
        <v>20</v>
      </c>
      <c r="J67" s="17" t="inlineStr">
        <is>
          <t>Bronze (20-39)</t>
        </is>
      </c>
      <c r="K67" s="18" t="n">
        <v>300</v>
      </c>
      <c r="L67" s="17" t="inlineStr">
        <is>
          <t>CORONA EXTRA</t>
        </is>
      </c>
      <c r="M67" s="19" t="inlineStr">
        <is>
          <t>View Photo</t>
        </is>
      </c>
    </row>
    <row r="68">
      <c r="A68" s="20" t="inlineStr">
        <is>
          <t>Cross-person — exact match</t>
        </is>
      </c>
      <c r="B68" s="21" t="inlineStr">
        <is>
          <t>C027</t>
        </is>
      </c>
      <c r="C68" s="20" t="inlineStr">
        <is>
          <t>Possible duplicate</t>
        </is>
      </c>
      <c r="D68" s="20" t="inlineStr">
        <is>
          <t>08/06/2026 02:34 PM</t>
        </is>
      </c>
      <c r="E68" s="20" t="inlineStr">
        <is>
          <t>patrick infante</t>
        </is>
      </c>
      <c r="F68" s="20" t="inlineStr">
        <is>
          <t>Sales Associate</t>
        </is>
      </c>
      <c r="G68" s="20" t="inlineStr">
        <is>
          <t>FARM BOY</t>
        </is>
      </c>
      <c r="H68" s="20" t="inlineStr">
        <is>
          <t>21044</t>
        </is>
      </c>
      <c r="I68" s="21" t="n">
        <v>20</v>
      </c>
      <c r="J68" s="20" t="inlineStr">
        <is>
          <t>Bronze (20-39)</t>
        </is>
      </c>
      <c r="K68" s="21" t="n">
        <v>300</v>
      </c>
      <c r="L68" s="20" t="inlineStr">
        <is>
          <t>CORONA EXTRA</t>
        </is>
      </c>
      <c r="M68" s="22" t="inlineStr">
        <is>
          <t>View Photo</t>
        </is>
      </c>
    </row>
    <row r="69">
      <c r="A69" s="17" t="inlineStr">
        <is>
          <t>Cross-person — exact match</t>
        </is>
      </c>
      <c r="B69" s="18" t="inlineStr">
        <is>
          <t>C028</t>
        </is>
      </c>
      <c r="C69" s="17" t="inlineStr">
        <is>
          <t>Kept (first submitted)</t>
        </is>
      </c>
      <c r="D69" s="17" t="inlineStr">
        <is>
          <t>08/07/2026 04:32 PM</t>
        </is>
      </c>
      <c r="E69" s="17" t="inlineStr">
        <is>
          <t>Nicholas Micco</t>
        </is>
      </c>
      <c r="F69" s="17" t="inlineStr">
        <is>
          <t>Sales Associate</t>
        </is>
      </c>
      <c r="G69" s="17" t="inlineStr">
        <is>
          <t>SHOP-RITE LIQ LYNDHURST</t>
        </is>
      </c>
      <c r="H69" s="17" t="inlineStr">
        <is>
          <t>29004</t>
        </is>
      </c>
      <c r="I69" s="18" t="n">
        <v>50</v>
      </c>
      <c r="J69" s="17" t="inlineStr">
        <is>
          <t>Silver (40-69)</t>
        </is>
      </c>
      <c r="K69" s="18" t="n">
        <v>500</v>
      </c>
      <c r="L69" s="17" t="inlineStr">
        <is>
          <t>MILLER LITE</t>
        </is>
      </c>
      <c r="M69" s="19" t="inlineStr">
        <is>
          <t>View Photo</t>
        </is>
      </c>
    </row>
    <row r="70">
      <c r="A70" s="20" t="inlineStr">
        <is>
          <t>Cross-person — exact match</t>
        </is>
      </c>
      <c r="B70" s="21" t="inlineStr">
        <is>
          <t>C028</t>
        </is>
      </c>
      <c r="C70" s="20" t="inlineStr">
        <is>
          <t>Possible duplicate</t>
        </is>
      </c>
      <c r="D70" s="20" t="inlineStr">
        <is>
          <t>08/07/2026 04:32 PM</t>
        </is>
      </c>
      <c r="E70" s="20" t="inlineStr">
        <is>
          <t>mickey obrien</t>
        </is>
      </c>
      <c r="F70" s="20" t="inlineStr">
        <is>
          <t>Sales Associate</t>
        </is>
      </c>
      <c r="G70" s="20" t="inlineStr">
        <is>
          <t>SHOP-RITE LIQ LYNDHURST</t>
        </is>
      </c>
      <c r="H70" s="20" t="inlineStr">
        <is>
          <t>29004</t>
        </is>
      </c>
      <c r="I70" s="21" t="n">
        <v>50</v>
      </c>
      <c r="J70" s="20" t="inlineStr">
        <is>
          <t>Silver (40-69)</t>
        </is>
      </c>
      <c r="K70" s="21" t="n">
        <v>500</v>
      </c>
      <c r="L70" s="20" t="inlineStr">
        <is>
          <t>MILLER LITE</t>
        </is>
      </c>
      <c r="M70" s="22" t="inlineStr">
        <is>
          <t>View Photo</t>
        </is>
      </c>
    </row>
    <row r="71">
      <c r="A71" s="17" t="inlineStr">
        <is>
          <t>Cross-person — exact match</t>
        </is>
      </c>
      <c r="B71" s="18" t="inlineStr">
        <is>
          <t>C029</t>
        </is>
      </c>
      <c r="C71" s="17" t="inlineStr">
        <is>
          <t>Kept (first submitted)</t>
        </is>
      </c>
      <c r="D71" s="17" t="inlineStr">
        <is>
          <t>08/24/2026 11:08 AM</t>
        </is>
      </c>
      <c r="E71" s="17" t="inlineStr">
        <is>
          <t>Jay Tabasco</t>
        </is>
      </c>
      <c r="F71" s="17" t="inlineStr">
        <is>
          <t>Sales Associate</t>
        </is>
      </c>
      <c r="G71" s="17" t="inlineStr">
        <is>
          <t>SANDY'S WINE &amp; SPIRIT (P) (BUDD LAKE)</t>
        </is>
      </c>
      <c r="H71" s="17" t="inlineStr">
        <is>
          <t>191814</t>
        </is>
      </c>
      <c r="I71" s="18" t="n">
        <v>10</v>
      </c>
      <c r="J71" s="17" t="inlineStr">
        <is>
          <t>Other (10-19)</t>
        </is>
      </c>
      <c r="K71" s="18" t="n">
        <v>200</v>
      </c>
      <c r="L71" s="17" t="inlineStr">
        <is>
          <t>CORONA EXTRA</t>
        </is>
      </c>
      <c r="M71" s="19" t="inlineStr">
        <is>
          <t>View Photo</t>
        </is>
      </c>
    </row>
    <row r="72">
      <c r="A72" s="20" t="inlineStr">
        <is>
          <t>Cross-person — exact match</t>
        </is>
      </c>
      <c r="B72" s="21" t="inlineStr">
        <is>
          <t>C029</t>
        </is>
      </c>
      <c r="C72" s="20" t="inlineStr">
        <is>
          <t>Possible duplicate</t>
        </is>
      </c>
      <c r="D72" s="20" t="inlineStr">
        <is>
          <t>08/24/2026 11:08 AM</t>
        </is>
      </c>
      <c r="E72" s="20" t="inlineStr">
        <is>
          <t>Todd Ewell</t>
        </is>
      </c>
      <c r="F72" s="20" t="inlineStr">
        <is>
          <t>Sales Associate</t>
        </is>
      </c>
      <c r="G72" s="20" t="inlineStr">
        <is>
          <t>SANDY'S WINE &amp; SPIRIT (P) (BUDD LAKE)</t>
        </is>
      </c>
      <c r="H72" s="20" t="inlineStr">
        <is>
          <t>191814</t>
        </is>
      </c>
      <c r="I72" s="21" t="n">
        <v>10</v>
      </c>
      <c r="J72" s="20" t="inlineStr">
        <is>
          <t>Other (10-19)</t>
        </is>
      </c>
      <c r="K72" s="21" t="n">
        <v>200</v>
      </c>
      <c r="L72" s="20" t="inlineStr">
        <is>
          <t>CORONA EXTRA</t>
        </is>
      </c>
      <c r="M72" s="22" t="inlineStr">
        <is>
          <t>View Photo</t>
        </is>
      </c>
    </row>
    <row r="73">
      <c r="A73" s="17" t="inlineStr">
        <is>
          <t>Cross-person — exact match</t>
        </is>
      </c>
      <c r="B73" s="18" t="inlineStr">
        <is>
          <t>C030</t>
        </is>
      </c>
      <c r="C73" s="17" t="inlineStr">
        <is>
          <t>Kept (first submitted)</t>
        </is>
      </c>
      <c r="D73" s="17" t="inlineStr">
        <is>
          <t>08/26/2026 11:40 AM</t>
        </is>
      </c>
      <c r="E73" s="17" t="inlineStr">
        <is>
          <t>Jay Tabasco</t>
        </is>
      </c>
      <c r="F73" s="17" t="inlineStr">
        <is>
          <t>Sales Associate</t>
        </is>
      </c>
      <c r="G73" s="17" t="inlineStr">
        <is>
          <t>SHOPRITE WINE &amp; SPIRITS OF NEWTON#830</t>
        </is>
      </c>
      <c r="H73" s="17" t="inlineStr">
        <is>
          <t>230427</t>
        </is>
      </c>
      <c r="I73" s="18" t="n">
        <v>60</v>
      </c>
      <c r="J73" s="17" t="inlineStr">
        <is>
          <t>Silver (40-69)</t>
        </is>
      </c>
      <c r="K73" s="18" t="n">
        <v>500</v>
      </c>
      <c r="L73" s="17" t="inlineStr">
        <is>
          <t>COORS LIGHT</t>
        </is>
      </c>
      <c r="M73" s="19" t="inlineStr">
        <is>
          <t>View Photo</t>
        </is>
      </c>
    </row>
    <row r="74">
      <c r="A74" s="20" t="inlineStr">
        <is>
          <t>Cross-person — exact match</t>
        </is>
      </c>
      <c r="B74" s="21" t="inlineStr">
        <is>
          <t>C030</t>
        </is>
      </c>
      <c r="C74" s="20" t="inlineStr">
        <is>
          <t>Possible duplicate</t>
        </is>
      </c>
      <c r="D74" s="20" t="inlineStr">
        <is>
          <t>08/26/2026 11:40 AM</t>
        </is>
      </c>
      <c r="E74" s="20" t="inlineStr">
        <is>
          <t>Todd Ewell</t>
        </is>
      </c>
      <c r="F74" s="20" t="inlineStr">
        <is>
          <t>Sales Associate</t>
        </is>
      </c>
      <c r="G74" s="20" t="inlineStr">
        <is>
          <t>SHOPRITE WINE &amp; SPIRITS OF NEWTON#830</t>
        </is>
      </c>
      <c r="H74" s="20" t="inlineStr">
        <is>
          <t>230427</t>
        </is>
      </c>
      <c r="I74" s="21" t="n">
        <v>60</v>
      </c>
      <c r="J74" s="20" t="inlineStr">
        <is>
          <t>Silver (40-69)</t>
        </is>
      </c>
      <c r="K74" s="21" t="n">
        <v>500</v>
      </c>
      <c r="L74" s="20" t="inlineStr">
        <is>
          <t>COORS LIGHT</t>
        </is>
      </c>
      <c r="M74" s="22" t="inlineStr">
        <is>
          <t>View Photo</t>
        </is>
      </c>
    </row>
    <row r="75">
      <c r="A75" s="17" t="inlineStr">
        <is>
          <t>Cross-person — exact match</t>
        </is>
      </c>
      <c r="B75" s="18" t="inlineStr">
        <is>
          <t>C031</t>
        </is>
      </c>
      <c r="C75" s="17" t="inlineStr">
        <is>
          <t>Kept (first submitted)</t>
        </is>
      </c>
      <c r="D75" s="17" t="inlineStr">
        <is>
          <t>08/27/2026 01:06 PM</t>
        </is>
      </c>
      <c r="E75" s="17" t="inlineStr">
        <is>
          <t>patrick infante</t>
        </is>
      </c>
      <c r="F75" s="17" t="inlineStr">
        <is>
          <t>Sales Associate</t>
        </is>
      </c>
      <c r="G75" s="17" t="inlineStr">
        <is>
          <t>C TOWN SUPERMARKET(P)</t>
        </is>
      </c>
      <c r="H75" s="17" t="inlineStr">
        <is>
          <t>21026</t>
        </is>
      </c>
      <c r="I75" s="18" t="n">
        <v>40</v>
      </c>
      <c r="J75" s="17" t="inlineStr">
        <is>
          <t>Silver (40-69)</t>
        </is>
      </c>
      <c r="K75" s="18" t="n">
        <v>500</v>
      </c>
      <c r="L75" s="17" t="inlineStr">
        <is>
          <t>CORONA EXTRA</t>
        </is>
      </c>
      <c r="M75" s="19" t="inlineStr">
        <is>
          <t>View Photo</t>
        </is>
      </c>
    </row>
    <row r="76">
      <c r="A76" s="20" t="inlineStr">
        <is>
          <t>Cross-person — exact match</t>
        </is>
      </c>
      <c r="B76" s="21" t="inlineStr">
        <is>
          <t>C031</t>
        </is>
      </c>
      <c r="C76" s="20" t="inlineStr">
        <is>
          <t>Possible duplicate</t>
        </is>
      </c>
      <c r="D76" s="20" t="inlineStr">
        <is>
          <t>08/27/2026 01:07 PM</t>
        </is>
      </c>
      <c r="E76" s="20" t="inlineStr">
        <is>
          <t>Javier Melo</t>
        </is>
      </c>
      <c r="F76" s="20" t="inlineStr">
        <is>
          <t>Sales Rep</t>
        </is>
      </c>
      <c r="G76" s="20" t="inlineStr">
        <is>
          <t>C TOWN SUPERMARKET(P)</t>
        </is>
      </c>
      <c r="H76" s="20" t="inlineStr">
        <is>
          <t>21026</t>
        </is>
      </c>
      <c r="I76" s="21" t="n">
        <v>40</v>
      </c>
      <c r="J76" s="20" t="inlineStr">
        <is>
          <t>Silver (40-69)</t>
        </is>
      </c>
      <c r="K76" s="21" t="n">
        <v>500</v>
      </c>
      <c r="L76" s="20" t="inlineStr">
        <is>
          <t>CORONA EXTRA</t>
        </is>
      </c>
      <c r="M76" s="22" t="inlineStr">
        <is>
          <t>View Photo</t>
        </is>
      </c>
    </row>
    <row r="77">
      <c r="A77" s="17" t="inlineStr">
        <is>
          <t>Cross-person — exact match</t>
        </is>
      </c>
      <c r="B77" s="18" t="inlineStr">
        <is>
          <t>C032</t>
        </is>
      </c>
      <c r="C77" s="17" t="inlineStr">
        <is>
          <t>Kept (first submitted)</t>
        </is>
      </c>
      <c r="D77" s="17" t="inlineStr">
        <is>
          <t>08/27/2026 02:17 PM</t>
        </is>
      </c>
      <c r="E77" s="17" t="inlineStr">
        <is>
          <t>patrick infante</t>
        </is>
      </c>
      <c r="F77" s="17" t="inlineStr">
        <is>
          <t>Sales Associate</t>
        </is>
      </c>
      <c r="G77" s="17" t="inlineStr">
        <is>
          <t>FARM BOY</t>
        </is>
      </c>
      <c r="H77" s="17" t="inlineStr">
        <is>
          <t>21044</t>
        </is>
      </c>
      <c r="I77" s="18" t="n">
        <v>20</v>
      </c>
      <c r="J77" s="17" t="inlineStr">
        <is>
          <t>Bronze (20-39)</t>
        </is>
      </c>
      <c r="K77" s="18" t="n">
        <v>300</v>
      </c>
      <c r="L77" s="17" t="inlineStr">
        <is>
          <t>CORONA EXTRA</t>
        </is>
      </c>
      <c r="M77" s="19" t="inlineStr">
        <is>
          <t>View Photo</t>
        </is>
      </c>
    </row>
    <row r="78">
      <c r="A78" s="20" t="inlineStr">
        <is>
          <t>Cross-person — exact match</t>
        </is>
      </c>
      <c r="B78" s="21" t="inlineStr">
        <is>
          <t>C032</t>
        </is>
      </c>
      <c r="C78" s="20" t="inlineStr">
        <is>
          <t>Possible duplicate</t>
        </is>
      </c>
      <c r="D78" s="20" t="inlineStr">
        <is>
          <t>08/27/2026 02:18 PM</t>
        </is>
      </c>
      <c r="E78" s="20" t="inlineStr">
        <is>
          <t>Javier Melo</t>
        </is>
      </c>
      <c r="F78" s="20" t="inlineStr">
        <is>
          <t>Sales Rep</t>
        </is>
      </c>
      <c r="G78" s="20" t="inlineStr">
        <is>
          <t>FARM BOY</t>
        </is>
      </c>
      <c r="H78" s="20" t="inlineStr">
        <is>
          <t>21044</t>
        </is>
      </c>
      <c r="I78" s="21" t="n">
        <v>20</v>
      </c>
      <c r="J78" s="20" t="inlineStr">
        <is>
          <t>Bronze (20-39)</t>
        </is>
      </c>
      <c r="K78" s="21" t="n">
        <v>300</v>
      </c>
      <c r="L78" s="20" t="inlineStr">
        <is>
          <t>CORONA EXTRA</t>
        </is>
      </c>
      <c r="M78" s="22" t="inlineStr">
        <is>
          <t>View Photo</t>
        </is>
      </c>
    </row>
    <row r="79">
      <c r="A79" s="17" t="inlineStr">
        <is>
          <t>Cross-person — exact match</t>
        </is>
      </c>
      <c r="B79" s="18" t="inlineStr">
        <is>
          <t>C033</t>
        </is>
      </c>
      <c r="C79" s="17" t="inlineStr">
        <is>
          <t>Kept (first submitted)</t>
        </is>
      </c>
      <c r="D79" s="17" t="inlineStr">
        <is>
          <t>08/28/2026 12:49 PM</t>
        </is>
      </c>
      <c r="E79" s="17" t="inlineStr">
        <is>
          <t>Jay Tabasco</t>
        </is>
      </c>
      <c r="F79" s="17" t="inlineStr">
        <is>
          <t>Sales Associate</t>
        </is>
      </c>
      <c r="G79" s="17" t="inlineStr">
        <is>
          <t>LINCOLN PARK FINE WINES &amp; SPIRITS</t>
        </is>
      </c>
      <c r="H79" s="17" t="inlineStr">
        <is>
          <t>11003</t>
        </is>
      </c>
      <c r="I79" s="18" t="n">
        <v>75</v>
      </c>
      <c r="J79" s="17" t="inlineStr">
        <is>
          <t>Gold (70+)</t>
        </is>
      </c>
      <c r="K79" s="18" t="n">
        <v>1000</v>
      </c>
      <c r="L79" s="17" t="inlineStr">
        <is>
          <t>HEINEKEN</t>
        </is>
      </c>
      <c r="M79" s="19" t="inlineStr">
        <is>
          <t>View Photo</t>
        </is>
      </c>
    </row>
    <row r="80">
      <c r="A80" s="20" t="inlineStr">
        <is>
          <t>Cross-person — exact match</t>
        </is>
      </c>
      <c r="B80" s="21" t="inlineStr">
        <is>
          <t>C033</t>
        </is>
      </c>
      <c r="C80" s="20" t="inlineStr">
        <is>
          <t>Possible duplicate</t>
        </is>
      </c>
      <c r="D80" s="20" t="inlineStr">
        <is>
          <t>08/28/2026 12:49 PM</t>
        </is>
      </c>
      <c r="E80" s="20" t="inlineStr">
        <is>
          <t>Todd Ewell</t>
        </is>
      </c>
      <c r="F80" s="20" t="inlineStr">
        <is>
          <t>Sales Associate</t>
        </is>
      </c>
      <c r="G80" s="20" t="inlineStr">
        <is>
          <t>LINCOLN PARK FINE WINES &amp; SPIRITS</t>
        </is>
      </c>
      <c r="H80" s="20" t="inlineStr">
        <is>
          <t>11003</t>
        </is>
      </c>
      <c r="I80" s="21" t="n">
        <v>75</v>
      </c>
      <c r="J80" s="20" t="inlineStr">
        <is>
          <t>Gold (70+)</t>
        </is>
      </c>
      <c r="K80" s="21" t="n">
        <v>1000</v>
      </c>
      <c r="L80" s="20" t="inlineStr">
        <is>
          <t>HEINEKEN</t>
        </is>
      </c>
      <c r="M80" s="22" t="inlineStr">
        <is>
          <t>View Photo</t>
        </is>
      </c>
    </row>
    <row r="81">
      <c r="A81" s="17" t="inlineStr">
        <is>
          <t>Cross-person — same brands, different cases</t>
        </is>
      </c>
      <c r="B81" s="18" t="inlineStr">
        <is>
          <t>C034</t>
        </is>
      </c>
      <c r="C81" s="17" t="inlineStr">
        <is>
          <t>Kept (first submitted)</t>
        </is>
      </c>
      <c r="D81" s="17" t="inlineStr">
        <is>
          <t>07/02/2026 10:20 AM</t>
        </is>
      </c>
      <c r="E81" s="17" t="inlineStr">
        <is>
          <t>Nicholas Micco</t>
        </is>
      </c>
      <c r="F81" s="17" t="inlineStr">
        <is>
          <t>Sales Associate</t>
        </is>
      </c>
      <c r="G81" s="17" t="inlineStr">
        <is>
          <t>BUY RITE DISCOUNT LIQUOR</t>
        </is>
      </c>
      <c r="H81" s="17" t="inlineStr">
        <is>
          <t>38040</t>
        </is>
      </c>
      <c r="I81" s="18" t="n">
        <v>30</v>
      </c>
      <c r="J81" s="17" t="inlineStr">
        <is>
          <t>Bronze (20-39)</t>
        </is>
      </c>
      <c r="K81" s="18" t="n">
        <v>300</v>
      </c>
      <c r="L81" s="17" t="inlineStr">
        <is>
          <t>TRULY</t>
        </is>
      </c>
      <c r="M81" s="19" t="inlineStr">
        <is>
          <t>View Photo</t>
        </is>
      </c>
    </row>
    <row r="82">
      <c r="A82" s="20" t="inlineStr">
        <is>
          <t>Cross-person — same brands, different cases</t>
        </is>
      </c>
      <c r="B82" s="21" t="inlineStr">
        <is>
          <t>C034</t>
        </is>
      </c>
      <c r="C82" s="20" t="inlineStr">
        <is>
          <t>Possible duplicate</t>
        </is>
      </c>
      <c r="D82" s="20" t="inlineStr">
        <is>
          <t>07/02/2026 10:22 AM</t>
        </is>
      </c>
      <c r="E82" s="20" t="inlineStr">
        <is>
          <t>David Fletcher</t>
        </is>
      </c>
      <c r="F82" s="20" t="inlineStr">
        <is>
          <t>Sales Associate</t>
        </is>
      </c>
      <c r="G82" s="20" t="inlineStr">
        <is>
          <t>BUY RITE DISCOUNT LIQUOR</t>
        </is>
      </c>
      <c r="H82" s="20" t="inlineStr">
        <is>
          <t>38040</t>
        </is>
      </c>
      <c r="I82" s="21" t="n">
        <v>40</v>
      </c>
      <c r="J82" s="20" t="inlineStr">
        <is>
          <t>Silver (40-69)</t>
        </is>
      </c>
      <c r="K82" s="21" t="n">
        <v>500</v>
      </c>
      <c r="L82" s="20" t="inlineStr">
        <is>
          <t>TRULY</t>
        </is>
      </c>
      <c r="M82" s="22" t="inlineStr">
        <is>
          <t>View Photo</t>
        </is>
      </c>
    </row>
    <row r="83">
      <c r="A83" s="17" t="inlineStr">
        <is>
          <t>Cross-person — same brands, different cases</t>
        </is>
      </c>
      <c r="B83" s="18" t="inlineStr">
        <is>
          <t>C035</t>
        </is>
      </c>
      <c r="C83" s="17" t="inlineStr">
        <is>
          <t>Kept (first submitted)</t>
        </is>
      </c>
      <c r="D83" s="17" t="inlineStr">
        <is>
          <t>07/02/2026 10:42 AM</t>
        </is>
      </c>
      <c r="E83" s="17" t="inlineStr">
        <is>
          <t>David Fletcher</t>
        </is>
      </c>
      <c r="F83" s="17" t="inlineStr">
        <is>
          <t>Sales Associate</t>
        </is>
      </c>
      <c r="G83" s="17" t="inlineStr">
        <is>
          <t>USA WINE TRADERS CLUB (SADDLE BROOK)</t>
        </is>
      </c>
      <c r="H83" s="17" t="inlineStr">
        <is>
          <t>76010</t>
        </is>
      </c>
      <c r="I83" s="18" t="n">
        <v>35</v>
      </c>
      <c r="J83" s="17" t="inlineStr">
        <is>
          <t>Bronze (20-39)</t>
        </is>
      </c>
      <c r="K83" s="18" t="n">
        <v>300</v>
      </c>
      <c r="L83" s="17" t="inlineStr">
        <is>
          <t>TRULY</t>
        </is>
      </c>
      <c r="M83" s="19" t="inlineStr">
        <is>
          <t>View Photo</t>
        </is>
      </c>
    </row>
    <row r="84">
      <c r="A84" s="20" t="inlineStr">
        <is>
          <t>Cross-person — same brands, different cases</t>
        </is>
      </c>
      <c r="B84" s="21" t="inlineStr">
        <is>
          <t>C035</t>
        </is>
      </c>
      <c r="C84" s="20" t="inlineStr">
        <is>
          <t>Possible duplicate</t>
        </is>
      </c>
      <c r="D84" s="20" t="inlineStr">
        <is>
          <t>07/02/2026 10:43 AM</t>
        </is>
      </c>
      <c r="E84" s="20" t="inlineStr">
        <is>
          <t>Nicholas Micco</t>
        </is>
      </c>
      <c r="F84" s="20" t="inlineStr">
        <is>
          <t>Sales Associate</t>
        </is>
      </c>
      <c r="G84" s="20" t="inlineStr">
        <is>
          <t>USA WINE TRADERS CLUB (SADDLE BROOK)</t>
        </is>
      </c>
      <c r="H84" s="20" t="inlineStr">
        <is>
          <t>76010</t>
        </is>
      </c>
      <c r="I84" s="21" t="n">
        <v>30</v>
      </c>
      <c r="J84" s="20" t="inlineStr">
        <is>
          <t>Bronze (20-39)</t>
        </is>
      </c>
      <c r="K84" s="21" t="n">
        <v>300</v>
      </c>
      <c r="L84" s="20" t="inlineStr">
        <is>
          <t>TRULY</t>
        </is>
      </c>
      <c r="M84" s="22" t="inlineStr">
        <is>
          <t>View Photo</t>
        </is>
      </c>
    </row>
    <row r="85">
      <c r="A85" s="20" t="inlineStr">
        <is>
          <t>Cross-person — same brands, different cases</t>
        </is>
      </c>
      <c r="B85" s="21" t="inlineStr">
        <is>
          <t>C035</t>
        </is>
      </c>
      <c r="C85" s="20" t="inlineStr">
        <is>
          <t>Possible duplicate</t>
        </is>
      </c>
      <c r="D85" s="20" t="inlineStr">
        <is>
          <t>07/02/2026 10:45 AM</t>
        </is>
      </c>
      <c r="E85" s="20" t="inlineStr">
        <is>
          <t>Nicholas Micco</t>
        </is>
      </c>
      <c r="F85" s="20" t="inlineStr">
        <is>
          <t>Sales Associate</t>
        </is>
      </c>
      <c r="G85" s="20" t="inlineStr">
        <is>
          <t>USA WINE TRADERS CLUB (SADDLE BROOK)</t>
        </is>
      </c>
      <c r="H85" s="20" t="inlineStr">
        <is>
          <t>76010</t>
        </is>
      </c>
      <c r="I85" s="21" t="n">
        <v>10</v>
      </c>
      <c r="J85" s="20" t="inlineStr">
        <is>
          <t>Other (10-19)</t>
        </is>
      </c>
      <c r="K85" s="21" t="n">
        <v>200</v>
      </c>
      <c r="L85" s="20" t="inlineStr">
        <is>
          <t>TRULY</t>
        </is>
      </c>
      <c r="M85" s="22" t="inlineStr">
        <is>
          <t>View Photo</t>
        </is>
      </c>
    </row>
    <row r="86">
      <c r="A86" s="17" t="inlineStr">
        <is>
          <t>Cross-person — same brands, different cases</t>
        </is>
      </c>
      <c r="B86" s="18" t="inlineStr">
        <is>
          <t>C036</t>
        </is>
      </c>
      <c r="C86" s="17" t="inlineStr">
        <is>
          <t>Kept (first submitted)</t>
        </is>
      </c>
      <c r="D86" s="17" t="inlineStr">
        <is>
          <t>07/02/2026 10:47 AM</t>
        </is>
      </c>
      <c r="E86" s="17" t="inlineStr">
        <is>
          <t>David Fletcher</t>
        </is>
      </c>
      <c r="F86" s="17" t="inlineStr">
        <is>
          <t>Sales Associate</t>
        </is>
      </c>
      <c r="G86" s="17" t="inlineStr">
        <is>
          <t>USA WINE TRADERS CLUB (SADDLE BROOK)</t>
        </is>
      </c>
      <c r="H86" s="17" t="inlineStr">
        <is>
          <t>76010</t>
        </is>
      </c>
      <c r="I86" s="18" t="n">
        <v>15</v>
      </c>
      <c r="J86" s="17" t="inlineStr">
        <is>
          <t>Other (10-19)</t>
        </is>
      </c>
      <c r="K86" s="18" t="n">
        <v>200</v>
      </c>
      <c r="L86" s="17" t="inlineStr">
        <is>
          <t>TWISTED TEA</t>
        </is>
      </c>
      <c r="M86" s="19" t="inlineStr">
        <is>
          <t>View Photo</t>
        </is>
      </c>
    </row>
    <row r="87">
      <c r="A87" s="20" t="inlineStr">
        <is>
          <t>Cross-person — same brands, different cases</t>
        </is>
      </c>
      <c r="B87" s="21" t="inlineStr">
        <is>
          <t>C036</t>
        </is>
      </c>
      <c r="C87" s="20" t="inlineStr">
        <is>
          <t>Possible duplicate</t>
        </is>
      </c>
      <c r="D87" s="20" t="inlineStr">
        <is>
          <t>07/02/2026 10:48 AM</t>
        </is>
      </c>
      <c r="E87" s="20" t="inlineStr">
        <is>
          <t>Nicholas Micco</t>
        </is>
      </c>
      <c r="F87" s="20" t="inlineStr">
        <is>
          <t>Sales Associate</t>
        </is>
      </c>
      <c r="G87" s="20" t="inlineStr">
        <is>
          <t>USA WINE TRADERS CLUB (SADDLE BROOK)</t>
        </is>
      </c>
      <c r="H87" s="20" t="inlineStr">
        <is>
          <t>76010</t>
        </is>
      </c>
      <c r="I87" s="21" t="n">
        <v>30</v>
      </c>
      <c r="J87" s="20" t="inlineStr">
        <is>
          <t>Bronze (20-39)</t>
        </is>
      </c>
      <c r="K87" s="21" t="n">
        <v>300</v>
      </c>
      <c r="L87" s="20" t="inlineStr">
        <is>
          <t>TWISTED TEA</t>
        </is>
      </c>
      <c r="M87" s="22" t="inlineStr">
        <is>
          <t>View Photo</t>
        </is>
      </c>
    </row>
    <row r="88">
      <c r="A88" s="17" t="inlineStr">
        <is>
          <t>Cross-person — same brands, different cases</t>
        </is>
      </c>
      <c r="B88" s="18" t="inlineStr">
        <is>
          <t>C037</t>
        </is>
      </c>
      <c r="C88" s="17" t="inlineStr">
        <is>
          <t>Kept (first submitted)</t>
        </is>
      </c>
      <c r="D88" s="17" t="inlineStr">
        <is>
          <t>07/15/2026 01:37 PM</t>
        </is>
      </c>
      <c r="E88" s="17" t="inlineStr">
        <is>
          <t>mickey obrien</t>
        </is>
      </c>
      <c r="F88" s="17" t="inlineStr">
        <is>
          <t>Sales Associate</t>
        </is>
      </c>
      <c r="G88" s="17" t="inlineStr">
        <is>
          <t>BUY RITE OF HACKENSACK</t>
        </is>
      </c>
      <c r="H88" s="17" t="inlineStr">
        <is>
          <t>40022</t>
        </is>
      </c>
      <c r="I88" s="18" t="n">
        <v>82</v>
      </c>
      <c r="J88" s="17" t="inlineStr">
        <is>
          <t>Gold (70+)</t>
        </is>
      </c>
      <c r="K88" s="18" t="n">
        <v>1000</v>
      </c>
      <c r="L88" s="17" t="inlineStr">
        <is>
          <t>MODELO CERVEZA</t>
        </is>
      </c>
      <c r="M88" s="19" t="inlineStr">
        <is>
          <t>View Photo</t>
        </is>
      </c>
    </row>
    <row r="89">
      <c r="A89" s="20" t="inlineStr">
        <is>
          <t>Cross-person — same brands, different cases</t>
        </is>
      </c>
      <c r="B89" s="21" t="inlineStr">
        <is>
          <t>C037</t>
        </is>
      </c>
      <c r="C89" s="20" t="inlineStr">
        <is>
          <t>Possible duplicate</t>
        </is>
      </c>
      <c r="D89" s="20" t="inlineStr">
        <is>
          <t>07/15/2026 01:38 PM</t>
        </is>
      </c>
      <c r="E89" s="20" t="inlineStr">
        <is>
          <t>Dave Ehlers</t>
        </is>
      </c>
      <c r="F89" s="20" t="inlineStr">
        <is>
          <t>Sales Rep</t>
        </is>
      </c>
      <c r="G89" s="20" t="inlineStr">
        <is>
          <t>BUY RITE OF HACKENSACK</t>
        </is>
      </c>
      <c r="H89" s="20" t="inlineStr">
        <is>
          <t>40022</t>
        </is>
      </c>
      <c r="I89" s="21" t="n">
        <v>77</v>
      </c>
      <c r="J89" s="20" t="inlineStr">
        <is>
          <t>Gold (70+)</t>
        </is>
      </c>
      <c r="K89" s="21" t="n">
        <v>1000</v>
      </c>
      <c r="L89" s="20" t="inlineStr">
        <is>
          <t>MODELO CERVEZA</t>
        </is>
      </c>
      <c r="M89" s="22" t="inlineStr">
        <is>
          <t>View Photo</t>
        </is>
      </c>
    </row>
    <row r="90">
      <c r="A90" s="17" t="inlineStr">
        <is>
          <t>Cross-person — same brands, different cases</t>
        </is>
      </c>
      <c r="B90" s="18" t="inlineStr">
        <is>
          <t>C038</t>
        </is>
      </c>
      <c r="C90" s="17" t="inlineStr">
        <is>
          <t>Kept (first submitted)</t>
        </is>
      </c>
      <c r="D90" s="17" t="inlineStr">
        <is>
          <t>07/15/2026 01:42 PM</t>
        </is>
      </c>
      <c r="E90" s="17" t="inlineStr">
        <is>
          <t>Dave Ehlers</t>
        </is>
      </c>
      <c r="F90" s="17" t="inlineStr">
        <is>
          <t>Sales Rep</t>
        </is>
      </c>
      <c r="G90" s="17" t="inlineStr">
        <is>
          <t>BUY RITE OF HACKENSACK</t>
        </is>
      </c>
      <c r="H90" s="17" t="inlineStr">
        <is>
          <t>40022</t>
        </is>
      </c>
      <c r="I90" s="18" t="n">
        <v>32</v>
      </c>
      <c r="J90" s="17" t="inlineStr">
        <is>
          <t>Bronze (20-39)</t>
        </is>
      </c>
      <c r="K90" s="18" t="n">
        <v>300</v>
      </c>
      <c r="L90" s="17" t="inlineStr">
        <is>
          <t>TWISTED TEA</t>
        </is>
      </c>
      <c r="M90" s="19" t="inlineStr">
        <is>
          <t>View Photo</t>
        </is>
      </c>
    </row>
    <row r="91">
      <c r="A91" s="20" t="inlineStr">
        <is>
          <t>Cross-person — same brands, different cases</t>
        </is>
      </c>
      <c r="B91" s="21" t="inlineStr">
        <is>
          <t>C038</t>
        </is>
      </c>
      <c r="C91" s="20" t="inlineStr">
        <is>
          <t>Possible duplicate</t>
        </is>
      </c>
      <c r="D91" s="20" t="inlineStr">
        <is>
          <t>07/15/2026 01:42 PM</t>
        </is>
      </c>
      <c r="E91" s="20" t="inlineStr">
        <is>
          <t>mickey obrien</t>
        </is>
      </c>
      <c r="F91" s="20" t="inlineStr">
        <is>
          <t>Sales Associate</t>
        </is>
      </c>
      <c r="G91" s="20" t="inlineStr">
        <is>
          <t>BUY RITE OF HACKENSACK</t>
        </is>
      </c>
      <c r="H91" s="20" t="inlineStr">
        <is>
          <t>40022</t>
        </is>
      </c>
      <c r="I91" s="21" t="n">
        <v>33</v>
      </c>
      <c r="J91" s="20" t="inlineStr">
        <is>
          <t>Bronze (20-39)</t>
        </is>
      </c>
      <c r="K91" s="21" t="n">
        <v>300</v>
      </c>
      <c r="L91" s="20" t="inlineStr">
        <is>
          <t>TWISTED TEA</t>
        </is>
      </c>
      <c r="M91" s="22" t="inlineStr">
        <is>
          <t>View Photo</t>
        </is>
      </c>
    </row>
    <row r="92">
      <c r="A92" s="17" t="inlineStr">
        <is>
          <t>Cross-person — same brands, different cases</t>
        </is>
      </c>
      <c r="B92" s="18" t="inlineStr">
        <is>
          <t>C039</t>
        </is>
      </c>
      <c r="C92" s="17" t="inlineStr">
        <is>
          <t>Kept (first submitted)</t>
        </is>
      </c>
      <c r="D92" s="17" t="inlineStr">
        <is>
          <t>07/15/2026 11:18 AM</t>
        </is>
      </c>
      <c r="E92" s="17" t="inlineStr">
        <is>
          <t>Nicholas Micco</t>
        </is>
      </c>
      <c r="F92" s="17" t="inlineStr">
        <is>
          <t>Sales Associate</t>
        </is>
      </c>
      <c r="G92" s="17" t="inlineStr">
        <is>
          <t>USA WINE TRADERS CLUB (SADDLE BROOK)</t>
        </is>
      </c>
      <c r="H92" s="17" t="inlineStr">
        <is>
          <t>76010</t>
        </is>
      </c>
      <c r="I92" s="18" t="n">
        <v>124</v>
      </c>
      <c r="J92" s="17" t="inlineStr">
        <is>
          <t>Gold (70+)</t>
        </is>
      </c>
      <c r="K92" s="18" t="n">
        <v>1000</v>
      </c>
      <c r="L92" s="17" t="inlineStr">
        <is>
          <t>CORONA EXTRA</t>
        </is>
      </c>
      <c r="M92" s="19" t="inlineStr">
        <is>
          <t>View Photo</t>
        </is>
      </c>
    </row>
    <row r="93">
      <c r="A93" s="20" t="inlineStr">
        <is>
          <t>Cross-person — same brands, different cases</t>
        </is>
      </c>
      <c r="B93" s="21" t="inlineStr">
        <is>
          <t>C039</t>
        </is>
      </c>
      <c r="C93" s="20" t="inlineStr">
        <is>
          <t>Possible duplicate</t>
        </is>
      </c>
      <c r="D93" s="20" t="inlineStr">
        <is>
          <t>07/15/2026 11:19 AM</t>
        </is>
      </c>
      <c r="E93" s="20" t="inlineStr">
        <is>
          <t>mickey obrien</t>
        </is>
      </c>
      <c r="F93" s="20" t="inlineStr">
        <is>
          <t>Sales Associate</t>
        </is>
      </c>
      <c r="G93" s="20" t="inlineStr">
        <is>
          <t>USA WINE TRADERS CLUB (SADDLE BROOK)</t>
        </is>
      </c>
      <c r="H93" s="20" t="inlineStr">
        <is>
          <t>76010</t>
        </is>
      </c>
      <c r="I93" s="21" t="n">
        <v>90</v>
      </c>
      <c r="J93" s="20" t="inlineStr">
        <is>
          <t>Gold (70+)</t>
        </is>
      </c>
      <c r="K93" s="21" t="n">
        <v>1000</v>
      </c>
      <c r="L93" s="20" t="inlineStr">
        <is>
          <t>CORONA EXTRA</t>
        </is>
      </c>
      <c r="M93" s="22" t="inlineStr">
        <is>
          <t>View Photo</t>
        </is>
      </c>
    </row>
    <row r="94">
      <c r="A94" s="17" t="inlineStr">
        <is>
          <t>Cross-person — same brands, different cases</t>
        </is>
      </c>
      <c r="B94" s="18" t="inlineStr">
        <is>
          <t>C040</t>
        </is>
      </c>
      <c r="C94" s="17" t="inlineStr">
        <is>
          <t>Kept (first submitted)</t>
        </is>
      </c>
      <c r="D94" s="17" t="inlineStr">
        <is>
          <t>07/15/2026 11:17 AM</t>
        </is>
      </c>
      <c r="E94" s="17" t="inlineStr">
        <is>
          <t>mickey obrien</t>
        </is>
      </c>
      <c r="F94" s="17" t="inlineStr">
        <is>
          <t>Sales Associate</t>
        </is>
      </c>
      <c r="G94" s="17" t="inlineStr">
        <is>
          <t>USA WINE TRADERS CLUB (SADDLE BROOK)</t>
        </is>
      </c>
      <c r="H94" s="17" t="inlineStr">
        <is>
          <t>76010</t>
        </is>
      </c>
      <c r="I94" s="18" t="n">
        <v>50</v>
      </c>
      <c r="J94" s="17" t="inlineStr">
        <is>
          <t>Silver (40-69)</t>
        </is>
      </c>
      <c r="K94" s="18" t="n">
        <v>500</v>
      </c>
      <c r="L94" s="17" t="inlineStr">
        <is>
          <t>HEINEKEN</t>
        </is>
      </c>
      <c r="M94" s="19" t="inlineStr">
        <is>
          <t>View Photo</t>
        </is>
      </c>
    </row>
    <row r="95">
      <c r="A95" s="20" t="inlineStr">
        <is>
          <t>Cross-person — same brands, different cases</t>
        </is>
      </c>
      <c r="B95" s="21" t="inlineStr">
        <is>
          <t>C040</t>
        </is>
      </c>
      <c r="C95" s="20" t="inlineStr">
        <is>
          <t>Possible duplicate</t>
        </is>
      </c>
      <c r="D95" s="20" t="inlineStr">
        <is>
          <t>07/15/2026 11:21 AM</t>
        </is>
      </c>
      <c r="E95" s="20" t="inlineStr">
        <is>
          <t>Nicholas Micco</t>
        </is>
      </c>
      <c r="F95" s="20" t="inlineStr">
        <is>
          <t>Sales Associate</t>
        </is>
      </c>
      <c r="G95" s="20" t="inlineStr">
        <is>
          <t>USA WINE TRADERS CLUB (SADDLE BROOK)</t>
        </is>
      </c>
      <c r="H95" s="20" t="inlineStr">
        <is>
          <t>76010</t>
        </is>
      </c>
      <c r="I95" s="21" t="n">
        <v>101</v>
      </c>
      <c r="J95" s="20" t="inlineStr">
        <is>
          <t>Gold (70+)</t>
        </is>
      </c>
      <c r="K95" s="21" t="n">
        <v>1000</v>
      </c>
      <c r="L95" s="20" t="inlineStr">
        <is>
          <t>HEINEKEN</t>
        </is>
      </c>
      <c r="M95" s="22" t="inlineStr">
        <is>
          <t>View Photo</t>
        </is>
      </c>
    </row>
    <row r="96">
      <c r="A96" s="17" t="inlineStr">
        <is>
          <t>Cross-person — same brands, different cases</t>
        </is>
      </c>
      <c r="B96" s="18" t="inlineStr">
        <is>
          <t>C041</t>
        </is>
      </c>
      <c r="C96" s="17" t="inlineStr">
        <is>
          <t>Kept (first submitted)</t>
        </is>
      </c>
      <c r="D96" s="17" t="inlineStr">
        <is>
          <t>07/20/2026 02:46 PM</t>
        </is>
      </c>
      <c r="E96" s="17" t="inlineStr">
        <is>
          <t>patrick infante</t>
        </is>
      </c>
      <c r="F96" s="17" t="inlineStr">
        <is>
          <t>Sales Associate</t>
        </is>
      </c>
      <c r="G96" s="17" t="inlineStr">
        <is>
          <t>SHOPPERS VINEYARD (A)</t>
        </is>
      </c>
      <c r="H96" s="17" t="inlineStr">
        <is>
          <t>24011</t>
        </is>
      </c>
      <c r="I96" s="18" t="n">
        <v>70</v>
      </c>
      <c r="J96" s="17" t="inlineStr">
        <is>
          <t>Gold (70+)</t>
        </is>
      </c>
      <c r="K96" s="18" t="n">
        <v>1000</v>
      </c>
      <c r="L96" s="17" t="inlineStr">
        <is>
          <t>HEINEKEN</t>
        </is>
      </c>
      <c r="M96" s="19" t="inlineStr">
        <is>
          <t>View Photo</t>
        </is>
      </c>
    </row>
    <row r="97">
      <c r="A97" s="20" t="inlineStr">
        <is>
          <t>Cross-person — same brands, different cases</t>
        </is>
      </c>
      <c r="B97" s="21" t="inlineStr">
        <is>
          <t>C041</t>
        </is>
      </c>
      <c r="C97" s="20" t="inlineStr">
        <is>
          <t>Possible duplicate</t>
        </is>
      </c>
      <c r="D97" s="20" t="inlineStr">
        <is>
          <t>07/20/2026 03:33 PM</t>
        </is>
      </c>
      <c r="E97" s="20" t="inlineStr">
        <is>
          <t>James Heaney</t>
        </is>
      </c>
      <c r="F97" s="20" t="inlineStr">
        <is>
          <t>Sales Rep</t>
        </is>
      </c>
      <c r="G97" s="20" t="inlineStr">
        <is>
          <t>SHOPPERS VINEYARD (A)</t>
        </is>
      </c>
      <c r="H97" s="20" t="inlineStr">
        <is>
          <t>24011</t>
        </is>
      </c>
      <c r="I97" s="21" t="n">
        <v>72</v>
      </c>
      <c r="J97" s="20" t="inlineStr">
        <is>
          <t>Gold (70+)</t>
        </is>
      </c>
      <c r="K97" s="21" t="n">
        <v>1000</v>
      </c>
      <c r="L97" s="20" t="inlineStr">
        <is>
          <t>HEINEKEN</t>
        </is>
      </c>
      <c r="M97" s="22" t="inlineStr">
        <is>
          <t>View Photo</t>
        </is>
      </c>
    </row>
    <row r="98">
      <c r="A98" s="17" t="inlineStr">
        <is>
          <t>Cross-person — same brands, different cases</t>
        </is>
      </c>
      <c r="B98" s="18" t="inlineStr">
        <is>
          <t>C042</t>
        </is>
      </c>
      <c r="C98" s="17" t="inlineStr">
        <is>
          <t>Kept (first submitted)</t>
        </is>
      </c>
      <c r="D98" s="17" t="inlineStr">
        <is>
          <t>07/20/2026 09:49 AM</t>
        </is>
      </c>
      <c r="E98" s="17" t="inlineStr">
        <is>
          <t>mickey obrien</t>
        </is>
      </c>
      <c r="F98" s="17" t="inlineStr">
        <is>
          <t>Sales Associate</t>
        </is>
      </c>
      <c r="G98" s="17" t="inlineStr">
        <is>
          <t>SUPER WINE WAREHSE(P)PATE</t>
        </is>
      </c>
      <c r="H98" s="17" t="inlineStr">
        <is>
          <t>20106</t>
        </is>
      </c>
      <c r="I98" s="18" t="n">
        <v>36</v>
      </c>
      <c r="J98" s="17" t="inlineStr">
        <is>
          <t>Bronze (20-39)</t>
        </is>
      </c>
      <c r="K98" s="18" t="n">
        <v>300</v>
      </c>
      <c r="L98" s="17" t="inlineStr">
        <is>
          <t>MODELO CERVEZA, MODELO ORO</t>
        </is>
      </c>
      <c r="M98" s="19" t="inlineStr">
        <is>
          <t>View Photo</t>
        </is>
      </c>
    </row>
    <row r="99">
      <c r="A99" s="20" t="inlineStr">
        <is>
          <t>Cross-person — same brands, different cases</t>
        </is>
      </c>
      <c r="B99" s="21" t="inlineStr">
        <is>
          <t>C042</t>
        </is>
      </c>
      <c r="C99" s="20" t="inlineStr">
        <is>
          <t>Possible duplicate</t>
        </is>
      </c>
      <c r="D99" s="20" t="inlineStr">
        <is>
          <t>07/20/2026 09:50 AM</t>
        </is>
      </c>
      <c r="E99" s="20" t="inlineStr">
        <is>
          <t>Nicholas Micco</t>
        </is>
      </c>
      <c r="F99" s="20" t="inlineStr">
        <is>
          <t>Sales Associate</t>
        </is>
      </c>
      <c r="G99" s="20" t="inlineStr">
        <is>
          <t>SUPER WINE WAREHSE(P)PATE</t>
        </is>
      </c>
      <c r="H99" s="20" t="inlineStr">
        <is>
          <t>20106</t>
        </is>
      </c>
      <c r="I99" s="21" t="n">
        <v>55</v>
      </c>
      <c r="J99" s="20" t="inlineStr">
        <is>
          <t>Silver (40-69)</t>
        </is>
      </c>
      <c r="K99" s="21" t="n">
        <v>500</v>
      </c>
      <c r="L99" s="20" t="inlineStr">
        <is>
          <t>MODELO CERVEZA, MODELO ORO</t>
        </is>
      </c>
      <c r="M99" s="22" t="inlineStr">
        <is>
          <t>View Photo</t>
        </is>
      </c>
    </row>
    <row r="100">
      <c r="A100" s="17" t="inlineStr">
        <is>
          <t>Cross-person — same brands, different cases</t>
        </is>
      </c>
      <c r="B100" s="18" t="inlineStr">
        <is>
          <t>C043</t>
        </is>
      </c>
      <c r="C100" s="17" t="inlineStr">
        <is>
          <t>Kept (first submitted)</t>
        </is>
      </c>
      <c r="D100" s="17" t="inlineStr">
        <is>
          <t>07/21/2026 02:16 PM</t>
        </is>
      </c>
      <c r="E100" s="17" t="inlineStr">
        <is>
          <t>Todd Ewell</t>
        </is>
      </c>
      <c r="F100" s="17" t="inlineStr">
        <is>
          <t>Sales Associate</t>
        </is>
      </c>
      <c r="G100" s="17" t="inlineStr">
        <is>
          <t>LINCOLN PARK FINE WINES &amp; SPIRITS</t>
        </is>
      </c>
      <c r="H100" s="17" t="inlineStr">
        <is>
          <t>11003</t>
        </is>
      </c>
      <c r="I100" s="18" t="n">
        <v>80</v>
      </c>
      <c r="J100" s="17" t="inlineStr">
        <is>
          <t>Gold (70+)</t>
        </is>
      </c>
      <c r="K100" s="18" t="n">
        <v>1000</v>
      </c>
      <c r="L100" s="17" t="inlineStr">
        <is>
          <t>MILLER LITE</t>
        </is>
      </c>
      <c r="M100" s="19" t="inlineStr">
        <is>
          <t>View Photo</t>
        </is>
      </c>
    </row>
    <row r="101">
      <c r="A101" s="20" t="inlineStr">
        <is>
          <t>Cross-person — same brands, different cases</t>
        </is>
      </c>
      <c r="B101" s="21" t="inlineStr">
        <is>
          <t>C043</t>
        </is>
      </c>
      <c r="C101" s="20" t="inlineStr">
        <is>
          <t>Possible duplicate</t>
        </is>
      </c>
      <c r="D101" s="20" t="inlineStr">
        <is>
          <t>07/21/2026 04:16 PM</t>
        </is>
      </c>
      <c r="E101" s="20" t="inlineStr">
        <is>
          <t>Mike Ast</t>
        </is>
      </c>
      <c r="F101" s="20" t="inlineStr">
        <is>
          <t>Sales Rep</t>
        </is>
      </c>
      <c r="G101" s="20" t="inlineStr">
        <is>
          <t>LINCOLN PARK FINE WINES &amp; SPIRITS</t>
        </is>
      </c>
      <c r="H101" s="20" t="inlineStr">
        <is>
          <t>11003</t>
        </is>
      </c>
      <c r="I101" s="21" t="n">
        <v>130</v>
      </c>
      <c r="J101" s="20" t="inlineStr">
        <is>
          <t>Gold (70+)</t>
        </is>
      </c>
      <c r="K101" s="21" t="n">
        <v>1000</v>
      </c>
      <c r="L101" s="20" t="inlineStr">
        <is>
          <t>MILLER LITE</t>
        </is>
      </c>
      <c r="M101" s="22" t="inlineStr">
        <is>
          <t>View Photo</t>
        </is>
      </c>
    </row>
    <row r="102">
      <c r="A102" s="17" t="inlineStr">
        <is>
          <t>Cross-person — same brands, different cases</t>
        </is>
      </c>
      <c r="B102" s="18" t="inlineStr">
        <is>
          <t>C044</t>
        </is>
      </c>
      <c r="C102" s="17" t="inlineStr">
        <is>
          <t>Kept (first submitted)</t>
        </is>
      </c>
      <c r="D102" s="17" t="inlineStr">
        <is>
          <t>07/21/2026 02:21 PM</t>
        </is>
      </c>
      <c r="E102" s="17" t="inlineStr">
        <is>
          <t>Todd Ewell</t>
        </is>
      </c>
      <c r="F102" s="17" t="inlineStr">
        <is>
          <t>Sales Associate</t>
        </is>
      </c>
      <c r="G102" s="17" t="inlineStr">
        <is>
          <t>LINCOLN PARK FINE WINES &amp; SPIRITS</t>
        </is>
      </c>
      <c r="H102" s="17" t="inlineStr">
        <is>
          <t>11003</t>
        </is>
      </c>
      <c r="I102" s="18" t="n">
        <v>22</v>
      </c>
      <c r="J102" s="17" t="inlineStr">
        <is>
          <t>Bronze (20-39)</t>
        </is>
      </c>
      <c r="K102" s="18" t="n">
        <v>300</v>
      </c>
      <c r="L102" s="17" t="inlineStr">
        <is>
          <t>PERONI NASTRO AZZURRO</t>
        </is>
      </c>
      <c r="M102" s="19" t="inlineStr">
        <is>
          <t>View Photo</t>
        </is>
      </c>
    </row>
    <row r="103">
      <c r="A103" s="20" t="inlineStr">
        <is>
          <t>Cross-person — same brands, different cases</t>
        </is>
      </c>
      <c r="B103" s="21" t="inlineStr">
        <is>
          <t>C044</t>
        </is>
      </c>
      <c r="C103" s="20" t="inlineStr">
        <is>
          <t>Possible duplicate</t>
        </is>
      </c>
      <c r="D103" s="20" t="inlineStr">
        <is>
          <t>07/21/2026 04:18 PM</t>
        </is>
      </c>
      <c r="E103" s="20" t="inlineStr">
        <is>
          <t>Mike Ast</t>
        </is>
      </c>
      <c r="F103" s="20" t="inlineStr">
        <is>
          <t>Sales Rep</t>
        </is>
      </c>
      <c r="G103" s="20" t="inlineStr">
        <is>
          <t>LINCOLN PARK FINE WINES &amp; SPIRITS</t>
        </is>
      </c>
      <c r="H103" s="20" t="inlineStr">
        <is>
          <t>11003</t>
        </is>
      </c>
      <c r="I103" s="21" t="n">
        <v>35</v>
      </c>
      <c r="J103" s="20" t="inlineStr">
        <is>
          <t>Bronze (20-39)</t>
        </is>
      </c>
      <c r="K103" s="21" t="n">
        <v>300</v>
      </c>
      <c r="L103" s="20" t="inlineStr">
        <is>
          <t>PERONI NASTRO AZZURRO</t>
        </is>
      </c>
      <c r="M103" s="22" t="inlineStr">
        <is>
          <t>View Photo</t>
        </is>
      </c>
    </row>
    <row r="104">
      <c r="A104" s="17" t="inlineStr">
        <is>
          <t>Cross-person — same brands, different cases</t>
        </is>
      </c>
      <c r="B104" s="18" t="inlineStr">
        <is>
          <t>C045</t>
        </is>
      </c>
      <c r="C104" s="17" t="inlineStr">
        <is>
          <t>Kept (first submitted)</t>
        </is>
      </c>
      <c r="D104" s="17" t="inlineStr">
        <is>
          <t>07/21/2026 02:25 PM</t>
        </is>
      </c>
      <c r="E104" s="17" t="inlineStr">
        <is>
          <t>Todd Ewell</t>
        </is>
      </c>
      <c r="F104" s="17" t="inlineStr">
        <is>
          <t>Sales Associate</t>
        </is>
      </c>
      <c r="G104" s="17" t="inlineStr">
        <is>
          <t>LINCOLN PARK FINE WINES &amp; SPIRITS</t>
        </is>
      </c>
      <c r="H104" s="17" t="inlineStr">
        <is>
          <t>11003</t>
        </is>
      </c>
      <c r="I104" s="18" t="n">
        <v>50</v>
      </c>
      <c r="J104" s="17" t="inlineStr">
        <is>
          <t>Silver (40-69)</t>
        </is>
      </c>
      <c r="K104" s="18" t="n">
        <v>500</v>
      </c>
      <c r="L104" s="17" t="inlineStr">
        <is>
          <t>MODELO CERVEZA</t>
        </is>
      </c>
      <c r="M104" s="19" t="inlineStr">
        <is>
          <t>View Photo</t>
        </is>
      </c>
    </row>
    <row r="105">
      <c r="A105" s="20" t="inlineStr">
        <is>
          <t>Cross-person — same brands, different cases</t>
        </is>
      </c>
      <c r="B105" s="21" t="inlineStr">
        <is>
          <t>C045</t>
        </is>
      </c>
      <c r="C105" s="20" t="inlineStr">
        <is>
          <t>Possible duplicate</t>
        </is>
      </c>
      <c r="D105" s="20" t="inlineStr">
        <is>
          <t>07/21/2026 04:19 PM</t>
        </is>
      </c>
      <c r="E105" s="20" t="inlineStr">
        <is>
          <t>Mike Ast</t>
        </is>
      </c>
      <c r="F105" s="20" t="inlineStr">
        <is>
          <t>Sales Rep</t>
        </is>
      </c>
      <c r="G105" s="20" t="inlineStr">
        <is>
          <t>LINCOLN PARK FINE WINES &amp; SPIRITS</t>
        </is>
      </c>
      <c r="H105" s="20" t="inlineStr">
        <is>
          <t>11003</t>
        </is>
      </c>
      <c r="I105" s="21" t="n">
        <v>70</v>
      </c>
      <c r="J105" s="20" t="inlineStr">
        <is>
          <t>Gold (70+)</t>
        </is>
      </c>
      <c r="K105" s="21" t="n">
        <v>1000</v>
      </c>
      <c r="L105" s="20" t="inlineStr">
        <is>
          <t>MODELO CERVEZA</t>
        </is>
      </c>
      <c r="M105" s="22" t="inlineStr">
        <is>
          <t>View Photo</t>
        </is>
      </c>
    </row>
    <row r="106">
      <c r="A106" s="17" t="inlineStr">
        <is>
          <t>Cross-person — same brands, different cases</t>
        </is>
      </c>
      <c r="B106" s="18" t="inlineStr">
        <is>
          <t>C046</t>
        </is>
      </c>
      <c r="C106" s="17" t="inlineStr">
        <is>
          <t>Kept (first submitted)</t>
        </is>
      </c>
      <c r="D106" s="17" t="inlineStr">
        <is>
          <t>07/21/2026 02:46 PM</t>
        </is>
      </c>
      <c r="E106" s="17" t="inlineStr">
        <is>
          <t>Nicholas Micco</t>
        </is>
      </c>
      <c r="F106" s="17" t="inlineStr">
        <is>
          <t>Sales Associate</t>
        </is>
      </c>
      <c r="G106" s="17" t="inlineStr">
        <is>
          <t>TOTAL WINE &amp; MORE (RIVER EDGE)</t>
        </is>
      </c>
      <c r="H106" s="17" t="inlineStr">
        <is>
          <t>58001</t>
        </is>
      </c>
      <c r="I106" s="18" t="n">
        <v>100</v>
      </c>
      <c r="J106" s="17" t="inlineStr">
        <is>
          <t>Gold (70+)</t>
        </is>
      </c>
      <c r="K106" s="18" t="n">
        <v>1000</v>
      </c>
      <c r="L106" s="17" t="inlineStr">
        <is>
          <t>MILLER LITE</t>
        </is>
      </c>
      <c r="M106" s="19" t="inlineStr">
        <is>
          <t>View Photo</t>
        </is>
      </c>
    </row>
    <row r="107">
      <c r="A107" s="20" t="inlineStr">
        <is>
          <t>Cross-person — same brands, different cases</t>
        </is>
      </c>
      <c r="B107" s="21" t="inlineStr">
        <is>
          <t>C046</t>
        </is>
      </c>
      <c r="C107" s="20" t="inlineStr">
        <is>
          <t>Possible duplicate</t>
        </is>
      </c>
      <c r="D107" s="20" t="inlineStr">
        <is>
          <t>07/21/2026 03:07 PM</t>
        </is>
      </c>
      <c r="E107" s="20" t="inlineStr">
        <is>
          <t>mickey obrien</t>
        </is>
      </c>
      <c r="F107" s="20" t="inlineStr">
        <is>
          <t>Sales Associate</t>
        </is>
      </c>
      <c r="G107" s="20" t="inlineStr">
        <is>
          <t>TOTAL WINE &amp; MORE (RIVER EDGE)</t>
        </is>
      </c>
      <c r="H107" s="20" t="inlineStr">
        <is>
          <t>58001</t>
        </is>
      </c>
      <c r="I107" s="21" t="n">
        <v>150</v>
      </c>
      <c r="J107" s="20" t="inlineStr">
        <is>
          <t>Gold (70+)</t>
        </is>
      </c>
      <c r="K107" s="21" t="n">
        <v>1000</v>
      </c>
      <c r="L107" s="20" t="inlineStr">
        <is>
          <t>MILLER LITE</t>
        </is>
      </c>
      <c r="M107" s="22" t="inlineStr">
        <is>
          <t>View Photo</t>
        </is>
      </c>
    </row>
    <row r="108">
      <c r="A108" s="17" t="inlineStr">
        <is>
          <t>Cross-person — same brands, different cases</t>
        </is>
      </c>
      <c r="B108" s="18" t="inlineStr">
        <is>
          <t>C047</t>
        </is>
      </c>
      <c r="C108" s="17" t="inlineStr">
        <is>
          <t>Kept (first submitted)</t>
        </is>
      </c>
      <c r="D108" s="17" t="inlineStr">
        <is>
          <t>07/28/2026 11:57 AM</t>
        </is>
      </c>
      <c r="E108" s="17" t="inlineStr">
        <is>
          <t>Todd Ewell</t>
        </is>
      </c>
      <c r="F108" s="17" t="inlineStr">
        <is>
          <t>Sales Associate</t>
        </is>
      </c>
      <c r="G108" s="17" t="inlineStr">
        <is>
          <t>BEVERAGE BARN (A)</t>
        </is>
      </c>
      <c r="H108" s="17" t="inlineStr">
        <is>
          <t>67004</t>
        </is>
      </c>
      <c r="I108" s="18" t="n">
        <v>60</v>
      </c>
      <c r="J108" s="17" t="inlineStr">
        <is>
          <t>Silver (40-69)</t>
        </is>
      </c>
      <c r="K108" s="18" t="n">
        <v>500</v>
      </c>
      <c r="L108" s="17" t="inlineStr">
        <is>
          <t>SUN CRUISERS RTD</t>
        </is>
      </c>
      <c r="M108" s="19" t="inlineStr">
        <is>
          <t>View Photo</t>
        </is>
      </c>
    </row>
    <row r="109">
      <c r="A109" s="20" t="inlineStr">
        <is>
          <t>Cross-person — same brands, different cases</t>
        </is>
      </c>
      <c r="B109" s="21" t="inlineStr">
        <is>
          <t>C047</t>
        </is>
      </c>
      <c r="C109" s="20" t="inlineStr">
        <is>
          <t>Possible duplicate</t>
        </is>
      </c>
      <c r="D109" s="20" t="inlineStr">
        <is>
          <t>07/28/2026 11:58 AM</t>
        </is>
      </c>
      <c r="E109" s="20" t="inlineStr">
        <is>
          <t>Jay Tabasco</t>
        </is>
      </c>
      <c r="F109" s="20" t="inlineStr">
        <is>
          <t>Sales Associate</t>
        </is>
      </c>
      <c r="G109" s="20" t="inlineStr">
        <is>
          <t>BEVERAGE BARN (A)</t>
        </is>
      </c>
      <c r="H109" s="20" t="inlineStr">
        <is>
          <t>67004</t>
        </is>
      </c>
      <c r="I109" s="21" t="n">
        <v>140</v>
      </c>
      <c r="J109" s="20" t="inlineStr">
        <is>
          <t>Gold (70+)</t>
        </is>
      </c>
      <c r="K109" s="21" t="n">
        <v>1000</v>
      </c>
      <c r="L109" s="20" t="inlineStr">
        <is>
          <t>SUN CRUISERS RTD</t>
        </is>
      </c>
      <c r="M109" s="22" t="inlineStr">
        <is>
          <t>View Photo</t>
        </is>
      </c>
    </row>
    <row r="110">
      <c r="A110" s="17" t="inlineStr">
        <is>
          <t>Cross-person — same brands, different cases</t>
        </is>
      </c>
      <c r="B110" s="18" t="inlineStr">
        <is>
          <t>C048</t>
        </is>
      </c>
      <c r="C110" s="17" t="inlineStr">
        <is>
          <t>Kept (first submitted)</t>
        </is>
      </c>
      <c r="D110" s="17" t="inlineStr">
        <is>
          <t>07/29/2026 01:03 PM</t>
        </is>
      </c>
      <c r="E110" s="17" t="inlineStr">
        <is>
          <t>Mike Ast</t>
        </is>
      </c>
      <c r="F110" s="17" t="inlineStr">
        <is>
          <t>Sales Rep</t>
        </is>
      </c>
      <c r="G110" s="17" t="inlineStr">
        <is>
          <t>LINCOLN PARK FINE WINES &amp; SPIRITS</t>
        </is>
      </c>
      <c r="H110" s="17" t="inlineStr">
        <is>
          <t>11003</t>
        </is>
      </c>
      <c r="I110" s="18" t="n">
        <v>173</v>
      </c>
      <c r="J110" s="17" t="inlineStr">
        <is>
          <t>Gold (70+)</t>
        </is>
      </c>
      <c r="K110" s="18" t="n">
        <v>1000</v>
      </c>
      <c r="L110" s="17" t="inlineStr">
        <is>
          <t>SUN CRUISERS RTD</t>
        </is>
      </c>
      <c r="M110" s="19" t="inlineStr">
        <is>
          <t>View Photo</t>
        </is>
      </c>
    </row>
    <row r="111">
      <c r="A111" s="20" t="inlineStr">
        <is>
          <t>Cross-person — same brands, different cases</t>
        </is>
      </c>
      <c r="B111" s="21" t="inlineStr">
        <is>
          <t>C048</t>
        </is>
      </c>
      <c r="C111" s="20" t="inlineStr">
        <is>
          <t>Possible duplicate</t>
        </is>
      </c>
      <c r="D111" s="20" t="inlineStr">
        <is>
          <t>07/29/2026 10:43 AM</t>
        </is>
      </c>
      <c r="E111" s="20" t="inlineStr">
        <is>
          <t>Todd Ewell</t>
        </is>
      </c>
      <c r="F111" s="20" t="inlineStr">
        <is>
          <t>Sales Associate</t>
        </is>
      </c>
      <c r="G111" s="20" t="inlineStr">
        <is>
          <t>LINCOLN PARK FINE WINES &amp; SPIRITS</t>
        </is>
      </c>
      <c r="H111" s="20" t="inlineStr">
        <is>
          <t>11003</t>
        </is>
      </c>
      <c r="I111" s="21" t="n">
        <v>80</v>
      </c>
      <c r="J111" s="20" t="inlineStr">
        <is>
          <t>Gold (70+)</t>
        </is>
      </c>
      <c r="K111" s="21" t="n">
        <v>1000</v>
      </c>
      <c r="L111" s="20" t="inlineStr">
        <is>
          <t>SUN CRUISERS RTD</t>
        </is>
      </c>
      <c r="M111" s="22" t="inlineStr">
        <is>
          <t>View Photo</t>
        </is>
      </c>
    </row>
    <row r="112">
      <c r="A112" s="17" t="inlineStr">
        <is>
          <t>Cross-person — same brands, different cases</t>
        </is>
      </c>
      <c r="B112" s="18" t="inlineStr">
        <is>
          <t>C049</t>
        </is>
      </c>
      <c r="C112" s="17" t="inlineStr">
        <is>
          <t>Kept (first submitted)</t>
        </is>
      </c>
      <c r="D112" s="17" t="inlineStr">
        <is>
          <t>07/29/2026 12:21 PM</t>
        </is>
      </c>
      <c r="E112" s="17" t="inlineStr">
        <is>
          <t>Jay Tabasco</t>
        </is>
      </c>
      <c r="F112" s="17" t="inlineStr">
        <is>
          <t>Sales Associate</t>
        </is>
      </c>
      <c r="G112" s="17" t="inlineStr">
        <is>
          <t>NICO'S WINE &amp; SPIRITS</t>
        </is>
      </c>
      <c r="H112" s="17" t="inlineStr">
        <is>
          <t>17011</t>
        </is>
      </c>
      <c r="I112" s="18" t="n">
        <v>44</v>
      </c>
      <c r="J112" s="17" t="inlineStr">
        <is>
          <t>Silver (40-69)</t>
        </is>
      </c>
      <c r="K112" s="18" t="n">
        <v>500</v>
      </c>
      <c r="L112" s="17" t="inlineStr">
        <is>
          <t>CORONA EXTRA</t>
        </is>
      </c>
      <c r="M112" s="19" t="inlineStr">
        <is>
          <t>View Photo</t>
        </is>
      </c>
    </row>
    <row r="113">
      <c r="A113" s="20" t="inlineStr">
        <is>
          <t>Cross-person — same brands, different cases</t>
        </is>
      </c>
      <c r="B113" s="21" t="inlineStr">
        <is>
          <t>C049</t>
        </is>
      </c>
      <c r="C113" s="20" t="inlineStr">
        <is>
          <t>Possible duplicate</t>
        </is>
      </c>
      <c r="D113" s="20" t="inlineStr">
        <is>
          <t>07/29/2026 12:21 PM</t>
        </is>
      </c>
      <c r="E113" s="20" t="inlineStr">
        <is>
          <t>Todd Ewell</t>
        </is>
      </c>
      <c r="F113" s="20" t="inlineStr">
        <is>
          <t>Sales Associate</t>
        </is>
      </c>
      <c r="G113" s="20" t="inlineStr">
        <is>
          <t>NICO'S WINE &amp; SPIRITS</t>
        </is>
      </c>
      <c r="H113" s="20" t="inlineStr">
        <is>
          <t>17011</t>
        </is>
      </c>
      <c r="I113" s="21" t="n">
        <v>42</v>
      </c>
      <c r="J113" s="20" t="inlineStr">
        <is>
          <t>Silver (40-69)</t>
        </is>
      </c>
      <c r="K113" s="21" t="n">
        <v>500</v>
      </c>
      <c r="L113" s="20" t="inlineStr">
        <is>
          <t>CORONA EXTRA</t>
        </is>
      </c>
      <c r="M113" s="22" t="inlineStr">
        <is>
          <t>View Photo</t>
        </is>
      </c>
    </row>
    <row r="114">
      <c r="A114" s="20" t="inlineStr">
        <is>
          <t>Cross-person — same brands, different cases</t>
        </is>
      </c>
      <c r="B114" s="21" t="inlineStr">
        <is>
          <t>C049</t>
        </is>
      </c>
      <c r="C114" s="20" t="inlineStr">
        <is>
          <t>Possible duplicate</t>
        </is>
      </c>
      <c r="D114" s="20" t="inlineStr">
        <is>
          <t>07/29/2026 12:27 PM</t>
        </is>
      </c>
      <c r="E114" s="20" t="inlineStr">
        <is>
          <t>Mike Ast</t>
        </is>
      </c>
      <c r="F114" s="20" t="inlineStr">
        <is>
          <t>Sales Rep</t>
        </is>
      </c>
      <c r="G114" s="20" t="inlineStr">
        <is>
          <t>NICO'S WINE &amp; SPIRITS</t>
        </is>
      </c>
      <c r="H114" s="20" t="inlineStr">
        <is>
          <t>17011</t>
        </is>
      </c>
      <c r="I114" s="21" t="n">
        <v>50</v>
      </c>
      <c r="J114" s="20" t="inlineStr">
        <is>
          <t>Silver (40-69)</t>
        </is>
      </c>
      <c r="K114" s="21" t="n">
        <v>500</v>
      </c>
      <c r="L114" s="20" t="inlineStr">
        <is>
          <t>CORONA EXTRA</t>
        </is>
      </c>
      <c r="M114" s="22" t="inlineStr">
        <is>
          <t>View Photo</t>
        </is>
      </c>
    </row>
    <row r="115">
      <c r="A115" s="17" t="inlineStr">
        <is>
          <t>Cross-person — same brands, different cases</t>
        </is>
      </c>
      <c r="B115" s="18" t="inlineStr">
        <is>
          <t>C050</t>
        </is>
      </c>
      <c r="C115" s="17" t="inlineStr">
        <is>
          <t>Kept (first submitted)</t>
        </is>
      </c>
      <c r="D115" s="17" t="inlineStr">
        <is>
          <t>07/29/2026 03:47 PM</t>
        </is>
      </c>
      <c r="E115" s="17" t="inlineStr">
        <is>
          <t>Dave Ehlers</t>
        </is>
      </c>
      <c r="F115" s="17" t="inlineStr">
        <is>
          <t>Sales Rep</t>
        </is>
      </c>
      <c r="G115" s="17" t="inlineStr">
        <is>
          <t>TOTAL WINE &amp; MORE (RIVER EDGE)</t>
        </is>
      </c>
      <c r="H115" s="17" t="inlineStr">
        <is>
          <t>58001</t>
        </is>
      </c>
      <c r="I115" s="18" t="n">
        <v>200</v>
      </c>
      <c r="J115" s="17" t="inlineStr">
        <is>
          <t>Gold (70+)</t>
        </is>
      </c>
      <c r="K115" s="18" t="n">
        <v>1000</v>
      </c>
      <c r="L115" s="17" t="inlineStr">
        <is>
          <t>MILLER LITE</t>
        </is>
      </c>
      <c r="M115" s="19" t="inlineStr">
        <is>
          <t>View Photo</t>
        </is>
      </c>
    </row>
    <row r="116">
      <c r="A116" s="20" t="inlineStr">
        <is>
          <t>Cross-person — same brands, different cases</t>
        </is>
      </c>
      <c r="B116" s="21" t="inlineStr">
        <is>
          <t>C050</t>
        </is>
      </c>
      <c r="C116" s="20" t="inlineStr">
        <is>
          <t>Possible duplicate</t>
        </is>
      </c>
      <c r="D116" s="20" t="inlineStr">
        <is>
          <t>07/29/2026 03:51 PM</t>
        </is>
      </c>
      <c r="E116" s="20" t="inlineStr">
        <is>
          <t>David Fletcher</t>
        </is>
      </c>
      <c r="F116" s="20" t="inlineStr">
        <is>
          <t>Sales Associate</t>
        </is>
      </c>
      <c r="G116" s="20" t="inlineStr">
        <is>
          <t>TOTAL WINE &amp; MORE (RIVER EDGE)</t>
        </is>
      </c>
      <c r="H116" s="20" t="inlineStr">
        <is>
          <t>58001</t>
        </is>
      </c>
      <c r="I116" s="21" t="n">
        <v>160</v>
      </c>
      <c r="J116" s="20" t="inlineStr">
        <is>
          <t>Gold (70+)</t>
        </is>
      </c>
      <c r="K116" s="21" t="n">
        <v>1000</v>
      </c>
      <c r="L116" s="20" t="inlineStr">
        <is>
          <t>MILLER LITE</t>
        </is>
      </c>
      <c r="M116" s="22" t="inlineStr">
        <is>
          <t>View Photo</t>
        </is>
      </c>
    </row>
    <row r="117">
      <c r="A117" s="17" t="inlineStr">
        <is>
          <t>Cross-person — same brands, different cases</t>
        </is>
      </c>
      <c r="B117" s="18" t="inlineStr">
        <is>
          <t>C051</t>
        </is>
      </c>
      <c r="C117" s="17" t="inlineStr">
        <is>
          <t>Kept (first submitted)</t>
        </is>
      </c>
      <c r="D117" s="17" t="inlineStr">
        <is>
          <t>07/30/2026 11:52 AM</t>
        </is>
      </c>
      <c r="E117" s="17" t="inlineStr">
        <is>
          <t>Jay Tabasco</t>
        </is>
      </c>
      <c r="F117" s="17" t="inlineStr">
        <is>
          <t>Sales Associate</t>
        </is>
      </c>
      <c r="G117" s="17" t="inlineStr">
        <is>
          <t>SHOP RITE WINE &amp; SPIRITS STANHOPE</t>
        </is>
      </c>
      <c r="H117" s="17" t="inlineStr">
        <is>
          <t>191710</t>
        </is>
      </c>
      <c r="I117" s="18" t="n">
        <v>110</v>
      </c>
      <c r="J117" s="17" t="inlineStr">
        <is>
          <t>Gold (70+)</t>
        </is>
      </c>
      <c r="K117" s="18" t="n">
        <v>1000</v>
      </c>
      <c r="L117" s="17" t="inlineStr">
        <is>
          <t>TWISTED TEA</t>
        </is>
      </c>
      <c r="M117" s="19" t="inlineStr">
        <is>
          <t>View Photo</t>
        </is>
      </c>
    </row>
    <row r="118">
      <c r="A118" s="20" t="inlineStr">
        <is>
          <t>Cross-person — same brands, different cases</t>
        </is>
      </c>
      <c r="B118" s="21" t="inlineStr">
        <is>
          <t>C051</t>
        </is>
      </c>
      <c r="C118" s="20" t="inlineStr">
        <is>
          <t>Possible duplicate</t>
        </is>
      </c>
      <c r="D118" s="20" t="inlineStr">
        <is>
          <t>07/30/2026 11:52 AM</t>
        </is>
      </c>
      <c r="E118" s="20" t="inlineStr">
        <is>
          <t>Todd Ewell</t>
        </is>
      </c>
      <c r="F118" s="20" t="inlineStr">
        <is>
          <t>Sales Associate</t>
        </is>
      </c>
      <c r="G118" s="20" t="inlineStr">
        <is>
          <t>SHOP RITE WINE &amp; SPIRITS STANHOPE</t>
        </is>
      </c>
      <c r="H118" s="20" t="inlineStr">
        <is>
          <t>191710</t>
        </is>
      </c>
      <c r="I118" s="21" t="n">
        <v>84</v>
      </c>
      <c r="J118" s="20" t="inlineStr">
        <is>
          <t>Gold (70+)</t>
        </is>
      </c>
      <c r="K118" s="21" t="n">
        <v>1000</v>
      </c>
      <c r="L118" s="20" t="inlineStr">
        <is>
          <t>TWISTED TEA</t>
        </is>
      </c>
      <c r="M118" s="22" t="inlineStr">
        <is>
          <t>View Photo</t>
        </is>
      </c>
    </row>
    <row r="119">
      <c r="A119" s="20" t="inlineStr">
        <is>
          <t>Cross-person — same brands, different cases</t>
        </is>
      </c>
      <c r="B119" s="21" t="inlineStr">
        <is>
          <t>C051</t>
        </is>
      </c>
      <c r="C119" s="20" t="inlineStr">
        <is>
          <t>Possible duplicate</t>
        </is>
      </c>
      <c r="D119" s="20" t="inlineStr">
        <is>
          <t>07/30/2026 12:04 PM</t>
        </is>
      </c>
      <c r="E119" s="20" t="inlineStr">
        <is>
          <t>Klejdi Lamo</t>
        </is>
      </c>
      <c r="F119" s="20" t="inlineStr">
        <is>
          <t>Sales Rep</t>
        </is>
      </c>
      <c r="G119" s="20" t="inlineStr">
        <is>
          <t>SHOP RITE WINE &amp; SPIRITS STANHOPE</t>
        </is>
      </c>
      <c r="H119" s="20" t="inlineStr">
        <is>
          <t>191710</t>
        </is>
      </c>
      <c r="I119" s="21" t="n">
        <v>100</v>
      </c>
      <c r="J119" s="20" t="inlineStr">
        <is>
          <t>Gold (70+)</t>
        </is>
      </c>
      <c r="K119" s="21" t="n">
        <v>1000</v>
      </c>
      <c r="L119" s="20" t="inlineStr">
        <is>
          <t>TWISTED TEA</t>
        </is>
      </c>
      <c r="M119" s="22" t="inlineStr">
        <is>
          <t>View Photo</t>
        </is>
      </c>
    </row>
    <row r="120">
      <c r="A120" s="17" t="inlineStr">
        <is>
          <t>Cross-person — same brands, different cases</t>
        </is>
      </c>
      <c r="B120" s="18" t="inlineStr">
        <is>
          <t>C052</t>
        </is>
      </c>
      <c r="C120" s="17" t="inlineStr">
        <is>
          <t>Kept (first submitted)</t>
        </is>
      </c>
      <c r="D120" s="17" t="inlineStr">
        <is>
          <t>07/30/2026 12:04 PM</t>
        </is>
      </c>
      <c r="E120" s="17" t="inlineStr">
        <is>
          <t>Todd Ewell</t>
        </is>
      </c>
      <c r="F120" s="17" t="inlineStr">
        <is>
          <t>Sales Associate</t>
        </is>
      </c>
      <c r="G120" s="17" t="inlineStr">
        <is>
          <t>SHOP RITE WINE &amp; SPIRITS STANHOPE</t>
        </is>
      </c>
      <c r="H120" s="17" t="inlineStr">
        <is>
          <t>191710</t>
        </is>
      </c>
      <c r="I120" s="18" t="n">
        <v>71</v>
      </c>
      <c r="J120" s="17" t="inlineStr">
        <is>
          <t>Gold (70+)</t>
        </is>
      </c>
      <c r="K120" s="18" t="n">
        <v>1000</v>
      </c>
      <c r="L120" s="17" t="inlineStr">
        <is>
          <t>WHITE CLAW SURF HARD SELTZER</t>
        </is>
      </c>
      <c r="M120" s="19" t="inlineStr">
        <is>
          <t>View Photo</t>
        </is>
      </c>
    </row>
    <row r="121">
      <c r="A121" s="20" t="inlineStr">
        <is>
          <t>Cross-person — same brands, different cases</t>
        </is>
      </c>
      <c r="B121" s="21" t="inlineStr">
        <is>
          <t>C052</t>
        </is>
      </c>
      <c r="C121" s="20" t="inlineStr">
        <is>
          <t>Possible duplicate</t>
        </is>
      </c>
      <c r="D121" s="20" t="inlineStr">
        <is>
          <t>07/30/2026 12:05 PM</t>
        </is>
      </c>
      <c r="E121" s="20" t="inlineStr">
        <is>
          <t>Jay Tabasco</t>
        </is>
      </c>
      <c r="F121" s="20" t="inlineStr">
        <is>
          <t>Sales Associate</t>
        </is>
      </c>
      <c r="G121" s="20" t="inlineStr">
        <is>
          <t>SHOP RITE WINE &amp; SPIRITS STANHOPE</t>
        </is>
      </c>
      <c r="H121" s="20" t="inlineStr">
        <is>
          <t>191710</t>
        </is>
      </c>
      <c r="I121" s="21" t="n">
        <v>10</v>
      </c>
      <c r="J121" s="20" t="inlineStr">
        <is>
          <t>Other (10-19)</t>
        </is>
      </c>
      <c r="K121" s="21" t="n">
        <v>200</v>
      </c>
      <c r="L121" s="20" t="inlineStr">
        <is>
          <t>WHITE CLAW SURF HARD SELTZER</t>
        </is>
      </c>
      <c r="M121" s="22" t="inlineStr">
        <is>
          <t>View Photo</t>
        </is>
      </c>
    </row>
    <row r="122">
      <c r="A122" s="20" t="inlineStr">
        <is>
          <t>Cross-person — same brands, different cases</t>
        </is>
      </c>
      <c r="B122" s="21" t="inlineStr">
        <is>
          <t>C052</t>
        </is>
      </c>
      <c r="C122" s="20" t="inlineStr">
        <is>
          <t>Possible duplicate</t>
        </is>
      </c>
      <c r="D122" s="20" t="inlineStr">
        <is>
          <t>07/30/2026 12:05 PM</t>
        </is>
      </c>
      <c r="E122" s="20" t="inlineStr">
        <is>
          <t>Klejdi Lamo</t>
        </is>
      </c>
      <c r="F122" s="20" t="inlineStr">
        <is>
          <t>Sales Rep</t>
        </is>
      </c>
      <c r="G122" s="20" t="inlineStr">
        <is>
          <t>SHOP RITE WINE &amp; SPIRITS STANHOPE</t>
        </is>
      </c>
      <c r="H122" s="20" t="inlineStr">
        <is>
          <t>191710</t>
        </is>
      </c>
      <c r="I122" s="21" t="n">
        <v>70</v>
      </c>
      <c r="J122" s="20" t="inlineStr">
        <is>
          <t>Gold (70+)</t>
        </is>
      </c>
      <c r="K122" s="21" t="n">
        <v>1000</v>
      </c>
      <c r="L122" s="20" t="inlineStr">
        <is>
          <t>WHITE CLAW SURF HARD SELTZER</t>
        </is>
      </c>
      <c r="M122" s="22" t="inlineStr">
        <is>
          <t>View Photo</t>
        </is>
      </c>
    </row>
    <row r="123">
      <c r="A123" s="17" t="inlineStr">
        <is>
          <t>Cross-person — same brands, different cases</t>
        </is>
      </c>
      <c r="B123" s="18" t="inlineStr">
        <is>
          <t>C053</t>
        </is>
      </c>
      <c r="C123" s="17" t="inlineStr">
        <is>
          <t>Kept (first submitted)</t>
        </is>
      </c>
      <c r="D123" s="17" t="inlineStr">
        <is>
          <t>07/30/2026 01:02 PM</t>
        </is>
      </c>
      <c r="E123" s="17" t="inlineStr">
        <is>
          <t>Derrick laws</t>
        </is>
      </c>
      <c r="F123" s="17" t="inlineStr">
        <is>
          <t>Sales Rep</t>
        </is>
      </c>
      <c r="G123" s="17" t="inlineStr">
        <is>
          <t>SHOP RITE WINES/SPIRITS</t>
        </is>
      </c>
      <c r="H123" s="17" t="inlineStr">
        <is>
          <t>23004</t>
        </is>
      </c>
      <c r="I123" s="18" t="n">
        <v>80</v>
      </c>
      <c r="J123" s="17" t="inlineStr">
        <is>
          <t>Gold (70+)</t>
        </is>
      </c>
      <c r="K123" s="18" t="n">
        <v>1000</v>
      </c>
      <c r="L123" s="17" t="inlineStr">
        <is>
          <t>MODELO CERVEZA</t>
        </is>
      </c>
      <c r="M123" s="19" t="inlineStr">
        <is>
          <t>View Photo</t>
        </is>
      </c>
    </row>
    <row r="124">
      <c r="A124" s="20" t="inlineStr">
        <is>
          <t>Cross-person — same brands, different cases</t>
        </is>
      </c>
      <c r="B124" s="21" t="inlineStr">
        <is>
          <t>C053</t>
        </is>
      </c>
      <c r="C124" s="20" t="inlineStr">
        <is>
          <t>Possible duplicate</t>
        </is>
      </c>
      <c r="D124" s="20" t="inlineStr">
        <is>
          <t>07/30/2026 05:26 PM</t>
        </is>
      </c>
      <c r="E124" s="20" t="inlineStr">
        <is>
          <t>patrick infante</t>
        </is>
      </c>
      <c r="F124" s="20" t="inlineStr">
        <is>
          <t>Sales Associate</t>
        </is>
      </c>
      <c r="G124" s="20" t="inlineStr">
        <is>
          <t>SHOP RITE WINES/SPIRITS</t>
        </is>
      </c>
      <c r="H124" s="20" t="inlineStr">
        <is>
          <t>23004</t>
        </is>
      </c>
      <c r="I124" s="21" t="n">
        <v>140</v>
      </c>
      <c r="J124" s="20" t="inlineStr">
        <is>
          <t>Gold (70+)</t>
        </is>
      </c>
      <c r="K124" s="21" t="n">
        <v>1000</v>
      </c>
      <c r="L124" s="20" t="inlineStr">
        <is>
          <t>MODELO CERVEZA</t>
        </is>
      </c>
      <c r="M124" s="22" t="inlineStr">
        <is>
          <t>View Photo</t>
        </is>
      </c>
    </row>
    <row r="125">
      <c r="A125" s="17" t="inlineStr">
        <is>
          <t>Cross-person — same brands, different cases</t>
        </is>
      </c>
      <c r="B125" s="18" t="inlineStr">
        <is>
          <t>C054</t>
        </is>
      </c>
      <c r="C125" s="17" t="inlineStr">
        <is>
          <t>Kept (first submitted)</t>
        </is>
      </c>
      <c r="D125" s="17" t="inlineStr">
        <is>
          <t>08/05/2026 02:39 PM</t>
        </is>
      </c>
      <c r="E125" s="17" t="inlineStr">
        <is>
          <t>Jay Tabasco</t>
        </is>
      </c>
      <c r="F125" s="17" t="inlineStr">
        <is>
          <t>Sales Associate</t>
        </is>
      </c>
      <c r="G125" s="17" t="inlineStr">
        <is>
          <t>MONTVALE WINE/LIQ &amp; BEER</t>
        </is>
      </c>
      <c r="H125" s="17" t="inlineStr">
        <is>
          <t>70001</t>
        </is>
      </c>
      <c r="I125" s="18" t="n">
        <v>120</v>
      </c>
      <c r="J125" s="17" t="inlineStr">
        <is>
          <t>Gold (70+)</t>
        </is>
      </c>
      <c r="K125" s="18" t="n">
        <v>1000</v>
      </c>
      <c r="L125" s="17" t="inlineStr">
        <is>
          <t>WHITE CLAW SURF HARD SELTZER</t>
        </is>
      </c>
      <c r="M125" s="19" t="inlineStr">
        <is>
          <t>View Photo</t>
        </is>
      </c>
    </row>
    <row r="126">
      <c r="A126" s="20" t="inlineStr">
        <is>
          <t>Cross-person — same brands, different cases</t>
        </is>
      </c>
      <c r="B126" s="21" t="inlineStr">
        <is>
          <t>C054</t>
        </is>
      </c>
      <c r="C126" s="20" t="inlineStr">
        <is>
          <t>Possible duplicate</t>
        </is>
      </c>
      <c r="D126" s="20" t="inlineStr">
        <is>
          <t>08/05/2026 02:39 PM</t>
        </is>
      </c>
      <c r="E126" s="20" t="inlineStr">
        <is>
          <t>Todd Ewell</t>
        </is>
      </c>
      <c r="F126" s="20" t="inlineStr">
        <is>
          <t>Sales Associate</t>
        </is>
      </c>
      <c r="G126" s="20" t="inlineStr">
        <is>
          <t>MONTVALE WINE/LIQ &amp; BEER</t>
        </is>
      </c>
      <c r="H126" s="20" t="inlineStr">
        <is>
          <t>70001</t>
        </is>
      </c>
      <c r="I126" s="21" t="n">
        <v>80</v>
      </c>
      <c r="J126" s="20" t="inlineStr">
        <is>
          <t>Gold (70+)</t>
        </is>
      </c>
      <c r="K126" s="21" t="n">
        <v>1000</v>
      </c>
      <c r="L126" s="20" t="inlineStr">
        <is>
          <t>WHITE CLAW SURF HARD SELTZER</t>
        </is>
      </c>
      <c r="M126" s="22" t="inlineStr">
        <is>
          <t>View Photo</t>
        </is>
      </c>
    </row>
    <row r="127">
      <c r="A127" s="17" t="inlineStr">
        <is>
          <t>Cross-person — same brands, different cases</t>
        </is>
      </c>
      <c r="B127" s="18" t="inlineStr">
        <is>
          <t>C055</t>
        </is>
      </c>
      <c r="C127" s="17" t="inlineStr">
        <is>
          <t>Kept (first submitted)</t>
        </is>
      </c>
      <c r="D127" s="17" t="inlineStr">
        <is>
          <t>08/18/2026 01:38 PM</t>
        </is>
      </c>
      <c r="E127" s="17" t="inlineStr">
        <is>
          <t>Dave Ehlers</t>
        </is>
      </c>
      <c r="F127" s="17" t="inlineStr">
        <is>
          <t>Sales Rep</t>
        </is>
      </c>
      <c r="G127" s="17" t="inlineStr">
        <is>
          <t>TOTAL WINE &amp; MORE (RIVER EDGE)</t>
        </is>
      </c>
      <c r="H127" s="17" t="inlineStr">
        <is>
          <t>58001</t>
        </is>
      </c>
      <c r="I127" s="18" t="n">
        <v>80</v>
      </c>
      <c r="J127" s="17" t="inlineStr">
        <is>
          <t>Gold (70+)</t>
        </is>
      </c>
      <c r="K127" s="18" t="n">
        <v>1000</v>
      </c>
      <c r="L127" s="17" t="inlineStr">
        <is>
          <t>ANGRY ORCHARD</t>
        </is>
      </c>
      <c r="M127" s="19" t="inlineStr">
        <is>
          <t>View Photo</t>
        </is>
      </c>
    </row>
    <row r="128">
      <c r="A128" s="20" t="inlineStr">
        <is>
          <t>Cross-person — same brands, different cases</t>
        </is>
      </c>
      <c r="B128" s="21" t="inlineStr">
        <is>
          <t>C055</t>
        </is>
      </c>
      <c r="C128" s="20" t="inlineStr">
        <is>
          <t>Possible duplicate</t>
        </is>
      </c>
      <c r="D128" s="20" t="inlineStr">
        <is>
          <t>08/18/2026 10:39 AM</t>
        </is>
      </c>
      <c r="E128" s="20" t="inlineStr">
        <is>
          <t>mickey obrien</t>
        </is>
      </c>
      <c r="F128" s="20" t="inlineStr">
        <is>
          <t>Sales Associate</t>
        </is>
      </c>
      <c r="G128" s="20" t="inlineStr">
        <is>
          <t>TOTAL WINE &amp; MORE (RIVER EDGE)</t>
        </is>
      </c>
      <c r="H128" s="20" t="inlineStr">
        <is>
          <t>58001</t>
        </is>
      </c>
      <c r="I128" s="21" t="n">
        <v>75</v>
      </c>
      <c r="J128" s="20" t="inlineStr">
        <is>
          <t>Gold (70+)</t>
        </is>
      </c>
      <c r="K128" s="21" t="n">
        <v>1000</v>
      </c>
      <c r="L128" s="20" t="inlineStr">
        <is>
          <t>ANGRY ORCHARD</t>
        </is>
      </c>
      <c r="M128" s="22" t="inlineStr">
        <is>
          <t>View Photo</t>
        </is>
      </c>
    </row>
    <row r="129">
      <c r="A129" s="17" t="inlineStr">
        <is>
          <t>Cross-person — same brands, different cases</t>
        </is>
      </c>
      <c r="B129" s="18" t="inlineStr">
        <is>
          <t>C056</t>
        </is>
      </c>
      <c r="C129" s="17" t="inlineStr">
        <is>
          <t>Kept (first submitted)</t>
        </is>
      </c>
      <c r="D129" s="17" t="inlineStr">
        <is>
          <t>08/21/2026 10:30 AM</t>
        </is>
      </c>
      <c r="E129" s="17" t="inlineStr">
        <is>
          <t>Jay Tabasco</t>
        </is>
      </c>
      <c r="F129" s="17" t="inlineStr">
        <is>
          <t>Sales Associate</t>
        </is>
      </c>
      <c r="G129" s="17" t="inlineStr">
        <is>
          <t>LINCOLN PARK FINE WINES &amp; SPIRITS</t>
        </is>
      </c>
      <c r="H129" s="17" t="inlineStr">
        <is>
          <t>11003</t>
        </is>
      </c>
      <c r="I129" s="18" t="n">
        <v>70</v>
      </c>
      <c r="J129" s="17" t="inlineStr">
        <is>
          <t>Gold (70+)</t>
        </is>
      </c>
      <c r="K129" s="18" t="n">
        <v>1000</v>
      </c>
      <c r="L129" s="17" t="inlineStr">
        <is>
          <t>COORS LIGHT</t>
        </is>
      </c>
      <c r="M129" s="19" t="inlineStr">
        <is>
          <t>View Photo</t>
        </is>
      </c>
    </row>
    <row r="130">
      <c r="A130" s="20" t="inlineStr">
        <is>
          <t>Cross-person — same brands, different cases</t>
        </is>
      </c>
      <c r="B130" s="21" t="inlineStr">
        <is>
          <t>C056</t>
        </is>
      </c>
      <c r="C130" s="20" t="inlineStr">
        <is>
          <t>Possible duplicate</t>
        </is>
      </c>
      <c r="D130" s="20" t="inlineStr">
        <is>
          <t>08/21/2026 10:30 AM</t>
        </is>
      </c>
      <c r="E130" s="20" t="inlineStr">
        <is>
          <t>Todd Ewell</t>
        </is>
      </c>
      <c r="F130" s="20" t="inlineStr">
        <is>
          <t>Sales Associate</t>
        </is>
      </c>
      <c r="G130" s="20" t="inlineStr">
        <is>
          <t>LINCOLN PARK FINE WINES &amp; SPIRITS</t>
        </is>
      </c>
      <c r="H130" s="20" t="inlineStr">
        <is>
          <t>11003</t>
        </is>
      </c>
      <c r="I130" s="21" t="n">
        <v>60</v>
      </c>
      <c r="J130" s="20" t="inlineStr">
        <is>
          <t>Silver (40-69)</t>
        </is>
      </c>
      <c r="K130" s="21" t="n">
        <v>500</v>
      </c>
      <c r="L130" s="20" t="inlineStr">
        <is>
          <t>COORS LIGHT</t>
        </is>
      </c>
      <c r="M130" s="22" t="inlineStr">
        <is>
          <t>View Photo</t>
        </is>
      </c>
    </row>
    <row r="131">
      <c r="A131" s="17" t="inlineStr">
        <is>
          <t>Cross-person — same brands, different cases</t>
        </is>
      </c>
      <c r="B131" s="18" t="inlineStr">
        <is>
          <t>C057</t>
        </is>
      </c>
      <c r="C131" s="17" t="inlineStr">
        <is>
          <t>Kept (first submitted)</t>
        </is>
      </c>
      <c r="D131" s="17" t="inlineStr">
        <is>
          <t>08/26/2026 11:41 AM</t>
        </is>
      </c>
      <c r="E131" s="17" t="inlineStr">
        <is>
          <t>Todd Ewell</t>
        </is>
      </c>
      <c r="F131" s="17" t="inlineStr">
        <is>
          <t>Sales Associate</t>
        </is>
      </c>
      <c r="G131" s="17" t="inlineStr">
        <is>
          <t>SHOPRITE WINE &amp; SPIRITS OF NEWTON#830</t>
        </is>
      </c>
      <c r="H131" s="17" t="inlineStr">
        <is>
          <t>230427</t>
        </is>
      </c>
      <c r="I131" s="18" t="n">
        <v>75</v>
      </c>
      <c r="J131" s="17" t="inlineStr">
        <is>
          <t>Gold (70+)</t>
        </is>
      </c>
      <c r="K131" s="18" t="n">
        <v>1000</v>
      </c>
      <c r="L131" s="17" t="inlineStr">
        <is>
          <t>TWISTED TEA</t>
        </is>
      </c>
      <c r="M131" s="19" t="inlineStr">
        <is>
          <t>View Photo</t>
        </is>
      </c>
    </row>
    <row r="132">
      <c r="A132" s="20" t="inlineStr">
        <is>
          <t>Cross-person — same brands, different cases</t>
        </is>
      </c>
      <c r="B132" s="21" t="inlineStr">
        <is>
          <t>C057</t>
        </is>
      </c>
      <c r="C132" s="20" t="inlineStr">
        <is>
          <t>Possible duplicate</t>
        </is>
      </c>
      <c r="D132" s="20" t="inlineStr">
        <is>
          <t>08/26/2026 11:42 AM</t>
        </is>
      </c>
      <c r="E132" s="20" t="inlineStr">
        <is>
          <t>Jay Tabasco</t>
        </is>
      </c>
      <c r="F132" s="20" t="inlineStr">
        <is>
          <t>Sales Associate</t>
        </is>
      </c>
      <c r="G132" s="20" t="inlineStr">
        <is>
          <t>SHOPRITE WINE &amp; SPIRITS OF NEWTON#830</t>
        </is>
      </c>
      <c r="H132" s="20" t="inlineStr">
        <is>
          <t>230427</t>
        </is>
      </c>
      <c r="I132" s="21" t="n">
        <v>74</v>
      </c>
      <c r="J132" s="20" t="inlineStr">
        <is>
          <t>Gold (70+)</t>
        </is>
      </c>
      <c r="K132" s="21" t="n">
        <v>1000</v>
      </c>
      <c r="L132" s="20" t="inlineStr">
        <is>
          <t>TWISTED TEA</t>
        </is>
      </c>
      <c r="M132" s="22" t="inlineStr">
        <is>
          <t>View Photo</t>
        </is>
      </c>
    </row>
    <row r="133">
      <c r="A133" s="17" t="inlineStr">
        <is>
          <t>Same person — exact repeat</t>
        </is>
      </c>
      <c r="B133" s="18" t="inlineStr">
        <is>
          <t>C058</t>
        </is>
      </c>
      <c r="C133" s="17" t="inlineStr">
        <is>
          <t>Kept (first submitted)</t>
        </is>
      </c>
      <c r="D133" s="17" t="inlineStr">
        <is>
          <t>07/08/2026 12:19 PM</t>
        </is>
      </c>
      <c r="E133" s="17" t="inlineStr">
        <is>
          <t>mickey obrien</t>
        </is>
      </c>
      <c r="F133" s="17" t="inlineStr">
        <is>
          <t>Sales Associate</t>
        </is>
      </c>
      <c r="G133" s="17" t="inlineStr">
        <is>
          <t>BUY RITE OF FAIRVIEW</t>
        </is>
      </c>
      <c r="H133" s="17" t="inlineStr">
        <is>
          <t>43013</t>
        </is>
      </c>
      <c r="I133" s="18" t="n">
        <v>65</v>
      </c>
      <c r="J133" s="17" t="inlineStr">
        <is>
          <t>Silver (40-69)</t>
        </is>
      </c>
      <c r="K133" s="18" t="n">
        <v>500</v>
      </c>
      <c r="L133" s="17" t="inlineStr">
        <is>
          <t>MODELO CERVEZA</t>
        </is>
      </c>
      <c r="M133" s="19" t="inlineStr">
        <is>
          <t>View Photo</t>
        </is>
      </c>
    </row>
    <row r="134">
      <c r="A134" s="20" t="inlineStr">
        <is>
          <t>Same person — exact repeat</t>
        </is>
      </c>
      <c r="B134" s="21" t="inlineStr">
        <is>
          <t>C058</t>
        </is>
      </c>
      <c r="C134" s="20" t="inlineStr">
        <is>
          <t>Possible duplicate</t>
        </is>
      </c>
      <c r="D134" s="20" t="inlineStr">
        <is>
          <t>07/08/2026 12:26 PM</t>
        </is>
      </c>
      <c r="E134" s="20" t="inlineStr">
        <is>
          <t>mickey obrien</t>
        </is>
      </c>
      <c r="F134" s="20" t="inlineStr">
        <is>
          <t>Sales Associate</t>
        </is>
      </c>
      <c r="G134" s="20" t="inlineStr">
        <is>
          <t>BUY RITE OF FAIRVIEW</t>
        </is>
      </c>
      <c r="H134" s="20" t="inlineStr">
        <is>
          <t>43013</t>
        </is>
      </c>
      <c r="I134" s="21" t="n">
        <v>65</v>
      </c>
      <c r="J134" s="20" t="inlineStr">
        <is>
          <t>Silver (40-69)</t>
        </is>
      </c>
      <c r="K134" s="21" t="n">
        <v>500</v>
      </c>
      <c r="L134" s="20" t="inlineStr">
        <is>
          <t>MODELO CERVEZA</t>
        </is>
      </c>
      <c r="M134" s="22" t="inlineStr">
        <is>
          <t>View Photo</t>
        </is>
      </c>
    </row>
    <row r="135">
      <c r="A135" s="17" t="inlineStr">
        <is>
          <t>Same person — exact repeat</t>
        </is>
      </c>
      <c r="B135" s="18" t="inlineStr">
        <is>
          <t>C059</t>
        </is>
      </c>
      <c r="C135" s="17" t="inlineStr">
        <is>
          <t>Kept (first submitted)</t>
        </is>
      </c>
      <c r="D135" s="17" t="inlineStr">
        <is>
          <t>07/30/2026 12:09 PM</t>
        </is>
      </c>
      <c r="E135" s="17" t="inlineStr">
        <is>
          <t>Klejdi Lamo</t>
        </is>
      </c>
      <c r="F135" s="17" t="inlineStr">
        <is>
          <t>Sales Rep</t>
        </is>
      </c>
      <c r="G135" s="17" t="inlineStr">
        <is>
          <t>SHOP RITE WINE &amp; SPIRITS STANHOPE</t>
        </is>
      </c>
      <c r="H135" s="17" t="inlineStr">
        <is>
          <t>191710</t>
        </is>
      </c>
      <c r="I135" s="18" t="n">
        <v>70</v>
      </c>
      <c r="J135" s="17" t="inlineStr">
        <is>
          <t>Gold (70+)</t>
        </is>
      </c>
      <c r="K135" s="18" t="n">
        <v>1000</v>
      </c>
      <c r="L135" s="17" t="inlineStr">
        <is>
          <t>SUN CRUISERS RTD</t>
        </is>
      </c>
      <c r="M135" s="19" t="inlineStr">
        <is>
          <t>View Photo</t>
        </is>
      </c>
    </row>
    <row r="136">
      <c r="A136" s="20" t="inlineStr">
        <is>
          <t>Same person — exact repeat</t>
        </is>
      </c>
      <c r="B136" s="21" t="inlineStr">
        <is>
          <t>C059</t>
        </is>
      </c>
      <c r="C136" s="20" t="inlineStr">
        <is>
          <t>Possible duplicate</t>
        </is>
      </c>
      <c r="D136" s="20" t="inlineStr">
        <is>
          <t>07/30/2026 12:10 PM</t>
        </is>
      </c>
      <c r="E136" s="20" t="inlineStr">
        <is>
          <t>Klejdi Lamo</t>
        </is>
      </c>
      <c r="F136" s="20" t="inlineStr">
        <is>
          <t>Sales Rep</t>
        </is>
      </c>
      <c r="G136" s="20" t="inlineStr">
        <is>
          <t>SHOP RITE WINE &amp; SPIRITS STANHOPE</t>
        </is>
      </c>
      <c r="H136" s="20" t="inlineStr">
        <is>
          <t>191710</t>
        </is>
      </c>
      <c r="I136" s="21" t="n">
        <v>70</v>
      </c>
      <c r="J136" s="20" t="inlineStr">
        <is>
          <t>Gold (70+)</t>
        </is>
      </c>
      <c r="K136" s="21" t="n">
        <v>1000</v>
      </c>
      <c r="L136" s="20" t="inlineStr">
        <is>
          <t>SUN CRUISERS RTD</t>
        </is>
      </c>
      <c r="M136" s="22" t="inlineStr">
        <is>
          <t>View Photo</t>
        </is>
      </c>
    </row>
  </sheetData>
  <autoFilter ref="A12:M136"/>
  <mergeCells count="8">
    <mergeCell ref="C5:L5"/>
    <mergeCell ref="A2:L2"/>
    <mergeCell ref="C8:L8"/>
    <mergeCell ref="C9:L9"/>
    <mergeCell ref="C4:L4"/>
    <mergeCell ref="A1:L1"/>
    <mergeCell ref="C7:L7"/>
    <mergeCell ref="C6:L6"/>
  </mergeCells>
  <hyperlinks>
    <hyperlink ref="M13" r:id="rId1"/>
    <hyperlink ref="M14" r:id="rId2"/>
    <hyperlink ref="M15" r:id="rId3"/>
    <hyperlink ref="M16" r:id="rId4"/>
    <hyperlink ref="M17" r:id="rId5"/>
    <hyperlink ref="M18" r:id="rId6"/>
    <hyperlink ref="M19" r:id="rId7"/>
    <hyperlink ref="M20" r:id="rId8"/>
    <hyperlink ref="M21" r:id="rId9"/>
    <hyperlink ref="M22" r:id="rId10"/>
    <hyperlink ref="M23" r:id="rId11"/>
    <hyperlink ref="M24" r:id="rId12"/>
    <hyperlink ref="M25" r:id="rId13"/>
    <hyperlink ref="M26" r:id="rId14"/>
    <hyperlink ref="M27" r:id="rId15"/>
    <hyperlink ref="M28" r:id="rId16"/>
    <hyperlink ref="M29" r:id="rId17"/>
    <hyperlink ref="M30" r:id="rId18"/>
    <hyperlink ref="M31" r:id="rId19"/>
    <hyperlink ref="M32" r:id="rId20"/>
    <hyperlink ref="M33" r:id="rId21"/>
    <hyperlink ref="M34" r:id="rId22"/>
    <hyperlink ref="M35" r:id="rId23"/>
    <hyperlink ref="M36" r:id="rId24"/>
    <hyperlink ref="M37" r:id="rId25"/>
    <hyperlink ref="M38" r:id="rId26"/>
    <hyperlink ref="M39" r:id="rId27"/>
    <hyperlink ref="M40" r:id="rId28"/>
    <hyperlink ref="M41" r:id="rId29"/>
    <hyperlink ref="M42" r:id="rId30"/>
    <hyperlink ref="M43" r:id="rId31"/>
    <hyperlink ref="M44" r:id="rId32"/>
    <hyperlink ref="M45" r:id="rId33"/>
    <hyperlink ref="M46" r:id="rId34"/>
    <hyperlink ref="M47" r:id="rId35"/>
    <hyperlink ref="M48" r:id="rId36"/>
    <hyperlink ref="M49" r:id="rId37"/>
    <hyperlink ref="M50" r:id="rId38"/>
    <hyperlink ref="M51" r:id="rId39"/>
    <hyperlink ref="M52" r:id="rId40"/>
    <hyperlink ref="M53" r:id="rId41"/>
    <hyperlink ref="M54" r:id="rId42"/>
    <hyperlink ref="M55" r:id="rId43"/>
    <hyperlink ref="M56" r:id="rId44"/>
    <hyperlink ref="M57" r:id="rId45"/>
    <hyperlink ref="M58" r:id="rId46"/>
    <hyperlink ref="M59" r:id="rId47"/>
    <hyperlink ref="M60" r:id="rId48"/>
    <hyperlink ref="M61" r:id="rId49"/>
    <hyperlink ref="M62" r:id="rId50"/>
    <hyperlink ref="M63" r:id="rId51"/>
    <hyperlink ref="M64" r:id="rId52"/>
    <hyperlink ref="M65" r:id="rId53"/>
    <hyperlink ref="M66" r:id="rId54"/>
    <hyperlink ref="M67" r:id="rId55"/>
    <hyperlink ref="M68" r:id="rId56"/>
    <hyperlink ref="M69" r:id="rId57"/>
    <hyperlink ref="M70" r:id="rId58"/>
    <hyperlink ref="M71" r:id="rId59"/>
    <hyperlink ref="M72" r:id="rId60"/>
    <hyperlink ref="M73" r:id="rId61"/>
    <hyperlink ref="M74" r:id="rId62"/>
    <hyperlink ref="M75" r:id="rId63"/>
    <hyperlink ref="M76" r:id="rId64"/>
    <hyperlink ref="M77" r:id="rId65"/>
    <hyperlink ref="M78" r:id="rId66"/>
    <hyperlink ref="M79" r:id="rId67"/>
    <hyperlink ref="M80" r:id="rId68"/>
    <hyperlink ref="M81" r:id="rId69"/>
    <hyperlink ref="M82" r:id="rId70"/>
    <hyperlink ref="M83" r:id="rId71"/>
    <hyperlink ref="M84" r:id="rId72"/>
    <hyperlink ref="M85" r:id="rId73"/>
    <hyperlink ref="M86" r:id="rId74"/>
    <hyperlink ref="M87" r:id="rId75"/>
    <hyperlink ref="M88" r:id="rId76"/>
    <hyperlink ref="M89" r:id="rId77"/>
    <hyperlink ref="M90" r:id="rId78"/>
    <hyperlink ref="M91" r:id="rId79"/>
    <hyperlink ref="M92" r:id="rId80"/>
    <hyperlink ref="M93" r:id="rId81"/>
    <hyperlink ref="M94" r:id="rId82"/>
    <hyperlink ref="M95" r:id="rId83"/>
    <hyperlink ref="M96" r:id="rId84"/>
    <hyperlink ref="M97" r:id="rId85"/>
    <hyperlink ref="M98" r:id="rId86"/>
    <hyperlink ref="M99" r:id="rId87"/>
    <hyperlink ref="M100" r:id="rId88"/>
    <hyperlink ref="M101" r:id="rId89"/>
    <hyperlink ref="M102" r:id="rId90"/>
    <hyperlink ref="M103" r:id="rId91"/>
    <hyperlink ref="M104" r:id="rId92"/>
    <hyperlink ref="M105" r:id="rId93"/>
    <hyperlink ref="M106" r:id="rId94"/>
    <hyperlink ref="M107" r:id="rId95"/>
    <hyperlink ref="M108" r:id="rId96"/>
    <hyperlink ref="M109" r:id="rId97"/>
    <hyperlink ref="M110" r:id="rId98"/>
    <hyperlink ref="M111" r:id="rId99"/>
    <hyperlink ref="M112" r:id="rId100"/>
    <hyperlink ref="M113" r:id="rId101"/>
    <hyperlink ref="M114" r:id="rId102"/>
    <hyperlink ref="M115" r:id="rId103"/>
    <hyperlink ref="M116" r:id="rId104"/>
    <hyperlink ref="M117" r:id="rId105"/>
    <hyperlink ref="M118" r:id="rId106"/>
    <hyperlink ref="M119" r:id="rId107"/>
    <hyperlink ref="M120" r:id="rId108"/>
    <hyperlink ref="M121" r:id="rId109"/>
    <hyperlink ref="M122" r:id="rId110"/>
    <hyperlink ref="M123" r:id="rId111"/>
    <hyperlink ref="M124" r:id="rId112"/>
    <hyperlink ref="M125" r:id="rId113"/>
    <hyperlink ref="M126" r:id="rId114"/>
    <hyperlink ref="M127" r:id="rId115"/>
    <hyperlink ref="M128" r:id="rId116"/>
    <hyperlink ref="M129" r:id="rId117"/>
    <hyperlink ref="M130" r:id="rId118"/>
    <hyperlink ref="M131" r:id="rId119"/>
    <hyperlink ref="M132" r:id="rId120"/>
    <hyperlink ref="M133" r:id="rId121"/>
    <hyperlink ref="M134" r:id="rId122"/>
    <hyperlink ref="M135" r:id="rId123"/>
    <hyperlink ref="M136" r:id="rId1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workbookViewId="0">
      <pane ySplit="4" topLeftCell="A5" activePane="bottomLeft" state="frozen"/>
      <selection pane="bottomLeft" activeCell="A1" sqref="A1"/>
    </sheetView>
  </sheetViews>
  <sheetFormatPr baseColWidth="8" defaultRowHeight="15"/>
  <cols>
    <col width="11" customWidth="1" min="1" max="1"/>
    <col width="20" customWidth="1" min="2" max="2"/>
    <col width="34" customWidth="1" min="3" max="3"/>
    <col width="11" customWidth="1" min="4" max="4"/>
    <col width="20" customWidth="1" min="5" max="5"/>
    <col width="28" customWidth="1" min="6" max="6"/>
    <col width="14" customWidth="1" min="7" max="7"/>
    <col width="56" customWidth="1" min="8" max="8"/>
    <col width="11" customWidth="1" min="9" max="9"/>
  </cols>
  <sheetData>
    <row r="1" ht="30" customHeight="1">
      <c r="A1" s="1" t="inlineStr">
        <is>
          <t>Multi-Supplier Displays — attribution audit</t>
        </is>
      </c>
    </row>
    <row r="2" ht="18" customHeight="1">
      <c r="A2" s="2" t="inlineStr">
        <is>
          <t>Photo submissions carrying more than one supplier group. Each is credited to the group holding the most cases.</t>
        </is>
      </c>
    </row>
    <row r="4" ht="30" customHeight="1">
      <c r="A4" s="4" t="inlineStr">
        <is>
          <t>Date</t>
        </is>
      </c>
      <c r="B4" s="4" t="inlineStr">
        <is>
          <t>Rep / Associate</t>
        </is>
      </c>
      <c r="C4" s="4" t="inlineStr">
        <is>
          <t>Account (DBA)</t>
        </is>
      </c>
      <c r="D4" s="4" t="inlineStr">
        <is>
          <t>Total Cases</t>
        </is>
      </c>
      <c r="E4" s="4" t="inlineStr">
        <is>
          <t>Display Tier</t>
        </is>
      </c>
      <c r="F4" s="4" t="inlineStr">
        <is>
          <t>Credited To</t>
        </is>
      </c>
      <c r="G4" s="4" t="inlineStr">
        <is>
          <t>Cases from Credited Supplier</t>
        </is>
      </c>
      <c r="H4" s="4" t="inlineStr">
        <is>
          <t>Full Supplier Split (cases)</t>
        </is>
      </c>
      <c r="I4" s="4" t="inlineStr">
        <is>
          <t>Qualifying?</t>
        </is>
      </c>
    </row>
    <row r="5">
      <c r="A5" s="17" t="inlineStr">
        <is>
          <t>07/07/2026</t>
        </is>
      </c>
      <c r="B5" s="17" t="inlineStr">
        <is>
          <t>patrick infante</t>
        </is>
      </c>
      <c r="C5" s="17" t="inlineStr">
        <is>
          <t>MITSUWA MARKET (A)</t>
        </is>
      </c>
      <c r="D5" s="18" t="n">
        <v>200</v>
      </c>
      <c r="E5" s="17" t="inlineStr">
        <is>
          <t>Gold (70+)</t>
        </is>
      </c>
      <c r="F5" s="17" t="inlineStr">
        <is>
          <t>Constellation</t>
        </is>
      </c>
      <c r="G5" s="18" t="n">
        <v>100</v>
      </c>
      <c r="H5" s="17" t="inlineStr">
        <is>
          <t>HUSA (Heineken USA) (100) + Constellation (100)</t>
        </is>
      </c>
      <c r="I5" s="18" t="inlineStr">
        <is>
          <t>Yes</t>
        </is>
      </c>
    </row>
    <row r="6">
      <c r="A6" s="17" t="inlineStr">
        <is>
          <t>07/24/2026</t>
        </is>
      </c>
      <c r="B6" s="17" t="inlineStr">
        <is>
          <t>John Neukum</t>
        </is>
      </c>
      <c r="C6" s="17" t="inlineStr">
        <is>
          <t>BJ'S WAREHOUSE E RUTHERFO</t>
        </is>
      </c>
      <c r="D6" s="18" t="n">
        <v>150</v>
      </c>
      <c r="E6" s="17" t="inlineStr">
        <is>
          <t>Gold (70+)</t>
        </is>
      </c>
      <c r="F6" s="17" t="inlineStr">
        <is>
          <t>HUSA (Heineken USA)</t>
        </is>
      </c>
      <c r="G6" s="18" t="n">
        <v>90</v>
      </c>
      <c r="H6" s="17" t="inlineStr">
        <is>
          <t>HUSA (Heineken USA) (90) + Yuengling (60)</t>
        </is>
      </c>
      <c r="I6" s="18" t="inlineStr">
        <is>
          <t>Yes</t>
        </is>
      </c>
    </row>
    <row r="7">
      <c r="A7" s="17" t="inlineStr">
        <is>
          <t>07/21/2026</t>
        </is>
      </c>
      <c r="B7" s="17" t="inlineStr">
        <is>
          <t>mickey obrien</t>
        </is>
      </c>
      <c r="C7" s="17" t="inlineStr">
        <is>
          <t>BOTTLE KING (A) GLEN ROCK</t>
        </is>
      </c>
      <c r="D7" s="18" t="n">
        <v>135</v>
      </c>
      <c r="E7" s="17" t="inlineStr">
        <is>
          <t>Gold (70+)</t>
        </is>
      </c>
      <c r="F7" s="17" t="inlineStr">
        <is>
          <t>Boston Beer</t>
        </is>
      </c>
      <c r="G7" s="18" t="n">
        <v>75</v>
      </c>
      <c r="H7" s="17" t="inlineStr">
        <is>
          <t>Boston Beer (75) + Molson Coors (60)</t>
        </is>
      </c>
      <c r="I7" s="18" t="inlineStr">
        <is>
          <t>Yes</t>
        </is>
      </c>
    </row>
    <row r="8">
      <c r="A8" s="17" t="inlineStr">
        <is>
          <t>07/02/2026</t>
        </is>
      </c>
      <c r="B8" s="17" t="inlineStr">
        <is>
          <t>phil Ernst</t>
        </is>
      </c>
      <c r="C8" s="17" t="inlineStr">
        <is>
          <t>SUPER WINE WAREHSE(P)PATE</t>
        </is>
      </c>
      <c r="D8" s="18" t="n">
        <v>115</v>
      </c>
      <c r="E8" s="17" t="inlineStr">
        <is>
          <t>Gold (70+)</t>
        </is>
      </c>
      <c r="F8" s="17" t="inlineStr">
        <is>
          <t>Mark Anthony</t>
        </is>
      </c>
      <c r="G8" s="18" t="n">
        <v>70</v>
      </c>
      <c r="H8" s="17" t="inlineStr">
        <is>
          <t>Mark Anthony (70) + Boston Beer (45)</t>
        </is>
      </c>
      <c r="I8" s="18" t="inlineStr">
        <is>
          <t>Yes</t>
        </is>
      </c>
    </row>
    <row r="9">
      <c r="A9" s="17" t="inlineStr">
        <is>
          <t>08/17/2026</t>
        </is>
      </c>
      <c r="B9" s="17" t="inlineStr">
        <is>
          <t>Mike Ast</t>
        </is>
      </c>
      <c r="C9" s="17" t="inlineStr">
        <is>
          <t>BOTTLE KING (A) WAYNE</t>
        </is>
      </c>
      <c r="D9" s="18" t="n">
        <v>91</v>
      </c>
      <c r="E9" s="17" t="inlineStr">
        <is>
          <t>Gold (70+)</t>
        </is>
      </c>
      <c r="F9" s="17" t="inlineStr">
        <is>
          <t>Yuengling</t>
        </is>
      </c>
      <c r="G9" s="18" t="n">
        <v>33</v>
      </c>
      <c r="H9" s="17" t="inlineStr">
        <is>
          <t>Yuengling (33) + All Other: CAPE MAY BREWING COMPANY (19) + All Other: SIERRA NEVADA BREWING COMPANY (17) + All Other: ARTISANAL BREWING VENTURES (EBI) (11) + All Other: THE GAMBRINUS COMPANY (11)</t>
        </is>
      </c>
      <c r="I9" s="18" t="inlineStr">
        <is>
          <t>Yes</t>
        </is>
      </c>
    </row>
    <row r="10">
      <c r="A10" s="17" t="inlineStr">
        <is>
          <t>08/05/2026</t>
        </is>
      </c>
      <c r="B10" s="17" t="inlineStr">
        <is>
          <t>Shane Barreca</t>
        </is>
      </c>
      <c r="C10" s="17" t="inlineStr">
        <is>
          <t>BOTTLE KING (A) DUMONT</t>
        </is>
      </c>
      <c r="D10" s="18" t="n">
        <v>70</v>
      </c>
      <c r="E10" s="17" t="inlineStr">
        <is>
          <t>Gold (70+)</t>
        </is>
      </c>
      <c r="F10" s="17" t="inlineStr">
        <is>
          <t>All Other: PAULANER</t>
        </is>
      </c>
      <c r="G10" s="18" t="n">
        <v>43</v>
      </c>
      <c r="H10" s="17" t="inlineStr">
        <is>
          <t>All Other: PAULANER (43) + All Other: HOFBRAU (20) + Yuengling (7)</t>
        </is>
      </c>
      <c r="I10" s="18" t="inlineStr">
        <is>
          <t>Yes</t>
        </is>
      </c>
    </row>
    <row r="11">
      <c r="A11" s="17" t="inlineStr">
        <is>
          <t>08/17/2026</t>
        </is>
      </c>
      <c r="B11" s="17" t="inlineStr">
        <is>
          <t>Mike Ast</t>
        </is>
      </c>
      <c r="C11" s="17" t="inlineStr">
        <is>
          <t>BOTTLE KING (A) WAYNE</t>
        </is>
      </c>
      <c r="D11" s="18" t="n">
        <v>69</v>
      </c>
      <c r="E11" s="17" t="inlineStr">
        <is>
          <t>Silver (40-69)</t>
        </is>
      </c>
      <c r="F11" s="17" t="inlineStr">
        <is>
          <t>All Other: PAULANER</t>
        </is>
      </c>
      <c r="G11" s="18" t="n">
        <v>36</v>
      </c>
      <c r="H11" s="17" t="inlineStr">
        <is>
          <t>All Other: PAULANER (36) + All Other: HOFBRAU (11) + All Other: STEVEN'S POINT BREWERY (11) + All Other: TOTAL BEVERAGE SOLUTION (11)</t>
        </is>
      </c>
      <c r="I11" s="18" t="inlineStr">
        <is>
          <t>Yes</t>
        </is>
      </c>
    </row>
    <row r="12">
      <c r="A12" s="17" t="inlineStr">
        <is>
          <t>08/13/2026</t>
        </is>
      </c>
      <c r="B12" s="17" t="inlineStr">
        <is>
          <t>Alex Rodriguez</t>
        </is>
      </c>
      <c r="C12" s="17" t="inlineStr">
        <is>
          <t>CHARLIE'S LIQUOR AND CONVENIENCE</t>
        </is>
      </c>
      <c r="D12" s="18" t="n">
        <v>50</v>
      </c>
      <c r="E12" s="17" t="inlineStr">
        <is>
          <t>Silver (40-69)</t>
        </is>
      </c>
      <c r="F12" s="17" t="inlineStr">
        <is>
          <t>Constellation</t>
        </is>
      </c>
      <c r="G12" s="18" t="n">
        <v>20</v>
      </c>
      <c r="H12" s="17" t="inlineStr">
        <is>
          <t>Molson Coors (20) + Constellation (20) + HUSA (Heineken USA) (10)</t>
        </is>
      </c>
      <c r="I12" s="18" t="inlineStr">
        <is>
          <t>Yes</t>
        </is>
      </c>
    </row>
    <row r="13">
      <c r="A13" s="17" t="inlineStr">
        <is>
          <t>07/29/2026</t>
        </is>
      </c>
      <c r="B13" s="17" t="inlineStr">
        <is>
          <t>Shane Barreca</t>
        </is>
      </c>
      <c r="C13" s="17" t="inlineStr">
        <is>
          <t>BOTTLE KING (A) RAMSEY</t>
        </is>
      </c>
      <c r="D13" s="18" t="n">
        <v>42</v>
      </c>
      <c r="E13" s="17" t="inlineStr">
        <is>
          <t>Silver (40-69)</t>
        </is>
      </c>
      <c r="F13" s="17" t="inlineStr">
        <is>
          <t>Boston Beer</t>
        </is>
      </c>
      <c r="G13" s="18" t="n">
        <v>26</v>
      </c>
      <c r="H13" s="17" t="inlineStr">
        <is>
          <t>Boston Beer (26) + Molson Coors (16)</t>
        </is>
      </c>
      <c r="I13" s="18" t="inlineStr">
        <is>
          <t>Yes</t>
        </is>
      </c>
    </row>
    <row r="14">
      <c r="A14" s="17" t="inlineStr">
        <is>
          <t>08/10/2026</t>
        </is>
      </c>
      <c r="B14" s="17" t="inlineStr">
        <is>
          <t>Shane Barreca</t>
        </is>
      </c>
      <c r="C14" s="17" t="inlineStr">
        <is>
          <t>MONTVALE WINE/LIQ &amp; BEER</t>
        </is>
      </c>
      <c r="D14" s="18" t="n">
        <v>38</v>
      </c>
      <c r="E14" s="17" t="inlineStr">
        <is>
          <t>Bronze (20-39)</t>
        </is>
      </c>
      <c r="F14" s="17" t="inlineStr">
        <is>
          <t>All Other: PAULANER</t>
        </is>
      </c>
      <c r="G14" s="18" t="n">
        <v>33</v>
      </c>
      <c r="H14" s="17" t="inlineStr">
        <is>
          <t>All Other: PAULANER (33) + All Other: HOFBRAU (5)</t>
        </is>
      </c>
      <c r="I14" s="18" t="inlineStr">
        <is>
          <t>Yes</t>
        </is>
      </c>
    </row>
    <row r="15">
      <c r="A15" s="17" t="inlineStr">
        <is>
          <t>07/14/2026</t>
        </is>
      </c>
      <c r="B15" s="17" t="inlineStr">
        <is>
          <t>Shane Barreca</t>
        </is>
      </c>
      <c r="C15" s="17" t="inlineStr">
        <is>
          <t>CORK &amp; KEG (A)</t>
        </is>
      </c>
      <c r="D15" s="18" t="n">
        <v>32</v>
      </c>
      <c r="E15" s="17" t="inlineStr">
        <is>
          <t>Bronze (20-39)</t>
        </is>
      </c>
      <c r="F15" s="17" t="inlineStr">
        <is>
          <t>Boston Beer</t>
        </is>
      </c>
      <c r="G15" s="18" t="n">
        <v>18</v>
      </c>
      <c r="H15" s="17" t="inlineStr">
        <is>
          <t>Boston Beer (18) + Carbliss (14)</t>
        </is>
      </c>
      <c r="I15" s="18" t="inlineStr">
        <is>
          <t>Yes</t>
        </is>
      </c>
    </row>
    <row r="16">
      <c r="A16" s="17" t="inlineStr">
        <is>
          <t>08/18/2026</t>
        </is>
      </c>
      <c r="B16" s="17" t="inlineStr">
        <is>
          <t>John O’Donoghue</t>
        </is>
      </c>
      <c r="C16" s="17" t="inlineStr">
        <is>
          <t>SHOP RITE LIQUORS</t>
        </is>
      </c>
      <c r="D16" s="18" t="n">
        <v>29</v>
      </c>
      <c r="E16" s="17" t="inlineStr">
        <is>
          <t>Bronze (20-39)</t>
        </is>
      </c>
      <c r="F16" s="17" t="inlineStr">
        <is>
          <t>All Other: F.X. MATT BREWING COMPANY</t>
        </is>
      </c>
      <c r="G16" s="18" t="n">
        <v>9</v>
      </c>
      <c r="H16" s="17" t="inlineStr">
        <is>
          <t>All Other: F.X. MATT BREWING COMPANY (9) + All Other: BARREL ONE COLLECTIVE (5) + All Other: HOFBRAU (5) + All Other: FLYING DOG BREWERY (5) + All Other: STEVEN'S POINT BREWERY (5)</t>
        </is>
      </c>
      <c r="I16" s="18" t="inlineStr">
        <is>
          <t>Yes</t>
        </is>
      </c>
    </row>
    <row r="17">
      <c r="A17" s="17" t="inlineStr">
        <is>
          <t>08/25/2026</t>
        </is>
      </c>
      <c r="B17" s="17" t="inlineStr">
        <is>
          <t>Mike Ast</t>
        </is>
      </c>
      <c r="C17" s="17" t="inlineStr">
        <is>
          <t>LONG HILL LIQUORS (A)</t>
        </is>
      </c>
      <c r="D17" s="18" t="n">
        <v>28</v>
      </c>
      <c r="E17" s="17" t="inlineStr">
        <is>
          <t>Bronze (20-39)</t>
        </is>
      </c>
      <c r="F17" s="17" t="inlineStr">
        <is>
          <t>All Other: TOTAL BEVERAGE SOLUTION</t>
        </is>
      </c>
      <c r="G17" s="18" t="n">
        <v>9</v>
      </c>
      <c r="H17" s="17" t="inlineStr">
        <is>
          <t>All Other: TOTAL BEVERAGE SOLUTION (9) + All Other: ARTISANAL BREWING VENTURES (EBI) (8) + All Other: STEVEN'S POINT BREWERY (6) + Yuengling (5)</t>
        </is>
      </c>
      <c r="I17" s="18" t="inlineStr">
        <is>
          <t>Yes</t>
        </is>
      </c>
    </row>
    <row r="18">
      <c r="A18" s="23" t="inlineStr">
        <is>
          <t>07/13/2026</t>
        </is>
      </c>
      <c r="B18" s="23" t="inlineStr">
        <is>
          <t>Jayson Romine</t>
        </is>
      </c>
      <c r="C18" s="23" t="inlineStr">
        <is>
          <t>PATRICKS WINE BARN</t>
        </is>
      </c>
      <c r="D18" s="24" t="n">
        <v>3</v>
      </c>
      <c r="E18" s="23" t="inlineStr">
        <is>
          <t>Non-qualifying (&lt;10)</t>
        </is>
      </c>
      <c r="F18" s="23" t="inlineStr">
        <is>
          <t>All Other: ATOMIC BRANDS</t>
        </is>
      </c>
      <c r="G18" s="24" t="n">
        <v>1</v>
      </c>
      <c r="H18" s="23" t="inlineStr">
        <is>
          <t>All Other: PARK STREET IMPORTS, LLC (1) + All Other: ATOMIC BRANDS (1) + All Other: Unspecified (1)</t>
        </is>
      </c>
      <c r="I18" s="24" t="inlineStr">
        <is>
          <t>No</t>
        </is>
      </c>
    </row>
    <row r="19">
      <c r="A19" s="23" t="inlineStr">
        <is>
          <t>07/27/2026</t>
        </is>
      </c>
      <c r="B19" s="23" t="inlineStr">
        <is>
          <t>patrick infante</t>
        </is>
      </c>
      <c r="C19" s="23" t="inlineStr">
        <is>
          <t>BOTTLE REPUBLIC (RUTHERFORD)</t>
        </is>
      </c>
      <c r="D19" s="24" t="n">
        <v>0</v>
      </c>
      <c r="E19" s="23" t="inlineStr">
        <is>
          <t>Non-qualifying (&lt;10)</t>
        </is>
      </c>
      <c r="F19" s="23" t="inlineStr">
        <is>
          <t>Constellation</t>
        </is>
      </c>
      <c r="G19" s="24" t="n">
        <v>0</v>
      </c>
      <c r="H19" s="23" t="inlineStr">
        <is>
          <t>Molson Coors (0) + Constellation (0)</t>
        </is>
      </c>
      <c r="I19" s="24" t="inlineStr">
        <is>
          <t>No</t>
        </is>
      </c>
    </row>
    <row r="20">
      <c r="A20" s="23" t="inlineStr">
        <is>
          <t>07/27/2026</t>
        </is>
      </c>
      <c r="B20" s="23" t="inlineStr">
        <is>
          <t>patrick infante</t>
        </is>
      </c>
      <c r="C20" s="23" t="inlineStr">
        <is>
          <t>BOTTLE REPUBLIC (RUTHERFORD)</t>
        </is>
      </c>
      <c r="D20" s="24" t="n">
        <v>0</v>
      </c>
      <c r="E20" s="23" t="inlineStr">
        <is>
          <t>Non-qualifying (&lt;10)</t>
        </is>
      </c>
      <c r="F20" s="23" t="inlineStr">
        <is>
          <t>Constellation</t>
        </is>
      </c>
      <c r="G20" s="24" t="n">
        <v>0</v>
      </c>
      <c r="H20" s="23" t="inlineStr">
        <is>
          <t>Constellation (0) + Molson Coors (0)</t>
        </is>
      </c>
      <c r="I20" s="24" t="inlineStr">
        <is>
          <t>No</t>
        </is>
      </c>
    </row>
    <row r="21">
      <c r="A21" s="23" t="inlineStr">
        <is>
          <t>07/27/2026</t>
        </is>
      </c>
      <c r="B21" s="23" t="inlineStr">
        <is>
          <t>patrick infante</t>
        </is>
      </c>
      <c r="C21" s="23" t="inlineStr">
        <is>
          <t>BOTTLE REPUBLIC (RUTHERFORD)</t>
        </is>
      </c>
      <c r="D21" s="24" t="n">
        <v>0</v>
      </c>
      <c r="E21" s="23" t="inlineStr">
        <is>
          <t>Non-qualifying (&lt;10)</t>
        </is>
      </c>
      <c r="F21" s="23" t="inlineStr">
        <is>
          <t>Constellation</t>
        </is>
      </c>
      <c r="G21" s="24" t="n">
        <v>0</v>
      </c>
      <c r="H21" s="23" t="inlineStr">
        <is>
          <t>Molson Coors (0) + Constellation (0)</t>
        </is>
      </c>
      <c r="I21" s="24" t="inlineStr">
        <is>
          <t>No</t>
        </is>
      </c>
    </row>
    <row r="22">
      <c r="A22" s="23" t="inlineStr">
        <is>
          <t>07/28/2026</t>
        </is>
      </c>
      <c r="B22" s="23" t="inlineStr">
        <is>
          <t>patrick infante</t>
        </is>
      </c>
      <c r="C22" s="23" t="inlineStr">
        <is>
          <t>SHOP RITE OF WALLINGTON</t>
        </is>
      </c>
      <c r="D22" s="24" t="n">
        <v>0</v>
      </c>
      <c r="E22" s="23" t="inlineStr">
        <is>
          <t>Non-qualifying (&lt;10)</t>
        </is>
      </c>
      <c r="F22" s="23" t="inlineStr">
        <is>
          <t>Constellation</t>
        </is>
      </c>
      <c r="G22" s="24" t="n">
        <v>0</v>
      </c>
      <c r="H22" s="23" t="inlineStr">
        <is>
          <t>Constellation (0) + Boston Beer (0)</t>
        </is>
      </c>
      <c r="I22" s="24" t="inlineStr">
        <is>
          <t>No</t>
        </is>
      </c>
    </row>
    <row r="23">
      <c r="A23" s="23" t="inlineStr">
        <is>
          <t>07/29/2026</t>
        </is>
      </c>
      <c r="B23" s="23" t="inlineStr">
        <is>
          <t>Mike Ast</t>
        </is>
      </c>
      <c r="C23" s="23" t="inlineStr">
        <is>
          <t>MAHWAH LIQRS (P)</t>
        </is>
      </c>
      <c r="D23" s="24" t="n">
        <v>0</v>
      </c>
      <c r="E23" s="23" t="inlineStr">
        <is>
          <t>Non-qualifying (&lt;10)</t>
        </is>
      </c>
      <c r="F23" s="23" t="inlineStr">
        <is>
          <t>Boston Beer</t>
        </is>
      </c>
      <c r="G23" s="24" t="n">
        <v>0</v>
      </c>
      <c r="H23" s="23" t="inlineStr">
        <is>
          <t>Boston Beer (0) + Carbliss (0)</t>
        </is>
      </c>
      <c r="I23" s="24" t="inlineStr">
        <is>
          <t>No</t>
        </is>
      </c>
    </row>
    <row r="24">
      <c r="A24" s="23" t="inlineStr">
        <is>
          <t>08/17/2026</t>
        </is>
      </c>
      <c r="B24" s="23" t="inlineStr">
        <is>
          <t>patrick infante</t>
        </is>
      </c>
      <c r="C24" s="23" t="inlineStr">
        <is>
          <t>QUIK STOP CONV(Z)</t>
        </is>
      </c>
      <c r="D24" s="24" t="n">
        <v>0</v>
      </c>
      <c r="E24" s="23" t="inlineStr">
        <is>
          <t>Non-qualifying (&lt;10)</t>
        </is>
      </c>
      <c r="F24" s="23" t="inlineStr">
        <is>
          <t>Constellation</t>
        </is>
      </c>
      <c r="G24" s="24" t="n">
        <v>0</v>
      </c>
      <c r="H24" s="23" t="inlineStr">
        <is>
          <t>Constellation (0) + Molson Coors (0)</t>
        </is>
      </c>
      <c r="I24" s="24" t="inlineStr">
        <is>
          <t>No</t>
        </is>
      </c>
    </row>
    <row r="25">
      <c r="A25" s="23" t="inlineStr">
        <is>
          <t>08/18/2026</t>
        </is>
      </c>
      <c r="B25" s="23" t="inlineStr">
        <is>
          <t>patrick infante</t>
        </is>
      </c>
      <c r="C25" s="23" t="inlineStr">
        <is>
          <t>CAPRI DELI&amp;LIQ (P)</t>
        </is>
      </c>
      <c r="D25" s="24" t="n">
        <v>0</v>
      </c>
      <c r="E25" s="23" t="inlineStr">
        <is>
          <t>Non-qualifying (&lt;10)</t>
        </is>
      </c>
      <c r="F25" s="23" t="inlineStr">
        <is>
          <t>Constellation</t>
        </is>
      </c>
      <c r="G25" s="24" t="n">
        <v>0</v>
      </c>
      <c r="H25" s="23" t="inlineStr">
        <is>
          <t>Boston Beer (0) + Constellation (0)</t>
        </is>
      </c>
      <c r="I25" s="24" t="inlineStr">
        <is>
          <t>No</t>
        </is>
      </c>
    </row>
    <row r="26">
      <c r="A26" s="23" t="inlineStr">
        <is>
          <t>08/19/2026</t>
        </is>
      </c>
      <c r="B26" s="23" t="inlineStr">
        <is>
          <t>patrick infante</t>
        </is>
      </c>
      <c r="C26" s="23" t="inlineStr">
        <is>
          <t>LUCKY 7 (A)</t>
        </is>
      </c>
      <c r="D26" s="24" t="n">
        <v>0</v>
      </c>
      <c r="E26" s="23" t="inlineStr">
        <is>
          <t>Non-qualifying (&lt;10)</t>
        </is>
      </c>
      <c r="F26" s="23" t="inlineStr">
        <is>
          <t>Boston Beer</t>
        </is>
      </c>
      <c r="G26" s="24" t="n">
        <v>0</v>
      </c>
      <c r="H26" s="23" t="inlineStr">
        <is>
          <t>Constellation (0) + Boston Beer (0)</t>
        </is>
      </c>
      <c r="I26" s="24" t="inlineStr">
        <is>
          <t>No</t>
        </is>
      </c>
    </row>
    <row r="27">
      <c r="A27" s="23" t="inlineStr">
        <is>
          <t>08/19/2026</t>
        </is>
      </c>
      <c r="B27" s="23" t="inlineStr">
        <is>
          <t>patrick infante</t>
        </is>
      </c>
      <c r="C27" s="23" t="inlineStr">
        <is>
          <t>LUCKY 7 (A)</t>
        </is>
      </c>
      <c r="D27" s="24" t="n">
        <v>0</v>
      </c>
      <c r="E27" s="23" t="inlineStr">
        <is>
          <t>Non-qualifying (&lt;10)</t>
        </is>
      </c>
      <c r="F27" s="23" t="inlineStr">
        <is>
          <t>Boston Beer</t>
        </is>
      </c>
      <c r="G27" s="24" t="n">
        <v>0</v>
      </c>
      <c r="H27" s="23" t="inlineStr">
        <is>
          <t>Constellation (0) + Boston Beer (0)</t>
        </is>
      </c>
      <c r="I27" s="24" t="inlineStr">
        <is>
          <t>No</t>
        </is>
      </c>
    </row>
    <row r="28">
      <c r="A28" s="23" t="inlineStr">
        <is>
          <t>08/20/2026</t>
        </is>
      </c>
      <c r="B28" s="23" t="inlineStr">
        <is>
          <t>David Fletcher</t>
        </is>
      </c>
      <c r="C28" s="23" t="inlineStr">
        <is>
          <t>J R W &amp; LIQ (A)</t>
        </is>
      </c>
      <c r="D28" s="24" t="n">
        <v>0</v>
      </c>
      <c r="E28" s="23" t="inlineStr">
        <is>
          <t>Non-qualifying (&lt;10)</t>
        </is>
      </c>
      <c r="F28" s="23" t="inlineStr">
        <is>
          <t>Constellation</t>
        </is>
      </c>
      <c r="G28" s="24" t="n">
        <v>0</v>
      </c>
      <c r="H28" s="23" t="inlineStr">
        <is>
          <t>Molson Coors (0) + Constellation (0)</t>
        </is>
      </c>
      <c r="I28" s="24" t="inlineStr">
        <is>
          <t>No</t>
        </is>
      </c>
    </row>
    <row r="29">
      <c r="A29" s="23" t="inlineStr">
        <is>
          <t>08/20/2026</t>
        </is>
      </c>
      <c r="B29" s="23" t="inlineStr">
        <is>
          <t>patrick infante</t>
        </is>
      </c>
      <c r="C29" s="23" t="inlineStr">
        <is>
          <t>M &amp; M WINE &amp; SPIRITS</t>
        </is>
      </c>
      <c r="D29" s="24" t="n">
        <v>0</v>
      </c>
      <c r="E29" s="23" t="inlineStr">
        <is>
          <t>Non-qualifying (&lt;10)</t>
        </is>
      </c>
      <c r="F29" s="23" t="inlineStr">
        <is>
          <t>Boston Beer</t>
        </is>
      </c>
      <c r="G29" s="24" t="n">
        <v>0</v>
      </c>
      <c r="H29" s="23" t="inlineStr">
        <is>
          <t>Constellation (0) + Boston Beer (0)</t>
        </is>
      </c>
      <c r="I29" s="24" t="inlineStr">
        <is>
          <t>No</t>
        </is>
      </c>
    </row>
    <row r="30">
      <c r="A30" s="23" t="inlineStr">
        <is>
          <t>08/24/2026</t>
        </is>
      </c>
      <c r="B30" s="23" t="inlineStr">
        <is>
          <t>David Fletcher</t>
        </is>
      </c>
      <c r="C30" s="23" t="inlineStr">
        <is>
          <t>SHOP RITE LIQ.(A)LODI</t>
        </is>
      </c>
      <c r="D30" s="24" t="n">
        <v>0</v>
      </c>
      <c r="E30" s="23" t="inlineStr">
        <is>
          <t>Non-qualifying (&lt;10)</t>
        </is>
      </c>
      <c r="F30" s="23" t="inlineStr">
        <is>
          <t>Constellation</t>
        </is>
      </c>
      <c r="G30" s="24" t="n">
        <v>0</v>
      </c>
      <c r="H30" s="23" t="inlineStr">
        <is>
          <t>Constellation (0) + Molson Coors (0)</t>
        </is>
      </c>
      <c r="I30" s="24" t="inlineStr">
        <is>
          <t>No</t>
        </is>
      </c>
    </row>
    <row r="31">
      <c r="A31" s="23" t="inlineStr">
        <is>
          <t>08/26/2026</t>
        </is>
      </c>
      <c r="B31" s="23" t="inlineStr">
        <is>
          <t>patrick infante</t>
        </is>
      </c>
      <c r="C31" s="23" t="inlineStr">
        <is>
          <t>LYNDHURST LIQUORS (P)</t>
        </is>
      </c>
      <c r="D31" s="24" t="n">
        <v>0</v>
      </c>
      <c r="E31" s="23" t="inlineStr">
        <is>
          <t>Non-qualifying (&lt;10)</t>
        </is>
      </c>
      <c r="F31" s="23" t="inlineStr">
        <is>
          <t>Boston Beer</t>
        </is>
      </c>
      <c r="G31" s="24" t="n">
        <v>0</v>
      </c>
      <c r="H31" s="23" t="inlineStr">
        <is>
          <t>Boston Beer (0) + Constellation (0)</t>
        </is>
      </c>
      <c r="I31" s="24" t="inlineStr">
        <is>
          <t>No</t>
        </is>
      </c>
    </row>
    <row r="32">
      <c r="A32" s="23" t="inlineStr">
        <is>
          <t>08/26/2026</t>
        </is>
      </c>
      <c r="B32" s="23" t="inlineStr">
        <is>
          <t>Nicholas Micco</t>
        </is>
      </c>
      <c r="C32" s="23" t="inlineStr">
        <is>
          <t>SHOP-RITE LIQ LYNDHURST</t>
        </is>
      </c>
      <c r="D32" s="24" t="n">
        <v>0</v>
      </c>
      <c r="E32" s="23" t="inlineStr">
        <is>
          <t>Non-qualifying (&lt;10)</t>
        </is>
      </c>
      <c r="F32" s="23" t="inlineStr">
        <is>
          <t>Molson Coors</t>
        </is>
      </c>
      <c r="G32" s="24" t="n">
        <v>0</v>
      </c>
      <c r="H32" s="23" t="inlineStr">
        <is>
          <t>Yuengling (0) + Molson Coors (0)</t>
        </is>
      </c>
      <c r="I32" s="24" t="inlineStr">
        <is>
          <t>No</t>
        </is>
      </c>
    </row>
    <row r="33">
      <c r="A33" s="23" t="inlineStr">
        <is>
          <t>08/28/2026</t>
        </is>
      </c>
      <c r="B33" s="23" t="inlineStr">
        <is>
          <t>patrick infante</t>
        </is>
      </c>
      <c r="C33" s="23" t="inlineStr">
        <is>
          <t>SWIZZLE STICK LIQ (A)</t>
        </is>
      </c>
      <c r="D33" s="24" t="n">
        <v>0</v>
      </c>
      <c r="E33" s="23" t="inlineStr">
        <is>
          <t>Non-qualifying (&lt;10)</t>
        </is>
      </c>
      <c r="F33" s="23" t="inlineStr">
        <is>
          <t>Constellation</t>
        </is>
      </c>
      <c r="G33" s="24" t="n">
        <v>0</v>
      </c>
      <c r="H33" s="23" t="inlineStr">
        <is>
          <t>Constellation (0) + Molson Coors (0)</t>
        </is>
      </c>
      <c r="I33" s="24" t="inlineStr">
        <is>
          <t>No</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Y656"/>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20" customWidth="1" min="4" max="4"/>
    <col width="15" customWidth="1" min="5" max="5"/>
    <col width="18" customWidth="1" min="6" max="6"/>
    <col width="10" customWidth="1" min="7" max="7"/>
    <col width="34" customWidth="1" min="8" max="8"/>
    <col width="18" customWidth="1" min="9" max="9"/>
    <col width="30" customWidth="1" min="10" max="10"/>
    <col width="7" customWidth="1" min="11" max="11"/>
    <col width="20" customWidth="1" min="12" max="12"/>
    <col width="8" customWidth="1" min="13" max="13"/>
    <col width="12" customWidth="1" min="14" max="14"/>
    <col width="11" customWidth="1" min="15" max="15"/>
    <col width="8" customWidth="1" min="16" max="16"/>
    <col width="11" customWidth="1" min="17" max="17"/>
    <col width="30" customWidth="1" min="18" max="18"/>
    <col width="46" customWidth="1" min="19" max="19"/>
    <col width="34" customWidth="1" min="20" max="20"/>
    <col width="9" customWidth="1" min="21" max="21"/>
    <col width="13" customWidth="1" min="22" max="22"/>
    <col width="46" customWidth="1" min="23" max="23"/>
    <col width="26" customWidth="1" min="24" max="24"/>
    <col width="12" customWidth="1" min="25" max="25"/>
  </cols>
  <sheetData>
    <row r="1" ht="30" customHeight="1">
      <c r="A1" s="4" t="inlineStr">
        <is>
          <t>Display ID</t>
        </is>
      </c>
      <c r="B1" s="4" t="inlineStr">
        <is>
          <t>Date</t>
        </is>
      </c>
      <c r="C1" s="4" t="inlineStr">
        <is>
          <t>Date / Time</t>
        </is>
      </c>
      <c r="D1" s="4" t="inlineStr">
        <is>
          <t>Rep / Associate</t>
        </is>
      </c>
      <c r="E1" s="4" t="inlineStr">
        <is>
          <t>Role</t>
        </is>
      </c>
      <c r="F1" s="4" t="inlineStr">
        <is>
          <t>District Manager</t>
        </is>
      </c>
      <c r="G1" s="4" t="inlineStr">
        <is>
          <t>Account #</t>
        </is>
      </c>
      <c r="H1" s="4" t="inlineStr">
        <is>
          <t>Account (DBA)</t>
        </is>
      </c>
      <c r="I1" s="4" t="inlineStr">
        <is>
          <t>City</t>
        </is>
      </c>
      <c r="J1" s="4" t="inlineStr">
        <is>
          <t>Supplier Group</t>
        </is>
      </c>
      <c r="K1" s="4" t="inlineStr">
        <is>
          <t>Tier #</t>
        </is>
      </c>
      <c r="L1" s="4" t="inlineStr">
        <is>
          <t>Display Tier</t>
        </is>
      </c>
      <c r="M1" s="4" t="inlineStr">
        <is>
          <t>Cases</t>
        </is>
      </c>
      <c r="N1" s="4" t="inlineStr">
        <is>
          <t>Cases from This Supplier</t>
        </is>
      </c>
      <c r="O1" s="4" t="inlineStr">
        <is>
          <t>Point Class</t>
        </is>
      </c>
      <c r="P1" s="4" t="inlineStr">
        <is>
          <t>Points</t>
        </is>
      </c>
      <c r="Q1" s="4" t="inlineStr">
        <is>
          <t>Qualifying?</t>
        </is>
      </c>
      <c r="R1" s="4" t="inlineStr">
        <is>
          <t>Lead Brand</t>
        </is>
      </c>
      <c r="S1" s="4" t="inlineStr">
        <is>
          <t>All Brands in Display</t>
        </is>
      </c>
      <c r="T1" s="4" t="inlineStr">
        <is>
          <t>Raw Supplier(s)</t>
        </is>
      </c>
      <c r="U1" s="4" t="inlineStr">
        <is>
          <t>SKU Lines</t>
        </is>
      </c>
      <c r="V1" s="4" t="inlineStr">
        <is>
          <t>Multi-Supplier?</t>
        </is>
      </c>
      <c r="W1" s="4" t="inlineStr">
        <is>
          <t>Supplier Split (cases)</t>
        </is>
      </c>
      <c r="X1" s="4" t="inlineStr">
        <is>
          <t>Duplicate Flag</t>
        </is>
      </c>
      <c r="Y1" s="4" t="inlineStr">
        <is>
          <t>Photo Link</t>
        </is>
      </c>
    </row>
    <row r="2">
      <c r="A2" s="17" t="inlineStr">
        <is>
          <t>D0001</t>
        </is>
      </c>
      <c r="B2" s="17" t="inlineStr">
        <is>
          <t>08/19/2026</t>
        </is>
      </c>
      <c r="C2" s="17" t="inlineStr">
        <is>
          <t>08/19/2026 04:06 PM</t>
        </is>
      </c>
      <c r="D2" s="17" t="inlineStr">
        <is>
          <t>Dave Ehlers</t>
        </is>
      </c>
      <c r="E2" s="17" t="inlineStr">
        <is>
          <t>Sales Rep</t>
        </is>
      </c>
      <c r="F2" s="17" t="inlineStr">
        <is>
          <t>Michael Engel</t>
        </is>
      </c>
      <c r="G2" s="17" t="inlineStr">
        <is>
          <t>58001</t>
        </is>
      </c>
      <c r="H2" s="17" t="inlineStr">
        <is>
          <t>TOTAL WINE &amp; MORE (RIVER EDGE)</t>
        </is>
      </c>
      <c r="I2" s="17" t="inlineStr">
        <is>
          <t>RIVER EDGE</t>
        </is>
      </c>
      <c r="J2" s="17" t="inlineStr">
        <is>
          <t>Mark Anthony</t>
        </is>
      </c>
      <c r="K2" s="25" t="n">
        <v>4</v>
      </c>
      <c r="L2" s="17" t="inlineStr">
        <is>
          <t>Gold (70+)</t>
        </is>
      </c>
      <c r="M2" s="18" t="n">
        <v>250</v>
      </c>
      <c r="N2" s="18" t="n">
        <v>250</v>
      </c>
      <c r="O2" s="17" t="inlineStr">
        <is>
          <t>Priority</t>
        </is>
      </c>
      <c r="P2" s="18" t="n">
        <v>1000</v>
      </c>
      <c r="Q2" s="17" t="inlineStr">
        <is>
          <t>Yes</t>
        </is>
      </c>
      <c r="R2" s="17" t="inlineStr">
        <is>
          <t>WHITE CLAW ORIGINAL HARD SELTZER</t>
        </is>
      </c>
      <c r="S2" s="17" t="inlineStr">
        <is>
          <t>WHITE CLAW ORIGINAL HARD SELTZER</t>
        </is>
      </c>
      <c r="T2" s="17" t="inlineStr">
        <is>
          <t>MARK ANTHONY GROUP</t>
        </is>
      </c>
      <c r="U2" s="25" t="n">
        <v>5</v>
      </c>
      <c r="V2" s="17" t="inlineStr">
        <is>
          <t>No</t>
        </is>
      </c>
      <c r="W2" s="17" t="inlineStr">
        <is>
          <t>Mark Anthony (250)</t>
        </is>
      </c>
      <c r="X2" s="17" t="inlineStr">
        <is>
          <t>—</t>
        </is>
      </c>
      <c r="Y2" s="19" t="inlineStr">
        <is>
          <t>View Photo</t>
        </is>
      </c>
    </row>
    <row r="3">
      <c r="A3" s="17" t="inlineStr">
        <is>
          <t>D0002</t>
        </is>
      </c>
      <c r="B3" s="17" t="inlineStr">
        <is>
          <t>07/22/2026</t>
        </is>
      </c>
      <c r="C3" s="17" t="inlineStr">
        <is>
          <t>07/22/2026 03:13 PM</t>
        </is>
      </c>
      <c r="D3" s="17" t="inlineStr">
        <is>
          <t>Mike Ast</t>
        </is>
      </c>
      <c r="E3" s="17" t="inlineStr">
        <is>
          <t>Sales Rep</t>
        </is>
      </c>
      <c r="F3" s="17" t="inlineStr">
        <is>
          <t>Paul Deady</t>
        </is>
      </c>
      <c r="G3" s="17" t="inlineStr">
        <is>
          <t>12011</t>
        </is>
      </c>
      <c r="H3" s="17" t="inlineStr">
        <is>
          <t>BOTTLE KING (A) WAYNE</t>
        </is>
      </c>
      <c r="I3" s="17" t="inlineStr">
        <is>
          <t>WAYNE</t>
        </is>
      </c>
      <c r="J3" s="17" t="inlineStr">
        <is>
          <t>Mark Anthony</t>
        </is>
      </c>
      <c r="K3" s="25" t="n">
        <v>4</v>
      </c>
      <c r="L3" s="17" t="inlineStr">
        <is>
          <t>Gold (70+)</t>
        </is>
      </c>
      <c r="M3" s="18" t="n">
        <v>225</v>
      </c>
      <c r="N3" s="18" t="n">
        <v>225</v>
      </c>
      <c r="O3" s="17" t="inlineStr">
        <is>
          <t>Priority</t>
        </is>
      </c>
      <c r="P3" s="18" t="n">
        <v>1000</v>
      </c>
      <c r="Q3" s="17" t="inlineStr">
        <is>
          <t>Yes</t>
        </is>
      </c>
      <c r="R3" s="17" t="inlineStr">
        <is>
          <t>WHITE CLAW SURF HARD SELTZER</t>
        </is>
      </c>
      <c r="S3" s="17" t="inlineStr">
        <is>
          <t>WHITE CLAW ORIGINAL HARD SELTZER, WHITE CLAW SURF HARD SELTZER, WHITE CLAW SURGE HARD SELTZER</t>
        </is>
      </c>
      <c r="T3" s="17" t="inlineStr">
        <is>
          <t>MARK ANTHONY GROUP</t>
        </is>
      </c>
      <c r="U3" s="25" t="n">
        <v>8</v>
      </c>
      <c r="V3" s="17" t="inlineStr">
        <is>
          <t>No</t>
        </is>
      </c>
      <c r="W3" s="17" t="inlineStr">
        <is>
          <t>Mark Anthony (225)</t>
        </is>
      </c>
      <c r="X3" s="17" t="inlineStr">
        <is>
          <t>—</t>
        </is>
      </c>
      <c r="Y3" s="19" t="inlineStr">
        <is>
          <t>View Photo</t>
        </is>
      </c>
    </row>
    <row r="4">
      <c r="A4" s="17" t="inlineStr">
        <is>
          <t>D0003</t>
        </is>
      </c>
      <c r="B4" s="17" t="inlineStr">
        <is>
          <t>08/18/2026</t>
        </is>
      </c>
      <c r="C4" s="17" t="inlineStr">
        <is>
          <t>08/18/2026 02:06 PM</t>
        </is>
      </c>
      <c r="D4" s="17" t="inlineStr">
        <is>
          <t>mickey obrien</t>
        </is>
      </c>
      <c r="E4" s="17" t="inlineStr">
        <is>
          <t>Sales Associate</t>
        </is>
      </c>
      <c r="F4" s="17" t="inlineStr">
        <is>
          <t>Michael Engel</t>
        </is>
      </c>
      <c r="G4" s="17" t="inlineStr">
        <is>
          <t>58001</t>
        </is>
      </c>
      <c r="H4" s="17" t="inlineStr">
        <is>
          <t>TOTAL WINE &amp; MORE (RIVER EDGE)</t>
        </is>
      </c>
      <c r="I4" s="17" t="inlineStr">
        <is>
          <t>RIVER EDGE</t>
        </is>
      </c>
      <c r="J4" s="17" t="inlineStr">
        <is>
          <t>Mark Anthony</t>
        </is>
      </c>
      <c r="K4" s="25" t="n">
        <v>4</v>
      </c>
      <c r="L4" s="17" t="inlineStr">
        <is>
          <t>Gold (70+)</t>
        </is>
      </c>
      <c r="M4" s="18" t="n">
        <v>218</v>
      </c>
      <c r="N4" s="18" t="n">
        <v>218</v>
      </c>
      <c r="O4" s="17" t="inlineStr">
        <is>
          <t>Priority</t>
        </is>
      </c>
      <c r="P4" s="18" t="n">
        <v>1000</v>
      </c>
      <c r="Q4" s="17" t="inlineStr">
        <is>
          <t>Yes</t>
        </is>
      </c>
      <c r="R4" s="17" t="inlineStr">
        <is>
          <t>WHITE CLAW ORIGINAL HARD SELTZER</t>
        </is>
      </c>
      <c r="S4" s="17" t="inlineStr">
        <is>
          <t>WHITE CLAW ORIGINAL HARD SELTZER, WHITE CLAW SURF HARD SELTZER</t>
        </is>
      </c>
      <c r="T4" s="17" t="inlineStr">
        <is>
          <t>MARK ANTHONY GROUP</t>
        </is>
      </c>
      <c r="U4" s="25" t="n">
        <v>5</v>
      </c>
      <c r="V4" s="17" t="inlineStr">
        <is>
          <t>No</t>
        </is>
      </c>
      <c r="W4" s="17" t="inlineStr">
        <is>
          <t>Mark Anthony (218)</t>
        </is>
      </c>
      <c r="X4" s="17" t="inlineStr">
        <is>
          <t>—</t>
        </is>
      </c>
      <c r="Y4" s="19" t="inlineStr">
        <is>
          <t>View Photo</t>
        </is>
      </c>
    </row>
    <row r="5">
      <c r="A5" s="17" t="inlineStr">
        <is>
          <t>D0004</t>
        </is>
      </c>
      <c r="B5" s="17" t="inlineStr">
        <is>
          <t>07/02/2026</t>
        </is>
      </c>
      <c r="C5" s="17" t="inlineStr">
        <is>
          <t>07/02/2026 09:32 AM</t>
        </is>
      </c>
      <c r="D5" s="17" t="inlineStr">
        <is>
          <t>mickey obrien</t>
        </is>
      </c>
      <c r="E5" s="17" t="inlineStr">
        <is>
          <t>Sales Associate</t>
        </is>
      </c>
      <c r="F5" s="17" t="inlineStr">
        <is>
          <t>Michael Engel</t>
        </is>
      </c>
      <c r="G5" s="17" t="inlineStr">
        <is>
          <t>58001</t>
        </is>
      </c>
      <c r="H5" s="17" t="inlineStr">
        <is>
          <t>TOTAL WINE &amp; MORE (RIVER EDGE)</t>
        </is>
      </c>
      <c r="I5" s="17" t="inlineStr">
        <is>
          <t>RIVER EDGE</t>
        </is>
      </c>
      <c r="J5" s="17" t="inlineStr">
        <is>
          <t>Mark Anthony</t>
        </is>
      </c>
      <c r="K5" s="25" t="n">
        <v>4</v>
      </c>
      <c r="L5" s="17" t="inlineStr">
        <is>
          <t>Gold (70+)</t>
        </is>
      </c>
      <c r="M5" s="18" t="n">
        <v>200</v>
      </c>
      <c r="N5" s="18" t="n">
        <v>200</v>
      </c>
      <c r="O5" s="17" t="inlineStr">
        <is>
          <t>Priority</t>
        </is>
      </c>
      <c r="P5" s="18" t="n">
        <v>1000</v>
      </c>
      <c r="Q5" s="17" t="inlineStr">
        <is>
          <t>Yes</t>
        </is>
      </c>
      <c r="R5" s="17" t="inlineStr">
        <is>
          <t>WHITE CLAW SURF HARD SELTZER</t>
        </is>
      </c>
      <c r="S5" s="17" t="inlineStr">
        <is>
          <t>WHITE CLAW SURF HARD SELTZER</t>
        </is>
      </c>
      <c r="T5" s="17" t="inlineStr">
        <is>
          <t>MARK ANTHONY GROUP</t>
        </is>
      </c>
      <c r="U5" s="25" t="n">
        <v>1</v>
      </c>
      <c r="V5" s="17" t="inlineStr">
        <is>
          <t>No</t>
        </is>
      </c>
      <c r="W5" s="17" t="inlineStr">
        <is>
          <t>Mark Anthony (200)</t>
        </is>
      </c>
      <c r="X5" s="17" t="inlineStr">
        <is>
          <t>—</t>
        </is>
      </c>
      <c r="Y5" s="19" t="inlineStr">
        <is>
          <t>View Photo</t>
        </is>
      </c>
    </row>
    <row r="6">
      <c r="A6" s="17" t="inlineStr">
        <is>
          <t>D0005</t>
        </is>
      </c>
      <c r="B6" s="17" t="inlineStr">
        <is>
          <t>07/07/2026</t>
        </is>
      </c>
      <c r="C6" s="17" t="inlineStr">
        <is>
          <t>07/07/2026 11:42 AM</t>
        </is>
      </c>
      <c r="D6" s="17" t="inlineStr">
        <is>
          <t>patrick infante</t>
        </is>
      </c>
      <c r="E6" s="17" t="inlineStr">
        <is>
          <t>Sales Associate</t>
        </is>
      </c>
      <c r="F6" s="17" t="inlineStr">
        <is>
          <t>Michael Engel</t>
        </is>
      </c>
      <c r="G6" s="17" t="inlineStr">
        <is>
          <t>49066</t>
        </is>
      </c>
      <c r="H6" s="17" t="inlineStr">
        <is>
          <t>MITSUWA MARKET (A)</t>
        </is>
      </c>
      <c r="I6" s="17" t="inlineStr">
        <is>
          <t>EDGEWATER</t>
        </is>
      </c>
      <c r="J6" s="17" t="inlineStr">
        <is>
          <t>Constellation</t>
        </is>
      </c>
      <c r="K6" s="25" t="n">
        <v>4</v>
      </c>
      <c r="L6" s="17" t="inlineStr">
        <is>
          <t>Gold (70+)</t>
        </is>
      </c>
      <c r="M6" s="18" t="n">
        <v>200</v>
      </c>
      <c r="N6" s="18" t="n">
        <v>100</v>
      </c>
      <c r="O6" s="17" t="inlineStr">
        <is>
          <t>Priority</t>
        </is>
      </c>
      <c r="P6" s="18" t="n">
        <v>1000</v>
      </c>
      <c r="Q6" s="17" t="inlineStr">
        <is>
          <t>Yes</t>
        </is>
      </c>
      <c r="R6" s="17" t="inlineStr">
        <is>
          <t>HEINEKEN</t>
        </is>
      </c>
      <c r="S6" s="17" t="inlineStr">
        <is>
          <t>HEINEKEN, MODELO CERVEZA</t>
        </is>
      </c>
      <c r="T6" s="17" t="inlineStr">
        <is>
          <t>CONSTELLATION BRANDS, HEINEKEN</t>
        </is>
      </c>
      <c r="U6" s="25" t="n">
        <v>2</v>
      </c>
      <c r="V6" s="17" t="inlineStr">
        <is>
          <t>Yes</t>
        </is>
      </c>
      <c r="W6" s="17" t="inlineStr">
        <is>
          <t>HUSA (Heineken USA) (100) + Constellation (100)</t>
        </is>
      </c>
      <c r="X6" s="17" t="inlineStr">
        <is>
          <t>—</t>
        </is>
      </c>
      <c r="Y6" s="19" t="inlineStr">
        <is>
          <t>View Photo</t>
        </is>
      </c>
    </row>
    <row r="7">
      <c r="A7" s="17" t="inlineStr">
        <is>
          <t>D0006</t>
        </is>
      </c>
      <c r="B7" s="17" t="inlineStr">
        <is>
          <t>07/17/2026</t>
        </is>
      </c>
      <c r="C7" s="17" t="inlineStr">
        <is>
          <t>07/17/2026 12:22 PM</t>
        </is>
      </c>
      <c r="D7" s="17" t="inlineStr">
        <is>
          <t>Alex Rodriguez</t>
        </is>
      </c>
      <c r="E7" s="17" t="inlineStr">
        <is>
          <t>Sales Rep</t>
        </is>
      </c>
      <c r="F7" s="17" t="inlineStr">
        <is>
          <t>Mike Kennedy</t>
        </is>
      </c>
      <c r="G7" s="17" t="inlineStr">
        <is>
          <t>12005</t>
        </is>
      </c>
      <c r="H7" s="17" t="inlineStr">
        <is>
          <t>SHAY'S LIQUORS</t>
        </is>
      </c>
      <c r="I7" s="17" t="inlineStr">
        <is>
          <t>WAYNE</t>
        </is>
      </c>
      <c r="J7" s="17" t="inlineStr">
        <is>
          <t>Boston Beer</t>
        </is>
      </c>
      <c r="K7" s="25" t="n">
        <v>4</v>
      </c>
      <c r="L7" s="17" t="inlineStr">
        <is>
          <t>Gold (70+)</t>
        </is>
      </c>
      <c r="M7" s="18" t="n">
        <v>200</v>
      </c>
      <c r="N7" s="18" t="n">
        <v>200</v>
      </c>
      <c r="O7" s="17" t="inlineStr">
        <is>
          <t>Priority</t>
        </is>
      </c>
      <c r="P7" s="18" t="n">
        <v>1000</v>
      </c>
      <c r="Q7" s="17" t="inlineStr">
        <is>
          <t>Yes</t>
        </is>
      </c>
      <c r="R7" s="17" t="inlineStr">
        <is>
          <t>SUN CRUISERS RTD</t>
        </is>
      </c>
      <c r="S7" s="17" t="inlineStr">
        <is>
          <t>SUN CRUISER ICED TEA VODKA, SUN CRUISERS RTD</t>
        </is>
      </c>
      <c r="T7" s="17" t="inlineStr">
        <is>
          <t>BOSTON BEER COMPANY</t>
        </is>
      </c>
      <c r="U7" s="25" t="n">
        <v>5</v>
      </c>
      <c r="V7" s="17" t="inlineStr">
        <is>
          <t>No</t>
        </is>
      </c>
      <c r="W7" s="17" t="inlineStr">
        <is>
          <t>Boston Beer (200)</t>
        </is>
      </c>
      <c r="X7" s="17" t="inlineStr">
        <is>
          <t>—</t>
        </is>
      </c>
      <c r="Y7" s="19" t="inlineStr">
        <is>
          <t>View Photo</t>
        </is>
      </c>
    </row>
    <row r="8">
      <c r="A8" s="17" t="inlineStr">
        <is>
          <t>D0007</t>
        </is>
      </c>
      <c r="B8" s="17" t="inlineStr">
        <is>
          <t>07/29/2026</t>
        </is>
      </c>
      <c r="C8" s="17" t="inlineStr">
        <is>
          <t>07/29/2026 03:47 PM</t>
        </is>
      </c>
      <c r="D8" s="17" t="inlineStr">
        <is>
          <t>Dave Ehlers</t>
        </is>
      </c>
      <c r="E8" s="17" t="inlineStr">
        <is>
          <t>Sales Rep</t>
        </is>
      </c>
      <c r="F8" s="17" t="inlineStr">
        <is>
          <t>Michael Engel</t>
        </is>
      </c>
      <c r="G8" s="17" t="inlineStr">
        <is>
          <t>58001</t>
        </is>
      </c>
      <c r="H8" s="17" t="inlineStr">
        <is>
          <t>TOTAL WINE &amp; MORE (RIVER EDGE)</t>
        </is>
      </c>
      <c r="I8" s="17" t="inlineStr">
        <is>
          <t>RIVER EDGE</t>
        </is>
      </c>
      <c r="J8" s="17" t="inlineStr">
        <is>
          <t>Molson Coors</t>
        </is>
      </c>
      <c r="K8" s="25" t="n">
        <v>4</v>
      </c>
      <c r="L8" s="17" t="inlineStr">
        <is>
          <t>Gold (70+)</t>
        </is>
      </c>
      <c r="M8" s="18" t="n">
        <v>200</v>
      </c>
      <c r="N8" s="18" t="n">
        <v>200</v>
      </c>
      <c r="O8" s="17" t="inlineStr">
        <is>
          <t>Priority</t>
        </is>
      </c>
      <c r="P8" s="18" t="n">
        <v>1000</v>
      </c>
      <c r="Q8" s="17" t="inlineStr">
        <is>
          <t>Yes</t>
        </is>
      </c>
      <c r="R8" s="17" t="inlineStr">
        <is>
          <t>MILLER LITE</t>
        </is>
      </c>
      <c r="S8" s="17" t="inlineStr">
        <is>
          <t>MILLER LITE</t>
        </is>
      </c>
      <c r="T8" s="17" t="inlineStr">
        <is>
          <t>MOLSON COORS BEVERAGE COMPANY</t>
        </is>
      </c>
      <c r="U8" s="25" t="n">
        <v>1</v>
      </c>
      <c r="V8" s="17" t="inlineStr">
        <is>
          <t>No</t>
        </is>
      </c>
      <c r="W8" s="17" t="inlineStr">
        <is>
          <t>Molson Coors (200)</t>
        </is>
      </c>
      <c r="X8" s="17" t="inlineStr">
        <is>
          <t>First of a repeat set</t>
        </is>
      </c>
      <c r="Y8" s="19" t="inlineStr">
        <is>
          <t>View Photo</t>
        </is>
      </c>
    </row>
    <row r="9">
      <c r="A9" s="17" t="inlineStr">
        <is>
          <t>D0008</t>
        </is>
      </c>
      <c r="B9" s="17" t="inlineStr">
        <is>
          <t>08/03/2026</t>
        </is>
      </c>
      <c r="C9" s="17" t="inlineStr">
        <is>
          <t>08/03/2026 09:42 AM</t>
        </is>
      </c>
      <c r="D9" s="17" t="inlineStr">
        <is>
          <t>Mike Ast</t>
        </is>
      </c>
      <c r="E9" s="17" t="inlineStr">
        <is>
          <t>Sales Rep</t>
        </is>
      </c>
      <c r="F9" s="17" t="inlineStr">
        <is>
          <t>Paul Deady</t>
        </is>
      </c>
      <c r="G9" s="17" t="inlineStr">
        <is>
          <t>11003</t>
        </is>
      </c>
      <c r="H9" s="17" t="inlineStr">
        <is>
          <t>LINCOLN PARK FINE WINES &amp; SPIRITS</t>
        </is>
      </c>
      <c r="I9" s="17" t="inlineStr">
        <is>
          <t>LINCOLN PARK</t>
        </is>
      </c>
      <c r="J9" s="17" t="inlineStr">
        <is>
          <t>Mark Anthony</t>
        </is>
      </c>
      <c r="K9" s="25" t="n">
        <v>4</v>
      </c>
      <c r="L9" s="17" t="inlineStr">
        <is>
          <t>Gold (70+)</t>
        </is>
      </c>
      <c r="M9" s="18" t="n">
        <v>200</v>
      </c>
      <c r="N9" s="18" t="n">
        <v>200</v>
      </c>
      <c r="O9" s="17" t="inlineStr">
        <is>
          <t>Priority</t>
        </is>
      </c>
      <c r="P9" s="18" t="n">
        <v>1000</v>
      </c>
      <c r="Q9" s="17" t="inlineStr">
        <is>
          <t>Yes</t>
        </is>
      </c>
      <c r="R9" s="17" t="inlineStr">
        <is>
          <t>WHITE CLAW ORIGINAL HARD SELTZER</t>
        </is>
      </c>
      <c r="S9" s="17" t="inlineStr">
        <is>
          <t>WHITE CLAW ORIGINAL HARD SELTZER, WHITE CLAW SURF HARD SELTZER</t>
        </is>
      </c>
      <c r="T9" s="17" t="inlineStr">
        <is>
          <t>MARK ANTHONY GROUP</t>
        </is>
      </c>
      <c r="U9" s="25" t="n">
        <v>6</v>
      </c>
      <c r="V9" s="17" t="inlineStr">
        <is>
          <t>No</t>
        </is>
      </c>
      <c r="W9" s="17" t="inlineStr">
        <is>
          <t>Mark Anthony (200)</t>
        </is>
      </c>
      <c r="X9" s="17" t="inlineStr">
        <is>
          <t>—</t>
        </is>
      </c>
      <c r="Y9" s="19" t="inlineStr">
        <is>
          <t>View Photo</t>
        </is>
      </c>
    </row>
    <row r="10">
      <c r="A10" s="17" t="inlineStr">
        <is>
          <t>D0009</t>
        </is>
      </c>
      <c r="B10" s="17" t="inlineStr">
        <is>
          <t>08/12/2026</t>
        </is>
      </c>
      <c r="C10" s="17" t="inlineStr">
        <is>
          <t>08/12/2026 01:02 PM</t>
        </is>
      </c>
      <c r="D10" s="17" t="inlineStr">
        <is>
          <t>Nicholas Micco</t>
        </is>
      </c>
      <c r="E10" s="17" t="inlineStr">
        <is>
          <t>Sales Associate</t>
        </is>
      </c>
      <c r="F10" s="17" t="inlineStr">
        <is>
          <t>Michael Engel</t>
        </is>
      </c>
      <c r="G10" s="17" t="inlineStr">
        <is>
          <t>29004</t>
        </is>
      </c>
      <c r="H10" s="17" t="inlineStr">
        <is>
          <t>SHOP-RITE LIQ LYNDHURST</t>
        </is>
      </c>
      <c r="I10" s="17" t="inlineStr">
        <is>
          <t>LYNDHURST</t>
        </is>
      </c>
      <c r="J10" s="17" t="inlineStr">
        <is>
          <t>Constellation</t>
        </is>
      </c>
      <c r="K10" s="25" t="n">
        <v>4</v>
      </c>
      <c r="L10" s="17" t="inlineStr">
        <is>
          <t>Gold (70+)</t>
        </is>
      </c>
      <c r="M10" s="18" t="n">
        <v>200</v>
      </c>
      <c r="N10" s="18" t="n">
        <v>200</v>
      </c>
      <c r="O10" s="17" t="inlineStr">
        <is>
          <t>Priority</t>
        </is>
      </c>
      <c r="P10" s="18" t="n">
        <v>1000</v>
      </c>
      <c r="Q10" s="17" t="inlineStr">
        <is>
          <t>Yes</t>
        </is>
      </c>
      <c r="R10" s="17" t="inlineStr">
        <is>
          <t>CORONA EXTRA</t>
        </is>
      </c>
      <c r="S10" s="17" t="inlineStr">
        <is>
          <t>CORONA EXTRA, MODELO CERVEZA</t>
        </is>
      </c>
      <c r="T10" s="17" t="inlineStr">
        <is>
          <t>CONSTELLATION BRANDS</t>
        </is>
      </c>
      <c r="U10" s="25" t="n">
        <v>4</v>
      </c>
      <c r="V10" s="17" t="inlineStr">
        <is>
          <t>No</t>
        </is>
      </c>
      <c r="W10" s="17" t="inlineStr">
        <is>
          <t>Constellation (200)</t>
        </is>
      </c>
      <c r="X10" s="17" t="inlineStr">
        <is>
          <t>—</t>
        </is>
      </c>
      <c r="Y10" s="19" t="inlineStr">
        <is>
          <t>View Photo</t>
        </is>
      </c>
    </row>
    <row r="11">
      <c r="A11" s="17" t="inlineStr">
        <is>
          <t>D0010</t>
        </is>
      </c>
      <c r="B11" s="17" t="inlineStr">
        <is>
          <t>08/10/2026</t>
        </is>
      </c>
      <c r="C11" s="17" t="inlineStr">
        <is>
          <t>08/10/2026 08:53 AM</t>
        </is>
      </c>
      <c r="D11" s="17" t="inlineStr">
        <is>
          <t>Shane Barreca</t>
        </is>
      </c>
      <c r="E11" s="17" t="inlineStr">
        <is>
          <t>Sales Rep</t>
        </is>
      </c>
      <c r="F11" s="17" t="inlineStr">
        <is>
          <t>Paul Deady</t>
        </is>
      </c>
      <c r="G11" s="17" t="inlineStr">
        <is>
          <t>67005</t>
        </is>
      </c>
      <c r="H11" s="17" t="inlineStr">
        <is>
          <t>SHOPRITE LIQ (A)NORTHVLE</t>
        </is>
      </c>
      <c r="I11" s="17" t="inlineStr">
        <is>
          <t>NORTHVALE</t>
        </is>
      </c>
      <c r="J11" s="17" t="inlineStr">
        <is>
          <t>HUSA (Heineken USA)</t>
        </is>
      </c>
      <c r="K11" s="25" t="n">
        <v>4</v>
      </c>
      <c r="L11" s="17" t="inlineStr">
        <is>
          <t>Gold (70+)</t>
        </is>
      </c>
      <c r="M11" s="18" t="n">
        <v>193</v>
      </c>
      <c r="N11" s="18" t="n">
        <v>193</v>
      </c>
      <c r="O11" s="17" t="inlineStr">
        <is>
          <t>Priority</t>
        </is>
      </c>
      <c r="P11" s="18" t="n">
        <v>1000</v>
      </c>
      <c r="Q11" s="17" t="inlineStr">
        <is>
          <t>Yes</t>
        </is>
      </c>
      <c r="R11" s="17" t="inlineStr">
        <is>
          <t>HEINEKEN</t>
        </is>
      </c>
      <c r="S11" s="17" t="inlineStr">
        <is>
          <t>HEINEKEN</t>
        </is>
      </c>
      <c r="T11" s="17" t="inlineStr">
        <is>
          <t>HEINEKEN</t>
        </is>
      </c>
      <c r="U11" s="25" t="n">
        <v>7</v>
      </c>
      <c r="V11" s="17" t="inlineStr">
        <is>
          <t>No</t>
        </is>
      </c>
      <c r="W11" s="17" t="inlineStr">
        <is>
          <t>HUSA (Heineken USA) (193)</t>
        </is>
      </c>
      <c r="X11" s="17" t="inlineStr">
        <is>
          <t>—</t>
        </is>
      </c>
      <c r="Y11" s="19" t="inlineStr">
        <is>
          <t>View Photo</t>
        </is>
      </c>
    </row>
    <row r="12">
      <c r="A12" s="17" t="inlineStr">
        <is>
          <t>D0011</t>
        </is>
      </c>
      <c r="B12" s="17" t="inlineStr">
        <is>
          <t>07/20/2026</t>
        </is>
      </c>
      <c r="C12" s="17" t="inlineStr">
        <is>
          <t>07/20/2026 07:43 AM</t>
        </is>
      </c>
      <c r="D12" s="17" t="inlineStr">
        <is>
          <t>Shane Barreca</t>
        </is>
      </c>
      <c r="E12" s="17" t="inlineStr">
        <is>
          <t>Sales Rep</t>
        </is>
      </c>
      <c r="F12" s="17" t="inlineStr">
        <is>
          <t>Paul Deady</t>
        </is>
      </c>
      <c r="G12" s="17" t="inlineStr">
        <is>
          <t>70001</t>
        </is>
      </c>
      <c r="H12" s="17" t="inlineStr">
        <is>
          <t>MONTVALE WINE/LIQ &amp; BEER</t>
        </is>
      </c>
      <c r="I12" s="17" t="inlineStr">
        <is>
          <t>MONTVALE</t>
        </is>
      </c>
      <c r="J12" s="17" t="inlineStr">
        <is>
          <t>Mark Anthony</t>
        </is>
      </c>
      <c r="K12" s="25" t="n">
        <v>4</v>
      </c>
      <c r="L12" s="17" t="inlineStr">
        <is>
          <t>Gold (70+)</t>
        </is>
      </c>
      <c r="M12" s="18" t="n">
        <v>191</v>
      </c>
      <c r="N12" s="18" t="n">
        <v>191</v>
      </c>
      <c r="O12" s="17" t="inlineStr">
        <is>
          <t>Priority</t>
        </is>
      </c>
      <c r="P12" s="18" t="n">
        <v>1000</v>
      </c>
      <c r="Q12" s="17" t="inlineStr">
        <is>
          <t>Yes</t>
        </is>
      </c>
      <c r="R12" s="17" t="inlineStr">
        <is>
          <t>WHITE CLAW ORIGINAL HARD SELTZER</t>
        </is>
      </c>
      <c r="S12" s="17" t="inlineStr">
        <is>
          <t>WHITE CLAW ORIGINAL HARD SELTZER, WHITE CLAW SURF HARD SELTZER</t>
        </is>
      </c>
      <c r="T12" s="17" t="inlineStr">
        <is>
          <t>MARK ANTHONY GROUP</t>
        </is>
      </c>
      <c r="U12" s="25" t="n">
        <v>5</v>
      </c>
      <c r="V12" s="17" t="inlineStr">
        <is>
          <t>No</t>
        </is>
      </c>
      <c r="W12" s="17" t="inlineStr">
        <is>
          <t>Mark Anthony (191)</t>
        </is>
      </c>
      <c r="X12" s="17" t="inlineStr">
        <is>
          <t>—</t>
        </is>
      </c>
      <c r="Y12" s="19" t="inlineStr">
        <is>
          <t>View Photo</t>
        </is>
      </c>
    </row>
    <row r="13">
      <c r="A13" s="17" t="inlineStr">
        <is>
          <t>D0012</t>
        </is>
      </c>
      <c r="B13" s="17" t="inlineStr">
        <is>
          <t>07/06/2026</t>
        </is>
      </c>
      <c r="C13" s="17" t="inlineStr">
        <is>
          <t>07/06/2026 02:35 PM</t>
        </is>
      </c>
      <c r="D13" s="17" t="inlineStr">
        <is>
          <t>phil Ernst</t>
        </is>
      </c>
      <c r="E13" s="17" t="inlineStr">
        <is>
          <t>Sales Rep</t>
        </is>
      </c>
      <c r="F13" s="17" t="inlineStr">
        <is>
          <t>Michael Engel</t>
        </is>
      </c>
      <c r="G13" s="17" t="inlineStr">
        <is>
          <t>46019</t>
        </is>
      </c>
      <c r="H13" s="17" t="inlineStr">
        <is>
          <t>PALISADES WINE AND LIQUOR</t>
        </is>
      </c>
      <c r="I13" s="17" t="inlineStr">
        <is>
          <t>PALISADES PARK</t>
        </is>
      </c>
      <c r="J13" s="17" t="inlineStr">
        <is>
          <t>Molson Coors</t>
        </is>
      </c>
      <c r="K13" s="25" t="n">
        <v>4</v>
      </c>
      <c r="L13" s="17" t="inlineStr">
        <is>
          <t>Gold (70+)</t>
        </is>
      </c>
      <c r="M13" s="18" t="n">
        <v>190</v>
      </c>
      <c r="N13" s="18" t="n">
        <v>190</v>
      </c>
      <c r="O13" s="17" t="inlineStr">
        <is>
          <t>Priority</t>
        </is>
      </c>
      <c r="P13" s="18" t="n">
        <v>1000</v>
      </c>
      <c r="Q13" s="17" t="inlineStr">
        <is>
          <t>Yes</t>
        </is>
      </c>
      <c r="R13" s="17" t="inlineStr">
        <is>
          <t>COORS</t>
        </is>
      </c>
      <c r="S13" s="17" t="inlineStr">
        <is>
          <t>COORS, COORS LIGHT</t>
        </is>
      </c>
      <c r="T13" s="17" t="inlineStr">
        <is>
          <t>MOLSON COORS BEVERAGE COMPANY</t>
        </is>
      </c>
      <c r="U13" s="25" t="n">
        <v>2</v>
      </c>
      <c r="V13" s="17" t="inlineStr">
        <is>
          <t>No</t>
        </is>
      </c>
      <c r="W13" s="17" t="inlineStr">
        <is>
          <t>Molson Coors (190)</t>
        </is>
      </c>
      <c r="X13" s="17" t="inlineStr">
        <is>
          <t>—</t>
        </is>
      </c>
      <c r="Y13" s="19" t="inlineStr">
        <is>
          <t>View Photo</t>
        </is>
      </c>
    </row>
    <row r="14">
      <c r="A14" s="17" t="inlineStr">
        <is>
          <t>D0013</t>
        </is>
      </c>
      <c r="B14" s="17" t="inlineStr">
        <is>
          <t>08/17/2026</t>
        </is>
      </c>
      <c r="C14" s="17" t="inlineStr">
        <is>
          <t>08/17/2026 12:45 PM</t>
        </is>
      </c>
      <c r="D14" s="17" t="inlineStr">
        <is>
          <t>phil Ernst</t>
        </is>
      </c>
      <c r="E14" s="17" t="inlineStr">
        <is>
          <t>Sales Rep</t>
        </is>
      </c>
      <c r="F14" s="17" t="inlineStr">
        <is>
          <t>Michael Engel</t>
        </is>
      </c>
      <c r="G14" s="17" t="inlineStr">
        <is>
          <t>29004</t>
        </is>
      </c>
      <c r="H14" s="17" t="inlineStr">
        <is>
          <t>SHOP-RITE LIQ LYNDHURST</t>
        </is>
      </c>
      <c r="I14" s="17" t="inlineStr">
        <is>
          <t>LYNDHURST</t>
        </is>
      </c>
      <c r="J14" s="17" t="inlineStr">
        <is>
          <t>Constellation</t>
        </is>
      </c>
      <c r="K14" s="25" t="n">
        <v>4</v>
      </c>
      <c r="L14" s="17" t="inlineStr">
        <is>
          <t>Gold (70+)</t>
        </is>
      </c>
      <c r="M14" s="18" t="n">
        <v>181</v>
      </c>
      <c r="N14" s="18" t="n">
        <v>181</v>
      </c>
      <c r="O14" s="17" t="inlineStr">
        <is>
          <t>Priority</t>
        </is>
      </c>
      <c r="P14" s="18" t="n">
        <v>1000</v>
      </c>
      <c r="Q14" s="17" t="inlineStr">
        <is>
          <t>Yes</t>
        </is>
      </c>
      <c r="R14" s="17" t="inlineStr">
        <is>
          <t>CORONA EXTRA</t>
        </is>
      </c>
      <c r="S14" s="17" t="inlineStr">
        <is>
          <t>CORONA, CORONA EXTRA, MODELO CERVEZA, MODELO CHELADA</t>
        </is>
      </c>
      <c r="T14" s="17" t="inlineStr">
        <is>
          <t>CONSTELLATION BRANDS</t>
        </is>
      </c>
      <c r="U14" s="25" t="n">
        <v>19</v>
      </c>
      <c r="V14" s="17" t="inlineStr">
        <is>
          <t>No</t>
        </is>
      </c>
      <c r="W14" s="17" t="inlineStr">
        <is>
          <t>Constellation (181)</t>
        </is>
      </c>
      <c r="X14" s="17" t="inlineStr">
        <is>
          <t>—</t>
        </is>
      </c>
      <c r="Y14" s="19" t="inlineStr">
        <is>
          <t>View Photo</t>
        </is>
      </c>
    </row>
    <row r="15">
      <c r="A15" s="17" t="inlineStr">
        <is>
          <t>D0014</t>
        </is>
      </c>
      <c r="B15" s="17" t="inlineStr">
        <is>
          <t>08/03/2026</t>
        </is>
      </c>
      <c r="C15" s="17" t="inlineStr">
        <is>
          <t>08/03/2026 08:32 AM</t>
        </is>
      </c>
      <c r="D15" s="17" t="inlineStr">
        <is>
          <t>John Neukum</t>
        </is>
      </c>
      <c r="E15" s="17" t="inlineStr">
        <is>
          <t>Sales Rep</t>
        </is>
      </c>
      <c r="F15" s="17" t="inlineStr">
        <is>
          <t>Michael Engel</t>
        </is>
      </c>
      <c r="G15" s="17" t="inlineStr">
        <is>
          <t>31019</t>
        </is>
      </c>
      <c r="H15" s="17" t="inlineStr">
        <is>
          <t>BJ'S WAREHOUSE E RUTHERFO</t>
        </is>
      </c>
      <c r="I15" s="17" t="inlineStr">
        <is>
          <t>EAST RUTHERFORD</t>
        </is>
      </c>
      <c r="J15" s="17" t="inlineStr">
        <is>
          <t>Molson Coors</t>
        </is>
      </c>
      <c r="K15" s="25" t="n">
        <v>4</v>
      </c>
      <c r="L15" s="17" t="inlineStr">
        <is>
          <t>Gold (70+)</t>
        </is>
      </c>
      <c r="M15" s="18" t="n">
        <v>180</v>
      </c>
      <c r="N15" s="18" t="n">
        <v>180</v>
      </c>
      <c r="O15" s="17" t="inlineStr">
        <is>
          <t>Priority</t>
        </is>
      </c>
      <c r="P15" s="18" t="n">
        <v>1000</v>
      </c>
      <c r="Q15" s="17" t="inlineStr">
        <is>
          <t>Yes</t>
        </is>
      </c>
      <c r="R15" s="17" t="inlineStr">
        <is>
          <t>COORS LIGHT</t>
        </is>
      </c>
      <c r="S15" s="17" t="inlineStr">
        <is>
          <t>COORS LIGHT</t>
        </is>
      </c>
      <c r="T15" s="17" t="inlineStr">
        <is>
          <t>MOLSON COORS BEVERAGE COMPANY</t>
        </is>
      </c>
      <c r="U15" s="25" t="n">
        <v>1</v>
      </c>
      <c r="V15" s="17" t="inlineStr">
        <is>
          <t>No</t>
        </is>
      </c>
      <c r="W15" s="17" t="inlineStr">
        <is>
          <t>Molson Coors (180)</t>
        </is>
      </c>
      <c r="X15" s="17" t="inlineStr">
        <is>
          <t>—</t>
        </is>
      </c>
      <c r="Y15" s="19" t="inlineStr">
        <is>
          <t>View Photo</t>
        </is>
      </c>
    </row>
    <row r="16">
      <c r="A16" s="17" t="inlineStr">
        <is>
          <t>D0015</t>
        </is>
      </c>
      <c r="B16" s="17" t="inlineStr">
        <is>
          <t>07/29/2026</t>
        </is>
      </c>
      <c r="C16" s="17" t="inlineStr">
        <is>
          <t>07/29/2026 01:03 PM</t>
        </is>
      </c>
      <c r="D16" s="17" t="inlineStr">
        <is>
          <t>Mike Ast</t>
        </is>
      </c>
      <c r="E16" s="17" t="inlineStr">
        <is>
          <t>Sales Rep</t>
        </is>
      </c>
      <c r="F16" s="17" t="inlineStr">
        <is>
          <t>Paul Deady</t>
        </is>
      </c>
      <c r="G16" s="17" t="inlineStr">
        <is>
          <t>11003</t>
        </is>
      </c>
      <c r="H16" s="17" t="inlineStr">
        <is>
          <t>LINCOLN PARK FINE WINES &amp; SPIRITS</t>
        </is>
      </c>
      <c r="I16" s="17" t="inlineStr">
        <is>
          <t>LINCOLN PARK</t>
        </is>
      </c>
      <c r="J16" s="17" t="inlineStr">
        <is>
          <t>Boston Beer</t>
        </is>
      </c>
      <c r="K16" s="25" t="n">
        <v>4</v>
      </c>
      <c r="L16" s="17" t="inlineStr">
        <is>
          <t>Gold (70+)</t>
        </is>
      </c>
      <c r="M16" s="18" t="n">
        <v>173</v>
      </c>
      <c r="N16" s="18" t="n">
        <v>173</v>
      </c>
      <c r="O16" s="17" t="inlineStr">
        <is>
          <t>Priority</t>
        </is>
      </c>
      <c r="P16" s="18" t="n">
        <v>1000</v>
      </c>
      <c r="Q16" s="17" t="inlineStr">
        <is>
          <t>Yes</t>
        </is>
      </c>
      <c r="R16" s="17" t="inlineStr">
        <is>
          <t>SUN CRUISERS RTD</t>
        </is>
      </c>
      <c r="S16" s="17" t="inlineStr">
        <is>
          <t>SUN CRUISERS RTD</t>
        </is>
      </c>
      <c r="T16" s="17" t="inlineStr">
        <is>
          <t>BOSTON BEER COMPANY</t>
        </is>
      </c>
      <c r="U16" s="25" t="n">
        <v>3</v>
      </c>
      <c r="V16" s="17" t="inlineStr">
        <is>
          <t>No</t>
        </is>
      </c>
      <c r="W16" s="17" t="inlineStr">
        <is>
          <t>Boston Beer (173)</t>
        </is>
      </c>
      <c r="X16" s="17" t="inlineStr">
        <is>
          <t>First of a repeat set</t>
        </is>
      </c>
      <c r="Y16" s="19" t="inlineStr">
        <is>
          <t>View Photo</t>
        </is>
      </c>
    </row>
    <row r="17">
      <c r="A17" s="17" t="inlineStr">
        <is>
          <t>D0016</t>
        </is>
      </c>
      <c r="B17" s="17" t="inlineStr">
        <is>
          <t>08/05/2026</t>
        </is>
      </c>
      <c r="C17" s="17" t="inlineStr">
        <is>
          <t>08/05/2026 08:31 AM</t>
        </is>
      </c>
      <c r="D17" s="17" t="inlineStr">
        <is>
          <t>Shane Barreca</t>
        </is>
      </c>
      <c r="E17" s="17" t="inlineStr">
        <is>
          <t>Sales Rep</t>
        </is>
      </c>
      <c r="F17" s="17" t="inlineStr">
        <is>
          <t>Paul Deady</t>
        </is>
      </c>
      <c r="G17" s="17" t="inlineStr">
        <is>
          <t>60001</t>
        </is>
      </c>
      <c r="H17" s="17" t="inlineStr">
        <is>
          <t>BOTTLE KING (A) DUMONT</t>
        </is>
      </c>
      <c r="I17" s="17" t="inlineStr">
        <is>
          <t>DUMONT</t>
        </is>
      </c>
      <c r="J17" s="17" t="inlineStr">
        <is>
          <t>Constellation</t>
        </is>
      </c>
      <c r="K17" s="25" t="n">
        <v>4</v>
      </c>
      <c r="L17" s="17" t="inlineStr">
        <is>
          <t>Gold (70+)</t>
        </is>
      </c>
      <c r="M17" s="18" t="n">
        <v>169</v>
      </c>
      <c r="N17" s="18" t="n">
        <v>169</v>
      </c>
      <c r="O17" s="17" t="inlineStr">
        <is>
          <t>Priority</t>
        </is>
      </c>
      <c r="P17" s="18" t="n">
        <v>1000</v>
      </c>
      <c r="Q17" s="17" t="inlineStr">
        <is>
          <t>Yes</t>
        </is>
      </c>
      <c r="R17" s="17" t="inlineStr">
        <is>
          <t>MODELO CERVEZA</t>
        </is>
      </c>
      <c r="S17" s="17" t="inlineStr">
        <is>
          <t>CORONA, CORONA EXTRA, CORONA NON-ALCOHOLIC, MODELO CERVEZA</t>
        </is>
      </c>
      <c r="T17" s="17" t="inlineStr">
        <is>
          <t>CONSTELLATION BRANDS</t>
        </is>
      </c>
      <c r="U17" s="25" t="n">
        <v>12</v>
      </c>
      <c r="V17" s="17" t="inlineStr">
        <is>
          <t>No</t>
        </is>
      </c>
      <c r="W17" s="17" t="inlineStr">
        <is>
          <t>Constellation (169)</t>
        </is>
      </c>
      <c r="X17" s="17" t="inlineStr">
        <is>
          <t>—</t>
        </is>
      </c>
      <c r="Y17" s="19" t="inlineStr">
        <is>
          <t>View Photo</t>
        </is>
      </c>
    </row>
    <row r="18">
      <c r="A18" s="17" t="inlineStr">
        <is>
          <t>D0017</t>
        </is>
      </c>
      <c r="B18" s="17" t="inlineStr">
        <is>
          <t>07/08/2026</t>
        </is>
      </c>
      <c r="C18" s="17" t="inlineStr">
        <is>
          <t>07/08/2026 02:23 PM</t>
        </is>
      </c>
      <c r="D18" s="17" t="inlineStr">
        <is>
          <t>Dave Ehlers</t>
        </is>
      </c>
      <c r="E18" s="17" t="inlineStr">
        <is>
          <t>Sales Rep</t>
        </is>
      </c>
      <c r="F18" s="17" t="inlineStr">
        <is>
          <t>Michael Engel</t>
        </is>
      </c>
      <c r="G18" s="17" t="inlineStr">
        <is>
          <t>58001</t>
        </is>
      </c>
      <c r="H18" s="17" t="inlineStr">
        <is>
          <t>TOTAL WINE &amp; MORE (RIVER EDGE)</t>
        </is>
      </c>
      <c r="I18" s="17" t="inlineStr">
        <is>
          <t>RIVER EDGE</t>
        </is>
      </c>
      <c r="J18" s="17" t="inlineStr">
        <is>
          <t>Boston Beer</t>
        </is>
      </c>
      <c r="K18" s="25" t="n">
        <v>4</v>
      </c>
      <c r="L18" s="17" t="inlineStr">
        <is>
          <t>Gold (70+)</t>
        </is>
      </c>
      <c r="M18" s="18" t="n">
        <v>160</v>
      </c>
      <c r="N18" s="18" t="n">
        <v>160</v>
      </c>
      <c r="O18" s="17" t="inlineStr">
        <is>
          <t>Priority</t>
        </is>
      </c>
      <c r="P18" s="18" t="n">
        <v>1000</v>
      </c>
      <c r="Q18" s="17" t="inlineStr">
        <is>
          <t>Yes</t>
        </is>
      </c>
      <c r="R18" s="17" t="inlineStr">
        <is>
          <t>SUN CRUISERS RTD</t>
        </is>
      </c>
      <c r="S18" s="17" t="inlineStr">
        <is>
          <t>SUN CRUISERS RTD</t>
        </is>
      </c>
      <c r="T18" s="17" t="inlineStr">
        <is>
          <t>BOSTON BEER COMPANY</t>
        </is>
      </c>
      <c r="U18" s="25" t="n">
        <v>2</v>
      </c>
      <c r="V18" s="17" t="inlineStr">
        <is>
          <t>No</t>
        </is>
      </c>
      <c r="W18" s="17" t="inlineStr">
        <is>
          <t>Boston Beer (160)</t>
        </is>
      </c>
      <c r="X18" s="17" t="inlineStr">
        <is>
          <t>First of a repeat set</t>
        </is>
      </c>
      <c r="Y18" s="19" t="inlineStr">
        <is>
          <t>View Photo</t>
        </is>
      </c>
    </row>
    <row r="19">
      <c r="A19" s="17" t="inlineStr">
        <is>
          <t>D0018</t>
        </is>
      </c>
      <c r="B19" s="17" t="inlineStr">
        <is>
          <t>07/08/2026</t>
        </is>
      </c>
      <c r="C19" s="17" t="inlineStr">
        <is>
          <t>07/08/2026 02:23 PM</t>
        </is>
      </c>
      <c r="D19" s="17" t="inlineStr">
        <is>
          <t>mickey obrien</t>
        </is>
      </c>
      <c r="E19" s="17" t="inlineStr">
        <is>
          <t>Sales Associate</t>
        </is>
      </c>
      <c r="F19" s="17" t="inlineStr">
        <is>
          <t>Michael Engel</t>
        </is>
      </c>
      <c r="G19" s="17" t="inlineStr">
        <is>
          <t>58001</t>
        </is>
      </c>
      <c r="H19" s="17" t="inlineStr">
        <is>
          <t>TOTAL WINE &amp; MORE (RIVER EDGE)</t>
        </is>
      </c>
      <c r="I19" s="17" t="inlineStr">
        <is>
          <t>RIVER EDGE</t>
        </is>
      </c>
      <c r="J19" s="17" t="inlineStr">
        <is>
          <t>Boston Beer</t>
        </is>
      </c>
      <c r="K19" s="25" t="n">
        <v>4</v>
      </c>
      <c r="L19" s="17" t="inlineStr">
        <is>
          <t>Gold (70+)</t>
        </is>
      </c>
      <c r="M19" s="18" t="n">
        <v>160</v>
      </c>
      <c r="N19" s="18" t="n">
        <v>160</v>
      </c>
      <c r="O19" s="17" t="inlineStr">
        <is>
          <t>Priority</t>
        </is>
      </c>
      <c r="P19" s="18" t="n">
        <v>1000</v>
      </c>
      <c r="Q19" s="17" t="inlineStr">
        <is>
          <t>Yes</t>
        </is>
      </c>
      <c r="R19" s="17" t="inlineStr">
        <is>
          <t>SUN CRUISERS RTD</t>
        </is>
      </c>
      <c r="S19" s="17" t="inlineStr">
        <is>
          <t>SUN CRUISERS RTD</t>
        </is>
      </c>
      <c r="T19" s="17" t="inlineStr">
        <is>
          <t>BOSTON BEER COMPANY</t>
        </is>
      </c>
      <c r="U19" s="25" t="n">
        <v>2</v>
      </c>
      <c r="V19" s="17" t="inlineStr">
        <is>
          <t>No</t>
        </is>
      </c>
      <c r="W19" s="17" t="inlineStr">
        <is>
          <t>Boston Beer (160)</t>
        </is>
      </c>
      <c r="X19" s="26" t="inlineStr">
        <is>
          <t>Possible duplicate</t>
        </is>
      </c>
      <c r="Y19" s="19" t="inlineStr">
        <is>
          <t>View Photo</t>
        </is>
      </c>
    </row>
    <row r="20">
      <c r="A20" s="17" t="inlineStr">
        <is>
          <t>D0019</t>
        </is>
      </c>
      <c r="B20" s="17" t="inlineStr">
        <is>
          <t>07/29/2026</t>
        </is>
      </c>
      <c r="C20" s="17" t="inlineStr">
        <is>
          <t>07/29/2026 03:51 PM</t>
        </is>
      </c>
      <c r="D20" s="17" t="inlineStr">
        <is>
          <t>David Fletcher</t>
        </is>
      </c>
      <c r="E20" s="17" t="inlineStr">
        <is>
          <t>Sales Associate</t>
        </is>
      </c>
      <c r="F20" s="17" t="inlineStr">
        <is>
          <t>Michael Engel</t>
        </is>
      </c>
      <c r="G20" s="17" t="inlineStr">
        <is>
          <t>58001</t>
        </is>
      </c>
      <c r="H20" s="17" t="inlineStr">
        <is>
          <t>TOTAL WINE &amp; MORE (RIVER EDGE)</t>
        </is>
      </c>
      <c r="I20" s="17" t="inlineStr">
        <is>
          <t>RIVER EDGE</t>
        </is>
      </c>
      <c r="J20" s="17" t="inlineStr">
        <is>
          <t>Molson Coors</t>
        </is>
      </c>
      <c r="K20" s="25" t="n">
        <v>4</v>
      </c>
      <c r="L20" s="17" t="inlineStr">
        <is>
          <t>Gold (70+)</t>
        </is>
      </c>
      <c r="M20" s="18" t="n">
        <v>160</v>
      </c>
      <c r="N20" s="18" t="n">
        <v>160</v>
      </c>
      <c r="O20" s="17" t="inlineStr">
        <is>
          <t>Priority</t>
        </is>
      </c>
      <c r="P20" s="18" t="n">
        <v>1000</v>
      </c>
      <c r="Q20" s="17" t="inlineStr">
        <is>
          <t>Yes</t>
        </is>
      </c>
      <c r="R20" s="17" t="inlineStr">
        <is>
          <t>MILLER LITE</t>
        </is>
      </c>
      <c r="S20" s="17" t="inlineStr">
        <is>
          <t>MILLER LITE</t>
        </is>
      </c>
      <c r="T20" s="17" t="inlineStr">
        <is>
          <t>MOLSON COORS BEVERAGE COMPANY</t>
        </is>
      </c>
      <c r="U20" s="25" t="n">
        <v>1</v>
      </c>
      <c r="V20" s="17" t="inlineStr">
        <is>
          <t>No</t>
        </is>
      </c>
      <c r="W20" s="17" t="inlineStr">
        <is>
          <t>Molson Coors (160)</t>
        </is>
      </c>
      <c r="X20" s="26" t="inlineStr">
        <is>
          <t>Possible duplicate</t>
        </is>
      </c>
      <c r="Y20" s="19" t="inlineStr">
        <is>
          <t>View Photo</t>
        </is>
      </c>
    </row>
    <row r="21">
      <c r="A21" s="17" t="inlineStr">
        <is>
          <t>D0020</t>
        </is>
      </c>
      <c r="B21" s="17" t="inlineStr">
        <is>
          <t>08/05/2026</t>
        </is>
      </c>
      <c r="C21" s="17" t="inlineStr">
        <is>
          <t>08/05/2026 09:15 AM</t>
        </is>
      </c>
      <c r="D21" s="17" t="inlineStr">
        <is>
          <t>Shane Barreca</t>
        </is>
      </c>
      <c r="E21" s="17" t="inlineStr">
        <is>
          <t>Sales Rep</t>
        </is>
      </c>
      <c r="F21" s="17" t="inlineStr">
        <is>
          <t>Paul Deady</t>
        </is>
      </c>
      <c r="G21" s="17" t="inlineStr">
        <is>
          <t>67005</t>
        </is>
      </c>
      <c r="H21" s="17" t="inlineStr">
        <is>
          <t>SHOPRITE LIQ (A)NORTHVLE</t>
        </is>
      </c>
      <c r="I21" s="17" t="inlineStr">
        <is>
          <t>NORTHVALE</t>
        </is>
      </c>
      <c r="J21" s="17" t="inlineStr">
        <is>
          <t>Boston Beer</t>
        </is>
      </c>
      <c r="K21" s="25" t="n">
        <v>4</v>
      </c>
      <c r="L21" s="17" t="inlineStr">
        <is>
          <t>Gold (70+)</t>
        </is>
      </c>
      <c r="M21" s="18" t="n">
        <v>159</v>
      </c>
      <c r="N21" s="18" t="n">
        <v>159</v>
      </c>
      <c r="O21" s="17" t="inlineStr">
        <is>
          <t>Priority</t>
        </is>
      </c>
      <c r="P21" s="18" t="n">
        <v>1000</v>
      </c>
      <c r="Q21" s="17" t="inlineStr">
        <is>
          <t>Yes</t>
        </is>
      </c>
      <c r="R21" s="17" t="inlineStr">
        <is>
          <t>SUN CRUISERS RTD</t>
        </is>
      </c>
      <c r="S21" s="17" t="inlineStr">
        <is>
          <t>SUN CRUISER ICED TEA VODKA, SUN CRUISERS RTD</t>
        </is>
      </c>
      <c r="T21" s="17" t="inlineStr">
        <is>
          <t>BOSTON BEER COMPANY</t>
        </is>
      </c>
      <c r="U21" s="25" t="n">
        <v>6</v>
      </c>
      <c r="V21" s="17" t="inlineStr">
        <is>
          <t>No</t>
        </is>
      </c>
      <c r="W21" s="17" t="inlineStr">
        <is>
          <t>Boston Beer (159)</t>
        </is>
      </c>
      <c r="X21" s="17" t="inlineStr">
        <is>
          <t>—</t>
        </is>
      </c>
      <c r="Y21" s="19" t="inlineStr">
        <is>
          <t>View Photo</t>
        </is>
      </c>
    </row>
    <row r="22">
      <c r="A22" s="17" t="inlineStr">
        <is>
          <t>D0021</t>
        </is>
      </c>
      <c r="B22" s="17" t="inlineStr">
        <is>
          <t>08/26/2026</t>
        </is>
      </c>
      <c r="C22" s="17" t="inlineStr">
        <is>
          <t>08/26/2026 11:40 AM</t>
        </is>
      </c>
      <c r="D22" s="17" t="inlineStr">
        <is>
          <t>Dave Ehlers</t>
        </is>
      </c>
      <c r="E22" s="17" t="inlineStr">
        <is>
          <t>Sales Rep</t>
        </is>
      </c>
      <c r="F22" s="17" t="inlineStr">
        <is>
          <t>Michael Engel</t>
        </is>
      </c>
      <c r="G22" s="17" t="inlineStr">
        <is>
          <t>52015</t>
        </is>
      </c>
      <c r="H22" s="17" t="inlineStr">
        <is>
          <t>SHOP RITE LIQ (A)ENGLEWD</t>
        </is>
      </c>
      <c r="I22" s="17" t="inlineStr">
        <is>
          <t>ENGLEWOOD</t>
        </is>
      </c>
      <c r="J22" s="17" t="inlineStr">
        <is>
          <t>Constellation</t>
        </is>
      </c>
      <c r="K22" s="25" t="n">
        <v>4</v>
      </c>
      <c r="L22" s="17" t="inlineStr">
        <is>
          <t>Gold (70+)</t>
        </is>
      </c>
      <c r="M22" s="18" t="n">
        <v>153</v>
      </c>
      <c r="N22" s="18" t="n">
        <v>153</v>
      </c>
      <c r="O22" s="17" t="inlineStr">
        <is>
          <t>Priority</t>
        </is>
      </c>
      <c r="P22" s="18" t="n">
        <v>1000</v>
      </c>
      <c r="Q22" s="17" t="inlineStr">
        <is>
          <t>Yes</t>
        </is>
      </c>
      <c r="R22" s="17" t="inlineStr">
        <is>
          <t>CORONA EXTRA</t>
        </is>
      </c>
      <c r="S22" s="17" t="inlineStr">
        <is>
          <t>CORONA EXTRA</t>
        </is>
      </c>
      <c r="T22" s="17" t="inlineStr">
        <is>
          <t>CONSTELLATION BRANDS</t>
        </is>
      </c>
      <c r="U22" s="25" t="n">
        <v>3</v>
      </c>
      <c r="V22" s="17" t="inlineStr">
        <is>
          <t>No</t>
        </is>
      </c>
      <c r="W22" s="17" t="inlineStr">
        <is>
          <t>Constellation (153)</t>
        </is>
      </c>
      <c r="X22" s="17" t="inlineStr">
        <is>
          <t>—</t>
        </is>
      </c>
      <c r="Y22" s="19" t="inlineStr">
        <is>
          <t>View Photo</t>
        </is>
      </c>
    </row>
    <row r="23">
      <c r="A23" s="17" t="inlineStr">
        <is>
          <t>D0022</t>
        </is>
      </c>
      <c r="B23" s="17" t="inlineStr">
        <is>
          <t>08/25/2026</t>
        </is>
      </c>
      <c r="C23" s="17" t="inlineStr">
        <is>
          <t>08/25/2026 03:32 PM</t>
        </is>
      </c>
      <c r="D23" s="17" t="inlineStr">
        <is>
          <t>phil Ernst</t>
        </is>
      </c>
      <c r="E23" s="17" t="inlineStr">
        <is>
          <t>Sales Rep</t>
        </is>
      </c>
      <c r="F23" s="17" t="inlineStr">
        <is>
          <t>Michael Engel</t>
        </is>
      </c>
      <c r="G23" s="17" t="inlineStr">
        <is>
          <t>80005</t>
        </is>
      </c>
      <c r="H23" s="17" t="inlineStr">
        <is>
          <t>SHOP RITE LIQ (PARAMUS)</t>
        </is>
      </c>
      <c r="I23" s="17" t="inlineStr">
        <is>
          <t>PARAMUS</t>
        </is>
      </c>
      <c r="J23" s="17" t="inlineStr">
        <is>
          <t>Constellation</t>
        </is>
      </c>
      <c r="K23" s="25" t="n">
        <v>4</v>
      </c>
      <c r="L23" s="17" t="inlineStr">
        <is>
          <t>Gold (70+)</t>
        </is>
      </c>
      <c r="M23" s="18" t="n">
        <v>152</v>
      </c>
      <c r="N23" s="18" t="n">
        <v>152</v>
      </c>
      <c r="O23" s="17" t="inlineStr">
        <is>
          <t>Priority</t>
        </is>
      </c>
      <c r="P23" s="18" t="n">
        <v>1000</v>
      </c>
      <c r="Q23" s="17" t="inlineStr">
        <is>
          <t>Yes</t>
        </is>
      </c>
      <c r="R23" s="17" t="inlineStr">
        <is>
          <t>CORONA EXTRA</t>
        </is>
      </c>
      <c r="S23" s="17" t="inlineStr">
        <is>
          <t>CORONA, CORONA EXTRA</t>
        </is>
      </c>
      <c r="T23" s="17" t="inlineStr">
        <is>
          <t>CONSTELLATION BRANDS</t>
        </is>
      </c>
      <c r="U23" s="25" t="n">
        <v>5</v>
      </c>
      <c r="V23" s="17" t="inlineStr">
        <is>
          <t>No</t>
        </is>
      </c>
      <c r="W23" s="17" t="inlineStr">
        <is>
          <t>Constellation (152)</t>
        </is>
      </c>
      <c r="X23" s="17" t="inlineStr">
        <is>
          <t>—</t>
        </is>
      </c>
      <c r="Y23" s="19" t="inlineStr">
        <is>
          <t>View Photo</t>
        </is>
      </c>
    </row>
    <row r="24">
      <c r="A24" s="17" t="inlineStr">
        <is>
          <t>D0023</t>
        </is>
      </c>
      <c r="B24" s="17" t="inlineStr">
        <is>
          <t>07/14/2026</t>
        </is>
      </c>
      <c r="C24" s="17" t="inlineStr">
        <is>
          <t>07/14/2026 01:08 PM</t>
        </is>
      </c>
      <c r="D24" s="17" t="inlineStr">
        <is>
          <t>mickey obrien</t>
        </is>
      </c>
      <c r="E24" s="17" t="inlineStr">
        <is>
          <t>Sales Associate</t>
        </is>
      </c>
      <c r="F24" s="17" t="inlineStr">
        <is>
          <t>Michael Engel</t>
        </is>
      </c>
      <c r="G24" s="17" t="inlineStr">
        <is>
          <t>49066</t>
        </is>
      </c>
      <c r="H24" s="17" t="inlineStr">
        <is>
          <t>MITSUWA MARKET (A)</t>
        </is>
      </c>
      <c r="I24" s="17" t="inlineStr">
        <is>
          <t>EDGEWATER</t>
        </is>
      </c>
      <c r="J24" s="17" t="inlineStr">
        <is>
          <t>All Other: KIRIN BREWERY COMPANY</t>
        </is>
      </c>
      <c r="K24" s="25" t="n">
        <v>4</v>
      </c>
      <c r="L24" s="17" t="inlineStr">
        <is>
          <t>Gold (70+)</t>
        </is>
      </c>
      <c r="M24" s="18" t="n">
        <v>150</v>
      </c>
      <c r="N24" s="18" t="n">
        <v>150</v>
      </c>
      <c r="O24" s="17" t="inlineStr">
        <is>
          <t>All Other</t>
        </is>
      </c>
      <c r="P24" s="18" t="n">
        <v>600</v>
      </c>
      <c r="Q24" s="17" t="inlineStr">
        <is>
          <t>Yes</t>
        </is>
      </c>
      <c r="R24" s="17" t="inlineStr">
        <is>
          <t>KIRIN</t>
        </is>
      </c>
      <c r="S24" s="17" t="inlineStr">
        <is>
          <t>KIRIN</t>
        </is>
      </c>
      <c r="T24" s="17" t="inlineStr">
        <is>
          <t>KIRIN BREWERY COMPANY</t>
        </is>
      </c>
      <c r="U24" s="25" t="n">
        <v>1</v>
      </c>
      <c r="V24" s="17" t="inlineStr">
        <is>
          <t>No</t>
        </is>
      </c>
      <c r="W24" s="17" t="inlineStr">
        <is>
          <t>All Other: KIRIN BREWERY COMPANY (150)</t>
        </is>
      </c>
      <c r="X24" s="17" t="inlineStr">
        <is>
          <t>—</t>
        </is>
      </c>
      <c r="Y24" s="19" t="inlineStr">
        <is>
          <t>View Photo</t>
        </is>
      </c>
    </row>
    <row r="25">
      <c r="A25" s="17" t="inlineStr">
        <is>
          <t>D0024</t>
        </is>
      </c>
      <c r="B25" s="17" t="inlineStr">
        <is>
          <t>07/21/2026</t>
        </is>
      </c>
      <c r="C25" s="17" t="inlineStr">
        <is>
          <t>07/21/2026 03:07 PM</t>
        </is>
      </c>
      <c r="D25" s="17" t="inlineStr">
        <is>
          <t>mickey obrien</t>
        </is>
      </c>
      <c r="E25" s="17" t="inlineStr">
        <is>
          <t>Sales Associate</t>
        </is>
      </c>
      <c r="F25" s="17" t="inlineStr">
        <is>
          <t>Michael Engel</t>
        </is>
      </c>
      <c r="G25" s="17" t="inlineStr">
        <is>
          <t>58001</t>
        </is>
      </c>
      <c r="H25" s="17" t="inlineStr">
        <is>
          <t>TOTAL WINE &amp; MORE (RIVER EDGE)</t>
        </is>
      </c>
      <c r="I25" s="17" t="inlineStr">
        <is>
          <t>RIVER EDGE</t>
        </is>
      </c>
      <c r="J25" s="17" t="inlineStr">
        <is>
          <t>Molson Coors</t>
        </is>
      </c>
      <c r="K25" s="25" t="n">
        <v>4</v>
      </c>
      <c r="L25" s="17" t="inlineStr">
        <is>
          <t>Gold (70+)</t>
        </is>
      </c>
      <c r="M25" s="18" t="n">
        <v>150</v>
      </c>
      <c r="N25" s="18" t="n">
        <v>150</v>
      </c>
      <c r="O25" s="17" t="inlineStr">
        <is>
          <t>Priority</t>
        </is>
      </c>
      <c r="P25" s="18" t="n">
        <v>1000</v>
      </c>
      <c r="Q25" s="17" t="inlineStr">
        <is>
          <t>Yes</t>
        </is>
      </c>
      <c r="R25" s="17" t="inlineStr">
        <is>
          <t>MILLER LITE</t>
        </is>
      </c>
      <c r="S25" s="17" t="inlineStr">
        <is>
          <t>MILLER LITE</t>
        </is>
      </c>
      <c r="T25" s="17" t="inlineStr">
        <is>
          <t>MOLSON COORS BEVERAGE COMPANY</t>
        </is>
      </c>
      <c r="U25" s="25" t="n">
        <v>1</v>
      </c>
      <c r="V25" s="17" t="inlineStr">
        <is>
          <t>No</t>
        </is>
      </c>
      <c r="W25" s="17" t="inlineStr">
        <is>
          <t>Molson Coors (150)</t>
        </is>
      </c>
      <c r="X25" s="26" t="inlineStr">
        <is>
          <t>Possible duplicate</t>
        </is>
      </c>
      <c r="Y25" s="19" t="inlineStr">
        <is>
          <t>View Photo</t>
        </is>
      </c>
    </row>
    <row r="26">
      <c r="A26" s="17" t="inlineStr">
        <is>
          <t>D0025</t>
        </is>
      </c>
      <c r="B26" s="17" t="inlineStr">
        <is>
          <t>07/23/2026</t>
        </is>
      </c>
      <c r="C26" s="17" t="inlineStr">
        <is>
          <t>07/23/2026 12:12 PM</t>
        </is>
      </c>
      <c r="D26" s="17" t="inlineStr">
        <is>
          <t>mickey obrien</t>
        </is>
      </c>
      <c r="E26" s="17" t="inlineStr">
        <is>
          <t>Sales Associate</t>
        </is>
      </c>
      <c r="F26" s="17" t="inlineStr">
        <is>
          <t>Michael Engel</t>
        </is>
      </c>
      <c r="G26" s="17" t="inlineStr">
        <is>
          <t>14007</t>
        </is>
      </c>
      <c r="H26" s="17" t="inlineStr">
        <is>
          <t>TOTAL WINE &amp; MORE (TOTOWA)</t>
        </is>
      </c>
      <c r="I26" s="17" t="inlineStr">
        <is>
          <t>TOTOWA</t>
        </is>
      </c>
      <c r="J26" s="17" t="inlineStr">
        <is>
          <t>Molson Coors</t>
        </is>
      </c>
      <c r="K26" s="25" t="n">
        <v>4</v>
      </c>
      <c r="L26" s="17" t="inlineStr">
        <is>
          <t>Gold (70+)</t>
        </is>
      </c>
      <c r="M26" s="18" t="n">
        <v>150</v>
      </c>
      <c r="N26" s="18" t="n">
        <v>150</v>
      </c>
      <c r="O26" s="17" t="inlineStr">
        <is>
          <t>Priority</t>
        </is>
      </c>
      <c r="P26" s="18" t="n">
        <v>1000</v>
      </c>
      <c r="Q26" s="17" t="inlineStr">
        <is>
          <t>Yes</t>
        </is>
      </c>
      <c r="R26" s="17" t="inlineStr">
        <is>
          <t>MILLER LITE</t>
        </is>
      </c>
      <c r="S26" s="17" t="inlineStr">
        <is>
          <t>MILLER LITE</t>
        </is>
      </c>
      <c r="T26" s="17" t="inlineStr">
        <is>
          <t>MOLSON COORS BEVERAGE COMPANY</t>
        </is>
      </c>
      <c r="U26" s="25" t="n">
        <v>1</v>
      </c>
      <c r="V26" s="17" t="inlineStr">
        <is>
          <t>No</t>
        </is>
      </c>
      <c r="W26" s="17" t="inlineStr">
        <is>
          <t>Molson Coors (150)</t>
        </is>
      </c>
      <c r="X26" s="17" t="inlineStr">
        <is>
          <t>—</t>
        </is>
      </c>
      <c r="Y26" s="19" t="inlineStr">
        <is>
          <t>View Photo</t>
        </is>
      </c>
    </row>
    <row r="27">
      <c r="A27" s="17" t="inlineStr">
        <is>
          <t>D0026</t>
        </is>
      </c>
      <c r="B27" s="17" t="inlineStr">
        <is>
          <t>07/24/2026</t>
        </is>
      </c>
      <c r="C27" s="17" t="inlineStr">
        <is>
          <t>07/24/2026 11:49 AM</t>
        </is>
      </c>
      <c r="D27" s="17" t="inlineStr">
        <is>
          <t>John Neukum</t>
        </is>
      </c>
      <c r="E27" s="17" t="inlineStr">
        <is>
          <t>Sales Rep</t>
        </is>
      </c>
      <c r="F27" s="17" t="inlineStr">
        <is>
          <t>Michael Engel</t>
        </is>
      </c>
      <c r="G27" s="17" t="inlineStr">
        <is>
          <t>31019</t>
        </is>
      </c>
      <c r="H27" s="17" t="inlineStr">
        <is>
          <t>BJ'S WAREHOUSE E RUTHERFO</t>
        </is>
      </c>
      <c r="I27" s="17" t="inlineStr">
        <is>
          <t>EAST RUTHERFORD</t>
        </is>
      </c>
      <c r="J27" s="17" t="inlineStr">
        <is>
          <t>HUSA (Heineken USA)</t>
        </is>
      </c>
      <c r="K27" s="25" t="n">
        <v>4</v>
      </c>
      <c r="L27" s="17" t="inlineStr">
        <is>
          <t>Gold (70+)</t>
        </is>
      </c>
      <c r="M27" s="18" t="n">
        <v>150</v>
      </c>
      <c r="N27" s="18" t="n">
        <v>90</v>
      </c>
      <c r="O27" s="17" t="inlineStr">
        <is>
          <t>Priority</t>
        </is>
      </c>
      <c r="P27" s="18" t="n">
        <v>1000</v>
      </c>
      <c r="Q27" s="17" t="inlineStr">
        <is>
          <t>Yes</t>
        </is>
      </c>
      <c r="R27" s="17" t="inlineStr">
        <is>
          <t>RED STRIPE</t>
        </is>
      </c>
      <c r="S27" s="17" t="inlineStr">
        <is>
          <t>RED STRIPE, YUENGLING BREWERY</t>
        </is>
      </c>
      <c r="T27" s="17" t="inlineStr">
        <is>
          <t>HEINEKEN, YUENGLING BREWERY</t>
        </is>
      </c>
      <c r="U27" s="25" t="n">
        <v>2</v>
      </c>
      <c r="V27" s="17" t="inlineStr">
        <is>
          <t>Yes</t>
        </is>
      </c>
      <c r="W27" s="17" t="inlineStr">
        <is>
          <t>HUSA (Heineken USA) (90) + Yuengling (60)</t>
        </is>
      </c>
      <c r="X27" s="17" t="inlineStr">
        <is>
          <t>—</t>
        </is>
      </c>
      <c r="Y27" s="19" t="inlineStr">
        <is>
          <t>View Photo</t>
        </is>
      </c>
    </row>
    <row r="28">
      <c r="A28" s="17" t="inlineStr">
        <is>
          <t>D0027</t>
        </is>
      </c>
      <c r="B28" s="17" t="inlineStr">
        <is>
          <t>08/19/2026</t>
        </is>
      </c>
      <c r="C28" s="17" t="inlineStr">
        <is>
          <t>08/19/2026 11:13 AM</t>
        </is>
      </c>
      <c r="D28" s="17" t="inlineStr">
        <is>
          <t>Matthew Powierski</t>
        </is>
      </c>
      <c r="E28" s="17" t="inlineStr">
        <is>
          <t>Sales Rep</t>
        </is>
      </c>
      <c r="F28" s="17" t="inlineStr">
        <is>
          <t>Denise Montes</t>
        </is>
      </c>
      <c r="G28" s="17" t="inlineStr">
        <is>
          <t>36007</t>
        </is>
      </c>
      <c r="H28" s="17" t="inlineStr">
        <is>
          <t>SHOP RITE OF WALLINGTON</t>
        </is>
      </c>
      <c r="I28" s="17" t="inlineStr">
        <is>
          <t>WALLINGTON</t>
        </is>
      </c>
      <c r="J28" s="17" t="inlineStr">
        <is>
          <t>HUSA (Heineken USA)</t>
        </is>
      </c>
      <c r="K28" s="25" t="n">
        <v>4</v>
      </c>
      <c r="L28" s="17" t="inlineStr">
        <is>
          <t>Gold (70+)</t>
        </is>
      </c>
      <c r="M28" s="18" t="n">
        <v>150</v>
      </c>
      <c r="N28" s="18" t="n">
        <v>150</v>
      </c>
      <c r="O28" s="17" t="inlineStr">
        <is>
          <t>Priority</t>
        </is>
      </c>
      <c r="P28" s="18" t="n">
        <v>1000</v>
      </c>
      <c r="Q28" s="17" t="inlineStr">
        <is>
          <t>Yes</t>
        </is>
      </c>
      <c r="R28" s="17" t="inlineStr">
        <is>
          <t>HEINEKEN</t>
        </is>
      </c>
      <c r="S28" s="17" t="inlineStr">
        <is>
          <t>HEINEKEN</t>
        </is>
      </c>
      <c r="T28" s="17" t="inlineStr">
        <is>
          <t>HEINEKEN</t>
        </is>
      </c>
      <c r="U28" s="25" t="n">
        <v>2</v>
      </c>
      <c r="V28" s="17" t="inlineStr">
        <is>
          <t>No</t>
        </is>
      </c>
      <c r="W28" s="17" t="inlineStr">
        <is>
          <t>HUSA (Heineken USA) (150)</t>
        </is>
      </c>
      <c r="X28" s="17" t="inlineStr">
        <is>
          <t>—</t>
        </is>
      </c>
      <c r="Y28" s="19" t="inlineStr">
        <is>
          <t>View Photo</t>
        </is>
      </c>
    </row>
    <row r="29">
      <c r="A29" s="17" t="inlineStr">
        <is>
          <t>D0028</t>
        </is>
      </c>
      <c r="B29" s="17" t="inlineStr">
        <is>
          <t>07/29/2026</t>
        </is>
      </c>
      <c r="C29" s="17" t="inlineStr">
        <is>
          <t>07/29/2026 09:17 AM</t>
        </is>
      </c>
      <c r="D29" s="17" t="inlineStr">
        <is>
          <t>Shane Barreca</t>
        </is>
      </c>
      <c r="E29" s="17" t="inlineStr">
        <is>
          <t>Sales Rep</t>
        </is>
      </c>
      <c r="F29" s="17" t="inlineStr">
        <is>
          <t>Paul Deady</t>
        </is>
      </c>
      <c r="G29" s="17" t="inlineStr">
        <is>
          <t>67004</t>
        </is>
      </c>
      <c r="H29" s="17" t="inlineStr">
        <is>
          <t>BEVERAGE BARN (A)</t>
        </is>
      </c>
      <c r="I29" s="17" t="inlineStr">
        <is>
          <t>NORTHVALE</t>
        </is>
      </c>
      <c r="J29" s="17" t="inlineStr">
        <is>
          <t>Boston Beer</t>
        </is>
      </c>
      <c r="K29" s="25" t="n">
        <v>4</v>
      </c>
      <c r="L29" s="17" t="inlineStr">
        <is>
          <t>Gold (70+)</t>
        </is>
      </c>
      <c r="M29" s="18" t="n">
        <v>149</v>
      </c>
      <c r="N29" s="18" t="n">
        <v>149</v>
      </c>
      <c r="O29" s="17" t="inlineStr">
        <is>
          <t>Priority</t>
        </is>
      </c>
      <c r="P29" s="18" t="n">
        <v>1000</v>
      </c>
      <c r="Q29" s="17" t="inlineStr">
        <is>
          <t>Yes</t>
        </is>
      </c>
      <c r="R29" s="17" t="inlineStr">
        <is>
          <t>SUN CRUISERS RTD</t>
        </is>
      </c>
      <c r="S29" s="17" t="inlineStr">
        <is>
          <t>SUN CRUISERS RTD</t>
        </is>
      </c>
      <c r="T29" s="17" t="inlineStr">
        <is>
          <t>BOSTON BEER COMPANY</t>
        </is>
      </c>
      <c r="U29" s="25" t="n">
        <v>2</v>
      </c>
      <c r="V29" s="17" t="inlineStr">
        <is>
          <t>No</t>
        </is>
      </c>
      <c r="W29" s="17" t="inlineStr">
        <is>
          <t>Boston Beer (149)</t>
        </is>
      </c>
      <c r="X29" s="17" t="inlineStr">
        <is>
          <t>—</t>
        </is>
      </c>
      <c r="Y29" s="19" t="inlineStr">
        <is>
          <t>View Photo</t>
        </is>
      </c>
    </row>
    <row r="30">
      <c r="A30" s="17" t="inlineStr">
        <is>
          <t>D0029</t>
        </is>
      </c>
      <c r="B30" s="17" t="inlineStr">
        <is>
          <t>07/24/2026</t>
        </is>
      </c>
      <c r="C30" s="17" t="inlineStr">
        <is>
          <t>07/24/2026 03:12 PM</t>
        </is>
      </c>
      <c r="D30" s="17" t="inlineStr">
        <is>
          <t>patrick infante</t>
        </is>
      </c>
      <c r="E30" s="17" t="inlineStr">
        <is>
          <t>Sales Associate</t>
        </is>
      </c>
      <c r="F30" s="17" t="inlineStr">
        <is>
          <t>Denise Montes</t>
        </is>
      </c>
      <c r="G30" s="17" t="inlineStr">
        <is>
          <t>31060</t>
        </is>
      </c>
      <c r="H30" s="17" t="inlineStr">
        <is>
          <t>BOTTLE REPUBLIC (RUTHERFORD)</t>
        </is>
      </c>
      <c r="I30" s="17" t="inlineStr">
        <is>
          <t>RUTHERFORD</t>
        </is>
      </c>
      <c r="J30" s="17" t="inlineStr">
        <is>
          <t>Molson Coors</t>
        </is>
      </c>
      <c r="K30" s="25" t="n">
        <v>4</v>
      </c>
      <c r="L30" s="17" t="inlineStr">
        <is>
          <t>Gold (70+)</t>
        </is>
      </c>
      <c r="M30" s="18" t="n">
        <v>142</v>
      </c>
      <c r="N30" s="18" t="n">
        <v>142</v>
      </c>
      <c r="O30" s="17" t="inlineStr">
        <is>
          <t>Priority</t>
        </is>
      </c>
      <c r="P30" s="18" t="n">
        <v>1000</v>
      </c>
      <c r="Q30" s="17" t="inlineStr">
        <is>
          <t>Yes</t>
        </is>
      </c>
      <c r="R30" s="17" t="inlineStr">
        <is>
          <t>COORS LIGHT</t>
        </is>
      </c>
      <c r="S30" s="17" t="inlineStr">
        <is>
          <t>COORS, COORS LIGHT</t>
        </is>
      </c>
      <c r="T30" s="17" t="inlineStr">
        <is>
          <t>MOLSON COORS BEVERAGE COMPANY</t>
        </is>
      </c>
      <c r="U30" s="25" t="n">
        <v>2</v>
      </c>
      <c r="V30" s="17" t="inlineStr">
        <is>
          <t>No</t>
        </is>
      </c>
      <c r="W30" s="17" t="inlineStr">
        <is>
          <t>Molson Coors (142)</t>
        </is>
      </c>
      <c r="X30" s="17" t="inlineStr">
        <is>
          <t>—</t>
        </is>
      </c>
      <c r="Y30" s="19" t="inlineStr">
        <is>
          <t>View Photo</t>
        </is>
      </c>
    </row>
    <row r="31">
      <c r="A31" s="17" t="inlineStr">
        <is>
          <t>D0030</t>
        </is>
      </c>
      <c r="B31" s="17" t="inlineStr">
        <is>
          <t>07/15/2026</t>
        </is>
      </c>
      <c r="C31" s="17" t="inlineStr">
        <is>
          <t>07/15/2026 03:03 PM</t>
        </is>
      </c>
      <c r="D31" s="17" t="inlineStr">
        <is>
          <t>mickey obrien</t>
        </is>
      </c>
      <c r="E31" s="17" t="inlineStr">
        <is>
          <t>Sales Associate</t>
        </is>
      </c>
      <c r="F31" s="17" t="inlineStr">
        <is>
          <t>Michael Engel</t>
        </is>
      </c>
      <c r="G31" s="17" t="inlineStr">
        <is>
          <t>14007</t>
        </is>
      </c>
      <c r="H31" s="17" t="inlineStr">
        <is>
          <t>TOTAL WINE &amp; MORE (TOTOWA)</t>
        </is>
      </c>
      <c r="I31" s="17" t="inlineStr">
        <is>
          <t>TOTOWA</t>
        </is>
      </c>
      <c r="J31" s="17" t="inlineStr">
        <is>
          <t>Boston Beer</t>
        </is>
      </c>
      <c r="K31" s="25" t="n">
        <v>4</v>
      </c>
      <c r="L31" s="17" t="inlineStr">
        <is>
          <t>Gold (70+)</t>
        </is>
      </c>
      <c r="M31" s="18" t="n">
        <v>141</v>
      </c>
      <c r="N31" s="18" t="n">
        <v>141</v>
      </c>
      <c r="O31" s="17" t="inlineStr">
        <is>
          <t>Priority</t>
        </is>
      </c>
      <c r="P31" s="18" t="n">
        <v>1000</v>
      </c>
      <c r="Q31" s="17" t="inlineStr">
        <is>
          <t>Yes</t>
        </is>
      </c>
      <c r="R31" s="17" t="inlineStr">
        <is>
          <t>SUN CRUISERS RTD</t>
        </is>
      </c>
      <c r="S31" s="17" t="inlineStr">
        <is>
          <t>SUN CRUISERS RTD</t>
        </is>
      </c>
      <c r="T31" s="17" t="inlineStr">
        <is>
          <t>BOSTON BEER COMPANY</t>
        </is>
      </c>
      <c r="U31" s="25" t="n">
        <v>3</v>
      </c>
      <c r="V31" s="17" t="inlineStr">
        <is>
          <t>No</t>
        </is>
      </c>
      <c r="W31" s="17" t="inlineStr">
        <is>
          <t>Boston Beer (141)</t>
        </is>
      </c>
      <c r="X31" s="17" t="inlineStr">
        <is>
          <t>—</t>
        </is>
      </c>
      <c r="Y31" s="19" t="inlineStr">
        <is>
          <t>View Photo</t>
        </is>
      </c>
    </row>
    <row r="32">
      <c r="A32" s="17" t="inlineStr">
        <is>
          <t>D0031</t>
        </is>
      </c>
      <c r="B32" s="17" t="inlineStr">
        <is>
          <t>07/08/2026</t>
        </is>
      </c>
      <c r="C32" s="17" t="inlineStr">
        <is>
          <t>07/08/2026 02:30 PM</t>
        </is>
      </c>
      <c r="D32" s="17" t="inlineStr">
        <is>
          <t>mickey obrien</t>
        </is>
      </c>
      <c r="E32" s="17" t="inlineStr">
        <is>
          <t>Sales Associate</t>
        </is>
      </c>
      <c r="F32" s="17" t="inlineStr">
        <is>
          <t>Michael Engel</t>
        </is>
      </c>
      <c r="G32" s="17" t="inlineStr">
        <is>
          <t>58001</t>
        </is>
      </c>
      <c r="H32" s="17" t="inlineStr">
        <is>
          <t>TOTAL WINE &amp; MORE (RIVER EDGE)</t>
        </is>
      </c>
      <c r="I32" s="17" t="inlineStr">
        <is>
          <t>RIVER EDGE</t>
        </is>
      </c>
      <c r="J32" s="17" t="inlineStr">
        <is>
          <t>Boston Beer</t>
        </is>
      </c>
      <c r="K32" s="25" t="n">
        <v>4</v>
      </c>
      <c r="L32" s="17" t="inlineStr">
        <is>
          <t>Gold (70+)</t>
        </is>
      </c>
      <c r="M32" s="18" t="n">
        <v>140</v>
      </c>
      <c r="N32" s="18" t="n">
        <v>140</v>
      </c>
      <c r="O32" s="17" t="inlineStr">
        <is>
          <t>Priority</t>
        </is>
      </c>
      <c r="P32" s="18" t="n">
        <v>1000</v>
      </c>
      <c r="Q32" s="17" t="inlineStr">
        <is>
          <t>Yes</t>
        </is>
      </c>
      <c r="R32" s="17" t="inlineStr">
        <is>
          <t>TWISTED TEA</t>
        </is>
      </c>
      <c r="S32" s="17" t="inlineStr">
        <is>
          <t>TWISTED TEA</t>
        </is>
      </c>
      <c r="T32" s="17" t="inlineStr">
        <is>
          <t>BOSTON BEER COMPANY</t>
        </is>
      </c>
      <c r="U32" s="25" t="n">
        <v>5</v>
      </c>
      <c r="V32" s="17" t="inlineStr">
        <is>
          <t>No</t>
        </is>
      </c>
      <c r="W32" s="17" t="inlineStr">
        <is>
          <t>Boston Beer (140)</t>
        </is>
      </c>
      <c r="X32" s="17" t="inlineStr">
        <is>
          <t>First of a repeat set</t>
        </is>
      </c>
      <c r="Y32" s="19" t="inlineStr">
        <is>
          <t>View Photo</t>
        </is>
      </c>
    </row>
    <row r="33">
      <c r="A33" s="17" t="inlineStr">
        <is>
          <t>D0032</t>
        </is>
      </c>
      <c r="B33" s="17" t="inlineStr">
        <is>
          <t>07/08/2026</t>
        </is>
      </c>
      <c r="C33" s="17" t="inlineStr">
        <is>
          <t>07/08/2026 02:51 PM</t>
        </is>
      </c>
      <c r="D33" s="17" t="inlineStr">
        <is>
          <t>Dave Ehlers</t>
        </is>
      </c>
      <c r="E33" s="17" t="inlineStr">
        <is>
          <t>Sales Rep</t>
        </is>
      </c>
      <c r="F33" s="17" t="inlineStr">
        <is>
          <t>Michael Engel</t>
        </is>
      </c>
      <c r="G33" s="17" t="inlineStr">
        <is>
          <t>58001</t>
        </is>
      </c>
      <c r="H33" s="17" t="inlineStr">
        <is>
          <t>TOTAL WINE &amp; MORE (RIVER EDGE)</t>
        </is>
      </c>
      <c r="I33" s="17" t="inlineStr">
        <is>
          <t>RIVER EDGE</t>
        </is>
      </c>
      <c r="J33" s="17" t="inlineStr">
        <is>
          <t>Boston Beer</t>
        </is>
      </c>
      <c r="K33" s="25" t="n">
        <v>4</v>
      </c>
      <c r="L33" s="17" t="inlineStr">
        <is>
          <t>Gold (70+)</t>
        </is>
      </c>
      <c r="M33" s="18" t="n">
        <v>140</v>
      </c>
      <c r="N33" s="18" t="n">
        <v>140</v>
      </c>
      <c r="O33" s="17" t="inlineStr">
        <is>
          <t>Priority</t>
        </is>
      </c>
      <c r="P33" s="18" t="n">
        <v>1000</v>
      </c>
      <c r="Q33" s="17" t="inlineStr">
        <is>
          <t>Yes</t>
        </is>
      </c>
      <c r="R33" s="17" t="inlineStr">
        <is>
          <t>TWISTED TEA</t>
        </is>
      </c>
      <c r="S33" s="17" t="inlineStr">
        <is>
          <t>TWISTED TEA</t>
        </is>
      </c>
      <c r="T33" s="17" t="inlineStr">
        <is>
          <t>BOSTON BEER COMPANY</t>
        </is>
      </c>
      <c r="U33" s="25" t="n">
        <v>5</v>
      </c>
      <c r="V33" s="17" t="inlineStr">
        <is>
          <t>No</t>
        </is>
      </c>
      <c r="W33" s="17" t="inlineStr">
        <is>
          <t>Boston Beer (140)</t>
        </is>
      </c>
      <c r="X33" s="26" t="inlineStr">
        <is>
          <t>Possible duplicate</t>
        </is>
      </c>
      <c r="Y33" s="19" t="inlineStr">
        <is>
          <t>View Photo</t>
        </is>
      </c>
    </row>
    <row r="34">
      <c r="A34" s="17" t="inlineStr">
        <is>
          <t>D0033</t>
        </is>
      </c>
      <c r="B34" s="17" t="inlineStr">
        <is>
          <t>07/27/2026</t>
        </is>
      </c>
      <c r="C34" s="17" t="inlineStr">
        <is>
          <t>07/27/2026 11:27 AM</t>
        </is>
      </c>
      <c r="D34" s="17" t="inlineStr">
        <is>
          <t>patrick infante</t>
        </is>
      </c>
      <c r="E34" s="17" t="inlineStr">
        <is>
          <t>Sales Associate</t>
        </is>
      </c>
      <c r="F34" s="17" t="inlineStr">
        <is>
          <t>Denise Montes</t>
        </is>
      </c>
      <c r="G34" s="17" t="inlineStr">
        <is>
          <t>31060</t>
        </is>
      </c>
      <c r="H34" s="17" t="inlineStr">
        <is>
          <t>BOTTLE REPUBLIC (RUTHERFORD)</t>
        </is>
      </c>
      <c r="I34" s="17" t="inlineStr">
        <is>
          <t>RUTHERFORD</t>
        </is>
      </c>
      <c r="J34" s="17" t="inlineStr">
        <is>
          <t>Molson Coors</t>
        </is>
      </c>
      <c r="K34" s="25" t="n">
        <v>4</v>
      </c>
      <c r="L34" s="17" t="inlineStr">
        <is>
          <t>Gold (70+)</t>
        </is>
      </c>
      <c r="M34" s="18" t="n">
        <v>140</v>
      </c>
      <c r="N34" s="18" t="n">
        <v>140</v>
      </c>
      <c r="O34" s="17" t="inlineStr">
        <is>
          <t>Priority</t>
        </is>
      </c>
      <c r="P34" s="18" t="n">
        <v>1000</v>
      </c>
      <c r="Q34" s="17" t="inlineStr">
        <is>
          <t>Yes</t>
        </is>
      </c>
      <c r="R34" s="17" t="inlineStr">
        <is>
          <t>COORS LIGHT</t>
        </is>
      </c>
      <c r="S34" s="17" t="inlineStr">
        <is>
          <t>COORS, COORS LIGHT</t>
        </is>
      </c>
      <c r="T34" s="17" t="inlineStr">
        <is>
          <t>MOLSON COORS BEVERAGE COMPANY</t>
        </is>
      </c>
      <c r="U34" s="25" t="n">
        <v>2</v>
      </c>
      <c r="V34" s="17" t="inlineStr">
        <is>
          <t>No</t>
        </is>
      </c>
      <c r="W34" s="17" t="inlineStr">
        <is>
          <t>Molson Coors (140)</t>
        </is>
      </c>
      <c r="X34" s="17" t="inlineStr">
        <is>
          <t>—</t>
        </is>
      </c>
      <c r="Y34" s="19" t="inlineStr">
        <is>
          <t>View Photo</t>
        </is>
      </c>
    </row>
    <row r="35">
      <c r="A35" s="17" t="inlineStr">
        <is>
          <t>D0034</t>
        </is>
      </c>
      <c r="B35" s="17" t="inlineStr">
        <is>
          <t>07/28/2026</t>
        </is>
      </c>
      <c r="C35" s="17" t="inlineStr">
        <is>
          <t>07/28/2026 11:58 AM</t>
        </is>
      </c>
      <c r="D35" s="17" t="inlineStr">
        <is>
          <t>Jay Tabasco</t>
        </is>
      </c>
      <c r="E35" s="17" t="inlineStr">
        <is>
          <t>Sales Associate</t>
        </is>
      </c>
      <c r="F35" s="17" t="inlineStr">
        <is>
          <t>Paul Deady</t>
        </is>
      </c>
      <c r="G35" s="17" t="inlineStr">
        <is>
          <t>67004</t>
        </is>
      </c>
      <c r="H35" s="17" t="inlineStr">
        <is>
          <t>BEVERAGE BARN (A)</t>
        </is>
      </c>
      <c r="I35" s="17" t="inlineStr">
        <is>
          <t>NORTHVALE</t>
        </is>
      </c>
      <c r="J35" s="17" t="inlineStr">
        <is>
          <t>Boston Beer</t>
        </is>
      </c>
      <c r="K35" s="25" t="n">
        <v>4</v>
      </c>
      <c r="L35" s="17" t="inlineStr">
        <is>
          <t>Gold (70+)</t>
        </is>
      </c>
      <c r="M35" s="18" t="n">
        <v>140</v>
      </c>
      <c r="N35" s="18" t="n">
        <v>140</v>
      </c>
      <c r="O35" s="17" t="inlineStr">
        <is>
          <t>Priority</t>
        </is>
      </c>
      <c r="P35" s="18" t="n">
        <v>1000</v>
      </c>
      <c r="Q35" s="17" t="inlineStr">
        <is>
          <t>Yes</t>
        </is>
      </c>
      <c r="R35" s="17" t="inlineStr">
        <is>
          <t>SUN CRUISERS RTD</t>
        </is>
      </c>
      <c r="S35" s="17" t="inlineStr">
        <is>
          <t>SUN CRUISERS RTD</t>
        </is>
      </c>
      <c r="T35" s="17" t="inlineStr">
        <is>
          <t>BOSTON BEER COMPANY</t>
        </is>
      </c>
      <c r="U35" s="25" t="n">
        <v>1</v>
      </c>
      <c r="V35" s="17" t="inlineStr">
        <is>
          <t>No</t>
        </is>
      </c>
      <c r="W35" s="17" t="inlineStr">
        <is>
          <t>Boston Beer (140)</t>
        </is>
      </c>
      <c r="X35" s="26" t="inlineStr">
        <is>
          <t>Possible duplicate</t>
        </is>
      </c>
      <c r="Y35" s="19" t="inlineStr">
        <is>
          <t>View Photo</t>
        </is>
      </c>
    </row>
    <row r="36">
      <c r="A36" s="17" t="inlineStr">
        <is>
          <t>D0035</t>
        </is>
      </c>
      <c r="B36" s="17" t="inlineStr">
        <is>
          <t>07/30/2026</t>
        </is>
      </c>
      <c r="C36" s="17" t="inlineStr">
        <is>
          <t>07/30/2026 05:26 PM</t>
        </is>
      </c>
      <c r="D36" s="17" t="inlineStr">
        <is>
          <t>patrick infante</t>
        </is>
      </c>
      <c r="E36" s="17" t="inlineStr">
        <is>
          <t>Sales Associate</t>
        </is>
      </c>
      <c r="F36" s="17" t="inlineStr">
        <is>
          <t>Denise Montes</t>
        </is>
      </c>
      <c r="G36" s="17" t="inlineStr">
        <is>
          <t>23004</t>
        </is>
      </c>
      <c r="H36" s="17" t="inlineStr">
        <is>
          <t>SHOP RITE WINES/SPIRITS</t>
        </is>
      </c>
      <c r="I36" s="17" t="inlineStr">
        <is>
          <t>CLIFTON</t>
        </is>
      </c>
      <c r="J36" s="17" t="inlineStr">
        <is>
          <t>Constellation</t>
        </is>
      </c>
      <c r="K36" s="25" t="n">
        <v>4</v>
      </c>
      <c r="L36" s="17" t="inlineStr">
        <is>
          <t>Gold (70+)</t>
        </is>
      </c>
      <c r="M36" s="18" t="n">
        <v>140</v>
      </c>
      <c r="N36" s="18" t="n">
        <v>140</v>
      </c>
      <c r="O36" s="17" t="inlineStr">
        <is>
          <t>Priority</t>
        </is>
      </c>
      <c r="P36" s="18" t="n">
        <v>1000</v>
      </c>
      <c r="Q36" s="17" t="inlineStr">
        <is>
          <t>Yes</t>
        </is>
      </c>
      <c r="R36" s="17" t="inlineStr">
        <is>
          <t>MODELO CERVEZA</t>
        </is>
      </c>
      <c r="S36" s="17" t="inlineStr">
        <is>
          <t>MODELO CERVEZA</t>
        </is>
      </c>
      <c r="T36" s="17" t="inlineStr">
        <is>
          <t>CONSTELLATION BRANDS</t>
        </is>
      </c>
      <c r="U36" s="25" t="n">
        <v>1</v>
      </c>
      <c r="V36" s="17" t="inlineStr">
        <is>
          <t>No</t>
        </is>
      </c>
      <c r="W36" s="17" t="inlineStr">
        <is>
          <t>Constellation (140)</t>
        </is>
      </c>
      <c r="X36" s="26" t="inlineStr">
        <is>
          <t>Possible duplicate</t>
        </is>
      </c>
      <c r="Y36" s="19" t="inlineStr">
        <is>
          <t>View Photo</t>
        </is>
      </c>
    </row>
    <row r="37">
      <c r="A37" s="17" t="inlineStr">
        <is>
          <t>D0036</t>
        </is>
      </c>
      <c r="B37" s="17" t="inlineStr">
        <is>
          <t>07/21/2026</t>
        </is>
      </c>
      <c r="C37" s="17" t="inlineStr">
        <is>
          <t>07/21/2026 09:56 AM</t>
        </is>
      </c>
      <c r="D37" s="17" t="inlineStr">
        <is>
          <t>mickey obrien</t>
        </is>
      </c>
      <c r="E37" s="17" t="inlineStr">
        <is>
          <t>Sales Associate</t>
        </is>
      </c>
      <c r="F37" s="17" t="inlineStr">
        <is>
          <t>Michael Engel</t>
        </is>
      </c>
      <c r="G37" s="17" t="inlineStr">
        <is>
          <t>83010</t>
        </is>
      </c>
      <c r="H37" s="17" t="inlineStr">
        <is>
          <t>BOTTLE KING (A) GLEN ROCK</t>
        </is>
      </c>
      <c r="I37" s="17" t="inlineStr">
        <is>
          <t>GLEN ROCK</t>
        </is>
      </c>
      <c r="J37" s="17" t="inlineStr">
        <is>
          <t>Boston Beer</t>
        </is>
      </c>
      <c r="K37" s="25" t="n">
        <v>4</v>
      </c>
      <c r="L37" s="17" t="inlineStr">
        <is>
          <t>Gold (70+)</t>
        </is>
      </c>
      <c r="M37" s="18" t="n">
        <v>135</v>
      </c>
      <c r="N37" s="18" t="n">
        <v>75</v>
      </c>
      <c r="O37" s="17" t="inlineStr">
        <is>
          <t>Priority</t>
        </is>
      </c>
      <c r="P37" s="18" t="n">
        <v>1000</v>
      </c>
      <c r="Q37" s="17" t="inlineStr">
        <is>
          <t>Yes</t>
        </is>
      </c>
      <c r="R37" s="17" t="inlineStr">
        <is>
          <t>TRULY</t>
        </is>
      </c>
      <c r="S37" s="17" t="inlineStr">
        <is>
          <t>COORS LIGHT, TRULY</t>
        </is>
      </c>
      <c r="T37" s="17" t="inlineStr">
        <is>
          <t>BOSTON BEER COMPANY, MOLSON COORS BEVERAGE COMPANY</t>
        </is>
      </c>
      <c r="U37" s="25" t="n">
        <v>2</v>
      </c>
      <c r="V37" s="17" t="inlineStr">
        <is>
          <t>Yes</t>
        </is>
      </c>
      <c r="W37" s="17" t="inlineStr">
        <is>
          <t>Boston Beer (75) + Molson Coors (60)</t>
        </is>
      </c>
      <c r="X37" s="17" t="inlineStr">
        <is>
          <t>—</t>
        </is>
      </c>
      <c r="Y37" s="19" t="inlineStr">
        <is>
          <t>View Photo</t>
        </is>
      </c>
    </row>
    <row r="38">
      <c r="A38" s="17" t="inlineStr">
        <is>
          <t>D0037</t>
        </is>
      </c>
      <c r="B38" s="17" t="inlineStr">
        <is>
          <t>08/31/2026</t>
        </is>
      </c>
      <c r="C38" s="17" t="inlineStr">
        <is>
          <t>08/31/2026 10:09 AM</t>
        </is>
      </c>
      <c r="D38" s="17" t="inlineStr">
        <is>
          <t>Mike Ast</t>
        </is>
      </c>
      <c r="E38" s="17" t="inlineStr">
        <is>
          <t>Sales Rep</t>
        </is>
      </c>
      <c r="F38" s="17" t="inlineStr">
        <is>
          <t>Paul Deady</t>
        </is>
      </c>
      <c r="G38" s="17" t="inlineStr">
        <is>
          <t>11003</t>
        </is>
      </c>
      <c r="H38" s="17" t="inlineStr">
        <is>
          <t>LINCOLN PARK FINE WINES &amp; SPIRITS</t>
        </is>
      </c>
      <c r="I38" s="17" t="inlineStr">
        <is>
          <t>LINCOLN PARK</t>
        </is>
      </c>
      <c r="J38" s="17" t="inlineStr">
        <is>
          <t>Boston Beer</t>
        </is>
      </c>
      <c r="K38" s="25" t="n">
        <v>4</v>
      </c>
      <c r="L38" s="17" t="inlineStr">
        <is>
          <t>Gold (70+)</t>
        </is>
      </c>
      <c r="M38" s="18" t="n">
        <v>135</v>
      </c>
      <c r="N38" s="18" t="n">
        <v>135</v>
      </c>
      <c r="O38" s="17" t="inlineStr">
        <is>
          <t>Priority</t>
        </is>
      </c>
      <c r="P38" s="18" t="n">
        <v>1000</v>
      </c>
      <c r="Q38" s="17" t="inlineStr">
        <is>
          <t>Yes</t>
        </is>
      </c>
      <c r="R38" s="17" t="inlineStr">
        <is>
          <t>SUN CRUISERS RTD</t>
        </is>
      </c>
      <c r="S38" s="17" t="inlineStr">
        <is>
          <t>SUN CRUISERS RTD</t>
        </is>
      </c>
      <c r="T38" s="17" t="inlineStr">
        <is>
          <t>BOSTON BEER COMPANY</t>
        </is>
      </c>
      <c r="U38" s="25" t="n">
        <v>3</v>
      </c>
      <c r="V38" s="17" t="inlineStr">
        <is>
          <t>No</t>
        </is>
      </c>
      <c r="W38" s="17" t="inlineStr">
        <is>
          <t>Boston Beer (135)</t>
        </is>
      </c>
      <c r="X38" s="17" t="inlineStr">
        <is>
          <t>—</t>
        </is>
      </c>
      <c r="Y38" s="19" t="inlineStr">
        <is>
          <t>View Photo</t>
        </is>
      </c>
    </row>
    <row r="39">
      <c r="A39" s="17" t="inlineStr">
        <is>
          <t>D0038</t>
        </is>
      </c>
      <c r="B39" s="17" t="inlineStr">
        <is>
          <t>07/21/2026</t>
        </is>
      </c>
      <c r="C39" s="17" t="inlineStr">
        <is>
          <t>07/21/2026 04:16 PM</t>
        </is>
      </c>
      <c r="D39" s="17" t="inlineStr">
        <is>
          <t>Mike Ast</t>
        </is>
      </c>
      <c r="E39" s="17" t="inlineStr">
        <is>
          <t>Sales Rep</t>
        </is>
      </c>
      <c r="F39" s="17" t="inlineStr">
        <is>
          <t>Paul Deady</t>
        </is>
      </c>
      <c r="G39" s="17" t="inlineStr">
        <is>
          <t>11003</t>
        </is>
      </c>
      <c r="H39" s="17" t="inlineStr">
        <is>
          <t>LINCOLN PARK FINE WINES &amp; SPIRITS</t>
        </is>
      </c>
      <c r="I39" s="17" t="inlineStr">
        <is>
          <t>LINCOLN PARK</t>
        </is>
      </c>
      <c r="J39" s="17" t="inlineStr">
        <is>
          <t>Molson Coors</t>
        </is>
      </c>
      <c r="K39" s="25" t="n">
        <v>4</v>
      </c>
      <c r="L39" s="17" t="inlineStr">
        <is>
          <t>Gold (70+)</t>
        </is>
      </c>
      <c r="M39" s="18" t="n">
        <v>130</v>
      </c>
      <c r="N39" s="18" t="n">
        <v>130</v>
      </c>
      <c r="O39" s="17" t="inlineStr">
        <is>
          <t>Priority</t>
        </is>
      </c>
      <c r="P39" s="18" t="n">
        <v>1000</v>
      </c>
      <c r="Q39" s="17" t="inlineStr">
        <is>
          <t>Yes</t>
        </is>
      </c>
      <c r="R39" s="17" t="inlineStr">
        <is>
          <t>MILLER LITE</t>
        </is>
      </c>
      <c r="S39" s="17" t="inlineStr">
        <is>
          <t>MILLER LITE</t>
        </is>
      </c>
      <c r="T39" s="17" t="inlineStr">
        <is>
          <t>MOLSON COORS BEVERAGE COMPANY</t>
        </is>
      </c>
      <c r="U39" s="25" t="n">
        <v>2</v>
      </c>
      <c r="V39" s="17" t="inlineStr">
        <is>
          <t>No</t>
        </is>
      </c>
      <c r="W39" s="17" t="inlineStr">
        <is>
          <t>Molson Coors (130)</t>
        </is>
      </c>
      <c r="X39" s="26" t="inlineStr">
        <is>
          <t>Possible duplicate</t>
        </is>
      </c>
      <c r="Y39" s="19" t="inlineStr">
        <is>
          <t>View Photo</t>
        </is>
      </c>
    </row>
    <row r="40">
      <c r="A40" s="17" t="inlineStr">
        <is>
          <t>D0039</t>
        </is>
      </c>
      <c r="B40" s="17" t="inlineStr">
        <is>
          <t>07/10/2026</t>
        </is>
      </c>
      <c r="C40" s="17" t="inlineStr">
        <is>
          <t>07/10/2026 01:45 PM</t>
        </is>
      </c>
      <c r="D40" s="17" t="inlineStr">
        <is>
          <t>Dave Ehlers</t>
        </is>
      </c>
      <c r="E40" s="17" t="inlineStr">
        <is>
          <t>Sales Rep</t>
        </is>
      </c>
      <c r="F40" s="17" t="inlineStr">
        <is>
          <t>Michael Engel</t>
        </is>
      </c>
      <c r="G40" s="17" t="inlineStr">
        <is>
          <t>14007</t>
        </is>
      </c>
      <c r="H40" s="17" t="inlineStr">
        <is>
          <t>TOTAL WINE &amp; MORE (TOTOWA)</t>
        </is>
      </c>
      <c r="I40" s="17" t="inlineStr">
        <is>
          <t>TOTOWA</t>
        </is>
      </c>
      <c r="J40" s="17" t="inlineStr">
        <is>
          <t>Mark Anthony</t>
        </is>
      </c>
      <c r="K40" s="25" t="n">
        <v>4</v>
      </c>
      <c r="L40" s="17" t="inlineStr">
        <is>
          <t>Gold (70+)</t>
        </is>
      </c>
      <c r="M40" s="18" t="n">
        <v>127</v>
      </c>
      <c r="N40" s="18" t="n">
        <v>127</v>
      </c>
      <c r="O40" s="17" t="inlineStr">
        <is>
          <t>Priority</t>
        </is>
      </c>
      <c r="P40" s="18" t="n">
        <v>1000</v>
      </c>
      <c r="Q40" s="17" t="inlineStr">
        <is>
          <t>Yes</t>
        </is>
      </c>
      <c r="R40" s="17" t="inlineStr">
        <is>
          <t>WHITE CLAW ORIGINAL HARD SELTZER</t>
        </is>
      </c>
      <c r="S40" s="17" t="inlineStr">
        <is>
          <t>WHITE CLAW ORIGINAL HARD SELTZER, WHITE CLAW SURF HARD SELTZER, WHITE CLAW SURGE HARD SELTZER</t>
        </is>
      </c>
      <c r="T40" s="17" t="inlineStr">
        <is>
          <t>MARK ANTHONY GROUP</t>
        </is>
      </c>
      <c r="U40" s="25" t="n">
        <v>5</v>
      </c>
      <c r="V40" s="17" t="inlineStr">
        <is>
          <t>No</t>
        </is>
      </c>
      <c r="W40" s="17" t="inlineStr">
        <is>
          <t>Mark Anthony (127)</t>
        </is>
      </c>
      <c r="X40" s="17" t="inlineStr">
        <is>
          <t>—</t>
        </is>
      </c>
      <c r="Y40" s="19" t="inlineStr">
        <is>
          <t>View Photo</t>
        </is>
      </c>
    </row>
    <row r="41">
      <c r="A41" s="17" t="inlineStr">
        <is>
          <t>D0040</t>
        </is>
      </c>
      <c r="B41" s="17" t="inlineStr">
        <is>
          <t>07/20/2026</t>
        </is>
      </c>
      <c r="C41" s="17" t="inlineStr">
        <is>
          <t>07/20/2026 10:32 AM</t>
        </is>
      </c>
      <c r="D41" s="17" t="inlineStr">
        <is>
          <t>Nicholas Micco</t>
        </is>
      </c>
      <c r="E41" s="17" t="inlineStr">
        <is>
          <t>Sales Associate</t>
        </is>
      </c>
      <c r="F41" s="17" t="inlineStr">
        <is>
          <t>Michael Engel</t>
        </is>
      </c>
      <c r="G41" s="17" t="inlineStr">
        <is>
          <t>38040</t>
        </is>
      </c>
      <c r="H41" s="17" t="inlineStr">
        <is>
          <t>BUY RITE DISCOUNT LIQUOR</t>
        </is>
      </c>
      <c r="I41" s="17" t="inlineStr">
        <is>
          <t>LODI</t>
        </is>
      </c>
      <c r="J41" s="17" t="inlineStr">
        <is>
          <t>Constellation</t>
        </is>
      </c>
      <c r="K41" s="25" t="n">
        <v>4</v>
      </c>
      <c r="L41" s="17" t="inlineStr">
        <is>
          <t>Gold (70+)</t>
        </is>
      </c>
      <c r="M41" s="18" t="n">
        <v>127</v>
      </c>
      <c r="N41" s="18" t="n">
        <v>127</v>
      </c>
      <c r="O41" s="17" t="inlineStr">
        <is>
          <t>Priority</t>
        </is>
      </c>
      <c r="P41" s="18" t="n">
        <v>1000</v>
      </c>
      <c r="Q41" s="17" t="inlineStr">
        <is>
          <t>Yes</t>
        </is>
      </c>
      <c r="R41" s="17" t="inlineStr">
        <is>
          <t>MODELO CERVEZA</t>
        </is>
      </c>
      <c r="S41" s="17" t="inlineStr">
        <is>
          <t>MODELO CERVEZA</t>
        </is>
      </c>
      <c r="T41" s="17" t="inlineStr">
        <is>
          <t>CONSTELLATION BRANDS</t>
        </is>
      </c>
      <c r="U41" s="25" t="n">
        <v>5</v>
      </c>
      <c r="V41" s="17" t="inlineStr">
        <is>
          <t>No</t>
        </is>
      </c>
      <c r="W41" s="17" t="inlineStr">
        <is>
          <t>Constellation (127)</t>
        </is>
      </c>
      <c r="X41" s="17" t="inlineStr">
        <is>
          <t>—</t>
        </is>
      </c>
      <c r="Y41" s="19" t="inlineStr">
        <is>
          <t>View Photo</t>
        </is>
      </c>
    </row>
    <row r="42">
      <c r="A42" s="17" t="inlineStr">
        <is>
          <t>D0041</t>
        </is>
      </c>
      <c r="B42" s="17" t="inlineStr">
        <is>
          <t>07/15/2026</t>
        </is>
      </c>
      <c r="C42" s="17" t="inlineStr">
        <is>
          <t>07/15/2026 11:18 AM</t>
        </is>
      </c>
      <c r="D42" s="17" t="inlineStr">
        <is>
          <t>Nicholas Micco</t>
        </is>
      </c>
      <c r="E42" s="17" t="inlineStr">
        <is>
          <t>Sales Associate</t>
        </is>
      </c>
      <c r="F42" s="17" t="inlineStr">
        <is>
          <t>Michael Engel</t>
        </is>
      </c>
      <c r="G42" s="17" t="inlineStr">
        <is>
          <t>76010</t>
        </is>
      </c>
      <c r="H42" s="17" t="inlineStr">
        <is>
          <t>USA WINE TRADERS CLUB (SADDLE BROOK)</t>
        </is>
      </c>
      <c r="I42" s="17" t="inlineStr">
        <is>
          <t>SADDLE BROOK</t>
        </is>
      </c>
      <c r="J42" s="17" t="inlineStr">
        <is>
          <t>Constellation</t>
        </is>
      </c>
      <c r="K42" s="25" t="n">
        <v>4</v>
      </c>
      <c r="L42" s="17" t="inlineStr">
        <is>
          <t>Gold (70+)</t>
        </is>
      </c>
      <c r="M42" s="18" t="n">
        <v>124</v>
      </c>
      <c r="N42" s="18" t="n">
        <v>124</v>
      </c>
      <c r="O42" s="17" t="inlineStr">
        <is>
          <t>Priority</t>
        </is>
      </c>
      <c r="P42" s="18" t="n">
        <v>1000</v>
      </c>
      <c r="Q42" s="17" t="inlineStr">
        <is>
          <t>Yes</t>
        </is>
      </c>
      <c r="R42" s="17" t="inlineStr">
        <is>
          <t>CORONA EXTRA</t>
        </is>
      </c>
      <c r="S42" s="17" t="inlineStr">
        <is>
          <t>CORONA EXTRA</t>
        </is>
      </c>
      <c r="T42" s="17" t="inlineStr">
        <is>
          <t>CONSTELLATION BRANDS</t>
        </is>
      </c>
      <c r="U42" s="25" t="n">
        <v>5</v>
      </c>
      <c r="V42" s="17" t="inlineStr">
        <is>
          <t>No</t>
        </is>
      </c>
      <c r="W42" s="17" t="inlineStr">
        <is>
          <t>Constellation (124)</t>
        </is>
      </c>
      <c r="X42" s="17" t="inlineStr">
        <is>
          <t>First of a repeat set</t>
        </is>
      </c>
      <c r="Y42" s="19" t="inlineStr">
        <is>
          <t>View Photo</t>
        </is>
      </c>
    </row>
    <row r="43">
      <c r="A43" s="17" t="inlineStr">
        <is>
          <t>D0042</t>
        </is>
      </c>
      <c r="B43" s="17" t="inlineStr">
        <is>
          <t>07/23/2026</t>
        </is>
      </c>
      <c r="C43" s="17" t="inlineStr">
        <is>
          <t>07/23/2026 01:49 PM</t>
        </is>
      </c>
      <c r="D43" s="17" t="inlineStr">
        <is>
          <t>Javier Melo</t>
        </is>
      </c>
      <c r="E43" s="17" t="inlineStr">
        <is>
          <t>Sales Rep</t>
        </is>
      </c>
      <c r="F43" s="17" t="inlineStr">
        <is>
          <t>Denise Montes</t>
        </is>
      </c>
      <c r="G43" s="17" t="inlineStr">
        <is>
          <t>21044</t>
        </is>
      </c>
      <c r="H43" s="17" t="inlineStr">
        <is>
          <t>FARM BOY</t>
        </is>
      </c>
      <c r="I43" s="17" t="inlineStr">
        <is>
          <t>PATERSON</t>
        </is>
      </c>
      <c r="J43" s="17" t="inlineStr">
        <is>
          <t>Constellation</t>
        </is>
      </c>
      <c r="K43" s="25" t="n">
        <v>4</v>
      </c>
      <c r="L43" s="17" t="inlineStr">
        <is>
          <t>Gold (70+)</t>
        </is>
      </c>
      <c r="M43" s="18" t="n">
        <v>120</v>
      </c>
      <c r="N43" s="18" t="n">
        <v>120</v>
      </c>
      <c r="O43" s="17" t="inlineStr">
        <is>
          <t>Priority</t>
        </is>
      </c>
      <c r="P43" s="18" t="n">
        <v>1000</v>
      </c>
      <c r="Q43" s="17" t="inlineStr">
        <is>
          <t>Yes</t>
        </is>
      </c>
      <c r="R43" s="17" t="inlineStr">
        <is>
          <t>CORONA</t>
        </is>
      </c>
      <c r="S43" s="17" t="inlineStr">
        <is>
          <t>CORONA, CORONA EXTRA</t>
        </is>
      </c>
      <c r="T43" s="17" t="inlineStr">
        <is>
          <t>CONSTELLATION BRANDS</t>
        </is>
      </c>
      <c r="U43" s="25" t="n">
        <v>2</v>
      </c>
      <c r="V43" s="17" t="inlineStr">
        <is>
          <t>No</t>
        </is>
      </c>
      <c r="W43" s="17" t="inlineStr">
        <is>
          <t>Constellation (120)</t>
        </is>
      </c>
      <c r="X43" s="17" t="inlineStr">
        <is>
          <t>—</t>
        </is>
      </c>
      <c r="Y43" s="19" t="inlineStr">
        <is>
          <t>View Photo</t>
        </is>
      </c>
    </row>
    <row r="44">
      <c r="A44" s="17" t="inlineStr">
        <is>
          <t>D0043</t>
        </is>
      </c>
      <c r="B44" s="17" t="inlineStr">
        <is>
          <t>07/29/2026</t>
        </is>
      </c>
      <c r="C44" s="17" t="inlineStr">
        <is>
          <t>07/29/2026 04:29 PM</t>
        </is>
      </c>
      <c r="D44" s="17" t="inlineStr">
        <is>
          <t>mickey obrien</t>
        </is>
      </c>
      <c r="E44" s="17" t="inlineStr">
        <is>
          <t>Sales Associate</t>
        </is>
      </c>
      <c r="F44" s="17" t="inlineStr">
        <is>
          <t>Michael Engel</t>
        </is>
      </c>
      <c r="G44" s="17" t="inlineStr">
        <is>
          <t>83010</t>
        </is>
      </c>
      <c r="H44" s="17" t="inlineStr">
        <is>
          <t>BOTTLE KING (A) GLEN ROCK</t>
        </is>
      </c>
      <c r="I44" s="17" t="inlineStr">
        <is>
          <t>GLEN ROCK</t>
        </is>
      </c>
      <c r="J44" s="17" t="inlineStr">
        <is>
          <t>Boston Beer</t>
        </is>
      </c>
      <c r="K44" s="25" t="n">
        <v>4</v>
      </c>
      <c r="L44" s="17" t="inlineStr">
        <is>
          <t>Gold (70+)</t>
        </is>
      </c>
      <c r="M44" s="18" t="n">
        <v>120</v>
      </c>
      <c r="N44" s="18" t="n">
        <v>120</v>
      </c>
      <c r="O44" s="17" t="inlineStr">
        <is>
          <t>Priority</t>
        </is>
      </c>
      <c r="P44" s="18" t="n">
        <v>1000</v>
      </c>
      <c r="Q44" s="17" t="inlineStr">
        <is>
          <t>Yes</t>
        </is>
      </c>
      <c r="R44" s="17" t="inlineStr">
        <is>
          <t>SUN CRUISERS RTD</t>
        </is>
      </c>
      <c r="S44" s="17" t="inlineStr">
        <is>
          <t>SUN CRUISERS RTD</t>
        </is>
      </c>
      <c r="T44" s="17" t="inlineStr">
        <is>
          <t>BOSTON BEER COMPANY</t>
        </is>
      </c>
      <c r="U44" s="25" t="n">
        <v>2</v>
      </c>
      <c r="V44" s="17" t="inlineStr">
        <is>
          <t>No</t>
        </is>
      </c>
      <c r="W44" s="17" t="inlineStr">
        <is>
          <t>Boston Beer (120)</t>
        </is>
      </c>
      <c r="X44" s="17" t="inlineStr">
        <is>
          <t>—</t>
        </is>
      </c>
      <c r="Y44" s="19" t="inlineStr">
        <is>
          <t>View Photo</t>
        </is>
      </c>
    </row>
    <row r="45">
      <c r="A45" s="17" t="inlineStr">
        <is>
          <t>D0044</t>
        </is>
      </c>
      <c r="B45" s="17" t="inlineStr">
        <is>
          <t>07/30/2026</t>
        </is>
      </c>
      <c r="C45" s="17" t="inlineStr">
        <is>
          <t>07/30/2026 10:39 AM</t>
        </is>
      </c>
      <c r="D45" s="17" t="inlineStr">
        <is>
          <t>phil Ernst</t>
        </is>
      </c>
      <c r="E45" s="17" t="inlineStr">
        <is>
          <t>Sales Rep</t>
        </is>
      </c>
      <c r="F45" s="17" t="inlineStr">
        <is>
          <t>Michael Engel</t>
        </is>
      </c>
      <c r="G45" s="17" t="inlineStr">
        <is>
          <t>83010</t>
        </is>
      </c>
      <c r="H45" s="17" t="inlineStr">
        <is>
          <t>BOTTLE KING (A) GLEN ROCK</t>
        </is>
      </c>
      <c r="I45" s="17" t="inlineStr">
        <is>
          <t>GLEN ROCK</t>
        </is>
      </c>
      <c r="J45" s="17" t="inlineStr">
        <is>
          <t>Boston Beer</t>
        </is>
      </c>
      <c r="K45" s="25" t="n">
        <v>4</v>
      </c>
      <c r="L45" s="17" t="inlineStr">
        <is>
          <t>Gold (70+)</t>
        </is>
      </c>
      <c r="M45" s="18" t="n">
        <v>120</v>
      </c>
      <c r="N45" s="18" t="n">
        <v>120</v>
      </c>
      <c r="O45" s="17" t="inlineStr">
        <is>
          <t>Priority</t>
        </is>
      </c>
      <c r="P45" s="18" t="n">
        <v>1000</v>
      </c>
      <c r="Q45" s="17" t="inlineStr">
        <is>
          <t>Yes</t>
        </is>
      </c>
      <c r="R45" s="17" t="inlineStr">
        <is>
          <t>SUN CRUISERS RTD</t>
        </is>
      </c>
      <c r="S45" s="17" t="inlineStr">
        <is>
          <t>SUN CRUISERS RTD</t>
        </is>
      </c>
      <c r="T45" s="17" t="inlineStr">
        <is>
          <t>BOSTON BEER COMPANY</t>
        </is>
      </c>
      <c r="U45" s="25" t="n">
        <v>2</v>
      </c>
      <c r="V45" s="17" t="inlineStr">
        <is>
          <t>No</t>
        </is>
      </c>
      <c r="W45" s="17" t="inlineStr">
        <is>
          <t>Boston Beer (120)</t>
        </is>
      </c>
      <c r="X45" s="17" t="inlineStr">
        <is>
          <t>—</t>
        </is>
      </c>
      <c r="Y45" s="19" t="inlineStr">
        <is>
          <t>View Photo</t>
        </is>
      </c>
    </row>
    <row r="46">
      <c r="A46" s="17" t="inlineStr">
        <is>
          <t>D0045</t>
        </is>
      </c>
      <c r="B46" s="17" t="inlineStr">
        <is>
          <t>08/03/2026</t>
        </is>
      </c>
      <c r="C46" s="17" t="inlineStr">
        <is>
          <t>08/03/2026 03:42 PM</t>
        </is>
      </c>
      <c r="D46" s="17" t="inlineStr">
        <is>
          <t>phil Ernst</t>
        </is>
      </c>
      <c r="E46" s="17" t="inlineStr">
        <is>
          <t>Sales Rep</t>
        </is>
      </c>
      <c r="F46" s="17" t="inlineStr">
        <is>
          <t>Michael Engel</t>
        </is>
      </c>
      <c r="G46" s="17" t="inlineStr">
        <is>
          <t>43001</t>
        </is>
      </c>
      <c r="H46" s="17" t="inlineStr">
        <is>
          <t>CITY SUPERMARKET</t>
        </is>
      </c>
      <c r="I46" s="17" t="inlineStr">
        <is>
          <t>FAIRVIEW</t>
        </is>
      </c>
      <c r="J46" s="17" t="inlineStr">
        <is>
          <t>Constellation</t>
        </is>
      </c>
      <c r="K46" s="25" t="n">
        <v>4</v>
      </c>
      <c r="L46" s="17" t="inlineStr">
        <is>
          <t>Gold (70+)</t>
        </is>
      </c>
      <c r="M46" s="18" t="n">
        <v>120</v>
      </c>
      <c r="N46" s="18" t="n">
        <v>120</v>
      </c>
      <c r="O46" s="17" t="inlineStr">
        <is>
          <t>Priority</t>
        </is>
      </c>
      <c r="P46" s="18" t="n">
        <v>1000</v>
      </c>
      <c r="Q46" s="17" t="inlineStr">
        <is>
          <t>Yes</t>
        </is>
      </c>
      <c r="R46" s="17" t="inlineStr">
        <is>
          <t>CORONA</t>
        </is>
      </c>
      <c r="S46" s="17" t="inlineStr">
        <is>
          <t>CORONA, MODELO CERVEZA</t>
        </is>
      </c>
      <c r="T46" s="17" t="inlineStr">
        <is>
          <t>CONSTELLATION BRANDS</t>
        </is>
      </c>
      <c r="U46" s="25" t="n">
        <v>2</v>
      </c>
      <c r="V46" s="17" t="inlineStr">
        <is>
          <t>No</t>
        </is>
      </c>
      <c r="W46" s="17" t="inlineStr">
        <is>
          <t>Constellation (120)</t>
        </is>
      </c>
      <c r="X46" s="17" t="inlineStr">
        <is>
          <t>—</t>
        </is>
      </c>
      <c r="Y46" s="19" t="inlineStr">
        <is>
          <t>View Photo</t>
        </is>
      </c>
    </row>
    <row r="47">
      <c r="A47" s="17" t="inlineStr">
        <is>
          <t>D0046</t>
        </is>
      </c>
      <c r="B47" s="17" t="inlineStr">
        <is>
          <t>08/05/2026</t>
        </is>
      </c>
      <c r="C47" s="17" t="inlineStr">
        <is>
          <t>08/05/2026 02:39 PM</t>
        </is>
      </c>
      <c r="D47" s="17" t="inlineStr">
        <is>
          <t>Jay Tabasco</t>
        </is>
      </c>
      <c r="E47" s="17" t="inlineStr">
        <is>
          <t>Sales Associate</t>
        </is>
      </c>
      <c r="F47" s="17" t="inlineStr">
        <is>
          <t>Paul Deady</t>
        </is>
      </c>
      <c r="G47" s="17" t="inlineStr">
        <is>
          <t>70001</t>
        </is>
      </c>
      <c r="H47" s="17" t="inlineStr">
        <is>
          <t>MONTVALE WINE/LIQ &amp; BEER</t>
        </is>
      </c>
      <c r="I47" s="17" t="inlineStr">
        <is>
          <t>MONTVALE</t>
        </is>
      </c>
      <c r="J47" s="17" t="inlineStr">
        <is>
          <t>Mark Anthony</t>
        </is>
      </c>
      <c r="K47" s="25" t="n">
        <v>4</v>
      </c>
      <c r="L47" s="17" t="inlineStr">
        <is>
          <t>Gold (70+)</t>
        </is>
      </c>
      <c r="M47" s="18" t="n">
        <v>120</v>
      </c>
      <c r="N47" s="18" t="n">
        <v>120</v>
      </c>
      <c r="O47" s="17" t="inlineStr">
        <is>
          <t>Priority</t>
        </is>
      </c>
      <c r="P47" s="18" t="n">
        <v>1000</v>
      </c>
      <c r="Q47" s="17" t="inlineStr">
        <is>
          <t>Yes</t>
        </is>
      </c>
      <c r="R47" s="17" t="inlineStr">
        <is>
          <t>WHITE CLAW SURF HARD SELTZER</t>
        </is>
      </c>
      <c r="S47" s="17" t="inlineStr">
        <is>
          <t>WHITE CLAW SURF HARD SELTZER</t>
        </is>
      </c>
      <c r="T47" s="17" t="inlineStr">
        <is>
          <t>MARK ANTHONY GROUP</t>
        </is>
      </c>
      <c r="U47" s="25" t="n">
        <v>1</v>
      </c>
      <c r="V47" s="17" t="inlineStr">
        <is>
          <t>No</t>
        </is>
      </c>
      <c r="W47" s="17" t="inlineStr">
        <is>
          <t>Mark Anthony (120)</t>
        </is>
      </c>
      <c r="X47" s="17" t="inlineStr">
        <is>
          <t>First of a repeat set</t>
        </is>
      </c>
      <c r="Y47" s="19" t="inlineStr">
        <is>
          <t>View Photo</t>
        </is>
      </c>
    </row>
    <row r="48">
      <c r="A48" s="17" t="inlineStr">
        <is>
          <t>D0047</t>
        </is>
      </c>
      <c r="B48" s="17" t="inlineStr">
        <is>
          <t>08/13/2026</t>
        </is>
      </c>
      <c r="C48" s="17" t="inlineStr">
        <is>
          <t>08/13/2026 12:06 PM</t>
        </is>
      </c>
      <c r="D48" s="17" t="inlineStr">
        <is>
          <t>John Neukum</t>
        </is>
      </c>
      <c r="E48" s="17" t="inlineStr">
        <is>
          <t>Sales Rep</t>
        </is>
      </c>
      <c r="F48" s="17" t="inlineStr">
        <is>
          <t>Michael Engel</t>
        </is>
      </c>
      <c r="G48" s="17" t="inlineStr">
        <is>
          <t>31019</t>
        </is>
      </c>
      <c r="H48" s="17" t="inlineStr">
        <is>
          <t>BJ'S WAREHOUSE E RUTHERFO</t>
        </is>
      </c>
      <c r="I48" s="17" t="inlineStr">
        <is>
          <t>EAST RUTHERFORD</t>
        </is>
      </c>
      <c r="J48" s="17" t="inlineStr">
        <is>
          <t>Constellation</t>
        </is>
      </c>
      <c r="K48" s="25" t="n">
        <v>4</v>
      </c>
      <c r="L48" s="17" t="inlineStr">
        <is>
          <t>Gold (70+)</t>
        </is>
      </c>
      <c r="M48" s="18" t="n">
        <v>120</v>
      </c>
      <c r="N48" s="18" t="n">
        <v>120</v>
      </c>
      <c r="O48" s="17" t="inlineStr">
        <is>
          <t>Priority</t>
        </is>
      </c>
      <c r="P48" s="18" t="n">
        <v>1000</v>
      </c>
      <c r="Q48" s="17" t="inlineStr">
        <is>
          <t>Yes</t>
        </is>
      </c>
      <c r="R48" s="17" t="inlineStr">
        <is>
          <t>CORONA</t>
        </is>
      </c>
      <c r="S48" s="17" t="inlineStr">
        <is>
          <t>CORONA</t>
        </is>
      </c>
      <c r="T48" s="17" t="inlineStr">
        <is>
          <t>CONSTELLATION BRANDS</t>
        </is>
      </c>
      <c r="U48" s="25" t="n">
        <v>1</v>
      </c>
      <c r="V48" s="17" t="inlineStr">
        <is>
          <t>No</t>
        </is>
      </c>
      <c r="W48" s="17" t="inlineStr">
        <is>
          <t>Constellation (120)</t>
        </is>
      </c>
      <c r="X48" s="17" t="inlineStr">
        <is>
          <t>—</t>
        </is>
      </c>
      <c r="Y48" s="19" t="inlineStr">
        <is>
          <t>View Photo</t>
        </is>
      </c>
    </row>
    <row r="49">
      <c r="A49" s="17" t="inlineStr">
        <is>
          <t>D0048</t>
        </is>
      </c>
      <c r="B49" s="17" t="inlineStr">
        <is>
          <t>08/14/2026</t>
        </is>
      </c>
      <c r="C49" s="17" t="inlineStr">
        <is>
          <t>08/14/2026 02:04 PM</t>
        </is>
      </c>
      <c r="D49" s="17" t="inlineStr">
        <is>
          <t>patrick infante</t>
        </is>
      </c>
      <c r="E49" s="17" t="inlineStr">
        <is>
          <t>Sales Associate</t>
        </is>
      </c>
      <c r="F49" s="17" t="inlineStr">
        <is>
          <t>Denise Montes</t>
        </is>
      </c>
      <c r="G49" s="17" t="inlineStr">
        <is>
          <t>27031</t>
        </is>
      </c>
      <c r="H49" s="17" t="inlineStr">
        <is>
          <t>HOME WINE LIQUOR (PASSAIC)</t>
        </is>
      </c>
      <c r="I49" s="17" t="inlineStr">
        <is>
          <t>PASSAIC</t>
        </is>
      </c>
      <c r="J49" s="17" t="inlineStr">
        <is>
          <t>Constellation</t>
        </is>
      </c>
      <c r="K49" s="25" t="n">
        <v>4</v>
      </c>
      <c r="L49" s="17" t="inlineStr">
        <is>
          <t>Gold (70+)</t>
        </is>
      </c>
      <c r="M49" s="18" t="n">
        <v>120</v>
      </c>
      <c r="N49" s="18" t="n">
        <v>120</v>
      </c>
      <c r="O49" s="17" t="inlineStr">
        <is>
          <t>Priority</t>
        </is>
      </c>
      <c r="P49" s="18" t="n">
        <v>1000</v>
      </c>
      <c r="Q49" s="17" t="inlineStr">
        <is>
          <t>Yes</t>
        </is>
      </c>
      <c r="R49" s="17" t="inlineStr">
        <is>
          <t>CORONA EXTRA</t>
        </is>
      </c>
      <c r="S49" s="17" t="inlineStr">
        <is>
          <t>CORONA EXTRA</t>
        </is>
      </c>
      <c r="T49" s="17" t="inlineStr">
        <is>
          <t>CONSTELLATION BRANDS</t>
        </is>
      </c>
      <c r="U49" s="25" t="n">
        <v>1</v>
      </c>
      <c r="V49" s="17" t="inlineStr">
        <is>
          <t>No</t>
        </is>
      </c>
      <c r="W49" s="17" t="inlineStr">
        <is>
          <t>Constellation (120)</t>
        </is>
      </c>
      <c r="X49" s="17" t="inlineStr">
        <is>
          <t>—</t>
        </is>
      </c>
      <c r="Y49" s="19" t="inlineStr">
        <is>
          <t>View Photo</t>
        </is>
      </c>
    </row>
    <row r="50">
      <c r="A50" s="17" t="inlineStr">
        <is>
          <t>D0049</t>
        </is>
      </c>
      <c r="B50" s="17" t="inlineStr">
        <is>
          <t>07/01/2026</t>
        </is>
      </c>
      <c r="C50" s="17" t="inlineStr">
        <is>
          <t>07/01/2026 02:29 PM</t>
        </is>
      </c>
      <c r="D50" s="17" t="inlineStr">
        <is>
          <t>Mike Ast</t>
        </is>
      </c>
      <c r="E50" s="17" t="inlineStr">
        <is>
          <t>Sales Rep</t>
        </is>
      </c>
      <c r="F50" s="17" t="inlineStr">
        <is>
          <t>Paul Deady</t>
        </is>
      </c>
      <c r="G50" s="17" t="inlineStr">
        <is>
          <t>11003</t>
        </is>
      </c>
      <c r="H50" s="17" t="inlineStr">
        <is>
          <t>LINCOLN PARK FINE WINES &amp; SPIRITS</t>
        </is>
      </c>
      <c r="I50" s="17" t="inlineStr">
        <is>
          <t>LINCOLN PARK</t>
        </is>
      </c>
      <c r="J50" s="17" t="inlineStr">
        <is>
          <t>Mark Anthony</t>
        </is>
      </c>
      <c r="K50" s="25" t="n">
        <v>4</v>
      </c>
      <c r="L50" s="17" t="inlineStr">
        <is>
          <t>Gold (70+)</t>
        </is>
      </c>
      <c r="M50" s="18" t="n">
        <v>115</v>
      </c>
      <c r="N50" s="18" t="n">
        <v>115</v>
      </c>
      <c r="O50" s="17" t="inlineStr">
        <is>
          <t>Priority</t>
        </is>
      </c>
      <c r="P50" s="18" t="n">
        <v>1000</v>
      </c>
      <c r="Q50" s="17" t="inlineStr">
        <is>
          <t>Yes</t>
        </is>
      </c>
      <c r="R50" s="17" t="inlineStr">
        <is>
          <t>WHITE CLAW ORIGINAL HARD SELTZER</t>
        </is>
      </c>
      <c r="S50" s="17" t="inlineStr">
        <is>
          <t>WHITE CLAW ORIGINAL HARD SELTZER</t>
        </is>
      </c>
      <c r="T50" s="17" t="inlineStr">
        <is>
          <t>MARK ANTHONY GROUP</t>
        </is>
      </c>
      <c r="U50" s="25" t="n">
        <v>4</v>
      </c>
      <c r="V50" s="17" t="inlineStr">
        <is>
          <t>No</t>
        </is>
      </c>
      <c r="W50" s="17" t="inlineStr">
        <is>
          <t>Mark Anthony (115)</t>
        </is>
      </c>
      <c r="X50" s="17" t="inlineStr">
        <is>
          <t>—</t>
        </is>
      </c>
      <c r="Y50" s="19" t="inlineStr">
        <is>
          <t>View Photo</t>
        </is>
      </c>
    </row>
    <row r="51">
      <c r="A51" s="17" t="inlineStr">
        <is>
          <t>D0050</t>
        </is>
      </c>
      <c r="B51" s="17" t="inlineStr">
        <is>
          <t>07/02/2026</t>
        </is>
      </c>
      <c r="C51" s="17" t="inlineStr">
        <is>
          <t>07/02/2026 09:09 AM</t>
        </is>
      </c>
      <c r="D51" s="17" t="inlineStr">
        <is>
          <t>phil Ernst</t>
        </is>
      </c>
      <c r="E51" s="17" t="inlineStr">
        <is>
          <t>Sales Rep</t>
        </is>
      </c>
      <c r="F51" s="17" t="inlineStr">
        <is>
          <t>Michael Engel</t>
        </is>
      </c>
      <c r="G51" s="17" t="inlineStr">
        <is>
          <t>20106</t>
        </is>
      </c>
      <c r="H51" s="17" t="inlineStr">
        <is>
          <t>SUPER WINE WAREHSE(P)PATE</t>
        </is>
      </c>
      <c r="I51" s="17" t="inlineStr">
        <is>
          <t>PATERSON</t>
        </is>
      </c>
      <c r="J51" s="17" t="inlineStr">
        <is>
          <t>Mark Anthony</t>
        </is>
      </c>
      <c r="K51" s="25" t="n">
        <v>4</v>
      </c>
      <c r="L51" s="17" t="inlineStr">
        <is>
          <t>Gold (70+)</t>
        </is>
      </c>
      <c r="M51" s="18" t="n">
        <v>115</v>
      </c>
      <c r="N51" s="18" t="n">
        <v>70</v>
      </c>
      <c r="O51" s="17" t="inlineStr">
        <is>
          <t>Priority</t>
        </is>
      </c>
      <c r="P51" s="18" t="n">
        <v>1000</v>
      </c>
      <c r="Q51" s="17" t="inlineStr">
        <is>
          <t>Yes</t>
        </is>
      </c>
      <c r="R51" s="17" t="inlineStr">
        <is>
          <t>WHITE CLAW SURF HARD SELTZER</t>
        </is>
      </c>
      <c r="S51" s="17" t="inlineStr">
        <is>
          <t>TRULY, WHITE CLAW SURF HARD SELTZER</t>
        </is>
      </c>
      <c r="T51" s="17" t="inlineStr">
        <is>
          <t>BOSTON BEER COMPANY, MARK ANTHONY GROUP</t>
        </is>
      </c>
      <c r="U51" s="25" t="n">
        <v>2</v>
      </c>
      <c r="V51" s="17" t="inlineStr">
        <is>
          <t>Yes</t>
        </is>
      </c>
      <c r="W51" s="17" t="inlineStr">
        <is>
          <t>Mark Anthony (70) + Boston Beer (45)</t>
        </is>
      </c>
      <c r="X51" s="17" t="inlineStr">
        <is>
          <t>—</t>
        </is>
      </c>
      <c r="Y51" s="19" t="inlineStr">
        <is>
          <t>View Photo</t>
        </is>
      </c>
    </row>
    <row r="52">
      <c r="A52" s="17" t="inlineStr">
        <is>
          <t>D0051</t>
        </is>
      </c>
      <c r="B52" s="17" t="inlineStr">
        <is>
          <t>08/21/2026</t>
        </is>
      </c>
      <c r="C52" s="17" t="inlineStr">
        <is>
          <t>08/21/2026 11:39 AM</t>
        </is>
      </c>
      <c r="D52" s="17" t="inlineStr">
        <is>
          <t>David Fletcher</t>
        </is>
      </c>
      <c r="E52" s="17" t="inlineStr">
        <is>
          <t>Sales Associate</t>
        </is>
      </c>
      <c r="F52" s="17" t="inlineStr">
        <is>
          <t>Michael Engel</t>
        </is>
      </c>
      <c r="G52" s="17" t="inlineStr">
        <is>
          <t>34009</t>
        </is>
      </c>
      <c r="H52" s="17" t="inlineStr">
        <is>
          <t>THE WINE RACK HASBROUCK HTS</t>
        </is>
      </c>
      <c r="I52" s="17" t="inlineStr">
        <is>
          <t>HASBROUCK HEIGHTS</t>
        </is>
      </c>
      <c r="J52" s="17" t="inlineStr">
        <is>
          <t>Molson Coors</t>
        </is>
      </c>
      <c r="K52" s="25" t="n">
        <v>4</v>
      </c>
      <c r="L52" s="17" t="inlineStr">
        <is>
          <t>Gold (70+)</t>
        </is>
      </c>
      <c r="M52" s="18" t="n">
        <v>115</v>
      </c>
      <c r="N52" s="18" t="n">
        <v>115</v>
      </c>
      <c r="O52" s="17" t="inlineStr">
        <is>
          <t>Priority</t>
        </is>
      </c>
      <c r="P52" s="18" t="n">
        <v>1000</v>
      </c>
      <c r="Q52" s="17" t="inlineStr">
        <is>
          <t>Yes</t>
        </is>
      </c>
      <c r="R52" s="17" t="inlineStr">
        <is>
          <t>MILLER LITE</t>
        </is>
      </c>
      <c r="S52" s="17" t="inlineStr">
        <is>
          <t>COORS LIGHT, MILLER LITE</t>
        </is>
      </c>
      <c r="T52" s="17" t="inlineStr">
        <is>
          <t>MOLSON COORS BEVERAGE COMPANY</t>
        </is>
      </c>
      <c r="U52" s="25" t="n">
        <v>5</v>
      </c>
      <c r="V52" s="17" t="inlineStr">
        <is>
          <t>No</t>
        </is>
      </c>
      <c r="W52" s="17" t="inlineStr">
        <is>
          <t>Molson Coors (115)</t>
        </is>
      </c>
      <c r="X52" s="17" t="inlineStr">
        <is>
          <t>—</t>
        </is>
      </c>
      <c r="Y52" s="19" t="inlineStr">
        <is>
          <t>View Photo</t>
        </is>
      </c>
    </row>
    <row r="53">
      <c r="A53" s="17" t="inlineStr">
        <is>
          <t>D0052</t>
        </is>
      </c>
      <c r="B53" s="17" t="inlineStr">
        <is>
          <t>07/10/2026</t>
        </is>
      </c>
      <c r="C53" s="17" t="inlineStr">
        <is>
          <t>07/10/2026 01:48 PM</t>
        </is>
      </c>
      <c r="D53" s="17" t="inlineStr">
        <is>
          <t>Dave Ehlers</t>
        </is>
      </c>
      <c r="E53" s="17" t="inlineStr">
        <is>
          <t>Sales Rep</t>
        </is>
      </c>
      <c r="F53" s="17" t="inlineStr">
        <is>
          <t>Michael Engel</t>
        </is>
      </c>
      <c r="G53" s="17" t="inlineStr">
        <is>
          <t>14007</t>
        </is>
      </c>
      <c r="H53" s="17" t="inlineStr">
        <is>
          <t>TOTAL WINE &amp; MORE (TOTOWA)</t>
        </is>
      </c>
      <c r="I53" s="17" t="inlineStr">
        <is>
          <t>TOTOWA</t>
        </is>
      </c>
      <c r="J53" s="17" t="inlineStr">
        <is>
          <t>Boston Beer</t>
        </is>
      </c>
      <c r="K53" s="25" t="n">
        <v>4</v>
      </c>
      <c r="L53" s="17" t="inlineStr">
        <is>
          <t>Gold (70+)</t>
        </is>
      </c>
      <c r="M53" s="18" t="n">
        <v>112</v>
      </c>
      <c r="N53" s="18" t="n">
        <v>112</v>
      </c>
      <c r="O53" s="17" t="inlineStr">
        <is>
          <t>Priority</t>
        </is>
      </c>
      <c r="P53" s="18" t="n">
        <v>1000</v>
      </c>
      <c r="Q53" s="17" t="inlineStr">
        <is>
          <t>Yes</t>
        </is>
      </c>
      <c r="R53" s="17" t="inlineStr">
        <is>
          <t>SUN CRUISERS RTD</t>
        </is>
      </c>
      <c r="S53" s="17" t="inlineStr">
        <is>
          <t>SUN CRUISERS RTD</t>
        </is>
      </c>
      <c r="T53" s="17" t="inlineStr">
        <is>
          <t>BOSTON BEER COMPANY</t>
        </is>
      </c>
      <c r="U53" s="25" t="n">
        <v>3</v>
      </c>
      <c r="V53" s="17" t="inlineStr">
        <is>
          <t>No</t>
        </is>
      </c>
      <c r="W53" s="17" t="inlineStr">
        <is>
          <t>Boston Beer (112)</t>
        </is>
      </c>
      <c r="X53" s="17" t="inlineStr">
        <is>
          <t>—</t>
        </is>
      </c>
      <c r="Y53" s="19" t="inlineStr">
        <is>
          <t>View Photo</t>
        </is>
      </c>
    </row>
    <row r="54">
      <c r="A54" s="17" t="inlineStr">
        <is>
          <t>D0053</t>
        </is>
      </c>
      <c r="B54" s="17" t="inlineStr">
        <is>
          <t>07/06/2026</t>
        </is>
      </c>
      <c r="C54" s="17" t="inlineStr">
        <is>
          <t>07/06/2026 03:38 PM</t>
        </is>
      </c>
      <c r="D54" s="17" t="inlineStr">
        <is>
          <t>Nicholas Micco</t>
        </is>
      </c>
      <c r="E54" s="17" t="inlineStr">
        <is>
          <t>Sales Associate</t>
        </is>
      </c>
      <c r="F54" s="17" t="inlineStr">
        <is>
          <t>Michael Engel</t>
        </is>
      </c>
      <c r="G54" s="17" t="inlineStr">
        <is>
          <t>58001</t>
        </is>
      </c>
      <c r="H54" s="17" t="inlineStr">
        <is>
          <t>TOTAL WINE &amp; MORE (RIVER EDGE)</t>
        </is>
      </c>
      <c r="I54" s="17" t="inlineStr">
        <is>
          <t>RIVER EDGE</t>
        </is>
      </c>
      <c r="J54" s="17" t="inlineStr">
        <is>
          <t>Constellation</t>
        </is>
      </c>
      <c r="K54" s="25" t="n">
        <v>4</v>
      </c>
      <c r="L54" s="17" t="inlineStr">
        <is>
          <t>Gold (70+)</t>
        </is>
      </c>
      <c r="M54" s="18" t="n">
        <v>111</v>
      </c>
      <c r="N54" s="18" t="n">
        <v>111</v>
      </c>
      <c r="O54" s="17" t="inlineStr">
        <is>
          <t>Priority</t>
        </is>
      </c>
      <c r="P54" s="18" t="n">
        <v>1000</v>
      </c>
      <c r="Q54" s="17" t="inlineStr">
        <is>
          <t>Yes</t>
        </is>
      </c>
      <c r="R54" s="17" t="inlineStr">
        <is>
          <t>CORONA EXTRA</t>
        </is>
      </c>
      <c r="S54" s="17" t="inlineStr">
        <is>
          <t>CORONA, CORONA EXTRA</t>
        </is>
      </c>
      <c r="T54" s="17" t="inlineStr">
        <is>
          <t>CONSTELLATION BRANDS</t>
        </is>
      </c>
      <c r="U54" s="25" t="n">
        <v>2</v>
      </c>
      <c r="V54" s="17" t="inlineStr">
        <is>
          <t>No</t>
        </is>
      </c>
      <c r="W54" s="17" t="inlineStr">
        <is>
          <t>Constellation (111)</t>
        </is>
      </c>
      <c r="X54" s="17" t="inlineStr">
        <is>
          <t>—</t>
        </is>
      </c>
      <c r="Y54" s="19" t="inlineStr">
        <is>
          <t>View Photo</t>
        </is>
      </c>
    </row>
    <row r="55">
      <c r="A55" s="17" t="inlineStr">
        <is>
          <t>D0054</t>
        </is>
      </c>
      <c r="B55" s="17" t="inlineStr">
        <is>
          <t>07/13/2026</t>
        </is>
      </c>
      <c r="C55" s="17" t="inlineStr">
        <is>
          <t>07/13/2026 12:56 PM</t>
        </is>
      </c>
      <c r="D55" s="17" t="inlineStr">
        <is>
          <t>Shane Barreca</t>
        </is>
      </c>
      <c r="E55" s="17" t="inlineStr">
        <is>
          <t>Sales Rep</t>
        </is>
      </c>
      <c r="F55" s="17" t="inlineStr">
        <is>
          <t>Paul Deady</t>
        </is>
      </c>
      <c r="G55" s="17" t="inlineStr">
        <is>
          <t>70001</t>
        </is>
      </c>
      <c r="H55" s="17" t="inlineStr">
        <is>
          <t>MONTVALE WINE/LIQ &amp; BEER</t>
        </is>
      </c>
      <c r="I55" s="17" t="inlineStr">
        <is>
          <t>MONTVALE</t>
        </is>
      </c>
      <c r="J55" s="17" t="inlineStr">
        <is>
          <t>Boston Beer</t>
        </is>
      </c>
      <c r="K55" s="25" t="n">
        <v>4</v>
      </c>
      <c r="L55" s="17" t="inlineStr">
        <is>
          <t>Gold (70+)</t>
        </is>
      </c>
      <c r="M55" s="18" t="n">
        <v>111</v>
      </c>
      <c r="N55" s="18" t="n">
        <v>111</v>
      </c>
      <c r="O55" s="17" t="inlineStr">
        <is>
          <t>Priority</t>
        </is>
      </c>
      <c r="P55" s="18" t="n">
        <v>1000</v>
      </c>
      <c r="Q55" s="17" t="inlineStr">
        <is>
          <t>Yes</t>
        </is>
      </c>
      <c r="R55" s="17" t="inlineStr">
        <is>
          <t>TWISTED TEA</t>
        </is>
      </c>
      <c r="S55" s="17" t="inlineStr">
        <is>
          <t>TWISTED TEA</t>
        </is>
      </c>
      <c r="T55" s="17" t="inlineStr">
        <is>
          <t>BOSTON BEER COMPANY</t>
        </is>
      </c>
      <c r="U55" s="25" t="n">
        <v>6</v>
      </c>
      <c r="V55" s="17" t="inlineStr">
        <is>
          <t>No</t>
        </is>
      </c>
      <c r="W55" s="17" t="inlineStr">
        <is>
          <t>Boston Beer (111)</t>
        </is>
      </c>
      <c r="X55" s="17" t="inlineStr">
        <is>
          <t>—</t>
        </is>
      </c>
      <c r="Y55" s="19" t="inlineStr">
        <is>
          <t>View Photo</t>
        </is>
      </c>
    </row>
    <row r="56">
      <c r="A56" s="17" t="inlineStr">
        <is>
          <t>D0055</t>
        </is>
      </c>
      <c r="B56" s="17" t="inlineStr">
        <is>
          <t>07/02/2026</t>
        </is>
      </c>
      <c r="C56" s="17" t="inlineStr">
        <is>
          <t>07/02/2026 01:52 PM</t>
        </is>
      </c>
      <c r="D56" s="17" t="inlineStr">
        <is>
          <t>phil Ernst</t>
        </is>
      </c>
      <c r="E56" s="17" t="inlineStr">
        <is>
          <t>Sales Rep</t>
        </is>
      </c>
      <c r="F56" s="17" t="inlineStr">
        <is>
          <t>Michael Engel</t>
        </is>
      </c>
      <c r="G56" s="17" t="inlineStr">
        <is>
          <t>83010</t>
        </is>
      </c>
      <c r="H56" s="17" t="inlineStr">
        <is>
          <t>BOTTLE KING (A) GLEN ROCK</t>
        </is>
      </c>
      <c r="I56" s="17" t="inlineStr">
        <is>
          <t>GLEN ROCK</t>
        </is>
      </c>
      <c r="J56" s="17" t="inlineStr">
        <is>
          <t>Boston Beer</t>
        </is>
      </c>
      <c r="K56" s="25" t="n">
        <v>4</v>
      </c>
      <c r="L56" s="17" t="inlineStr">
        <is>
          <t>Gold (70+)</t>
        </is>
      </c>
      <c r="M56" s="18" t="n">
        <v>110</v>
      </c>
      <c r="N56" s="18" t="n">
        <v>110</v>
      </c>
      <c r="O56" s="17" t="inlineStr">
        <is>
          <t>Priority</t>
        </is>
      </c>
      <c r="P56" s="18" t="n">
        <v>1000</v>
      </c>
      <c r="Q56" s="17" t="inlineStr">
        <is>
          <t>Yes</t>
        </is>
      </c>
      <c r="R56" s="17" t="inlineStr">
        <is>
          <t>TRULY</t>
        </is>
      </c>
      <c r="S56" s="17" t="inlineStr">
        <is>
          <t>TRULY</t>
        </is>
      </c>
      <c r="T56" s="17" t="inlineStr">
        <is>
          <t>BOSTON BEER COMPANY</t>
        </is>
      </c>
      <c r="U56" s="25" t="n">
        <v>1</v>
      </c>
      <c r="V56" s="17" t="inlineStr">
        <is>
          <t>No</t>
        </is>
      </c>
      <c r="W56" s="17" t="inlineStr">
        <is>
          <t>Boston Beer (110)</t>
        </is>
      </c>
      <c r="X56" s="17" t="inlineStr">
        <is>
          <t>—</t>
        </is>
      </c>
      <c r="Y56" s="19" t="inlineStr">
        <is>
          <t>View Photo</t>
        </is>
      </c>
    </row>
    <row r="57">
      <c r="A57" s="17" t="inlineStr">
        <is>
          <t>D0056</t>
        </is>
      </c>
      <c r="B57" s="17" t="inlineStr">
        <is>
          <t>07/14/2026</t>
        </is>
      </c>
      <c r="C57" s="17" t="inlineStr">
        <is>
          <t>07/14/2026 02:38 PM</t>
        </is>
      </c>
      <c r="D57" s="17" t="inlineStr">
        <is>
          <t>mickey obrien</t>
        </is>
      </c>
      <c r="E57" s="17" t="inlineStr">
        <is>
          <t>Sales Associate</t>
        </is>
      </c>
      <c r="F57" s="17" t="inlineStr">
        <is>
          <t>Michael Engel</t>
        </is>
      </c>
      <c r="G57" s="17" t="inlineStr">
        <is>
          <t>58001</t>
        </is>
      </c>
      <c r="H57" s="17" t="inlineStr">
        <is>
          <t>TOTAL WINE &amp; MORE (RIVER EDGE)</t>
        </is>
      </c>
      <c r="I57" s="17" t="inlineStr">
        <is>
          <t>RIVER EDGE</t>
        </is>
      </c>
      <c r="J57" s="17" t="inlineStr">
        <is>
          <t>Constellation</t>
        </is>
      </c>
      <c r="K57" s="25" t="n">
        <v>4</v>
      </c>
      <c r="L57" s="17" t="inlineStr">
        <is>
          <t>Gold (70+)</t>
        </is>
      </c>
      <c r="M57" s="18" t="n">
        <v>110</v>
      </c>
      <c r="N57" s="18" t="n">
        <v>110</v>
      </c>
      <c r="O57" s="17" t="inlineStr">
        <is>
          <t>Priority</t>
        </is>
      </c>
      <c r="P57" s="18" t="n">
        <v>1000</v>
      </c>
      <c r="Q57" s="17" t="inlineStr">
        <is>
          <t>Yes</t>
        </is>
      </c>
      <c r="R57" s="17" t="inlineStr">
        <is>
          <t>CORONA EXTRA</t>
        </is>
      </c>
      <c r="S57" s="17" t="inlineStr">
        <is>
          <t>CORONA EXTRA</t>
        </is>
      </c>
      <c r="T57" s="17" t="inlineStr">
        <is>
          <t>CONSTELLATION BRANDS</t>
        </is>
      </c>
      <c r="U57" s="25" t="n">
        <v>1</v>
      </c>
      <c r="V57" s="17" t="inlineStr">
        <is>
          <t>No</t>
        </is>
      </c>
      <c r="W57" s="17" t="inlineStr">
        <is>
          <t>Constellation (110)</t>
        </is>
      </c>
      <c r="X57" s="17" t="inlineStr">
        <is>
          <t>—</t>
        </is>
      </c>
      <c r="Y57" s="19" t="inlineStr">
        <is>
          <t>View Photo</t>
        </is>
      </c>
    </row>
    <row r="58">
      <c r="A58" s="17" t="inlineStr">
        <is>
          <t>D0057</t>
        </is>
      </c>
      <c r="B58" s="17" t="inlineStr">
        <is>
          <t>07/29/2026</t>
        </is>
      </c>
      <c r="C58" s="17" t="inlineStr">
        <is>
          <t>07/29/2026 10:43 AM</t>
        </is>
      </c>
      <c r="D58" s="17" t="inlineStr">
        <is>
          <t>Jay Tabasco</t>
        </is>
      </c>
      <c r="E58" s="17" t="inlineStr">
        <is>
          <t>Sales Associate</t>
        </is>
      </c>
      <c r="F58" s="17" t="inlineStr">
        <is>
          <t>Paul Deady</t>
        </is>
      </c>
      <c r="G58" s="17" t="inlineStr">
        <is>
          <t>11003</t>
        </is>
      </c>
      <c r="H58" s="17" t="inlineStr">
        <is>
          <t>LINCOLN PARK FINE WINES &amp; SPIRITS</t>
        </is>
      </c>
      <c r="I58" s="17" t="inlineStr">
        <is>
          <t>LINCOLN PARK</t>
        </is>
      </c>
      <c r="J58" s="17" t="inlineStr">
        <is>
          <t>Boston Beer</t>
        </is>
      </c>
      <c r="K58" s="25" t="n">
        <v>4</v>
      </c>
      <c r="L58" s="17" t="inlineStr">
        <is>
          <t>Gold (70+)</t>
        </is>
      </c>
      <c r="M58" s="18" t="n">
        <v>110</v>
      </c>
      <c r="N58" s="18" t="n">
        <v>110</v>
      </c>
      <c r="O58" s="17" t="inlineStr">
        <is>
          <t>Priority</t>
        </is>
      </c>
      <c r="P58" s="18" t="n">
        <v>1000</v>
      </c>
      <c r="Q58" s="17" t="inlineStr">
        <is>
          <t>Yes</t>
        </is>
      </c>
      <c r="R58" s="17" t="inlineStr">
        <is>
          <t>SUN CRUISER ICED TEA VODKA</t>
        </is>
      </c>
      <c r="S58" s="17" t="inlineStr">
        <is>
          <t>SUN CRUISER ICED TEA VODKA</t>
        </is>
      </c>
      <c r="T58" s="17" t="inlineStr">
        <is>
          <t>BOSTON BEER COMPANY</t>
        </is>
      </c>
      <c r="U58" s="25" t="n">
        <v>1</v>
      </c>
      <c r="V58" s="17" t="inlineStr">
        <is>
          <t>No</t>
        </is>
      </c>
      <c r="W58" s="17" t="inlineStr">
        <is>
          <t>Boston Beer (110)</t>
        </is>
      </c>
      <c r="X58" s="17" t="inlineStr">
        <is>
          <t>—</t>
        </is>
      </c>
      <c r="Y58" s="19" t="inlineStr">
        <is>
          <t>View Photo</t>
        </is>
      </c>
    </row>
    <row r="59">
      <c r="A59" s="17" t="inlineStr">
        <is>
          <t>D0058</t>
        </is>
      </c>
      <c r="B59" s="17" t="inlineStr">
        <is>
          <t>07/30/2026</t>
        </is>
      </c>
      <c r="C59" s="17" t="inlineStr">
        <is>
          <t>07/30/2026 10:09 AM</t>
        </is>
      </c>
      <c r="D59" s="17" t="inlineStr">
        <is>
          <t>Matthew Powierski</t>
        </is>
      </c>
      <c r="E59" s="17" t="inlineStr">
        <is>
          <t>Sales Rep</t>
        </is>
      </c>
      <c r="F59" s="17" t="inlineStr">
        <is>
          <t>Denise Montes</t>
        </is>
      </c>
      <c r="G59" s="17" t="inlineStr">
        <is>
          <t>31060</t>
        </is>
      </c>
      <c r="H59" s="17" t="inlineStr">
        <is>
          <t>BOTTLE REPUBLIC (RUTHERFORD)</t>
        </is>
      </c>
      <c r="I59" s="17" t="inlineStr">
        <is>
          <t>RUTHERFORD</t>
        </is>
      </c>
      <c r="J59" s="17" t="inlineStr">
        <is>
          <t>Molson Coors</t>
        </is>
      </c>
      <c r="K59" s="25" t="n">
        <v>4</v>
      </c>
      <c r="L59" s="17" t="inlineStr">
        <is>
          <t>Gold (70+)</t>
        </is>
      </c>
      <c r="M59" s="18" t="n">
        <v>110</v>
      </c>
      <c r="N59" s="18" t="n">
        <v>110</v>
      </c>
      <c r="O59" s="17" t="inlineStr">
        <is>
          <t>Priority</t>
        </is>
      </c>
      <c r="P59" s="18" t="n">
        <v>1000</v>
      </c>
      <c r="Q59" s="17" t="inlineStr">
        <is>
          <t>Yes</t>
        </is>
      </c>
      <c r="R59" s="17" t="inlineStr">
        <is>
          <t>COORS LIGHT</t>
        </is>
      </c>
      <c r="S59" s="17" t="inlineStr">
        <is>
          <t>COORS LIGHT</t>
        </is>
      </c>
      <c r="T59" s="17" t="inlineStr">
        <is>
          <t>MOLSON COORS BEVERAGE COMPANY</t>
        </is>
      </c>
      <c r="U59" s="25" t="n">
        <v>1</v>
      </c>
      <c r="V59" s="17" t="inlineStr">
        <is>
          <t>No</t>
        </is>
      </c>
      <c r="W59" s="17" t="inlineStr">
        <is>
          <t>Molson Coors (110)</t>
        </is>
      </c>
      <c r="X59" s="17" t="inlineStr">
        <is>
          <t>—</t>
        </is>
      </c>
      <c r="Y59" s="19" t="inlineStr">
        <is>
          <t>View Photo</t>
        </is>
      </c>
    </row>
    <row r="60">
      <c r="A60" s="17" t="inlineStr">
        <is>
          <t>D0059</t>
        </is>
      </c>
      <c r="B60" s="17" t="inlineStr">
        <is>
          <t>07/30/2026</t>
        </is>
      </c>
      <c r="C60" s="17" t="inlineStr">
        <is>
          <t>07/30/2026 11:52 AM</t>
        </is>
      </c>
      <c r="D60" s="17" t="inlineStr">
        <is>
          <t>Jay Tabasco</t>
        </is>
      </c>
      <c r="E60" s="17" t="inlineStr">
        <is>
          <t>Sales Associate</t>
        </is>
      </c>
      <c r="F60" s="17" t="inlineStr">
        <is>
          <t>Paul Deady</t>
        </is>
      </c>
      <c r="G60" s="17" t="inlineStr">
        <is>
          <t>191710</t>
        </is>
      </c>
      <c r="H60" s="17" t="inlineStr">
        <is>
          <t>SHOP RITE WINE &amp; SPIRITS STANHOPE</t>
        </is>
      </c>
      <c r="I60" s="17" t="inlineStr">
        <is>
          <t>STANHOPE</t>
        </is>
      </c>
      <c r="J60" s="17" t="inlineStr">
        <is>
          <t>Boston Beer</t>
        </is>
      </c>
      <c r="K60" s="25" t="n">
        <v>4</v>
      </c>
      <c r="L60" s="17" t="inlineStr">
        <is>
          <t>Gold (70+)</t>
        </is>
      </c>
      <c r="M60" s="18" t="n">
        <v>110</v>
      </c>
      <c r="N60" s="18" t="n">
        <v>110</v>
      </c>
      <c r="O60" s="17" t="inlineStr">
        <is>
          <t>Priority</t>
        </is>
      </c>
      <c r="P60" s="18" t="n">
        <v>1000</v>
      </c>
      <c r="Q60" s="17" t="inlineStr">
        <is>
          <t>Yes</t>
        </is>
      </c>
      <c r="R60" s="17" t="inlineStr">
        <is>
          <t>TWISTED TEA</t>
        </is>
      </c>
      <c r="S60" s="17" t="inlineStr">
        <is>
          <t>TWISTED TEA</t>
        </is>
      </c>
      <c r="T60" s="17" t="inlineStr">
        <is>
          <t>BOSTON BEER COMPANY</t>
        </is>
      </c>
      <c r="U60" s="25" t="n">
        <v>1</v>
      </c>
      <c r="V60" s="17" t="inlineStr">
        <is>
          <t>No</t>
        </is>
      </c>
      <c r="W60" s="17" t="inlineStr">
        <is>
          <t>Boston Beer (110)</t>
        </is>
      </c>
      <c r="X60" s="17" t="inlineStr">
        <is>
          <t>First of a repeat set</t>
        </is>
      </c>
      <c r="Y60" s="19" t="inlineStr">
        <is>
          <t>View Photo</t>
        </is>
      </c>
    </row>
    <row r="61">
      <c r="A61" s="17" t="inlineStr">
        <is>
          <t>D0060</t>
        </is>
      </c>
      <c r="B61" s="17" t="inlineStr">
        <is>
          <t>08/17/2026</t>
        </is>
      </c>
      <c r="C61" s="17" t="inlineStr">
        <is>
          <t>08/17/2026 08:43 AM</t>
        </is>
      </c>
      <c r="D61" s="17" t="inlineStr">
        <is>
          <t>John Neukum</t>
        </is>
      </c>
      <c r="E61" s="17" t="inlineStr">
        <is>
          <t>Sales Rep</t>
        </is>
      </c>
      <c r="F61" s="17" t="inlineStr">
        <is>
          <t>Michael Engel</t>
        </is>
      </c>
      <c r="G61" s="17" t="inlineStr">
        <is>
          <t>31019</t>
        </is>
      </c>
      <c r="H61" s="17" t="inlineStr">
        <is>
          <t>BJ'S WAREHOUSE E RUTHERFO</t>
        </is>
      </c>
      <c r="I61" s="17" t="inlineStr">
        <is>
          <t>EAST RUTHERFORD</t>
        </is>
      </c>
      <c r="J61" s="17" t="inlineStr">
        <is>
          <t>Molson Coors</t>
        </is>
      </c>
      <c r="K61" s="25" t="n">
        <v>4</v>
      </c>
      <c r="L61" s="17" t="inlineStr">
        <is>
          <t>Gold (70+)</t>
        </is>
      </c>
      <c r="M61" s="18" t="n">
        <v>110</v>
      </c>
      <c r="N61" s="18" t="n">
        <v>110</v>
      </c>
      <c r="O61" s="17" t="inlineStr">
        <is>
          <t>Priority</t>
        </is>
      </c>
      <c r="P61" s="18" t="n">
        <v>1000</v>
      </c>
      <c r="Q61" s="17" t="inlineStr">
        <is>
          <t>Yes</t>
        </is>
      </c>
      <c r="R61" s="17" t="inlineStr">
        <is>
          <t>COORS LIGHT</t>
        </is>
      </c>
      <c r="S61" s="17" t="inlineStr">
        <is>
          <t>COORS LIGHT</t>
        </is>
      </c>
      <c r="T61" s="17" t="inlineStr">
        <is>
          <t>MOLSON COORS BEVERAGE COMPANY</t>
        </is>
      </c>
      <c r="U61" s="25" t="n">
        <v>1</v>
      </c>
      <c r="V61" s="17" t="inlineStr">
        <is>
          <t>No</t>
        </is>
      </c>
      <c r="W61" s="17" t="inlineStr">
        <is>
          <t>Molson Coors (110)</t>
        </is>
      </c>
      <c r="X61" s="17" t="inlineStr">
        <is>
          <t>—</t>
        </is>
      </c>
      <c r="Y61" s="19" t="inlineStr">
        <is>
          <t>View Photo</t>
        </is>
      </c>
    </row>
    <row r="62">
      <c r="A62" s="17" t="inlineStr">
        <is>
          <t>D0061</t>
        </is>
      </c>
      <c r="B62" s="17" t="inlineStr">
        <is>
          <t>08/26/2026</t>
        </is>
      </c>
      <c r="C62" s="17" t="inlineStr">
        <is>
          <t>08/26/2026 11:35 AM</t>
        </is>
      </c>
      <c r="D62" s="17" t="inlineStr">
        <is>
          <t>Dave Ehlers</t>
        </is>
      </c>
      <c r="E62" s="17" t="inlineStr">
        <is>
          <t>Sales Rep</t>
        </is>
      </c>
      <c r="F62" s="17" t="inlineStr">
        <is>
          <t>Michael Engel</t>
        </is>
      </c>
      <c r="G62" s="17" t="inlineStr">
        <is>
          <t>52015</t>
        </is>
      </c>
      <c r="H62" s="17" t="inlineStr">
        <is>
          <t>SHOP RITE LIQ (A)ENGLEWD</t>
        </is>
      </c>
      <c r="I62" s="17" t="inlineStr">
        <is>
          <t>ENGLEWOOD</t>
        </is>
      </c>
      <c r="J62" s="17" t="inlineStr">
        <is>
          <t>Constellation</t>
        </is>
      </c>
      <c r="K62" s="25" t="n">
        <v>4</v>
      </c>
      <c r="L62" s="17" t="inlineStr">
        <is>
          <t>Gold (70+)</t>
        </is>
      </c>
      <c r="M62" s="18" t="n">
        <v>109</v>
      </c>
      <c r="N62" s="18" t="n">
        <v>109</v>
      </c>
      <c r="O62" s="17" t="inlineStr">
        <is>
          <t>Priority</t>
        </is>
      </c>
      <c r="P62" s="18" t="n">
        <v>1000</v>
      </c>
      <c r="Q62" s="17" t="inlineStr">
        <is>
          <t>Yes</t>
        </is>
      </c>
      <c r="R62" s="17" t="inlineStr">
        <is>
          <t>MODELO CERVEZA</t>
        </is>
      </c>
      <c r="S62" s="17" t="inlineStr">
        <is>
          <t>MODELO CERVEZA, MODELO ORO</t>
        </is>
      </c>
      <c r="T62" s="17" t="inlineStr">
        <is>
          <t>CONSTELLATION BRANDS</t>
        </is>
      </c>
      <c r="U62" s="25" t="n">
        <v>3</v>
      </c>
      <c r="V62" s="17" t="inlineStr">
        <is>
          <t>No</t>
        </is>
      </c>
      <c r="W62" s="17" t="inlineStr">
        <is>
          <t>Constellation (109)</t>
        </is>
      </c>
      <c r="X62" s="17" t="inlineStr">
        <is>
          <t>—</t>
        </is>
      </c>
      <c r="Y62" s="19" t="inlineStr">
        <is>
          <t>View Photo</t>
        </is>
      </c>
    </row>
    <row r="63">
      <c r="A63" s="17" t="inlineStr">
        <is>
          <t>D0062</t>
        </is>
      </c>
      <c r="B63" s="17" t="inlineStr">
        <is>
          <t>08/26/2026</t>
        </is>
      </c>
      <c r="C63" s="17" t="inlineStr">
        <is>
          <t>08/26/2026 12:09 PM</t>
        </is>
      </c>
      <c r="D63" s="17" t="inlineStr">
        <is>
          <t>Nicholas Micco</t>
        </is>
      </c>
      <c r="E63" s="17" t="inlineStr">
        <is>
          <t>Sales Associate</t>
        </is>
      </c>
      <c r="F63" s="17" t="inlineStr">
        <is>
          <t>Michael Engel</t>
        </is>
      </c>
      <c r="G63" s="17" t="inlineStr">
        <is>
          <t>29004</t>
        </is>
      </c>
      <c r="H63" s="17" t="inlineStr">
        <is>
          <t>SHOP-RITE LIQ LYNDHURST</t>
        </is>
      </c>
      <c r="I63" s="17" t="inlineStr">
        <is>
          <t>LYNDHURST</t>
        </is>
      </c>
      <c r="J63" s="17" t="inlineStr">
        <is>
          <t>Boston Beer</t>
        </is>
      </c>
      <c r="K63" s="25" t="n">
        <v>4</v>
      </c>
      <c r="L63" s="17" t="inlineStr">
        <is>
          <t>Gold (70+)</t>
        </is>
      </c>
      <c r="M63" s="18" t="n">
        <v>107</v>
      </c>
      <c r="N63" s="18" t="n">
        <v>107</v>
      </c>
      <c r="O63" s="17" t="inlineStr">
        <is>
          <t>Priority</t>
        </is>
      </c>
      <c r="P63" s="18" t="n">
        <v>1000</v>
      </c>
      <c r="Q63" s="17" t="inlineStr">
        <is>
          <t>Yes</t>
        </is>
      </c>
      <c r="R63" s="17" t="inlineStr">
        <is>
          <t>SAM ADAMS SEASONAL</t>
        </is>
      </c>
      <c r="S63" s="17" t="inlineStr">
        <is>
          <t>SAM ADAMS SEASONAL, SAMUEL ADAMS</t>
        </is>
      </c>
      <c r="T63" s="17" t="inlineStr">
        <is>
          <t>BOSTON BEER COMPANY</t>
        </is>
      </c>
      <c r="U63" s="25" t="n">
        <v>7</v>
      </c>
      <c r="V63" s="17" t="inlineStr">
        <is>
          <t>No</t>
        </is>
      </c>
      <c r="W63" s="17" t="inlineStr">
        <is>
          <t>Boston Beer (107)</t>
        </is>
      </c>
      <c r="X63" s="17" t="inlineStr">
        <is>
          <t>—</t>
        </is>
      </c>
      <c r="Y63" s="19" t="inlineStr">
        <is>
          <t>View Photo</t>
        </is>
      </c>
    </row>
    <row r="64">
      <c r="A64" s="17" t="inlineStr">
        <is>
          <t>D0063</t>
        </is>
      </c>
      <c r="B64" s="17" t="inlineStr">
        <is>
          <t>07/01/2026</t>
        </is>
      </c>
      <c r="C64" s="17" t="inlineStr">
        <is>
          <t>07/01/2026 02:49 PM</t>
        </is>
      </c>
      <c r="D64" s="17" t="inlineStr">
        <is>
          <t>Mike Ast</t>
        </is>
      </c>
      <c r="E64" s="17" t="inlineStr">
        <is>
          <t>Sales Rep</t>
        </is>
      </c>
      <c r="F64" s="17" t="inlineStr">
        <is>
          <t>Paul Deady</t>
        </is>
      </c>
      <c r="G64" s="17" t="inlineStr">
        <is>
          <t>11003</t>
        </is>
      </c>
      <c r="H64" s="17" t="inlineStr">
        <is>
          <t>LINCOLN PARK FINE WINES &amp; SPIRITS</t>
        </is>
      </c>
      <c r="I64" s="17" t="inlineStr">
        <is>
          <t>LINCOLN PARK</t>
        </is>
      </c>
      <c r="J64" s="17" t="inlineStr">
        <is>
          <t>Boston Beer</t>
        </is>
      </c>
      <c r="K64" s="25" t="n">
        <v>4</v>
      </c>
      <c r="L64" s="17" t="inlineStr">
        <is>
          <t>Gold (70+)</t>
        </is>
      </c>
      <c r="M64" s="18" t="n">
        <v>105</v>
      </c>
      <c r="N64" s="18" t="n">
        <v>105</v>
      </c>
      <c r="O64" s="17" t="inlineStr">
        <is>
          <t>Priority</t>
        </is>
      </c>
      <c r="P64" s="18" t="n">
        <v>1000</v>
      </c>
      <c r="Q64" s="17" t="inlineStr">
        <is>
          <t>Yes</t>
        </is>
      </c>
      <c r="R64" s="17" t="inlineStr">
        <is>
          <t>TWISTED TEA</t>
        </is>
      </c>
      <c r="S64" s="17" t="inlineStr">
        <is>
          <t>TWISTED TEA</t>
        </is>
      </c>
      <c r="T64" s="17" t="inlineStr">
        <is>
          <t>BOSTON BEER COMPANY</t>
        </is>
      </c>
      <c r="U64" s="25" t="n">
        <v>7</v>
      </c>
      <c r="V64" s="17" t="inlineStr">
        <is>
          <t>No</t>
        </is>
      </c>
      <c r="W64" s="17" t="inlineStr">
        <is>
          <t>Boston Beer (105)</t>
        </is>
      </c>
      <c r="X64" s="17" t="inlineStr">
        <is>
          <t>—</t>
        </is>
      </c>
      <c r="Y64" s="19" t="inlineStr">
        <is>
          <t>View Photo</t>
        </is>
      </c>
    </row>
    <row r="65">
      <c r="A65" s="17" t="inlineStr">
        <is>
          <t>D0064</t>
        </is>
      </c>
      <c r="B65" s="17" t="inlineStr">
        <is>
          <t>07/13/2026</t>
        </is>
      </c>
      <c r="C65" s="17" t="inlineStr">
        <is>
          <t>07/13/2026 02:22 PM</t>
        </is>
      </c>
      <c r="D65" s="17" t="inlineStr">
        <is>
          <t>Mike Ast</t>
        </is>
      </c>
      <c r="E65" s="17" t="inlineStr">
        <is>
          <t>Sales Rep</t>
        </is>
      </c>
      <c r="F65" s="17" t="inlineStr">
        <is>
          <t>Paul Deady</t>
        </is>
      </c>
      <c r="G65" s="17" t="inlineStr">
        <is>
          <t>12011</t>
        </is>
      </c>
      <c r="H65" s="17" t="inlineStr">
        <is>
          <t>BOTTLE KING (A) WAYNE</t>
        </is>
      </c>
      <c r="I65" s="17" t="inlineStr">
        <is>
          <t>WAYNE</t>
        </is>
      </c>
      <c r="J65" s="17" t="inlineStr">
        <is>
          <t>Constellation</t>
        </is>
      </c>
      <c r="K65" s="25" t="n">
        <v>4</v>
      </c>
      <c r="L65" s="17" t="inlineStr">
        <is>
          <t>Gold (70+)</t>
        </is>
      </c>
      <c r="M65" s="18" t="n">
        <v>105</v>
      </c>
      <c r="N65" s="18" t="n">
        <v>105</v>
      </c>
      <c r="O65" s="17" t="inlineStr">
        <is>
          <t>Priority</t>
        </is>
      </c>
      <c r="P65" s="18" t="n">
        <v>1000</v>
      </c>
      <c r="Q65" s="17" t="inlineStr">
        <is>
          <t>Yes</t>
        </is>
      </c>
      <c r="R65" s="17" t="inlineStr">
        <is>
          <t>MODELO CERVEZA</t>
        </is>
      </c>
      <c r="S65" s="17" t="inlineStr">
        <is>
          <t>MODELO CERVEZA</t>
        </is>
      </c>
      <c r="T65" s="17" t="inlineStr">
        <is>
          <t>CONSTELLATION BRANDS</t>
        </is>
      </c>
      <c r="U65" s="25" t="n">
        <v>3</v>
      </c>
      <c r="V65" s="17" t="inlineStr">
        <is>
          <t>No</t>
        </is>
      </c>
      <c r="W65" s="17" t="inlineStr">
        <is>
          <t>Constellation (105)</t>
        </is>
      </c>
      <c r="X65" s="17" t="inlineStr">
        <is>
          <t>—</t>
        </is>
      </c>
      <c r="Y65" s="19" t="inlineStr">
        <is>
          <t>View Photo</t>
        </is>
      </c>
    </row>
    <row r="66">
      <c r="A66" s="17" t="inlineStr">
        <is>
          <t>D0065</t>
        </is>
      </c>
      <c r="B66" s="17" t="inlineStr">
        <is>
          <t>07/23/2026</t>
        </is>
      </c>
      <c r="C66" s="17" t="inlineStr">
        <is>
          <t>07/23/2026 01:41 PM</t>
        </is>
      </c>
      <c r="D66" s="17" t="inlineStr">
        <is>
          <t>patrick infante</t>
        </is>
      </c>
      <c r="E66" s="17" t="inlineStr">
        <is>
          <t>Sales Associate</t>
        </is>
      </c>
      <c r="F66" s="17" t="inlineStr">
        <is>
          <t>Denise Montes</t>
        </is>
      </c>
      <c r="G66" s="17" t="inlineStr">
        <is>
          <t>21044</t>
        </is>
      </c>
      <c r="H66" s="17" t="inlineStr">
        <is>
          <t>FARM BOY</t>
        </is>
      </c>
      <c r="I66" s="17" t="inlineStr">
        <is>
          <t>PATERSON</t>
        </is>
      </c>
      <c r="J66" s="17" t="inlineStr">
        <is>
          <t>Constellation</t>
        </is>
      </c>
      <c r="K66" s="25" t="n">
        <v>4</v>
      </c>
      <c r="L66" s="17" t="inlineStr">
        <is>
          <t>Gold (70+)</t>
        </is>
      </c>
      <c r="M66" s="18" t="n">
        <v>105</v>
      </c>
      <c r="N66" s="18" t="n">
        <v>105</v>
      </c>
      <c r="O66" s="17" t="inlineStr">
        <is>
          <t>Priority</t>
        </is>
      </c>
      <c r="P66" s="18" t="n">
        <v>1000</v>
      </c>
      <c r="Q66" s="17" t="inlineStr">
        <is>
          <t>Yes</t>
        </is>
      </c>
      <c r="R66" s="17" t="inlineStr">
        <is>
          <t>CORONA EXTRA</t>
        </is>
      </c>
      <c r="S66" s="17" t="inlineStr">
        <is>
          <t>CORONA EXTRA</t>
        </is>
      </c>
      <c r="T66" s="17" t="inlineStr">
        <is>
          <t>CONSTELLATION BRANDS</t>
        </is>
      </c>
      <c r="U66" s="25" t="n">
        <v>1</v>
      </c>
      <c r="V66" s="17" t="inlineStr">
        <is>
          <t>No</t>
        </is>
      </c>
      <c r="W66" s="17" t="inlineStr">
        <is>
          <t>Constellation (105)</t>
        </is>
      </c>
      <c r="X66" s="17" t="inlineStr">
        <is>
          <t>—</t>
        </is>
      </c>
      <c r="Y66" s="19" t="inlineStr">
        <is>
          <t>View Photo</t>
        </is>
      </c>
    </row>
    <row r="67">
      <c r="A67" s="17" t="inlineStr">
        <is>
          <t>D0066</t>
        </is>
      </c>
      <c r="B67" s="17" t="inlineStr">
        <is>
          <t>07/24/2026</t>
        </is>
      </c>
      <c r="C67" s="17" t="inlineStr">
        <is>
          <t>07/24/2026 05:49 PM</t>
        </is>
      </c>
      <c r="D67" s="17" t="inlineStr">
        <is>
          <t>patrick infante</t>
        </is>
      </c>
      <c r="E67" s="17" t="inlineStr">
        <is>
          <t>Sales Associate</t>
        </is>
      </c>
      <c r="F67" s="17" t="inlineStr">
        <is>
          <t>Denise Montes</t>
        </is>
      </c>
      <c r="G67" s="17" t="inlineStr">
        <is>
          <t>23004</t>
        </is>
      </c>
      <c r="H67" s="17" t="inlineStr">
        <is>
          <t>SHOP RITE WINES/SPIRITS</t>
        </is>
      </c>
      <c r="I67" s="17" t="inlineStr">
        <is>
          <t>CLIFTON</t>
        </is>
      </c>
      <c r="J67" s="17" t="inlineStr">
        <is>
          <t>Constellation</t>
        </is>
      </c>
      <c r="K67" s="25" t="n">
        <v>4</v>
      </c>
      <c r="L67" s="17" t="inlineStr">
        <is>
          <t>Gold (70+)</t>
        </is>
      </c>
      <c r="M67" s="18" t="n">
        <v>105</v>
      </c>
      <c r="N67" s="18" t="n">
        <v>105</v>
      </c>
      <c r="O67" s="17" t="inlineStr">
        <is>
          <t>Priority</t>
        </is>
      </c>
      <c r="P67" s="18" t="n">
        <v>1000</v>
      </c>
      <c r="Q67" s="17" t="inlineStr">
        <is>
          <t>Yes</t>
        </is>
      </c>
      <c r="R67" s="17" t="inlineStr">
        <is>
          <t>CORONA EXTRA</t>
        </is>
      </c>
      <c r="S67" s="17" t="inlineStr">
        <is>
          <t>CORONA, CORONA EXTRA</t>
        </is>
      </c>
      <c r="T67" s="17" t="inlineStr">
        <is>
          <t>CONSTELLATION BRANDS</t>
        </is>
      </c>
      <c r="U67" s="25" t="n">
        <v>5</v>
      </c>
      <c r="V67" s="17" t="inlineStr">
        <is>
          <t>No</t>
        </is>
      </c>
      <c r="W67" s="17" t="inlineStr">
        <is>
          <t>Constellation (105)</t>
        </is>
      </c>
      <c r="X67" s="17" t="inlineStr">
        <is>
          <t>—</t>
        </is>
      </c>
      <c r="Y67" s="19" t="inlineStr">
        <is>
          <t>View Photo</t>
        </is>
      </c>
    </row>
    <row r="68">
      <c r="A68" s="17" t="inlineStr">
        <is>
          <t>D0067</t>
        </is>
      </c>
      <c r="B68" s="17" t="inlineStr">
        <is>
          <t>08/25/2026</t>
        </is>
      </c>
      <c r="C68" s="17" t="inlineStr">
        <is>
          <t>08/25/2026 11:33 AM</t>
        </is>
      </c>
      <c r="D68" s="17" t="inlineStr">
        <is>
          <t>Nicholas Micco</t>
        </is>
      </c>
      <c r="E68" s="17" t="inlineStr">
        <is>
          <t>Sales Associate</t>
        </is>
      </c>
      <c r="F68" s="17" t="inlineStr">
        <is>
          <t>Michael Engel</t>
        </is>
      </c>
      <c r="G68" s="17" t="inlineStr">
        <is>
          <t>29004</t>
        </is>
      </c>
      <c r="H68" s="17" t="inlineStr">
        <is>
          <t>SHOP-RITE LIQ LYNDHURST</t>
        </is>
      </c>
      <c r="I68" s="17" t="inlineStr">
        <is>
          <t>LYNDHURST</t>
        </is>
      </c>
      <c r="J68" s="17" t="inlineStr">
        <is>
          <t>Boston Beer</t>
        </is>
      </c>
      <c r="K68" s="25" t="n">
        <v>4</v>
      </c>
      <c r="L68" s="17" t="inlineStr">
        <is>
          <t>Gold (70+)</t>
        </is>
      </c>
      <c r="M68" s="18" t="n">
        <v>102</v>
      </c>
      <c r="N68" s="18" t="n">
        <v>102</v>
      </c>
      <c r="O68" s="17" t="inlineStr">
        <is>
          <t>Priority</t>
        </is>
      </c>
      <c r="P68" s="18" t="n">
        <v>1000</v>
      </c>
      <c r="Q68" s="17" t="inlineStr">
        <is>
          <t>Yes</t>
        </is>
      </c>
      <c r="R68" s="17" t="inlineStr">
        <is>
          <t>SAM ADAMS SEASONAL</t>
        </is>
      </c>
      <c r="S68" s="17" t="inlineStr">
        <is>
          <t>SAM ADAMS SEASONAL, SAMUEL ADAMS</t>
        </is>
      </c>
      <c r="T68" s="17" t="inlineStr">
        <is>
          <t>BOSTON BEER COMPANY</t>
        </is>
      </c>
      <c r="U68" s="25" t="n">
        <v>7</v>
      </c>
      <c r="V68" s="17" t="inlineStr">
        <is>
          <t>No</t>
        </is>
      </c>
      <c r="W68" s="17" t="inlineStr">
        <is>
          <t>Boston Beer (102)</t>
        </is>
      </c>
      <c r="X68" s="17" t="inlineStr">
        <is>
          <t>—</t>
        </is>
      </c>
      <c r="Y68" s="19" t="inlineStr">
        <is>
          <t>View Photo</t>
        </is>
      </c>
    </row>
    <row r="69">
      <c r="A69" s="17" t="inlineStr">
        <is>
          <t>D0068</t>
        </is>
      </c>
      <c r="B69" s="17" t="inlineStr">
        <is>
          <t>07/15/2026</t>
        </is>
      </c>
      <c r="C69" s="17" t="inlineStr">
        <is>
          <t>07/15/2026 11:21 AM</t>
        </is>
      </c>
      <c r="D69" s="17" t="inlineStr">
        <is>
          <t>Nicholas Micco</t>
        </is>
      </c>
      <c r="E69" s="17" t="inlineStr">
        <is>
          <t>Sales Associate</t>
        </is>
      </c>
      <c r="F69" s="17" t="inlineStr">
        <is>
          <t>Michael Engel</t>
        </is>
      </c>
      <c r="G69" s="17" t="inlineStr">
        <is>
          <t>76010</t>
        </is>
      </c>
      <c r="H69" s="17" t="inlineStr">
        <is>
          <t>USA WINE TRADERS CLUB (SADDLE BROOK)</t>
        </is>
      </c>
      <c r="I69" s="17" t="inlineStr">
        <is>
          <t>SADDLE BROOK</t>
        </is>
      </c>
      <c r="J69" s="17" t="inlineStr">
        <is>
          <t>HUSA (Heineken USA)</t>
        </is>
      </c>
      <c r="K69" s="25" t="n">
        <v>4</v>
      </c>
      <c r="L69" s="17" t="inlineStr">
        <is>
          <t>Gold (70+)</t>
        </is>
      </c>
      <c r="M69" s="18" t="n">
        <v>101</v>
      </c>
      <c r="N69" s="18" t="n">
        <v>101</v>
      </c>
      <c r="O69" s="17" t="inlineStr">
        <is>
          <t>Priority</t>
        </is>
      </c>
      <c r="P69" s="18" t="n">
        <v>1000</v>
      </c>
      <c r="Q69" s="17" t="inlineStr">
        <is>
          <t>Yes</t>
        </is>
      </c>
      <c r="R69" s="17" t="inlineStr">
        <is>
          <t>HEINEKEN</t>
        </is>
      </c>
      <c r="S69" s="17" t="inlineStr">
        <is>
          <t>HEINEKEN</t>
        </is>
      </c>
      <c r="T69" s="17" t="inlineStr">
        <is>
          <t>HEINEKEN</t>
        </is>
      </c>
      <c r="U69" s="25" t="n">
        <v>5</v>
      </c>
      <c r="V69" s="17" t="inlineStr">
        <is>
          <t>No</t>
        </is>
      </c>
      <c r="W69" s="17" t="inlineStr">
        <is>
          <t>HUSA (Heineken USA) (101)</t>
        </is>
      </c>
      <c r="X69" s="26" t="inlineStr">
        <is>
          <t>Possible duplicate</t>
        </is>
      </c>
      <c r="Y69" s="19" t="inlineStr">
        <is>
          <t>View Photo</t>
        </is>
      </c>
    </row>
    <row r="70">
      <c r="A70" s="17" t="inlineStr">
        <is>
          <t>D0069</t>
        </is>
      </c>
      <c r="B70" s="17" t="inlineStr">
        <is>
          <t>07/01/2026</t>
        </is>
      </c>
      <c r="C70" s="17" t="inlineStr">
        <is>
          <t>07/01/2026 02:26 PM</t>
        </is>
      </c>
      <c r="D70" s="17" t="inlineStr">
        <is>
          <t>Mike Ast</t>
        </is>
      </c>
      <c r="E70" s="17" t="inlineStr">
        <is>
          <t>Sales Rep</t>
        </is>
      </c>
      <c r="F70" s="17" t="inlineStr">
        <is>
          <t>Paul Deady</t>
        </is>
      </c>
      <c r="G70" s="17" t="inlineStr">
        <is>
          <t>11003</t>
        </is>
      </c>
      <c r="H70" s="17" t="inlineStr">
        <is>
          <t>LINCOLN PARK FINE WINES &amp; SPIRITS</t>
        </is>
      </c>
      <c r="I70" s="17" t="inlineStr">
        <is>
          <t>LINCOLN PARK</t>
        </is>
      </c>
      <c r="J70" s="17" t="inlineStr">
        <is>
          <t>Constellation</t>
        </is>
      </c>
      <c r="K70" s="25" t="n">
        <v>4</v>
      </c>
      <c r="L70" s="17" t="inlineStr">
        <is>
          <t>Gold (70+)</t>
        </is>
      </c>
      <c r="M70" s="18" t="n">
        <v>100</v>
      </c>
      <c r="N70" s="18" t="n">
        <v>100</v>
      </c>
      <c r="O70" s="17" t="inlineStr">
        <is>
          <t>Priority</t>
        </is>
      </c>
      <c r="P70" s="18" t="n">
        <v>1000</v>
      </c>
      <c r="Q70" s="17" t="inlineStr">
        <is>
          <t>Yes</t>
        </is>
      </c>
      <c r="R70" s="17" t="inlineStr">
        <is>
          <t>MODELO CERVEZA</t>
        </is>
      </c>
      <c r="S70" s="17" t="inlineStr">
        <is>
          <t>MODELO CERVEZA</t>
        </is>
      </c>
      <c r="T70" s="17" t="inlineStr">
        <is>
          <t>CONSTELLATION BRANDS</t>
        </is>
      </c>
      <c r="U70" s="25" t="n">
        <v>2</v>
      </c>
      <c r="V70" s="17" t="inlineStr">
        <is>
          <t>No</t>
        </is>
      </c>
      <c r="W70" s="17" t="inlineStr">
        <is>
          <t>Constellation (100)</t>
        </is>
      </c>
      <c r="X70" s="17" t="inlineStr">
        <is>
          <t>—</t>
        </is>
      </c>
      <c r="Y70" s="19" t="inlineStr">
        <is>
          <t>View Photo</t>
        </is>
      </c>
    </row>
    <row r="71">
      <c r="A71" s="17" t="inlineStr">
        <is>
          <t>D0070</t>
        </is>
      </c>
      <c r="B71" s="17" t="inlineStr">
        <is>
          <t>07/01/2026</t>
        </is>
      </c>
      <c r="C71" s="17" t="inlineStr">
        <is>
          <t>07/01/2026 04:24 PM</t>
        </is>
      </c>
      <c r="D71" s="17" t="inlineStr">
        <is>
          <t>mickey obrien</t>
        </is>
      </c>
      <c r="E71" s="17" t="inlineStr">
        <is>
          <t>Sales Associate</t>
        </is>
      </c>
      <c r="F71" s="17" t="inlineStr">
        <is>
          <t>Michael Engel</t>
        </is>
      </c>
      <c r="G71" s="17" t="inlineStr">
        <is>
          <t>58001</t>
        </is>
      </c>
      <c r="H71" s="17" t="inlineStr">
        <is>
          <t>TOTAL WINE &amp; MORE (RIVER EDGE)</t>
        </is>
      </c>
      <c r="I71" s="17" t="inlineStr">
        <is>
          <t>RIVER EDGE</t>
        </is>
      </c>
      <c r="J71" s="17" t="inlineStr">
        <is>
          <t>Boston Beer</t>
        </is>
      </c>
      <c r="K71" s="25" t="n">
        <v>4</v>
      </c>
      <c r="L71" s="17" t="inlineStr">
        <is>
          <t>Gold (70+)</t>
        </is>
      </c>
      <c r="M71" s="18" t="n">
        <v>100</v>
      </c>
      <c r="N71" s="18" t="n">
        <v>100</v>
      </c>
      <c r="O71" s="17" t="inlineStr">
        <is>
          <t>Priority</t>
        </is>
      </c>
      <c r="P71" s="18" t="n">
        <v>1000</v>
      </c>
      <c r="Q71" s="17" t="inlineStr">
        <is>
          <t>Yes</t>
        </is>
      </c>
      <c r="R71" s="17" t="inlineStr">
        <is>
          <t>TRULY HARD SELTZER</t>
        </is>
      </c>
      <c r="S71" s="17" t="inlineStr">
        <is>
          <t>TRULY HARD SELTZER</t>
        </is>
      </c>
      <c r="T71" s="17" t="inlineStr">
        <is>
          <t>BOSTON BEER COMPANY</t>
        </is>
      </c>
      <c r="U71" s="25" t="n">
        <v>1</v>
      </c>
      <c r="V71" s="17" t="inlineStr">
        <is>
          <t>No</t>
        </is>
      </c>
      <c r="W71" s="17" t="inlineStr">
        <is>
          <t>Boston Beer (100)</t>
        </is>
      </c>
      <c r="X71" s="17" t="inlineStr">
        <is>
          <t>—</t>
        </is>
      </c>
      <c r="Y71" s="19" t="inlineStr">
        <is>
          <t>View Photo</t>
        </is>
      </c>
    </row>
    <row r="72">
      <c r="A72" s="17" t="inlineStr">
        <is>
          <t>D0071</t>
        </is>
      </c>
      <c r="B72" s="17" t="inlineStr">
        <is>
          <t>07/07/2026</t>
        </is>
      </c>
      <c r="C72" s="17" t="inlineStr">
        <is>
          <t>07/07/2026 11:41 AM</t>
        </is>
      </c>
      <c r="D72" s="17" t="inlineStr">
        <is>
          <t>Daniel La Gala</t>
        </is>
      </c>
      <c r="E72" s="17" t="inlineStr">
        <is>
          <t>Sales Rep</t>
        </is>
      </c>
      <c r="F72" s="17" t="inlineStr">
        <is>
          <t>Michael Engel</t>
        </is>
      </c>
      <c r="G72" s="17" t="inlineStr">
        <is>
          <t>49066</t>
        </is>
      </c>
      <c r="H72" s="17" t="inlineStr">
        <is>
          <t>MITSUWA MARKET (A)</t>
        </is>
      </c>
      <c r="I72" s="17" t="inlineStr">
        <is>
          <t>EDGEWATER</t>
        </is>
      </c>
      <c r="J72" s="17" t="inlineStr">
        <is>
          <t>Constellation</t>
        </is>
      </c>
      <c r="K72" s="25" t="n">
        <v>4</v>
      </c>
      <c r="L72" s="17" t="inlineStr">
        <is>
          <t>Gold (70+)</t>
        </is>
      </c>
      <c r="M72" s="18" t="n">
        <v>100</v>
      </c>
      <c r="N72" s="18" t="n">
        <v>100</v>
      </c>
      <c r="O72" s="17" t="inlineStr">
        <is>
          <t>Priority</t>
        </is>
      </c>
      <c r="P72" s="18" t="n">
        <v>1000</v>
      </c>
      <c r="Q72" s="17" t="inlineStr">
        <is>
          <t>Yes</t>
        </is>
      </c>
      <c r="R72" s="17" t="inlineStr">
        <is>
          <t>MODELO CERVEZA</t>
        </is>
      </c>
      <c r="S72" s="17" t="inlineStr">
        <is>
          <t>MODELO CERVEZA</t>
        </is>
      </c>
      <c r="T72" s="17" t="inlineStr">
        <is>
          <t>CONSTELLATION BRANDS</t>
        </is>
      </c>
      <c r="U72" s="25" t="n">
        <v>1</v>
      </c>
      <c r="V72" s="17" t="inlineStr">
        <is>
          <t>No</t>
        </is>
      </c>
      <c r="W72" s="17" t="inlineStr">
        <is>
          <t>Constellation (100)</t>
        </is>
      </c>
      <c r="X72" s="17" t="inlineStr">
        <is>
          <t>First of a repeat set</t>
        </is>
      </c>
      <c r="Y72" s="19" t="inlineStr">
        <is>
          <t>View Photo</t>
        </is>
      </c>
    </row>
    <row r="73">
      <c r="A73" s="17" t="inlineStr">
        <is>
          <t>D0072</t>
        </is>
      </c>
      <c r="B73" s="17" t="inlineStr">
        <is>
          <t>07/07/2026</t>
        </is>
      </c>
      <c r="C73" s="17" t="inlineStr">
        <is>
          <t>07/07/2026 11:41 AM</t>
        </is>
      </c>
      <c r="D73" s="17" t="inlineStr">
        <is>
          <t>mickey obrien</t>
        </is>
      </c>
      <c r="E73" s="17" t="inlineStr">
        <is>
          <t>Sales Associate</t>
        </is>
      </c>
      <c r="F73" s="17" t="inlineStr">
        <is>
          <t>Michael Engel</t>
        </is>
      </c>
      <c r="G73" s="17" t="inlineStr">
        <is>
          <t>49066</t>
        </is>
      </c>
      <c r="H73" s="17" t="inlineStr">
        <is>
          <t>MITSUWA MARKET (A)</t>
        </is>
      </c>
      <c r="I73" s="17" t="inlineStr">
        <is>
          <t>EDGEWATER</t>
        </is>
      </c>
      <c r="J73" s="17" t="inlineStr">
        <is>
          <t>HUSA (Heineken USA)</t>
        </is>
      </c>
      <c r="K73" s="25" t="n">
        <v>4</v>
      </c>
      <c r="L73" s="17" t="inlineStr">
        <is>
          <t>Gold (70+)</t>
        </is>
      </c>
      <c r="M73" s="18" t="n">
        <v>100</v>
      </c>
      <c r="N73" s="18" t="n">
        <v>100</v>
      </c>
      <c r="O73" s="17" t="inlineStr">
        <is>
          <t>Priority</t>
        </is>
      </c>
      <c r="P73" s="18" t="n">
        <v>1000</v>
      </c>
      <c r="Q73" s="17" t="inlineStr">
        <is>
          <t>Yes</t>
        </is>
      </c>
      <c r="R73" s="17" t="inlineStr">
        <is>
          <t>HEINEKEN</t>
        </is>
      </c>
      <c r="S73" s="17" t="inlineStr">
        <is>
          <t>HEINEKEN</t>
        </is>
      </c>
      <c r="T73" s="17" t="inlineStr">
        <is>
          <t>HEINEKEN</t>
        </is>
      </c>
      <c r="U73" s="25" t="n">
        <v>1</v>
      </c>
      <c r="V73" s="17" t="inlineStr">
        <is>
          <t>No</t>
        </is>
      </c>
      <c r="W73" s="17" t="inlineStr">
        <is>
          <t>HUSA (Heineken USA) (100)</t>
        </is>
      </c>
      <c r="X73" s="17" t="inlineStr">
        <is>
          <t>First of a repeat set</t>
        </is>
      </c>
      <c r="Y73" s="19" t="inlineStr">
        <is>
          <t>View Photo</t>
        </is>
      </c>
    </row>
    <row r="74">
      <c r="A74" s="17" t="inlineStr">
        <is>
          <t>D0073</t>
        </is>
      </c>
      <c r="B74" s="17" t="inlineStr">
        <is>
          <t>07/07/2026</t>
        </is>
      </c>
      <c r="C74" s="17" t="inlineStr">
        <is>
          <t>07/07/2026 11:42 AM</t>
        </is>
      </c>
      <c r="D74" s="17" t="inlineStr">
        <is>
          <t>Daniel La Gala</t>
        </is>
      </c>
      <c r="E74" s="17" t="inlineStr">
        <is>
          <t>Sales Rep</t>
        </is>
      </c>
      <c r="F74" s="17" t="inlineStr">
        <is>
          <t>Michael Engel</t>
        </is>
      </c>
      <c r="G74" s="17" t="inlineStr">
        <is>
          <t>49066</t>
        </is>
      </c>
      <c r="H74" s="17" t="inlineStr">
        <is>
          <t>MITSUWA MARKET (A)</t>
        </is>
      </c>
      <c r="I74" s="17" t="inlineStr">
        <is>
          <t>EDGEWATER</t>
        </is>
      </c>
      <c r="J74" s="17" t="inlineStr">
        <is>
          <t>HUSA (Heineken USA)</t>
        </is>
      </c>
      <c r="K74" s="25" t="n">
        <v>4</v>
      </c>
      <c r="L74" s="17" t="inlineStr">
        <is>
          <t>Gold (70+)</t>
        </is>
      </c>
      <c r="M74" s="18" t="n">
        <v>100</v>
      </c>
      <c r="N74" s="18" t="n">
        <v>100</v>
      </c>
      <c r="O74" s="17" t="inlineStr">
        <is>
          <t>Priority</t>
        </is>
      </c>
      <c r="P74" s="18" t="n">
        <v>1000</v>
      </c>
      <c r="Q74" s="17" t="inlineStr">
        <is>
          <t>Yes</t>
        </is>
      </c>
      <c r="R74" s="17" t="inlineStr">
        <is>
          <t>HEINEKEN</t>
        </is>
      </c>
      <c r="S74" s="17" t="inlineStr">
        <is>
          <t>HEINEKEN</t>
        </is>
      </c>
      <c r="T74" s="17" t="inlineStr">
        <is>
          <t>HEINEKEN</t>
        </is>
      </c>
      <c r="U74" s="25" t="n">
        <v>1</v>
      </c>
      <c r="V74" s="17" t="inlineStr">
        <is>
          <t>No</t>
        </is>
      </c>
      <c r="W74" s="17" t="inlineStr">
        <is>
          <t>HUSA (Heineken USA) (100)</t>
        </is>
      </c>
      <c r="X74" s="26" t="inlineStr">
        <is>
          <t>Possible duplicate</t>
        </is>
      </c>
      <c r="Y74" s="19" t="inlineStr">
        <is>
          <t>View Photo</t>
        </is>
      </c>
    </row>
    <row r="75">
      <c r="A75" s="17" t="inlineStr">
        <is>
          <t>D0074</t>
        </is>
      </c>
      <c r="B75" s="17" t="inlineStr">
        <is>
          <t>07/07/2026</t>
        </is>
      </c>
      <c r="C75" s="17" t="inlineStr">
        <is>
          <t>07/07/2026 11:42 AM</t>
        </is>
      </c>
      <c r="D75" s="17" t="inlineStr">
        <is>
          <t>mickey obrien</t>
        </is>
      </c>
      <c r="E75" s="17" t="inlineStr">
        <is>
          <t>Sales Associate</t>
        </is>
      </c>
      <c r="F75" s="17" t="inlineStr">
        <is>
          <t>Michael Engel</t>
        </is>
      </c>
      <c r="G75" s="17" t="inlineStr">
        <is>
          <t>49066</t>
        </is>
      </c>
      <c r="H75" s="17" t="inlineStr">
        <is>
          <t>MITSUWA MARKET (A)</t>
        </is>
      </c>
      <c r="I75" s="17" t="inlineStr">
        <is>
          <t>EDGEWATER</t>
        </is>
      </c>
      <c r="J75" s="17" t="inlineStr">
        <is>
          <t>Constellation</t>
        </is>
      </c>
      <c r="K75" s="25" t="n">
        <v>4</v>
      </c>
      <c r="L75" s="17" t="inlineStr">
        <is>
          <t>Gold (70+)</t>
        </is>
      </c>
      <c r="M75" s="18" t="n">
        <v>100</v>
      </c>
      <c r="N75" s="18" t="n">
        <v>100</v>
      </c>
      <c r="O75" s="17" t="inlineStr">
        <is>
          <t>Priority</t>
        </is>
      </c>
      <c r="P75" s="18" t="n">
        <v>1000</v>
      </c>
      <c r="Q75" s="17" t="inlineStr">
        <is>
          <t>Yes</t>
        </is>
      </c>
      <c r="R75" s="17" t="inlineStr">
        <is>
          <t>MODELO CERVEZA</t>
        </is>
      </c>
      <c r="S75" s="17" t="inlineStr">
        <is>
          <t>MODELO CERVEZA</t>
        </is>
      </c>
      <c r="T75" s="17" t="inlineStr">
        <is>
          <t>CONSTELLATION BRANDS</t>
        </is>
      </c>
      <c r="U75" s="25" t="n">
        <v>1</v>
      </c>
      <c r="V75" s="17" t="inlineStr">
        <is>
          <t>No</t>
        </is>
      </c>
      <c r="W75" s="17" t="inlineStr">
        <is>
          <t>Constellation (100)</t>
        </is>
      </c>
      <c r="X75" s="26" t="inlineStr">
        <is>
          <t>Possible duplicate</t>
        </is>
      </c>
      <c r="Y75" s="19" t="inlineStr">
        <is>
          <t>View Photo</t>
        </is>
      </c>
    </row>
    <row r="76">
      <c r="A76" s="17" t="inlineStr">
        <is>
          <t>D0075</t>
        </is>
      </c>
      <c r="B76" s="17" t="inlineStr">
        <is>
          <t>07/07/2026</t>
        </is>
      </c>
      <c r="C76" s="17" t="inlineStr">
        <is>
          <t>07/07/2026 11:48 AM</t>
        </is>
      </c>
      <c r="D76" s="17" t="inlineStr">
        <is>
          <t>Daniel La Gala</t>
        </is>
      </c>
      <c r="E76" s="17" t="inlineStr">
        <is>
          <t>Sales Rep</t>
        </is>
      </c>
      <c r="F76" s="17" t="inlineStr">
        <is>
          <t>Michael Engel</t>
        </is>
      </c>
      <c r="G76" s="17" t="inlineStr">
        <is>
          <t>49066</t>
        </is>
      </c>
      <c r="H76" s="17" t="inlineStr">
        <is>
          <t>MITSUWA MARKET (A)</t>
        </is>
      </c>
      <c r="I76" s="17" t="inlineStr">
        <is>
          <t>EDGEWATER</t>
        </is>
      </c>
      <c r="J76" s="17" t="inlineStr">
        <is>
          <t>All Other: NEW BELGIUM BRANDS</t>
        </is>
      </c>
      <c r="K76" s="25" t="n">
        <v>4</v>
      </c>
      <c r="L76" s="17" t="inlineStr">
        <is>
          <t>Gold (70+)</t>
        </is>
      </c>
      <c r="M76" s="18" t="n">
        <v>100</v>
      </c>
      <c r="N76" s="18" t="n">
        <v>100</v>
      </c>
      <c r="O76" s="17" t="inlineStr">
        <is>
          <t>All Other</t>
        </is>
      </c>
      <c r="P76" s="18" t="n">
        <v>600</v>
      </c>
      <c r="Q76" s="17" t="inlineStr">
        <is>
          <t>Yes</t>
        </is>
      </c>
      <c r="R76" s="17" t="inlineStr">
        <is>
          <t>KIRIN ICHIBAN</t>
        </is>
      </c>
      <c r="S76" s="17" t="inlineStr">
        <is>
          <t>KIRIN ICHIBAN</t>
        </is>
      </c>
      <c r="T76" s="17" t="inlineStr">
        <is>
          <t>NEW BELGIUM BRANDS</t>
        </is>
      </c>
      <c r="U76" s="25" t="n">
        <v>1</v>
      </c>
      <c r="V76" s="17" t="inlineStr">
        <is>
          <t>No</t>
        </is>
      </c>
      <c r="W76" s="17" t="inlineStr">
        <is>
          <t>All Other: NEW BELGIUM BRANDS (100)</t>
        </is>
      </c>
      <c r="X76" s="17" t="inlineStr">
        <is>
          <t>First of a repeat set</t>
        </is>
      </c>
      <c r="Y76" s="19" t="inlineStr">
        <is>
          <t>View Photo</t>
        </is>
      </c>
    </row>
    <row r="77">
      <c r="A77" s="17" t="inlineStr">
        <is>
          <t>D0076</t>
        </is>
      </c>
      <c r="B77" s="17" t="inlineStr">
        <is>
          <t>07/07/2026</t>
        </is>
      </c>
      <c r="C77" s="17" t="inlineStr">
        <is>
          <t>07/07/2026 11:54 AM</t>
        </is>
      </c>
      <c r="D77" s="17" t="inlineStr">
        <is>
          <t>mickey obrien</t>
        </is>
      </c>
      <c r="E77" s="17" t="inlineStr">
        <is>
          <t>Sales Associate</t>
        </is>
      </c>
      <c r="F77" s="17" t="inlineStr">
        <is>
          <t>Michael Engel</t>
        </is>
      </c>
      <c r="G77" s="17" t="inlineStr">
        <is>
          <t>49066</t>
        </is>
      </c>
      <c r="H77" s="17" t="inlineStr">
        <is>
          <t>MITSUWA MARKET (A)</t>
        </is>
      </c>
      <c r="I77" s="17" t="inlineStr">
        <is>
          <t>EDGEWATER</t>
        </is>
      </c>
      <c r="J77" s="17" t="inlineStr">
        <is>
          <t>All Other: NEW BELGIUM BRANDS</t>
        </is>
      </c>
      <c r="K77" s="25" t="n">
        <v>4</v>
      </c>
      <c r="L77" s="17" t="inlineStr">
        <is>
          <t>Gold (70+)</t>
        </is>
      </c>
      <c r="M77" s="18" t="n">
        <v>100</v>
      </c>
      <c r="N77" s="18" t="n">
        <v>100</v>
      </c>
      <c r="O77" s="17" t="inlineStr">
        <is>
          <t>All Other</t>
        </is>
      </c>
      <c r="P77" s="18" t="n">
        <v>600</v>
      </c>
      <c r="Q77" s="17" t="inlineStr">
        <is>
          <t>Yes</t>
        </is>
      </c>
      <c r="R77" s="17" t="inlineStr">
        <is>
          <t>KIRIN ICHIBAN</t>
        </is>
      </c>
      <c r="S77" s="17" t="inlineStr">
        <is>
          <t>KIRIN ICHIBAN</t>
        </is>
      </c>
      <c r="T77" s="17" t="inlineStr">
        <is>
          <t>NEW BELGIUM BRANDS</t>
        </is>
      </c>
      <c r="U77" s="25" t="n">
        <v>1</v>
      </c>
      <c r="V77" s="17" t="inlineStr">
        <is>
          <t>No</t>
        </is>
      </c>
      <c r="W77" s="17" t="inlineStr">
        <is>
          <t>All Other: NEW BELGIUM BRANDS (100)</t>
        </is>
      </c>
      <c r="X77" s="26" t="inlineStr">
        <is>
          <t>Possible duplicate</t>
        </is>
      </c>
      <c r="Y77" s="19" t="inlineStr">
        <is>
          <t>View Photo</t>
        </is>
      </c>
    </row>
    <row r="78">
      <c r="A78" s="17" t="inlineStr">
        <is>
          <t>D0077</t>
        </is>
      </c>
      <c r="B78" s="17" t="inlineStr">
        <is>
          <t>07/07/2026</t>
        </is>
      </c>
      <c r="C78" s="17" t="inlineStr">
        <is>
          <t>07/07/2026 11:54 AM</t>
        </is>
      </c>
      <c r="D78" s="17" t="inlineStr">
        <is>
          <t>patrick infante</t>
        </is>
      </c>
      <c r="E78" s="17" t="inlineStr">
        <is>
          <t>Sales Associate</t>
        </is>
      </c>
      <c r="F78" s="17" t="inlineStr">
        <is>
          <t>Michael Engel</t>
        </is>
      </c>
      <c r="G78" s="17" t="inlineStr">
        <is>
          <t>49066</t>
        </is>
      </c>
      <c r="H78" s="17" t="inlineStr">
        <is>
          <t>MITSUWA MARKET (A)</t>
        </is>
      </c>
      <c r="I78" s="17" t="inlineStr">
        <is>
          <t>EDGEWATER</t>
        </is>
      </c>
      <c r="J78" s="17" t="inlineStr">
        <is>
          <t>All Other: NEW BELGIUM BRANDS</t>
        </is>
      </c>
      <c r="K78" s="25" t="n">
        <v>4</v>
      </c>
      <c r="L78" s="17" t="inlineStr">
        <is>
          <t>Gold (70+)</t>
        </is>
      </c>
      <c r="M78" s="18" t="n">
        <v>100</v>
      </c>
      <c r="N78" s="18" t="n">
        <v>100</v>
      </c>
      <c r="O78" s="17" t="inlineStr">
        <is>
          <t>All Other</t>
        </is>
      </c>
      <c r="P78" s="18" t="n">
        <v>600</v>
      </c>
      <c r="Q78" s="17" t="inlineStr">
        <is>
          <t>Yes</t>
        </is>
      </c>
      <c r="R78" s="17" t="inlineStr">
        <is>
          <t>KIRIN ICHIBAN</t>
        </is>
      </c>
      <c r="S78" s="17" t="inlineStr">
        <is>
          <t>KIRIN ICHIBAN</t>
        </is>
      </c>
      <c r="T78" s="17" t="inlineStr">
        <is>
          <t>NEW BELGIUM BRANDS</t>
        </is>
      </c>
      <c r="U78" s="25" t="n">
        <v>1</v>
      </c>
      <c r="V78" s="17" t="inlineStr">
        <is>
          <t>No</t>
        </is>
      </c>
      <c r="W78" s="17" t="inlineStr">
        <is>
          <t>All Other: NEW BELGIUM BRANDS (100)</t>
        </is>
      </c>
      <c r="X78" s="26" t="inlineStr">
        <is>
          <t>Possible duplicate</t>
        </is>
      </c>
      <c r="Y78" s="19" t="inlineStr">
        <is>
          <t>View Photo</t>
        </is>
      </c>
    </row>
    <row r="79">
      <c r="A79" s="17" t="inlineStr">
        <is>
          <t>D0078</t>
        </is>
      </c>
      <c r="B79" s="17" t="inlineStr">
        <is>
          <t>07/08/2026</t>
        </is>
      </c>
      <c r="C79" s="17" t="inlineStr">
        <is>
          <t>07/08/2026 02:17 PM</t>
        </is>
      </c>
      <c r="D79" s="17" t="inlineStr">
        <is>
          <t>Dave Ehlers</t>
        </is>
      </c>
      <c r="E79" s="17" t="inlineStr">
        <is>
          <t>Sales Rep</t>
        </is>
      </c>
      <c r="F79" s="17" t="inlineStr">
        <is>
          <t>Michael Engel</t>
        </is>
      </c>
      <c r="G79" s="17" t="inlineStr">
        <is>
          <t>58001</t>
        </is>
      </c>
      <c r="H79" s="17" t="inlineStr">
        <is>
          <t>TOTAL WINE &amp; MORE (RIVER EDGE)</t>
        </is>
      </c>
      <c r="I79" s="17" t="inlineStr">
        <is>
          <t>RIVER EDGE</t>
        </is>
      </c>
      <c r="J79" s="17" t="inlineStr">
        <is>
          <t>Constellation</t>
        </is>
      </c>
      <c r="K79" s="25" t="n">
        <v>4</v>
      </c>
      <c r="L79" s="17" t="inlineStr">
        <is>
          <t>Gold (70+)</t>
        </is>
      </c>
      <c r="M79" s="18" t="n">
        <v>100</v>
      </c>
      <c r="N79" s="18" t="n">
        <v>100</v>
      </c>
      <c r="O79" s="17" t="inlineStr">
        <is>
          <t>Priority</t>
        </is>
      </c>
      <c r="P79" s="18" t="n">
        <v>1000</v>
      </c>
      <c r="Q79" s="17" t="inlineStr">
        <is>
          <t>Yes</t>
        </is>
      </c>
      <c r="R79" s="17" t="inlineStr">
        <is>
          <t>CORONA EXTRA</t>
        </is>
      </c>
      <c r="S79" s="17" t="inlineStr">
        <is>
          <t>CORONA EXTRA</t>
        </is>
      </c>
      <c r="T79" s="17" t="inlineStr">
        <is>
          <t>CONSTELLATION BRANDS</t>
        </is>
      </c>
      <c r="U79" s="25" t="n">
        <v>1</v>
      </c>
      <c r="V79" s="17" t="inlineStr">
        <is>
          <t>No</t>
        </is>
      </c>
      <c r="W79" s="17" t="inlineStr">
        <is>
          <t>Constellation (100)</t>
        </is>
      </c>
      <c r="X79" s="17" t="inlineStr">
        <is>
          <t>First of a repeat set</t>
        </is>
      </c>
      <c r="Y79" s="19" t="inlineStr">
        <is>
          <t>View Photo</t>
        </is>
      </c>
    </row>
    <row r="80">
      <c r="A80" s="17" t="inlineStr">
        <is>
          <t>D0079</t>
        </is>
      </c>
      <c r="B80" s="17" t="inlineStr">
        <is>
          <t>07/08/2026</t>
        </is>
      </c>
      <c r="C80" s="17" t="inlineStr">
        <is>
          <t>07/08/2026 02:18 PM</t>
        </is>
      </c>
      <c r="D80" s="17" t="inlineStr">
        <is>
          <t>mickey obrien</t>
        </is>
      </c>
      <c r="E80" s="17" t="inlineStr">
        <is>
          <t>Sales Associate</t>
        </is>
      </c>
      <c r="F80" s="17" t="inlineStr">
        <is>
          <t>Michael Engel</t>
        </is>
      </c>
      <c r="G80" s="17" t="inlineStr">
        <is>
          <t>58001</t>
        </is>
      </c>
      <c r="H80" s="17" t="inlineStr">
        <is>
          <t>TOTAL WINE &amp; MORE (RIVER EDGE)</t>
        </is>
      </c>
      <c r="I80" s="17" t="inlineStr">
        <is>
          <t>RIVER EDGE</t>
        </is>
      </c>
      <c r="J80" s="17" t="inlineStr">
        <is>
          <t>Constellation</t>
        </is>
      </c>
      <c r="K80" s="25" t="n">
        <v>4</v>
      </c>
      <c r="L80" s="17" t="inlineStr">
        <is>
          <t>Gold (70+)</t>
        </is>
      </c>
      <c r="M80" s="18" t="n">
        <v>100</v>
      </c>
      <c r="N80" s="18" t="n">
        <v>100</v>
      </c>
      <c r="O80" s="17" t="inlineStr">
        <is>
          <t>Priority</t>
        </is>
      </c>
      <c r="P80" s="18" t="n">
        <v>1000</v>
      </c>
      <c r="Q80" s="17" t="inlineStr">
        <is>
          <t>Yes</t>
        </is>
      </c>
      <c r="R80" s="17" t="inlineStr">
        <is>
          <t>CORONA EXTRA</t>
        </is>
      </c>
      <c r="S80" s="17" t="inlineStr">
        <is>
          <t>CORONA EXTRA</t>
        </is>
      </c>
      <c r="T80" s="17" t="inlineStr">
        <is>
          <t>CONSTELLATION BRANDS</t>
        </is>
      </c>
      <c r="U80" s="25" t="n">
        <v>1</v>
      </c>
      <c r="V80" s="17" t="inlineStr">
        <is>
          <t>No</t>
        </is>
      </c>
      <c r="W80" s="17" t="inlineStr">
        <is>
          <t>Constellation (100)</t>
        </is>
      </c>
      <c r="X80" s="26" t="inlineStr">
        <is>
          <t>Possible duplicate</t>
        </is>
      </c>
      <c r="Y80" s="19" t="inlineStr">
        <is>
          <t>View Photo</t>
        </is>
      </c>
    </row>
    <row r="81">
      <c r="A81" s="17" t="inlineStr">
        <is>
          <t>D0080</t>
        </is>
      </c>
      <c r="B81" s="17" t="inlineStr">
        <is>
          <t>07/08/2026</t>
        </is>
      </c>
      <c r="C81" s="17" t="inlineStr">
        <is>
          <t>07/08/2026 02:48 PM</t>
        </is>
      </c>
      <c r="D81" s="17" t="inlineStr">
        <is>
          <t>Dave Ehlers</t>
        </is>
      </c>
      <c r="E81" s="17" t="inlineStr">
        <is>
          <t>Sales Rep</t>
        </is>
      </c>
      <c r="F81" s="17" t="inlineStr">
        <is>
          <t>Michael Engel</t>
        </is>
      </c>
      <c r="G81" s="17" t="inlineStr">
        <is>
          <t>58001</t>
        </is>
      </c>
      <c r="H81" s="17" t="inlineStr">
        <is>
          <t>TOTAL WINE &amp; MORE (RIVER EDGE)</t>
        </is>
      </c>
      <c r="I81" s="17" t="inlineStr">
        <is>
          <t>RIVER EDGE</t>
        </is>
      </c>
      <c r="J81" s="17" t="inlineStr">
        <is>
          <t>Constellation</t>
        </is>
      </c>
      <c r="K81" s="25" t="n">
        <v>4</v>
      </c>
      <c r="L81" s="17" t="inlineStr">
        <is>
          <t>Gold (70+)</t>
        </is>
      </c>
      <c r="M81" s="18" t="n">
        <v>100</v>
      </c>
      <c r="N81" s="18" t="n">
        <v>100</v>
      </c>
      <c r="O81" s="17" t="inlineStr">
        <is>
          <t>Priority</t>
        </is>
      </c>
      <c r="P81" s="18" t="n">
        <v>1000</v>
      </c>
      <c r="Q81" s="17" t="inlineStr">
        <is>
          <t>Yes</t>
        </is>
      </c>
      <c r="R81" s="17" t="inlineStr">
        <is>
          <t>CORONA</t>
        </is>
      </c>
      <c r="S81" s="17" t="inlineStr">
        <is>
          <t>CORONA</t>
        </is>
      </c>
      <c r="T81" s="17" t="inlineStr">
        <is>
          <t>CONSTELLATION BRANDS</t>
        </is>
      </c>
      <c r="U81" s="25" t="n">
        <v>1</v>
      </c>
      <c r="V81" s="17" t="inlineStr">
        <is>
          <t>No</t>
        </is>
      </c>
      <c r="W81" s="17" t="inlineStr">
        <is>
          <t>Constellation (100)</t>
        </is>
      </c>
      <c r="X81" s="17" t="inlineStr">
        <is>
          <t>First of a repeat set</t>
        </is>
      </c>
      <c r="Y81" s="19" t="inlineStr">
        <is>
          <t>View Photo</t>
        </is>
      </c>
    </row>
    <row r="82">
      <c r="A82" s="17" t="inlineStr">
        <is>
          <t>D0081</t>
        </is>
      </c>
      <c r="B82" s="17" t="inlineStr">
        <is>
          <t>07/08/2026</t>
        </is>
      </c>
      <c r="C82" s="17" t="inlineStr">
        <is>
          <t>07/08/2026 02:48 PM</t>
        </is>
      </c>
      <c r="D82" s="17" t="inlineStr">
        <is>
          <t>mickey obrien</t>
        </is>
      </c>
      <c r="E82" s="17" t="inlineStr">
        <is>
          <t>Sales Associate</t>
        </is>
      </c>
      <c r="F82" s="17" t="inlineStr">
        <is>
          <t>Michael Engel</t>
        </is>
      </c>
      <c r="G82" s="17" t="inlineStr">
        <is>
          <t>58001</t>
        </is>
      </c>
      <c r="H82" s="17" t="inlineStr">
        <is>
          <t>TOTAL WINE &amp; MORE (RIVER EDGE)</t>
        </is>
      </c>
      <c r="I82" s="17" t="inlineStr">
        <is>
          <t>RIVER EDGE</t>
        </is>
      </c>
      <c r="J82" s="17" t="inlineStr">
        <is>
          <t>Constellation</t>
        </is>
      </c>
      <c r="K82" s="25" t="n">
        <v>4</v>
      </c>
      <c r="L82" s="17" t="inlineStr">
        <is>
          <t>Gold (70+)</t>
        </is>
      </c>
      <c r="M82" s="18" t="n">
        <v>100</v>
      </c>
      <c r="N82" s="18" t="n">
        <v>100</v>
      </c>
      <c r="O82" s="17" t="inlineStr">
        <is>
          <t>Priority</t>
        </is>
      </c>
      <c r="P82" s="18" t="n">
        <v>1000</v>
      </c>
      <c r="Q82" s="17" t="inlineStr">
        <is>
          <t>Yes</t>
        </is>
      </c>
      <c r="R82" s="17" t="inlineStr">
        <is>
          <t>CORONA</t>
        </is>
      </c>
      <c r="S82" s="17" t="inlineStr">
        <is>
          <t>CORONA</t>
        </is>
      </c>
      <c r="T82" s="17" t="inlineStr">
        <is>
          <t>CONSTELLATION BRANDS</t>
        </is>
      </c>
      <c r="U82" s="25" t="n">
        <v>1</v>
      </c>
      <c r="V82" s="17" t="inlineStr">
        <is>
          <t>No</t>
        </is>
      </c>
      <c r="W82" s="17" t="inlineStr">
        <is>
          <t>Constellation (100)</t>
        </is>
      </c>
      <c r="X82" s="26" t="inlineStr">
        <is>
          <t>Possible duplicate</t>
        </is>
      </c>
      <c r="Y82" s="19" t="inlineStr">
        <is>
          <t>View Photo</t>
        </is>
      </c>
    </row>
    <row r="83">
      <c r="A83" s="17" t="inlineStr">
        <is>
          <t>D0082</t>
        </is>
      </c>
      <c r="B83" s="17" t="inlineStr">
        <is>
          <t>07/13/2026</t>
        </is>
      </c>
      <c r="C83" s="17" t="inlineStr">
        <is>
          <t>07/13/2026 02:20 PM</t>
        </is>
      </c>
      <c r="D83" s="17" t="inlineStr">
        <is>
          <t>Mike Ast</t>
        </is>
      </c>
      <c r="E83" s="17" t="inlineStr">
        <is>
          <t>Sales Rep</t>
        </is>
      </c>
      <c r="F83" s="17" t="inlineStr">
        <is>
          <t>Paul Deady</t>
        </is>
      </c>
      <c r="G83" s="17" t="inlineStr">
        <is>
          <t>12011</t>
        </is>
      </c>
      <c r="H83" s="17" t="inlineStr">
        <is>
          <t>BOTTLE KING (A) WAYNE</t>
        </is>
      </c>
      <c r="I83" s="17" t="inlineStr">
        <is>
          <t>WAYNE</t>
        </is>
      </c>
      <c r="J83" s="17" t="inlineStr">
        <is>
          <t>Molson Coors</t>
        </is>
      </c>
      <c r="K83" s="25" t="n">
        <v>4</v>
      </c>
      <c r="L83" s="17" t="inlineStr">
        <is>
          <t>Gold (70+)</t>
        </is>
      </c>
      <c r="M83" s="18" t="n">
        <v>100</v>
      </c>
      <c r="N83" s="18" t="n">
        <v>100</v>
      </c>
      <c r="O83" s="17" t="inlineStr">
        <is>
          <t>Priority</t>
        </is>
      </c>
      <c r="P83" s="18" t="n">
        <v>1000</v>
      </c>
      <c r="Q83" s="17" t="inlineStr">
        <is>
          <t>Yes</t>
        </is>
      </c>
      <c r="R83" s="17" t="inlineStr">
        <is>
          <t>COORS LIGHT</t>
        </is>
      </c>
      <c r="S83" s="17" t="inlineStr">
        <is>
          <t>COORS LIGHT, MILLER LITE</t>
        </is>
      </c>
      <c r="T83" s="17" t="inlineStr">
        <is>
          <t>MOLSON COORS BEVERAGE COMPANY</t>
        </is>
      </c>
      <c r="U83" s="25" t="n">
        <v>2</v>
      </c>
      <c r="V83" s="17" t="inlineStr">
        <is>
          <t>No</t>
        </is>
      </c>
      <c r="W83" s="17" t="inlineStr">
        <is>
          <t>Molson Coors (100)</t>
        </is>
      </c>
      <c r="X83" s="17" t="inlineStr">
        <is>
          <t>—</t>
        </is>
      </c>
      <c r="Y83" s="19" t="inlineStr">
        <is>
          <t>View Photo</t>
        </is>
      </c>
    </row>
    <row r="84">
      <c r="A84" s="17" t="inlineStr">
        <is>
          <t>D0083</t>
        </is>
      </c>
      <c r="B84" s="17" t="inlineStr">
        <is>
          <t>07/15/2026</t>
        </is>
      </c>
      <c r="C84" s="17" t="inlineStr">
        <is>
          <t>07/15/2026 01:15 PM</t>
        </is>
      </c>
      <c r="D84" s="17" t="inlineStr">
        <is>
          <t>John Neukum</t>
        </is>
      </c>
      <c r="E84" s="17" t="inlineStr">
        <is>
          <t>Sales Rep</t>
        </is>
      </c>
      <c r="F84" s="17" t="inlineStr">
        <is>
          <t>Michael Engel</t>
        </is>
      </c>
      <c r="G84" s="17" t="inlineStr">
        <is>
          <t>39016</t>
        </is>
      </c>
      <c r="H84" s="17" t="inlineStr">
        <is>
          <t>NB LIQUORS</t>
        </is>
      </c>
      <c r="I84" s="17" t="inlineStr">
        <is>
          <t>TETERBORO</t>
        </is>
      </c>
      <c r="J84" s="17" t="inlineStr">
        <is>
          <t>Sapporo</t>
        </is>
      </c>
      <c r="K84" s="25" t="n">
        <v>4</v>
      </c>
      <c r="L84" s="17" t="inlineStr">
        <is>
          <t>Gold (70+)</t>
        </is>
      </c>
      <c r="M84" s="18" t="n">
        <v>100</v>
      </c>
      <c r="N84" s="18" t="n">
        <v>100</v>
      </c>
      <c r="O84" s="17" t="inlineStr">
        <is>
          <t>Priority</t>
        </is>
      </c>
      <c r="P84" s="18" t="n">
        <v>1000</v>
      </c>
      <c r="Q84" s="17" t="inlineStr">
        <is>
          <t>Yes</t>
        </is>
      </c>
      <c r="R84" s="17" t="inlineStr">
        <is>
          <t>SAPPORO</t>
        </is>
      </c>
      <c r="S84" s="17" t="inlineStr">
        <is>
          <t>SAPPORO</t>
        </is>
      </c>
      <c r="T84" s="17" t="inlineStr">
        <is>
          <t>SAPPORO</t>
        </is>
      </c>
      <c r="U84" s="25" t="n">
        <v>1</v>
      </c>
      <c r="V84" s="17" t="inlineStr">
        <is>
          <t>No</t>
        </is>
      </c>
      <c r="W84" s="17" t="inlineStr">
        <is>
          <t>Sapporo (100)</t>
        </is>
      </c>
      <c r="X84" s="17" t="inlineStr">
        <is>
          <t>—</t>
        </is>
      </c>
      <c r="Y84" s="19" t="inlineStr">
        <is>
          <t>View Photo</t>
        </is>
      </c>
    </row>
    <row r="85">
      <c r="A85" s="17" t="inlineStr">
        <is>
          <t>D0084</t>
        </is>
      </c>
      <c r="B85" s="17" t="inlineStr">
        <is>
          <t>07/15/2026</t>
        </is>
      </c>
      <c r="C85" s="17" t="inlineStr">
        <is>
          <t>07/15/2026 01:39 PM</t>
        </is>
      </c>
      <c r="D85" s="17" t="inlineStr">
        <is>
          <t>John Neukum</t>
        </is>
      </c>
      <c r="E85" s="17" t="inlineStr">
        <is>
          <t>Sales Rep</t>
        </is>
      </c>
      <c r="F85" s="17" t="inlineStr">
        <is>
          <t>Michael Engel</t>
        </is>
      </c>
      <c r="G85" s="17" t="inlineStr">
        <is>
          <t>31019</t>
        </is>
      </c>
      <c r="H85" s="17" t="inlineStr">
        <is>
          <t>BJ'S WAREHOUSE E RUTHERFO</t>
        </is>
      </c>
      <c r="I85" s="17" t="inlineStr">
        <is>
          <t>EAST RUTHERFORD</t>
        </is>
      </c>
      <c r="J85" s="17" t="inlineStr">
        <is>
          <t>Constellation</t>
        </is>
      </c>
      <c r="K85" s="25" t="n">
        <v>4</v>
      </c>
      <c r="L85" s="17" t="inlineStr">
        <is>
          <t>Gold (70+)</t>
        </is>
      </c>
      <c r="M85" s="18" t="n">
        <v>100</v>
      </c>
      <c r="N85" s="18" t="n">
        <v>100</v>
      </c>
      <c r="O85" s="17" t="inlineStr">
        <is>
          <t>Priority</t>
        </is>
      </c>
      <c r="P85" s="18" t="n">
        <v>1000</v>
      </c>
      <c r="Q85" s="17" t="inlineStr">
        <is>
          <t>Yes</t>
        </is>
      </c>
      <c r="R85" s="17" t="inlineStr">
        <is>
          <t>CERVEZA VICTORIA</t>
        </is>
      </c>
      <c r="S85" s="17" t="inlineStr">
        <is>
          <t>CERVEZA VICTORIA</t>
        </is>
      </c>
      <c r="T85" s="17" t="inlineStr">
        <is>
          <t>CONSTELLATION BRANDS</t>
        </is>
      </c>
      <c r="U85" s="25" t="n">
        <v>1</v>
      </c>
      <c r="V85" s="17" t="inlineStr">
        <is>
          <t>No</t>
        </is>
      </c>
      <c r="W85" s="17" t="inlineStr">
        <is>
          <t>Constellation (100)</t>
        </is>
      </c>
      <c r="X85" s="17" t="inlineStr">
        <is>
          <t>—</t>
        </is>
      </c>
      <c r="Y85" s="19" t="inlineStr">
        <is>
          <t>View Photo</t>
        </is>
      </c>
    </row>
    <row r="86">
      <c r="A86" s="17" t="inlineStr">
        <is>
          <t>D0085</t>
        </is>
      </c>
      <c r="B86" s="17" t="inlineStr">
        <is>
          <t>07/15/2026</t>
        </is>
      </c>
      <c r="C86" s="17" t="inlineStr">
        <is>
          <t>07/15/2026 11:19 AM</t>
        </is>
      </c>
      <c r="D86" s="17" t="inlineStr">
        <is>
          <t>Nicholas Micco</t>
        </is>
      </c>
      <c r="E86" s="17" t="inlineStr">
        <is>
          <t>Sales Associate</t>
        </is>
      </c>
      <c r="F86" s="17" t="inlineStr">
        <is>
          <t>Michael Engel</t>
        </is>
      </c>
      <c r="G86" s="17" t="inlineStr">
        <is>
          <t>76010</t>
        </is>
      </c>
      <c r="H86" s="17" t="inlineStr">
        <is>
          <t>USA WINE TRADERS CLUB (SADDLE BROOK)</t>
        </is>
      </c>
      <c r="I86" s="17" t="inlineStr">
        <is>
          <t>SADDLE BROOK</t>
        </is>
      </c>
      <c r="J86" s="17" t="inlineStr">
        <is>
          <t>Constellation</t>
        </is>
      </c>
      <c r="K86" s="25" t="n">
        <v>4</v>
      </c>
      <c r="L86" s="17" t="inlineStr">
        <is>
          <t>Gold (70+)</t>
        </is>
      </c>
      <c r="M86" s="18" t="n">
        <v>100</v>
      </c>
      <c r="N86" s="18" t="n">
        <v>100</v>
      </c>
      <c r="O86" s="17" t="inlineStr">
        <is>
          <t>Priority</t>
        </is>
      </c>
      <c r="P86" s="18" t="n">
        <v>1000</v>
      </c>
      <c r="Q86" s="17" t="inlineStr">
        <is>
          <t>Yes</t>
        </is>
      </c>
      <c r="R86" s="17" t="inlineStr">
        <is>
          <t>MODELO CERVEZA</t>
        </is>
      </c>
      <c r="S86" s="17" t="inlineStr">
        <is>
          <t>MODELO CERVEZA, MODELO ORO</t>
        </is>
      </c>
      <c r="T86" s="17" t="inlineStr">
        <is>
          <t>CONSTELLATION BRANDS</t>
        </is>
      </c>
      <c r="U86" s="25" t="n">
        <v>3</v>
      </c>
      <c r="V86" s="17" t="inlineStr">
        <is>
          <t>No</t>
        </is>
      </c>
      <c r="W86" s="17" t="inlineStr">
        <is>
          <t>Constellation (100)</t>
        </is>
      </c>
      <c r="X86" s="17" t="inlineStr">
        <is>
          <t>—</t>
        </is>
      </c>
      <c r="Y86" s="19" t="inlineStr">
        <is>
          <t>View Photo</t>
        </is>
      </c>
    </row>
    <row r="87">
      <c r="A87" s="17" t="inlineStr">
        <is>
          <t>D0086</t>
        </is>
      </c>
      <c r="B87" s="17" t="inlineStr">
        <is>
          <t>07/21/2026</t>
        </is>
      </c>
      <c r="C87" s="17" t="inlineStr">
        <is>
          <t>07/21/2026 02:46 PM</t>
        </is>
      </c>
      <c r="D87" s="17" t="inlineStr">
        <is>
          <t>Nicholas Micco</t>
        </is>
      </c>
      <c r="E87" s="17" t="inlineStr">
        <is>
          <t>Sales Associate</t>
        </is>
      </c>
      <c r="F87" s="17" t="inlineStr">
        <is>
          <t>Michael Engel</t>
        </is>
      </c>
      <c r="G87" s="17" t="inlineStr">
        <is>
          <t>58001</t>
        </is>
      </c>
      <c r="H87" s="17" t="inlineStr">
        <is>
          <t>TOTAL WINE &amp; MORE (RIVER EDGE)</t>
        </is>
      </c>
      <c r="I87" s="17" t="inlineStr">
        <is>
          <t>RIVER EDGE</t>
        </is>
      </c>
      <c r="J87" s="17" t="inlineStr">
        <is>
          <t>Molson Coors</t>
        </is>
      </c>
      <c r="K87" s="25" t="n">
        <v>4</v>
      </c>
      <c r="L87" s="17" t="inlineStr">
        <is>
          <t>Gold (70+)</t>
        </is>
      </c>
      <c r="M87" s="18" t="n">
        <v>100</v>
      </c>
      <c r="N87" s="18" t="n">
        <v>100</v>
      </c>
      <c r="O87" s="17" t="inlineStr">
        <is>
          <t>Priority</t>
        </is>
      </c>
      <c r="P87" s="18" t="n">
        <v>1000</v>
      </c>
      <c r="Q87" s="17" t="inlineStr">
        <is>
          <t>Yes</t>
        </is>
      </c>
      <c r="R87" s="17" t="inlineStr">
        <is>
          <t>MILLER LITE</t>
        </is>
      </c>
      <c r="S87" s="17" t="inlineStr">
        <is>
          <t>MILLER LITE</t>
        </is>
      </c>
      <c r="T87" s="17" t="inlineStr">
        <is>
          <t>MOLSON COORS BEVERAGE COMPANY</t>
        </is>
      </c>
      <c r="U87" s="25" t="n">
        <v>1</v>
      </c>
      <c r="V87" s="17" t="inlineStr">
        <is>
          <t>No</t>
        </is>
      </c>
      <c r="W87" s="17" t="inlineStr">
        <is>
          <t>Molson Coors (100)</t>
        </is>
      </c>
      <c r="X87" s="17" t="inlineStr">
        <is>
          <t>First of a repeat set</t>
        </is>
      </c>
      <c r="Y87" s="19" t="inlineStr">
        <is>
          <t>View Photo</t>
        </is>
      </c>
    </row>
    <row r="88">
      <c r="A88" s="17" t="inlineStr">
        <is>
          <t>D0087</t>
        </is>
      </c>
      <c r="B88" s="17" t="inlineStr">
        <is>
          <t>07/28/2026</t>
        </is>
      </c>
      <c r="C88" s="17" t="inlineStr">
        <is>
          <t>07/28/2026 10:42 AM</t>
        </is>
      </c>
      <c r="D88" s="17" t="inlineStr">
        <is>
          <t>Dave Ehlers</t>
        </is>
      </c>
      <c r="E88" s="17" t="inlineStr">
        <is>
          <t>Sales Rep</t>
        </is>
      </c>
      <c r="F88" s="17" t="inlineStr">
        <is>
          <t>Michael Engel</t>
        </is>
      </c>
      <c r="G88" s="17" t="inlineStr">
        <is>
          <t>14007</t>
        </is>
      </c>
      <c r="H88" s="17" t="inlineStr">
        <is>
          <t>TOTAL WINE &amp; MORE (TOTOWA)</t>
        </is>
      </c>
      <c r="I88" s="17" t="inlineStr">
        <is>
          <t>TOTOWA</t>
        </is>
      </c>
      <c r="J88" s="17" t="inlineStr">
        <is>
          <t>Molson Coors</t>
        </is>
      </c>
      <c r="K88" s="25" t="n">
        <v>4</v>
      </c>
      <c r="L88" s="17" t="inlineStr">
        <is>
          <t>Gold (70+)</t>
        </is>
      </c>
      <c r="M88" s="18" t="n">
        <v>100</v>
      </c>
      <c r="N88" s="18" t="n">
        <v>100</v>
      </c>
      <c r="O88" s="17" t="inlineStr">
        <is>
          <t>Priority</t>
        </is>
      </c>
      <c r="P88" s="18" t="n">
        <v>1000</v>
      </c>
      <c r="Q88" s="17" t="inlineStr">
        <is>
          <t>Yes</t>
        </is>
      </c>
      <c r="R88" s="17" t="inlineStr">
        <is>
          <t>MILLER LITE</t>
        </is>
      </c>
      <c r="S88" s="17" t="inlineStr">
        <is>
          <t>MILLER LITE</t>
        </is>
      </c>
      <c r="T88" s="17" t="inlineStr">
        <is>
          <t>MOLSON COORS BEVERAGE COMPANY</t>
        </is>
      </c>
      <c r="U88" s="25" t="n">
        <v>1</v>
      </c>
      <c r="V88" s="17" t="inlineStr">
        <is>
          <t>No</t>
        </is>
      </c>
      <c r="W88" s="17" t="inlineStr">
        <is>
          <t>Molson Coors (100)</t>
        </is>
      </c>
      <c r="X88" s="17" t="inlineStr">
        <is>
          <t>—</t>
        </is>
      </c>
      <c r="Y88" s="19" t="inlineStr">
        <is>
          <t>View Photo</t>
        </is>
      </c>
    </row>
    <row r="89">
      <c r="A89" s="17" t="inlineStr">
        <is>
          <t>D0088</t>
        </is>
      </c>
      <c r="B89" s="17" t="inlineStr">
        <is>
          <t>07/30/2026</t>
        </is>
      </c>
      <c r="C89" s="17" t="inlineStr">
        <is>
          <t>07/30/2026 01:08 PM</t>
        </is>
      </c>
      <c r="D89" s="17" t="inlineStr">
        <is>
          <t>Derrick laws</t>
        </is>
      </c>
      <c r="E89" s="17" t="inlineStr">
        <is>
          <t>Sales Rep</t>
        </is>
      </c>
      <c r="F89" s="17" t="inlineStr">
        <is>
          <t>Denise Montes</t>
        </is>
      </c>
      <c r="G89" s="17" t="inlineStr">
        <is>
          <t>23004</t>
        </is>
      </c>
      <c r="H89" s="17" t="inlineStr">
        <is>
          <t>SHOP RITE WINES/SPIRITS</t>
        </is>
      </c>
      <c r="I89" s="17" t="inlineStr">
        <is>
          <t>CLIFTON</t>
        </is>
      </c>
      <c r="J89" s="17" t="inlineStr">
        <is>
          <t>HUSA (Heineken USA)</t>
        </is>
      </c>
      <c r="K89" s="25" t="n">
        <v>4</v>
      </c>
      <c r="L89" s="17" t="inlineStr">
        <is>
          <t>Gold (70+)</t>
        </is>
      </c>
      <c r="M89" s="18" t="n">
        <v>100</v>
      </c>
      <c r="N89" s="18" t="n">
        <v>100</v>
      </c>
      <c r="O89" s="17" t="inlineStr">
        <is>
          <t>Priority</t>
        </is>
      </c>
      <c r="P89" s="18" t="n">
        <v>1000</v>
      </c>
      <c r="Q89" s="17" t="inlineStr">
        <is>
          <t>Yes</t>
        </is>
      </c>
      <c r="R89" s="17" t="inlineStr">
        <is>
          <t>HEINEKEN</t>
        </is>
      </c>
      <c r="S89" s="17" t="inlineStr">
        <is>
          <t>HEINEKEN</t>
        </is>
      </c>
      <c r="T89" s="17" t="inlineStr">
        <is>
          <t>HEINEKEN</t>
        </is>
      </c>
      <c r="U89" s="25" t="n">
        <v>2</v>
      </c>
      <c r="V89" s="17" t="inlineStr">
        <is>
          <t>No</t>
        </is>
      </c>
      <c r="W89" s="17" t="inlineStr">
        <is>
          <t>HUSA (Heineken USA) (100)</t>
        </is>
      </c>
      <c r="X89" s="17" t="inlineStr">
        <is>
          <t>—</t>
        </is>
      </c>
      <c r="Y89" s="19" t="inlineStr">
        <is>
          <t>View Photo</t>
        </is>
      </c>
    </row>
    <row r="90">
      <c r="A90" s="17" t="inlineStr">
        <is>
          <t>D0089</t>
        </is>
      </c>
      <c r="B90" s="17" t="inlineStr">
        <is>
          <t>07/30/2026</t>
        </is>
      </c>
      <c r="C90" s="17" t="inlineStr">
        <is>
          <t>07/30/2026 12:04 PM</t>
        </is>
      </c>
      <c r="D90" s="17" t="inlineStr">
        <is>
          <t>Klejdi Lamo</t>
        </is>
      </c>
      <c r="E90" s="17" t="inlineStr">
        <is>
          <t>Sales Rep</t>
        </is>
      </c>
      <c r="F90" s="17" t="inlineStr">
        <is>
          <t>Paul Deady</t>
        </is>
      </c>
      <c r="G90" s="17" t="inlineStr">
        <is>
          <t>191710</t>
        </is>
      </c>
      <c r="H90" s="17" t="inlineStr">
        <is>
          <t>SHOP RITE WINE &amp; SPIRITS STANHOPE</t>
        </is>
      </c>
      <c r="I90" s="17" t="inlineStr">
        <is>
          <t>STANHOPE</t>
        </is>
      </c>
      <c r="J90" s="17" t="inlineStr">
        <is>
          <t>Boston Beer</t>
        </is>
      </c>
      <c r="K90" s="25" t="n">
        <v>4</v>
      </c>
      <c r="L90" s="17" t="inlineStr">
        <is>
          <t>Gold (70+)</t>
        </is>
      </c>
      <c r="M90" s="18" t="n">
        <v>100</v>
      </c>
      <c r="N90" s="18" t="n">
        <v>100</v>
      </c>
      <c r="O90" s="17" t="inlineStr">
        <is>
          <t>Priority</t>
        </is>
      </c>
      <c r="P90" s="18" t="n">
        <v>1000</v>
      </c>
      <c r="Q90" s="17" t="inlineStr">
        <is>
          <t>Yes</t>
        </is>
      </c>
      <c r="R90" s="17" t="inlineStr">
        <is>
          <t>TWISTED TEA</t>
        </is>
      </c>
      <c r="S90" s="17" t="inlineStr">
        <is>
          <t>TWISTED TEA</t>
        </is>
      </c>
      <c r="T90" s="17" t="inlineStr">
        <is>
          <t>BOSTON BEER COMPANY</t>
        </is>
      </c>
      <c r="U90" s="25" t="n">
        <v>1</v>
      </c>
      <c r="V90" s="17" t="inlineStr">
        <is>
          <t>No</t>
        </is>
      </c>
      <c r="W90" s="17" t="inlineStr">
        <is>
          <t>Boston Beer (100)</t>
        </is>
      </c>
      <c r="X90" s="26" t="inlineStr">
        <is>
          <t>Possible duplicate</t>
        </is>
      </c>
      <c r="Y90" s="19" t="inlineStr">
        <is>
          <t>View Photo</t>
        </is>
      </c>
    </row>
    <row r="91">
      <c r="A91" s="17" t="inlineStr">
        <is>
          <t>D0090</t>
        </is>
      </c>
      <c r="B91" s="17" t="inlineStr">
        <is>
          <t>07/30/2026</t>
        </is>
      </c>
      <c r="C91" s="17" t="inlineStr">
        <is>
          <t>07/30/2026 12:06 PM</t>
        </is>
      </c>
      <c r="D91" s="17" t="inlineStr">
        <is>
          <t>Klejdi Lamo</t>
        </is>
      </c>
      <c r="E91" s="17" t="inlineStr">
        <is>
          <t>Sales Rep</t>
        </is>
      </c>
      <c r="F91" s="17" t="inlineStr">
        <is>
          <t>Paul Deady</t>
        </is>
      </c>
      <c r="G91" s="17" t="inlineStr">
        <is>
          <t>191710</t>
        </is>
      </c>
      <c r="H91" s="17" t="inlineStr">
        <is>
          <t>SHOP RITE WINE &amp; SPIRITS STANHOPE</t>
        </is>
      </c>
      <c r="I91" s="17" t="inlineStr">
        <is>
          <t>STANHOPE</t>
        </is>
      </c>
      <c r="J91" s="17" t="inlineStr">
        <is>
          <t>Molson Coors</t>
        </is>
      </c>
      <c r="K91" s="25" t="n">
        <v>4</v>
      </c>
      <c r="L91" s="17" t="inlineStr">
        <is>
          <t>Gold (70+)</t>
        </is>
      </c>
      <c r="M91" s="18" t="n">
        <v>100</v>
      </c>
      <c r="N91" s="18" t="n">
        <v>100</v>
      </c>
      <c r="O91" s="17" t="inlineStr">
        <is>
          <t>Priority</t>
        </is>
      </c>
      <c r="P91" s="18" t="n">
        <v>1000</v>
      </c>
      <c r="Q91" s="17" t="inlineStr">
        <is>
          <t>Yes</t>
        </is>
      </c>
      <c r="R91" s="17" t="inlineStr">
        <is>
          <t>MILLER LITE</t>
        </is>
      </c>
      <c r="S91" s="17" t="inlineStr">
        <is>
          <t>MILLER LITE</t>
        </is>
      </c>
      <c r="T91" s="17" t="inlineStr">
        <is>
          <t>MOLSON COORS BEVERAGE COMPANY</t>
        </is>
      </c>
      <c r="U91" s="25" t="n">
        <v>1</v>
      </c>
      <c r="V91" s="17" t="inlineStr">
        <is>
          <t>No</t>
        </is>
      </c>
      <c r="W91" s="17" t="inlineStr">
        <is>
          <t>Molson Coors (100)</t>
        </is>
      </c>
      <c r="X91" s="17" t="inlineStr">
        <is>
          <t>—</t>
        </is>
      </c>
      <c r="Y91" s="19" t="inlineStr">
        <is>
          <t>View Photo</t>
        </is>
      </c>
    </row>
    <row r="92">
      <c r="A92" s="17" t="inlineStr">
        <is>
          <t>D0091</t>
        </is>
      </c>
      <c r="B92" s="17" t="inlineStr">
        <is>
          <t>07/30/2026</t>
        </is>
      </c>
      <c r="C92" s="17" t="inlineStr">
        <is>
          <t>07/30/2026 12:08 PM</t>
        </is>
      </c>
      <c r="D92" s="17" t="inlineStr">
        <is>
          <t>Klejdi Lamo</t>
        </is>
      </c>
      <c r="E92" s="17" t="inlineStr">
        <is>
          <t>Sales Rep</t>
        </is>
      </c>
      <c r="F92" s="17" t="inlineStr">
        <is>
          <t>Paul Deady</t>
        </is>
      </c>
      <c r="G92" s="17" t="inlineStr">
        <is>
          <t>191710</t>
        </is>
      </c>
      <c r="H92" s="17" t="inlineStr">
        <is>
          <t>SHOP RITE WINE &amp; SPIRITS STANHOPE</t>
        </is>
      </c>
      <c r="I92" s="17" t="inlineStr">
        <is>
          <t>STANHOPE</t>
        </is>
      </c>
      <c r="J92" s="17" t="inlineStr">
        <is>
          <t>Molson Coors</t>
        </is>
      </c>
      <c r="K92" s="25" t="n">
        <v>4</v>
      </c>
      <c r="L92" s="17" t="inlineStr">
        <is>
          <t>Gold (70+)</t>
        </is>
      </c>
      <c r="M92" s="18" t="n">
        <v>100</v>
      </c>
      <c r="N92" s="18" t="n">
        <v>100</v>
      </c>
      <c r="O92" s="17" t="inlineStr">
        <is>
          <t>Priority</t>
        </is>
      </c>
      <c r="P92" s="18" t="n">
        <v>1000</v>
      </c>
      <c r="Q92" s="17" t="inlineStr">
        <is>
          <t>Yes</t>
        </is>
      </c>
      <c r="R92" s="17" t="inlineStr">
        <is>
          <t>COORS LIGHT</t>
        </is>
      </c>
      <c r="S92" s="17" t="inlineStr">
        <is>
          <t>COORS LIGHT</t>
        </is>
      </c>
      <c r="T92" s="17" t="inlineStr">
        <is>
          <t>MOLSON COORS BEVERAGE COMPANY</t>
        </is>
      </c>
      <c r="U92" s="25" t="n">
        <v>1</v>
      </c>
      <c r="V92" s="17" t="inlineStr">
        <is>
          <t>No</t>
        </is>
      </c>
      <c r="W92" s="17" t="inlineStr">
        <is>
          <t>Molson Coors (100)</t>
        </is>
      </c>
      <c r="X92" s="17" t="inlineStr">
        <is>
          <t>—</t>
        </is>
      </c>
      <c r="Y92" s="19" t="inlineStr">
        <is>
          <t>View Photo</t>
        </is>
      </c>
    </row>
    <row r="93">
      <c r="A93" s="17" t="inlineStr">
        <is>
          <t>D0092</t>
        </is>
      </c>
      <c r="B93" s="17" t="inlineStr">
        <is>
          <t>08/13/2026</t>
        </is>
      </c>
      <c r="C93" s="17" t="inlineStr">
        <is>
          <t>08/13/2026 12:13 PM</t>
        </is>
      </c>
      <c r="D93" s="17" t="inlineStr">
        <is>
          <t>John Neukum</t>
        </is>
      </c>
      <c r="E93" s="17" t="inlineStr">
        <is>
          <t>Sales Rep</t>
        </is>
      </c>
      <c r="F93" s="17" t="inlineStr">
        <is>
          <t>Michael Engel</t>
        </is>
      </c>
      <c r="G93" s="17" t="inlineStr">
        <is>
          <t>31019</t>
        </is>
      </c>
      <c r="H93" s="17" t="inlineStr">
        <is>
          <t>BJ'S WAREHOUSE E RUTHERFO</t>
        </is>
      </c>
      <c r="I93" s="17" t="inlineStr">
        <is>
          <t>EAST RUTHERFORD</t>
        </is>
      </c>
      <c r="J93" s="17" t="inlineStr">
        <is>
          <t>Constellation</t>
        </is>
      </c>
      <c r="K93" s="25" t="n">
        <v>4</v>
      </c>
      <c r="L93" s="17" t="inlineStr">
        <is>
          <t>Gold (70+)</t>
        </is>
      </c>
      <c r="M93" s="18" t="n">
        <v>100</v>
      </c>
      <c r="N93" s="18" t="n">
        <v>100</v>
      </c>
      <c r="O93" s="17" t="inlineStr">
        <is>
          <t>Priority</t>
        </is>
      </c>
      <c r="P93" s="18" t="n">
        <v>1000</v>
      </c>
      <c r="Q93" s="17" t="inlineStr">
        <is>
          <t>Yes</t>
        </is>
      </c>
      <c r="R93" s="17" t="inlineStr">
        <is>
          <t>CERVEZA VICTORIA</t>
        </is>
      </c>
      <c r="S93" s="17" t="inlineStr">
        <is>
          <t>CERVEZA VICTORIA</t>
        </is>
      </c>
      <c r="T93" s="17" t="inlineStr">
        <is>
          <t>CONSTELLATION BRANDS</t>
        </is>
      </c>
      <c r="U93" s="25" t="n">
        <v>1</v>
      </c>
      <c r="V93" s="17" t="inlineStr">
        <is>
          <t>No</t>
        </is>
      </c>
      <c r="W93" s="17" t="inlineStr">
        <is>
          <t>Constellation (100)</t>
        </is>
      </c>
      <c r="X93" s="17" t="inlineStr">
        <is>
          <t>—</t>
        </is>
      </c>
      <c r="Y93" s="19" t="inlineStr">
        <is>
          <t>View Photo</t>
        </is>
      </c>
    </row>
    <row r="94">
      <c r="A94" s="17" t="inlineStr">
        <is>
          <t>D0093</t>
        </is>
      </c>
      <c r="B94" s="17" t="inlineStr">
        <is>
          <t>08/18/2026</t>
        </is>
      </c>
      <c r="C94" s="17" t="inlineStr">
        <is>
          <t>08/18/2026 10:40 AM</t>
        </is>
      </c>
      <c r="D94" s="17" t="inlineStr">
        <is>
          <t>mickey obrien</t>
        </is>
      </c>
      <c r="E94" s="17" t="inlineStr">
        <is>
          <t>Sales Associate</t>
        </is>
      </c>
      <c r="F94" s="17" t="inlineStr">
        <is>
          <t>Michael Engel</t>
        </is>
      </c>
      <c r="G94" s="17" t="inlineStr">
        <is>
          <t>58001</t>
        </is>
      </c>
      <c r="H94" s="17" t="inlineStr">
        <is>
          <t>TOTAL WINE &amp; MORE (RIVER EDGE)</t>
        </is>
      </c>
      <c r="I94" s="17" t="inlineStr">
        <is>
          <t>RIVER EDGE</t>
        </is>
      </c>
      <c r="J94" s="17" t="inlineStr">
        <is>
          <t>Molson Coors</t>
        </is>
      </c>
      <c r="K94" s="25" t="n">
        <v>4</v>
      </c>
      <c r="L94" s="17" t="inlineStr">
        <is>
          <t>Gold (70+)</t>
        </is>
      </c>
      <c r="M94" s="18" t="n">
        <v>100</v>
      </c>
      <c r="N94" s="18" t="n">
        <v>100</v>
      </c>
      <c r="O94" s="17" t="inlineStr">
        <is>
          <t>Priority</t>
        </is>
      </c>
      <c r="P94" s="18" t="n">
        <v>1000</v>
      </c>
      <c r="Q94" s="17" t="inlineStr">
        <is>
          <t>Yes</t>
        </is>
      </c>
      <c r="R94" s="17" t="inlineStr">
        <is>
          <t>MILLER LITE</t>
        </is>
      </c>
      <c r="S94" s="17" t="inlineStr">
        <is>
          <t>MILLER LITE</t>
        </is>
      </c>
      <c r="T94" s="17" t="inlineStr">
        <is>
          <t>MOLSON COORS BEVERAGE COMPANY</t>
        </is>
      </c>
      <c r="U94" s="25" t="n">
        <v>1</v>
      </c>
      <c r="V94" s="17" t="inlineStr">
        <is>
          <t>No</t>
        </is>
      </c>
      <c r="W94" s="17" t="inlineStr">
        <is>
          <t>Molson Coors (100)</t>
        </is>
      </c>
      <c r="X94" s="17" t="inlineStr">
        <is>
          <t>—</t>
        </is>
      </c>
      <c r="Y94" s="19" t="inlineStr">
        <is>
          <t>View Photo</t>
        </is>
      </c>
    </row>
    <row r="95">
      <c r="A95" s="17" t="inlineStr">
        <is>
          <t>D0094</t>
        </is>
      </c>
      <c r="B95" s="17" t="inlineStr">
        <is>
          <t>08/24/2026</t>
        </is>
      </c>
      <c r="C95" s="17" t="inlineStr">
        <is>
          <t>08/24/2026 02:53 PM</t>
        </is>
      </c>
      <c r="D95" s="17" t="inlineStr">
        <is>
          <t>Klejdi Lamo</t>
        </is>
      </c>
      <c r="E95" s="17" t="inlineStr">
        <is>
          <t>Sales Rep</t>
        </is>
      </c>
      <c r="F95" s="17" t="inlineStr">
        <is>
          <t>Paul Deady</t>
        </is>
      </c>
      <c r="G95" s="17" t="inlineStr">
        <is>
          <t>191814</t>
        </is>
      </c>
      <c r="H95" s="17" t="inlineStr">
        <is>
          <t>SANDY'S WINE &amp; SPIRIT (P) (BUDD LAKE)</t>
        </is>
      </c>
      <c r="I95" s="17" t="inlineStr">
        <is>
          <t>BUDD LAKE</t>
        </is>
      </c>
      <c r="J95" s="17" t="inlineStr">
        <is>
          <t>Mark Anthony</t>
        </is>
      </c>
      <c r="K95" s="25" t="n">
        <v>4</v>
      </c>
      <c r="L95" s="17" t="inlineStr">
        <is>
          <t>Gold (70+)</t>
        </is>
      </c>
      <c r="M95" s="18" t="n">
        <v>100</v>
      </c>
      <c r="N95" s="18" t="n">
        <v>100</v>
      </c>
      <c r="O95" s="17" t="inlineStr">
        <is>
          <t>Priority</t>
        </is>
      </c>
      <c r="P95" s="18" t="n">
        <v>1000</v>
      </c>
      <c r="Q95" s="17" t="inlineStr">
        <is>
          <t>Yes</t>
        </is>
      </c>
      <c r="R95" s="17" t="inlineStr">
        <is>
          <t>WHITE CLAW ORIGINAL HARD SELTZER</t>
        </is>
      </c>
      <c r="S95" s="17" t="inlineStr">
        <is>
          <t>WHITE CLAW ORIGINAL HARD SELTZER</t>
        </is>
      </c>
      <c r="T95" s="17" t="inlineStr">
        <is>
          <t>MARK ANTHONY GROUP</t>
        </is>
      </c>
      <c r="U95" s="25" t="n">
        <v>1</v>
      </c>
      <c r="V95" s="17" t="inlineStr">
        <is>
          <t>No</t>
        </is>
      </c>
      <c r="W95" s="17" t="inlineStr">
        <is>
          <t>Mark Anthony (100)</t>
        </is>
      </c>
      <c r="X95" s="17" t="inlineStr">
        <is>
          <t>—</t>
        </is>
      </c>
      <c r="Y95" s="19" t="inlineStr">
        <is>
          <t>View Photo</t>
        </is>
      </c>
    </row>
    <row r="96">
      <c r="A96" s="17" t="inlineStr">
        <is>
          <t>D0095</t>
        </is>
      </c>
      <c r="B96" s="17" t="inlineStr">
        <is>
          <t>07/13/2026</t>
        </is>
      </c>
      <c r="C96" s="17" t="inlineStr">
        <is>
          <t>07/13/2026 08:59 AM</t>
        </is>
      </c>
      <c r="D96" s="17" t="inlineStr">
        <is>
          <t>Shane Barreca</t>
        </is>
      </c>
      <c r="E96" s="17" t="inlineStr">
        <is>
          <t>Sales Rep</t>
        </is>
      </c>
      <c r="F96" s="17" t="inlineStr">
        <is>
          <t>Paul Deady</t>
        </is>
      </c>
      <c r="G96" s="17" t="inlineStr">
        <is>
          <t>67005</t>
        </is>
      </c>
      <c r="H96" s="17" t="inlineStr">
        <is>
          <t>SHOPRITE LIQ (A)NORTHVLE</t>
        </is>
      </c>
      <c r="I96" s="17" t="inlineStr">
        <is>
          <t>NORTHVALE</t>
        </is>
      </c>
      <c r="J96" s="17" t="inlineStr">
        <is>
          <t>HUSA (Heineken USA)</t>
        </is>
      </c>
      <c r="K96" s="25" t="n">
        <v>4</v>
      </c>
      <c r="L96" s="17" t="inlineStr">
        <is>
          <t>Gold (70+)</t>
        </is>
      </c>
      <c r="M96" s="18" t="n">
        <v>99</v>
      </c>
      <c r="N96" s="18" t="n">
        <v>99</v>
      </c>
      <c r="O96" s="17" t="inlineStr">
        <is>
          <t>Priority</t>
        </is>
      </c>
      <c r="P96" s="18" t="n">
        <v>1000</v>
      </c>
      <c r="Q96" s="17" t="inlineStr">
        <is>
          <t>Yes</t>
        </is>
      </c>
      <c r="R96" s="17" t="inlineStr">
        <is>
          <t>HEINEKEN</t>
        </is>
      </c>
      <c r="S96" s="17" t="inlineStr">
        <is>
          <t>HEINEKEN</t>
        </is>
      </c>
      <c r="T96" s="17" t="inlineStr">
        <is>
          <t>HEINEKEN</t>
        </is>
      </c>
      <c r="U96" s="25" t="n">
        <v>6</v>
      </c>
      <c r="V96" s="17" t="inlineStr">
        <is>
          <t>No</t>
        </is>
      </c>
      <c r="W96" s="17" t="inlineStr">
        <is>
          <t>HUSA (Heineken USA) (99)</t>
        </is>
      </c>
      <c r="X96" s="17" t="inlineStr">
        <is>
          <t>—</t>
        </is>
      </c>
      <c r="Y96" s="19" t="inlineStr">
        <is>
          <t>View Photo</t>
        </is>
      </c>
    </row>
    <row r="97">
      <c r="A97" s="17" t="inlineStr">
        <is>
          <t>D0096</t>
        </is>
      </c>
      <c r="B97" s="17" t="inlineStr">
        <is>
          <t>08/24/2026</t>
        </is>
      </c>
      <c r="C97" s="17" t="inlineStr">
        <is>
          <t>08/24/2026 10:52 AM</t>
        </is>
      </c>
      <c r="D97" s="17" t="inlineStr">
        <is>
          <t>Jay Tabasco</t>
        </is>
      </c>
      <c r="E97" s="17" t="inlineStr">
        <is>
          <t>Sales Associate</t>
        </is>
      </c>
      <c r="F97" s="17" t="inlineStr">
        <is>
          <t>Paul Deady</t>
        </is>
      </c>
      <c r="G97" s="17" t="inlineStr">
        <is>
          <t>191814</t>
        </is>
      </c>
      <c r="H97" s="17" t="inlineStr">
        <is>
          <t>SANDY'S WINE &amp; SPIRIT (P) (BUDD LAKE)</t>
        </is>
      </c>
      <c r="I97" s="17" t="inlineStr">
        <is>
          <t>BUDD LAKE</t>
        </is>
      </c>
      <c r="J97" s="17" t="inlineStr">
        <is>
          <t>Mark Anthony</t>
        </is>
      </c>
      <c r="K97" s="25" t="n">
        <v>4</v>
      </c>
      <c r="L97" s="17" t="inlineStr">
        <is>
          <t>Gold (70+)</t>
        </is>
      </c>
      <c r="M97" s="18" t="n">
        <v>97</v>
      </c>
      <c r="N97" s="18" t="n">
        <v>97</v>
      </c>
      <c r="O97" s="17" t="inlineStr">
        <is>
          <t>Priority</t>
        </is>
      </c>
      <c r="P97" s="18" t="n">
        <v>1000</v>
      </c>
      <c r="Q97" s="17" t="inlineStr">
        <is>
          <t>Yes</t>
        </is>
      </c>
      <c r="R97" s="17" t="inlineStr">
        <is>
          <t>WHITE CLAW SURGE HARD SELTZER</t>
        </is>
      </c>
      <c r="S97" s="17" t="inlineStr">
        <is>
          <t>WHITE CLAW SURGE HARD SELTZER</t>
        </is>
      </c>
      <c r="T97" s="17" t="inlineStr">
        <is>
          <t>MARK ANTHONY GROUP</t>
        </is>
      </c>
      <c r="U97" s="25" t="n">
        <v>1</v>
      </c>
      <c r="V97" s="17" t="inlineStr">
        <is>
          <t>No</t>
        </is>
      </c>
      <c r="W97" s="17" t="inlineStr">
        <is>
          <t>Mark Anthony (97)</t>
        </is>
      </c>
      <c r="X97" s="17" t="inlineStr">
        <is>
          <t>—</t>
        </is>
      </c>
      <c r="Y97" s="19" t="inlineStr">
        <is>
          <t>View Photo</t>
        </is>
      </c>
    </row>
    <row r="98">
      <c r="A98" s="17" t="inlineStr">
        <is>
          <t>D0097</t>
        </is>
      </c>
      <c r="B98" s="17" t="inlineStr">
        <is>
          <t>08/24/2026</t>
        </is>
      </c>
      <c r="C98" s="17" t="inlineStr">
        <is>
          <t>08/24/2026 10:52 AM</t>
        </is>
      </c>
      <c r="D98" s="17" t="inlineStr">
        <is>
          <t>Todd Ewell</t>
        </is>
      </c>
      <c r="E98" s="17" t="inlineStr">
        <is>
          <t>Sales Associate</t>
        </is>
      </c>
      <c r="F98" s="17" t="inlineStr">
        <is>
          <t>Paul Deady</t>
        </is>
      </c>
      <c r="G98" s="17" t="inlineStr">
        <is>
          <t>191814</t>
        </is>
      </c>
      <c r="H98" s="17" t="inlineStr">
        <is>
          <t>SANDY'S WINE &amp; SPIRIT (P) (BUDD LAKE)</t>
        </is>
      </c>
      <c r="I98" s="17" t="inlineStr">
        <is>
          <t>BUDD LAKE</t>
        </is>
      </c>
      <c r="J98" s="17" t="inlineStr">
        <is>
          <t>Mark Anthony</t>
        </is>
      </c>
      <c r="K98" s="25" t="n">
        <v>4</v>
      </c>
      <c r="L98" s="17" t="inlineStr">
        <is>
          <t>Gold (70+)</t>
        </is>
      </c>
      <c r="M98" s="18" t="n">
        <v>97</v>
      </c>
      <c r="N98" s="18" t="n">
        <v>97</v>
      </c>
      <c r="O98" s="17" t="inlineStr">
        <is>
          <t>Priority</t>
        </is>
      </c>
      <c r="P98" s="18" t="n">
        <v>1000</v>
      </c>
      <c r="Q98" s="17" t="inlineStr">
        <is>
          <t>Yes</t>
        </is>
      </c>
      <c r="R98" s="17" t="inlineStr">
        <is>
          <t>WHITE CLAW SURF HARD SELTZER</t>
        </is>
      </c>
      <c r="S98" s="17" t="inlineStr">
        <is>
          <t>WHITE CLAW SURF HARD SELTZER</t>
        </is>
      </c>
      <c r="T98" s="17" t="inlineStr">
        <is>
          <t>MARK ANTHONY GROUP</t>
        </is>
      </c>
      <c r="U98" s="25" t="n">
        <v>1</v>
      </c>
      <c r="V98" s="17" t="inlineStr">
        <is>
          <t>No</t>
        </is>
      </c>
      <c r="W98" s="17" t="inlineStr">
        <is>
          <t>Mark Anthony (97)</t>
        </is>
      </c>
      <c r="X98" s="17" t="inlineStr">
        <is>
          <t>—</t>
        </is>
      </c>
      <c r="Y98" s="19" t="inlineStr">
        <is>
          <t>View Photo</t>
        </is>
      </c>
    </row>
    <row r="99">
      <c r="A99" s="17" t="inlineStr">
        <is>
          <t>D0098</t>
        </is>
      </c>
      <c r="B99" s="17" t="inlineStr">
        <is>
          <t>07/13/2026</t>
        </is>
      </c>
      <c r="C99" s="17" t="inlineStr">
        <is>
          <t>07/13/2026 02:24 PM</t>
        </is>
      </c>
      <c r="D99" s="17" t="inlineStr">
        <is>
          <t>Mike Ast</t>
        </is>
      </c>
      <c r="E99" s="17" t="inlineStr">
        <is>
          <t>Sales Rep</t>
        </is>
      </c>
      <c r="F99" s="17" t="inlineStr">
        <is>
          <t>Paul Deady</t>
        </is>
      </c>
      <c r="G99" s="17" t="inlineStr">
        <is>
          <t>12011</t>
        </is>
      </c>
      <c r="H99" s="17" t="inlineStr">
        <is>
          <t>BOTTLE KING (A) WAYNE</t>
        </is>
      </c>
      <c r="I99" s="17" t="inlineStr">
        <is>
          <t>WAYNE</t>
        </is>
      </c>
      <c r="J99" s="17" t="inlineStr">
        <is>
          <t>Constellation</t>
        </is>
      </c>
      <c r="K99" s="25" t="n">
        <v>4</v>
      </c>
      <c r="L99" s="17" t="inlineStr">
        <is>
          <t>Gold (70+)</t>
        </is>
      </c>
      <c r="M99" s="18" t="n">
        <v>95</v>
      </c>
      <c r="N99" s="18" t="n">
        <v>95</v>
      </c>
      <c r="O99" s="17" t="inlineStr">
        <is>
          <t>Priority</t>
        </is>
      </c>
      <c r="P99" s="18" t="n">
        <v>1000</v>
      </c>
      <c r="Q99" s="17" t="inlineStr">
        <is>
          <t>Yes</t>
        </is>
      </c>
      <c r="R99" s="17" t="inlineStr">
        <is>
          <t>CORONA EXTRA</t>
        </is>
      </c>
      <c r="S99" s="17" t="inlineStr">
        <is>
          <t>CORONA, CORONA EXTRA</t>
        </is>
      </c>
      <c r="T99" s="17" t="inlineStr">
        <is>
          <t>CONSTELLATION BRANDS</t>
        </is>
      </c>
      <c r="U99" s="25" t="n">
        <v>4</v>
      </c>
      <c r="V99" s="17" t="inlineStr">
        <is>
          <t>No</t>
        </is>
      </c>
      <c r="W99" s="17" t="inlineStr">
        <is>
          <t>Constellation (95)</t>
        </is>
      </c>
      <c r="X99" s="17" t="inlineStr">
        <is>
          <t>—</t>
        </is>
      </c>
      <c r="Y99" s="19" t="inlineStr">
        <is>
          <t>View Photo</t>
        </is>
      </c>
    </row>
    <row r="100">
      <c r="A100" s="17" t="inlineStr">
        <is>
          <t>D0099</t>
        </is>
      </c>
      <c r="B100" s="17" t="inlineStr">
        <is>
          <t>07/22/2026</t>
        </is>
      </c>
      <c r="C100" s="17" t="inlineStr">
        <is>
          <t>07/22/2026 03:17 PM</t>
        </is>
      </c>
      <c r="D100" s="17" t="inlineStr">
        <is>
          <t>Mike Ast</t>
        </is>
      </c>
      <c r="E100" s="17" t="inlineStr">
        <is>
          <t>Sales Rep</t>
        </is>
      </c>
      <c r="F100" s="17" t="inlineStr">
        <is>
          <t>Paul Deady</t>
        </is>
      </c>
      <c r="G100" s="17" t="inlineStr">
        <is>
          <t>12011</t>
        </is>
      </c>
      <c r="H100" s="17" t="inlineStr">
        <is>
          <t>BOTTLE KING (A) WAYNE</t>
        </is>
      </c>
      <c r="I100" s="17" t="inlineStr">
        <is>
          <t>WAYNE</t>
        </is>
      </c>
      <c r="J100" s="17" t="inlineStr">
        <is>
          <t>Molson Coors</t>
        </is>
      </c>
      <c r="K100" s="25" t="n">
        <v>4</v>
      </c>
      <c r="L100" s="17" t="inlineStr">
        <is>
          <t>Gold (70+)</t>
        </is>
      </c>
      <c r="M100" s="18" t="n">
        <v>95</v>
      </c>
      <c r="N100" s="18" t="n">
        <v>95</v>
      </c>
      <c r="O100" s="17" t="inlineStr">
        <is>
          <t>Priority</t>
        </is>
      </c>
      <c r="P100" s="18" t="n">
        <v>1000</v>
      </c>
      <c r="Q100" s="17" t="inlineStr">
        <is>
          <t>Yes</t>
        </is>
      </c>
      <c r="R100" s="17" t="inlineStr">
        <is>
          <t>COORS LIGHT</t>
        </is>
      </c>
      <c r="S100" s="17" t="inlineStr">
        <is>
          <t>COORS LIGHT, MILLER LITE</t>
        </is>
      </c>
      <c r="T100" s="17" t="inlineStr">
        <is>
          <t>MOLSON COORS BEVERAGE COMPANY</t>
        </is>
      </c>
      <c r="U100" s="25" t="n">
        <v>4</v>
      </c>
      <c r="V100" s="17" t="inlineStr">
        <is>
          <t>No</t>
        </is>
      </c>
      <c r="W100" s="17" t="inlineStr">
        <is>
          <t>Molson Coors (95)</t>
        </is>
      </c>
      <c r="X100" s="17" t="inlineStr">
        <is>
          <t>—</t>
        </is>
      </c>
      <c r="Y100" s="19" t="inlineStr">
        <is>
          <t>View Photo</t>
        </is>
      </c>
    </row>
    <row r="101">
      <c r="A101" s="17" t="inlineStr">
        <is>
          <t>D0100</t>
        </is>
      </c>
      <c r="B101" s="17" t="inlineStr">
        <is>
          <t>07/24/2026</t>
        </is>
      </c>
      <c r="C101" s="17" t="inlineStr">
        <is>
          <t>07/24/2026 05:22 PM</t>
        </is>
      </c>
      <c r="D101" s="17" t="inlineStr">
        <is>
          <t>patrick infante</t>
        </is>
      </c>
      <c r="E101" s="17" t="inlineStr">
        <is>
          <t>Sales Associate</t>
        </is>
      </c>
      <c r="F101" s="17" t="inlineStr">
        <is>
          <t>Denise Montes</t>
        </is>
      </c>
      <c r="G101" s="17" t="inlineStr">
        <is>
          <t>23004</t>
        </is>
      </c>
      <c r="H101" s="17" t="inlineStr">
        <is>
          <t>SHOP RITE WINES/SPIRITS</t>
        </is>
      </c>
      <c r="I101" s="17" t="inlineStr">
        <is>
          <t>CLIFTON</t>
        </is>
      </c>
      <c r="J101" s="17" t="inlineStr">
        <is>
          <t>Constellation</t>
        </is>
      </c>
      <c r="K101" s="25" t="n">
        <v>4</v>
      </c>
      <c r="L101" s="17" t="inlineStr">
        <is>
          <t>Gold (70+)</t>
        </is>
      </c>
      <c r="M101" s="18" t="n">
        <v>95</v>
      </c>
      <c r="N101" s="18" t="n">
        <v>95</v>
      </c>
      <c r="O101" s="17" t="inlineStr">
        <is>
          <t>Priority</t>
        </is>
      </c>
      <c r="P101" s="18" t="n">
        <v>1000</v>
      </c>
      <c r="Q101" s="17" t="inlineStr">
        <is>
          <t>Yes</t>
        </is>
      </c>
      <c r="R101" s="17" t="inlineStr">
        <is>
          <t>MODELO CERVEZA</t>
        </is>
      </c>
      <c r="S101" s="17" t="inlineStr">
        <is>
          <t>MODELO CERVEZA</t>
        </is>
      </c>
      <c r="T101" s="17" t="inlineStr">
        <is>
          <t>CONSTELLATION BRANDS</t>
        </is>
      </c>
      <c r="U101" s="25" t="n">
        <v>1</v>
      </c>
      <c r="V101" s="17" t="inlineStr">
        <is>
          <t>No</t>
        </is>
      </c>
      <c r="W101" s="17" t="inlineStr">
        <is>
          <t>Constellation (95)</t>
        </is>
      </c>
      <c r="X101" s="17" t="inlineStr">
        <is>
          <t>—</t>
        </is>
      </c>
      <c r="Y101" s="19" t="inlineStr">
        <is>
          <t>View Photo</t>
        </is>
      </c>
    </row>
    <row r="102">
      <c r="A102" s="17" t="inlineStr">
        <is>
          <t>D0101</t>
        </is>
      </c>
      <c r="B102" s="17" t="inlineStr">
        <is>
          <t>07/30/2026</t>
        </is>
      </c>
      <c r="C102" s="17" t="inlineStr">
        <is>
          <t>07/30/2026 11:51 AM</t>
        </is>
      </c>
      <c r="D102" s="17" t="inlineStr">
        <is>
          <t>Jay Tabasco</t>
        </is>
      </c>
      <c r="E102" s="17" t="inlineStr">
        <is>
          <t>Sales Associate</t>
        </is>
      </c>
      <c r="F102" s="17" t="inlineStr">
        <is>
          <t>Paul Deady</t>
        </is>
      </c>
      <c r="G102" s="17" t="inlineStr">
        <is>
          <t>191710</t>
        </is>
      </c>
      <c r="H102" s="17" t="inlineStr">
        <is>
          <t>SHOP RITE WINE &amp; SPIRITS STANHOPE</t>
        </is>
      </c>
      <c r="I102" s="17" t="inlineStr">
        <is>
          <t>STANHOPE</t>
        </is>
      </c>
      <c r="J102" s="17" t="inlineStr">
        <is>
          <t>Molson Coors</t>
        </is>
      </c>
      <c r="K102" s="25" t="n">
        <v>4</v>
      </c>
      <c r="L102" s="17" t="inlineStr">
        <is>
          <t>Gold (70+)</t>
        </is>
      </c>
      <c r="M102" s="18" t="n">
        <v>92</v>
      </c>
      <c r="N102" s="18" t="n">
        <v>92</v>
      </c>
      <c r="O102" s="17" t="inlineStr">
        <is>
          <t>Priority</t>
        </is>
      </c>
      <c r="P102" s="18" t="n">
        <v>1000</v>
      </c>
      <c r="Q102" s="17" t="inlineStr">
        <is>
          <t>Yes</t>
        </is>
      </c>
      <c r="R102" s="17" t="inlineStr">
        <is>
          <t>COORS LIGHT</t>
        </is>
      </c>
      <c r="S102" s="17" t="inlineStr">
        <is>
          <t>COORS LIGHT</t>
        </is>
      </c>
      <c r="T102" s="17" t="inlineStr">
        <is>
          <t>MOLSON COORS BEVERAGE COMPANY</t>
        </is>
      </c>
      <c r="U102" s="25" t="n">
        <v>1</v>
      </c>
      <c r="V102" s="17" t="inlineStr">
        <is>
          <t>No</t>
        </is>
      </c>
      <c r="W102" s="17" t="inlineStr">
        <is>
          <t>Molson Coors (92)</t>
        </is>
      </c>
      <c r="X102" s="17" t="inlineStr">
        <is>
          <t>First of a repeat set</t>
        </is>
      </c>
      <c r="Y102" s="19" t="inlineStr">
        <is>
          <t>View Photo</t>
        </is>
      </c>
    </row>
    <row r="103">
      <c r="A103" s="17" t="inlineStr">
        <is>
          <t>D0102</t>
        </is>
      </c>
      <c r="B103" s="17" t="inlineStr">
        <is>
          <t>07/30/2026</t>
        </is>
      </c>
      <c r="C103" s="17" t="inlineStr">
        <is>
          <t>07/30/2026 11:51 AM</t>
        </is>
      </c>
      <c r="D103" s="17" t="inlineStr">
        <is>
          <t>Todd Ewell</t>
        </is>
      </c>
      <c r="E103" s="17" t="inlineStr">
        <is>
          <t>Sales Associate</t>
        </is>
      </c>
      <c r="F103" s="17" t="inlineStr">
        <is>
          <t>Paul Deady</t>
        </is>
      </c>
      <c r="G103" s="17" t="inlineStr">
        <is>
          <t>191710</t>
        </is>
      </c>
      <c r="H103" s="17" t="inlineStr">
        <is>
          <t>SHOP RITE WINE &amp; SPIRITS STANHOPE</t>
        </is>
      </c>
      <c r="I103" s="17" t="inlineStr">
        <is>
          <t>STANHOPE</t>
        </is>
      </c>
      <c r="J103" s="17" t="inlineStr">
        <is>
          <t>Molson Coors</t>
        </is>
      </c>
      <c r="K103" s="25" t="n">
        <v>4</v>
      </c>
      <c r="L103" s="17" t="inlineStr">
        <is>
          <t>Gold (70+)</t>
        </is>
      </c>
      <c r="M103" s="18" t="n">
        <v>92</v>
      </c>
      <c r="N103" s="18" t="n">
        <v>92</v>
      </c>
      <c r="O103" s="17" t="inlineStr">
        <is>
          <t>Priority</t>
        </is>
      </c>
      <c r="P103" s="18" t="n">
        <v>1000</v>
      </c>
      <c r="Q103" s="17" t="inlineStr">
        <is>
          <t>Yes</t>
        </is>
      </c>
      <c r="R103" s="17" t="inlineStr">
        <is>
          <t>COORS LIGHT</t>
        </is>
      </c>
      <c r="S103" s="17" t="inlineStr">
        <is>
          <t>COORS LIGHT</t>
        </is>
      </c>
      <c r="T103" s="17" t="inlineStr">
        <is>
          <t>MOLSON COORS BEVERAGE COMPANY</t>
        </is>
      </c>
      <c r="U103" s="25" t="n">
        <v>1</v>
      </c>
      <c r="V103" s="17" t="inlineStr">
        <is>
          <t>No</t>
        </is>
      </c>
      <c r="W103" s="17" t="inlineStr">
        <is>
          <t>Molson Coors (92)</t>
        </is>
      </c>
      <c r="X103" s="26" t="inlineStr">
        <is>
          <t>Possible duplicate</t>
        </is>
      </c>
      <c r="Y103" s="19" t="inlineStr">
        <is>
          <t>View Photo</t>
        </is>
      </c>
    </row>
    <row r="104">
      <c r="A104" s="17" t="inlineStr">
        <is>
          <t>D0103</t>
        </is>
      </c>
      <c r="B104" s="17" t="inlineStr">
        <is>
          <t>08/17/2026</t>
        </is>
      </c>
      <c r="C104" s="17" t="inlineStr">
        <is>
          <t>08/17/2026 02:31 PM</t>
        </is>
      </c>
      <c r="D104" s="17" t="inlineStr">
        <is>
          <t>Mike Ast</t>
        </is>
      </c>
      <c r="E104" s="17" t="inlineStr">
        <is>
          <t>Sales Rep</t>
        </is>
      </c>
      <c r="F104" s="17" t="inlineStr">
        <is>
          <t>Paul Deady</t>
        </is>
      </c>
      <c r="G104" s="17" t="inlineStr">
        <is>
          <t>12011</t>
        </is>
      </c>
      <c r="H104" s="17" t="inlineStr">
        <is>
          <t>BOTTLE KING (A) WAYNE</t>
        </is>
      </c>
      <c r="I104" s="17" t="inlineStr">
        <is>
          <t>WAYNE</t>
        </is>
      </c>
      <c r="J104" s="17" t="inlineStr">
        <is>
          <t>Yuengling</t>
        </is>
      </c>
      <c r="K104" s="25" t="n">
        <v>4</v>
      </c>
      <c r="L104" s="17" t="inlineStr">
        <is>
          <t>Gold (70+)</t>
        </is>
      </c>
      <c r="M104" s="18" t="n">
        <v>91</v>
      </c>
      <c r="N104" s="18" t="n">
        <v>33</v>
      </c>
      <c r="O104" s="17" t="inlineStr">
        <is>
          <t>All Other</t>
        </is>
      </c>
      <c r="P104" s="18" t="n">
        <v>600</v>
      </c>
      <c r="Q104" s="17" t="inlineStr">
        <is>
          <t>Yes</t>
        </is>
      </c>
      <c r="R104" s="17" t="inlineStr">
        <is>
          <t>YUENGLING BREWERY</t>
        </is>
      </c>
      <c r="S104" s="17" t="inlineStr">
        <is>
          <t>CAPE MAY, CAPE MAY SEASONALS, SHINER, SIERRA NEVADA BREWING COMPANY, SOUTHERN TIER BREWING COMPANY, YUENGLING BREWERY</t>
        </is>
      </c>
      <c r="T104" s="17" t="inlineStr">
        <is>
          <t>ARTISANAL BREWING VENTURES (EBI), CAPE MAY BREWING COMPANY, SIERRA NEVADA BREWING COMPANY, THE GAMBRINUS COMPANY, YUENGLING BREWERY</t>
        </is>
      </c>
      <c r="U104" s="25" t="n">
        <v>8</v>
      </c>
      <c r="V104" s="17" t="inlineStr">
        <is>
          <t>Yes</t>
        </is>
      </c>
      <c r="W104" s="17" t="inlineStr">
        <is>
          <t>Yuengling (33) + All Other: CAPE MAY BREWING COMPANY (19) + All Other: SIERRA NEVADA BREWING COMPANY (17) + All Other: ARTISANAL BREWING VENTURES (EBI) (11) + All Other: THE GAMBRINUS COMPANY (11)</t>
        </is>
      </c>
      <c r="X104" s="17" t="inlineStr">
        <is>
          <t>—</t>
        </is>
      </c>
      <c r="Y104" s="19" t="inlineStr">
        <is>
          <t>View Photo</t>
        </is>
      </c>
    </row>
    <row r="105">
      <c r="A105" s="17" t="inlineStr">
        <is>
          <t>D0104</t>
        </is>
      </c>
      <c r="B105" s="17" t="inlineStr">
        <is>
          <t>07/01/2026</t>
        </is>
      </c>
      <c r="C105" s="17" t="inlineStr">
        <is>
          <t>07/01/2026 02:27 PM</t>
        </is>
      </c>
      <c r="D105" s="17" t="inlineStr">
        <is>
          <t>Mike Ast</t>
        </is>
      </c>
      <c r="E105" s="17" t="inlineStr">
        <is>
          <t>Sales Rep</t>
        </is>
      </c>
      <c r="F105" s="17" t="inlineStr">
        <is>
          <t>Paul Deady</t>
        </is>
      </c>
      <c r="G105" s="17" t="inlineStr">
        <is>
          <t>11003</t>
        </is>
      </c>
      <c r="H105" s="17" t="inlineStr">
        <is>
          <t>LINCOLN PARK FINE WINES &amp; SPIRITS</t>
        </is>
      </c>
      <c r="I105" s="17" t="inlineStr">
        <is>
          <t>LINCOLN PARK</t>
        </is>
      </c>
      <c r="J105" s="17" t="inlineStr">
        <is>
          <t>Boston Beer</t>
        </is>
      </c>
      <c r="K105" s="25" t="n">
        <v>4</v>
      </c>
      <c r="L105" s="17" t="inlineStr">
        <is>
          <t>Gold (70+)</t>
        </is>
      </c>
      <c r="M105" s="18" t="n">
        <v>90</v>
      </c>
      <c r="N105" s="18" t="n">
        <v>90</v>
      </c>
      <c r="O105" s="17" t="inlineStr">
        <is>
          <t>Priority</t>
        </is>
      </c>
      <c r="P105" s="18" t="n">
        <v>1000</v>
      </c>
      <c r="Q105" s="17" t="inlineStr">
        <is>
          <t>Yes</t>
        </is>
      </c>
      <c r="R105" s="17" t="inlineStr">
        <is>
          <t>SUN CRUISERS RTD</t>
        </is>
      </c>
      <c r="S105" s="17" t="inlineStr">
        <is>
          <t>SUN CRUISERS RTD</t>
        </is>
      </c>
      <c r="T105" s="17" t="inlineStr">
        <is>
          <t>BOSTON BEER COMPANY</t>
        </is>
      </c>
      <c r="U105" s="25" t="n">
        <v>3</v>
      </c>
      <c r="V105" s="17" t="inlineStr">
        <is>
          <t>No</t>
        </is>
      </c>
      <c r="W105" s="17" t="inlineStr">
        <is>
          <t>Boston Beer (90)</t>
        </is>
      </c>
      <c r="X105" s="17" t="inlineStr">
        <is>
          <t>—</t>
        </is>
      </c>
      <c r="Y105" s="19" t="inlineStr">
        <is>
          <t>View Photo</t>
        </is>
      </c>
    </row>
    <row r="106">
      <c r="A106" s="17" t="inlineStr">
        <is>
          <t>D0105</t>
        </is>
      </c>
      <c r="B106" s="17" t="inlineStr">
        <is>
          <t>07/02/2026</t>
        </is>
      </c>
      <c r="C106" s="17" t="inlineStr">
        <is>
          <t>07/02/2026 01:48 PM</t>
        </is>
      </c>
      <c r="D106" s="17" t="inlineStr">
        <is>
          <t>phil Ernst</t>
        </is>
      </c>
      <c r="E106" s="17" t="inlineStr">
        <is>
          <t>Sales Rep</t>
        </is>
      </c>
      <c r="F106" s="17" t="inlineStr">
        <is>
          <t>Michael Engel</t>
        </is>
      </c>
      <c r="G106" s="17" t="inlineStr">
        <is>
          <t>83010</t>
        </is>
      </c>
      <c r="H106" s="17" t="inlineStr">
        <is>
          <t>BOTTLE KING (A) GLEN ROCK</t>
        </is>
      </c>
      <c r="I106" s="17" t="inlineStr">
        <is>
          <t>GLEN ROCK</t>
        </is>
      </c>
      <c r="J106" s="17" t="inlineStr">
        <is>
          <t>Boston Beer</t>
        </is>
      </c>
      <c r="K106" s="25" t="n">
        <v>4</v>
      </c>
      <c r="L106" s="17" t="inlineStr">
        <is>
          <t>Gold (70+)</t>
        </is>
      </c>
      <c r="M106" s="18" t="n">
        <v>90</v>
      </c>
      <c r="N106" s="18" t="n">
        <v>90</v>
      </c>
      <c r="O106" s="17" t="inlineStr">
        <is>
          <t>Priority</t>
        </is>
      </c>
      <c r="P106" s="18" t="n">
        <v>1000</v>
      </c>
      <c r="Q106" s="17" t="inlineStr">
        <is>
          <t>Yes</t>
        </is>
      </c>
      <c r="R106" s="17" t="inlineStr">
        <is>
          <t>SUN CRUISERS RTD</t>
        </is>
      </c>
      <c r="S106" s="17" t="inlineStr">
        <is>
          <t>SUN CRUISER ICED TEA VODKA, SUN CRUISERS RTD</t>
        </is>
      </c>
      <c r="T106" s="17" t="inlineStr">
        <is>
          <t>BOSTON BEER COMPANY</t>
        </is>
      </c>
      <c r="U106" s="25" t="n">
        <v>4</v>
      </c>
      <c r="V106" s="17" t="inlineStr">
        <is>
          <t>No</t>
        </is>
      </c>
      <c r="W106" s="17" t="inlineStr">
        <is>
          <t>Boston Beer (90)</t>
        </is>
      </c>
      <c r="X106" s="17" t="inlineStr">
        <is>
          <t>—</t>
        </is>
      </c>
      <c r="Y106" s="19" t="inlineStr">
        <is>
          <t>View Photo</t>
        </is>
      </c>
    </row>
    <row r="107">
      <c r="A107" s="17" t="inlineStr">
        <is>
          <t>D0106</t>
        </is>
      </c>
      <c r="B107" s="17" t="inlineStr">
        <is>
          <t>07/08/2026</t>
        </is>
      </c>
      <c r="C107" s="17" t="inlineStr">
        <is>
          <t>07/08/2026 02:26 PM</t>
        </is>
      </c>
      <c r="D107" s="17" t="inlineStr">
        <is>
          <t>mickey obrien</t>
        </is>
      </c>
      <c r="E107" s="17" t="inlineStr">
        <is>
          <t>Sales Associate</t>
        </is>
      </c>
      <c r="F107" s="17" t="inlineStr">
        <is>
          <t>Michael Engel</t>
        </is>
      </c>
      <c r="G107" s="17" t="inlineStr">
        <is>
          <t>58001</t>
        </is>
      </c>
      <c r="H107" s="17" t="inlineStr">
        <is>
          <t>TOTAL WINE &amp; MORE (RIVER EDGE)</t>
        </is>
      </c>
      <c r="I107" s="17" t="inlineStr">
        <is>
          <t>RIVER EDGE</t>
        </is>
      </c>
      <c r="J107" s="17" t="inlineStr">
        <is>
          <t>Boston Beer</t>
        </is>
      </c>
      <c r="K107" s="25" t="n">
        <v>4</v>
      </c>
      <c r="L107" s="17" t="inlineStr">
        <is>
          <t>Gold (70+)</t>
        </is>
      </c>
      <c r="M107" s="18" t="n">
        <v>90</v>
      </c>
      <c r="N107" s="18" t="n">
        <v>90</v>
      </c>
      <c r="O107" s="17" t="inlineStr">
        <is>
          <t>Priority</t>
        </is>
      </c>
      <c r="P107" s="18" t="n">
        <v>1000</v>
      </c>
      <c r="Q107" s="17" t="inlineStr">
        <is>
          <t>Yes</t>
        </is>
      </c>
      <c r="R107" s="17" t="inlineStr">
        <is>
          <t>TRULY HARD SELTZER</t>
        </is>
      </c>
      <c r="S107" s="17" t="inlineStr">
        <is>
          <t>TRULY HARD SELTZER</t>
        </is>
      </c>
      <c r="T107" s="17" t="inlineStr">
        <is>
          <t>BOSTON BEER COMPANY</t>
        </is>
      </c>
      <c r="U107" s="25" t="n">
        <v>1</v>
      </c>
      <c r="V107" s="17" t="inlineStr">
        <is>
          <t>No</t>
        </is>
      </c>
      <c r="W107" s="17" t="inlineStr">
        <is>
          <t>Boston Beer (90)</t>
        </is>
      </c>
      <c r="X107" s="17" t="inlineStr">
        <is>
          <t>—</t>
        </is>
      </c>
      <c r="Y107" s="19" t="inlineStr">
        <is>
          <t>View Photo</t>
        </is>
      </c>
    </row>
    <row r="108">
      <c r="A108" s="17" t="inlineStr">
        <is>
          <t>D0107</t>
        </is>
      </c>
      <c r="B108" s="17" t="inlineStr">
        <is>
          <t>07/15/2026</t>
        </is>
      </c>
      <c r="C108" s="17" t="inlineStr">
        <is>
          <t>07/15/2026 11:19 AM</t>
        </is>
      </c>
      <c r="D108" s="17" t="inlineStr">
        <is>
          <t>mickey obrien</t>
        </is>
      </c>
      <c r="E108" s="17" t="inlineStr">
        <is>
          <t>Sales Associate</t>
        </is>
      </c>
      <c r="F108" s="17" t="inlineStr">
        <is>
          <t>Michael Engel</t>
        </is>
      </c>
      <c r="G108" s="17" t="inlineStr">
        <is>
          <t>76010</t>
        </is>
      </c>
      <c r="H108" s="17" t="inlineStr">
        <is>
          <t>USA WINE TRADERS CLUB (SADDLE BROOK)</t>
        </is>
      </c>
      <c r="I108" s="17" t="inlineStr">
        <is>
          <t>SADDLE BROOK</t>
        </is>
      </c>
      <c r="J108" s="17" t="inlineStr">
        <is>
          <t>Constellation</t>
        </is>
      </c>
      <c r="K108" s="25" t="n">
        <v>4</v>
      </c>
      <c r="L108" s="17" t="inlineStr">
        <is>
          <t>Gold (70+)</t>
        </is>
      </c>
      <c r="M108" s="18" t="n">
        <v>90</v>
      </c>
      <c r="N108" s="18" t="n">
        <v>90</v>
      </c>
      <c r="O108" s="17" t="inlineStr">
        <is>
          <t>Priority</t>
        </is>
      </c>
      <c r="P108" s="18" t="n">
        <v>1000</v>
      </c>
      <c r="Q108" s="17" t="inlineStr">
        <is>
          <t>Yes</t>
        </is>
      </c>
      <c r="R108" s="17" t="inlineStr">
        <is>
          <t>CORONA EXTRA</t>
        </is>
      </c>
      <c r="S108" s="17" t="inlineStr">
        <is>
          <t>CORONA EXTRA</t>
        </is>
      </c>
      <c r="T108" s="17" t="inlineStr">
        <is>
          <t>CONSTELLATION BRANDS</t>
        </is>
      </c>
      <c r="U108" s="25" t="n">
        <v>2</v>
      </c>
      <c r="V108" s="17" t="inlineStr">
        <is>
          <t>No</t>
        </is>
      </c>
      <c r="W108" s="17" t="inlineStr">
        <is>
          <t>Constellation (90)</t>
        </is>
      </c>
      <c r="X108" s="26" t="inlineStr">
        <is>
          <t>Possible duplicate</t>
        </is>
      </c>
      <c r="Y108" s="19" t="inlineStr">
        <is>
          <t>View Photo</t>
        </is>
      </c>
    </row>
    <row r="109">
      <c r="A109" s="17" t="inlineStr">
        <is>
          <t>D0108</t>
        </is>
      </c>
      <c r="B109" s="17" t="inlineStr">
        <is>
          <t>07/21/2026</t>
        </is>
      </c>
      <c r="C109" s="17" t="inlineStr">
        <is>
          <t>07/21/2026 10:29 AM</t>
        </is>
      </c>
      <c r="D109" s="17" t="inlineStr">
        <is>
          <t>Matthew Powierski</t>
        </is>
      </c>
      <c r="E109" s="17" t="inlineStr">
        <is>
          <t>Sales Rep</t>
        </is>
      </c>
      <c r="F109" s="17" t="inlineStr">
        <is>
          <t>Denise Montes</t>
        </is>
      </c>
      <c r="G109" s="17" t="inlineStr">
        <is>
          <t>77012</t>
        </is>
      </c>
      <c r="H109" s="17" t="inlineStr">
        <is>
          <t>PAYLESS LIQUOR &amp; DELL</t>
        </is>
      </c>
      <c r="I109" s="17" t="inlineStr">
        <is>
          <t>ELMWOOD PARK</t>
        </is>
      </c>
      <c r="J109" s="17" t="inlineStr">
        <is>
          <t>Molson Coors</t>
        </is>
      </c>
      <c r="K109" s="25" t="n">
        <v>4</v>
      </c>
      <c r="L109" s="17" t="inlineStr">
        <is>
          <t>Gold (70+)</t>
        </is>
      </c>
      <c r="M109" s="18" t="n">
        <v>90</v>
      </c>
      <c r="N109" s="18" t="n">
        <v>90</v>
      </c>
      <c r="O109" s="17" t="inlineStr">
        <is>
          <t>Priority</t>
        </is>
      </c>
      <c r="P109" s="18" t="n">
        <v>1000</v>
      </c>
      <c r="Q109" s="17" t="inlineStr">
        <is>
          <t>Yes</t>
        </is>
      </c>
      <c r="R109" s="17" t="inlineStr">
        <is>
          <t>MILLER LITE</t>
        </is>
      </c>
      <c r="S109" s="17" t="inlineStr">
        <is>
          <t>MILLER LITE</t>
        </is>
      </c>
      <c r="T109" s="17" t="inlineStr">
        <is>
          <t>MOLSON COORS BEVERAGE COMPANY</t>
        </is>
      </c>
      <c r="U109" s="25" t="n">
        <v>1</v>
      </c>
      <c r="V109" s="17" t="inlineStr">
        <is>
          <t>No</t>
        </is>
      </c>
      <c r="W109" s="17" t="inlineStr">
        <is>
          <t>Molson Coors (90)</t>
        </is>
      </c>
      <c r="X109" s="17" t="inlineStr">
        <is>
          <t>—</t>
        </is>
      </c>
      <c r="Y109" s="19" t="inlineStr">
        <is>
          <t>View Photo</t>
        </is>
      </c>
    </row>
    <row r="110">
      <c r="A110" s="17" t="inlineStr">
        <is>
          <t>D0109</t>
        </is>
      </c>
      <c r="B110" s="17" t="inlineStr">
        <is>
          <t>07/21/2026</t>
        </is>
      </c>
      <c r="C110" s="17" t="inlineStr">
        <is>
          <t>07/21/2026 11:44 AM</t>
        </is>
      </c>
      <c r="D110" s="17" t="inlineStr">
        <is>
          <t>Mike Ast</t>
        </is>
      </c>
      <c r="E110" s="17" t="inlineStr">
        <is>
          <t>Sales Rep</t>
        </is>
      </c>
      <c r="F110" s="17" t="inlineStr">
        <is>
          <t>Paul Deady</t>
        </is>
      </c>
      <c r="G110" s="17" t="inlineStr">
        <is>
          <t>94001</t>
        </is>
      </c>
      <c r="H110" s="17" t="inlineStr">
        <is>
          <t>LONG HILL LIQUORS (A)</t>
        </is>
      </c>
      <c r="I110" s="17" t="inlineStr">
        <is>
          <t>OAKLAND</t>
        </is>
      </c>
      <c r="J110" s="17" t="inlineStr">
        <is>
          <t>Molson Coors</t>
        </is>
      </c>
      <c r="K110" s="25" t="n">
        <v>4</v>
      </c>
      <c r="L110" s="17" t="inlineStr">
        <is>
          <t>Gold (70+)</t>
        </is>
      </c>
      <c r="M110" s="18" t="n">
        <v>90</v>
      </c>
      <c r="N110" s="18" t="n">
        <v>90</v>
      </c>
      <c r="O110" s="17" t="inlineStr">
        <is>
          <t>Priority</t>
        </is>
      </c>
      <c r="P110" s="18" t="n">
        <v>1000</v>
      </c>
      <c r="Q110" s="17" t="inlineStr">
        <is>
          <t>Yes</t>
        </is>
      </c>
      <c r="R110" s="17" t="inlineStr">
        <is>
          <t>COORS LIGHT</t>
        </is>
      </c>
      <c r="S110" s="17" t="inlineStr">
        <is>
          <t>COORS, COORS LIGHT</t>
        </is>
      </c>
      <c r="T110" s="17" t="inlineStr">
        <is>
          <t>MOLSON COORS BEVERAGE COMPANY</t>
        </is>
      </c>
      <c r="U110" s="25" t="n">
        <v>2</v>
      </c>
      <c r="V110" s="17" t="inlineStr">
        <is>
          <t>No</t>
        </is>
      </c>
      <c r="W110" s="17" t="inlineStr">
        <is>
          <t>Molson Coors (90)</t>
        </is>
      </c>
      <c r="X110" s="17" t="inlineStr">
        <is>
          <t>—</t>
        </is>
      </c>
      <c r="Y110" s="19" t="inlineStr">
        <is>
          <t>View Photo</t>
        </is>
      </c>
    </row>
    <row r="111">
      <c r="A111" s="17" t="inlineStr">
        <is>
          <t>D0110</t>
        </is>
      </c>
      <c r="B111" s="17" t="inlineStr">
        <is>
          <t>07/27/2026</t>
        </is>
      </c>
      <c r="C111" s="17" t="inlineStr">
        <is>
          <t>07/27/2026 01:28 PM</t>
        </is>
      </c>
      <c r="D111" s="17" t="inlineStr">
        <is>
          <t>Dave Ehlers</t>
        </is>
      </c>
      <c r="E111" s="17" t="inlineStr">
        <is>
          <t>Sales Rep</t>
        </is>
      </c>
      <c r="F111" s="17" t="inlineStr">
        <is>
          <t>Michael Engel</t>
        </is>
      </c>
      <c r="G111" s="17" t="inlineStr">
        <is>
          <t>58001</t>
        </is>
      </c>
      <c r="H111" s="17" t="inlineStr">
        <is>
          <t>TOTAL WINE &amp; MORE (RIVER EDGE)</t>
        </is>
      </c>
      <c r="I111" s="17" t="inlineStr">
        <is>
          <t>RIVER EDGE</t>
        </is>
      </c>
      <c r="J111" s="17" t="inlineStr">
        <is>
          <t>Mark Anthony</t>
        </is>
      </c>
      <c r="K111" s="25" t="n">
        <v>4</v>
      </c>
      <c r="L111" s="17" t="inlineStr">
        <is>
          <t>Gold (70+)</t>
        </is>
      </c>
      <c r="M111" s="18" t="n">
        <v>90</v>
      </c>
      <c r="N111" s="18" t="n">
        <v>90</v>
      </c>
      <c r="O111" s="17" t="inlineStr">
        <is>
          <t>Priority</t>
        </is>
      </c>
      <c r="P111" s="18" t="n">
        <v>1000</v>
      </c>
      <c r="Q111" s="17" t="inlineStr">
        <is>
          <t>Yes</t>
        </is>
      </c>
      <c r="R111" s="17" t="inlineStr">
        <is>
          <t>WHITE CLAW SURF HARD SELTZER</t>
        </is>
      </c>
      <c r="S111" s="17" t="inlineStr">
        <is>
          <t>WHITE CLAW ORIGINAL HARD SELTZER, WHITE CLAW SURF HARD SELTZER</t>
        </is>
      </c>
      <c r="T111" s="17" t="inlineStr">
        <is>
          <t>MARK ANTHONY GROUP</t>
        </is>
      </c>
      <c r="U111" s="25" t="n">
        <v>3</v>
      </c>
      <c r="V111" s="17" t="inlineStr">
        <is>
          <t>No</t>
        </is>
      </c>
      <c r="W111" s="17" t="inlineStr">
        <is>
          <t>Mark Anthony (90)</t>
        </is>
      </c>
      <c r="X111" s="17" t="inlineStr">
        <is>
          <t>First of a repeat set</t>
        </is>
      </c>
      <c r="Y111" s="19" t="inlineStr">
        <is>
          <t>View Photo</t>
        </is>
      </c>
    </row>
    <row r="112">
      <c r="A112" s="17" t="inlineStr">
        <is>
          <t>D0111</t>
        </is>
      </c>
      <c r="B112" s="17" t="inlineStr">
        <is>
          <t>07/27/2026</t>
        </is>
      </c>
      <c r="C112" s="17" t="inlineStr">
        <is>
          <t>07/27/2026 01:28 PM</t>
        </is>
      </c>
      <c r="D112" s="17" t="inlineStr">
        <is>
          <t>mickey obrien</t>
        </is>
      </c>
      <c r="E112" s="17" t="inlineStr">
        <is>
          <t>Sales Associate</t>
        </is>
      </c>
      <c r="F112" s="17" t="inlineStr">
        <is>
          <t>Michael Engel</t>
        </is>
      </c>
      <c r="G112" s="17" t="inlineStr">
        <is>
          <t>58001</t>
        </is>
      </c>
      <c r="H112" s="17" t="inlineStr">
        <is>
          <t>TOTAL WINE &amp; MORE (RIVER EDGE)</t>
        </is>
      </c>
      <c r="I112" s="17" t="inlineStr">
        <is>
          <t>RIVER EDGE</t>
        </is>
      </c>
      <c r="J112" s="17" t="inlineStr">
        <is>
          <t>Mark Anthony</t>
        </is>
      </c>
      <c r="K112" s="25" t="n">
        <v>4</v>
      </c>
      <c r="L112" s="17" t="inlineStr">
        <is>
          <t>Gold (70+)</t>
        </is>
      </c>
      <c r="M112" s="18" t="n">
        <v>90</v>
      </c>
      <c r="N112" s="18" t="n">
        <v>90</v>
      </c>
      <c r="O112" s="17" t="inlineStr">
        <is>
          <t>Priority</t>
        </is>
      </c>
      <c r="P112" s="18" t="n">
        <v>1000</v>
      </c>
      <c r="Q112" s="17" t="inlineStr">
        <is>
          <t>Yes</t>
        </is>
      </c>
      <c r="R112" s="17" t="inlineStr">
        <is>
          <t>WHITE CLAW SURF HARD SELTZER</t>
        </is>
      </c>
      <c r="S112" s="17" t="inlineStr">
        <is>
          <t>WHITE CLAW ORIGINAL HARD SELTZER, WHITE CLAW SURF HARD SELTZER</t>
        </is>
      </c>
      <c r="T112" s="17" t="inlineStr">
        <is>
          <t>MARK ANTHONY GROUP</t>
        </is>
      </c>
      <c r="U112" s="25" t="n">
        <v>3</v>
      </c>
      <c r="V112" s="17" t="inlineStr">
        <is>
          <t>No</t>
        </is>
      </c>
      <c r="W112" s="17" t="inlineStr">
        <is>
          <t>Mark Anthony (90)</t>
        </is>
      </c>
      <c r="X112" s="26" t="inlineStr">
        <is>
          <t>Possible duplicate</t>
        </is>
      </c>
      <c r="Y112" s="19" t="inlineStr">
        <is>
          <t>View Photo</t>
        </is>
      </c>
    </row>
    <row r="113">
      <c r="A113" s="17" t="inlineStr">
        <is>
          <t>D0112</t>
        </is>
      </c>
      <c r="B113" s="17" t="inlineStr">
        <is>
          <t>08/06/2026</t>
        </is>
      </c>
      <c r="C113" s="17" t="inlineStr">
        <is>
          <t>08/06/2026 10:46 AM</t>
        </is>
      </c>
      <c r="D113" s="17" t="inlineStr">
        <is>
          <t>James Heaney</t>
        </is>
      </c>
      <c r="E113" s="17" t="inlineStr">
        <is>
          <t>Sales Rep</t>
        </is>
      </c>
      <c r="F113" s="17" t="inlineStr">
        <is>
          <t>Denise Montes</t>
        </is>
      </c>
      <c r="G113" s="17" t="inlineStr">
        <is>
          <t>24011</t>
        </is>
      </c>
      <c r="H113" s="17" t="inlineStr">
        <is>
          <t>SHOPPERS VINEYARD (A)</t>
        </is>
      </c>
      <c r="I113" s="17" t="inlineStr">
        <is>
          <t>CLIFTON</t>
        </is>
      </c>
      <c r="J113" s="17" t="inlineStr">
        <is>
          <t>Constellation</t>
        </is>
      </c>
      <c r="K113" s="25" t="n">
        <v>4</v>
      </c>
      <c r="L113" s="17" t="inlineStr">
        <is>
          <t>Gold (70+)</t>
        </is>
      </c>
      <c r="M113" s="18" t="n">
        <v>90</v>
      </c>
      <c r="N113" s="18" t="n">
        <v>90</v>
      </c>
      <c r="O113" s="17" t="inlineStr">
        <is>
          <t>Priority</t>
        </is>
      </c>
      <c r="P113" s="18" t="n">
        <v>1000</v>
      </c>
      <c r="Q113" s="17" t="inlineStr">
        <is>
          <t>Yes</t>
        </is>
      </c>
      <c r="R113" s="17" t="inlineStr">
        <is>
          <t>MODELO CERVEZA</t>
        </is>
      </c>
      <c r="S113" s="17" t="inlineStr">
        <is>
          <t>MODELO CERVEZA, MODELO CHELADA, MODELO ORO</t>
        </is>
      </c>
      <c r="T113" s="17" t="inlineStr">
        <is>
          <t>CONSTELLATION BRANDS</t>
        </is>
      </c>
      <c r="U113" s="25" t="n">
        <v>4</v>
      </c>
      <c r="V113" s="17" t="inlineStr">
        <is>
          <t>No</t>
        </is>
      </c>
      <c r="W113" s="17" t="inlineStr">
        <is>
          <t>Constellation (90)</t>
        </is>
      </c>
      <c r="X113" s="17" t="inlineStr">
        <is>
          <t>—</t>
        </is>
      </c>
      <c r="Y113" s="19" t="inlineStr">
        <is>
          <t>View Photo</t>
        </is>
      </c>
    </row>
    <row r="114">
      <c r="A114" s="17" t="inlineStr">
        <is>
          <t>D0113</t>
        </is>
      </c>
      <c r="B114" s="17" t="inlineStr">
        <is>
          <t>08/25/2026</t>
        </is>
      </c>
      <c r="C114" s="17" t="inlineStr">
        <is>
          <t>08/25/2026 03:29 PM</t>
        </is>
      </c>
      <c r="D114" s="17" t="inlineStr">
        <is>
          <t>phil Ernst</t>
        </is>
      </c>
      <c r="E114" s="17" t="inlineStr">
        <is>
          <t>Sales Rep</t>
        </is>
      </c>
      <c r="F114" s="17" t="inlineStr">
        <is>
          <t>Michael Engel</t>
        </is>
      </c>
      <c r="G114" s="17" t="inlineStr">
        <is>
          <t>80005</t>
        </is>
      </c>
      <c r="H114" s="17" t="inlineStr">
        <is>
          <t>SHOP RITE LIQ (PARAMUS)</t>
        </is>
      </c>
      <c r="I114" s="17" t="inlineStr">
        <is>
          <t>PARAMUS</t>
        </is>
      </c>
      <c r="J114" s="17" t="inlineStr">
        <is>
          <t>Molson Coors</t>
        </is>
      </c>
      <c r="K114" s="25" t="n">
        <v>4</v>
      </c>
      <c r="L114" s="17" t="inlineStr">
        <is>
          <t>Gold (70+)</t>
        </is>
      </c>
      <c r="M114" s="18" t="n">
        <v>90</v>
      </c>
      <c r="N114" s="18" t="n">
        <v>90</v>
      </c>
      <c r="O114" s="17" t="inlineStr">
        <is>
          <t>Priority</t>
        </is>
      </c>
      <c r="P114" s="18" t="n">
        <v>1000</v>
      </c>
      <c r="Q114" s="17" t="inlineStr">
        <is>
          <t>Yes</t>
        </is>
      </c>
      <c r="R114" s="17" t="inlineStr">
        <is>
          <t>COORS LIGHT</t>
        </is>
      </c>
      <c r="S114" s="17" t="inlineStr">
        <is>
          <t>COORS, COORS LIGHT</t>
        </is>
      </c>
      <c r="T114" s="17" t="inlineStr">
        <is>
          <t>MOLSON COORS BEVERAGE COMPANY</t>
        </is>
      </c>
      <c r="U114" s="25" t="n">
        <v>4</v>
      </c>
      <c r="V114" s="17" t="inlineStr">
        <is>
          <t>No</t>
        </is>
      </c>
      <c r="W114" s="17" t="inlineStr">
        <is>
          <t>Molson Coors (90)</t>
        </is>
      </c>
      <c r="X114" s="17" t="inlineStr">
        <is>
          <t>—</t>
        </is>
      </c>
      <c r="Y114" s="19" t="inlineStr">
        <is>
          <t>View Photo</t>
        </is>
      </c>
    </row>
    <row r="115">
      <c r="A115" s="17" t="inlineStr">
        <is>
          <t>D0114</t>
        </is>
      </c>
      <c r="B115" s="17" t="inlineStr">
        <is>
          <t>07/30/2026</t>
        </is>
      </c>
      <c r="C115" s="17" t="inlineStr">
        <is>
          <t>07/30/2026 10:34 AM</t>
        </is>
      </c>
      <c r="D115" s="17" t="inlineStr">
        <is>
          <t>phil Ernst</t>
        </is>
      </c>
      <c r="E115" s="17" t="inlineStr">
        <is>
          <t>Sales Rep</t>
        </is>
      </c>
      <c r="F115" s="17" t="inlineStr">
        <is>
          <t>Michael Engel</t>
        </is>
      </c>
      <c r="G115" s="17" t="inlineStr">
        <is>
          <t>83010</t>
        </is>
      </c>
      <c r="H115" s="17" t="inlineStr">
        <is>
          <t>BOTTLE KING (A) GLEN ROCK</t>
        </is>
      </c>
      <c r="I115" s="17" t="inlineStr">
        <is>
          <t>GLEN ROCK</t>
        </is>
      </c>
      <c r="J115" s="17" t="inlineStr">
        <is>
          <t>Boston Beer</t>
        </is>
      </c>
      <c r="K115" s="25" t="n">
        <v>4</v>
      </c>
      <c r="L115" s="17" t="inlineStr">
        <is>
          <t>Gold (70+)</t>
        </is>
      </c>
      <c r="M115" s="18" t="n">
        <v>88</v>
      </c>
      <c r="N115" s="18" t="n">
        <v>88</v>
      </c>
      <c r="O115" s="17" t="inlineStr">
        <is>
          <t>Priority</t>
        </is>
      </c>
      <c r="P115" s="18" t="n">
        <v>1000</v>
      </c>
      <c r="Q115" s="17" t="inlineStr">
        <is>
          <t>Yes</t>
        </is>
      </c>
      <c r="R115" s="17" t="inlineStr">
        <is>
          <t>TRULY</t>
        </is>
      </c>
      <c r="S115" s="17" t="inlineStr">
        <is>
          <t>TRULY, TWISTED TEA</t>
        </is>
      </c>
      <c r="T115" s="17" t="inlineStr">
        <is>
          <t>BOSTON BEER COMPANY</t>
        </is>
      </c>
      <c r="U115" s="25" t="n">
        <v>2</v>
      </c>
      <c r="V115" s="17" t="inlineStr">
        <is>
          <t>No</t>
        </is>
      </c>
      <c r="W115" s="17" t="inlineStr">
        <is>
          <t>Boston Beer (88)</t>
        </is>
      </c>
      <c r="X115" s="17" t="inlineStr">
        <is>
          <t>—</t>
        </is>
      </c>
      <c r="Y115" s="19" t="inlineStr">
        <is>
          <t>View Photo</t>
        </is>
      </c>
    </row>
    <row r="116">
      <c r="A116" s="17" t="inlineStr">
        <is>
          <t>D0115</t>
        </is>
      </c>
      <c r="B116" s="17" t="inlineStr">
        <is>
          <t>07/14/2026</t>
        </is>
      </c>
      <c r="C116" s="17" t="inlineStr">
        <is>
          <t>07/14/2026 11:08 AM</t>
        </is>
      </c>
      <c r="D116" s="17" t="inlineStr">
        <is>
          <t>Chris Payton</t>
        </is>
      </c>
      <c r="E116" s="17" t="inlineStr">
        <is>
          <t>Sales Rep</t>
        </is>
      </c>
      <c r="F116" s="17" t="inlineStr">
        <is>
          <t>Michael Engel</t>
        </is>
      </c>
      <c r="G116" s="17" t="inlineStr">
        <is>
          <t>76010</t>
        </is>
      </c>
      <c r="H116" s="17" t="inlineStr">
        <is>
          <t>USA WINE TRADERS CLUB (SADDLE BROOK)</t>
        </is>
      </c>
      <c r="I116" s="17" t="inlineStr">
        <is>
          <t>SADDLE BROOK</t>
        </is>
      </c>
      <c r="J116" s="17" t="inlineStr">
        <is>
          <t>Boston Beer</t>
        </is>
      </c>
      <c r="K116" s="25" t="n">
        <v>4</v>
      </c>
      <c r="L116" s="17" t="inlineStr">
        <is>
          <t>Gold (70+)</t>
        </is>
      </c>
      <c r="M116" s="18" t="n">
        <v>87</v>
      </c>
      <c r="N116" s="18" t="n">
        <v>87</v>
      </c>
      <c r="O116" s="17" t="inlineStr">
        <is>
          <t>Priority</t>
        </is>
      </c>
      <c r="P116" s="18" t="n">
        <v>1000</v>
      </c>
      <c r="Q116" s="17" t="inlineStr">
        <is>
          <t>Yes</t>
        </is>
      </c>
      <c r="R116" s="17" t="inlineStr">
        <is>
          <t>SUN CRUISERS RTD</t>
        </is>
      </c>
      <c r="S116" s="17" t="inlineStr">
        <is>
          <t>SUN CRUISERS RTD</t>
        </is>
      </c>
      <c r="T116" s="17" t="inlineStr">
        <is>
          <t>BOSTON BEER COMPANY</t>
        </is>
      </c>
      <c r="U116" s="25" t="n">
        <v>2</v>
      </c>
      <c r="V116" s="17" t="inlineStr">
        <is>
          <t>No</t>
        </is>
      </c>
      <c r="W116" s="17" t="inlineStr">
        <is>
          <t>Boston Beer (87)</t>
        </is>
      </c>
      <c r="X116" s="17" t="inlineStr">
        <is>
          <t>—</t>
        </is>
      </c>
      <c r="Y116" s="19" t="inlineStr">
        <is>
          <t>View Photo</t>
        </is>
      </c>
    </row>
    <row r="117">
      <c r="A117" s="17" t="inlineStr">
        <is>
          <t>D0116</t>
        </is>
      </c>
      <c r="B117" s="17" t="inlineStr">
        <is>
          <t>08/13/2026</t>
        </is>
      </c>
      <c r="C117" s="17" t="inlineStr">
        <is>
          <t>08/13/2026 12:08 PM</t>
        </is>
      </c>
      <c r="D117" s="17" t="inlineStr">
        <is>
          <t>John Neukum</t>
        </is>
      </c>
      <c r="E117" s="17" t="inlineStr">
        <is>
          <t>Sales Rep</t>
        </is>
      </c>
      <c r="F117" s="17" t="inlineStr">
        <is>
          <t>Michael Engel</t>
        </is>
      </c>
      <c r="G117" s="17" t="inlineStr">
        <is>
          <t>31019</t>
        </is>
      </c>
      <c r="H117" s="17" t="inlineStr">
        <is>
          <t>BJ'S WAREHOUSE E RUTHERFO</t>
        </is>
      </c>
      <c r="I117" s="17" t="inlineStr">
        <is>
          <t>EAST RUTHERFORD</t>
        </is>
      </c>
      <c r="J117" s="17" t="inlineStr">
        <is>
          <t>Constellation</t>
        </is>
      </c>
      <c r="K117" s="25" t="n">
        <v>4</v>
      </c>
      <c r="L117" s="17" t="inlineStr">
        <is>
          <t>Gold (70+)</t>
        </is>
      </c>
      <c r="M117" s="18" t="n">
        <v>86</v>
      </c>
      <c r="N117" s="18" t="n">
        <v>86</v>
      </c>
      <c r="O117" s="17" t="inlineStr">
        <is>
          <t>Priority</t>
        </is>
      </c>
      <c r="P117" s="18" t="n">
        <v>1000</v>
      </c>
      <c r="Q117" s="17" t="inlineStr">
        <is>
          <t>Yes</t>
        </is>
      </c>
      <c r="R117" s="17" t="inlineStr">
        <is>
          <t>MODELO CHELADA</t>
        </is>
      </c>
      <c r="S117" s="17" t="inlineStr">
        <is>
          <t>MODELO CHELADA</t>
        </is>
      </c>
      <c r="T117" s="17" t="inlineStr">
        <is>
          <t>CONSTELLATION BRANDS</t>
        </is>
      </c>
      <c r="U117" s="25" t="n">
        <v>1</v>
      </c>
      <c r="V117" s="17" t="inlineStr">
        <is>
          <t>No</t>
        </is>
      </c>
      <c r="W117" s="17" t="inlineStr">
        <is>
          <t>Constellation (86)</t>
        </is>
      </c>
      <c r="X117" s="17" t="inlineStr">
        <is>
          <t>—</t>
        </is>
      </c>
      <c r="Y117" s="19" t="inlineStr">
        <is>
          <t>View Photo</t>
        </is>
      </c>
    </row>
    <row r="118">
      <c r="A118" s="17" t="inlineStr">
        <is>
          <t>D0117</t>
        </is>
      </c>
      <c r="B118" s="17" t="inlineStr">
        <is>
          <t>07/15/2026</t>
        </is>
      </c>
      <c r="C118" s="17" t="inlineStr">
        <is>
          <t>07/15/2026 11:04 AM</t>
        </is>
      </c>
      <c r="D118" s="17" t="inlineStr">
        <is>
          <t>Shane Barreca</t>
        </is>
      </c>
      <c r="E118" s="17" t="inlineStr">
        <is>
          <t>Sales Rep</t>
        </is>
      </c>
      <c r="F118" s="17" t="inlineStr">
        <is>
          <t>Paul Deady</t>
        </is>
      </c>
      <c r="G118" s="17" t="inlineStr">
        <is>
          <t>73008</t>
        </is>
      </c>
      <c r="H118" s="17" t="inlineStr">
        <is>
          <t>SHOP RITE LIQ (A)HILLSDAL</t>
        </is>
      </c>
      <c r="I118" s="17" t="inlineStr">
        <is>
          <t>HILLSDALE</t>
        </is>
      </c>
      <c r="J118" s="17" t="inlineStr">
        <is>
          <t>Constellation</t>
        </is>
      </c>
      <c r="K118" s="25" t="n">
        <v>4</v>
      </c>
      <c r="L118" s="17" t="inlineStr">
        <is>
          <t>Gold (70+)</t>
        </is>
      </c>
      <c r="M118" s="18" t="n">
        <v>85</v>
      </c>
      <c r="N118" s="18" t="n">
        <v>85</v>
      </c>
      <c r="O118" s="17" t="inlineStr">
        <is>
          <t>Priority</t>
        </is>
      </c>
      <c r="P118" s="18" t="n">
        <v>1000</v>
      </c>
      <c r="Q118" s="17" t="inlineStr">
        <is>
          <t>Yes</t>
        </is>
      </c>
      <c r="R118" s="17" t="inlineStr">
        <is>
          <t>CORONA EXTRA</t>
        </is>
      </c>
      <c r="S118" s="17" t="inlineStr">
        <is>
          <t>CORONA, CORONA EXTRA, CORONA NON-ALCOHOLIC</t>
        </is>
      </c>
      <c r="T118" s="17" t="inlineStr">
        <is>
          <t>CONSTELLATION BRANDS</t>
        </is>
      </c>
      <c r="U118" s="25" t="n">
        <v>8</v>
      </c>
      <c r="V118" s="17" t="inlineStr">
        <is>
          <t>No</t>
        </is>
      </c>
      <c r="W118" s="17" t="inlineStr">
        <is>
          <t>Constellation (85)</t>
        </is>
      </c>
      <c r="X118" s="17" t="inlineStr">
        <is>
          <t>—</t>
        </is>
      </c>
      <c r="Y118" s="19" t="inlineStr">
        <is>
          <t>View Photo</t>
        </is>
      </c>
    </row>
    <row r="119">
      <c r="A119" s="17" t="inlineStr">
        <is>
          <t>D0118</t>
        </is>
      </c>
      <c r="B119" s="17" t="inlineStr">
        <is>
          <t>08/24/2026</t>
        </is>
      </c>
      <c r="C119" s="17" t="inlineStr">
        <is>
          <t>08/24/2026 03:07 PM</t>
        </is>
      </c>
      <c r="D119" s="17" t="inlineStr">
        <is>
          <t>Dave Ehlers</t>
        </is>
      </c>
      <c r="E119" s="17" t="inlineStr">
        <is>
          <t>Sales Rep</t>
        </is>
      </c>
      <c r="F119" s="17" t="inlineStr">
        <is>
          <t>Michael Engel</t>
        </is>
      </c>
      <c r="G119" s="17" t="inlineStr">
        <is>
          <t>58001</t>
        </is>
      </c>
      <c r="H119" s="17" t="inlineStr">
        <is>
          <t>TOTAL WINE &amp; MORE (RIVER EDGE)</t>
        </is>
      </c>
      <c r="I119" s="17" t="inlineStr">
        <is>
          <t>RIVER EDGE</t>
        </is>
      </c>
      <c r="J119" s="17" t="inlineStr">
        <is>
          <t>Molson Coors</t>
        </is>
      </c>
      <c r="K119" s="25" t="n">
        <v>4</v>
      </c>
      <c r="L119" s="17" t="inlineStr">
        <is>
          <t>Gold (70+)</t>
        </is>
      </c>
      <c r="M119" s="18" t="n">
        <v>85</v>
      </c>
      <c r="N119" s="18" t="n">
        <v>85</v>
      </c>
      <c r="O119" s="17" t="inlineStr">
        <is>
          <t>Priority</t>
        </is>
      </c>
      <c r="P119" s="18" t="n">
        <v>1000</v>
      </c>
      <c r="Q119" s="17" t="inlineStr">
        <is>
          <t>Yes</t>
        </is>
      </c>
      <c r="R119" s="17" t="inlineStr">
        <is>
          <t>PERONI NASTRO AZZURRO</t>
        </is>
      </c>
      <c r="S119" s="17" t="inlineStr">
        <is>
          <t>PERONI NASTRO AZZURRO</t>
        </is>
      </c>
      <c r="T119" s="17" t="inlineStr">
        <is>
          <t>MOLSON COORS BEVERAGE COMPANY</t>
        </is>
      </c>
      <c r="U119" s="25" t="n">
        <v>3</v>
      </c>
      <c r="V119" s="17" t="inlineStr">
        <is>
          <t>No</t>
        </is>
      </c>
      <c r="W119" s="17" t="inlineStr">
        <is>
          <t>Molson Coors (85)</t>
        </is>
      </c>
      <c r="X119" s="17" t="inlineStr">
        <is>
          <t>—</t>
        </is>
      </c>
      <c r="Y119" s="19" t="inlineStr">
        <is>
          <t>View Photo</t>
        </is>
      </c>
    </row>
    <row r="120">
      <c r="A120" s="17" t="inlineStr">
        <is>
          <t>D0119</t>
        </is>
      </c>
      <c r="B120" s="17" t="inlineStr">
        <is>
          <t>07/30/2026</t>
        </is>
      </c>
      <c r="C120" s="17" t="inlineStr">
        <is>
          <t>07/30/2026 11:52 AM</t>
        </is>
      </c>
      <c r="D120" s="17" t="inlineStr">
        <is>
          <t>Todd Ewell</t>
        </is>
      </c>
      <c r="E120" s="17" t="inlineStr">
        <is>
          <t>Sales Associate</t>
        </is>
      </c>
      <c r="F120" s="17" t="inlineStr">
        <is>
          <t>Paul Deady</t>
        </is>
      </c>
      <c r="G120" s="17" t="inlineStr">
        <is>
          <t>191710</t>
        </is>
      </c>
      <c r="H120" s="17" t="inlineStr">
        <is>
          <t>SHOP RITE WINE &amp; SPIRITS STANHOPE</t>
        </is>
      </c>
      <c r="I120" s="17" t="inlineStr">
        <is>
          <t>STANHOPE</t>
        </is>
      </c>
      <c r="J120" s="17" t="inlineStr">
        <is>
          <t>Boston Beer</t>
        </is>
      </c>
      <c r="K120" s="25" t="n">
        <v>4</v>
      </c>
      <c r="L120" s="17" t="inlineStr">
        <is>
          <t>Gold (70+)</t>
        </is>
      </c>
      <c r="M120" s="18" t="n">
        <v>84</v>
      </c>
      <c r="N120" s="18" t="n">
        <v>84</v>
      </c>
      <c r="O120" s="17" t="inlineStr">
        <is>
          <t>Priority</t>
        </is>
      </c>
      <c r="P120" s="18" t="n">
        <v>1000</v>
      </c>
      <c r="Q120" s="17" t="inlineStr">
        <is>
          <t>Yes</t>
        </is>
      </c>
      <c r="R120" s="17" t="inlineStr">
        <is>
          <t>TWISTED TEA</t>
        </is>
      </c>
      <c r="S120" s="17" t="inlineStr">
        <is>
          <t>TWISTED TEA</t>
        </is>
      </c>
      <c r="T120" s="17" t="inlineStr">
        <is>
          <t>BOSTON BEER COMPANY</t>
        </is>
      </c>
      <c r="U120" s="25" t="n">
        <v>1</v>
      </c>
      <c r="V120" s="17" t="inlineStr">
        <is>
          <t>No</t>
        </is>
      </c>
      <c r="W120" s="17" t="inlineStr">
        <is>
          <t>Boston Beer (84)</t>
        </is>
      </c>
      <c r="X120" s="26" t="inlineStr">
        <is>
          <t>Possible duplicate</t>
        </is>
      </c>
      <c r="Y120" s="19" t="inlineStr">
        <is>
          <t>View Photo</t>
        </is>
      </c>
    </row>
    <row r="121">
      <c r="A121" s="17" t="inlineStr">
        <is>
          <t>D0120</t>
        </is>
      </c>
      <c r="B121" s="17" t="inlineStr">
        <is>
          <t>07/15/2026</t>
        </is>
      </c>
      <c r="C121" s="17" t="inlineStr">
        <is>
          <t>07/15/2026 01:37 PM</t>
        </is>
      </c>
      <c r="D121" s="17" t="inlineStr">
        <is>
          <t>mickey obrien</t>
        </is>
      </c>
      <c r="E121" s="17" t="inlineStr">
        <is>
          <t>Sales Associate</t>
        </is>
      </c>
      <c r="F121" s="17" t="inlineStr">
        <is>
          <t>Michael Engel</t>
        </is>
      </c>
      <c r="G121" s="17" t="inlineStr">
        <is>
          <t>40022</t>
        </is>
      </c>
      <c r="H121" s="17" t="inlineStr">
        <is>
          <t>BUY RITE OF HACKENSACK</t>
        </is>
      </c>
      <c r="I121" s="17" t="inlineStr">
        <is>
          <t>HACKENSACK</t>
        </is>
      </c>
      <c r="J121" s="17" t="inlineStr">
        <is>
          <t>Constellation</t>
        </is>
      </c>
      <c r="K121" s="25" t="n">
        <v>4</v>
      </c>
      <c r="L121" s="17" t="inlineStr">
        <is>
          <t>Gold (70+)</t>
        </is>
      </c>
      <c r="M121" s="18" t="n">
        <v>82</v>
      </c>
      <c r="N121" s="18" t="n">
        <v>82</v>
      </c>
      <c r="O121" s="17" t="inlineStr">
        <is>
          <t>Priority</t>
        </is>
      </c>
      <c r="P121" s="18" t="n">
        <v>1000</v>
      </c>
      <c r="Q121" s="17" t="inlineStr">
        <is>
          <t>Yes</t>
        </is>
      </c>
      <c r="R121" s="17" t="inlineStr">
        <is>
          <t>MODELO CERVEZA</t>
        </is>
      </c>
      <c r="S121" s="17" t="inlineStr">
        <is>
          <t>MODELO CERVEZA</t>
        </is>
      </c>
      <c r="T121" s="17" t="inlineStr">
        <is>
          <t>CONSTELLATION BRANDS</t>
        </is>
      </c>
      <c r="U121" s="25" t="n">
        <v>3</v>
      </c>
      <c r="V121" s="17" t="inlineStr">
        <is>
          <t>No</t>
        </is>
      </c>
      <c r="W121" s="17" t="inlineStr">
        <is>
          <t>Constellation (82)</t>
        </is>
      </c>
      <c r="X121" s="17" t="inlineStr">
        <is>
          <t>First of a repeat set</t>
        </is>
      </c>
      <c r="Y121" s="19" t="inlineStr">
        <is>
          <t>View Photo</t>
        </is>
      </c>
    </row>
    <row r="122">
      <c r="A122" s="17" t="inlineStr">
        <is>
          <t>D0121</t>
        </is>
      </c>
      <c r="B122" s="17" t="inlineStr">
        <is>
          <t>07/21/2026</t>
        </is>
      </c>
      <c r="C122" s="17" t="inlineStr">
        <is>
          <t>07/21/2026 11:43 AM</t>
        </is>
      </c>
      <c r="D122" s="17" t="inlineStr">
        <is>
          <t>Mike Ast</t>
        </is>
      </c>
      <c r="E122" s="17" t="inlineStr">
        <is>
          <t>Sales Rep</t>
        </is>
      </c>
      <c r="F122" s="17" t="inlineStr">
        <is>
          <t>Paul Deady</t>
        </is>
      </c>
      <c r="G122" s="17" t="inlineStr">
        <is>
          <t>94001</t>
        </is>
      </c>
      <c r="H122" s="17" t="inlineStr">
        <is>
          <t>LONG HILL LIQUORS (A)</t>
        </is>
      </c>
      <c r="I122" s="17" t="inlineStr">
        <is>
          <t>OAKLAND</t>
        </is>
      </c>
      <c r="J122" s="17" t="inlineStr">
        <is>
          <t>Molson Coors</t>
        </is>
      </c>
      <c r="K122" s="25" t="n">
        <v>4</v>
      </c>
      <c r="L122" s="17" t="inlineStr">
        <is>
          <t>Gold (70+)</t>
        </is>
      </c>
      <c r="M122" s="18" t="n">
        <v>82</v>
      </c>
      <c r="N122" s="18" t="n">
        <v>82</v>
      </c>
      <c r="O122" s="17" t="inlineStr">
        <is>
          <t>Priority</t>
        </is>
      </c>
      <c r="P122" s="18" t="n">
        <v>1000</v>
      </c>
      <c r="Q122" s="17" t="inlineStr">
        <is>
          <t>Yes</t>
        </is>
      </c>
      <c r="R122" s="17" t="inlineStr">
        <is>
          <t>MILLER LITE</t>
        </is>
      </c>
      <c r="S122" s="17" t="inlineStr">
        <is>
          <t>MILLER LITE</t>
        </is>
      </c>
      <c r="T122" s="17" t="inlineStr">
        <is>
          <t>MOLSON COORS BEVERAGE COMPANY</t>
        </is>
      </c>
      <c r="U122" s="25" t="n">
        <v>1</v>
      </c>
      <c r="V122" s="17" t="inlineStr">
        <is>
          <t>No</t>
        </is>
      </c>
      <c r="W122" s="17" t="inlineStr">
        <is>
          <t>Molson Coors (82)</t>
        </is>
      </c>
      <c r="X122" s="17" t="inlineStr">
        <is>
          <t>—</t>
        </is>
      </c>
      <c r="Y122" s="19" t="inlineStr">
        <is>
          <t>View Photo</t>
        </is>
      </c>
    </row>
    <row r="123">
      <c r="A123" s="17" t="inlineStr">
        <is>
          <t>D0122</t>
        </is>
      </c>
      <c r="B123" s="17" t="inlineStr">
        <is>
          <t>08/26/2026</t>
        </is>
      </c>
      <c r="C123" s="17" t="inlineStr">
        <is>
          <t>08/26/2026 12:42 PM</t>
        </is>
      </c>
      <c r="D123" s="17" t="inlineStr">
        <is>
          <t>Shane Barreca</t>
        </is>
      </c>
      <c r="E123" s="17" t="inlineStr">
        <is>
          <t>Sales Rep</t>
        </is>
      </c>
      <c r="F123" s="17" t="inlineStr">
        <is>
          <t>Paul Deady</t>
        </is>
      </c>
      <c r="G123" s="17" t="inlineStr">
        <is>
          <t>92011</t>
        </is>
      </c>
      <c r="H123" s="17" t="inlineStr">
        <is>
          <t>BOTTLE KING (A) RAMSEY</t>
        </is>
      </c>
      <c r="I123" s="17" t="inlineStr">
        <is>
          <t>RAMSEY</t>
        </is>
      </c>
      <c r="J123" s="17" t="inlineStr">
        <is>
          <t>Mark Anthony</t>
        </is>
      </c>
      <c r="K123" s="25" t="n">
        <v>4</v>
      </c>
      <c r="L123" s="17" t="inlineStr">
        <is>
          <t>Gold (70+)</t>
        </is>
      </c>
      <c r="M123" s="18" t="n">
        <v>82</v>
      </c>
      <c r="N123" s="18" t="n">
        <v>82</v>
      </c>
      <c r="O123" s="17" t="inlineStr">
        <is>
          <t>Priority</t>
        </is>
      </c>
      <c r="P123" s="18" t="n">
        <v>1000</v>
      </c>
      <c r="Q123" s="17" t="inlineStr">
        <is>
          <t>Yes</t>
        </is>
      </c>
      <c r="R123" s="17" t="inlineStr">
        <is>
          <t>WHITE CLAW SURF HARD SELTZER</t>
        </is>
      </c>
      <c r="S123" s="17" t="inlineStr">
        <is>
          <t>WHITE CLAW CLAWTAILS, WHITE CLAW ORIGINAL HARD SELTZER, WHITE CLAW SURF HARD SELTZER, WHITE CLAW SURGE HARD SELTZER</t>
        </is>
      </c>
      <c r="T123" s="17" t="inlineStr">
        <is>
          <t>MARK ANTHONY GROUP</t>
        </is>
      </c>
      <c r="U123" s="25" t="n">
        <v>7</v>
      </c>
      <c r="V123" s="17" t="inlineStr">
        <is>
          <t>No</t>
        </is>
      </c>
      <c r="W123" s="17" t="inlineStr">
        <is>
          <t>Mark Anthony (82)</t>
        </is>
      </c>
      <c r="X123" s="17" t="inlineStr">
        <is>
          <t>—</t>
        </is>
      </c>
      <c r="Y123" s="19" t="inlineStr">
        <is>
          <t>View Photo</t>
        </is>
      </c>
    </row>
    <row r="124">
      <c r="A124" s="17" t="inlineStr">
        <is>
          <t>D0123</t>
        </is>
      </c>
      <c r="B124" s="17" t="inlineStr">
        <is>
          <t>08/27/2026</t>
        </is>
      </c>
      <c r="C124" s="17" t="inlineStr">
        <is>
          <t>08/27/2026 11:54 AM</t>
        </is>
      </c>
      <c r="D124" s="17" t="inlineStr">
        <is>
          <t>David Fletcher</t>
        </is>
      </c>
      <c r="E124" s="17" t="inlineStr">
        <is>
          <t>Sales Associate</t>
        </is>
      </c>
      <c r="F124" s="17" t="inlineStr">
        <is>
          <t>Michael Engel</t>
        </is>
      </c>
      <c r="G124" s="17" t="inlineStr">
        <is>
          <t>81001</t>
        </is>
      </c>
      <c r="H124" s="17" t="inlineStr">
        <is>
          <t>B &amp; B LIQUORS (FAIR LAWN)</t>
        </is>
      </c>
      <c r="I124" s="17" t="inlineStr">
        <is>
          <t>FAIR LAWN</t>
        </is>
      </c>
      <c r="J124" s="17" t="inlineStr">
        <is>
          <t>Constellation</t>
        </is>
      </c>
      <c r="K124" s="25" t="n">
        <v>4</v>
      </c>
      <c r="L124" s="17" t="inlineStr">
        <is>
          <t>Gold (70+)</t>
        </is>
      </c>
      <c r="M124" s="18" t="n">
        <v>82</v>
      </c>
      <c r="N124" s="18" t="n">
        <v>82</v>
      </c>
      <c r="O124" s="17" t="inlineStr">
        <is>
          <t>Priority</t>
        </is>
      </c>
      <c r="P124" s="18" t="n">
        <v>1000</v>
      </c>
      <c r="Q124" s="17" t="inlineStr">
        <is>
          <t>Yes</t>
        </is>
      </c>
      <c r="R124" s="17" t="inlineStr">
        <is>
          <t>MODELO CERVEZA</t>
        </is>
      </c>
      <c r="S124" s="17" t="inlineStr">
        <is>
          <t>CERVEZA VICTORIA, MODELO CERVEZA, PACIFICO</t>
        </is>
      </c>
      <c r="T124" s="17" t="inlineStr">
        <is>
          <t>CONSTELLATION BRANDS</t>
        </is>
      </c>
      <c r="U124" s="25" t="n">
        <v>4</v>
      </c>
      <c r="V124" s="17" t="inlineStr">
        <is>
          <t>No</t>
        </is>
      </c>
      <c r="W124" s="17" t="inlineStr">
        <is>
          <t>Constellation (82)</t>
        </is>
      </c>
      <c r="X124" s="17" t="inlineStr">
        <is>
          <t>—</t>
        </is>
      </c>
      <c r="Y124" s="19" t="inlineStr">
        <is>
          <t>View Photo</t>
        </is>
      </c>
    </row>
    <row r="125">
      <c r="A125" s="17" t="inlineStr">
        <is>
          <t>D0124</t>
        </is>
      </c>
      <c r="B125" s="17" t="inlineStr">
        <is>
          <t>07/01/2026</t>
        </is>
      </c>
      <c r="C125" s="17" t="inlineStr">
        <is>
          <t>07/01/2026 01:14 PM</t>
        </is>
      </c>
      <c r="D125" s="17" t="inlineStr">
        <is>
          <t>patrick infante</t>
        </is>
      </c>
      <c r="E125" s="17" t="inlineStr">
        <is>
          <t>Sales Associate</t>
        </is>
      </c>
      <c r="F125" s="17" t="inlineStr">
        <is>
          <t>Denise Montes</t>
        </is>
      </c>
      <c r="G125" s="17" t="inlineStr">
        <is>
          <t>21033</t>
        </is>
      </c>
      <c r="H125" s="17" t="inlineStr">
        <is>
          <t>THE LIQUOR SHOP</t>
        </is>
      </c>
      <c r="I125" s="17" t="inlineStr">
        <is>
          <t>PATERSON</t>
        </is>
      </c>
      <c r="J125" s="17" t="inlineStr">
        <is>
          <t>Constellation</t>
        </is>
      </c>
      <c r="K125" s="25" t="n">
        <v>4</v>
      </c>
      <c r="L125" s="17" t="inlineStr">
        <is>
          <t>Gold (70+)</t>
        </is>
      </c>
      <c r="M125" s="18" t="n">
        <v>81</v>
      </c>
      <c r="N125" s="18" t="n">
        <v>81</v>
      </c>
      <c r="O125" s="17" t="inlineStr">
        <is>
          <t>Priority</t>
        </is>
      </c>
      <c r="P125" s="18" t="n">
        <v>1000</v>
      </c>
      <c r="Q125" s="17" t="inlineStr">
        <is>
          <t>Yes</t>
        </is>
      </c>
      <c r="R125" s="17" t="inlineStr">
        <is>
          <t>MODELO CERVEZA</t>
        </is>
      </c>
      <c r="S125" s="17" t="inlineStr">
        <is>
          <t>MODELO CERVEZA, MODELO CHELADA</t>
        </is>
      </c>
      <c r="T125" s="17" t="inlineStr">
        <is>
          <t>CONSTELLATION BRANDS</t>
        </is>
      </c>
      <c r="U125" s="25" t="n">
        <v>4</v>
      </c>
      <c r="V125" s="17" t="inlineStr">
        <is>
          <t>No</t>
        </is>
      </c>
      <c r="W125" s="17" t="inlineStr">
        <is>
          <t>Constellation (81)</t>
        </is>
      </c>
      <c r="X125" s="17" t="inlineStr">
        <is>
          <t>—</t>
        </is>
      </c>
      <c r="Y125" s="19" t="inlineStr">
        <is>
          <t>View Photo</t>
        </is>
      </c>
    </row>
    <row r="126">
      <c r="A126" s="17" t="inlineStr">
        <is>
          <t>D0125</t>
        </is>
      </c>
      <c r="B126" s="17" t="inlineStr">
        <is>
          <t>07/06/2026</t>
        </is>
      </c>
      <c r="C126" s="17" t="inlineStr">
        <is>
          <t>07/06/2026 09:49 AM</t>
        </is>
      </c>
      <c r="D126" s="17" t="inlineStr">
        <is>
          <t>Mike Ast</t>
        </is>
      </c>
      <c r="E126" s="17" t="inlineStr">
        <is>
          <t>Sales Rep</t>
        </is>
      </c>
      <c r="F126" s="17" t="inlineStr">
        <is>
          <t>Paul Deady</t>
        </is>
      </c>
      <c r="G126" s="17" t="inlineStr">
        <is>
          <t>11003</t>
        </is>
      </c>
      <c r="H126" s="17" t="inlineStr">
        <is>
          <t>LINCOLN PARK FINE WINES &amp; SPIRITS</t>
        </is>
      </c>
      <c r="I126" s="17" t="inlineStr">
        <is>
          <t>LINCOLN PARK</t>
        </is>
      </c>
      <c r="J126" s="17" t="inlineStr">
        <is>
          <t>Molson Coors</t>
        </is>
      </c>
      <c r="K126" s="25" t="n">
        <v>4</v>
      </c>
      <c r="L126" s="17" t="inlineStr">
        <is>
          <t>Gold (70+)</t>
        </is>
      </c>
      <c r="M126" s="18" t="n">
        <v>80</v>
      </c>
      <c r="N126" s="18" t="n">
        <v>80</v>
      </c>
      <c r="O126" s="17" t="inlineStr">
        <is>
          <t>Priority</t>
        </is>
      </c>
      <c r="P126" s="18" t="n">
        <v>1000</v>
      </c>
      <c r="Q126" s="17" t="inlineStr">
        <is>
          <t>Yes</t>
        </is>
      </c>
      <c r="R126" s="17" t="inlineStr">
        <is>
          <t>MILLER LITE</t>
        </is>
      </c>
      <c r="S126" s="17" t="inlineStr">
        <is>
          <t>MILLER LITE</t>
        </is>
      </c>
      <c r="T126" s="17" t="inlineStr">
        <is>
          <t>MOLSON COORS BEVERAGE COMPANY</t>
        </is>
      </c>
      <c r="U126" s="25" t="n">
        <v>1</v>
      </c>
      <c r="V126" s="17" t="inlineStr">
        <is>
          <t>No</t>
        </is>
      </c>
      <c r="W126" s="17" t="inlineStr">
        <is>
          <t>Molson Coors (80)</t>
        </is>
      </c>
      <c r="X126" s="17" t="inlineStr">
        <is>
          <t>—</t>
        </is>
      </c>
      <c r="Y126" s="19" t="inlineStr">
        <is>
          <t>View Photo</t>
        </is>
      </c>
    </row>
    <row r="127">
      <c r="A127" s="17" t="inlineStr">
        <is>
          <t>D0126</t>
        </is>
      </c>
      <c r="B127" s="17" t="inlineStr">
        <is>
          <t>07/14/2026</t>
        </is>
      </c>
      <c r="C127" s="17" t="inlineStr">
        <is>
          <t>07/14/2026 03:31 PM</t>
        </is>
      </c>
      <c r="D127" s="17" t="inlineStr">
        <is>
          <t>Dave Ehlers</t>
        </is>
      </c>
      <c r="E127" s="17" t="inlineStr">
        <is>
          <t>Sales Rep</t>
        </is>
      </c>
      <c r="F127" s="17" t="inlineStr">
        <is>
          <t>Michael Engel</t>
        </is>
      </c>
      <c r="G127" s="17" t="inlineStr">
        <is>
          <t>40022</t>
        </is>
      </c>
      <c r="H127" s="17" t="inlineStr">
        <is>
          <t>BUY RITE OF HACKENSACK</t>
        </is>
      </c>
      <c r="I127" s="17" t="inlineStr">
        <is>
          <t>HACKENSACK</t>
        </is>
      </c>
      <c r="J127" s="17" t="inlineStr">
        <is>
          <t>HUSA (Heineken USA)</t>
        </is>
      </c>
      <c r="K127" s="25" t="n">
        <v>4</v>
      </c>
      <c r="L127" s="17" t="inlineStr">
        <is>
          <t>Gold (70+)</t>
        </is>
      </c>
      <c r="M127" s="18" t="n">
        <v>80</v>
      </c>
      <c r="N127" s="18" t="n">
        <v>80</v>
      </c>
      <c r="O127" s="17" t="inlineStr">
        <is>
          <t>Priority</t>
        </is>
      </c>
      <c r="P127" s="18" t="n">
        <v>1000</v>
      </c>
      <c r="Q127" s="17" t="inlineStr">
        <is>
          <t>Yes</t>
        </is>
      </c>
      <c r="R127" s="17" t="inlineStr">
        <is>
          <t>HEINEKEN</t>
        </is>
      </c>
      <c r="S127" s="17" t="inlineStr">
        <is>
          <t>HEINEKEN</t>
        </is>
      </c>
      <c r="T127" s="17" t="inlineStr">
        <is>
          <t>HEINEKEN</t>
        </is>
      </c>
      <c r="U127" s="25" t="n">
        <v>2</v>
      </c>
      <c r="V127" s="17" t="inlineStr">
        <is>
          <t>No</t>
        </is>
      </c>
      <c r="W127" s="17" t="inlineStr">
        <is>
          <t>HUSA (Heineken USA) (80)</t>
        </is>
      </c>
      <c r="X127" s="17" t="inlineStr">
        <is>
          <t>—</t>
        </is>
      </c>
      <c r="Y127" s="19" t="inlineStr">
        <is>
          <t>View Photo</t>
        </is>
      </c>
    </row>
    <row r="128">
      <c r="A128" s="17" t="inlineStr">
        <is>
          <t>D0127</t>
        </is>
      </c>
      <c r="B128" s="17" t="inlineStr">
        <is>
          <t>07/20/2026</t>
        </is>
      </c>
      <c r="C128" s="17" t="inlineStr">
        <is>
          <t>07/20/2026 02:36 PM</t>
        </is>
      </c>
      <c r="D128" s="17" t="inlineStr">
        <is>
          <t>patrick infante</t>
        </is>
      </c>
      <c r="E128" s="17" t="inlineStr">
        <is>
          <t>Sales Associate</t>
        </is>
      </c>
      <c r="F128" s="17" t="inlineStr">
        <is>
          <t>Denise Montes</t>
        </is>
      </c>
      <c r="G128" s="17" t="inlineStr">
        <is>
          <t>24011</t>
        </is>
      </c>
      <c r="H128" s="17" t="inlineStr">
        <is>
          <t>SHOPPERS VINEYARD (A)</t>
        </is>
      </c>
      <c r="I128" s="17" t="inlineStr">
        <is>
          <t>CLIFTON</t>
        </is>
      </c>
      <c r="J128" s="17" t="inlineStr">
        <is>
          <t>Constellation</t>
        </is>
      </c>
      <c r="K128" s="25" t="n">
        <v>4</v>
      </c>
      <c r="L128" s="17" t="inlineStr">
        <is>
          <t>Gold (70+)</t>
        </is>
      </c>
      <c r="M128" s="18" t="n">
        <v>80</v>
      </c>
      <c r="N128" s="18" t="n">
        <v>80</v>
      </c>
      <c r="O128" s="17" t="inlineStr">
        <is>
          <t>Priority</t>
        </is>
      </c>
      <c r="P128" s="18" t="n">
        <v>1000</v>
      </c>
      <c r="Q128" s="17" t="inlineStr">
        <is>
          <t>Yes</t>
        </is>
      </c>
      <c r="R128" s="17" t="inlineStr">
        <is>
          <t>CORONA EXTRA</t>
        </is>
      </c>
      <c r="S128" s="17" t="inlineStr">
        <is>
          <t>CORONA EXTRA</t>
        </is>
      </c>
      <c r="T128" s="17" t="inlineStr">
        <is>
          <t>CONSTELLATION BRANDS</t>
        </is>
      </c>
      <c r="U128" s="25" t="n">
        <v>2</v>
      </c>
      <c r="V128" s="17" t="inlineStr">
        <is>
          <t>No</t>
        </is>
      </c>
      <c r="W128" s="17" t="inlineStr">
        <is>
          <t>Constellation (80)</t>
        </is>
      </c>
      <c r="X128" s="17" t="inlineStr">
        <is>
          <t>—</t>
        </is>
      </c>
      <c r="Y128" s="19" t="inlineStr">
        <is>
          <t>View Photo</t>
        </is>
      </c>
    </row>
    <row r="129">
      <c r="A129" s="17" t="inlineStr">
        <is>
          <t>D0128</t>
        </is>
      </c>
      <c r="B129" s="17" t="inlineStr">
        <is>
          <t>07/21/2026</t>
        </is>
      </c>
      <c r="C129" s="17" t="inlineStr">
        <is>
          <t>07/21/2026 02:16 PM</t>
        </is>
      </c>
      <c r="D129" s="17" t="inlineStr">
        <is>
          <t>Todd Ewell</t>
        </is>
      </c>
      <c r="E129" s="17" t="inlineStr">
        <is>
          <t>Sales Associate</t>
        </is>
      </c>
      <c r="F129" s="17" t="inlineStr">
        <is>
          <t>Paul Deady</t>
        </is>
      </c>
      <c r="G129" s="17" t="inlineStr">
        <is>
          <t>11003</t>
        </is>
      </c>
      <c r="H129" s="17" t="inlineStr">
        <is>
          <t>LINCOLN PARK FINE WINES &amp; SPIRITS</t>
        </is>
      </c>
      <c r="I129" s="17" t="inlineStr">
        <is>
          <t>LINCOLN PARK</t>
        </is>
      </c>
      <c r="J129" s="17" t="inlineStr">
        <is>
          <t>Molson Coors</t>
        </is>
      </c>
      <c r="K129" s="25" t="n">
        <v>4</v>
      </c>
      <c r="L129" s="17" t="inlineStr">
        <is>
          <t>Gold (70+)</t>
        </is>
      </c>
      <c r="M129" s="18" t="n">
        <v>80</v>
      </c>
      <c r="N129" s="18" t="n">
        <v>80</v>
      </c>
      <c r="O129" s="17" t="inlineStr">
        <is>
          <t>Priority</t>
        </is>
      </c>
      <c r="P129" s="18" t="n">
        <v>1000</v>
      </c>
      <c r="Q129" s="17" t="inlineStr">
        <is>
          <t>Yes</t>
        </is>
      </c>
      <c r="R129" s="17" t="inlineStr">
        <is>
          <t>MILLER LITE</t>
        </is>
      </c>
      <c r="S129" s="17" t="inlineStr">
        <is>
          <t>MILLER LITE</t>
        </is>
      </c>
      <c r="T129" s="17" t="inlineStr">
        <is>
          <t>MOLSON COORS BEVERAGE COMPANY</t>
        </is>
      </c>
      <c r="U129" s="25" t="n">
        <v>1</v>
      </c>
      <c r="V129" s="17" t="inlineStr">
        <is>
          <t>No</t>
        </is>
      </c>
      <c r="W129" s="17" t="inlineStr">
        <is>
          <t>Molson Coors (80)</t>
        </is>
      </c>
      <c r="X129" s="17" t="inlineStr">
        <is>
          <t>First of a repeat set</t>
        </is>
      </c>
      <c r="Y129" s="19" t="inlineStr">
        <is>
          <t>View Photo</t>
        </is>
      </c>
    </row>
    <row r="130">
      <c r="A130" s="17" t="inlineStr">
        <is>
          <t>D0129</t>
        </is>
      </c>
      <c r="B130" s="17" t="inlineStr">
        <is>
          <t>07/29/2026</t>
        </is>
      </c>
      <c r="C130" s="17" t="inlineStr">
        <is>
          <t>07/29/2026 10:43 AM</t>
        </is>
      </c>
      <c r="D130" s="17" t="inlineStr">
        <is>
          <t>Todd Ewell</t>
        </is>
      </c>
      <c r="E130" s="17" t="inlineStr">
        <is>
          <t>Sales Associate</t>
        </is>
      </c>
      <c r="F130" s="17" t="inlineStr">
        <is>
          <t>Paul Deady</t>
        </is>
      </c>
      <c r="G130" s="17" t="inlineStr">
        <is>
          <t>11003</t>
        </is>
      </c>
      <c r="H130" s="17" t="inlineStr">
        <is>
          <t>LINCOLN PARK FINE WINES &amp; SPIRITS</t>
        </is>
      </c>
      <c r="I130" s="17" t="inlineStr">
        <is>
          <t>LINCOLN PARK</t>
        </is>
      </c>
      <c r="J130" s="17" t="inlineStr">
        <is>
          <t>Boston Beer</t>
        </is>
      </c>
      <c r="K130" s="25" t="n">
        <v>4</v>
      </c>
      <c r="L130" s="17" t="inlineStr">
        <is>
          <t>Gold (70+)</t>
        </is>
      </c>
      <c r="M130" s="18" t="n">
        <v>80</v>
      </c>
      <c r="N130" s="18" t="n">
        <v>80</v>
      </c>
      <c r="O130" s="17" t="inlineStr">
        <is>
          <t>Priority</t>
        </is>
      </c>
      <c r="P130" s="18" t="n">
        <v>1000</v>
      </c>
      <c r="Q130" s="17" t="inlineStr">
        <is>
          <t>Yes</t>
        </is>
      </c>
      <c r="R130" s="17" t="inlineStr">
        <is>
          <t>SUN CRUISERS RTD</t>
        </is>
      </c>
      <c r="S130" s="17" t="inlineStr">
        <is>
          <t>SUN CRUISERS RTD</t>
        </is>
      </c>
      <c r="T130" s="17" t="inlineStr">
        <is>
          <t>BOSTON BEER COMPANY</t>
        </is>
      </c>
      <c r="U130" s="25" t="n">
        <v>1</v>
      </c>
      <c r="V130" s="17" t="inlineStr">
        <is>
          <t>No</t>
        </is>
      </c>
      <c r="W130" s="17" t="inlineStr">
        <is>
          <t>Boston Beer (80)</t>
        </is>
      </c>
      <c r="X130" s="26" t="inlineStr">
        <is>
          <t>Possible duplicate</t>
        </is>
      </c>
      <c r="Y130" s="19" t="inlineStr">
        <is>
          <t>View Photo</t>
        </is>
      </c>
    </row>
    <row r="131">
      <c r="A131" s="17" t="inlineStr">
        <is>
          <t>D0130</t>
        </is>
      </c>
      <c r="B131" s="17" t="inlineStr">
        <is>
          <t>07/30/2026</t>
        </is>
      </c>
      <c r="C131" s="17" t="inlineStr">
        <is>
          <t>07/30/2026 01:02 PM</t>
        </is>
      </c>
      <c r="D131" s="17" t="inlineStr">
        <is>
          <t>Derrick laws</t>
        </is>
      </c>
      <c r="E131" s="17" t="inlineStr">
        <is>
          <t>Sales Rep</t>
        </is>
      </c>
      <c r="F131" s="17" t="inlineStr">
        <is>
          <t>Denise Montes</t>
        </is>
      </c>
      <c r="G131" s="17" t="inlineStr">
        <is>
          <t>23004</t>
        </is>
      </c>
      <c r="H131" s="17" t="inlineStr">
        <is>
          <t>SHOP RITE WINES/SPIRITS</t>
        </is>
      </c>
      <c r="I131" s="17" t="inlineStr">
        <is>
          <t>CLIFTON</t>
        </is>
      </c>
      <c r="J131" s="17" t="inlineStr">
        <is>
          <t>Constellation</t>
        </is>
      </c>
      <c r="K131" s="25" t="n">
        <v>4</v>
      </c>
      <c r="L131" s="17" t="inlineStr">
        <is>
          <t>Gold (70+)</t>
        </is>
      </c>
      <c r="M131" s="18" t="n">
        <v>80</v>
      </c>
      <c r="N131" s="18" t="n">
        <v>80</v>
      </c>
      <c r="O131" s="17" t="inlineStr">
        <is>
          <t>Priority</t>
        </is>
      </c>
      <c r="P131" s="18" t="n">
        <v>1000</v>
      </c>
      <c r="Q131" s="17" t="inlineStr">
        <is>
          <t>Yes</t>
        </is>
      </c>
      <c r="R131" s="17" t="inlineStr">
        <is>
          <t>MODELO CERVEZA</t>
        </is>
      </c>
      <c r="S131" s="17" t="inlineStr">
        <is>
          <t>MODELO CERVEZA</t>
        </is>
      </c>
      <c r="T131" s="17" t="inlineStr">
        <is>
          <t>CONSTELLATION BRANDS</t>
        </is>
      </c>
      <c r="U131" s="25" t="n">
        <v>1</v>
      </c>
      <c r="V131" s="17" t="inlineStr">
        <is>
          <t>No</t>
        </is>
      </c>
      <c r="W131" s="17" t="inlineStr">
        <is>
          <t>Constellation (80)</t>
        </is>
      </c>
      <c r="X131" s="17" t="inlineStr">
        <is>
          <t>First of a repeat set</t>
        </is>
      </c>
      <c r="Y131" s="19" t="inlineStr">
        <is>
          <t>View Photo</t>
        </is>
      </c>
    </row>
    <row r="132">
      <c r="A132" s="17" t="inlineStr">
        <is>
          <t>D0131</t>
        </is>
      </c>
      <c r="B132" s="17" t="inlineStr">
        <is>
          <t>07/30/2026</t>
        </is>
      </c>
      <c r="C132" s="17" t="inlineStr">
        <is>
          <t>07/30/2026 01:27 PM</t>
        </is>
      </c>
      <c r="D132" s="17" t="inlineStr">
        <is>
          <t>Derrick laws</t>
        </is>
      </c>
      <c r="E132" s="17" t="inlineStr">
        <is>
          <t>Sales Rep</t>
        </is>
      </c>
      <c r="F132" s="17" t="inlineStr">
        <is>
          <t>Denise Montes</t>
        </is>
      </c>
      <c r="G132" s="17" t="inlineStr">
        <is>
          <t>23004</t>
        </is>
      </c>
      <c r="H132" s="17" t="inlineStr">
        <is>
          <t>SHOP RITE WINES/SPIRITS</t>
        </is>
      </c>
      <c r="I132" s="17" t="inlineStr">
        <is>
          <t>CLIFTON</t>
        </is>
      </c>
      <c r="J132" s="17" t="inlineStr">
        <is>
          <t>Mark Anthony</t>
        </is>
      </c>
      <c r="K132" s="25" t="n">
        <v>4</v>
      </c>
      <c r="L132" s="17" t="inlineStr">
        <is>
          <t>Gold (70+)</t>
        </is>
      </c>
      <c r="M132" s="18" t="n">
        <v>80</v>
      </c>
      <c r="N132" s="18" t="n">
        <v>80</v>
      </c>
      <c r="O132" s="17" t="inlineStr">
        <is>
          <t>Priority</t>
        </is>
      </c>
      <c r="P132" s="18" t="n">
        <v>1000</v>
      </c>
      <c r="Q132" s="17" t="inlineStr">
        <is>
          <t>Yes</t>
        </is>
      </c>
      <c r="R132" s="17" t="inlineStr">
        <is>
          <t>WHITE CLAW ORIGINAL HARD SELTZER</t>
        </is>
      </c>
      <c r="S132" s="17" t="inlineStr">
        <is>
          <t>WHITE CLAW ORIGINAL HARD SELTZER, WHITE CLAW SURF HARD SELTZER, WHITE CLAW ZERO</t>
        </is>
      </c>
      <c r="T132" s="17" t="inlineStr">
        <is>
          <t>MARK ANTHONY GROUP</t>
        </is>
      </c>
      <c r="U132" s="25" t="n">
        <v>8</v>
      </c>
      <c r="V132" s="17" t="inlineStr">
        <is>
          <t>No</t>
        </is>
      </c>
      <c r="W132" s="17" t="inlineStr">
        <is>
          <t>Mark Anthony (80)</t>
        </is>
      </c>
      <c r="X132" s="17" t="inlineStr">
        <is>
          <t>—</t>
        </is>
      </c>
      <c r="Y132" s="19" t="inlineStr">
        <is>
          <t>View Photo</t>
        </is>
      </c>
    </row>
    <row r="133">
      <c r="A133" s="17" t="inlineStr">
        <is>
          <t>D0132</t>
        </is>
      </c>
      <c r="B133" s="17" t="inlineStr">
        <is>
          <t>07/30/2026</t>
        </is>
      </c>
      <c r="C133" s="17" t="inlineStr">
        <is>
          <t>07/30/2026 10:35 AM</t>
        </is>
      </c>
      <c r="D133" s="17" t="inlineStr">
        <is>
          <t>phil Ernst</t>
        </is>
      </c>
      <c r="E133" s="17" t="inlineStr">
        <is>
          <t>Sales Rep</t>
        </is>
      </c>
      <c r="F133" s="17" t="inlineStr">
        <is>
          <t>Michael Engel</t>
        </is>
      </c>
      <c r="G133" s="17" t="inlineStr">
        <is>
          <t>83010</t>
        </is>
      </c>
      <c r="H133" s="17" t="inlineStr">
        <is>
          <t>BOTTLE KING (A) GLEN ROCK</t>
        </is>
      </c>
      <c r="I133" s="17" t="inlineStr">
        <is>
          <t>GLEN ROCK</t>
        </is>
      </c>
      <c r="J133" s="17" t="inlineStr">
        <is>
          <t>Molson Coors</t>
        </is>
      </c>
      <c r="K133" s="25" t="n">
        <v>4</v>
      </c>
      <c r="L133" s="17" t="inlineStr">
        <is>
          <t>Gold (70+)</t>
        </is>
      </c>
      <c r="M133" s="18" t="n">
        <v>80</v>
      </c>
      <c r="N133" s="18" t="n">
        <v>80</v>
      </c>
      <c r="O133" s="17" t="inlineStr">
        <is>
          <t>Priority</t>
        </is>
      </c>
      <c r="P133" s="18" t="n">
        <v>1000</v>
      </c>
      <c r="Q133" s="17" t="inlineStr">
        <is>
          <t>Yes</t>
        </is>
      </c>
      <c r="R133" s="17" t="inlineStr">
        <is>
          <t>COORS LIGHT</t>
        </is>
      </c>
      <c r="S133" s="17" t="inlineStr">
        <is>
          <t>COORS LIGHT, PERONI NASTRO AZZURRO</t>
        </is>
      </c>
      <c r="T133" s="17" t="inlineStr">
        <is>
          <t>MOLSON COORS BEVERAGE COMPANY</t>
        </is>
      </c>
      <c r="U133" s="25" t="n">
        <v>2</v>
      </c>
      <c r="V133" s="17" t="inlineStr">
        <is>
          <t>No</t>
        </is>
      </c>
      <c r="W133" s="17" t="inlineStr">
        <is>
          <t>Molson Coors (80)</t>
        </is>
      </c>
      <c r="X133" s="17" t="inlineStr">
        <is>
          <t>—</t>
        </is>
      </c>
      <c r="Y133" s="19" t="inlineStr">
        <is>
          <t>View Photo</t>
        </is>
      </c>
    </row>
    <row r="134">
      <c r="A134" s="17" t="inlineStr">
        <is>
          <t>D0133</t>
        </is>
      </c>
      <c r="B134" s="17" t="inlineStr">
        <is>
          <t>08/04/2026</t>
        </is>
      </c>
      <c r="C134" s="17" t="inlineStr">
        <is>
          <t>08/04/2026 11:59 AM</t>
        </is>
      </c>
      <c r="D134" s="17" t="inlineStr">
        <is>
          <t>Jay Tabasco</t>
        </is>
      </c>
      <c r="E134" s="17" t="inlineStr">
        <is>
          <t>Sales Associate</t>
        </is>
      </c>
      <c r="F134" s="17" t="inlineStr">
        <is>
          <t>Paul Deady</t>
        </is>
      </c>
      <c r="G134" s="17" t="inlineStr">
        <is>
          <t>230314</t>
        </is>
      </c>
      <c r="H134" s="17" t="inlineStr">
        <is>
          <t>LIQUOR FACTORY V ANDOVER</t>
        </is>
      </c>
      <c r="I134" s="17" t="inlineStr">
        <is>
          <t>NEWTON</t>
        </is>
      </c>
      <c r="J134" s="17" t="inlineStr">
        <is>
          <t>Constellation</t>
        </is>
      </c>
      <c r="K134" s="25" t="n">
        <v>4</v>
      </c>
      <c r="L134" s="17" t="inlineStr">
        <is>
          <t>Gold (70+)</t>
        </is>
      </c>
      <c r="M134" s="18" t="n">
        <v>80</v>
      </c>
      <c r="N134" s="18" t="n">
        <v>80</v>
      </c>
      <c r="O134" s="17" t="inlineStr">
        <is>
          <t>Priority</t>
        </is>
      </c>
      <c r="P134" s="18" t="n">
        <v>1000</v>
      </c>
      <c r="Q134" s="17" t="inlineStr">
        <is>
          <t>Yes</t>
        </is>
      </c>
      <c r="R134" s="17" t="inlineStr">
        <is>
          <t>CORONA EXTRA</t>
        </is>
      </c>
      <c r="S134" s="17" t="inlineStr">
        <is>
          <t>CORONA EXTRA</t>
        </is>
      </c>
      <c r="T134" s="17" t="inlineStr">
        <is>
          <t>CONSTELLATION BRANDS</t>
        </is>
      </c>
      <c r="U134" s="25" t="n">
        <v>1</v>
      </c>
      <c r="V134" s="17" t="inlineStr">
        <is>
          <t>No</t>
        </is>
      </c>
      <c r="W134" s="17" t="inlineStr">
        <is>
          <t>Constellation (80)</t>
        </is>
      </c>
      <c r="X134" s="17" t="inlineStr">
        <is>
          <t>First of a repeat set</t>
        </is>
      </c>
      <c r="Y134" s="19" t="inlineStr">
        <is>
          <t>View Photo</t>
        </is>
      </c>
    </row>
    <row r="135">
      <c r="A135" s="17" t="inlineStr">
        <is>
          <t>D0134</t>
        </is>
      </c>
      <c r="B135" s="17" t="inlineStr">
        <is>
          <t>08/04/2026</t>
        </is>
      </c>
      <c r="C135" s="17" t="inlineStr">
        <is>
          <t>08/04/2026 11:59 AM</t>
        </is>
      </c>
      <c r="D135" s="17" t="inlineStr">
        <is>
          <t>Todd Ewell</t>
        </is>
      </c>
      <c r="E135" s="17" t="inlineStr">
        <is>
          <t>Sales Associate</t>
        </is>
      </c>
      <c r="F135" s="17" t="inlineStr">
        <is>
          <t>Paul Deady</t>
        </is>
      </c>
      <c r="G135" s="17" t="inlineStr">
        <is>
          <t>230314</t>
        </is>
      </c>
      <c r="H135" s="17" t="inlineStr">
        <is>
          <t>LIQUOR FACTORY V ANDOVER</t>
        </is>
      </c>
      <c r="I135" s="17" t="inlineStr">
        <is>
          <t>NEWTON</t>
        </is>
      </c>
      <c r="J135" s="17" t="inlineStr">
        <is>
          <t>Constellation</t>
        </is>
      </c>
      <c r="K135" s="25" t="n">
        <v>4</v>
      </c>
      <c r="L135" s="17" t="inlineStr">
        <is>
          <t>Gold (70+)</t>
        </is>
      </c>
      <c r="M135" s="18" t="n">
        <v>80</v>
      </c>
      <c r="N135" s="18" t="n">
        <v>80</v>
      </c>
      <c r="O135" s="17" t="inlineStr">
        <is>
          <t>Priority</t>
        </is>
      </c>
      <c r="P135" s="18" t="n">
        <v>1000</v>
      </c>
      <c r="Q135" s="17" t="inlineStr">
        <is>
          <t>Yes</t>
        </is>
      </c>
      <c r="R135" s="17" t="inlineStr">
        <is>
          <t>CORONA EXTRA</t>
        </is>
      </c>
      <c r="S135" s="17" t="inlineStr">
        <is>
          <t>CORONA EXTRA</t>
        </is>
      </c>
      <c r="T135" s="17" t="inlineStr">
        <is>
          <t>CONSTELLATION BRANDS</t>
        </is>
      </c>
      <c r="U135" s="25" t="n">
        <v>1</v>
      </c>
      <c r="V135" s="17" t="inlineStr">
        <is>
          <t>No</t>
        </is>
      </c>
      <c r="W135" s="17" t="inlineStr">
        <is>
          <t>Constellation (80)</t>
        </is>
      </c>
      <c r="X135" s="26" t="inlineStr">
        <is>
          <t>Possible duplicate</t>
        </is>
      </c>
      <c r="Y135" s="19" t="inlineStr">
        <is>
          <t>View Photo</t>
        </is>
      </c>
    </row>
    <row r="136">
      <c r="A136" s="17" t="inlineStr">
        <is>
          <t>D0135</t>
        </is>
      </c>
      <c r="B136" s="17" t="inlineStr">
        <is>
          <t>08/05/2026</t>
        </is>
      </c>
      <c r="C136" s="17" t="inlineStr">
        <is>
          <t>08/05/2026 02:39 PM</t>
        </is>
      </c>
      <c r="D136" s="17" t="inlineStr">
        <is>
          <t>Todd Ewell</t>
        </is>
      </c>
      <c r="E136" s="17" t="inlineStr">
        <is>
          <t>Sales Associate</t>
        </is>
      </c>
      <c r="F136" s="17" t="inlineStr">
        <is>
          <t>Paul Deady</t>
        </is>
      </c>
      <c r="G136" s="17" t="inlineStr">
        <is>
          <t>70001</t>
        </is>
      </c>
      <c r="H136" s="17" t="inlineStr">
        <is>
          <t>MONTVALE WINE/LIQ &amp; BEER</t>
        </is>
      </c>
      <c r="I136" s="17" t="inlineStr">
        <is>
          <t>MONTVALE</t>
        </is>
      </c>
      <c r="J136" s="17" t="inlineStr">
        <is>
          <t>Mark Anthony</t>
        </is>
      </c>
      <c r="K136" s="25" t="n">
        <v>4</v>
      </c>
      <c r="L136" s="17" t="inlineStr">
        <is>
          <t>Gold (70+)</t>
        </is>
      </c>
      <c r="M136" s="18" t="n">
        <v>80</v>
      </c>
      <c r="N136" s="18" t="n">
        <v>80</v>
      </c>
      <c r="O136" s="17" t="inlineStr">
        <is>
          <t>Priority</t>
        </is>
      </c>
      <c r="P136" s="18" t="n">
        <v>1000</v>
      </c>
      <c r="Q136" s="17" t="inlineStr">
        <is>
          <t>Yes</t>
        </is>
      </c>
      <c r="R136" s="17" t="inlineStr">
        <is>
          <t>WHITE CLAW SURF HARD SELTZER</t>
        </is>
      </c>
      <c r="S136" s="17" t="inlineStr">
        <is>
          <t>WHITE CLAW SURF HARD SELTZER</t>
        </is>
      </c>
      <c r="T136" s="17" t="inlineStr">
        <is>
          <t>MARK ANTHONY GROUP</t>
        </is>
      </c>
      <c r="U136" s="25" t="n">
        <v>1</v>
      </c>
      <c r="V136" s="17" t="inlineStr">
        <is>
          <t>No</t>
        </is>
      </c>
      <c r="W136" s="17" t="inlineStr">
        <is>
          <t>Mark Anthony (80)</t>
        </is>
      </c>
      <c r="X136" s="26" t="inlineStr">
        <is>
          <t>Possible duplicate</t>
        </is>
      </c>
      <c r="Y136" s="19" t="inlineStr">
        <is>
          <t>View Photo</t>
        </is>
      </c>
    </row>
    <row r="137">
      <c r="A137" s="17" t="inlineStr">
        <is>
          <t>D0136</t>
        </is>
      </c>
      <c r="B137" s="17" t="inlineStr">
        <is>
          <t>08/18/2026</t>
        </is>
      </c>
      <c r="C137" s="17" t="inlineStr">
        <is>
          <t>08/18/2026 01:38 PM</t>
        </is>
      </c>
      <c r="D137" s="17" t="inlineStr">
        <is>
          <t>Dave Ehlers</t>
        </is>
      </c>
      <c r="E137" s="17" t="inlineStr">
        <is>
          <t>Sales Rep</t>
        </is>
      </c>
      <c r="F137" s="17" t="inlineStr">
        <is>
          <t>Michael Engel</t>
        </is>
      </c>
      <c r="G137" s="17" t="inlineStr">
        <is>
          <t>58001</t>
        </is>
      </c>
      <c r="H137" s="17" t="inlineStr">
        <is>
          <t>TOTAL WINE &amp; MORE (RIVER EDGE)</t>
        </is>
      </c>
      <c r="I137" s="17" t="inlineStr">
        <is>
          <t>RIVER EDGE</t>
        </is>
      </c>
      <c r="J137" s="17" t="inlineStr">
        <is>
          <t>Boston Beer</t>
        </is>
      </c>
      <c r="K137" s="25" t="n">
        <v>4</v>
      </c>
      <c r="L137" s="17" t="inlineStr">
        <is>
          <t>Gold (70+)</t>
        </is>
      </c>
      <c r="M137" s="18" t="n">
        <v>80</v>
      </c>
      <c r="N137" s="18" t="n">
        <v>80</v>
      </c>
      <c r="O137" s="17" t="inlineStr">
        <is>
          <t>Priority</t>
        </is>
      </c>
      <c r="P137" s="18" t="n">
        <v>1000</v>
      </c>
      <c r="Q137" s="17" t="inlineStr">
        <is>
          <t>Yes</t>
        </is>
      </c>
      <c r="R137" s="17" t="inlineStr">
        <is>
          <t>ANGRY ORCHARD</t>
        </is>
      </c>
      <c r="S137" s="17" t="inlineStr">
        <is>
          <t>ANGRY ORCHARD</t>
        </is>
      </c>
      <c r="T137" s="17" t="inlineStr">
        <is>
          <t>BOSTON BEER COMPANY</t>
        </is>
      </c>
      <c r="U137" s="25" t="n">
        <v>1</v>
      </c>
      <c r="V137" s="17" t="inlineStr">
        <is>
          <t>No</t>
        </is>
      </c>
      <c r="W137" s="17" t="inlineStr">
        <is>
          <t>Boston Beer (80)</t>
        </is>
      </c>
      <c r="X137" s="17" t="inlineStr">
        <is>
          <t>First of a repeat set</t>
        </is>
      </c>
      <c r="Y137" s="19" t="inlineStr">
        <is>
          <t>View Photo</t>
        </is>
      </c>
    </row>
    <row r="138">
      <c r="A138" s="17" t="inlineStr">
        <is>
          <t>D0137</t>
        </is>
      </c>
      <c r="B138" s="17" t="inlineStr">
        <is>
          <t>07/15/2026</t>
        </is>
      </c>
      <c r="C138" s="17" t="inlineStr">
        <is>
          <t>07/15/2026 11:06 AM</t>
        </is>
      </c>
      <c r="D138" s="17" t="inlineStr">
        <is>
          <t>Shane Barreca</t>
        </is>
      </c>
      <c r="E138" s="17" t="inlineStr">
        <is>
          <t>Sales Rep</t>
        </is>
      </c>
      <c r="F138" s="17" t="inlineStr">
        <is>
          <t>Paul Deady</t>
        </is>
      </c>
      <c r="G138" s="17" t="inlineStr">
        <is>
          <t>73008</t>
        </is>
      </c>
      <c r="H138" s="17" t="inlineStr">
        <is>
          <t>SHOP RITE LIQ (A)HILLSDAL</t>
        </is>
      </c>
      <c r="I138" s="17" t="inlineStr">
        <is>
          <t>HILLSDALE</t>
        </is>
      </c>
      <c r="J138" s="17" t="inlineStr">
        <is>
          <t>Constellation</t>
        </is>
      </c>
      <c r="K138" s="25" t="n">
        <v>4</v>
      </c>
      <c r="L138" s="17" t="inlineStr">
        <is>
          <t>Gold (70+)</t>
        </is>
      </c>
      <c r="M138" s="18" t="n">
        <v>79</v>
      </c>
      <c r="N138" s="18" t="n">
        <v>79</v>
      </c>
      <c r="O138" s="17" t="inlineStr">
        <is>
          <t>Priority</t>
        </is>
      </c>
      <c r="P138" s="18" t="n">
        <v>1000</v>
      </c>
      <c r="Q138" s="17" t="inlineStr">
        <is>
          <t>Yes</t>
        </is>
      </c>
      <c r="R138" s="17" t="inlineStr">
        <is>
          <t>MODELO CERVEZA</t>
        </is>
      </c>
      <c r="S138" s="17" t="inlineStr">
        <is>
          <t>MODELO CERVEZA</t>
        </is>
      </c>
      <c r="T138" s="17" t="inlineStr">
        <is>
          <t>CONSTELLATION BRANDS</t>
        </is>
      </c>
      <c r="U138" s="25" t="n">
        <v>2</v>
      </c>
      <c r="V138" s="17" t="inlineStr">
        <is>
          <t>No</t>
        </is>
      </c>
      <c r="W138" s="17" t="inlineStr">
        <is>
          <t>Constellation (79)</t>
        </is>
      </c>
      <c r="X138" s="17" t="inlineStr">
        <is>
          <t>—</t>
        </is>
      </c>
      <c r="Y138" s="19" t="inlineStr">
        <is>
          <t>View Photo</t>
        </is>
      </c>
    </row>
    <row r="139">
      <c r="A139" s="17" t="inlineStr">
        <is>
          <t>D0138</t>
        </is>
      </c>
      <c r="B139" s="17" t="inlineStr">
        <is>
          <t>07/02/2026</t>
        </is>
      </c>
      <c r="C139" s="17" t="inlineStr">
        <is>
          <t>07/02/2026 09:29 AM</t>
        </is>
      </c>
      <c r="D139" s="17" t="inlineStr">
        <is>
          <t>Michael Harboy</t>
        </is>
      </c>
      <c r="E139" s="17" t="inlineStr">
        <is>
          <t>Sales Rep</t>
        </is>
      </c>
      <c r="F139" s="17" t="inlineStr">
        <is>
          <t>Mike Kennedy</t>
        </is>
      </c>
      <c r="G139" s="17" t="inlineStr">
        <is>
          <t>12005</t>
        </is>
      </c>
      <c r="H139" s="17" t="inlineStr">
        <is>
          <t>SHAY'S LIQUORS</t>
        </is>
      </c>
      <c r="I139" s="17" t="inlineStr">
        <is>
          <t>WAYNE</t>
        </is>
      </c>
      <c r="J139" s="17" t="inlineStr">
        <is>
          <t>Boston Beer</t>
        </is>
      </c>
      <c r="K139" s="25" t="n">
        <v>4</v>
      </c>
      <c r="L139" s="17" t="inlineStr">
        <is>
          <t>Gold (70+)</t>
        </is>
      </c>
      <c r="M139" s="18" t="n">
        <v>77</v>
      </c>
      <c r="N139" s="18" t="n">
        <v>77</v>
      </c>
      <c r="O139" s="17" t="inlineStr">
        <is>
          <t>Priority</t>
        </is>
      </c>
      <c r="P139" s="18" t="n">
        <v>1000</v>
      </c>
      <c r="Q139" s="17" t="inlineStr">
        <is>
          <t>Yes</t>
        </is>
      </c>
      <c r="R139" s="17" t="inlineStr">
        <is>
          <t>SUN CRUISERS RTD</t>
        </is>
      </c>
      <c r="S139" s="17" t="inlineStr">
        <is>
          <t>SUN CRUISERS RTD</t>
        </is>
      </c>
      <c r="T139" s="17" t="inlineStr">
        <is>
          <t>BOSTON BEER COMPANY</t>
        </is>
      </c>
      <c r="U139" s="25" t="n">
        <v>3</v>
      </c>
      <c r="V139" s="17" t="inlineStr">
        <is>
          <t>No</t>
        </is>
      </c>
      <c r="W139" s="17" t="inlineStr">
        <is>
          <t>Boston Beer (77)</t>
        </is>
      </c>
      <c r="X139" s="17" t="inlineStr">
        <is>
          <t>—</t>
        </is>
      </c>
      <c r="Y139" s="19" t="inlineStr">
        <is>
          <t>View Photo</t>
        </is>
      </c>
    </row>
    <row r="140">
      <c r="A140" s="17" t="inlineStr">
        <is>
          <t>D0139</t>
        </is>
      </c>
      <c r="B140" s="17" t="inlineStr">
        <is>
          <t>07/07/2026</t>
        </is>
      </c>
      <c r="C140" s="17" t="inlineStr">
        <is>
          <t>07/07/2026 02:04 PM</t>
        </is>
      </c>
      <c r="D140" s="17" t="inlineStr">
        <is>
          <t>Mike Ast</t>
        </is>
      </c>
      <c r="E140" s="17" t="inlineStr">
        <is>
          <t>Sales Rep</t>
        </is>
      </c>
      <c r="F140" s="17" t="inlineStr">
        <is>
          <t>Paul Deady</t>
        </is>
      </c>
      <c r="G140" s="17" t="inlineStr">
        <is>
          <t>96002</t>
        </is>
      </c>
      <c r="H140" s="17" t="inlineStr">
        <is>
          <t>WINE &amp; SPIRIT WORLD(W)</t>
        </is>
      </c>
      <c r="I140" s="17" t="inlineStr">
        <is>
          <t>WYCKOFF</t>
        </is>
      </c>
      <c r="J140" s="17" t="inlineStr">
        <is>
          <t>Mark Anthony</t>
        </is>
      </c>
      <c r="K140" s="25" t="n">
        <v>4</v>
      </c>
      <c r="L140" s="17" t="inlineStr">
        <is>
          <t>Gold (70+)</t>
        </is>
      </c>
      <c r="M140" s="18" t="n">
        <v>77</v>
      </c>
      <c r="N140" s="18" t="n">
        <v>77</v>
      </c>
      <c r="O140" s="17" t="inlineStr">
        <is>
          <t>Priority</t>
        </is>
      </c>
      <c r="P140" s="18" t="n">
        <v>1000</v>
      </c>
      <c r="Q140" s="17" t="inlineStr">
        <is>
          <t>Yes</t>
        </is>
      </c>
      <c r="R140" s="17" t="inlineStr">
        <is>
          <t>WHITE CLAW ORIGINAL HARD SELTZER</t>
        </is>
      </c>
      <c r="S140" s="17" t="inlineStr">
        <is>
          <t>WHITE CLAW ORIGINAL HARD SELTZER, WHITE CLAW SURF HARD SELTZER</t>
        </is>
      </c>
      <c r="T140" s="17" t="inlineStr">
        <is>
          <t>MARK ANTHONY GROUP</t>
        </is>
      </c>
      <c r="U140" s="25" t="n">
        <v>5</v>
      </c>
      <c r="V140" s="17" t="inlineStr">
        <is>
          <t>No</t>
        </is>
      </c>
      <c r="W140" s="17" t="inlineStr">
        <is>
          <t>Mark Anthony (77)</t>
        </is>
      </c>
      <c r="X140" s="17" t="inlineStr">
        <is>
          <t>—</t>
        </is>
      </c>
      <c r="Y140" s="19" t="inlineStr">
        <is>
          <t>View Photo</t>
        </is>
      </c>
    </row>
    <row r="141">
      <c r="A141" s="17" t="inlineStr">
        <is>
          <t>D0140</t>
        </is>
      </c>
      <c r="B141" s="17" t="inlineStr">
        <is>
          <t>07/15/2026</t>
        </is>
      </c>
      <c r="C141" s="17" t="inlineStr">
        <is>
          <t>07/15/2026 01:38 PM</t>
        </is>
      </c>
      <c r="D141" s="17" t="inlineStr">
        <is>
          <t>Dave Ehlers</t>
        </is>
      </c>
      <c r="E141" s="17" t="inlineStr">
        <is>
          <t>Sales Rep</t>
        </is>
      </c>
      <c r="F141" s="17" t="inlineStr">
        <is>
          <t>Michael Engel</t>
        </is>
      </c>
      <c r="G141" s="17" t="inlineStr">
        <is>
          <t>40022</t>
        </is>
      </c>
      <c r="H141" s="17" t="inlineStr">
        <is>
          <t>BUY RITE OF HACKENSACK</t>
        </is>
      </c>
      <c r="I141" s="17" t="inlineStr">
        <is>
          <t>HACKENSACK</t>
        </is>
      </c>
      <c r="J141" s="17" t="inlineStr">
        <is>
          <t>Constellation</t>
        </is>
      </c>
      <c r="K141" s="25" t="n">
        <v>4</v>
      </c>
      <c r="L141" s="17" t="inlineStr">
        <is>
          <t>Gold (70+)</t>
        </is>
      </c>
      <c r="M141" s="18" t="n">
        <v>77</v>
      </c>
      <c r="N141" s="18" t="n">
        <v>77</v>
      </c>
      <c r="O141" s="17" t="inlineStr">
        <is>
          <t>Priority</t>
        </is>
      </c>
      <c r="P141" s="18" t="n">
        <v>1000</v>
      </c>
      <c r="Q141" s="17" t="inlineStr">
        <is>
          <t>Yes</t>
        </is>
      </c>
      <c r="R141" s="17" t="inlineStr">
        <is>
          <t>MODELO CERVEZA</t>
        </is>
      </c>
      <c r="S141" s="17" t="inlineStr">
        <is>
          <t>MODELO CERVEZA</t>
        </is>
      </c>
      <c r="T141" s="17" t="inlineStr">
        <is>
          <t>CONSTELLATION BRANDS</t>
        </is>
      </c>
      <c r="U141" s="25" t="n">
        <v>3</v>
      </c>
      <c r="V141" s="17" t="inlineStr">
        <is>
          <t>No</t>
        </is>
      </c>
      <c r="W141" s="17" t="inlineStr">
        <is>
          <t>Constellation (77)</t>
        </is>
      </c>
      <c r="X141" s="26" t="inlineStr">
        <is>
          <t>Possible duplicate</t>
        </is>
      </c>
      <c r="Y141" s="19" t="inlineStr">
        <is>
          <t>View Photo</t>
        </is>
      </c>
    </row>
    <row r="142">
      <c r="A142" s="17" t="inlineStr">
        <is>
          <t>D0141</t>
        </is>
      </c>
      <c r="B142" s="17" t="inlineStr">
        <is>
          <t>07/14/2026</t>
        </is>
      </c>
      <c r="C142" s="17" t="inlineStr">
        <is>
          <t>07/14/2026 12:39 PM</t>
        </is>
      </c>
      <c r="D142" s="17" t="inlineStr">
        <is>
          <t>Jayson Romine</t>
        </is>
      </c>
      <c r="E142" s="17" t="inlineStr">
        <is>
          <t>Sales Rep</t>
        </is>
      </c>
      <c r="F142" s="17" t="inlineStr">
        <is>
          <t>Paul Deady</t>
        </is>
      </c>
      <c r="G142" s="17" t="inlineStr">
        <is>
          <t>230905</t>
        </is>
      </c>
      <c r="H142" s="17" t="inlineStr">
        <is>
          <t>SHOPRITE WINES &amp; SPIRITS OF FRANKLIN</t>
        </is>
      </c>
      <c r="I142" s="17" t="inlineStr">
        <is>
          <t>FRANKLIN</t>
        </is>
      </c>
      <c r="J142" s="17" t="inlineStr">
        <is>
          <t>Boston Beer</t>
        </is>
      </c>
      <c r="K142" s="25" t="n">
        <v>4</v>
      </c>
      <c r="L142" s="17" t="inlineStr">
        <is>
          <t>Gold (70+)</t>
        </is>
      </c>
      <c r="M142" s="18" t="n">
        <v>76</v>
      </c>
      <c r="N142" s="18" t="n">
        <v>76</v>
      </c>
      <c r="O142" s="17" t="inlineStr">
        <is>
          <t>Priority</t>
        </is>
      </c>
      <c r="P142" s="18" t="n">
        <v>1000</v>
      </c>
      <c r="Q142" s="17" t="inlineStr">
        <is>
          <t>Yes</t>
        </is>
      </c>
      <c r="R142" s="17" t="inlineStr">
        <is>
          <t>TWISTED TEA</t>
        </is>
      </c>
      <c r="S142" s="17" t="inlineStr">
        <is>
          <t>TWISTED TEA</t>
        </is>
      </c>
      <c r="T142" s="17" t="inlineStr">
        <is>
          <t>BOSTON BEER COMPANY</t>
        </is>
      </c>
      <c r="U142" s="25" t="n">
        <v>6</v>
      </c>
      <c r="V142" s="17" t="inlineStr">
        <is>
          <t>No</t>
        </is>
      </c>
      <c r="W142" s="17" t="inlineStr">
        <is>
          <t>Boston Beer (76)</t>
        </is>
      </c>
      <c r="X142" s="17" t="inlineStr">
        <is>
          <t>—</t>
        </is>
      </c>
      <c r="Y142" s="19" t="inlineStr">
        <is>
          <t>View Photo</t>
        </is>
      </c>
    </row>
    <row r="143">
      <c r="A143" s="17" t="inlineStr">
        <is>
          <t>D0142</t>
        </is>
      </c>
      <c r="B143" s="17" t="inlineStr">
        <is>
          <t>07/02/2026</t>
        </is>
      </c>
      <c r="C143" s="17" t="inlineStr">
        <is>
          <t>07/02/2026 08:33 AM</t>
        </is>
      </c>
      <c r="D143" s="17" t="inlineStr">
        <is>
          <t>phil Ernst</t>
        </is>
      </c>
      <c r="E143" s="17" t="inlineStr">
        <is>
          <t>Sales Rep</t>
        </is>
      </c>
      <c r="F143" s="17" t="inlineStr">
        <is>
          <t>Michael Engel</t>
        </is>
      </c>
      <c r="G143" s="17" t="inlineStr">
        <is>
          <t>80005</t>
        </is>
      </c>
      <c r="H143" s="17" t="inlineStr">
        <is>
          <t>SHOP RITE LIQ (PARAMUS)</t>
        </is>
      </c>
      <c r="I143" s="17" t="inlineStr">
        <is>
          <t>PARAMUS</t>
        </is>
      </c>
      <c r="J143" s="17" t="inlineStr">
        <is>
          <t>Boston Beer</t>
        </is>
      </c>
      <c r="K143" s="25" t="n">
        <v>4</v>
      </c>
      <c r="L143" s="17" t="inlineStr">
        <is>
          <t>Gold (70+)</t>
        </is>
      </c>
      <c r="M143" s="18" t="n">
        <v>75</v>
      </c>
      <c r="N143" s="18" t="n">
        <v>75</v>
      </c>
      <c r="O143" s="17" t="inlineStr">
        <is>
          <t>Priority</t>
        </is>
      </c>
      <c r="P143" s="18" t="n">
        <v>1000</v>
      </c>
      <c r="Q143" s="17" t="inlineStr">
        <is>
          <t>Yes</t>
        </is>
      </c>
      <c r="R143" s="17" t="inlineStr">
        <is>
          <t>SAM ADAMS SEASONAL</t>
        </is>
      </c>
      <c r="S143" s="17" t="inlineStr">
        <is>
          <t>SAM ADAMS SEASONAL</t>
        </is>
      </c>
      <c r="T143" s="17" t="inlineStr">
        <is>
          <t>BOSTON BEER COMPANY</t>
        </is>
      </c>
      <c r="U143" s="25" t="n">
        <v>2</v>
      </c>
      <c r="V143" s="17" t="inlineStr">
        <is>
          <t>No</t>
        </is>
      </c>
      <c r="W143" s="17" t="inlineStr">
        <is>
          <t>Boston Beer (75)</t>
        </is>
      </c>
      <c r="X143" s="17" t="inlineStr">
        <is>
          <t>—</t>
        </is>
      </c>
      <c r="Y143" s="19" t="inlineStr">
        <is>
          <t>View Photo</t>
        </is>
      </c>
    </row>
    <row r="144">
      <c r="A144" s="17" t="inlineStr">
        <is>
          <t>D0143</t>
        </is>
      </c>
      <c r="B144" s="17" t="inlineStr">
        <is>
          <t>07/02/2026</t>
        </is>
      </c>
      <c r="C144" s="17" t="inlineStr">
        <is>
          <t>07/02/2026 12:00 PM</t>
        </is>
      </c>
      <c r="D144" s="17" t="inlineStr">
        <is>
          <t>David Fletcher</t>
        </is>
      </c>
      <c r="E144" s="17" t="inlineStr">
        <is>
          <t>Sales Associate</t>
        </is>
      </c>
      <c r="F144" s="17" t="inlineStr">
        <is>
          <t>Michael Engel</t>
        </is>
      </c>
      <c r="G144" s="17" t="inlineStr">
        <is>
          <t>20106</t>
        </is>
      </c>
      <c r="H144" s="17" t="inlineStr">
        <is>
          <t>SUPER WINE WAREHSE(P)PATE</t>
        </is>
      </c>
      <c r="I144" s="17" t="inlineStr">
        <is>
          <t>PATERSON</t>
        </is>
      </c>
      <c r="J144" s="17" t="inlineStr">
        <is>
          <t>Mark Anthony</t>
        </is>
      </c>
      <c r="K144" s="25" t="n">
        <v>4</v>
      </c>
      <c r="L144" s="17" t="inlineStr">
        <is>
          <t>Gold (70+)</t>
        </is>
      </c>
      <c r="M144" s="18" t="n">
        <v>75</v>
      </c>
      <c r="N144" s="18" t="n">
        <v>75</v>
      </c>
      <c r="O144" s="17" t="inlineStr">
        <is>
          <t>Priority</t>
        </is>
      </c>
      <c r="P144" s="18" t="n">
        <v>1000</v>
      </c>
      <c r="Q144" s="17" t="inlineStr">
        <is>
          <t>Yes</t>
        </is>
      </c>
      <c r="R144" s="17" t="inlineStr">
        <is>
          <t>WHITE CLAW ORIGINAL HARD SELTZER</t>
        </is>
      </c>
      <c r="S144" s="17" t="inlineStr">
        <is>
          <t>WHITE CLAW CLAWTAILS, WHITE CLAW ORIGINAL HARD SELTZER, WHITE CLAW SURF HARD SELTZER</t>
        </is>
      </c>
      <c r="T144" s="17" t="inlineStr">
        <is>
          <t>MARK ANTHONY GROUP</t>
        </is>
      </c>
      <c r="U144" s="25" t="n">
        <v>11</v>
      </c>
      <c r="V144" s="17" t="inlineStr">
        <is>
          <t>No</t>
        </is>
      </c>
      <c r="W144" s="17" t="inlineStr">
        <is>
          <t>Mark Anthony (75)</t>
        </is>
      </c>
      <c r="X144" s="17" t="inlineStr">
        <is>
          <t>—</t>
        </is>
      </c>
      <c r="Y144" s="19" t="inlineStr">
        <is>
          <t>View Photo</t>
        </is>
      </c>
    </row>
    <row r="145">
      <c r="A145" s="17" t="inlineStr">
        <is>
          <t>D0144</t>
        </is>
      </c>
      <c r="B145" s="17" t="inlineStr">
        <is>
          <t>07/06/2026</t>
        </is>
      </c>
      <c r="C145" s="17" t="inlineStr">
        <is>
          <t>07/06/2026 02:52 PM</t>
        </is>
      </c>
      <c r="D145" s="17" t="inlineStr">
        <is>
          <t>Mike Ast</t>
        </is>
      </c>
      <c r="E145" s="17" t="inlineStr">
        <is>
          <t>Sales Rep</t>
        </is>
      </c>
      <c r="F145" s="17" t="inlineStr">
        <is>
          <t>Paul Deady</t>
        </is>
      </c>
      <c r="G145" s="17" t="inlineStr">
        <is>
          <t>12011</t>
        </is>
      </c>
      <c r="H145" s="17" t="inlineStr">
        <is>
          <t>BOTTLE KING (A) WAYNE</t>
        </is>
      </c>
      <c r="I145" s="17" t="inlineStr">
        <is>
          <t>WAYNE</t>
        </is>
      </c>
      <c r="J145" s="17" t="inlineStr">
        <is>
          <t>Constellation</t>
        </is>
      </c>
      <c r="K145" s="25" t="n">
        <v>4</v>
      </c>
      <c r="L145" s="17" t="inlineStr">
        <is>
          <t>Gold (70+)</t>
        </is>
      </c>
      <c r="M145" s="18" t="n">
        <v>75</v>
      </c>
      <c r="N145" s="18" t="n">
        <v>75</v>
      </c>
      <c r="O145" s="17" t="inlineStr">
        <is>
          <t>Priority</t>
        </is>
      </c>
      <c r="P145" s="18" t="n">
        <v>1000</v>
      </c>
      <c r="Q145" s="17" t="inlineStr">
        <is>
          <t>Yes</t>
        </is>
      </c>
      <c r="R145" s="17" t="inlineStr">
        <is>
          <t>MODELO CERVEZA</t>
        </is>
      </c>
      <c r="S145" s="17" t="inlineStr">
        <is>
          <t>MODELO CERVEZA</t>
        </is>
      </c>
      <c r="T145" s="17" t="inlineStr">
        <is>
          <t>CONSTELLATION BRANDS</t>
        </is>
      </c>
      <c r="U145" s="25" t="n">
        <v>1</v>
      </c>
      <c r="V145" s="17" t="inlineStr">
        <is>
          <t>No</t>
        </is>
      </c>
      <c r="W145" s="17" t="inlineStr">
        <is>
          <t>Constellation (75)</t>
        </is>
      </c>
      <c r="X145" s="17" t="inlineStr">
        <is>
          <t>—</t>
        </is>
      </c>
      <c r="Y145" s="19" t="inlineStr">
        <is>
          <t>View Photo</t>
        </is>
      </c>
    </row>
    <row r="146">
      <c r="A146" s="17" t="inlineStr">
        <is>
          <t>D0145</t>
        </is>
      </c>
      <c r="B146" s="17" t="inlineStr">
        <is>
          <t>07/15/2026</t>
        </is>
      </c>
      <c r="C146" s="17" t="inlineStr">
        <is>
          <t>07/15/2026 10:52 AM</t>
        </is>
      </c>
      <c r="D146" s="17" t="inlineStr">
        <is>
          <t>Jayson Romine</t>
        </is>
      </c>
      <c r="E146" s="17" t="inlineStr">
        <is>
          <t>Sales Rep</t>
        </is>
      </c>
      <c r="F146" s="17" t="inlineStr">
        <is>
          <t>Paul Deady</t>
        </is>
      </c>
      <c r="G146" s="17" t="inlineStr">
        <is>
          <t>230105</t>
        </is>
      </c>
      <c r="H146" s="17" t="inlineStr">
        <is>
          <t>SHOPRITE WINES &amp; SPIRITS OF SPARTA</t>
        </is>
      </c>
      <c r="I146" s="17" t="inlineStr">
        <is>
          <t>SPARTA</t>
        </is>
      </c>
      <c r="J146" s="17" t="inlineStr">
        <is>
          <t>Boston Beer</t>
        </is>
      </c>
      <c r="K146" s="25" t="n">
        <v>4</v>
      </c>
      <c r="L146" s="17" t="inlineStr">
        <is>
          <t>Gold (70+)</t>
        </is>
      </c>
      <c r="M146" s="18" t="n">
        <v>75</v>
      </c>
      <c r="N146" s="18" t="n">
        <v>75</v>
      </c>
      <c r="O146" s="17" t="inlineStr">
        <is>
          <t>Priority</t>
        </is>
      </c>
      <c r="P146" s="18" t="n">
        <v>1000</v>
      </c>
      <c r="Q146" s="17" t="inlineStr">
        <is>
          <t>Yes</t>
        </is>
      </c>
      <c r="R146" s="17" t="inlineStr">
        <is>
          <t>SUN CRUISER LEMONADE</t>
        </is>
      </c>
      <c r="S146" s="17" t="inlineStr">
        <is>
          <t>SUN CRUISER ICED TEA VODKA, SUN CRUISER LEMONADE</t>
        </is>
      </c>
      <c r="T146" s="17" t="inlineStr">
        <is>
          <t>BOSTON BEER COMPANY</t>
        </is>
      </c>
      <c r="U146" s="25" t="n">
        <v>3</v>
      </c>
      <c r="V146" s="17" t="inlineStr">
        <is>
          <t>No</t>
        </is>
      </c>
      <c r="W146" s="17" t="inlineStr">
        <is>
          <t>Boston Beer (75)</t>
        </is>
      </c>
      <c r="X146" s="17" t="inlineStr">
        <is>
          <t>—</t>
        </is>
      </c>
      <c r="Y146" s="19" t="inlineStr">
        <is>
          <t>View Photo</t>
        </is>
      </c>
    </row>
    <row r="147">
      <c r="A147" s="17" t="inlineStr">
        <is>
          <t>D0146</t>
        </is>
      </c>
      <c r="B147" s="17" t="inlineStr">
        <is>
          <t>07/20/2026</t>
        </is>
      </c>
      <c r="C147" s="17" t="inlineStr">
        <is>
          <t>07/20/2026 03:30 PM</t>
        </is>
      </c>
      <c r="D147" s="17" t="inlineStr">
        <is>
          <t>James Heaney</t>
        </is>
      </c>
      <c r="E147" s="17" t="inlineStr">
        <is>
          <t>Sales Rep</t>
        </is>
      </c>
      <c r="F147" s="17" t="inlineStr">
        <is>
          <t>Denise Montes</t>
        </is>
      </c>
      <c r="G147" s="17" t="inlineStr">
        <is>
          <t>24011</t>
        </is>
      </c>
      <c r="H147" s="17" t="inlineStr">
        <is>
          <t>SHOPPERS VINEYARD (A)</t>
        </is>
      </c>
      <c r="I147" s="17" t="inlineStr">
        <is>
          <t>CLIFTON</t>
        </is>
      </c>
      <c r="J147" s="17" t="inlineStr">
        <is>
          <t>Constellation</t>
        </is>
      </c>
      <c r="K147" s="25" t="n">
        <v>4</v>
      </c>
      <c r="L147" s="17" t="inlineStr">
        <is>
          <t>Gold (70+)</t>
        </is>
      </c>
      <c r="M147" s="18" t="n">
        <v>75</v>
      </c>
      <c r="N147" s="18" t="n">
        <v>75</v>
      </c>
      <c r="O147" s="17" t="inlineStr">
        <is>
          <t>Priority</t>
        </is>
      </c>
      <c r="P147" s="18" t="n">
        <v>1000</v>
      </c>
      <c r="Q147" s="17" t="inlineStr">
        <is>
          <t>Yes</t>
        </is>
      </c>
      <c r="R147" s="17" t="inlineStr">
        <is>
          <t>CORONA EXTRA</t>
        </is>
      </c>
      <c r="S147" s="17" t="inlineStr">
        <is>
          <t>CORONA, CORONA EXTRA</t>
        </is>
      </c>
      <c r="T147" s="17" t="inlineStr">
        <is>
          <t>CONSTELLATION BRANDS</t>
        </is>
      </c>
      <c r="U147" s="25" t="n">
        <v>3</v>
      </c>
      <c r="V147" s="17" t="inlineStr">
        <is>
          <t>No</t>
        </is>
      </c>
      <c r="W147" s="17" t="inlineStr">
        <is>
          <t>Constellation (75)</t>
        </is>
      </c>
      <c r="X147" s="17" t="inlineStr">
        <is>
          <t>—</t>
        </is>
      </c>
      <c r="Y147" s="19" t="inlineStr">
        <is>
          <t>View Photo</t>
        </is>
      </c>
    </row>
    <row r="148">
      <c r="A148" s="17" t="inlineStr">
        <is>
          <t>D0147</t>
        </is>
      </c>
      <c r="B148" s="17" t="inlineStr">
        <is>
          <t>07/20/2026</t>
        </is>
      </c>
      <c r="C148" s="17" t="inlineStr">
        <is>
          <t>07/20/2026 07:38 AM</t>
        </is>
      </c>
      <c r="D148" s="17" t="inlineStr">
        <is>
          <t>Shane Barreca</t>
        </is>
      </c>
      <c r="E148" s="17" t="inlineStr">
        <is>
          <t>Sales Rep</t>
        </is>
      </c>
      <c r="F148" s="17" t="inlineStr">
        <is>
          <t>Paul Deady</t>
        </is>
      </c>
      <c r="G148" s="17" t="inlineStr">
        <is>
          <t>70001</t>
        </is>
      </c>
      <c r="H148" s="17" t="inlineStr">
        <is>
          <t>MONTVALE WINE/LIQ &amp; BEER</t>
        </is>
      </c>
      <c r="I148" s="17" t="inlineStr">
        <is>
          <t>MONTVALE</t>
        </is>
      </c>
      <c r="J148" s="17" t="inlineStr">
        <is>
          <t>Boston Beer</t>
        </is>
      </c>
      <c r="K148" s="25" t="n">
        <v>4</v>
      </c>
      <c r="L148" s="17" t="inlineStr">
        <is>
          <t>Gold (70+)</t>
        </is>
      </c>
      <c r="M148" s="18" t="n">
        <v>75</v>
      </c>
      <c r="N148" s="18" t="n">
        <v>75</v>
      </c>
      <c r="O148" s="17" t="inlineStr">
        <is>
          <t>Priority</t>
        </is>
      </c>
      <c r="P148" s="18" t="n">
        <v>1000</v>
      </c>
      <c r="Q148" s="17" t="inlineStr">
        <is>
          <t>Yes</t>
        </is>
      </c>
      <c r="R148" s="17" t="inlineStr">
        <is>
          <t>SUN CRUISER ICED TEA VODKA</t>
        </is>
      </c>
      <c r="S148" s="17" t="inlineStr">
        <is>
          <t>SUN CRUISER ICED TEA VODKA</t>
        </is>
      </c>
      <c r="T148" s="17" t="inlineStr">
        <is>
          <t>BOSTON BEER COMPANY</t>
        </is>
      </c>
      <c r="U148" s="25" t="n">
        <v>1</v>
      </c>
      <c r="V148" s="17" t="inlineStr">
        <is>
          <t>No</t>
        </is>
      </c>
      <c r="W148" s="17" t="inlineStr">
        <is>
          <t>Boston Beer (75)</t>
        </is>
      </c>
      <c r="X148" s="17" t="inlineStr">
        <is>
          <t>—</t>
        </is>
      </c>
      <c r="Y148" s="19" t="inlineStr">
        <is>
          <t>View Photo</t>
        </is>
      </c>
    </row>
    <row r="149">
      <c r="A149" s="17" t="inlineStr">
        <is>
          <t>D0148</t>
        </is>
      </c>
      <c r="B149" s="17" t="inlineStr">
        <is>
          <t>07/20/2026</t>
        </is>
      </c>
      <c r="C149" s="17" t="inlineStr">
        <is>
          <t>07/20/2026 10:32 AM</t>
        </is>
      </c>
      <c r="D149" s="17" t="inlineStr">
        <is>
          <t>mickey obrien</t>
        </is>
      </c>
      <c r="E149" s="17" t="inlineStr">
        <is>
          <t>Sales Associate</t>
        </is>
      </c>
      <c r="F149" s="17" t="inlineStr">
        <is>
          <t>Michael Engel</t>
        </is>
      </c>
      <c r="G149" s="17" t="inlineStr">
        <is>
          <t>38040</t>
        </is>
      </c>
      <c r="H149" s="17" t="inlineStr">
        <is>
          <t>BUY RITE DISCOUNT LIQUOR</t>
        </is>
      </c>
      <c r="I149" s="17" t="inlineStr">
        <is>
          <t>LODI</t>
        </is>
      </c>
      <c r="J149" s="17" t="inlineStr">
        <is>
          <t>Constellation</t>
        </is>
      </c>
      <c r="K149" s="25" t="n">
        <v>4</v>
      </c>
      <c r="L149" s="17" t="inlineStr">
        <is>
          <t>Gold (70+)</t>
        </is>
      </c>
      <c r="M149" s="18" t="n">
        <v>75</v>
      </c>
      <c r="N149" s="18" t="n">
        <v>75</v>
      </c>
      <c r="O149" s="17" t="inlineStr">
        <is>
          <t>Priority</t>
        </is>
      </c>
      <c r="P149" s="18" t="n">
        <v>1000</v>
      </c>
      <c r="Q149" s="17" t="inlineStr">
        <is>
          <t>Yes</t>
        </is>
      </c>
      <c r="R149" s="17" t="inlineStr">
        <is>
          <t>MODELO CERVEZA</t>
        </is>
      </c>
      <c r="S149" s="17" t="inlineStr">
        <is>
          <t>MODELO CERVEZA, MODELO ORO</t>
        </is>
      </c>
      <c r="T149" s="17" t="inlineStr">
        <is>
          <t>CONSTELLATION BRANDS</t>
        </is>
      </c>
      <c r="U149" s="25" t="n">
        <v>4</v>
      </c>
      <c r="V149" s="17" t="inlineStr">
        <is>
          <t>No</t>
        </is>
      </c>
      <c r="W149" s="17" t="inlineStr">
        <is>
          <t>Constellation (75)</t>
        </is>
      </c>
      <c r="X149" s="17" t="inlineStr">
        <is>
          <t>—</t>
        </is>
      </c>
      <c r="Y149" s="19" t="inlineStr">
        <is>
          <t>View Photo</t>
        </is>
      </c>
    </row>
    <row r="150">
      <c r="A150" s="17" t="inlineStr">
        <is>
          <t>D0149</t>
        </is>
      </c>
      <c r="B150" s="17" t="inlineStr">
        <is>
          <t>07/21/2026</t>
        </is>
      </c>
      <c r="C150" s="17" t="inlineStr">
        <is>
          <t>07/21/2026 09:57 AM</t>
        </is>
      </c>
      <c r="D150" s="17" t="inlineStr">
        <is>
          <t>Nicholas Micco</t>
        </is>
      </c>
      <c r="E150" s="17" t="inlineStr">
        <is>
          <t>Sales Associate</t>
        </is>
      </c>
      <c r="F150" s="17" t="inlineStr">
        <is>
          <t>Michael Engel</t>
        </is>
      </c>
      <c r="G150" s="17" t="inlineStr">
        <is>
          <t>83010</t>
        </is>
      </c>
      <c r="H150" s="17" t="inlineStr">
        <is>
          <t>BOTTLE KING (A) GLEN ROCK</t>
        </is>
      </c>
      <c r="I150" s="17" t="inlineStr">
        <is>
          <t>GLEN ROCK</t>
        </is>
      </c>
      <c r="J150" s="17" t="inlineStr">
        <is>
          <t>Boston Beer</t>
        </is>
      </c>
      <c r="K150" s="25" t="n">
        <v>4</v>
      </c>
      <c r="L150" s="17" t="inlineStr">
        <is>
          <t>Gold (70+)</t>
        </is>
      </c>
      <c r="M150" s="18" t="n">
        <v>75</v>
      </c>
      <c r="N150" s="18" t="n">
        <v>75</v>
      </c>
      <c r="O150" s="17" t="inlineStr">
        <is>
          <t>Priority</t>
        </is>
      </c>
      <c r="P150" s="18" t="n">
        <v>1000</v>
      </c>
      <c r="Q150" s="17" t="inlineStr">
        <is>
          <t>Yes</t>
        </is>
      </c>
      <c r="R150" s="17" t="inlineStr">
        <is>
          <t>TRULY</t>
        </is>
      </c>
      <c r="S150" s="17" t="inlineStr">
        <is>
          <t>TRULY</t>
        </is>
      </c>
      <c r="T150" s="17" t="inlineStr">
        <is>
          <t>BOSTON BEER COMPANY</t>
        </is>
      </c>
      <c r="U150" s="25" t="n">
        <v>1</v>
      </c>
      <c r="V150" s="17" t="inlineStr">
        <is>
          <t>No</t>
        </is>
      </c>
      <c r="W150" s="17" t="inlineStr">
        <is>
          <t>Boston Beer (75)</t>
        </is>
      </c>
      <c r="X150" s="17" t="inlineStr">
        <is>
          <t>—</t>
        </is>
      </c>
      <c r="Y150" s="19" t="inlineStr">
        <is>
          <t>View Photo</t>
        </is>
      </c>
    </row>
    <row r="151">
      <c r="A151" s="17" t="inlineStr">
        <is>
          <t>D0150</t>
        </is>
      </c>
      <c r="B151" s="17" t="inlineStr">
        <is>
          <t>07/28/2026</t>
        </is>
      </c>
      <c r="C151" s="17" t="inlineStr">
        <is>
          <t>07/28/2026 02:01 PM</t>
        </is>
      </c>
      <c r="D151" s="17" t="inlineStr">
        <is>
          <t>patrick infante</t>
        </is>
      </c>
      <c r="E151" s="17" t="inlineStr">
        <is>
          <t>Sales Associate</t>
        </is>
      </c>
      <c r="F151" s="17" t="inlineStr">
        <is>
          <t>Denise Montes</t>
        </is>
      </c>
      <c r="G151" s="17" t="inlineStr">
        <is>
          <t>20014</t>
        </is>
      </c>
      <c r="H151" s="17" t="inlineStr">
        <is>
          <t>BOMBOLON LIQUOR &amp; GROCERY</t>
        </is>
      </c>
      <c r="I151" s="17" t="inlineStr">
        <is>
          <t>PATERSON</t>
        </is>
      </c>
      <c r="J151" s="17" t="inlineStr">
        <is>
          <t>Molson Coors</t>
        </is>
      </c>
      <c r="K151" s="25" t="n">
        <v>4</v>
      </c>
      <c r="L151" s="17" t="inlineStr">
        <is>
          <t>Gold (70+)</t>
        </is>
      </c>
      <c r="M151" s="18" t="n">
        <v>75</v>
      </c>
      <c r="N151" s="18" t="n">
        <v>75</v>
      </c>
      <c r="O151" s="17" t="inlineStr">
        <is>
          <t>Priority</t>
        </is>
      </c>
      <c r="P151" s="18" t="n">
        <v>1000</v>
      </c>
      <c r="Q151" s="17" t="inlineStr">
        <is>
          <t>Yes</t>
        </is>
      </c>
      <c r="R151" s="17" t="inlineStr">
        <is>
          <t>COORS LIGHT</t>
        </is>
      </c>
      <c r="S151" s="17" t="inlineStr">
        <is>
          <t>COORS LIGHT</t>
        </is>
      </c>
      <c r="T151" s="17" t="inlineStr">
        <is>
          <t>MOLSON COORS BEVERAGE COMPANY</t>
        </is>
      </c>
      <c r="U151" s="25" t="n">
        <v>1</v>
      </c>
      <c r="V151" s="17" t="inlineStr">
        <is>
          <t>No</t>
        </is>
      </c>
      <c r="W151" s="17" t="inlineStr">
        <is>
          <t>Molson Coors (75)</t>
        </is>
      </c>
      <c r="X151" s="17" t="inlineStr">
        <is>
          <t>First of a repeat set</t>
        </is>
      </c>
      <c r="Y151" s="19" t="inlineStr">
        <is>
          <t>View Photo</t>
        </is>
      </c>
    </row>
    <row r="152">
      <c r="A152" s="17" t="inlineStr">
        <is>
          <t>D0151</t>
        </is>
      </c>
      <c r="B152" s="17" t="inlineStr">
        <is>
          <t>07/28/2026</t>
        </is>
      </c>
      <c r="C152" s="17" t="inlineStr">
        <is>
          <t>07/28/2026 02:03 PM</t>
        </is>
      </c>
      <c r="D152" s="17" t="inlineStr">
        <is>
          <t>Pablo Lopez</t>
        </is>
      </c>
      <c r="E152" s="17" t="inlineStr">
        <is>
          <t>Sales Rep</t>
        </is>
      </c>
      <c r="F152" s="17" t="inlineStr">
        <is>
          <t>Denise Montes</t>
        </is>
      </c>
      <c r="G152" s="17" t="inlineStr">
        <is>
          <t>20014</t>
        </is>
      </c>
      <c r="H152" s="17" t="inlineStr">
        <is>
          <t>BOMBOLON LIQUOR &amp; GROCERY</t>
        </is>
      </c>
      <c r="I152" s="17" t="inlineStr">
        <is>
          <t>PATERSON</t>
        </is>
      </c>
      <c r="J152" s="17" t="inlineStr">
        <is>
          <t>Molson Coors</t>
        </is>
      </c>
      <c r="K152" s="25" t="n">
        <v>4</v>
      </c>
      <c r="L152" s="17" t="inlineStr">
        <is>
          <t>Gold (70+)</t>
        </is>
      </c>
      <c r="M152" s="18" t="n">
        <v>75</v>
      </c>
      <c r="N152" s="18" t="n">
        <v>75</v>
      </c>
      <c r="O152" s="17" t="inlineStr">
        <is>
          <t>Priority</t>
        </is>
      </c>
      <c r="P152" s="18" t="n">
        <v>1000</v>
      </c>
      <c r="Q152" s="17" t="inlineStr">
        <is>
          <t>Yes</t>
        </is>
      </c>
      <c r="R152" s="17" t="inlineStr">
        <is>
          <t>COORS LIGHT</t>
        </is>
      </c>
      <c r="S152" s="17" t="inlineStr">
        <is>
          <t>COORS LIGHT</t>
        </is>
      </c>
      <c r="T152" s="17" t="inlineStr">
        <is>
          <t>MOLSON COORS BEVERAGE COMPANY</t>
        </is>
      </c>
      <c r="U152" s="25" t="n">
        <v>2</v>
      </c>
      <c r="V152" s="17" t="inlineStr">
        <is>
          <t>No</t>
        </is>
      </c>
      <c r="W152" s="17" t="inlineStr">
        <is>
          <t>Molson Coors (75)</t>
        </is>
      </c>
      <c r="X152" s="26" t="inlineStr">
        <is>
          <t>Possible duplicate</t>
        </is>
      </c>
      <c r="Y152" s="19" t="inlineStr">
        <is>
          <t>View Photo</t>
        </is>
      </c>
    </row>
    <row r="153">
      <c r="A153" s="17" t="inlineStr">
        <is>
          <t>D0152</t>
        </is>
      </c>
      <c r="B153" s="17" t="inlineStr">
        <is>
          <t>08/18/2026</t>
        </is>
      </c>
      <c r="C153" s="17" t="inlineStr">
        <is>
          <t>08/18/2026 10:39 AM</t>
        </is>
      </c>
      <c r="D153" s="17" t="inlineStr">
        <is>
          <t>mickey obrien</t>
        </is>
      </c>
      <c r="E153" s="17" t="inlineStr">
        <is>
          <t>Sales Associate</t>
        </is>
      </c>
      <c r="F153" s="17" t="inlineStr">
        <is>
          <t>Michael Engel</t>
        </is>
      </c>
      <c r="G153" s="17" t="inlineStr">
        <is>
          <t>58001</t>
        </is>
      </c>
      <c r="H153" s="17" t="inlineStr">
        <is>
          <t>TOTAL WINE &amp; MORE (RIVER EDGE)</t>
        </is>
      </c>
      <c r="I153" s="17" t="inlineStr">
        <is>
          <t>RIVER EDGE</t>
        </is>
      </c>
      <c r="J153" s="17" t="inlineStr">
        <is>
          <t>Boston Beer</t>
        </is>
      </c>
      <c r="K153" s="25" t="n">
        <v>4</v>
      </c>
      <c r="L153" s="17" t="inlineStr">
        <is>
          <t>Gold (70+)</t>
        </is>
      </c>
      <c r="M153" s="18" t="n">
        <v>75</v>
      </c>
      <c r="N153" s="18" t="n">
        <v>75</v>
      </c>
      <c r="O153" s="17" t="inlineStr">
        <is>
          <t>Priority</t>
        </is>
      </c>
      <c r="P153" s="18" t="n">
        <v>1000</v>
      </c>
      <c r="Q153" s="17" t="inlineStr">
        <is>
          <t>Yes</t>
        </is>
      </c>
      <c r="R153" s="17" t="inlineStr">
        <is>
          <t>ANGRY ORCHARD</t>
        </is>
      </c>
      <c r="S153" s="17" t="inlineStr">
        <is>
          <t>ANGRY ORCHARD</t>
        </is>
      </c>
      <c r="T153" s="17" t="inlineStr">
        <is>
          <t>BOSTON BEER COMPANY</t>
        </is>
      </c>
      <c r="U153" s="25" t="n">
        <v>1</v>
      </c>
      <c r="V153" s="17" t="inlineStr">
        <is>
          <t>No</t>
        </is>
      </c>
      <c r="W153" s="17" t="inlineStr">
        <is>
          <t>Boston Beer (75)</t>
        </is>
      </c>
      <c r="X153" s="26" t="inlineStr">
        <is>
          <t>Possible duplicate</t>
        </is>
      </c>
      <c r="Y153" s="19" t="inlineStr">
        <is>
          <t>View Photo</t>
        </is>
      </c>
    </row>
    <row r="154">
      <c r="A154" s="17" t="inlineStr">
        <is>
          <t>D0153</t>
        </is>
      </c>
      <c r="B154" s="17" t="inlineStr">
        <is>
          <t>08/25/2026</t>
        </is>
      </c>
      <c r="C154" s="17" t="inlineStr">
        <is>
          <t>08/25/2026 03:38 PM</t>
        </is>
      </c>
      <c r="D154" s="17" t="inlineStr">
        <is>
          <t>phil Ernst</t>
        </is>
      </c>
      <c r="E154" s="17" t="inlineStr">
        <is>
          <t>Sales Rep</t>
        </is>
      </c>
      <c r="F154" s="17" t="inlineStr">
        <is>
          <t>Michael Engel</t>
        </is>
      </c>
      <c r="G154" s="17" t="inlineStr">
        <is>
          <t>80005</t>
        </is>
      </c>
      <c r="H154" s="17" t="inlineStr">
        <is>
          <t>SHOP RITE LIQ (PARAMUS)</t>
        </is>
      </c>
      <c r="I154" s="17" t="inlineStr">
        <is>
          <t>PARAMUS</t>
        </is>
      </c>
      <c r="J154" s="17" t="inlineStr">
        <is>
          <t>Constellation</t>
        </is>
      </c>
      <c r="K154" s="25" t="n">
        <v>4</v>
      </c>
      <c r="L154" s="17" t="inlineStr">
        <is>
          <t>Gold (70+)</t>
        </is>
      </c>
      <c r="M154" s="18" t="n">
        <v>75</v>
      </c>
      <c r="N154" s="18" t="n">
        <v>75</v>
      </c>
      <c r="O154" s="17" t="inlineStr">
        <is>
          <t>Priority</t>
        </is>
      </c>
      <c r="P154" s="18" t="n">
        <v>1000</v>
      </c>
      <c r="Q154" s="17" t="inlineStr">
        <is>
          <t>Yes</t>
        </is>
      </c>
      <c r="R154" s="17" t="inlineStr">
        <is>
          <t>MODELO CERVEZA</t>
        </is>
      </c>
      <c r="S154" s="17" t="inlineStr">
        <is>
          <t>MODELO CERVEZA</t>
        </is>
      </c>
      <c r="T154" s="17" t="inlineStr">
        <is>
          <t>CONSTELLATION BRANDS</t>
        </is>
      </c>
      <c r="U154" s="25" t="n">
        <v>4</v>
      </c>
      <c r="V154" s="17" t="inlineStr">
        <is>
          <t>No</t>
        </is>
      </c>
      <c r="W154" s="17" t="inlineStr">
        <is>
          <t>Constellation (75)</t>
        </is>
      </c>
      <c r="X154" s="17" t="inlineStr">
        <is>
          <t>—</t>
        </is>
      </c>
      <c r="Y154" s="19" t="inlineStr">
        <is>
          <t>View Photo</t>
        </is>
      </c>
    </row>
    <row r="155">
      <c r="A155" s="17" t="inlineStr">
        <is>
          <t>D0154</t>
        </is>
      </c>
      <c r="B155" s="17" t="inlineStr">
        <is>
          <t>08/26/2026</t>
        </is>
      </c>
      <c r="C155" s="17" t="inlineStr">
        <is>
          <t>08/26/2026 11:41 AM</t>
        </is>
      </c>
      <c r="D155" s="17" t="inlineStr">
        <is>
          <t>Todd Ewell</t>
        </is>
      </c>
      <c r="E155" s="17" t="inlineStr">
        <is>
          <t>Sales Associate</t>
        </is>
      </c>
      <c r="F155" s="17" t="inlineStr">
        <is>
          <t>Paul Deady</t>
        </is>
      </c>
      <c r="G155" s="17" t="inlineStr">
        <is>
          <t>230427</t>
        </is>
      </c>
      <c r="H155" s="17" t="inlineStr">
        <is>
          <t>SHOPRITE WINE &amp; SPIRITS OF NEWTON#830</t>
        </is>
      </c>
      <c r="I155" s="17" t="inlineStr">
        <is>
          <t>NEWTON</t>
        </is>
      </c>
      <c r="J155" s="17" t="inlineStr">
        <is>
          <t>Boston Beer</t>
        </is>
      </c>
      <c r="K155" s="25" t="n">
        <v>4</v>
      </c>
      <c r="L155" s="17" t="inlineStr">
        <is>
          <t>Gold (70+)</t>
        </is>
      </c>
      <c r="M155" s="18" t="n">
        <v>75</v>
      </c>
      <c r="N155" s="18" t="n">
        <v>75</v>
      </c>
      <c r="O155" s="17" t="inlineStr">
        <is>
          <t>Priority</t>
        </is>
      </c>
      <c r="P155" s="18" t="n">
        <v>1000</v>
      </c>
      <c r="Q155" s="17" t="inlineStr">
        <is>
          <t>Yes</t>
        </is>
      </c>
      <c r="R155" s="17" t="inlineStr">
        <is>
          <t>TWISTED TEA</t>
        </is>
      </c>
      <c r="S155" s="17" t="inlineStr">
        <is>
          <t>TWISTED TEA</t>
        </is>
      </c>
      <c r="T155" s="17" t="inlineStr">
        <is>
          <t>BOSTON BEER COMPANY</t>
        </is>
      </c>
      <c r="U155" s="25" t="n">
        <v>1</v>
      </c>
      <c r="V155" s="17" t="inlineStr">
        <is>
          <t>No</t>
        </is>
      </c>
      <c r="W155" s="17" t="inlineStr">
        <is>
          <t>Boston Beer (75)</t>
        </is>
      </c>
      <c r="X155" s="17" t="inlineStr">
        <is>
          <t>First of a repeat set</t>
        </is>
      </c>
      <c r="Y155" s="19" t="inlineStr">
        <is>
          <t>View Photo</t>
        </is>
      </c>
    </row>
    <row r="156">
      <c r="A156" s="17" t="inlineStr">
        <is>
          <t>D0155</t>
        </is>
      </c>
      <c r="B156" s="17" t="inlineStr">
        <is>
          <t>08/28/2026</t>
        </is>
      </c>
      <c r="C156" s="17" t="inlineStr">
        <is>
          <t>08/28/2026 12:49 PM</t>
        </is>
      </c>
      <c r="D156" s="17" t="inlineStr">
        <is>
          <t>Jay Tabasco</t>
        </is>
      </c>
      <c r="E156" s="17" t="inlineStr">
        <is>
          <t>Sales Associate</t>
        </is>
      </c>
      <c r="F156" s="17" t="inlineStr">
        <is>
          <t>Paul Deady</t>
        </is>
      </c>
      <c r="G156" s="17" t="inlineStr">
        <is>
          <t>11003</t>
        </is>
      </c>
      <c r="H156" s="17" t="inlineStr">
        <is>
          <t>LINCOLN PARK FINE WINES &amp; SPIRITS</t>
        </is>
      </c>
      <c r="I156" s="17" t="inlineStr">
        <is>
          <t>LINCOLN PARK</t>
        </is>
      </c>
      <c r="J156" s="17" t="inlineStr">
        <is>
          <t>HUSA (Heineken USA)</t>
        </is>
      </c>
      <c r="K156" s="25" t="n">
        <v>4</v>
      </c>
      <c r="L156" s="17" t="inlineStr">
        <is>
          <t>Gold (70+)</t>
        </is>
      </c>
      <c r="M156" s="18" t="n">
        <v>75</v>
      </c>
      <c r="N156" s="18" t="n">
        <v>75</v>
      </c>
      <c r="O156" s="17" t="inlineStr">
        <is>
          <t>Priority</t>
        </is>
      </c>
      <c r="P156" s="18" t="n">
        <v>1000</v>
      </c>
      <c r="Q156" s="17" t="inlineStr">
        <is>
          <t>Yes</t>
        </is>
      </c>
      <c r="R156" s="17" t="inlineStr">
        <is>
          <t>HEINEKEN</t>
        </is>
      </c>
      <c r="S156" s="17" t="inlineStr">
        <is>
          <t>HEINEKEN</t>
        </is>
      </c>
      <c r="T156" s="17" t="inlineStr">
        <is>
          <t>HEINEKEN</t>
        </is>
      </c>
      <c r="U156" s="25" t="n">
        <v>1</v>
      </c>
      <c r="V156" s="17" t="inlineStr">
        <is>
          <t>No</t>
        </is>
      </c>
      <c r="W156" s="17" t="inlineStr">
        <is>
          <t>HUSA (Heineken USA) (75)</t>
        </is>
      </c>
      <c r="X156" s="17" t="inlineStr">
        <is>
          <t>First of a repeat set</t>
        </is>
      </c>
      <c r="Y156" s="19" t="inlineStr">
        <is>
          <t>View Photo</t>
        </is>
      </c>
    </row>
    <row r="157">
      <c r="A157" s="17" t="inlineStr">
        <is>
          <t>D0156</t>
        </is>
      </c>
      <c r="B157" s="17" t="inlineStr">
        <is>
          <t>08/28/2026</t>
        </is>
      </c>
      <c r="C157" s="17" t="inlineStr">
        <is>
          <t>08/28/2026 12:49 PM</t>
        </is>
      </c>
      <c r="D157" s="17" t="inlineStr">
        <is>
          <t>Todd Ewell</t>
        </is>
      </c>
      <c r="E157" s="17" t="inlineStr">
        <is>
          <t>Sales Associate</t>
        </is>
      </c>
      <c r="F157" s="17" t="inlineStr">
        <is>
          <t>Paul Deady</t>
        </is>
      </c>
      <c r="G157" s="17" t="inlineStr">
        <is>
          <t>11003</t>
        </is>
      </c>
      <c r="H157" s="17" t="inlineStr">
        <is>
          <t>LINCOLN PARK FINE WINES &amp; SPIRITS</t>
        </is>
      </c>
      <c r="I157" s="17" t="inlineStr">
        <is>
          <t>LINCOLN PARK</t>
        </is>
      </c>
      <c r="J157" s="17" t="inlineStr">
        <is>
          <t>HUSA (Heineken USA)</t>
        </is>
      </c>
      <c r="K157" s="25" t="n">
        <v>4</v>
      </c>
      <c r="L157" s="17" t="inlineStr">
        <is>
          <t>Gold (70+)</t>
        </is>
      </c>
      <c r="M157" s="18" t="n">
        <v>75</v>
      </c>
      <c r="N157" s="18" t="n">
        <v>75</v>
      </c>
      <c r="O157" s="17" t="inlineStr">
        <is>
          <t>Priority</t>
        </is>
      </c>
      <c r="P157" s="18" t="n">
        <v>1000</v>
      </c>
      <c r="Q157" s="17" t="inlineStr">
        <is>
          <t>Yes</t>
        </is>
      </c>
      <c r="R157" s="17" t="inlineStr">
        <is>
          <t>HEINEKEN</t>
        </is>
      </c>
      <c r="S157" s="17" t="inlineStr">
        <is>
          <t>HEINEKEN</t>
        </is>
      </c>
      <c r="T157" s="17" t="inlineStr">
        <is>
          <t>HEINEKEN</t>
        </is>
      </c>
      <c r="U157" s="25" t="n">
        <v>1</v>
      </c>
      <c r="V157" s="17" t="inlineStr">
        <is>
          <t>No</t>
        </is>
      </c>
      <c r="W157" s="17" t="inlineStr">
        <is>
          <t>HUSA (Heineken USA) (75)</t>
        </is>
      </c>
      <c r="X157" s="26" t="inlineStr">
        <is>
          <t>Possible duplicate</t>
        </is>
      </c>
      <c r="Y157" s="19" t="inlineStr">
        <is>
          <t>View Photo</t>
        </is>
      </c>
    </row>
    <row r="158">
      <c r="A158" s="17" t="inlineStr">
        <is>
          <t>D0157</t>
        </is>
      </c>
      <c r="B158" s="17" t="inlineStr">
        <is>
          <t>08/26/2026</t>
        </is>
      </c>
      <c r="C158" s="17" t="inlineStr">
        <is>
          <t>08/26/2026 11:42 AM</t>
        </is>
      </c>
      <c r="D158" s="17" t="inlineStr">
        <is>
          <t>Jay Tabasco</t>
        </is>
      </c>
      <c r="E158" s="17" t="inlineStr">
        <is>
          <t>Sales Associate</t>
        </is>
      </c>
      <c r="F158" s="17" t="inlineStr">
        <is>
          <t>Paul Deady</t>
        </is>
      </c>
      <c r="G158" s="17" t="inlineStr">
        <is>
          <t>230427</t>
        </is>
      </c>
      <c r="H158" s="17" t="inlineStr">
        <is>
          <t>SHOPRITE WINE &amp; SPIRITS OF NEWTON#830</t>
        </is>
      </c>
      <c r="I158" s="17" t="inlineStr">
        <is>
          <t>NEWTON</t>
        </is>
      </c>
      <c r="J158" s="17" t="inlineStr">
        <is>
          <t>Boston Beer</t>
        </is>
      </c>
      <c r="K158" s="25" t="n">
        <v>4</v>
      </c>
      <c r="L158" s="17" t="inlineStr">
        <is>
          <t>Gold (70+)</t>
        </is>
      </c>
      <c r="M158" s="18" t="n">
        <v>74</v>
      </c>
      <c r="N158" s="18" t="n">
        <v>74</v>
      </c>
      <c r="O158" s="17" t="inlineStr">
        <is>
          <t>Priority</t>
        </is>
      </c>
      <c r="P158" s="18" t="n">
        <v>1000</v>
      </c>
      <c r="Q158" s="17" t="inlineStr">
        <is>
          <t>Yes</t>
        </is>
      </c>
      <c r="R158" s="17" t="inlineStr">
        <is>
          <t>TWISTED TEA</t>
        </is>
      </c>
      <c r="S158" s="17" t="inlineStr">
        <is>
          <t>TWISTED TEA</t>
        </is>
      </c>
      <c r="T158" s="17" t="inlineStr">
        <is>
          <t>BOSTON BEER COMPANY</t>
        </is>
      </c>
      <c r="U158" s="25" t="n">
        <v>1</v>
      </c>
      <c r="V158" s="17" t="inlineStr">
        <is>
          <t>No</t>
        </is>
      </c>
      <c r="W158" s="17" t="inlineStr">
        <is>
          <t>Boston Beer (74)</t>
        </is>
      </c>
      <c r="X158" s="26" t="inlineStr">
        <is>
          <t>Possible duplicate</t>
        </is>
      </c>
      <c r="Y158" s="19" t="inlineStr">
        <is>
          <t>View Photo</t>
        </is>
      </c>
    </row>
    <row r="159">
      <c r="A159" s="17" t="inlineStr">
        <is>
          <t>D0158</t>
        </is>
      </c>
      <c r="B159" s="17" t="inlineStr">
        <is>
          <t>07/07/2026</t>
        </is>
      </c>
      <c r="C159" s="17" t="inlineStr">
        <is>
          <t>07/07/2026 12:41 PM</t>
        </is>
      </c>
      <c r="D159" s="17" t="inlineStr">
        <is>
          <t>Mike Ast</t>
        </is>
      </c>
      <c r="E159" s="17" t="inlineStr">
        <is>
          <t>Sales Rep</t>
        </is>
      </c>
      <c r="F159" s="17" t="inlineStr">
        <is>
          <t>Paul Deady</t>
        </is>
      </c>
      <c r="G159" s="17" t="inlineStr">
        <is>
          <t>94001</t>
        </is>
      </c>
      <c r="H159" s="17" t="inlineStr">
        <is>
          <t>LONG HILL LIQUORS (A)</t>
        </is>
      </c>
      <c r="I159" s="17" t="inlineStr">
        <is>
          <t>OAKLAND</t>
        </is>
      </c>
      <c r="J159" s="17" t="inlineStr">
        <is>
          <t>Constellation</t>
        </is>
      </c>
      <c r="K159" s="25" t="n">
        <v>4</v>
      </c>
      <c r="L159" s="17" t="inlineStr">
        <is>
          <t>Gold (70+)</t>
        </is>
      </c>
      <c r="M159" s="18" t="n">
        <v>73</v>
      </c>
      <c r="N159" s="18" t="n">
        <v>73</v>
      </c>
      <c r="O159" s="17" t="inlineStr">
        <is>
          <t>Priority</t>
        </is>
      </c>
      <c r="P159" s="18" t="n">
        <v>1000</v>
      </c>
      <c r="Q159" s="17" t="inlineStr">
        <is>
          <t>Yes</t>
        </is>
      </c>
      <c r="R159" s="17" t="inlineStr">
        <is>
          <t>CORONA EXTRA</t>
        </is>
      </c>
      <c r="S159" s="17" t="inlineStr">
        <is>
          <t>CORONA, CORONA EXTRA</t>
        </is>
      </c>
      <c r="T159" s="17" t="inlineStr">
        <is>
          <t>CONSTELLATION BRANDS</t>
        </is>
      </c>
      <c r="U159" s="25" t="n">
        <v>6</v>
      </c>
      <c r="V159" s="17" t="inlineStr">
        <is>
          <t>No</t>
        </is>
      </c>
      <c r="W159" s="17" t="inlineStr">
        <is>
          <t>Constellation (73)</t>
        </is>
      </c>
      <c r="X159" s="17" t="inlineStr">
        <is>
          <t>—</t>
        </is>
      </c>
      <c r="Y159" s="19" t="inlineStr">
        <is>
          <t>View Photo</t>
        </is>
      </c>
    </row>
    <row r="160">
      <c r="A160" s="17" t="inlineStr">
        <is>
          <t>D0159</t>
        </is>
      </c>
      <c r="B160" s="17" t="inlineStr">
        <is>
          <t>07/22/2026</t>
        </is>
      </c>
      <c r="C160" s="17" t="inlineStr">
        <is>
          <t>07/22/2026 03:15 PM</t>
        </is>
      </c>
      <c r="D160" s="17" t="inlineStr">
        <is>
          <t>Mike Ast</t>
        </is>
      </c>
      <c r="E160" s="17" t="inlineStr">
        <is>
          <t>Sales Rep</t>
        </is>
      </c>
      <c r="F160" s="17" t="inlineStr">
        <is>
          <t>Paul Deady</t>
        </is>
      </c>
      <c r="G160" s="17" t="inlineStr">
        <is>
          <t>12011</t>
        </is>
      </c>
      <c r="H160" s="17" t="inlineStr">
        <is>
          <t>BOTTLE KING (A) WAYNE</t>
        </is>
      </c>
      <c r="I160" s="17" t="inlineStr">
        <is>
          <t>WAYNE</t>
        </is>
      </c>
      <c r="J160" s="17" t="inlineStr">
        <is>
          <t>Yuengling</t>
        </is>
      </c>
      <c r="K160" s="25" t="n">
        <v>4</v>
      </c>
      <c r="L160" s="17" t="inlineStr">
        <is>
          <t>Gold (70+)</t>
        </is>
      </c>
      <c r="M160" s="18" t="n">
        <v>73</v>
      </c>
      <c r="N160" s="18" t="n">
        <v>73</v>
      </c>
      <c r="O160" s="17" t="inlineStr">
        <is>
          <t>Priority</t>
        </is>
      </c>
      <c r="P160" s="18" t="n">
        <v>1000</v>
      </c>
      <c r="Q160" s="17" t="inlineStr">
        <is>
          <t>Yes</t>
        </is>
      </c>
      <c r="R160" s="17" t="inlineStr">
        <is>
          <t>YUENGLING BREWERY</t>
        </is>
      </c>
      <c r="S160" s="17" t="inlineStr">
        <is>
          <t>YUENGLING BREWERY</t>
        </is>
      </c>
      <c r="T160" s="17" t="inlineStr">
        <is>
          <t>YUENGLING BREWERY</t>
        </is>
      </c>
      <c r="U160" s="25" t="n">
        <v>2</v>
      </c>
      <c r="V160" s="17" t="inlineStr">
        <is>
          <t>No</t>
        </is>
      </c>
      <c r="W160" s="17" t="inlineStr">
        <is>
          <t>Yuengling (73)</t>
        </is>
      </c>
      <c r="X160" s="17" t="inlineStr">
        <is>
          <t>—</t>
        </is>
      </c>
      <c r="Y160" s="19" t="inlineStr">
        <is>
          <t>View Photo</t>
        </is>
      </c>
    </row>
    <row r="161">
      <c r="A161" s="17" t="inlineStr">
        <is>
          <t>D0160</t>
        </is>
      </c>
      <c r="B161" s="17" t="inlineStr">
        <is>
          <t>08/03/2026</t>
        </is>
      </c>
      <c r="C161" s="17" t="inlineStr">
        <is>
          <t>08/03/2026 02:12 PM</t>
        </is>
      </c>
      <c r="D161" s="17" t="inlineStr">
        <is>
          <t>phil Ernst</t>
        </is>
      </c>
      <c r="E161" s="17" t="inlineStr">
        <is>
          <t>Sales Rep</t>
        </is>
      </c>
      <c r="F161" s="17" t="inlineStr">
        <is>
          <t>Michael Engel</t>
        </is>
      </c>
      <c r="G161" s="17" t="inlineStr">
        <is>
          <t>46019</t>
        </is>
      </c>
      <c r="H161" s="17" t="inlineStr">
        <is>
          <t>PALISADES WINE AND LIQUOR</t>
        </is>
      </c>
      <c r="I161" s="17" t="inlineStr">
        <is>
          <t>PALISADES PARK</t>
        </is>
      </c>
      <c r="J161" s="17" t="inlineStr">
        <is>
          <t>Molson Coors</t>
        </is>
      </c>
      <c r="K161" s="25" t="n">
        <v>4</v>
      </c>
      <c r="L161" s="17" t="inlineStr">
        <is>
          <t>Gold (70+)</t>
        </is>
      </c>
      <c r="M161" s="18" t="n">
        <v>73</v>
      </c>
      <c r="N161" s="18" t="n">
        <v>73</v>
      </c>
      <c r="O161" s="17" t="inlineStr">
        <is>
          <t>Priority</t>
        </is>
      </c>
      <c r="P161" s="18" t="n">
        <v>1000</v>
      </c>
      <c r="Q161" s="17" t="inlineStr">
        <is>
          <t>Yes</t>
        </is>
      </c>
      <c r="R161" s="17" t="inlineStr">
        <is>
          <t>COORS LIGHT</t>
        </is>
      </c>
      <c r="S161" s="17" t="inlineStr">
        <is>
          <t>COORS, COORS LIGHT</t>
        </is>
      </c>
      <c r="T161" s="17" t="inlineStr">
        <is>
          <t>MOLSON COORS BEVERAGE COMPANY</t>
        </is>
      </c>
      <c r="U161" s="25" t="n">
        <v>2</v>
      </c>
      <c r="V161" s="17" t="inlineStr">
        <is>
          <t>No</t>
        </is>
      </c>
      <c r="W161" s="17" t="inlineStr">
        <is>
          <t>Molson Coors (73)</t>
        </is>
      </c>
      <c r="X161" s="17" t="inlineStr">
        <is>
          <t>—</t>
        </is>
      </c>
      <c r="Y161" s="19" t="inlineStr">
        <is>
          <t>View Photo</t>
        </is>
      </c>
    </row>
    <row r="162">
      <c r="A162" s="17" t="inlineStr">
        <is>
          <t>D0161</t>
        </is>
      </c>
      <c r="B162" s="17" t="inlineStr">
        <is>
          <t>07/20/2026</t>
        </is>
      </c>
      <c r="C162" s="17" t="inlineStr">
        <is>
          <t>07/20/2026 03:33 PM</t>
        </is>
      </c>
      <c r="D162" s="17" t="inlineStr">
        <is>
          <t>James Heaney</t>
        </is>
      </c>
      <c r="E162" s="17" t="inlineStr">
        <is>
          <t>Sales Rep</t>
        </is>
      </c>
      <c r="F162" s="17" t="inlineStr">
        <is>
          <t>Denise Montes</t>
        </is>
      </c>
      <c r="G162" s="17" t="inlineStr">
        <is>
          <t>24011</t>
        </is>
      </c>
      <c r="H162" s="17" t="inlineStr">
        <is>
          <t>SHOPPERS VINEYARD (A)</t>
        </is>
      </c>
      <c r="I162" s="17" t="inlineStr">
        <is>
          <t>CLIFTON</t>
        </is>
      </c>
      <c r="J162" s="17" t="inlineStr">
        <is>
          <t>HUSA (Heineken USA)</t>
        </is>
      </c>
      <c r="K162" s="25" t="n">
        <v>4</v>
      </c>
      <c r="L162" s="17" t="inlineStr">
        <is>
          <t>Gold (70+)</t>
        </is>
      </c>
      <c r="M162" s="18" t="n">
        <v>72</v>
      </c>
      <c r="N162" s="18" t="n">
        <v>72</v>
      </c>
      <c r="O162" s="17" t="inlineStr">
        <is>
          <t>Priority</t>
        </is>
      </c>
      <c r="P162" s="18" t="n">
        <v>1000</v>
      </c>
      <c r="Q162" s="17" t="inlineStr">
        <is>
          <t>Yes</t>
        </is>
      </c>
      <c r="R162" s="17" t="inlineStr">
        <is>
          <t>HEINEKEN</t>
        </is>
      </c>
      <c r="S162" s="17" t="inlineStr">
        <is>
          <t>HEINEKEN</t>
        </is>
      </c>
      <c r="T162" s="17" t="inlineStr">
        <is>
          <t>HEINEKEN</t>
        </is>
      </c>
      <c r="U162" s="25" t="n">
        <v>6</v>
      </c>
      <c r="V162" s="17" t="inlineStr">
        <is>
          <t>No</t>
        </is>
      </c>
      <c r="W162" s="17" t="inlineStr">
        <is>
          <t>HUSA (Heineken USA) (72)</t>
        </is>
      </c>
      <c r="X162" s="26" t="inlineStr">
        <is>
          <t>Possible duplicate</t>
        </is>
      </c>
      <c r="Y162" s="19" t="inlineStr">
        <is>
          <t>View Photo</t>
        </is>
      </c>
    </row>
    <row r="163">
      <c r="A163" s="17" t="inlineStr">
        <is>
          <t>D0162</t>
        </is>
      </c>
      <c r="B163" s="17" t="inlineStr">
        <is>
          <t>08/13/2026</t>
        </is>
      </c>
      <c r="C163" s="17" t="inlineStr">
        <is>
          <t>08/13/2026 12:09 PM</t>
        </is>
      </c>
      <c r="D163" s="17" t="inlineStr">
        <is>
          <t>John Neukum</t>
        </is>
      </c>
      <c r="E163" s="17" t="inlineStr">
        <is>
          <t>Sales Rep</t>
        </is>
      </c>
      <c r="F163" s="17" t="inlineStr">
        <is>
          <t>Michael Engel</t>
        </is>
      </c>
      <c r="G163" s="17" t="inlineStr">
        <is>
          <t>31019</t>
        </is>
      </c>
      <c r="H163" s="17" t="inlineStr">
        <is>
          <t>BJ'S WAREHOUSE E RUTHERFO</t>
        </is>
      </c>
      <c r="I163" s="17" t="inlineStr">
        <is>
          <t>EAST RUTHERFORD</t>
        </is>
      </c>
      <c r="J163" s="17" t="inlineStr">
        <is>
          <t>Molson Coors</t>
        </is>
      </c>
      <c r="K163" s="25" t="n">
        <v>4</v>
      </c>
      <c r="L163" s="17" t="inlineStr">
        <is>
          <t>Gold (70+)</t>
        </is>
      </c>
      <c r="M163" s="18" t="n">
        <v>72</v>
      </c>
      <c r="N163" s="18" t="n">
        <v>72</v>
      </c>
      <c r="O163" s="17" t="inlineStr">
        <is>
          <t>Priority</t>
        </is>
      </c>
      <c r="P163" s="18" t="n">
        <v>1000</v>
      </c>
      <c r="Q163" s="17" t="inlineStr">
        <is>
          <t>Yes</t>
        </is>
      </c>
      <c r="R163" s="17" t="inlineStr">
        <is>
          <t>COORS LIGHT</t>
        </is>
      </c>
      <c r="S163" s="17" t="inlineStr">
        <is>
          <t>COORS LIGHT</t>
        </is>
      </c>
      <c r="T163" s="17" t="inlineStr">
        <is>
          <t>MOLSON COORS BEVERAGE COMPANY</t>
        </is>
      </c>
      <c r="U163" s="25" t="n">
        <v>1</v>
      </c>
      <c r="V163" s="17" t="inlineStr">
        <is>
          <t>No</t>
        </is>
      </c>
      <c r="W163" s="17" t="inlineStr">
        <is>
          <t>Molson Coors (72)</t>
        </is>
      </c>
      <c r="X163" s="17" t="inlineStr">
        <is>
          <t>—</t>
        </is>
      </c>
      <c r="Y163" s="19" t="inlineStr">
        <is>
          <t>View Photo</t>
        </is>
      </c>
    </row>
    <row r="164">
      <c r="A164" s="17" t="inlineStr">
        <is>
          <t>D0163</t>
        </is>
      </c>
      <c r="B164" s="17" t="inlineStr">
        <is>
          <t>07/30/2026</t>
        </is>
      </c>
      <c r="C164" s="17" t="inlineStr">
        <is>
          <t>07/30/2026 12:04 PM</t>
        </is>
      </c>
      <c r="D164" s="17" t="inlineStr">
        <is>
          <t>Todd Ewell</t>
        </is>
      </c>
      <c r="E164" s="17" t="inlineStr">
        <is>
          <t>Sales Associate</t>
        </is>
      </c>
      <c r="F164" s="17" t="inlineStr">
        <is>
          <t>Paul Deady</t>
        </is>
      </c>
      <c r="G164" s="17" t="inlineStr">
        <is>
          <t>191710</t>
        </is>
      </c>
      <c r="H164" s="17" t="inlineStr">
        <is>
          <t>SHOP RITE WINE &amp; SPIRITS STANHOPE</t>
        </is>
      </c>
      <c r="I164" s="17" t="inlineStr">
        <is>
          <t>STANHOPE</t>
        </is>
      </c>
      <c r="J164" s="17" t="inlineStr">
        <is>
          <t>Mark Anthony</t>
        </is>
      </c>
      <c r="K164" s="25" t="n">
        <v>4</v>
      </c>
      <c r="L164" s="17" t="inlineStr">
        <is>
          <t>Gold (70+)</t>
        </is>
      </c>
      <c r="M164" s="18" t="n">
        <v>71</v>
      </c>
      <c r="N164" s="18" t="n">
        <v>71</v>
      </c>
      <c r="O164" s="17" t="inlineStr">
        <is>
          <t>Priority</t>
        </is>
      </c>
      <c r="P164" s="18" t="n">
        <v>1000</v>
      </c>
      <c r="Q164" s="17" t="inlineStr">
        <is>
          <t>Yes</t>
        </is>
      </c>
      <c r="R164" s="17" t="inlineStr">
        <is>
          <t>WHITE CLAW SURF HARD SELTZER</t>
        </is>
      </c>
      <c r="S164" s="17" t="inlineStr">
        <is>
          <t>WHITE CLAW SURF HARD SELTZER</t>
        </is>
      </c>
      <c r="T164" s="17" t="inlineStr">
        <is>
          <t>MARK ANTHONY GROUP</t>
        </is>
      </c>
      <c r="U164" s="25" t="n">
        <v>1</v>
      </c>
      <c r="V164" s="17" t="inlineStr">
        <is>
          <t>No</t>
        </is>
      </c>
      <c r="W164" s="17" t="inlineStr">
        <is>
          <t>Mark Anthony (71)</t>
        </is>
      </c>
      <c r="X164" s="17" t="inlineStr">
        <is>
          <t>First of a repeat set</t>
        </is>
      </c>
      <c r="Y164" s="19" t="inlineStr">
        <is>
          <t>View Photo</t>
        </is>
      </c>
    </row>
    <row r="165">
      <c r="A165" s="17" t="inlineStr">
        <is>
          <t>D0164</t>
        </is>
      </c>
      <c r="B165" s="17" t="inlineStr">
        <is>
          <t>08/31/2026</t>
        </is>
      </c>
      <c r="C165" s="17" t="inlineStr">
        <is>
          <t>08/31/2026 10:10 AM</t>
        </is>
      </c>
      <c r="D165" s="17" t="inlineStr">
        <is>
          <t>Mike Ast</t>
        </is>
      </c>
      <c r="E165" s="17" t="inlineStr">
        <is>
          <t>Sales Rep</t>
        </is>
      </c>
      <c r="F165" s="17" t="inlineStr">
        <is>
          <t>Paul Deady</t>
        </is>
      </c>
      <c r="G165" s="17" t="inlineStr">
        <is>
          <t>11003</t>
        </is>
      </c>
      <c r="H165" s="17" t="inlineStr">
        <is>
          <t>LINCOLN PARK FINE WINES &amp; SPIRITS</t>
        </is>
      </c>
      <c r="I165" s="17" t="inlineStr">
        <is>
          <t>LINCOLN PARK</t>
        </is>
      </c>
      <c r="J165" s="17" t="inlineStr">
        <is>
          <t>HUSA (Heineken USA)</t>
        </is>
      </c>
      <c r="K165" s="25" t="n">
        <v>4</v>
      </c>
      <c r="L165" s="17" t="inlineStr">
        <is>
          <t>Gold (70+)</t>
        </is>
      </c>
      <c r="M165" s="18" t="n">
        <v>71</v>
      </c>
      <c r="N165" s="18" t="n">
        <v>71</v>
      </c>
      <c r="O165" s="17" t="inlineStr">
        <is>
          <t>Priority</t>
        </is>
      </c>
      <c r="P165" s="18" t="n">
        <v>1000</v>
      </c>
      <c r="Q165" s="17" t="inlineStr">
        <is>
          <t>Yes</t>
        </is>
      </c>
      <c r="R165" s="17" t="inlineStr">
        <is>
          <t>HEINEKEN</t>
        </is>
      </c>
      <c r="S165" s="17" t="inlineStr">
        <is>
          <t>HEINEKEN</t>
        </is>
      </c>
      <c r="T165" s="17" t="inlineStr">
        <is>
          <t>HEINEKEN</t>
        </is>
      </c>
      <c r="U165" s="25" t="n">
        <v>4</v>
      </c>
      <c r="V165" s="17" t="inlineStr">
        <is>
          <t>No</t>
        </is>
      </c>
      <c r="W165" s="17" t="inlineStr">
        <is>
          <t>HUSA (Heineken USA) (71)</t>
        </is>
      </c>
      <c r="X165" s="17" t="inlineStr">
        <is>
          <t>—</t>
        </is>
      </c>
      <c r="Y165" s="19" t="inlineStr">
        <is>
          <t>View Photo</t>
        </is>
      </c>
    </row>
    <row r="166">
      <c r="A166" s="17" t="inlineStr">
        <is>
          <t>D0165</t>
        </is>
      </c>
      <c r="B166" s="17" t="inlineStr">
        <is>
          <t>07/01/2026</t>
        </is>
      </c>
      <c r="C166" s="17" t="inlineStr">
        <is>
          <t>07/01/2026 03:03 PM</t>
        </is>
      </c>
      <c r="D166" s="17" t="inlineStr">
        <is>
          <t>John Neukum</t>
        </is>
      </c>
      <c r="E166" s="17" t="inlineStr">
        <is>
          <t>Sales Rep</t>
        </is>
      </c>
      <c r="F166" s="17" t="inlineStr">
        <is>
          <t>Michael Engel</t>
        </is>
      </c>
      <c r="G166" s="17" t="inlineStr">
        <is>
          <t>12060</t>
        </is>
      </c>
      <c r="H166" s="17" t="inlineStr">
        <is>
          <t>COSTCO WHLSE V#32366-WAYN</t>
        </is>
      </c>
      <c r="I166" s="17" t="inlineStr">
        <is>
          <t>WAYNE</t>
        </is>
      </c>
      <c r="J166" s="17" t="inlineStr">
        <is>
          <t>Constellation</t>
        </is>
      </c>
      <c r="K166" s="25" t="n">
        <v>4</v>
      </c>
      <c r="L166" s="17" t="inlineStr">
        <is>
          <t>Gold (70+)</t>
        </is>
      </c>
      <c r="M166" s="18" t="n">
        <v>70</v>
      </c>
      <c r="N166" s="18" t="n">
        <v>70</v>
      </c>
      <c r="O166" s="17" t="inlineStr">
        <is>
          <t>Priority</t>
        </is>
      </c>
      <c r="P166" s="18" t="n">
        <v>1000</v>
      </c>
      <c r="Q166" s="17" t="inlineStr">
        <is>
          <t>Yes</t>
        </is>
      </c>
      <c r="R166" s="17" t="inlineStr">
        <is>
          <t>CORONA EXTRA</t>
        </is>
      </c>
      <c r="S166" s="17" t="inlineStr">
        <is>
          <t>CORONA EXTRA</t>
        </is>
      </c>
      <c r="T166" s="17" t="inlineStr">
        <is>
          <t>CONSTELLATION BRANDS</t>
        </is>
      </c>
      <c r="U166" s="25" t="n">
        <v>1</v>
      </c>
      <c r="V166" s="17" t="inlineStr">
        <is>
          <t>No</t>
        </is>
      </c>
      <c r="W166" s="17" t="inlineStr">
        <is>
          <t>Constellation (70)</t>
        </is>
      </c>
      <c r="X166" s="17" t="inlineStr">
        <is>
          <t>—</t>
        </is>
      </c>
      <c r="Y166" s="19" t="inlineStr">
        <is>
          <t>View Photo</t>
        </is>
      </c>
    </row>
    <row r="167">
      <c r="A167" s="17" t="inlineStr">
        <is>
          <t>D0166</t>
        </is>
      </c>
      <c r="B167" s="17" t="inlineStr">
        <is>
          <t>07/06/2026</t>
        </is>
      </c>
      <c r="C167" s="17" t="inlineStr">
        <is>
          <t>07/06/2026 09:53 AM</t>
        </is>
      </c>
      <c r="D167" s="17" t="inlineStr">
        <is>
          <t>Mike Ast</t>
        </is>
      </c>
      <c r="E167" s="17" t="inlineStr">
        <is>
          <t>Sales Rep</t>
        </is>
      </c>
      <c r="F167" s="17" t="inlineStr">
        <is>
          <t>Paul Deady</t>
        </is>
      </c>
      <c r="G167" s="17" t="inlineStr">
        <is>
          <t>11003</t>
        </is>
      </c>
      <c r="H167" s="17" t="inlineStr">
        <is>
          <t>LINCOLN PARK FINE WINES &amp; SPIRITS</t>
        </is>
      </c>
      <c r="I167" s="17" t="inlineStr">
        <is>
          <t>LINCOLN PARK</t>
        </is>
      </c>
      <c r="J167" s="17" t="inlineStr">
        <is>
          <t>HUSA (Heineken USA)</t>
        </is>
      </c>
      <c r="K167" s="25" t="n">
        <v>4</v>
      </c>
      <c r="L167" s="17" t="inlineStr">
        <is>
          <t>Gold (70+)</t>
        </is>
      </c>
      <c r="M167" s="18" t="n">
        <v>70</v>
      </c>
      <c r="N167" s="18" t="n">
        <v>70</v>
      </c>
      <c r="O167" s="17" t="inlineStr">
        <is>
          <t>Priority</t>
        </is>
      </c>
      <c r="P167" s="18" t="n">
        <v>1000</v>
      </c>
      <c r="Q167" s="17" t="inlineStr">
        <is>
          <t>Yes</t>
        </is>
      </c>
      <c r="R167" s="17" t="inlineStr">
        <is>
          <t>HEINEKEN</t>
        </is>
      </c>
      <c r="S167" s="17" t="inlineStr">
        <is>
          <t>HEINEKEN</t>
        </is>
      </c>
      <c r="T167" s="17" t="inlineStr">
        <is>
          <t>HEINEKEN</t>
        </is>
      </c>
      <c r="U167" s="25" t="n">
        <v>3</v>
      </c>
      <c r="V167" s="17" t="inlineStr">
        <is>
          <t>No</t>
        </is>
      </c>
      <c r="W167" s="17" t="inlineStr">
        <is>
          <t>HUSA (Heineken USA) (70)</t>
        </is>
      </c>
      <c r="X167" s="17" t="inlineStr">
        <is>
          <t>—</t>
        </is>
      </c>
      <c r="Y167" s="19" t="inlineStr">
        <is>
          <t>View Photo</t>
        </is>
      </c>
    </row>
    <row r="168">
      <c r="A168" s="17" t="inlineStr">
        <is>
          <t>D0167</t>
        </is>
      </c>
      <c r="B168" s="17" t="inlineStr">
        <is>
          <t>07/07/2026</t>
        </is>
      </c>
      <c r="C168" s="17" t="inlineStr">
        <is>
          <t>07/07/2026 02:06 PM</t>
        </is>
      </c>
      <c r="D168" s="17" t="inlineStr">
        <is>
          <t>Mike Ast</t>
        </is>
      </c>
      <c r="E168" s="17" t="inlineStr">
        <is>
          <t>Sales Rep</t>
        </is>
      </c>
      <c r="F168" s="17" t="inlineStr">
        <is>
          <t>Paul Deady</t>
        </is>
      </c>
      <c r="G168" s="17" t="inlineStr">
        <is>
          <t>96002</t>
        </is>
      </c>
      <c r="H168" s="17" t="inlineStr">
        <is>
          <t>WINE &amp; SPIRIT WORLD(W)</t>
        </is>
      </c>
      <c r="I168" s="17" t="inlineStr">
        <is>
          <t>WYCKOFF</t>
        </is>
      </c>
      <c r="J168" s="17" t="inlineStr">
        <is>
          <t>Boston Beer</t>
        </is>
      </c>
      <c r="K168" s="25" t="n">
        <v>4</v>
      </c>
      <c r="L168" s="17" t="inlineStr">
        <is>
          <t>Gold (70+)</t>
        </is>
      </c>
      <c r="M168" s="18" t="n">
        <v>70</v>
      </c>
      <c r="N168" s="18" t="n">
        <v>70</v>
      </c>
      <c r="O168" s="17" t="inlineStr">
        <is>
          <t>Priority</t>
        </is>
      </c>
      <c r="P168" s="18" t="n">
        <v>1000</v>
      </c>
      <c r="Q168" s="17" t="inlineStr">
        <is>
          <t>Yes</t>
        </is>
      </c>
      <c r="R168" s="17" t="inlineStr">
        <is>
          <t>SUN CRUISERS RTD</t>
        </is>
      </c>
      <c r="S168" s="17" t="inlineStr">
        <is>
          <t>SUN CRUISERS RTD</t>
        </is>
      </c>
      <c r="T168" s="17" t="inlineStr">
        <is>
          <t>BOSTON BEER COMPANY</t>
        </is>
      </c>
      <c r="U168" s="25" t="n">
        <v>2</v>
      </c>
      <c r="V168" s="17" t="inlineStr">
        <is>
          <t>No</t>
        </is>
      </c>
      <c r="W168" s="17" t="inlineStr">
        <is>
          <t>Boston Beer (70)</t>
        </is>
      </c>
      <c r="X168" s="17" t="inlineStr">
        <is>
          <t>—</t>
        </is>
      </c>
      <c r="Y168" s="19" t="inlineStr">
        <is>
          <t>View Photo</t>
        </is>
      </c>
    </row>
    <row r="169">
      <c r="A169" s="17" t="inlineStr">
        <is>
          <t>D0168</t>
        </is>
      </c>
      <c r="B169" s="17" t="inlineStr">
        <is>
          <t>07/07/2026</t>
        </is>
      </c>
      <c r="C169" s="17" t="inlineStr">
        <is>
          <t>07/07/2026 12:39 PM</t>
        </is>
      </c>
      <c r="D169" s="17" t="inlineStr">
        <is>
          <t>Mike Ast</t>
        </is>
      </c>
      <c r="E169" s="17" t="inlineStr">
        <is>
          <t>Sales Rep</t>
        </is>
      </c>
      <c r="F169" s="17" t="inlineStr">
        <is>
          <t>Paul Deady</t>
        </is>
      </c>
      <c r="G169" s="17" t="inlineStr">
        <is>
          <t>94001</t>
        </is>
      </c>
      <c r="H169" s="17" t="inlineStr">
        <is>
          <t>LONG HILL LIQUORS (A)</t>
        </is>
      </c>
      <c r="I169" s="17" t="inlineStr">
        <is>
          <t>OAKLAND</t>
        </is>
      </c>
      <c r="J169" s="17" t="inlineStr">
        <is>
          <t>Constellation</t>
        </is>
      </c>
      <c r="K169" s="25" t="n">
        <v>4</v>
      </c>
      <c r="L169" s="17" t="inlineStr">
        <is>
          <t>Gold (70+)</t>
        </is>
      </c>
      <c r="M169" s="18" t="n">
        <v>70</v>
      </c>
      <c r="N169" s="18" t="n">
        <v>70</v>
      </c>
      <c r="O169" s="17" t="inlineStr">
        <is>
          <t>Priority</t>
        </is>
      </c>
      <c r="P169" s="18" t="n">
        <v>1000</v>
      </c>
      <c r="Q169" s="17" t="inlineStr">
        <is>
          <t>Yes</t>
        </is>
      </c>
      <c r="R169" s="17" t="inlineStr">
        <is>
          <t>MODELO CERVEZA</t>
        </is>
      </c>
      <c r="S169" s="17" t="inlineStr">
        <is>
          <t>MODELO CERVEZA, PACIFICO</t>
        </is>
      </c>
      <c r="T169" s="17" t="inlineStr">
        <is>
          <t>CONSTELLATION BRANDS</t>
        </is>
      </c>
      <c r="U169" s="25" t="n">
        <v>5</v>
      </c>
      <c r="V169" s="17" t="inlineStr">
        <is>
          <t>No</t>
        </is>
      </c>
      <c r="W169" s="17" t="inlineStr">
        <is>
          <t>Constellation (70)</t>
        </is>
      </c>
      <c r="X169" s="17" t="inlineStr">
        <is>
          <t>—</t>
        </is>
      </c>
      <c r="Y169" s="19" t="inlineStr">
        <is>
          <t>View Photo</t>
        </is>
      </c>
    </row>
    <row r="170">
      <c r="A170" s="17" t="inlineStr">
        <is>
          <t>D0169</t>
        </is>
      </c>
      <c r="B170" s="17" t="inlineStr">
        <is>
          <t>07/10/2026</t>
        </is>
      </c>
      <c r="C170" s="17" t="inlineStr">
        <is>
          <t>07/10/2026 11:47 AM</t>
        </is>
      </c>
      <c r="D170" s="17" t="inlineStr">
        <is>
          <t>Dave Ehlers</t>
        </is>
      </c>
      <c r="E170" s="17" t="inlineStr">
        <is>
          <t>Sales Rep</t>
        </is>
      </c>
      <c r="F170" s="17" t="inlineStr">
        <is>
          <t>Michael Engel</t>
        </is>
      </c>
      <c r="G170" s="17" t="inlineStr">
        <is>
          <t>58001</t>
        </is>
      </c>
      <c r="H170" s="17" t="inlineStr">
        <is>
          <t>TOTAL WINE &amp; MORE (RIVER EDGE)</t>
        </is>
      </c>
      <c r="I170" s="17" t="inlineStr">
        <is>
          <t>RIVER EDGE</t>
        </is>
      </c>
      <c r="J170" s="17" t="inlineStr">
        <is>
          <t>Molson Coors</t>
        </is>
      </c>
      <c r="K170" s="25" t="n">
        <v>4</v>
      </c>
      <c r="L170" s="17" t="inlineStr">
        <is>
          <t>Gold (70+)</t>
        </is>
      </c>
      <c r="M170" s="18" t="n">
        <v>70</v>
      </c>
      <c r="N170" s="18" t="n">
        <v>70</v>
      </c>
      <c r="O170" s="17" t="inlineStr">
        <is>
          <t>Priority</t>
        </is>
      </c>
      <c r="P170" s="18" t="n">
        <v>1000</v>
      </c>
      <c r="Q170" s="17" t="inlineStr">
        <is>
          <t>Yes</t>
        </is>
      </c>
      <c r="R170" s="17" t="inlineStr">
        <is>
          <t>PERONI NASTRO AZZURRO</t>
        </is>
      </c>
      <c r="S170" s="17" t="inlineStr">
        <is>
          <t>PERONI NASTRO AZZURRO</t>
        </is>
      </c>
      <c r="T170" s="17" t="inlineStr">
        <is>
          <t>MOLSON COORS BEVERAGE COMPANY</t>
        </is>
      </c>
      <c r="U170" s="25" t="n">
        <v>1</v>
      </c>
      <c r="V170" s="17" t="inlineStr">
        <is>
          <t>No</t>
        </is>
      </c>
      <c r="W170" s="17" t="inlineStr">
        <is>
          <t>Molson Coors (70)</t>
        </is>
      </c>
      <c r="X170" s="17" t="inlineStr">
        <is>
          <t>—</t>
        </is>
      </c>
      <c r="Y170" s="19" t="inlineStr">
        <is>
          <t>View Photo</t>
        </is>
      </c>
    </row>
    <row r="171">
      <c r="A171" s="17" t="inlineStr">
        <is>
          <t>D0170</t>
        </is>
      </c>
      <c r="B171" s="17" t="inlineStr">
        <is>
          <t>07/14/2026</t>
        </is>
      </c>
      <c r="C171" s="17" t="inlineStr">
        <is>
          <t>07/14/2026 11:23 AM</t>
        </is>
      </c>
      <c r="D171" s="17" t="inlineStr">
        <is>
          <t>Nicholas Micco</t>
        </is>
      </c>
      <c r="E171" s="17" t="inlineStr">
        <is>
          <t>Sales Associate</t>
        </is>
      </c>
      <c r="F171" s="17" t="inlineStr">
        <is>
          <t>Michael Engel</t>
        </is>
      </c>
      <c r="G171" s="17" t="inlineStr">
        <is>
          <t>58001</t>
        </is>
      </c>
      <c r="H171" s="17" t="inlineStr">
        <is>
          <t>TOTAL WINE &amp; MORE (RIVER EDGE)</t>
        </is>
      </c>
      <c r="I171" s="17" t="inlineStr">
        <is>
          <t>RIVER EDGE</t>
        </is>
      </c>
      <c r="J171" s="17" t="inlineStr">
        <is>
          <t>Mark Anthony</t>
        </is>
      </c>
      <c r="K171" s="25" t="n">
        <v>4</v>
      </c>
      <c r="L171" s="17" t="inlineStr">
        <is>
          <t>Gold (70+)</t>
        </is>
      </c>
      <c r="M171" s="18" t="n">
        <v>70</v>
      </c>
      <c r="N171" s="18" t="n">
        <v>70</v>
      </c>
      <c r="O171" s="17" t="inlineStr">
        <is>
          <t>Priority</t>
        </is>
      </c>
      <c r="P171" s="18" t="n">
        <v>1000</v>
      </c>
      <c r="Q171" s="17" t="inlineStr">
        <is>
          <t>Yes</t>
        </is>
      </c>
      <c r="R171" s="17" t="inlineStr">
        <is>
          <t>WHITE CLAW ORIGINAL HARD SELTZER</t>
        </is>
      </c>
      <c r="S171" s="17" t="inlineStr">
        <is>
          <t>WHITE CLAW ORIGINAL HARD SELTZER, WHITE CLAW SURF HARD SELTZER, WHITE CLAW SURGE HARD SELTZER</t>
        </is>
      </c>
      <c r="T171" s="17" t="inlineStr">
        <is>
          <t>MARK ANTHONY GROUP</t>
        </is>
      </c>
      <c r="U171" s="25" t="n">
        <v>3</v>
      </c>
      <c r="V171" s="17" t="inlineStr">
        <is>
          <t>No</t>
        </is>
      </c>
      <c r="W171" s="17" t="inlineStr">
        <is>
          <t>Mark Anthony (70)</t>
        </is>
      </c>
      <c r="X171" s="17" t="inlineStr">
        <is>
          <t>—</t>
        </is>
      </c>
      <c r="Y171" s="19" t="inlineStr">
        <is>
          <t>View Photo</t>
        </is>
      </c>
    </row>
    <row r="172">
      <c r="A172" s="17" t="inlineStr">
        <is>
          <t>D0171</t>
        </is>
      </c>
      <c r="B172" s="17" t="inlineStr">
        <is>
          <t>07/14/2026</t>
        </is>
      </c>
      <c r="C172" s="17" t="inlineStr">
        <is>
          <t>07/14/2026 12:36 PM</t>
        </is>
      </c>
      <c r="D172" s="17" t="inlineStr">
        <is>
          <t>Mike Ast</t>
        </is>
      </c>
      <c r="E172" s="17" t="inlineStr">
        <is>
          <t>Sales Rep</t>
        </is>
      </c>
      <c r="F172" s="17" t="inlineStr">
        <is>
          <t>Paul Deady</t>
        </is>
      </c>
      <c r="G172" s="17" t="inlineStr">
        <is>
          <t>96002</t>
        </is>
      </c>
      <c r="H172" s="17" t="inlineStr">
        <is>
          <t>WINE &amp; SPIRIT WORLD(W)</t>
        </is>
      </c>
      <c r="I172" s="17" t="inlineStr">
        <is>
          <t>WYCKOFF</t>
        </is>
      </c>
      <c r="J172" s="17" t="inlineStr">
        <is>
          <t>Constellation</t>
        </is>
      </c>
      <c r="K172" s="25" t="n">
        <v>4</v>
      </c>
      <c r="L172" s="17" t="inlineStr">
        <is>
          <t>Gold (70+)</t>
        </is>
      </c>
      <c r="M172" s="18" t="n">
        <v>70</v>
      </c>
      <c r="N172" s="18" t="n">
        <v>70</v>
      </c>
      <c r="O172" s="17" t="inlineStr">
        <is>
          <t>Priority</t>
        </is>
      </c>
      <c r="P172" s="18" t="n">
        <v>1000</v>
      </c>
      <c r="Q172" s="17" t="inlineStr">
        <is>
          <t>Yes</t>
        </is>
      </c>
      <c r="R172" s="17" t="inlineStr">
        <is>
          <t>MODELO CERVEZA</t>
        </is>
      </c>
      <c r="S172" s="17" t="inlineStr">
        <is>
          <t>MODELO CERVEZA, PACIFICO</t>
        </is>
      </c>
      <c r="T172" s="17" t="inlineStr">
        <is>
          <t>CONSTELLATION BRANDS</t>
        </is>
      </c>
      <c r="U172" s="25" t="n">
        <v>3</v>
      </c>
      <c r="V172" s="17" t="inlineStr">
        <is>
          <t>No</t>
        </is>
      </c>
      <c r="W172" s="17" t="inlineStr">
        <is>
          <t>Constellation (70)</t>
        </is>
      </c>
      <c r="X172" s="17" t="inlineStr">
        <is>
          <t>—</t>
        </is>
      </c>
      <c r="Y172" s="19" t="inlineStr">
        <is>
          <t>View Photo</t>
        </is>
      </c>
    </row>
    <row r="173">
      <c r="A173" s="17" t="inlineStr">
        <is>
          <t>D0172</t>
        </is>
      </c>
      <c r="B173" s="17" t="inlineStr">
        <is>
          <t>07/15/2026</t>
        </is>
      </c>
      <c r="C173" s="17" t="inlineStr">
        <is>
          <t>07/15/2026 02:01 PM</t>
        </is>
      </c>
      <c r="D173" s="17" t="inlineStr">
        <is>
          <t>John Neukum</t>
        </is>
      </c>
      <c r="E173" s="17" t="inlineStr">
        <is>
          <t>Sales Rep</t>
        </is>
      </c>
      <c r="F173" s="17" t="inlineStr">
        <is>
          <t>Michael Engel</t>
        </is>
      </c>
      <c r="G173" s="17" t="inlineStr">
        <is>
          <t>31019</t>
        </is>
      </c>
      <c r="H173" s="17" t="inlineStr">
        <is>
          <t>BJ'S WAREHOUSE E RUTHERFO</t>
        </is>
      </c>
      <c r="I173" s="17" t="inlineStr">
        <is>
          <t>EAST RUTHERFORD</t>
        </is>
      </c>
      <c r="J173" s="17" t="inlineStr">
        <is>
          <t>Mark Anthony</t>
        </is>
      </c>
      <c r="K173" s="25" t="n">
        <v>4</v>
      </c>
      <c r="L173" s="17" t="inlineStr">
        <is>
          <t>Gold (70+)</t>
        </is>
      </c>
      <c r="M173" s="18" t="n">
        <v>70</v>
      </c>
      <c r="N173" s="18" t="n">
        <v>70</v>
      </c>
      <c r="O173" s="17" t="inlineStr">
        <is>
          <t>Priority</t>
        </is>
      </c>
      <c r="P173" s="18" t="n">
        <v>1000</v>
      </c>
      <c r="Q173" s="17" t="inlineStr">
        <is>
          <t>Yes</t>
        </is>
      </c>
      <c r="R173" s="17" t="inlineStr">
        <is>
          <t>WHITE CLAW SURF HARD SELTZER</t>
        </is>
      </c>
      <c r="S173" s="17" t="inlineStr">
        <is>
          <t>WHITE CLAW SURF HARD SELTZER</t>
        </is>
      </c>
      <c r="T173" s="17" t="inlineStr">
        <is>
          <t>MARK ANTHONY GROUP</t>
        </is>
      </c>
      <c r="U173" s="25" t="n">
        <v>1</v>
      </c>
      <c r="V173" s="17" t="inlineStr">
        <is>
          <t>No</t>
        </is>
      </c>
      <c r="W173" s="17" t="inlineStr">
        <is>
          <t>Mark Anthony (70)</t>
        </is>
      </c>
      <c r="X173" s="17" t="inlineStr">
        <is>
          <t>—</t>
        </is>
      </c>
      <c r="Y173" s="19" t="inlineStr">
        <is>
          <t>View Photo</t>
        </is>
      </c>
    </row>
    <row r="174">
      <c r="A174" s="17" t="inlineStr">
        <is>
          <t>D0173</t>
        </is>
      </c>
      <c r="B174" s="17" t="inlineStr">
        <is>
          <t>07/20/2026</t>
        </is>
      </c>
      <c r="C174" s="17" t="inlineStr">
        <is>
          <t>07/20/2026 02:46 PM</t>
        </is>
      </c>
      <c r="D174" s="17" t="inlineStr">
        <is>
          <t>patrick infante</t>
        </is>
      </c>
      <c r="E174" s="17" t="inlineStr">
        <is>
          <t>Sales Associate</t>
        </is>
      </c>
      <c r="F174" s="17" t="inlineStr">
        <is>
          <t>Denise Montes</t>
        </is>
      </c>
      <c r="G174" s="17" t="inlineStr">
        <is>
          <t>24011</t>
        </is>
      </c>
      <c r="H174" s="17" t="inlineStr">
        <is>
          <t>SHOPPERS VINEYARD (A)</t>
        </is>
      </c>
      <c r="I174" s="17" t="inlineStr">
        <is>
          <t>CLIFTON</t>
        </is>
      </c>
      <c r="J174" s="17" t="inlineStr">
        <is>
          <t>HUSA (Heineken USA)</t>
        </is>
      </c>
      <c r="K174" s="25" t="n">
        <v>4</v>
      </c>
      <c r="L174" s="17" t="inlineStr">
        <is>
          <t>Gold (70+)</t>
        </is>
      </c>
      <c r="M174" s="18" t="n">
        <v>70</v>
      </c>
      <c r="N174" s="18" t="n">
        <v>70</v>
      </c>
      <c r="O174" s="17" t="inlineStr">
        <is>
          <t>Priority</t>
        </is>
      </c>
      <c r="P174" s="18" t="n">
        <v>1000</v>
      </c>
      <c r="Q174" s="17" t="inlineStr">
        <is>
          <t>Yes</t>
        </is>
      </c>
      <c r="R174" s="17" t="inlineStr">
        <is>
          <t>HEINEKEN</t>
        </is>
      </c>
      <c r="S174" s="17" t="inlineStr">
        <is>
          <t>HEINEKEN</t>
        </is>
      </c>
      <c r="T174" s="17" t="inlineStr">
        <is>
          <t>HEINEKEN</t>
        </is>
      </c>
      <c r="U174" s="25" t="n">
        <v>4</v>
      </c>
      <c r="V174" s="17" t="inlineStr">
        <is>
          <t>No</t>
        </is>
      </c>
      <c r="W174" s="17" t="inlineStr">
        <is>
          <t>HUSA (Heineken USA) (70)</t>
        </is>
      </c>
      <c r="X174" s="17" t="inlineStr">
        <is>
          <t>First of a repeat set</t>
        </is>
      </c>
      <c r="Y174" s="19" t="inlineStr">
        <is>
          <t>View Photo</t>
        </is>
      </c>
    </row>
    <row r="175">
      <c r="A175" s="17" t="inlineStr">
        <is>
          <t>D0174</t>
        </is>
      </c>
      <c r="B175" s="17" t="inlineStr">
        <is>
          <t>07/21/2026</t>
        </is>
      </c>
      <c r="C175" s="17" t="inlineStr">
        <is>
          <t>07/21/2026 04:19 PM</t>
        </is>
      </c>
      <c r="D175" s="17" t="inlineStr">
        <is>
          <t>Mike Ast</t>
        </is>
      </c>
      <c r="E175" s="17" t="inlineStr">
        <is>
          <t>Sales Rep</t>
        </is>
      </c>
      <c r="F175" s="17" t="inlineStr">
        <is>
          <t>Paul Deady</t>
        </is>
      </c>
      <c r="G175" s="17" t="inlineStr">
        <is>
          <t>11003</t>
        </is>
      </c>
      <c r="H175" s="17" t="inlineStr">
        <is>
          <t>LINCOLN PARK FINE WINES &amp; SPIRITS</t>
        </is>
      </c>
      <c r="I175" s="17" t="inlineStr">
        <is>
          <t>LINCOLN PARK</t>
        </is>
      </c>
      <c r="J175" s="17" t="inlineStr">
        <is>
          <t>Constellation</t>
        </is>
      </c>
      <c r="K175" s="25" t="n">
        <v>4</v>
      </c>
      <c r="L175" s="17" t="inlineStr">
        <is>
          <t>Gold (70+)</t>
        </is>
      </c>
      <c r="M175" s="18" t="n">
        <v>70</v>
      </c>
      <c r="N175" s="18" t="n">
        <v>70</v>
      </c>
      <c r="O175" s="17" t="inlineStr">
        <is>
          <t>Priority</t>
        </is>
      </c>
      <c r="P175" s="18" t="n">
        <v>1000</v>
      </c>
      <c r="Q175" s="17" t="inlineStr">
        <is>
          <t>Yes</t>
        </is>
      </c>
      <c r="R175" s="17" t="inlineStr">
        <is>
          <t>MODELO CERVEZA</t>
        </is>
      </c>
      <c r="S175" s="17" t="inlineStr">
        <is>
          <t>MODELO CERVEZA</t>
        </is>
      </c>
      <c r="T175" s="17" t="inlineStr">
        <is>
          <t>CONSTELLATION BRANDS</t>
        </is>
      </c>
      <c r="U175" s="25" t="n">
        <v>2</v>
      </c>
      <c r="V175" s="17" t="inlineStr">
        <is>
          <t>No</t>
        </is>
      </c>
      <c r="W175" s="17" t="inlineStr">
        <is>
          <t>Constellation (70)</t>
        </is>
      </c>
      <c r="X175" s="26" t="inlineStr">
        <is>
          <t>Possible duplicate</t>
        </is>
      </c>
      <c r="Y175" s="19" t="inlineStr">
        <is>
          <t>View Photo</t>
        </is>
      </c>
    </row>
    <row r="176">
      <c r="A176" s="17" t="inlineStr">
        <is>
          <t>D0175</t>
        </is>
      </c>
      <c r="B176" s="17" t="inlineStr">
        <is>
          <t>07/23/2026</t>
        </is>
      </c>
      <c r="C176" s="17" t="inlineStr">
        <is>
          <t>07/23/2026 11:05 AM</t>
        </is>
      </c>
      <c r="D176" s="17" t="inlineStr">
        <is>
          <t>Mike Ast</t>
        </is>
      </c>
      <c r="E176" s="17" t="inlineStr">
        <is>
          <t>Sales Rep</t>
        </is>
      </c>
      <c r="F176" s="17" t="inlineStr">
        <is>
          <t>Paul Deady</t>
        </is>
      </c>
      <c r="G176" s="17" t="inlineStr">
        <is>
          <t>84010</t>
        </is>
      </c>
      <c r="H176" s="17" t="inlineStr">
        <is>
          <t>RIDGEWOOD SUPER CELLAR</t>
        </is>
      </c>
      <c r="I176" s="17" t="inlineStr">
        <is>
          <t>RIDGEWOOD</t>
        </is>
      </c>
      <c r="J176" s="17" t="inlineStr">
        <is>
          <t>Constellation</t>
        </is>
      </c>
      <c r="K176" s="25" t="n">
        <v>4</v>
      </c>
      <c r="L176" s="17" t="inlineStr">
        <is>
          <t>Gold (70+)</t>
        </is>
      </c>
      <c r="M176" s="18" t="n">
        <v>70</v>
      </c>
      <c r="N176" s="18" t="n">
        <v>70</v>
      </c>
      <c r="O176" s="17" t="inlineStr">
        <is>
          <t>Priority</t>
        </is>
      </c>
      <c r="P176" s="18" t="n">
        <v>1000</v>
      </c>
      <c r="Q176" s="17" t="inlineStr">
        <is>
          <t>Yes</t>
        </is>
      </c>
      <c r="R176" s="17" t="inlineStr">
        <is>
          <t>CORONA EXTRA</t>
        </is>
      </c>
      <c r="S176" s="17" t="inlineStr">
        <is>
          <t>CORONA, CORONA EXTRA, MODELO CERVEZA</t>
        </is>
      </c>
      <c r="T176" s="17" t="inlineStr">
        <is>
          <t>CONSTELLATION BRANDS</t>
        </is>
      </c>
      <c r="U176" s="25" t="n">
        <v>6</v>
      </c>
      <c r="V176" s="17" t="inlineStr">
        <is>
          <t>No</t>
        </is>
      </c>
      <c r="W176" s="17" t="inlineStr">
        <is>
          <t>Constellation (70)</t>
        </is>
      </c>
      <c r="X176" s="17" t="inlineStr">
        <is>
          <t>—</t>
        </is>
      </c>
      <c r="Y176" s="19" t="inlineStr">
        <is>
          <t>View Photo</t>
        </is>
      </c>
    </row>
    <row r="177">
      <c r="A177" s="17" t="inlineStr">
        <is>
          <t>D0176</t>
        </is>
      </c>
      <c r="B177" s="17" t="inlineStr">
        <is>
          <t>07/24/2026</t>
        </is>
      </c>
      <c r="C177" s="17" t="inlineStr">
        <is>
          <t>07/24/2026 11:48 AM</t>
        </is>
      </c>
      <c r="D177" s="17" t="inlineStr">
        <is>
          <t>John Neukum</t>
        </is>
      </c>
      <c r="E177" s="17" t="inlineStr">
        <is>
          <t>Sales Rep</t>
        </is>
      </c>
      <c r="F177" s="17" t="inlineStr">
        <is>
          <t>Michael Engel</t>
        </is>
      </c>
      <c r="G177" s="17" t="inlineStr">
        <is>
          <t>31019</t>
        </is>
      </c>
      <c r="H177" s="17" t="inlineStr">
        <is>
          <t>BJ'S WAREHOUSE E RUTHERFO</t>
        </is>
      </c>
      <c r="I177" s="17" t="inlineStr">
        <is>
          <t>EAST RUTHERFORD</t>
        </is>
      </c>
      <c r="J177" s="17" t="inlineStr">
        <is>
          <t>Molson Coors</t>
        </is>
      </c>
      <c r="K177" s="25" t="n">
        <v>4</v>
      </c>
      <c r="L177" s="17" t="inlineStr">
        <is>
          <t>Gold (70+)</t>
        </is>
      </c>
      <c r="M177" s="18" t="n">
        <v>70</v>
      </c>
      <c r="N177" s="18" t="n">
        <v>70</v>
      </c>
      <c r="O177" s="17" t="inlineStr">
        <is>
          <t>Priority</t>
        </is>
      </c>
      <c r="P177" s="18" t="n">
        <v>1000</v>
      </c>
      <c r="Q177" s="17" t="inlineStr">
        <is>
          <t>Yes</t>
        </is>
      </c>
      <c r="R177" s="17" t="inlineStr">
        <is>
          <t>BLUE MOON</t>
        </is>
      </c>
      <c r="S177" s="17" t="inlineStr">
        <is>
          <t>BLUE MOON</t>
        </is>
      </c>
      <c r="T177" s="17" t="inlineStr">
        <is>
          <t>MOLSON COORS BEVERAGE COMPANY</t>
        </is>
      </c>
      <c r="U177" s="25" t="n">
        <v>1</v>
      </c>
      <c r="V177" s="17" t="inlineStr">
        <is>
          <t>No</t>
        </is>
      </c>
      <c r="W177" s="17" t="inlineStr">
        <is>
          <t>Molson Coors (70)</t>
        </is>
      </c>
      <c r="X177" s="17" t="inlineStr">
        <is>
          <t>—</t>
        </is>
      </c>
      <c r="Y177" s="19" t="inlineStr">
        <is>
          <t>View Photo</t>
        </is>
      </c>
    </row>
    <row r="178">
      <c r="A178" s="17" t="inlineStr">
        <is>
          <t>D0177</t>
        </is>
      </c>
      <c r="B178" s="17" t="inlineStr">
        <is>
          <t>07/30/2026</t>
        </is>
      </c>
      <c r="C178" s="17" t="inlineStr">
        <is>
          <t>07/30/2026 09:30 AM</t>
        </is>
      </c>
      <c r="D178" s="17" t="inlineStr">
        <is>
          <t>phil Ernst</t>
        </is>
      </c>
      <c r="E178" s="17" t="inlineStr">
        <is>
          <t>Sales Rep</t>
        </is>
      </c>
      <c r="F178" s="17" t="inlineStr">
        <is>
          <t>Michael Engel</t>
        </is>
      </c>
      <c r="G178" s="17" t="inlineStr">
        <is>
          <t>20106</t>
        </is>
      </c>
      <c r="H178" s="17" t="inlineStr">
        <is>
          <t>SUPER WINE WAREHSE(P)PATE</t>
        </is>
      </c>
      <c r="I178" s="17" t="inlineStr">
        <is>
          <t>PATERSON</t>
        </is>
      </c>
      <c r="J178" s="17" t="inlineStr">
        <is>
          <t>Constellation</t>
        </is>
      </c>
      <c r="K178" s="25" t="n">
        <v>4</v>
      </c>
      <c r="L178" s="17" t="inlineStr">
        <is>
          <t>Gold (70+)</t>
        </is>
      </c>
      <c r="M178" s="18" t="n">
        <v>70</v>
      </c>
      <c r="N178" s="18" t="n">
        <v>70</v>
      </c>
      <c r="O178" s="17" t="inlineStr">
        <is>
          <t>Priority</t>
        </is>
      </c>
      <c r="P178" s="18" t="n">
        <v>1000</v>
      </c>
      <c r="Q178" s="17" t="inlineStr">
        <is>
          <t>Yes</t>
        </is>
      </c>
      <c r="R178" s="17" t="inlineStr">
        <is>
          <t>CORONA EXTRA</t>
        </is>
      </c>
      <c r="S178" s="17" t="inlineStr">
        <is>
          <t>CORONA EXTRA</t>
        </is>
      </c>
      <c r="T178" s="17" t="inlineStr">
        <is>
          <t>CONSTELLATION BRANDS</t>
        </is>
      </c>
      <c r="U178" s="25" t="n">
        <v>1</v>
      </c>
      <c r="V178" s="17" t="inlineStr">
        <is>
          <t>No</t>
        </is>
      </c>
      <c r="W178" s="17" t="inlineStr">
        <is>
          <t>Constellation (70)</t>
        </is>
      </c>
      <c r="X178" s="17" t="inlineStr">
        <is>
          <t>—</t>
        </is>
      </c>
      <c r="Y178" s="19" t="inlineStr">
        <is>
          <t>View Photo</t>
        </is>
      </c>
    </row>
    <row r="179">
      <c r="A179" s="17" t="inlineStr">
        <is>
          <t>D0178</t>
        </is>
      </c>
      <c r="B179" s="17" t="inlineStr">
        <is>
          <t>07/30/2026</t>
        </is>
      </c>
      <c r="C179" s="17" t="inlineStr">
        <is>
          <t>07/30/2026 11:54 AM</t>
        </is>
      </c>
      <c r="D179" s="17" t="inlineStr">
        <is>
          <t>Jay Tabasco</t>
        </is>
      </c>
      <c r="E179" s="17" t="inlineStr">
        <is>
          <t>Sales Associate</t>
        </is>
      </c>
      <c r="F179" s="17" t="inlineStr">
        <is>
          <t>Paul Deady</t>
        </is>
      </c>
      <c r="G179" s="17" t="inlineStr">
        <is>
          <t>191710</t>
        </is>
      </c>
      <c r="H179" s="17" t="inlineStr">
        <is>
          <t>SHOP RITE WINE &amp; SPIRITS STANHOPE</t>
        </is>
      </c>
      <c r="I179" s="17" t="inlineStr">
        <is>
          <t>STANHOPE</t>
        </is>
      </c>
      <c r="J179" s="17" t="inlineStr">
        <is>
          <t>Boston Beer</t>
        </is>
      </c>
      <c r="K179" s="25" t="n">
        <v>4</v>
      </c>
      <c r="L179" s="17" t="inlineStr">
        <is>
          <t>Gold (70+)</t>
        </is>
      </c>
      <c r="M179" s="18" t="n">
        <v>70</v>
      </c>
      <c r="N179" s="18" t="n">
        <v>70</v>
      </c>
      <c r="O179" s="17" t="inlineStr">
        <is>
          <t>Priority</t>
        </is>
      </c>
      <c r="P179" s="18" t="n">
        <v>1000</v>
      </c>
      <c r="Q179" s="17" t="inlineStr">
        <is>
          <t>Yes</t>
        </is>
      </c>
      <c r="R179" s="17" t="inlineStr">
        <is>
          <t>SUN CRUISER LEMONADE</t>
        </is>
      </c>
      <c r="S179" s="17" t="inlineStr">
        <is>
          <t>SUN CRUISER LEMONADE</t>
        </is>
      </c>
      <c r="T179" s="17" t="inlineStr">
        <is>
          <t>BOSTON BEER COMPANY</t>
        </is>
      </c>
      <c r="U179" s="25" t="n">
        <v>1</v>
      </c>
      <c r="V179" s="17" t="inlineStr">
        <is>
          <t>No</t>
        </is>
      </c>
      <c r="W179" s="17" t="inlineStr">
        <is>
          <t>Boston Beer (70)</t>
        </is>
      </c>
      <c r="X179" s="17" t="inlineStr">
        <is>
          <t>—</t>
        </is>
      </c>
      <c r="Y179" s="19" t="inlineStr">
        <is>
          <t>View Photo</t>
        </is>
      </c>
    </row>
    <row r="180">
      <c r="A180" s="17" t="inlineStr">
        <is>
          <t>D0179</t>
        </is>
      </c>
      <c r="B180" s="17" t="inlineStr">
        <is>
          <t>07/30/2026</t>
        </is>
      </c>
      <c r="C180" s="17" t="inlineStr">
        <is>
          <t>07/30/2026 12:05 PM</t>
        </is>
      </c>
      <c r="D180" s="17" t="inlineStr">
        <is>
          <t>Klejdi Lamo</t>
        </is>
      </c>
      <c r="E180" s="17" t="inlineStr">
        <is>
          <t>Sales Rep</t>
        </is>
      </c>
      <c r="F180" s="17" t="inlineStr">
        <is>
          <t>Paul Deady</t>
        </is>
      </c>
      <c r="G180" s="17" t="inlineStr">
        <is>
          <t>191710</t>
        </is>
      </c>
      <c r="H180" s="17" t="inlineStr">
        <is>
          <t>SHOP RITE WINE &amp; SPIRITS STANHOPE</t>
        </is>
      </c>
      <c r="I180" s="17" t="inlineStr">
        <is>
          <t>STANHOPE</t>
        </is>
      </c>
      <c r="J180" s="17" t="inlineStr">
        <is>
          <t>Mark Anthony</t>
        </is>
      </c>
      <c r="K180" s="25" t="n">
        <v>4</v>
      </c>
      <c r="L180" s="17" t="inlineStr">
        <is>
          <t>Gold (70+)</t>
        </is>
      </c>
      <c r="M180" s="18" t="n">
        <v>70</v>
      </c>
      <c r="N180" s="18" t="n">
        <v>70</v>
      </c>
      <c r="O180" s="17" t="inlineStr">
        <is>
          <t>Priority</t>
        </is>
      </c>
      <c r="P180" s="18" t="n">
        <v>1000</v>
      </c>
      <c r="Q180" s="17" t="inlineStr">
        <is>
          <t>Yes</t>
        </is>
      </c>
      <c r="R180" s="17" t="inlineStr">
        <is>
          <t>WHITE CLAW SURF HARD SELTZER</t>
        </is>
      </c>
      <c r="S180" s="17" t="inlineStr">
        <is>
          <t>WHITE CLAW SURF HARD SELTZER</t>
        </is>
      </c>
      <c r="T180" s="17" t="inlineStr">
        <is>
          <t>MARK ANTHONY GROUP</t>
        </is>
      </c>
      <c r="U180" s="25" t="n">
        <v>1</v>
      </c>
      <c r="V180" s="17" t="inlineStr">
        <is>
          <t>No</t>
        </is>
      </c>
      <c r="W180" s="17" t="inlineStr">
        <is>
          <t>Mark Anthony (70)</t>
        </is>
      </c>
      <c r="X180" s="26" t="inlineStr">
        <is>
          <t>Possible duplicate</t>
        </is>
      </c>
      <c r="Y180" s="19" t="inlineStr">
        <is>
          <t>View Photo</t>
        </is>
      </c>
    </row>
    <row r="181">
      <c r="A181" s="17" t="inlineStr">
        <is>
          <t>D0180</t>
        </is>
      </c>
      <c r="B181" s="17" t="inlineStr">
        <is>
          <t>07/30/2026</t>
        </is>
      </c>
      <c r="C181" s="17" t="inlineStr">
        <is>
          <t>07/30/2026 12:09 PM</t>
        </is>
      </c>
      <c r="D181" s="17" t="inlineStr">
        <is>
          <t>Klejdi Lamo</t>
        </is>
      </c>
      <c r="E181" s="17" t="inlineStr">
        <is>
          <t>Sales Rep</t>
        </is>
      </c>
      <c r="F181" s="17" t="inlineStr">
        <is>
          <t>Paul Deady</t>
        </is>
      </c>
      <c r="G181" s="17" t="inlineStr">
        <is>
          <t>191710</t>
        </is>
      </c>
      <c r="H181" s="17" t="inlineStr">
        <is>
          <t>SHOP RITE WINE &amp; SPIRITS STANHOPE</t>
        </is>
      </c>
      <c r="I181" s="17" t="inlineStr">
        <is>
          <t>STANHOPE</t>
        </is>
      </c>
      <c r="J181" s="17" t="inlineStr">
        <is>
          <t>Boston Beer</t>
        </is>
      </c>
      <c r="K181" s="25" t="n">
        <v>4</v>
      </c>
      <c r="L181" s="17" t="inlineStr">
        <is>
          <t>Gold (70+)</t>
        </is>
      </c>
      <c r="M181" s="18" t="n">
        <v>70</v>
      </c>
      <c r="N181" s="18" t="n">
        <v>70</v>
      </c>
      <c r="O181" s="17" t="inlineStr">
        <is>
          <t>Priority</t>
        </is>
      </c>
      <c r="P181" s="18" t="n">
        <v>1000</v>
      </c>
      <c r="Q181" s="17" t="inlineStr">
        <is>
          <t>Yes</t>
        </is>
      </c>
      <c r="R181" s="17" t="inlineStr">
        <is>
          <t>SUN CRUISERS RTD</t>
        </is>
      </c>
      <c r="S181" s="17" t="inlineStr">
        <is>
          <t>SUN CRUISERS RTD</t>
        </is>
      </c>
      <c r="T181" s="17" t="inlineStr">
        <is>
          <t>BOSTON BEER COMPANY</t>
        </is>
      </c>
      <c r="U181" s="25" t="n">
        <v>1</v>
      </c>
      <c r="V181" s="17" t="inlineStr">
        <is>
          <t>No</t>
        </is>
      </c>
      <c r="W181" s="17" t="inlineStr">
        <is>
          <t>Boston Beer (70)</t>
        </is>
      </c>
      <c r="X181" s="17" t="inlineStr">
        <is>
          <t>First of a repeat set</t>
        </is>
      </c>
      <c r="Y181" s="19" t="inlineStr">
        <is>
          <t>View Photo</t>
        </is>
      </c>
    </row>
    <row r="182">
      <c r="A182" s="17" t="inlineStr">
        <is>
          <t>D0181</t>
        </is>
      </c>
      <c r="B182" s="17" t="inlineStr">
        <is>
          <t>07/30/2026</t>
        </is>
      </c>
      <c r="C182" s="17" t="inlineStr">
        <is>
          <t>07/30/2026 12:10 PM</t>
        </is>
      </c>
      <c r="D182" s="17" t="inlineStr">
        <is>
          <t>Klejdi Lamo</t>
        </is>
      </c>
      <c r="E182" s="17" t="inlineStr">
        <is>
          <t>Sales Rep</t>
        </is>
      </c>
      <c r="F182" s="17" t="inlineStr">
        <is>
          <t>Paul Deady</t>
        </is>
      </c>
      <c r="G182" s="17" t="inlineStr">
        <is>
          <t>191710</t>
        </is>
      </c>
      <c r="H182" s="17" t="inlineStr">
        <is>
          <t>SHOP RITE WINE &amp; SPIRITS STANHOPE</t>
        </is>
      </c>
      <c r="I182" s="17" t="inlineStr">
        <is>
          <t>STANHOPE</t>
        </is>
      </c>
      <c r="J182" s="17" t="inlineStr">
        <is>
          <t>Boston Beer</t>
        </is>
      </c>
      <c r="K182" s="25" t="n">
        <v>4</v>
      </c>
      <c r="L182" s="17" t="inlineStr">
        <is>
          <t>Gold (70+)</t>
        </is>
      </c>
      <c r="M182" s="18" t="n">
        <v>70</v>
      </c>
      <c r="N182" s="18" t="n">
        <v>70</v>
      </c>
      <c r="O182" s="17" t="inlineStr">
        <is>
          <t>Priority</t>
        </is>
      </c>
      <c r="P182" s="18" t="n">
        <v>1000</v>
      </c>
      <c r="Q182" s="17" t="inlineStr">
        <is>
          <t>Yes</t>
        </is>
      </c>
      <c r="R182" s="17" t="inlineStr">
        <is>
          <t>SUN CRUISERS RTD</t>
        </is>
      </c>
      <c r="S182" s="17" t="inlineStr">
        <is>
          <t>SUN CRUISERS RTD</t>
        </is>
      </c>
      <c r="T182" s="17" t="inlineStr">
        <is>
          <t>BOSTON BEER COMPANY</t>
        </is>
      </c>
      <c r="U182" s="25" t="n">
        <v>1</v>
      </c>
      <c r="V182" s="17" t="inlineStr">
        <is>
          <t>No</t>
        </is>
      </c>
      <c r="W182" s="17" t="inlineStr">
        <is>
          <t>Boston Beer (70)</t>
        </is>
      </c>
      <c r="X182" s="26" t="inlineStr">
        <is>
          <t>Possible duplicate</t>
        </is>
      </c>
      <c r="Y182" s="19" t="inlineStr">
        <is>
          <t>View Photo</t>
        </is>
      </c>
    </row>
    <row r="183">
      <c r="A183" s="17" t="inlineStr">
        <is>
          <t>D0182</t>
        </is>
      </c>
      <c r="B183" s="17" t="inlineStr">
        <is>
          <t>08/03/2026</t>
        </is>
      </c>
      <c r="C183" s="17" t="inlineStr">
        <is>
          <t>08/03/2026 08:29 AM</t>
        </is>
      </c>
      <c r="D183" s="17" t="inlineStr">
        <is>
          <t>John Neukum</t>
        </is>
      </c>
      <c r="E183" s="17" t="inlineStr">
        <is>
          <t>Sales Rep</t>
        </is>
      </c>
      <c r="F183" s="17" t="inlineStr">
        <is>
          <t>Michael Engel</t>
        </is>
      </c>
      <c r="G183" s="17" t="inlineStr">
        <is>
          <t>31019</t>
        </is>
      </c>
      <c r="H183" s="17" t="inlineStr">
        <is>
          <t>BJ'S WAREHOUSE E RUTHERFO</t>
        </is>
      </c>
      <c r="I183" s="17" t="inlineStr">
        <is>
          <t>EAST RUTHERFORD</t>
        </is>
      </c>
      <c r="J183" s="17" t="inlineStr">
        <is>
          <t>Molson Coors</t>
        </is>
      </c>
      <c r="K183" s="25" t="n">
        <v>4</v>
      </c>
      <c r="L183" s="17" t="inlineStr">
        <is>
          <t>Gold (70+)</t>
        </is>
      </c>
      <c r="M183" s="18" t="n">
        <v>70</v>
      </c>
      <c r="N183" s="18" t="n">
        <v>70</v>
      </c>
      <c r="O183" s="17" t="inlineStr">
        <is>
          <t>Priority</t>
        </is>
      </c>
      <c r="P183" s="18" t="n">
        <v>1000</v>
      </c>
      <c r="Q183" s="17" t="inlineStr">
        <is>
          <t>Yes</t>
        </is>
      </c>
      <c r="R183" s="17" t="inlineStr">
        <is>
          <t>COORS LIGHT</t>
        </is>
      </c>
      <c r="S183" s="17" t="inlineStr">
        <is>
          <t>COORS LIGHT</t>
        </is>
      </c>
      <c r="T183" s="17" t="inlineStr">
        <is>
          <t>MOLSON COORS BEVERAGE COMPANY</t>
        </is>
      </c>
      <c r="U183" s="25" t="n">
        <v>1</v>
      </c>
      <c r="V183" s="17" t="inlineStr">
        <is>
          <t>No</t>
        </is>
      </c>
      <c r="W183" s="17" t="inlineStr">
        <is>
          <t>Molson Coors (70)</t>
        </is>
      </c>
      <c r="X183" s="17" t="inlineStr">
        <is>
          <t>—</t>
        </is>
      </c>
      <c r="Y183" s="19" t="inlineStr">
        <is>
          <t>View Photo</t>
        </is>
      </c>
    </row>
    <row r="184">
      <c r="A184" s="17" t="inlineStr">
        <is>
          <t>D0183</t>
        </is>
      </c>
      <c r="B184" s="17" t="inlineStr">
        <is>
          <t>08/05/2026</t>
        </is>
      </c>
      <c r="C184" s="17" t="inlineStr">
        <is>
          <t>08/05/2026 08:36 AM</t>
        </is>
      </c>
      <c r="D184" s="17" t="inlineStr">
        <is>
          <t>Shane Barreca</t>
        </is>
      </c>
      <c r="E184" s="17" t="inlineStr">
        <is>
          <t>Sales Rep</t>
        </is>
      </c>
      <c r="F184" s="17" t="inlineStr">
        <is>
          <t>Paul Deady</t>
        </is>
      </c>
      <c r="G184" s="17" t="inlineStr">
        <is>
          <t>60001</t>
        </is>
      </c>
      <c r="H184" s="17" t="inlineStr">
        <is>
          <t>BOTTLE KING (A) DUMONT</t>
        </is>
      </c>
      <c r="I184" s="17" t="inlineStr">
        <is>
          <t>DUMONT</t>
        </is>
      </c>
      <c r="J184" s="17" t="inlineStr">
        <is>
          <t>All Other: PAULANER</t>
        </is>
      </c>
      <c r="K184" s="25" t="n">
        <v>4</v>
      </c>
      <c r="L184" s="17" t="inlineStr">
        <is>
          <t>Gold (70+)</t>
        </is>
      </c>
      <c r="M184" s="18" t="n">
        <v>70</v>
      </c>
      <c r="N184" s="18" t="n">
        <v>43</v>
      </c>
      <c r="O184" s="17" t="inlineStr">
        <is>
          <t>All Other</t>
        </is>
      </c>
      <c r="P184" s="18" t="n">
        <v>600</v>
      </c>
      <c r="Q184" s="17" t="inlineStr">
        <is>
          <t>Yes</t>
        </is>
      </c>
      <c r="R184" s="17" t="inlineStr">
        <is>
          <t>PAULANER</t>
        </is>
      </c>
      <c r="S184" s="17" t="inlineStr">
        <is>
          <t>HACKER-PSCHORR, HOFBRAU, PAULANER, YUENGLING BREWERY</t>
        </is>
      </c>
      <c r="T184" s="17" t="inlineStr">
        <is>
          <t>HOFBRAU, PAULANER, YUENGLING BREWERY</t>
        </is>
      </c>
      <c r="U184" s="25" t="n">
        <v>5</v>
      </c>
      <c r="V184" s="17" t="inlineStr">
        <is>
          <t>Yes</t>
        </is>
      </c>
      <c r="W184" s="17" t="inlineStr">
        <is>
          <t>All Other: PAULANER (43) + All Other: HOFBRAU (20) + Yuengling (7)</t>
        </is>
      </c>
      <c r="X184" s="17" t="inlineStr">
        <is>
          <t>—</t>
        </is>
      </c>
      <c r="Y184" s="19" t="inlineStr">
        <is>
          <t>View Photo</t>
        </is>
      </c>
    </row>
    <row r="185">
      <c r="A185" s="17" t="inlineStr">
        <is>
          <t>D0184</t>
        </is>
      </c>
      <c r="B185" s="17" t="inlineStr">
        <is>
          <t>08/06/2026</t>
        </is>
      </c>
      <c r="C185" s="17" t="inlineStr">
        <is>
          <t>08/06/2026 11:12 AM</t>
        </is>
      </c>
      <c r="D185" s="17" t="inlineStr">
        <is>
          <t>Dave Ehlers</t>
        </is>
      </c>
      <c r="E185" s="17" t="inlineStr">
        <is>
          <t>Sales Rep</t>
        </is>
      </c>
      <c r="F185" s="17" t="inlineStr">
        <is>
          <t>Michael Engel</t>
        </is>
      </c>
      <c r="G185" s="17" t="inlineStr">
        <is>
          <t>14007</t>
        </is>
      </c>
      <c r="H185" s="17" t="inlineStr">
        <is>
          <t>TOTAL WINE &amp; MORE (TOTOWA)</t>
        </is>
      </c>
      <c r="I185" s="17" t="inlineStr">
        <is>
          <t>TOTOWA</t>
        </is>
      </c>
      <c r="J185" s="17" t="inlineStr">
        <is>
          <t>Constellation</t>
        </is>
      </c>
      <c r="K185" s="25" t="n">
        <v>4</v>
      </c>
      <c r="L185" s="17" t="inlineStr">
        <is>
          <t>Gold (70+)</t>
        </is>
      </c>
      <c r="M185" s="18" t="n">
        <v>70</v>
      </c>
      <c r="N185" s="18" t="n">
        <v>70</v>
      </c>
      <c r="O185" s="17" t="inlineStr">
        <is>
          <t>Priority</t>
        </is>
      </c>
      <c r="P185" s="18" t="n">
        <v>1000</v>
      </c>
      <c r="Q185" s="17" t="inlineStr">
        <is>
          <t>Yes</t>
        </is>
      </c>
      <c r="R185" s="17" t="inlineStr">
        <is>
          <t>PACIFICO</t>
        </is>
      </c>
      <c r="S185" s="17" t="inlineStr">
        <is>
          <t>PACIFICO</t>
        </is>
      </c>
      <c r="T185" s="17" t="inlineStr">
        <is>
          <t>CONSTELLATION BRANDS</t>
        </is>
      </c>
      <c r="U185" s="25" t="n">
        <v>1</v>
      </c>
      <c r="V185" s="17" t="inlineStr">
        <is>
          <t>No</t>
        </is>
      </c>
      <c r="W185" s="17" t="inlineStr">
        <is>
          <t>Constellation (70)</t>
        </is>
      </c>
      <c r="X185" s="17" t="inlineStr">
        <is>
          <t>—</t>
        </is>
      </c>
      <c r="Y185" s="19" t="inlineStr">
        <is>
          <t>View Photo</t>
        </is>
      </c>
    </row>
    <row r="186">
      <c r="A186" s="17" t="inlineStr">
        <is>
          <t>D0185</t>
        </is>
      </c>
      <c r="B186" s="17" t="inlineStr">
        <is>
          <t>08/07/2026</t>
        </is>
      </c>
      <c r="C186" s="17" t="inlineStr">
        <is>
          <t>08/07/2026 11:47 AM</t>
        </is>
      </c>
      <c r="D186" s="17" t="inlineStr">
        <is>
          <t>Nicholas Micco</t>
        </is>
      </c>
      <c r="E186" s="17" t="inlineStr">
        <is>
          <t>Sales Associate</t>
        </is>
      </c>
      <c r="F186" s="17" t="inlineStr">
        <is>
          <t>Michael Engel</t>
        </is>
      </c>
      <c r="G186" s="17" t="inlineStr">
        <is>
          <t>58001</t>
        </is>
      </c>
      <c r="H186" s="17" t="inlineStr">
        <is>
          <t>TOTAL WINE &amp; MORE (RIVER EDGE)</t>
        </is>
      </c>
      <c r="I186" s="17" t="inlineStr">
        <is>
          <t>RIVER EDGE</t>
        </is>
      </c>
      <c r="J186" s="17" t="inlineStr">
        <is>
          <t>Constellation</t>
        </is>
      </c>
      <c r="K186" s="25" t="n">
        <v>4</v>
      </c>
      <c r="L186" s="17" t="inlineStr">
        <is>
          <t>Gold (70+)</t>
        </is>
      </c>
      <c r="M186" s="18" t="n">
        <v>70</v>
      </c>
      <c r="N186" s="18" t="n">
        <v>70</v>
      </c>
      <c r="O186" s="17" t="inlineStr">
        <is>
          <t>Priority</t>
        </is>
      </c>
      <c r="P186" s="18" t="n">
        <v>1000</v>
      </c>
      <c r="Q186" s="17" t="inlineStr">
        <is>
          <t>Yes</t>
        </is>
      </c>
      <c r="R186" s="17" t="inlineStr">
        <is>
          <t>PACIFICO</t>
        </is>
      </c>
      <c r="S186" s="17" t="inlineStr">
        <is>
          <t>PACIFICO</t>
        </is>
      </c>
      <c r="T186" s="17" t="inlineStr">
        <is>
          <t>CONSTELLATION BRANDS</t>
        </is>
      </c>
      <c r="U186" s="25" t="n">
        <v>1</v>
      </c>
      <c r="V186" s="17" t="inlineStr">
        <is>
          <t>No</t>
        </is>
      </c>
      <c r="W186" s="17" t="inlineStr">
        <is>
          <t>Constellation (70)</t>
        </is>
      </c>
      <c r="X186" s="17" t="inlineStr">
        <is>
          <t>—</t>
        </is>
      </c>
      <c r="Y186" s="19" t="inlineStr">
        <is>
          <t>View Photo</t>
        </is>
      </c>
    </row>
    <row r="187">
      <c r="A187" s="17" t="inlineStr">
        <is>
          <t>D0186</t>
        </is>
      </c>
      <c r="B187" s="17" t="inlineStr">
        <is>
          <t>08/10/2026</t>
        </is>
      </c>
      <c r="C187" s="17" t="inlineStr">
        <is>
          <t>08/10/2026 12:54 PM</t>
        </is>
      </c>
      <c r="D187" s="17" t="inlineStr">
        <is>
          <t>Dave Ehlers</t>
        </is>
      </c>
      <c r="E187" s="17" t="inlineStr">
        <is>
          <t>Sales Rep</t>
        </is>
      </c>
      <c r="F187" s="17" t="inlineStr">
        <is>
          <t>Michael Engel</t>
        </is>
      </c>
      <c r="G187" s="17" t="inlineStr">
        <is>
          <t>58001</t>
        </is>
      </c>
      <c r="H187" s="17" t="inlineStr">
        <is>
          <t>TOTAL WINE &amp; MORE (RIVER EDGE)</t>
        </is>
      </c>
      <c r="I187" s="17" t="inlineStr">
        <is>
          <t>RIVER EDGE</t>
        </is>
      </c>
      <c r="J187" s="17" t="inlineStr">
        <is>
          <t>Constellation</t>
        </is>
      </c>
      <c r="K187" s="25" t="n">
        <v>4</v>
      </c>
      <c r="L187" s="17" t="inlineStr">
        <is>
          <t>Gold (70+)</t>
        </is>
      </c>
      <c r="M187" s="18" t="n">
        <v>70</v>
      </c>
      <c r="N187" s="18" t="n">
        <v>70</v>
      </c>
      <c r="O187" s="17" t="inlineStr">
        <is>
          <t>Priority</t>
        </is>
      </c>
      <c r="P187" s="18" t="n">
        <v>1000</v>
      </c>
      <c r="Q187" s="17" t="inlineStr">
        <is>
          <t>Yes</t>
        </is>
      </c>
      <c r="R187" s="17" t="inlineStr">
        <is>
          <t>PACIFICO</t>
        </is>
      </c>
      <c r="S187" s="17" t="inlineStr">
        <is>
          <t>PACIFICO</t>
        </is>
      </c>
      <c r="T187" s="17" t="inlineStr">
        <is>
          <t>CONSTELLATION BRANDS</t>
        </is>
      </c>
      <c r="U187" s="25" t="n">
        <v>1</v>
      </c>
      <c r="V187" s="17" t="inlineStr">
        <is>
          <t>No</t>
        </is>
      </c>
      <c r="W187" s="17" t="inlineStr">
        <is>
          <t>Constellation (70)</t>
        </is>
      </c>
      <c r="X187" s="17" t="inlineStr">
        <is>
          <t>—</t>
        </is>
      </c>
      <c r="Y187" s="19" t="inlineStr">
        <is>
          <t>View Photo</t>
        </is>
      </c>
    </row>
    <row r="188">
      <c r="A188" s="17" t="inlineStr">
        <is>
          <t>D0187</t>
        </is>
      </c>
      <c r="B188" s="17" t="inlineStr">
        <is>
          <t>08/12/2026</t>
        </is>
      </c>
      <c r="C188" s="17" t="inlineStr">
        <is>
          <t>08/12/2026 09:38 AM</t>
        </is>
      </c>
      <c r="D188" s="17" t="inlineStr">
        <is>
          <t>Shane Barreca</t>
        </is>
      </c>
      <c r="E188" s="17" t="inlineStr">
        <is>
          <t>Sales Rep</t>
        </is>
      </c>
      <c r="F188" s="17" t="inlineStr">
        <is>
          <t>Paul Deady</t>
        </is>
      </c>
      <c r="G188" s="17" t="inlineStr">
        <is>
          <t>67004</t>
        </is>
      </c>
      <c r="H188" s="17" t="inlineStr">
        <is>
          <t>BEVERAGE BARN (A)</t>
        </is>
      </c>
      <c r="I188" s="17" t="inlineStr">
        <is>
          <t>NORTHVALE</t>
        </is>
      </c>
      <c r="J188" s="17" t="inlineStr">
        <is>
          <t>Molson Coors</t>
        </is>
      </c>
      <c r="K188" s="25" t="n">
        <v>4</v>
      </c>
      <c r="L188" s="17" t="inlineStr">
        <is>
          <t>Gold (70+)</t>
        </is>
      </c>
      <c r="M188" s="18" t="n">
        <v>70</v>
      </c>
      <c r="N188" s="18" t="n">
        <v>70</v>
      </c>
      <c r="O188" s="17" t="inlineStr">
        <is>
          <t>Priority</t>
        </is>
      </c>
      <c r="P188" s="18" t="n">
        <v>1000</v>
      </c>
      <c r="Q188" s="17" t="inlineStr">
        <is>
          <t>Yes</t>
        </is>
      </c>
      <c r="R188" s="17" t="inlineStr">
        <is>
          <t>KEYSTONE BEER</t>
        </is>
      </c>
      <c r="S188" s="17" t="inlineStr">
        <is>
          <t>KEYSTONE BEER</t>
        </is>
      </c>
      <c r="T188" s="17" t="inlineStr">
        <is>
          <t>MOLSON COORS BEVERAGE COMPANY</t>
        </is>
      </c>
      <c r="U188" s="25" t="n">
        <v>1</v>
      </c>
      <c r="V188" s="17" t="inlineStr">
        <is>
          <t>No</t>
        </is>
      </c>
      <c r="W188" s="17" t="inlineStr">
        <is>
          <t>Molson Coors (70)</t>
        </is>
      </c>
      <c r="X188" s="17" t="inlineStr">
        <is>
          <t>—</t>
        </is>
      </c>
      <c r="Y188" s="19" t="inlineStr">
        <is>
          <t>View Photo</t>
        </is>
      </c>
    </row>
    <row r="189">
      <c r="A189" s="17" t="inlineStr">
        <is>
          <t>D0188</t>
        </is>
      </c>
      <c r="B189" s="17" t="inlineStr">
        <is>
          <t>08/14/2026</t>
        </is>
      </c>
      <c r="C189" s="17" t="inlineStr">
        <is>
          <t>08/14/2026 02:32 PM</t>
        </is>
      </c>
      <c r="D189" s="17" t="inlineStr">
        <is>
          <t>Dave Ehlers</t>
        </is>
      </c>
      <c r="E189" s="17" t="inlineStr">
        <is>
          <t>Sales Rep</t>
        </is>
      </c>
      <c r="F189" s="17" t="inlineStr">
        <is>
          <t>Michael Engel</t>
        </is>
      </c>
      <c r="G189" s="17" t="inlineStr">
        <is>
          <t>14007</t>
        </is>
      </c>
      <c r="H189" s="17" t="inlineStr">
        <is>
          <t>TOTAL WINE &amp; MORE (TOTOWA)</t>
        </is>
      </c>
      <c r="I189" s="17" t="inlineStr">
        <is>
          <t>TOTOWA</t>
        </is>
      </c>
      <c r="J189" s="17" t="inlineStr">
        <is>
          <t>Boston Beer</t>
        </is>
      </c>
      <c r="K189" s="25" t="n">
        <v>4</v>
      </c>
      <c r="L189" s="17" t="inlineStr">
        <is>
          <t>Gold (70+)</t>
        </is>
      </c>
      <c r="M189" s="18" t="n">
        <v>70</v>
      </c>
      <c r="N189" s="18" t="n">
        <v>70</v>
      </c>
      <c r="O189" s="17" t="inlineStr">
        <is>
          <t>Priority</t>
        </is>
      </c>
      <c r="P189" s="18" t="n">
        <v>1000</v>
      </c>
      <c r="Q189" s="17" t="inlineStr">
        <is>
          <t>Yes</t>
        </is>
      </c>
      <c r="R189" s="17" t="inlineStr">
        <is>
          <t>ANGRY ORCHARD</t>
        </is>
      </c>
      <c r="S189" s="17" t="inlineStr">
        <is>
          <t>ANGRY ORCHARD</t>
        </is>
      </c>
      <c r="T189" s="17" t="inlineStr">
        <is>
          <t>BOSTON BEER COMPANY</t>
        </is>
      </c>
      <c r="U189" s="25" t="n">
        <v>1</v>
      </c>
      <c r="V189" s="17" t="inlineStr">
        <is>
          <t>No</t>
        </is>
      </c>
      <c r="W189" s="17" t="inlineStr">
        <is>
          <t>Boston Beer (70)</t>
        </is>
      </c>
      <c r="X189" s="17" t="inlineStr">
        <is>
          <t>—</t>
        </is>
      </c>
      <c r="Y189" s="19" t="inlineStr">
        <is>
          <t>View Photo</t>
        </is>
      </c>
    </row>
    <row r="190">
      <c r="A190" s="17" t="inlineStr">
        <is>
          <t>D0189</t>
        </is>
      </c>
      <c r="B190" s="17" t="inlineStr">
        <is>
          <t>08/20/2026</t>
        </is>
      </c>
      <c r="C190" s="17" t="inlineStr">
        <is>
          <t>08/20/2026 09:52 AM</t>
        </is>
      </c>
      <c r="D190" s="17" t="inlineStr">
        <is>
          <t>Dave Ehlers</t>
        </is>
      </c>
      <c r="E190" s="17" t="inlineStr">
        <is>
          <t>Sales Rep</t>
        </is>
      </c>
      <c r="F190" s="17" t="inlineStr">
        <is>
          <t>Michael Engel</t>
        </is>
      </c>
      <c r="G190" s="17" t="inlineStr">
        <is>
          <t>14007</t>
        </is>
      </c>
      <c r="H190" s="17" t="inlineStr">
        <is>
          <t>TOTAL WINE &amp; MORE (TOTOWA)</t>
        </is>
      </c>
      <c r="I190" s="17" t="inlineStr">
        <is>
          <t>TOTOWA</t>
        </is>
      </c>
      <c r="J190" s="17" t="inlineStr">
        <is>
          <t>All Other: NOCA BEVERAGES</t>
        </is>
      </c>
      <c r="K190" s="25" t="n">
        <v>4</v>
      </c>
      <c r="L190" s="17" t="inlineStr">
        <is>
          <t>Gold (70+)</t>
        </is>
      </c>
      <c r="M190" s="18" t="n">
        <v>70</v>
      </c>
      <c r="N190" s="18" t="n">
        <v>70</v>
      </c>
      <c r="O190" s="17" t="inlineStr">
        <is>
          <t>All Other</t>
        </is>
      </c>
      <c r="P190" s="18" t="n">
        <v>600</v>
      </c>
      <c r="Q190" s="17" t="inlineStr">
        <is>
          <t>Yes</t>
        </is>
      </c>
      <c r="R190" s="17" t="inlineStr">
        <is>
          <t>NOCA</t>
        </is>
      </c>
      <c r="S190" s="17" t="inlineStr">
        <is>
          <t>NOCA</t>
        </is>
      </c>
      <c r="T190" s="17" t="inlineStr">
        <is>
          <t>NOCA BEVERAGES</t>
        </is>
      </c>
      <c r="U190" s="25" t="n">
        <v>1</v>
      </c>
      <c r="V190" s="17" t="inlineStr">
        <is>
          <t>No</t>
        </is>
      </c>
      <c r="W190" s="17" t="inlineStr">
        <is>
          <t>All Other: NOCA BEVERAGES (70)</t>
        </is>
      </c>
      <c r="X190" s="17" t="inlineStr">
        <is>
          <t>—</t>
        </is>
      </c>
      <c r="Y190" s="19" t="inlineStr">
        <is>
          <t>View Photo</t>
        </is>
      </c>
    </row>
    <row r="191">
      <c r="A191" s="17" t="inlineStr">
        <is>
          <t>D0190</t>
        </is>
      </c>
      <c r="B191" s="17" t="inlineStr">
        <is>
          <t>08/21/2026</t>
        </is>
      </c>
      <c r="C191" s="17" t="inlineStr">
        <is>
          <t>08/21/2026 10:30 AM</t>
        </is>
      </c>
      <c r="D191" s="17" t="inlineStr">
        <is>
          <t>Jay Tabasco</t>
        </is>
      </c>
      <c r="E191" s="17" t="inlineStr">
        <is>
          <t>Sales Associate</t>
        </is>
      </c>
      <c r="F191" s="17" t="inlineStr">
        <is>
          <t>Paul Deady</t>
        </is>
      </c>
      <c r="G191" s="17" t="inlineStr">
        <is>
          <t>11003</t>
        </is>
      </c>
      <c r="H191" s="17" t="inlineStr">
        <is>
          <t>LINCOLN PARK FINE WINES &amp; SPIRITS</t>
        </is>
      </c>
      <c r="I191" s="17" t="inlineStr">
        <is>
          <t>LINCOLN PARK</t>
        </is>
      </c>
      <c r="J191" s="17" t="inlineStr">
        <is>
          <t>Molson Coors</t>
        </is>
      </c>
      <c r="K191" s="25" t="n">
        <v>4</v>
      </c>
      <c r="L191" s="17" t="inlineStr">
        <is>
          <t>Gold (70+)</t>
        </is>
      </c>
      <c r="M191" s="18" t="n">
        <v>70</v>
      </c>
      <c r="N191" s="18" t="n">
        <v>70</v>
      </c>
      <c r="O191" s="17" t="inlineStr">
        <is>
          <t>Priority</t>
        </is>
      </c>
      <c r="P191" s="18" t="n">
        <v>1000</v>
      </c>
      <c r="Q191" s="17" t="inlineStr">
        <is>
          <t>Yes</t>
        </is>
      </c>
      <c r="R191" s="17" t="inlineStr">
        <is>
          <t>COORS LIGHT</t>
        </is>
      </c>
      <c r="S191" s="17" t="inlineStr">
        <is>
          <t>COORS LIGHT</t>
        </is>
      </c>
      <c r="T191" s="17" t="inlineStr">
        <is>
          <t>MOLSON COORS BEVERAGE COMPANY</t>
        </is>
      </c>
      <c r="U191" s="25" t="n">
        <v>1</v>
      </c>
      <c r="V191" s="17" t="inlineStr">
        <is>
          <t>No</t>
        </is>
      </c>
      <c r="W191" s="17" t="inlineStr">
        <is>
          <t>Molson Coors (70)</t>
        </is>
      </c>
      <c r="X191" s="17" t="inlineStr">
        <is>
          <t>First of a repeat set</t>
        </is>
      </c>
      <c r="Y191" s="19" t="inlineStr">
        <is>
          <t>View Photo</t>
        </is>
      </c>
    </row>
    <row r="192">
      <c r="A192" s="17" t="inlineStr">
        <is>
          <t>D0191</t>
        </is>
      </c>
      <c r="B192" s="17" t="inlineStr">
        <is>
          <t>07/20/2026</t>
        </is>
      </c>
      <c r="C192" s="17" t="inlineStr">
        <is>
          <t>07/20/2026 07:39 AM</t>
        </is>
      </c>
      <c r="D192" s="17" t="inlineStr">
        <is>
          <t>Shane Barreca</t>
        </is>
      </c>
      <c r="E192" s="17" t="inlineStr">
        <is>
          <t>Sales Rep</t>
        </is>
      </c>
      <c r="F192" s="17" t="inlineStr">
        <is>
          <t>Paul Deady</t>
        </is>
      </c>
      <c r="G192" s="17" t="inlineStr">
        <is>
          <t>70001</t>
        </is>
      </c>
      <c r="H192" s="17" t="inlineStr">
        <is>
          <t>MONTVALE WINE/LIQ &amp; BEER</t>
        </is>
      </c>
      <c r="I192" s="17" t="inlineStr">
        <is>
          <t>MONTVALE</t>
        </is>
      </c>
      <c r="J192" s="17" t="inlineStr">
        <is>
          <t>Constellation</t>
        </is>
      </c>
      <c r="K192" s="25" t="n">
        <v>3</v>
      </c>
      <c r="L192" s="17" t="inlineStr">
        <is>
          <t>Silver (40-69)</t>
        </is>
      </c>
      <c r="M192" s="18" t="n">
        <v>69</v>
      </c>
      <c r="N192" s="18" t="n">
        <v>69</v>
      </c>
      <c r="O192" s="17" t="inlineStr">
        <is>
          <t>Priority</t>
        </is>
      </c>
      <c r="P192" s="18" t="n">
        <v>500</v>
      </c>
      <c r="Q192" s="17" t="inlineStr">
        <is>
          <t>Yes</t>
        </is>
      </c>
      <c r="R192" s="17" t="inlineStr">
        <is>
          <t>CORONA EXTRA</t>
        </is>
      </c>
      <c r="S192" s="17" t="inlineStr">
        <is>
          <t>CORONA, CORONA EXTRA</t>
        </is>
      </c>
      <c r="T192" s="17" t="inlineStr">
        <is>
          <t>CONSTELLATION BRANDS</t>
        </is>
      </c>
      <c r="U192" s="25" t="n">
        <v>2</v>
      </c>
      <c r="V192" s="17" t="inlineStr">
        <is>
          <t>No</t>
        </is>
      </c>
      <c r="W192" s="17" t="inlineStr">
        <is>
          <t>Constellation (69)</t>
        </is>
      </c>
      <c r="X192" s="17" t="inlineStr">
        <is>
          <t>—</t>
        </is>
      </c>
      <c r="Y192" s="19" t="inlineStr">
        <is>
          <t>View Photo</t>
        </is>
      </c>
    </row>
    <row r="193">
      <c r="A193" s="17" t="inlineStr">
        <is>
          <t>D0192</t>
        </is>
      </c>
      <c r="B193" s="17" t="inlineStr">
        <is>
          <t>08/17/2026</t>
        </is>
      </c>
      <c r="C193" s="17" t="inlineStr">
        <is>
          <t>08/17/2026 02:27 PM</t>
        </is>
      </c>
      <c r="D193" s="17" t="inlineStr">
        <is>
          <t>Mike Ast</t>
        </is>
      </c>
      <c r="E193" s="17" t="inlineStr">
        <is>
          <t>Sales Rep</t>
        </is>
      </c>
      <c r="F193" s="17" t="inlineStr">
        <is>
          <t>Paul Deady</t>
        </is>
      </c>
      <c r="G193" s="17" t="inlineStr">
        <is>
          <t>12011</t>
        </is>
      </c>
      <c r="H193" s="17" t="inlineStr">
        <is>
          <t>BOTTLE KING (A) WAYNE</t>
        </is>
      </c>
      <c r="I193" s="17" t="inlineStr">
        <is>
          <t>WAYNE</t>
        </is>
      </c>
      <c r="J193" s="17" t="inlineStr">
        <is>
          <t>All Other: PAULANER</t>
        </is>
      </c>
      <c r="K193" s="25" t="n">
        <v>3</v>
      </c>
      <c r="L193" s="17" t="inlineStr">
        <is>
          <t>Silver (40-69)</t>
        </is>
      </c>
      <c r="M193" s="18" t="n">
        <v>69</v>
      </c>
      <c r="N193" s="18" t="n">
        <v>36</v>
      </c>
      <c r="O193" s="17" t="inlineStr">
        <is>
          <t>All Other</t>
        </is>
      </c>
      <c r="P193" s="18" t="n">
        <v>300</v>
      </c>
      <c r="Q193" s="17" t="inlineStr">
        <is>
          <t>Yes</t>
        </is>
      </c>
      <c r="R193" s="17" t="inlineStr">
        <is>
          <t>PAULANER</t>
        </is>
      </c>
      <c r="S193" s="17" t="inlineStr">
        <is>
          <t>HACKER-PSCHORR, HOFBRAU, PAULANER, STEVENS POINT BREWERY, WEIHENSTEPHANER</t>
        </is>
      </c>
      <c r="T193" s="17" t="inlineStr">
        <is>
          <t>HOFBRAU, PAULANER, STEVEN'S POINT BREWERY, TOTAL BEVERAGE SOLUTION</t>
        </is>
      </c>
      <c r="U193" s="25" t="n">
        <v>7</v>
      </c>
      <c r="V193" s="17" t="inlineStr">
        <is>
          <t>Yes</t>
        </is>
      </c>
      <c r="W193" s="17" t="inlineStr">
        <is>
          <t>All Other: PAULANER (36) + All Other: HOFBRAU (11) + All Other: STEVEN'S POINT BREWERY (11) + All Other: TOTAL BEVERAGE SOLUTION (11)</t>
        </is>
      </c>
      <c r="X193" s="17" t="inlineStr">
        <is>
          <t>—</t>
        </is>
      </c>
      <c r="Y193" s="19" t="inlineStr">
        <is>
          <t>View Photo</t>
        </is>
      </c>
    </row>
    <row r="194">
      <c r="A194" s="17" t="inlineStr">
        <is>
          <t>D0193</t>
        </is>
      </c>
      <c r="B194" s="17" t="inlineStr">
        <is>
          <t>07/02/2026</t>
        </is>
      </c>
      <c r="C194" s="17" t="inlineStr">
        <is>
          <t>07/02/2026 10:33 AM</t>
        </is>
      </c>
      <c r="D194" s="17" t="inlineStr">
        <is>
          <t>phil Ernst</t>
        </is>
      </c>
      <c r="E194" s="17" t="inlineStr">
        <is>
          <t>Sales Rep</t>
        </is>
      </c>
      <c r="F194" s="17" t="inlineStr">
        <is>
          <t>Michael Engel</t>
        </is>
      </c>
      <c r="G194" s="17" t="inlineStr">
        <is>
          <t>29004</t>
        </is>
      </c>
      <c r="H194" s="17" t="inlineStr">
        <is>
          <t>SHOP-RITE LIQ LYNDHURST</t>
        </is>
      </c>
      <c r="I194" s="17" t="inlineStr">
        <is>
          <t>LYNDHURST</t>
        </is>
      </c>
      <c r="J194" s="17" t="inlineStr">
        <is>
          <t>Boston Beer</t>
        </is>
      </c>
      <c r="K194" s="25" t="n">
        <v>3</v>
      </c>
      <c r="L194" s="17" t="inlineStr">
        <is>
          <t>Silver (40-69)</t>
        </is>
      </c>
      <c r="M194" s="18" t="n">
        <v>68</v>
      </c>
      <c r="N194" s="18" t="n">
        <v>68</v>
      </c>
      <c r="O194" s="17" t="inlineStr">
        <is>
          <t>Priority</t>
        </is>
      </c>
      <c r="P194" s="18" t="n">
        <v>500</v>
      </c>
      <c r="Q194" s="17" t="inlineStr">
        <is>
          <t>Yes</t>
        </is>
      </c>
      <c r="R194" s="17" t="inlineStr">
        <is>
          <t>SAM ADAMS SEASONAL</t>
        </is>
      </c>
      <c r="S194" s="17" t="inlineStr">
        <is>
          <t>SAM ADAMS SEASONAL, SAMUEL ADAMS</t>
        </is>
      </c>
      <c r="T194" s="17" t="inlineStr">
        <is>
          <t>BOSTON BEER COMPANY</t>
        </is>
      </c>
      <c r="U194" s="25" t="n">
        <v>9</v>
      </c>
      <c r="V194" s="17" t="inlineStr">
        <is>
          <t>No</t>
        </is>
      </c>
      <c r="W194" s="17" t="inlineStr">
        <is>
          <t>Boston Beer (68)</t>
        </is>
      </c>
      <c r="X194" s="17" t="inlineStr">
        <is>
          <t>—</t>
        </is>
      </c>
      <c r="Y194" s="19" t="inlineStr">
        <is>
          <t>View Photo</t>
        </is>
      </c>
    </row>
    <row r="195">
      <c r="A195" s="17" t="inlineStr">
        <is>
          <t>D0194</t>
        </is>
      </c>
      <c r="B195" s="17" t="inlineStr">
        <is>
          <t>07/02/2026</t>
        </is>
      </c>
      <c r="C195" s="17" t="inlineStr">
        <is>
          <t>07/02/2026 12:51 PM</t>
        </is>
      </c>
      <c r="D195" s="17" t="inlineStr">
        <is>
          <t>Michael Harboy</t>
        </is>
      </c>
      <c r="E195" s="17" t="inlineStr">
        <is>
          <t>Sales Rep</t>
        </is>
      </c>
      <c r="F195" s="17" t="inlineStr">
        <is>
          <t>Mike Kennedy</t>
        </is>
      </c>
      <c r="G195" s="17" t="inlineStr">
        <is>
          <t>11014</t>
        </is>
      </c>
      <c r="H195" s="17" t="inlineStr">
        <is>
          <t>WAYNE LIQUOR LOCKER</t>
        </is>
      </c>
      <c r="I195" s="17" t="inlineStr">
        <is>
          <t>WAYNE</t>
        </is>
      </c>
      <c r="J195" s="17" t="inlineStr">
        <is>
          <t>Boston Beer</t>
        </is>
      </c>
      <c r="K195" s="25" t="n">
        <v>3</v>
      </c>
      <c r="L195" s="17" t="inlineStr">
        <is>
          <t>Silver (40-69)</t>
        </is>
      </c>
      <c r="M195" s="18" t="n">
        <v>66</v>
      </c>
      <c r="N195" s="18" t="n">
        <v>66</v>
      </c>
      <c r="O195" s="17" t="inlineStr">
        <is>
          <t>Priority</t>
        </is>
      </c>
      <c r="P195" s="18" t="n">
        <v>500</v>
      </c>
      <c r="Q195" s="17" t="inlineStr">
        <is>
          <t>Yes</t>
        </is>
      </c>
      <c r="R195" s="17" t="inlineStr">
        <is>
          <t>SUN CRUISERS RTD</t>
        </is>
      </c>
      <c r="S195" s="17" t="inlineStr">
        <is>
          <t>SUN CRUISERS RTD</t>
        </is>
      </c>
      <c r="T195" s="17" t="inlineStr">
        <is>
          <t>BOSTON BEER COMPANY</t>
        </is>
      </c>
      <c r="U195" s="25" t="n">
        <v>3</v>
      </c>
      <c r="V195" s="17" t="inlineStr">
        <is>
          <t>No</t>
        </is>
      </c>
      <c r="W195" s="17" t="inlineStr">
        <is>
          <t>Boston Beer (66)</t>
        </is>
      </c>
      <c r="X195" s="17" t="inlineStr">
        <is>
          <t>—</t>
        </is>
      </c>
      <c r="Y195" s="19" t="inlineStr">
        <is>
          <t>View Photo</t>
        </is>
      </c>
    </row>
    <row r="196">
      <c r="A196" s="17" t="inlineStr">
        <is>
          <t>D0195</t>
        </is>
      </c>
      <c r="B196" s="17" t="inlineStr">
        <is>
          <t>08/18/2026</t>
        </is>
      </c>
      <c r="C196" s="17" t="inlineStr">
        <is>
          <t>08/18/2026 11:52 AM</t>
        </is>
      </c>
      <c r="D196" s="17" t="inlineStr">
        <is>
          <t>patrick infante</t>
        </is>
      </c>
      <c r="E196" s="17" t="inlineStr">
        <is>
          <t>Sales Associate</t>
        </is>
      </c>
      <c r="F196" s="17" t="inlineStr">
        <is>
          <t>Denise Montes</t>
        </is>
      </c>
      <c r="G196" s="17" t="inlineStr">
        <is>
          <t>36007</t>
        </is>
      </c>
      <c r="H196" s="17" t="inlineStr">
        <is>
          <t>SHOP RITE OF WALLINGTON</t>
        </is>
      </c>
      <c r="I196" s="17" t="inlineStr">
        <is>
          <t>WALLINGTON</t>
        </is>
      </c>
      <c r="J196" s="17" t="inlineStr">
        <is>
          <t>HUSA (Heineken USA)</t>
        </is>
      </c>
      <c r="K196" s="25" t="n">
        <v>3</v>
      </c>
      <c r="L196" s="17" t="inlineStr">
        <is>
          <t>Silver (40-69)</t>
        </is>
      </c>
      <c r="M196" s="18" t="n">
        <v>66</v>
      </c>
      <c r="N196" s="18" t="n">
        <v>66</v>
      </c>
      <c r="O196" s="17" t="inlineStr">
        <is>
          <t>Priority</t>
        </is>
      </c>
      <c r="P196" s="18" t="n">
        <v>500</v>
      </c>
      <c r="Q196" s="17" t="inlineStr">
        <is>
          <t>Yes</t>
        </is>
      </c>
      <c r="R196" s="17" t="inlineStr">
        <is>
          <t>HEINEKEN</t>
        </is>
      </c>
      <c r="S196" s="17" t="inlineStr">
        <is>
          <t>HEINEKEN</t>
        </is>
      </c>
      <c r="T196" s="17" t="inlineStr">
        <is>
          <t>HEINEKEN</t>
        </is>
      </c>
      <c r="U196" s="25" t="n">
        <v>2</v>
      </c>
      <c r="V196" s="17" t="inlineStr">
        <is>
          <t>No</t>
        </is>
      </c>
      <c r="W196" s="17" t="inlineStr">
        <is>
          <t>HUSA (Heineken USA) (66)</t>
        </is>
      </c>
      <c r="X196" s="17" t="inlineStr">
        <is>
          <t>—</t>
        </is>
      </c>
      <c r="Y196" s="19" t="inlineStr">
        <is>
          <t>View Photo</t>
        </is>
      </c>
    </row>
    <row r="197">
      <c r="A197" s="17" t="inlineStr">
        <is>
          <t>D0196</t>
        </is>
      </c>
      <c r="B197" s="17" t="inlineStr">
        <is>
          <t>07/08/2026</t>
        </is>
      </c>
      <c r="C197" s="17" t="inlineStr">
        <is>
          <t>07/08/2026 12:19 PM</t>
        </is>
      </c>
      <c r="D197" s="17" t="inlineStr">
        <is>
          <t>mickey obrien</t>
        </is>
      </c>
      <c r="E197" s="17" t="inlineStr">
        <is>
          <t>Sales Associate</t>
        </is>
      </c>
      <c r="F197" s="17" t="inlineStr">
        <is>
          <t>Michael Engel</t>
        </is>
      </c>
      <c r="G197" s="17" t="inlineStr">
        <is>
          <t>43013</t>
        </is>
      </c>
      <c r="H197" s="17" t="inlineStr">
        <is>
          <t>BUY RITE OF FAIRVIEW</t>
        </is>
      </c>
      <c r="I197" s="17" t="inlineStr">
        <is>
          <t>FAIRVIEW</t>
        </is>
      </c>
      <c r="J197" s="17" t="inlineStr">
        <is>
          <t>Constellation</t>
        </is>
      </c>
      <c r="K197" s="25" t="n">
        <v>3</v>
      </c>
      <c r="L197" s="17" t="inlineStr">
        <is>
          <t>Silver (40-69)</t>
        </is>
      </c>
      <c r="M197" s="18" t="n">
        <v>65</v>
      </c>
      <c r="N197" s="18" t="n">
        <v>65</v>
      </c>
      <c r="O197" s="17" t="inlineStr">
        <is>
          <t>Priority</t>
        </is>
      </c>
      <c r="P197" s="18" t="n">
        <v>500</v>
      </c>
      <c r="Q197" s="17" t="inlineStr">
        <is>
          <t>Yes</t>
        </is>
      </c>
      <c r="R197" s="17" t="inlineStr">
        <is>
          <t>MODELO CERVEZA</t>
        </is>
      </c>
      <c r="S197" s="17" t="inlineStr">
        <is>
          <t>MODELO CERVEZA</t>
        </is>
      </c>
      <c r="T197" s="17" t="inlineStr">
        <is>
          <t>CONSTELLATION BRANDS</t>
        </is>
      </c>
      <c r="U197" s="25" t="n">
        <v>1</v>
      </c>
      <c r="V197" s="17" t="inlineStr">
        <is>
          <t>No</t>
        </is>
      </c>
      <c r="W197" s="17" t="inlineStr">
        <is>
          <t>Constellation (65)</t>
        </is>
      </c>
      <c r="X197" s="17" t="inlineStr">
        <is>
          <t>First of a repeat set</t>
        </is>
      </c>
      <c r="Y197" s="19" t="inlineStr">
        <is>
          <t>View Photo</t>
        </is>
      </c>
    </row>
    <row r="198">
      <c r="A198" s="17" t="inlineStr">
        <is>
          <t>D0197</t>
        </is>
      </c>
      <c r="B198" s="17" t="inlineStr">
        <is>
          <t>07/08/2026</t>
        </is>
      </c>
      <c r="C198" s="17" t="inlineStr">
        <is>
          <t>07/08/2026 12:26 PM</t>
        </is>
      </c>
      <c r="D198" s="17" t="inlineStr">
        <is>
          <t>mickey obrien</t>
        </is>
      </c>
      <c r="E198" s="17" t="inlineStr">
        <is>
          <t>Sales Associate</t>
        </is>
      </c>
      <c r="F198" s="17" t="inlineStr">
        <is>
          <t>Michael Engel</t>
        </is>
      </c>
      <c r="G198" s="17" t="inlineStr">
        <is>
          <t>43013</t>
        </is>
      </c>
      <c r="H198" s="17" t="inlineStr">
        <is>
          <t>BUY RITE OF FAIRVIEW</t>
        </is>
      </c>
      <c r="I198" s="17" t="inlineStr">
        <is>
          <t>FAIRVIEW</t>
        </is>
      </c>
      <c r="J198" s="17" t="inlineStr">
        <is>
          <t>Constellation</t>
        </is>
      </c>
      <c r="K198" s="25" t="n">
        <v>3</v>
      </c>
      <c r="L198" s="17" t="inlineStr">
        <is>
          <t>Silver (40-69)</t>
        </is>
      </c>
      <c r="M198" s="18" t="n">
        <v>65</v>
      </c>
      <c r="N198" s="18" t="n">
        <v>65</v>
      </c>
      <c r="O198" s="17" t="inlineStr">
        <is>
          <t>Priority</t>
        </is>
      </c>
      <c r="P198" s="18" t="n">
        <v>500</v>
      </c>
      <c r="Q198" s="17" t="inlineStr">
        <is>
          <t>Yes</t>
        </is>
      </c>
      <c r="R198" s="17" t="inlineStr">
        <is>
          <t>MODELO CERVEZA</t>
        </is>
      </c>
      <c r="S198" s="17" t="inlineStr">
        <is>
          <t>MODELO CERVEZA</t>
        </is>
      </c>
      <c r="T198" s="17" t="inlineStr">
        <is>
          <t>CONSTELLATION BRANDS</t>
        </is>
      </c>
      <c r="U198" s="25" t="n">
        <v>1</v>
      </c>
      <c r="V198" s="17" t="inlineStr">
        <is>
          <t>No</t>
        </is>
      </c>
      <c r="W198" s="17" t="inlineStr">
        <is>
          <t>Constellation (65)</t>
        </is>
      </c>
      <c r="X198" s="26" t="inlineStr">
        <is>
          <t>Possible duplicate</t>
        </is>
      </c>
      <c r="Y198" s="19" t="inlineStr">
        <is>
          <t>View Photo</t>
        </is>
      </c>
    </row>
    <row r="199">
      <c r="A199" s="17" t="inlineStr">
        <is>
          <t>D0198</t>
        </is>
      </c>
      <c r="B199" s="17" t="inlineStr">
        <is>
          <t>07/10/2026</t>
        </is>
      </c>
      <c r="C199" s="17" t="inlineStr">
        <is>
          <t>07/10/2026 03:11 PM</t>
        </is>
      </c>
      <c r="D199" s="17" t="inlineStr">
        <is>
          <t>patrick infante</t>
        </is>
      </c>
      <c r="E199" s="17" t="inlineStr">
        <is>
          <t>Sales Associate</t>
        </is>
      </c>
      <c r="F199" s="17" t="inlineStr">
        <is>
          <t>Denise Montes</t>
        </is>
      </c>
      <c r="G199" s="17" t="inlineStr">
        <is>
          <t>23004</t>
        </is>
      </c>
      <c r="H199" s="17" t="inlineStr">
        <is>
          <t>SHOP RITE WINES/SPIRITS</t>
        </is>
      </c>
      <c r="I199" s="17" t="inlineStr">
        <is>
          <t>CLIFTON</t>
        </is>
      </c>
      <c r="J199" s="17" t="inlineStr">
        <is>
          <t>Mark Anthony</t>
        </is>
      </c>
      <c r="K199" s="25" t="n">
        <v>3</v>
      </c>
      <c r="L199" s="17" t="inlineStr">
        <is>
          <t>Silver (40-69)</t>
        </is>
      </c>
      <c r="M199" s="18" t="n">
        <v>65</v>
      </c>
      <c r="N199" s="18" t="n">
        <v>65</v>
      </c>
      <c r="O199" s="17" t="inlineStr">
        <is>
          <t>Priority</t>
        </is>
      </c>
      <c r="P199" s="18" t="n">
        <v>500</v>
      </c>
      <c r="Q199" s="17" t="inlineStr">
        <is>
          <t>Yes</t>
        </is>
      </c>
      <c r="R199" s="17" t="inlineStr">
        <is>
          <t>WHITE CLAW ORIGINAL HARD SELTZER</t>
        </is>
      </c>
      <c r="S199" s="17" t="inlineStr">
        <is>
          <t>WHITE CLAW ORIGINAL HARD SELTZER</t>
        </is>
      </c>
      <c r="T199" s="17" t="inlineStr">
        <is>
          <t>MARK ANTHONY GROUP</t>
        </is>
      </c>
      <c r="U199" s="25" t="n">
        <v>1</v>
      </c>
      <c r="V199" s="17" t="inlineStr">
        <is>
          <t>No</t>
        </is>
      </c>
      <c r="W199" s="17" t="inlineStr">
        <is>
          <t>Mark Anthony (65)</t>
        </is>
      </c>
      <c r="X199" s="17" t="inlineStr">
        <is>
          <t>—</t>
        </is>
      </c>
      <c r="Y199" s="19" t="inlineStr">
        <is>
          <t>View Photo</t>
        </is>
      </c>
    </row>
    <row r="200">
      <c r="A200" s="17" t="inlineStr">
        <is>
          <t>D0199</t>
        </is>
      </c>
      <c r="B200" s="17" t="inlineStr">
        <is>
          <t>07/15/2026</t>
        </is>
      </c>
      <c r="C200" s="17" t="inlineStr">
        <is>
          <t>07/15/2026 11:18 AM</t>
        </is>
      </c>
      <c r="D200" s="17" t="inlineStr">
        <is>
          <t>mickey obrien</t>
        </is>
      </c>
      <c r="E200" s="17" t="inlineStr">
        <is>
          <t>Sales Associate</t>
        </is>
      </c>
      <c r="F200" s="17" t="inlineStr">
        <is>
          <t>Michael Engel</t>
        </is>
      </c>
      <c r="G200" s="17" t="inlineStr">
        <is>
          <t>76010</t>
        </is>
      </c>
      <c r="H200" s="17" t="inlineStr">
        <is>
          <t>USA WINE TRADERS CLUB (SADDLE BROOK)</t>
        </is>
      </c>
      <c r="I200" s="17" t="inlineStr">
        <is>
          <t>SADDLE BROOK</t>
        </is>
      </c>
      <c r="J200" s="17" t="inlineStr">
        <is>
          <t>Constellation</t>
        </is>
      </c>
      <c r="K200" s="25" t="n">
        <v>3</v>
      </c>
      <c r="L200" s="17" t="inlineStr">
        <is>
          <t>Silver (40-69)</t>
        </is>
      </c>
      <c r="M200" s="18" t="n">
        <v>65</v>
      </c>
      <c r="N200" s="18" t="n">
        <v>65</v>
      </c>
      <c r="O200" s="17" t="inlineStr">
        <is>
          <t>Priority</t>
        </is>
      </c>
      <c r="P200" s="18" t="n">
        <v>500</v>
      </c>
      <c r="Q200" s="17" t="inlineStr">
        <is>
          <t>Yes</t>
        </is>
      </c>
      <c r="R200" s="17" t="inlineStr">
        <is>
          <t>MODELO CERVEZA</t>
        </is>
      </c>
      <c r="S200" s="17" t="inlineStr">
        <is>
          <t>MODELO CERVEZA</t>
        </is>
      </c>
      <c r="T200" s="17" t="inlineStr">
        <is>
          <t>CONSTELLATION BRANDS</t>
        </is>
      </c>
      <c r="U200" s="25" t="n">
        <v>2</v>
      </c>
      <c r="V200" s="17" t="inlineStr">
        <is>
          <t>No</t>
        </is>
      </c>
      <c r="W200" s="17" t="inlineStr">
        <is>
          <t>Constellation (65)</t>
        </is>
      </c>
      <c r="X200" s="17" t="inlineStr">
        <is>
          <t>—</t>
        </is>
      </c>
      <c r="Y200" s="19" t="inlineStr">
        <is>
          <t>View Photo</t>
        </is>
      </c>
    </row>
    <row r="201">
      <c r="A201" s="17" t="inlineStr">
        <is>
          <t>D0200</t>
        </is>
      </c>
      <c r="B201" s="17" t="inlineStr">
        <is>
          <t>07/29/2026</t>
        </is>
      </c>
      <c r="C201" s="17" t="inlineStr">
        <is>
          <t>07/29/2026 03:56 PM</t>
        </is>
      </c>
      <c r="D201" s="17" t="inlineStr">
        <is>
          <t>Dave Ehlers</t>
        </is>
      </c>
      <c r="E201" s="17" t="inlineStr">
        <is>
          <t>Sales Rep</t>
        </is>
      </c>
      <c r="F201" s="17" t="inlineStr">
        <is>
          <t>Michael Engel</t>
        </is>
      </c>
      <c r="G201" s="17" t="inlineStr">
        <is>
          <t>58001</t>
        </is>
      </c>
      <c r="H201" s="17" t="inlineStr">
        <is>
          <t>TOTAL WINE &amp; MORE (RIVER EDGE)</t>
        </is>
      </c>
      <c r="I201" s="17" t="inlineStr">
        <is>
          <t>RIVER EDGE</t>
        </is>
      </c>
      <c r="J201" s="17" t="inlineStr">
        <is>
          <t>Molson Coors</t>
        </is>
      </c>
      <c r="K201" s="25" t="n">
        <v>3</v>
      </c>
      <c r="L201" s="17" t="inlineStr">
        <is>
          <t>Silver (40-69)</t>
        </is>
      </c>
      <c r="M201" s="18" t="n">
        <v>65</v>
      </c>
      <c r="N201" s="18" t="n">
        <v>65</v>
      </c>
      <c r="O201" s="17" t="inlineStr">
        <is>
          <t>Priority</t>
        </is>
      </c>
      <c r="P201" s="18" t="n">
        <v>500</v>
      </c>
      <c r="Q201" s="17" t="inlineStr">
        <is>
          <t>Yes</t>
        </is>
      </c>
      <c r="R201" s="17" t="inlineStr">
        <is>
          <t>PERONI NASTRO AZZURRO</t>
        </is>
      </c>
      <c r="S201" s="17" t="inlineStr">
        <is>
          <t>PERONI NASTRO AZZURRO</t>
        </is>
      </c>
      <c r="T201" s="17" t="inlineStr">
        <is>
          <t>MOLSON COORS BEVERAGE COMPANY</t>
        </is>
      </c>
      <c r="U201" s="25" t="n">
        <v>1</v>
      </c>
      <c r="V201" s="17" t="inlineStr">
        <is>
          <t>No</t>
        </is>
      </c>
      <c r="W201" s="17" t="inlineStr">
        <is>
          <t>Molson Coors (65)</t>
        </is>
      </c>
      <c r="X201" s="17" t="inlineStr">
        <is>
          <t>First of a repeat set</t>
        </is>
      </c>
      <c r="Y201" s="19" t="inlineStr">
        <is>
          <t>View Photo</t>
        </is>
      </c>
    </row>
    <row r="202">
      <c r="A202" s="17" t="inlineStr">
        <is>
          <t>D0201</t>
        </is>
      </c>
      <c r="B202" s="17" t="inlineStr">
        <is>
          <t>07/29/2026</t>
        </is>
      </c>
      <c r="C202" s="17" t="inlineStr">
        <is>
          <t>07/29/2026 03:56 PM</t>
        </is>
      </c>
      <c r="D202" s="17" t="inlineStr">
        <is>
          <t>Nicholas Micco</t>
        </is>
      </c>
      <c r="E202" s="17" t="inlineStr">
        <is>
          <t>Sales Associate</t>
        </is>
      </c>
      <c r="F202" s="17" t="inlineStr">
        <is>
          <t>Michael Engel</t>
        </is>
      </c>
      <c r="G202" s="17" t="inlineStr">
        <is>
          <t>58001</t>
        </is>
      </c>
      <c r="H202" s="17" t="inlineStr">
        <is>
          <t>TOTAL WINE &amp; MORE (RIVER EDGE)</t>
        </is>
      </c>
      <c r="I202" s="17" t="inlineStr">
        <is>
          <t>RIVER EDGE</t>
        </is>
      </c>
      <c r="J202" s="17" t="inlineStr">
        <is>
          <t>Molson Coors</t>
        </is>
      </c>
      <c r="K202" s="25" t="n">
        <v>3</v>
      </c>
      <c r="L202" s="17" t="inlineStr">
        <is>
          <t>Silver (40-69)</t>
        </is>
      </c>
      <c r="M202" s="18" t="n">
        <v>65</v>
      </c>
      <c r="N202" s="18" t="n">
        <v>65</v>
      </c>
      <c r="O202" s="17" t="inlineStr">
        <is>
          <t>Priority</t>
        </is>
      </c>
      <c r="P202" s="18" t="n">
        <v>500</v>
      </c>
      <c r="Q202" s="17" t="inlineStr">
        <is>
          <t>Yes</t>
        </is>
      </c>
      <c r="R202" s="17" t="inlineStr">
        <is>
          <t>PERONI NASTRO AZZURRO</t>
        </is>
      </c>
      <c r="S202" s="17" t="inlineStr">
        <is>
          <t>PERONI NASTRO AZZURRO</t>
        </is>
      </c>
      <c r="T202" s="17" t="inlineStr">
        <is>
          <t>MOLSON COORS BEVERAGE COMPANY</t>
        </is>
      </c>
      <c r="U202" s="25" t="n">
        <v>1</v>
      </c>
      <c r="V202" s="17" t="inlineStr">
        <is>
          <t>No</t>
        </is>
      </c>
      <c r="W202" s="17" t="inlineStr">
        <is>
          <t>Molson Coors (65)</t>
        </is>
      </c>
      <c r="X202" s="26" t="inlineStr">
        <is>
          <t>Possible duplicate</t>
        </is>
      </c>
      <c r="Y202" s="19" t="inlineStr">
        <is>
          <t>View Photo</t>
        </is>
      </c>
    </row>
    <row r="203">
      <c r="A203" s="17" t="inlineStr">
        <is>
          <t>D0202</t>
        </is>
      </c>
      <c r="B203" s="17" t="inlineStr">
        <is>
          <t>08/03/2026</t>
        </is>
      </c>
      <c r="C203" s="17" t="inlineStr">
        <is>
          <t>08/03/2026 12:59 PM</t>
        </is>
      </c>
      <c r="D203" s="17" t="inlineStr">
        <is>
          <t>phil Ernst</t>
        </is>
      </c>
      <c r="E203" s="17" t="inlineStr">
        <is>
          <t>Sales Rep</t>
        </is>
      </c>
      <c r="F203" s="17" t="inlineStr">
        <is>
          <t>Michael Engel</t>
        </is>
      </c>
      <c r="G203" s="17" t="inlineStr">
        <is>
          <t>29004</t>
        </is>
      </c>
      <c r="H203" s="17" t="inlineStr">
        <is>
          <t>SHOP-RITE LIQ LYNDHURST</t>
        </is>
      </c>
      <c r="I203" s="17" t="inlineStr">
        <is>
          <t>LYNDHURST</t>
        </is>
      </c>
      <c r="J203" s="17" t="inlineStr">
        <is>
          <t>Boston Beer</t>
        </is>
      </c>
      <c r="K203" s="25" t="n">
        <v>3</v>
      </c>
      <c r="L203" s="17" t="inlineStr">
        <is>
          <t>Silver (40-69)</t>
        </is>
      </c>
      <c r="M203" s="18" t="n">
        <v>65</v>
      </c>
      <c r="N203" s="18" t="n">
        <v>65</v>
      </c>
      <c r="O203" s="17" t="inlineStr">
        <is>
          <t>Priority</t>
        </is>
      </c>
      <c r="P203" s="18" t="n">
        <v>500</v>
      </c>
      <c r="Q203" s="17" t="inlineStr">
        <is>
          <t>Yes</t>
        </is>
      </c>
      <c r="R203" s="17" t="inlineStr">
        <is>
          <t>SUN CRUISERS RTD</t>
        </is>
      </c>
      <c r="S203" s="17" t="inlineStr">
        <is>
          <t>SUN CRUISERS RTD</t>
        </is>
      </c>
      <c r="T203" s="17" t="inlineStr">
        <is>
          <t>BOSTON BEER COMPANY</t>
        </is>
      </c>
      <c r="U203" s="25" t="n">
        <v>2</v>
      </c>
      <c r="V203" s="17" t="inlineStr">
        <is>
          <t>No</t>
        </is>
      </c>
      <c r="W203" s="17" t="inlineStr">
        <is>
          <t>Boston Beer (65)</t>
        </is>
      </c>
      <c r="X203" s="17" t="inlineStr">
        <is>
          <t>—</t>
        </is>
      </c>
      <c r="Y203" s="19" t="inlineStr">
        <is>
          <t>View Photo</t>
        </is>
      </c>
    </row>
    <row r="204">
      <c r="A204" s="17" t="inlineStr">
        <is>
          <t>D0203</t>
        </is>
      </c>
      <c r="B204" s="17" t="inlineStr">
        <is>
          <t>08/21/2026</t>
        </is>
      </c>
      <c r="C204" s="17" t="inlineStr">
        <is>
          <t>08/21/2026 10:01 AM</t>
        </is>
      </c>
      <c r="D204" s="17" t="inlineStr">
        <is>
          <t>patrick infante</t>
        </is>
      </c>
      <c r="E204" s="17" t="inlineStr">
        <is>
          <t>Sales Associate</t>
        </is>
      </c>
      <c r="F204" s="17" t="inlineStr">
        <is>
          <t>Denise Montes</t>
        </is>
      </c>
      <c r="G204" s="17" t="inlineStr">
        <is>
          <t>21033</t>
        </is>
      </c>
      <c r="H204" s="17" t="inlineStr">
        <is>
          <t>THE LIQUOR SHOP</t>
        </is>
      </c>
      <c r="I204" s="17" t="inlineStr">
        <is>
          <t>PATERSON</t>
        </is>
      </c>
      <c r="J204" s="17" t="inlineStr">
        <is>
          <t>Constellation</t>
        </is>
      </c>
      <c r="K204" s="25" t="n">
        <v>3</v>
      </c>
      <c r="L204" s="17" t="inlineStr">
        <is>
          <t>Silver (40-69)</t>
        </is>
      </c>
      <c r="M204" s="18" t="n">
        <v>65</v>
      </c>
      <c r="N204" s="18" t="n">
        <v>65</v>
      </c>
      <c r="O204" s="17" t="inlineStr">
        <is>
          <t>Priority</t>
        </is>
      </c>
      <c r="P204" s="18" t="n">
        <v>500</v>
      </c>
      <c r="Q204" s="17" t="inlineStr">
        <is>
          <t>Yes</t>
        </is>
      </c>
      <c r="R204" s="17" t="inlineStr">
        <is>
          <t>MODELO CERVEZA</t>
        </is>
      </c>
      <c r="S204" s="17" t="inlineStr">
        <is>
          <t>MODELO CERVEZA</t>
        </is>
      </c>
      <c r="T204" s="17" t="inlineStr">
        <is>
          <t>CONSTELLATION BRANDS</t>
        </is>
      </c>
      <c r="U204" s="25" t="n">
        <v>2</v>
      </c>
      <c r="V204" s="17" t="inlineStr">
        <is>
          <t>No</t>
        </is>
      </c>
      <c r="W204" s="17" t="inlineStr">
        <is>
          <t>Constellation (65)</t>
        </is>
      </c>
      <c r="X204" s="17" t="inlineStr">
        <is>
          <t>—</t>
        </is>
      </c>
      <c r="Y204" s="19" t="inlineStr">
        <is>
          <t>View Photo</t>
        </is>
      </c>
    </row>
    <row r="205">
      <c r="A205" s="17" t="inlineStr">
        <is>
          <t>D0204</t>
        </is>
      </c>
      <c r="B205" s="17" t="inlineStr">
        <is>
          <t>08/25/2026</t>
        </is>
      </c>
      <c r="C205" s="17" t="inlineStr">
        <is>
          <t>08/25/2026 03:27 PM</t>
        </is>
      </c>
      <c r="D205" s="17" t="inlineStr">
        <is>
          <t>phil Ernst</t>
        </is>
      </c>
      <c r="E205" s="17" t="inlineStr">
        <is>
          <t>Sales Rep</t>
        </is>
      </c>
      <c r="F205" s="17" t="inlineStr">
        <is>
          <t>Michael Engel</t>
        </is>
      </c>
      <c r="G205" s="17" t="inlineStr">
        <is>
          <t>80005</t>
        </is>
      </c>
      <c r="H205" s="17" t="inlineStr">
        <is>
          <t>SHOP RITE LIQ (PARAMUS)</t>
        </is>
      </c>
      <c r="I205" s="17" t="inlineStr">
        <is>
          <t>PARAMUS</t>
        </is>
      </c>
      <c r="J205" s="17" t="inlineStr">
        <is>
          <t>Molson Coors</t>
        </is>
      </c>
      <c r="K205" s="25" t="n">
        <v>3</v>
      </c>
      <c r="L205" s="17" t="inlineStr">
        <is>
          <t>Silver (40-69)</t>
        </is>
      </c>
      <c r="M205" s="18" t="n">
        <v>65</v>
      </c>
      <c r="N205" s="18" t="n">
        <v>65</v>
      </c>
      <c r="O205" s="17" t="inlineStr">
        <is>
          <t>Priority</t>
        </is>
      </c>
      <c r="P205" s="18" t="n">
        <v>500</v>
      </c>
      <c r="Q205" s="17" t="inlineStr">
        <is>
          <t>Yes</t>
        </is>
      </c>
      <c r="R205" s="17" t="inlineStr">
        <is>
          <t>MILLER LITE</t>
        </is>
      </c>
      <c r="S205" s="17" t="inlineStr">
        <is>
          <t>MILLER LITE</t>
        </is>
      </c>
      <c r="T205" s="17" t="inlineStr">
        <is>
          <t>MOLSON COORS BEVERAGE COMPANY</t>
        </is>
      </c>
      <c r="U205" s="25" t="n">
        <v>3</v>
      </c>
      <c r="V205" s="17" t="inlineStr">
        <is>
          <t>No</t>
        </is>
      </c>
      <c r="W205" s="17" t="inlineStr">
        <is>
          <t>Molson Coors (65)</t>
        </is>
      </c>
      <c r="X205" s="17" t="inlineStr">
        <is>
          <t>—</t>
        </is>
      </c>
      <c r="Y205" s="19" t="inlineStr">
        <is>
          <t>View Photo</t>
        </is>
      </c>
    </row>
    <row r="206">
      <c r="A206" s="17" t="inlineStr">
        <is>
          <t>D0205</t>
        </is>
      </c>
      <c r="B206" s="17" t="inlineStr">
        <is>
          <t>07/15/2026</t>
        </is>
      </c>
      <c r="C206" s="17" t="inlineStr">
        <is>
          <t>07/15/2026 10:55 AM</t>
        </is>
      </c>
      <c r="D206" s="17" t="inlineStr">
        <is>
          <t>Jayson Romine</t>
        </is>
      </c>
      <c r="E206" s="17" t="inlineStr">
        <is>
          <t>Sales Rep</t>
        </is>
      </c>
      <c r="F206" s="17" t="inlineStr">
        <is>
          <t>Paul Deady</t>
        </is>
      </c>
      <c r="G206" s="17" t="inlineStr">
        <is>
          <t>230105</t>
        </is>
      </c>
      <c r="H206" s="17" t="inlineStr">
        <is>
          <t>SHOPRITE WINES &amp; SPIRITS OF SPARTA</t>
        </is>
      </c>
      <c r="I206" s="17" t="inlineStr">
        <is>
          <t>SPARTA</t>
        </is>
      </c>
      <c r="J206" s="17" t="inlineStr">
        <is>
          <t>Boston Beer</t>
        </is>
      </c>
      <c r="K206" s="25" t="n">
        <v>3</v>
      </c>
      <c r="L206" s="17" t="inlineStr">
        <is>
          <t>Silver (40-69)</t>
        </is>
      </c>
      <c r="M206" s="18" t="n">
        <v>64</v>
      </c>
      <c r="N206" s="18" t="n">
        <v>64</v>
      </c>
      <c r="O206" s="17" t="inlineStr">
        <is>
          <t>Priority</t>
        </is>
      </c>
      <c r="P206" s="18" t="n">
        <v>500</v>
      </c>
      <c r="Q206" s="17" t="inlineStr">
        <is>
          <t>Yes</t>
        </is>
      </c>
      <c r="R206" s="17" t="inlineStr">
        <is>
          <t>TWISTED TEA</t>
        </is>
      </c>
      <c r="S206" s="17" t="inlineStr">
        <is>
          <t>TWISTED TEA</t>
        </is>
      </c>
      <c r="T206" s="17" t="inlineStr">
        <is>
          <t>BOSTON BEER COMPANY</t>
        </is>
      </c>
      <c r="U206" s="25" t="n">
        <v>3</v>
      </c>
      <c r="V206" s="17" t="inlineStr">
        <is>
          <t>No</t>
        </is>
      </c>
      <c r="W206" s="17" t="inlineStr">
        <is>
          <t>Boston Beer (64)</t>
        </is>
      </c>
      <c r="X206" s="17" t="inlineStr">
        <is>
          <t>—</t>
        </is>
      </c>
      <c r="Y206" s="19" t="inlineStr">
        <is>
          <t>View Photo</t>
        </is>
      </c>
    </row>
    <row r="207">
      <c r="A207" s="17" t="inlineStr">
        <is>
          <t>D0206</t>
        </is>
      </c>
      <c r="B207" s="17" t="inlineStr">
        <is>
          <t>07/15/2026</t>
        </is>
      </c>
      <c r="C207" s="17" t="inlineStr">
        <is>
          <t>07/15/2026 10:58 AM</t>
        </is>
      </c>
      <c r="D207" s="17" t="inlineStr">
        <is>
          <t>Shane Barreca</t>
        </is>
      </c>
      <c r="E207" s="17" t="inlineStr">
        <is>
          <t>Sales Rep</t>
        </is>
      </c>
      <c r="F207" s="17" t="inlineStr">
        <is>
          <t>Paul Deady</t>
        </is>
      </c>
      <c r="G207" s="17" t="inlineStr">
        <is>
          <t>73008</t>
        </is>
      </c>
      <c r="H207" s="17" t="inlineStr">
        <is>
          <t>SHOP RITE LIQ (A)HILLSDAL</t>
        </is>
      </c>
      <c r="I207" s="17" t="inlineStr">
        <is>
          <t>HILLSDALE</t>
        </is>
      </c>
      <c r="J207" s="17" t="inlineStr">
        <is>
          <t>HUSA (Heineken USA)</t>
        </is>
      </c>
      <c r="K207" s="25" t="n">
        <v>3</v>
      </c>
      <c r="L207" s="17" t="inlineStr">
        <is>
          <t>Silver (40-69)</t>
        </is>
      </c>
      <c r="M207" s="18" t="n">
        <v>63</v>
      </c>
      <c r="N207" s="18" t="n">
        <v>63</v>
      </c>
      <c r="O207" s="17" t="inlineStr">
        <is>
          <t>Priority</t>
        </is>
      </c>
      <c r="P207" s="18" t="n">
        <v>500</v>
      </c>
      <c r="Q207" s="17" t="inlineStr">
        <is>
          <t>Yes</t>
        </is>
      </c>
      <c r="R207" s="17" t="inlineStr">
        <is>
          <t>HEINEKEN</t>
        </is>
      </c>
      <c r="S207" s="17" t="inlineStr">
        <is>
          <t>HEINEKEN</t>
        </is>
      </c>
      <c r="T207" s="17" t="inlineStr">
        <is>
          <t>HEINEKEN</t>
        </is>
      </c>
      <c r="U207" s="25" t="n">
        <v>5</v>
      </c>
      <c r="V207" s="17" t="inlineStr">
        <is>
          <t>No</t>
        </is>
      </c>
      <c r="W207" s="17" t="inlineStr">
        <is>
          <t>HUSA (Heineken USA) (63)</t>
        </is>
      </c>
      <c r="X207" s="17" t="inlineStr">
        <is>
          <t>—</t>
        </is>
      </c>
      <c r="Y207" s="19" t="inlineStr">
        <is>
          <t>View Photo</t>
        </is>
      </c>
    </row>
    <row r="208">
      <c r="A208" s="17" t="inlineStr">
        <is>
          <t>D0207</t>
        </is>
      </c>
      <c r="B208" s="17" t="inlineStr">
        <is>
          <t>07/13/2026</t>
        </is>
      </c>
      <c r="C208" s="17" t="inlineStr">
        <is>
          <t>07/13/2026 09:20 AM</t>
        </is>
      </c>
      <c r="D208" s="17" t="inlineStr">
        <is>
          <t>Shane Barreca</t>
        </is>
      </c>
      <c r="E208" s="17" t="inlineStr">
        <is>
          <t>Sales Rep</t>
        </is>
      </c>
      <c r="F208" s="17" t="inlineStr">
        <is>
          <t>Paul Deady</t>
        </is>
      </c>
      <c r="G208" s="17" t="inlineStr">
        <is>
          <t>75002</t>
        </is>
      </c>
      <c r="H208" s="17" t="inlineStr">
        <is>
          <t>SHOP RITE LIQ (A)EMERSON</t>
        </is>
      </c>
      <c r="I208" s="17" t="inlineStr">
        <is>
          <t>EMERSON</t>
        </is>
      </c>
      <c r="J208" s="17" t="inlineStr">
        <is>
          <t>HUSA (Heineken USA)</t>
        </is>
      </c>
      <c r="K208" s="25" t="n">
        <v>3</v>
      </c>
      <c r="L208" s="17" t="inlineStr">
        <is>
          <t>Silver (40-69)</t>
        </is>
      </c>
      <c r="M208" s="18" t="n">
        <v>61</v>
      </c>
      <c r="N208" s="18" t="n">
        <v>61</v>
      </c>
      <c r="O208" s="17" t="inlineStr">
        <is>
          <t>Priority</t>
        </is>
      </c>
      <c r="P208" s="18" t="n">
        <v>500</v>
      </c>
      <c r="Q208" s="17" t="inlineStr">
        <is>
          <t>Yes</t>
        </is>
      </c>
      <c r="R208" s="17" t="inlineStr">
        <is>
          <t>HEINEKEN</t>
        </is>
      </c>
      <c r="S208" s="17" t="inlineStr">
        <is>
          <t>HEINEKEN</t>
        </is>
      </c>
      <c r="T208" s="17" t="inlineStr">
        <is>
          <t>HEINEKEN</t>
        </is>
      </c>
      <c r="U208" s="25" t="n">
        <v>3</v>
      </c>
      <c r="V208" s="17" t="inlineStr">
        <is>
          <t>No</t>
        </is>
      </c>
      <c r="W208" s="17" t="inlineStr">
        <is>
          <t>HUSA (Heineken USA) (61)</t>
        </is>
      </c>
      <c r="X208" s="17" t="inlineStr">
        <is>
          <t>—</t>
        </is>
      </c>
      <c r="Y208" s="19" t="inlineStr">
        <is>
          <t>View Photo</t>
        </is>
      </c>
    </row>
    <row r="209">
      <c r="A209" s="17" t="inlineStr">
        <is>
          <t>D0208</t>
        </is>
      </c>
      <c r="B209" s="17" t="inlineStr">
        <is>
          <t>08/11/2026</t>
        </is>
      </c>
      <c r="C209" s="17" t="inlineStr">
        <is>
          <t>08/11/2026 03:54 PM</t>
        </is>
      </c>
      <c r="D209" s="17" t="inlineStr">
        <is>
          <t>Michael Harboy</t>
        </is>
      </c>
      <c r="E209" s="17" t="inlineStr">
        <is>
          <t>Sales Rep</t>
        </is>
      </c>
      <c r="F209" s="17" t="inlineStr">
        <is>
          <t>Mike Kennedy</t>
        </is>
      </c>
      <c r="G209" s="17" t="inlineStr">
        <is>
          <t>11014</t>
        </is>
      </c>
      <c r="H209" s="17" t="inlineStr">
        <is>
          <t>WAYNE LIQUOR LOCKER</t>
        </is>
      </c>
      <c r="I209" s="17" t="inlineStr">
        <is>
          <t>WAYNE</t>
        </is>
      </c>
      <c r="J209" s="17" t="inlineStr">
        <is>
          <t>Mark Anthony</t>
        </is>
      </c>
      <c r="K209" s="25" t="n">
        <v>3</v>
      </c>
      <c r="L209" s="17" t="inlineStr">
        <is>
          <t>Silver (40-69)</t>
        </is>
      </c>
      <c r="M209" s="18" t="n">
        <v>61</v>
      </c>
      <c r="N209" s="18" t="n">
        <v>61</v>
      </c>
      <c r="O209" s="17" t="inlineStr">
        <is>
          <t>Priority</t>
        </is>
      </c>
      <c r="P209" s="18" t="n">
        <v>500</v>
      </c>
      <c r="Q209" s="17" t="inlineStr">
        <is>
          <t>Yes</t>
        </is>
      </c>
      <c r="R209" s="17" t="inlineStr">
        <is>
          <t>WHITE CLAW ORIGINAL HARD SELTZER</t>
        </is>
      </c>
      <c r="S209" s="17" t="inlineStr">
        <is>
          <t>WHITE CLAW CLAWTAILS, WHITE CLAW ORIGINAL HARD SELTZER, WHITE CLAW SURF HARD SELTZER, WHITE CLAW ZERO</t>
        </is>
      </c>
      <c r="T209" s="17" t="inlineStr">
        <is>
          <t>MARK ANTHONY GROUP</t>
        </is>
      </c>
      <c r="U209" s="25" t="n">
        <v>8</v>
      </c>
      <c r="V209" s="17" t="inlineStr">
        <is>
          <t>No</t>
        </is>
      </c>
      <c r="W209" s="17" t="inlineStr">
        <is>
          <t>Mark Anthony (61)</t>
        </is>
      </c>
      <c r="X209" s="17" t="inlineStr">
        <is>
          <t>—</t>
        </is>
      </c>
      <c r="Y209" s="19" t="inlineStr">
        <is>
          <t>View Photo</t>
        </is>
      </c>
    </row>
    <row r="210">
      <c r="A210" s="17" t="inlineStr">
        <is>
          <t>D0209</t>
        </is>
      </c>
      <c r="B210" s="17" t="inlineStr">
        <is>
          <t>07/02/2026</t>
        </is>
      </c>
      <c r="C210" s="17" t="inlineStr">
        <is>
          <t>07/02/2026 01:44 PM</t>
        </is>
      </c>
      <c r="D210" s="17" t="inlineStr">
        <is>
          <t>phil Ernst</t>
        </is>
      </c>
      <c r="E210" s="17" t="inlineStr">
        <is>
          <t>Sales Rep</t>
        </is>
      </c>
      <c r="F210" s="17" t="inlineStr">
        <is>
          <t>Michael Engel</t>
        </is>
      </c>
      <c r="G210" s="17" t="inlineStr">
        <is>
          <t>83010</t>
        </is>
      </c>
      <c r="H210" s="17" t="inlineStr">
        <is>
          <t>BOTTLE KING (A) GLEN ROCK</t>
        </is>
      </c>
      <c r="I210" s="17" t="inlineStr">
        <is>
          <t>GLEN ROCK</t>
        </is>
      </c>
      <c r="J210" s="17" t="inlineStr">
        <is>
          <t>Constellation</t>
        </is>
      </c>
      <c r="K210" s="25" t="n">
        <v>3</v>
      </c>
      <c r="L210" s="17" t="inlineStr">
        <is>
          <t>Silver (40-69)</t>
        </is>
      </c>
      <c r="M210" s="18" t="n">
        <v>60</v>
      </c>
      <c r="N210" s="18" t="n">
        <v>60</v>
      </c>
      <c r="O210" s="17" t="inlineStr">
        <is>
          <t>Priority</t>
        </is>
      </c>
      <c r="P210" s="18" t="n">
        <v>500</v>
      </c>
      <c r="Q210" s="17" t="inlineStr">
        <is>
          <t>Yes</t>
        </is>
      </c>
      <c r="R210" s="17" t="inlineStr">
        <is>
          <t>MODELO CERVEZA</t>
        </is>
      </c>
      <c r="S210" s="17" t="inlineStr">
        <is>
          <t>MODELO CERVEZA</t>
        </is>
      </c>
      <c r="T210" s="17" t="inlineStr">
        <is>
          <t>CONSTELLATION BRANDS</t>
        </is>
      </c>
      <c r="U210" s="25" t="n">
        <v>2</v>
      </c>
      <c r="V210" s="17" t="inlineStr">
        <is>
          <t>No</t>
        </is>
      </c>
      <c r="W210" s="17" t="inlineStr">
        <is>
          <t>Constellation (60)</t>
        </is>
      </c>
      <c r="X210" s="17" t="inlineStr">
        <is>
          <t>—</t>
        </is>
      </c>
      <c r="Y210" s="19" t="inlineStr">
        <is>
          <t>View Photo</t>
        </is>
      </c>
    </row>
    <row r="211">
      <c r="A211" s="17" t="inlineStr">
        <is>
          <t>D0210</t>
        </is>
      </c>
      <c r="B211" s="17" t="inlineStr">
        <is>
          <t>07/02/2026</t>
        </is>
      </c>
      <c r="C211" s="17" t="inlineStr">
        <is>
          <t>07/02/2026 01:56 PM</t>
        </is>
      </c>
      <c r="D211" s="17" t="inlineStr">
        <is>
          <t>phil Ernst</t>
        </is>
      </c>
      <c r="E211" s="17" t="inlineStr">
        <is>
          <t>Sales Rep</t>
        </is>
      </c>
      <c r="F211" s="17" t="inlineStr">
        <is>
          <t>Michael Engel</t>
        </is>
      </c>
      <c r="G211" s="17" t="inlineStr">
        <is>
          <t>83010</t>
        </is>
      </c>
      <c r="H211" s="17" t="inlineStr">
        <is>
          <t>BOTTLE KING (A) GLEN ROCK</t>
        </is>
      </c>
      <c r="I211" s="17" t="inlineStr">
        <is>
          <t>GLEN ROCK</t>
        </is>
      </c>
      <c r="J211" s="17" t="inlineStr">
        <is>
          <t>Molson Coors</t>
        </is>
      </c>
      <c r="K211" s="25" t="n">
        <v>3</v>
      </c>
      <c r="L211" s="17" t="inlineStr">
        <is>
          <t>Silver (40-69)</t>
        </is>
      </c>
      <c r="M211" s="18" t="n">
        <v>60</v>
      </c>
      <c r="N211" s="18" t="n">
        <v>60</v>
      </c>
      <c r="O211" s="17" t="inlineStr">
        <is>
          <t>Priority</t>
        </is>
      </c>
      <c r="P211" s="18" t="n">
        <v>500</v>
      </c>
      <c r="Q211" s="17" t="inlineStr">
        <is>
          <t>Yes</t>
        </is>
      </c>
      <c r="R211" s="17" t="inlineStr">
        <is>
          <t>COORS LIGHT</t>
        </is>
      </c>
      <c r="S211" s="17" t="inlineStr">
        <is>
          <t>COORS LIGHT</t>
        </is>
      </c>
      <c r="T211" s="17" t="inlineStr">
        <is>
          <t>MOLSON COORS BEVERAGE COMPANY</t>
        </is>
      </c>
      <c r="U211" s="25" t="n">
        <v>1</v>
      </c>
      <c r="V211" s="17" t="inlineStr">
        <is>
          <t>No</t>
        </is>
      </c>
      <c r="W211" s="17" t="inlineStr">
        <is>
          <t>Molson Coors (60)</t>
        </is>
      </c>
      <c r="X211" s="17" t="inlineStr">
        <is>
          <t>—</t>
        </is>
      </c>
      <c r="Y211" s="19" t="inlineStr">
        <is>
          <t>View Photo</t>
        </is>
      </c>
    </row>
    <row r="212">
      <c r="A212" s="17" t="inlineStr">
        <is>
          <t>D0211</t>
        </is>
      </c>
      <c r="B212" s="17" t="inlineStr">
        <is>
          <t>07/06/2026</t>
        </is>
      </c>
      <c r="C212" s="17" t="inlineStr">
        <is>
          <t>07/06/2026 08:49 AM</t>
        </is>
      </c>
      <c r="D212" s="17" t="inlineStr">
        <is>
          <t>John Neukum</t>
        </is>
      </c>
      <c r="E212" s="17" t="inlineStr">
        <is>
          <t>Sales Rep</t>
        </is>
      </c>
      <c r="F212" s="17" t="inlineStr">
        <is>
          <t>Michael Engel</t>
        </is>
      </c>
      <c r="G212" s="17" t="inlineStr">
        <is>
          <t>31019</t>
        </is>
      </c>
      <c r="H212" s="17" t="inlineStr">
        <is>
          <t>BJ'S WAREHOUSE E RUTHERFO</t>
        </is>
      </c>
      <c r="I212" s="17" t="inlineStr">
        <is>
          <t>EAST RUTHERFORD</t>
        </is>
      </c>
      <c r="J212" s="17" t="inlineStr">
        <is>
          <t>Boston Beer</t>
        </is>
      </c>
      <c r="K212" s="25" t="n">
        <v>3</v>
      </c>
      <c r="L212" s="17" t="inlineStr">
        <is>
          <t>Silver (40-69)</t>
        </is>
      </c>
      <c r="M212" s="18" t="n">
        <v>60</v>
      </c>
      <c r="N212" s="18" t="n">
        <v>60</v>
      </c>
      <c r="O212" s="17" t="inlineStr">
        <is>
          <t>Priority</t>
        </is>
      </c>
      <c r="P212" s="18" t="n">
        <v>500</v>
      </c>
      <c r="Q212" s="17" t="inlineStr">
        <is>
          <t>Yes</t>
        </is>
      </c>
      <c r="R212" s="17" t="inlineStr">
        <is>
          <t>TWISTED TEA</t>
        </is>
      </c>
      <c r="S212" s="17" t="inlineStr">
        <is>
          <t>TWISTED TEA</t>
        </is>
      </c>
      <c r="T212" s="17" t="inlineStr">
        <is>
          <t>BOSTON BEER COMPANY</t>
        </is>
      </c>
      <c r="U212" s="25" t="n">
        <v>1</v>
      </c>
      <c r="V212" s="17" t="inlineStr">
        <is>
          <t>No</t>
        </is>
      </c>
      <c r="W212" s="17" t="inlineStr">
        <is>
          <t>Boston Beer (60)</t>
        </is>
      </c>
      <c r="X212" s="17" t="inlineStr">
        <is>
          <t>—</t>
        </is>
      </c>
      <c r="Y212" s="19" t="inlineStr">
        <is>
          <t>View Photo</t>
        </is>
      </c>
    </row>
    <row r="213">
      <c r="A213" s="17" t="inlineStr">
        <is>
          <t>D0212</t>
        </is>
      </c>
      <c r="B213" s="17" t="inlineStr">
        <is>
          <t>07/08/2026</t>
        </is>
      </c>
      <c r="C213" s="17" t="inlineStr">
        <is>
          <t>07/08/2026 01:30 PM</t>
        </is>
      </c>
      <c r="D213" s="17" t="inlineStr">
        <is>
          <t>mickey obrien</t>
        </is>
      </c>
      <c r="E213" s="17" t="inlineStr">
        <is>
          <t>Sales Associate</t>
        </is>
      </c>
      <c r="F213" s="17" t="inlineStr">
        <is>
          <t>Michael Engel</t>
        </is>
      </c>
      <c r="G213" s="17" t="inlineStr">
        <is>
          <t>14007</t>
        </is>
      </c>
      <c r="H213" s="17" t="inlineStr">
        <is>
          <t>TOTAL WINE &amp; MORE (TOTOWA)</t>
        </is>
      </c>
      <c r="I213" s="17" t="inlineStr">
        <is>
          <t>TOTOWA</t>
        </is>
      </c>
      <c r="J213" s="17" t="inlineStr">
        <is>
          <t>Mark Anthony</t>
        </is>
      </c>
      <c r="K213" s="25" t="n">
        <v>3</v>
      </c>
      <c r="L213" s="17" t="inlineStr">
        <is>
          <t>Silver (40-69)</t>
        </is>
      </c>
      <c r="M213" s="18" t="n">
        <v>60</v>
      </c>
      <c r="N213" s="18" t="n">
        <v>60</v>
      </c>
      <c r="O213" s="17" t="inlineStr">
        <is>
          <t>Priority</t>
        </is>
      </c>
      <c r="P213" s="18" t="n">
        <v>500</v>
      </c>
      <c r="Q213" s="17" t="inlineStr">
        <is>
          <t>Yes</t>
        </is>
      </c>
      <c r="R213" s="17" t="inlineStr">
        <is>
          <t>WHITE CLAW VODKA + SODA</t>
        </is>
      </c>
      <c r="S213" s="17" t="inlineStr">
        <is>
          <t>WHITE CLAW VODKA + SODA</t>
        </is>
      </c>
      <c r="T213" s="17" t="inlineStr">
        <is>
          <t>MARK ANTHONY GROUP</t>
        </is>
      </c>
      <c r="U213" s="25" t="n">
        <v>1</v>
      </c>
      <c r="V213" s="17" t="inlineStr">
        <is>
          <t>No</t>
        </is>
      </c>
      <c r="W213" s="17" t="inlineStr">
        <is>
          <t>Mark Anthony (60)</t>
        </is>
      </c>
      <c r="X213" s="17" t="inlineStr">
        <is>
          <t>—</t>
        </is>
      </c>
      <c r="Y213" s="19" t="inlineStr">
        <is>
          <t>View Photo</t>
        </is>
      </c>
    </row>
    <row r="214">
      <c r="A214" s="17" t="inlineStr">
        <is>
          <t>D0213</t>
        </is>
      </c>
      <c r="B214" s="17" t="inlineStr">
        <is>
          <t>07/14/2026</t>
        </is>
      </c>
      <c r="C214" s="17" t="inlineStr">
        <is>
          <t>07/14/2026 02:47 PM</t>
        </is>
      </c>
      <c r="D214" s="17" t="inlineStr">
        <is>
          <t>mickey obrien</t>
        </is>
      </c>
      <c r="E214" s="17" t="inlineStr">
        <is>
          <t>Sales Associate</t>
        </is>
      </c>
      <c r="F214" s="17" t="inlineStr">
        <is>
          <t>Michael Engel</t>
        </is>
      </c>
      <c r="G214" s="17" t="inlineStr">
        <is>
          <t>58001</t>
        </is>
      </c>
      <c r="H214" s="17" t="inlineStr">
        <is>
          <t>TOTAL WINE &amp; MORE (RIVER EDGE)</t>
        </is>
      </c>
      <c r="I214" s="17" t="inlineStr">
        <is>
          <t>RIVER EDGE</t>
        </is>
      </c>
      <c r="J214" s="17" t="inlineStr">
        <is>
          <t>Molson Coors</t>
        </is>
      </c>
      <c r="K214" s="25" t="n">
        <v>3</v>
      </c>
      <c r="L214" s="17" t="inlineStr">
        <is>
          <t>Silver (40-69)</t>
        </is>
      </c>
      <c r="M214" s="18" t="n">
        <v>60</v>
      </c>
      <c r="N214" s="18" t="n">
        <v>60</v>
      </c>
      <c r="O214" s="17" t="inlineStr">
        <is>
          <t>Priority</t>
        </is>
      </c>
      <c r="P214" s="18" t="n">
        <v>500</v>
      </c>
      <c r="Q214" s="17" t="inlineStr">
        <is>
          <t>Yes</t>
        </is>
      </c>
      <c r="R214" s="17" t="inlineStr">
        <is>
          <t>PERONI NASTRO AZZURRO</t>
        </is>
      </c>
      <c r="S214" s="17" t="inlineStr">
        <is>
          <t>PERONI NASTRO AZZURRO</t>
        </is>
      </c>
      <c r="T214" s="17" t="inlineStr">
        <is>
          <t>MOLSON COORS BEVERAGE COMPANY</t>
        </is>
      </c>
      <c r="U214" s="25" t="n">
        <v>1</v>
      </c>
      <c r="V214" s="17" t="inlineStr">
        <is>
          <t>No</t>
        </is>
      </c>
      <c r="W214" s="17" t="inlineStr">
        <is>
          <t>Molson Coors (60)</t>
        </is>
      </c>
      <c r="X214" s="17" t="inlineStr">
        <is>
          <t>—</t>
        </is>
      </c>
      <c r="Y214" s="19" t="inlineStr">
        <is>
          <t>View Photo</t>
        </is>
      </c>
    </row>
    <row r="215">
      <c r="A215" s="17" t="inlineStr">
        <is>
          <t>D0214</t>
        </is>
      </c>
      <c r="B215" s="17" t="inlineStr">
        <is>
          <t>07/15/2026</t>
        </is>
      </c>
      <c r="C215" s="17" t="inlineStr">
        <is>
          <t>07/15/2026 02:29 PM</t>
        </is>
      </c>
      <c r="D215" s="17" t="inlineStr">
        <is>
          <t>John Neukum</t>
        </is>
      </c>
      <c r="E215" s="17" t="inlineStr">
        <is>
          <t>Sales Rep</t>
        </is>
      </c>
      <c r="F215" s="17" t="inlineStr">
        <is>
          <t>Michael Engel</t>
        </is>
      </c>
      <c r="G215" s="17" t="inlineStr">
        <is>
          <t>24010</t>
        </is>
      </c>
      <c r="H215" s="17" t="inlineStr">
        <is>
          <t>WESTERN BEV 21088 CLIFT</t>
        </is>
      </c>
      <c r="I215" s="17" t="inlineStr">
        <is>
          <t>CLIFTON</t>
        </is>
      </c>
      <c r="J215" s="17" t="inlineStr">
        <is>
          <t>Constellation</t>
        </is>
      </c>
      <c r="K215" s="25" t="n">
        <v>3</v>
      </c>
      <c r="L215" s="17" t="inlineStr">
        <is>
          <t>Silver (40-69)</t>
        </is>
      </c>
      <c r="M215" s="18" t="n">
        <v>60</v>
      </c>
      <c r="N215" s="18" t="n">
        <v>60</v>
      </c>
      <c r="O215" s="17" t="inlineStr">
        <is>
          <t>Priority</t>
        </is>
      </c>
      <c r="P215" s="18" t="n">
        <v>500</v>
      </c>
      <c r="Q215" s="17" t="inlineStr">
        <is>
          <t>Yes</t>
        </is>
      </c>
      <c r="R215" s="17" t="inlineStr">
        <is>
          <t>CORONA</t>
        </is>
      </c>
      <c r="S215" s="17" t="inlineStr">
        <is>
          <t>CORONA</t>
        </is>
      </c>
      <c r="T215" s="17" t="inlineStr">
        <is>
          <t>CONSTELLATION BRANDS</t>
        </is>
      </c>
      <c r="U215" s="25" t="n">
        <v>1</v>
      </c>
      <c r="V215" s="17" t="inlineStr">
        <is>
          <t>No</t>
        </is>
      </c>
      <c r="W215" s="17" t="inlineStr">
        <is>
          <t>Constellation (60)</t>
        </is>
      </c>
      <c r="X215" s="17" t="inlineStr">
        <is>
          <t>—</t>
        </is>
      </c>
      <c r="Y215" s="19" t="inlineStr">
        <is>
          <t>View Photo</t>
        </is>
      </c>
    </row>
    <row r="216">
      <c r="A216" s="17" t="inlineStr">
        <is>
          <t>D0215</t>
        </is>
      </c>
      <c r="B216" s="17" t="inlineStr">
        <is>
          <t>07/15/2026</t>
        </is>
      </c>
      <c r="C216" s="17" t="inlineStr">
        <is>
          <t>07/15/2026 12:33 PM</t>
        </is>
      </c>
      <c r="D216" s="17" t="inlineStr">
        <is>
          <t>Matthew Powierski</t>
        </is>
      </c>
      <c r="E216" s="17" t="inlineStr">
        <is>
          <t>Sales Rep</t>
        </is>
      </c>
      <c r="F216" s="17" t="inlineStr">
        <is>
          <t>Denise Montes</t>
        </is>
      </c>
      <c r="G216" s="17" t="inlineStr">
        <is>
          <t>31004</t>
        </is>
      </c>
      <c r="H216" s="17" t="inlineStr">
        <is>
          <t>METRO LIQUORS (EAST RUTHERFORD)</t>
        </is>
      </c>
      <c r="I216" s="17" t="inlineStr">
        <is>
          <t>EAST RUTHERFORD</t>
        </is>
      </c>
      <c r="J216" s="17" t="inlineStr">
        <is>
          <t>Mark Anthony</t>
        </is>
      </c>
      <c r="K216" s="25" t="n">
        <v>3</v>
      </c>
      <c r="L216" s="17" t="inlineStr">
        <is>
          <t>Silver (40-69)</t>
        </is>
      </c>
      <c r="M216" s="18" t="n">
        <v>60</v>
      </c>
      <c r="N216" s="18" t="n">
        <v>60</v>
      </c>
      <c r="O216" s="17" t="inlineStr">
        <is>
          <t>Priority</t>
        </is>
      </c>
      <c r="P216" s="18" t="n">
        <v>500</v>
      </c>
      <c r="Q216" s="17" t="inlineStr">
        <is>
          <t>Yes</t>
        </is>
      </c>
      <c r="R216" s="17" t="inlineStr">
        <is>
          <t>WHITE CLAW ORIGINAL HARD SELTZER</t>
        </is>
      </c>
      <c r="S216" s="17" t="inlineStr">
        <is>
          <t>WHITE CLAW ORIGINAL HARD SELTZER</t>
        </is>
      </c>
      <c r="T216" s="17" t="inlineStr">
        <is>
          <t>MARK ANTHONY GROUP</t>
        </is>
      </c>
      <c r="U216" s="25" t="n">
        <v>1</v>
      </c>
      <c r="V216" s="17" t="inlineStr">
        <is>
          <t>No</t>
        </is>
      </c>
      <c r="W216" s="17" t="inlineStr">
        <is>
          <t>Mark Anthony (60)</t>
        </is>
      </c>
      <c r="X216" s="17" t="inlineStr">
        <is>
          <t>—</t>
        </is>
      </c>
      <c r="Y216" s="19" t="inlineStr">
        <is>
          <t>View Photo</t>
        </is>
      </c>
    </row>
    <row r="217">
      <c r="A217" s="17" t="inlineStr">
        <is>
          <t>D0216</t>
        </is>
      </c>
      <c r="B217" s="17" t="inlineStr">
        <is>
          <t>07/20/2026</t>
        </is>
      </c>
      <c r="C217" s="17" t="inlineStr">
        <is>
          <t>07/20/2026 11:03 AM</t>
        </is>
      </c>
      <c r="D217" s="17" t="inlineStr">
        <is>
          <t>Mike Ast</t>
        </is>
      </c>
      <c r="E217" s="17" t="inlineStr">
        <is>
          <t>Sales Rep</t>
        </is>
      </c>
      <c r="F217" s="17" t="inlineStr">
        <is>
          <t>Paul Deady</t>
        </is>
      </c>
      <c r="G217" s="17" t="inlineStr">
        <is>
          <t>17010</t>
        </is>
      </c>
      <c r="H217" s="17" t="inlineStr">
        <is>
          <t>FRANK'S FINE WINE &amp; FOODS</t>
        </is>
      </c>
      <c r="I217" s="17" t="inlineStr">
        <is>
          <t>HALEDON</t>
        </is>
      </c>
      <c r="J217" s="17" t="inlineStr">
        <is>
          <t>Constellation</t>
        </is>
      </c>
      <c r="K217" s="25" t="n">
        <v>3</v>
      </c>
      <c r="L217" s="17" t="inlineStr">
        <is>
          <t>Silver (40-69)</t>
        </is>
      </c>
      <c r="M217" s="18" t="n">
        <v>60</v>
      </c>
      <c r="N217" s="18" t="n">
        <v>60</v>
      </c>
      <c r="O217" s="17" t="inlineStr">
        <is>
          <t>Priority</t>
        </is>
      </c>
      <c r="P217" s="18" t="n">
        <v>500</v>
      </c>
      <c r="Q217" s="17" t="inlineStr">
        <is>
          <t>Yes</t>
        </is>
      </c>
      <c r="R217" s="17" t="inlineStr">
        <is>
          <t>MODELO CERVEZA</t>
        </is>
      </c>
      <c r="S217" s="17" t="inlineStr">
        <is>
          <t>CORONA, CORONA EXTRA, MODELO CERVEZA</t>
        </is>
      </c>
      <c r="T217" s="17" t="inlineStr">
        <is>
          <t>CONSTELLATION BRANDS</t>
        </is>
      </c>
      <c r="U217" s="25" t="n">
        <v>3</v>
      </c>
      <c r="V217" s="17" t="inlineStr">
        <is>
          <t>No</t>
        </is>
      </c>
      <c r="W217" s="17" t="inlineStr">
        <is>
          <t>Constellation (60)</t>
        </is>
      </c>
      <c r="X217" s="17" t="inlineStr">
        <is>
          <t>—</t>
        </is>
      </c>
      <c r="Y217" s="19" t="inlineStr">
        <is>
          <t>View Photo</t>
        </is>
      </c>
    </row>
    <row r="218">
      <c r="A218" s="17" t="inlineStr">
        <is>
          <t>D0217</t>
        </is>
      </c>
      <c r="B218" s="17" t="inlineStr">
        <is>
          <t>07/24/2026</t>
        </is>
      </c>
      <c r="C218" s="17" t="inlineStr">
        <is>
          <t>07/24/2026 11:47 AM</t>
        </is>
      </c>
      <c r="D218" s="17" t="inlineStr">
        <is>
          <t>John Neukum</t>
        </is>
      </c>
      <c r="E218" s="17" t="inlineStr">
        <is>
          <t>Sales Rep</t>
        </is>
      </c>
      <c r="F218" s="17" t="inlineStr">
        <is>
          <t>Michael Engel</t>
        </is>
      </c>
      <c r="G218" s="17" t="inlineStr">
        <is>
          <t>31019</t>
        </is>
      </c>
      <c r="H218" s="17" t="inlineStr">
        <is>
          <t>BJ'S WAREHOUSE E RUTHERFO</t>
        </is>
      </c>
      <c r="I218" s="17" t="inlineStr">
        <is>
          <t>EAST RUTHERFORD</t>
        </is>
      </c>
      <c r="J218" s="17" t="inlineStr">
        <is>
          <t>Molson Coors</t>
        </is>
      </c>
      <c r="K218" s="25" t="n">
        <v>3</v>
      </c>
      <c r="L218" s="17" t="inlineStr">
        <is>
          <t>Silver (40-69)</t>
        </is>
      </c>
      <c r="M218" s="18" t="n">
        <v>60</v>
      </c>
      <c r="N218" s="18" t="n">
        <v>60</v>
      </c>
      <c r="O218" s="17" t="inlineStr">
        <is>
          <t>Priority</t>
        </is>
      </c>
      <c r="P218" s="18" t="n">
        <v>500</v>
      </c>
      <c r="Q218" s="17" t="inlineStr">
        <is>
          <t>Yes</t>
        </is>
      </c>
      <c r="R218" s="17" t="inlineStr">
        <is>
          <t>COORS LIGHT</t>
        </is>
      </c>
      <c r="S218" s="17" t="inlineStr">
        <is>
          <t>COORS LIGHT</t>
        </is>
      </c>
      <c r="T218" s="17" t="inlineStr">
        <is>
          <t>MOLSON COORS BEVERAGE COMPANY</t>
        </is>
      </c>
      <c r="U218" s="25" t="n">
        <v>1</v>
      </c>
      <c r="V218" s="17" t="inlineStr">
        <is>
          <t>No</t>
        </is>
      </c>
      <c r="W218" s="17" t="inlineStr">
        <is>
          <t>Molson Coors (60)</t>
        </is>
      </c>
      <c r="X218" s="17" t="inlineStr">
        <is>
          <t>—</t>
        </is>
      </c>
      <c r="Y218" s="19" t="inlineStr">
        <is>
          <t>View Photo</t>
        </is>
      </c>
    </row>
    <row r="219">
      <c r="A219" s="17" t="inlineStr">
        <is>
          <t>D0218</t>
        </is>
      </c>
      <c r="B219" s="17" t="inlineStr">
        <is>
          <t>07/28/2026</t>
        </is>
      </c>
      <c r="C219" s="17" t="inlineStr">
        <is>
          <t>07/28/2026 11:57 AM</t>
        </is>
      </c>
      <c r="D219" s="17" t="inlineStr">
        <is>
          <t>Todd Ewell</t>
        </is>
      </c>
      <c r="E219" s="17" t="inlineStr">
        <is>
          <t>Sales Associate</t>
        </is>
      </c>
      <c r="F219" s="17" t="inlineStr">
        <is>
          <t>Paul Deady</t>
        </is>
      </c>
      <c r="G219" s="17" t="inlineStr">
        <is>
          <t>67004</t>
        </is>
      </c>
      <c r="H219" s="17" t="inlineStr">
        <is>
          <t>BEVERAGE BARN (A)</t>
        </is>
      </c>
      <c r="I219" s="17" t="inlineStr">
        <is>
          <t>NORTHVALE</t>
        </is>
      </c>
      <c r="J219" s="17" t="inlineStr">
        <is>
          <t>Boston Beer</t>
        </is>
      </c>
      <c r="K219" s="25" t="n">
        <v>3</v>
      </c>
      <c r="L219" s="17" t="inlineStr">
        <is>
          <t>Silver (40-69)</t>
        </is>
      </c>
      <c r="M219" s="18" t="n">
        <v>60</v>
      </c>
      <c r="N219" s="18" t="n">
        <v>60</v>
      </c>
      <c r="O219" s="17" t="inlineStr">
        <is>
          <t>Priority</t>
        </is>
      </c>
      <c r="P219" s="18" t="n">
        <v>500</v>
      </c>
      <c r="Q219" s="17" t="inlineStr">
        <is>
          <t>Yes</t>
        </is>
      </c>
      <c r="R219" s="17" t="inlineStr">
        <is>
          <t>SUN CRUISERS RTD</t>
        </is>
      </c>
      <c r="S219" s="17" t="inlineStr">
        <is>
          <t>SUN CRUISERS RTD</t>
        </is>
      </c>
      <c r="T219" s="17" t="inlineStr">
        <is>
          <t>BOSTON BEER COMPANY</t>
        </is>
      </c>
      <c r="U219" s="25" t="n">
        <v>1</v>
      </c>
      <c r="V219" s="17" t="inlineStr">
        <is>
          <t>No</t>
        </is>
      </c>
      <c r="W219" s="17" t="inlineStr">
        <is>
          <t>Boston Beer (60)</t>
        </is>
      </c>
      <c r="X219" s="17" t="inlineStr">
        <is>
          <t>First of a repeat set</t>
        </is>
      </c>
      <c r="Y219" s="19" t="inlineStr">
        <is>
          <t>View Photo</t>
        </is>
      </c>
    </row>
    <row r="220">
      <c r="A220" s="17" t="inlineStr">
        <is>
          <t>D0219</t>
        </is>
      </c>
      <c r="B220" s="17" t="inlineStr">
        <is>
          <t>07/29/2026</t>
        </is>
      </c>
      <c r="C220" s="17" t="inlineStr">
        <is>
          <t>07/29/2026 01:49 PM</t>
        </is>
      </c>
      <c r="D220" s="17" t="inlineStr">
        <is>
          <t>Matthew Powierski</t>
        </is>
      </c>
      <c r="E220" s="17" t="inlineStr">
        <is>
          <t>Sales Rep</t>
        </is>
      </c>
      <c r="F220" s="17" t="inlineStr">
        <is>
          <t>Denise Montes</t>
        </is>
      </c>
      <c r="G220" s="17" t="inlineStr">
        <is>
          <t>31060</t>
        </is>
      </c>
      <c r="H220" s="17" t="inlineStr">
        <is>
          <t>BOTTLE REPUBLIC (RUTHERFORD)</t>
        </is>
      </c>
      <c r="I220" s="17" t="inlineStr">
        <is>
          <t>RUTHERFORD</t>
        </is>
      </c>
      <c r="J220" s="17" t="inlineStr">
        <is>
          <t>Constellation</t>
        </is>
      </c>
      <c r="K220" s="25" t="n">
        <v>3</v>
      </c>
      <c r="L220" s="17" t="inlineStr">
        <is>
          <t>Silver (40-69)</t>
        </is>
      </c>
      <c r="M220" s="18" t="n">
        <v>60</v>
      </c>
      <c r="N220" s="18" t="n">
        <v>60</v>
      </c>
      <c r="O220" s="17" t="inlineStr">
        <is>
          <t>Priority</t>
        </is>
      </c>
      <c r="P220" s="18" t="n">
        <v>500</v>
      </c>
      <c r="Q220" s="17" t="inlineStr">
        <is>
          <t>Yes</t>
        </is>
      </c>
      <c r="R220" s="17" t="inlineStr">
        <is>
          <t>CORONA EXTRA</t>
        </is>
      </c>
      <c r="S220" s="17" t="inlineStr">
        <is>
          <t>CORONA EXTRA</t>
        </is>
      </c>
      <c r="T220" s="17" t="inlineStr">
        <is>
          <t>CONSTELLATION BRANDS</t>
        </is>
      </c>
      <c r="U220" s="25" t="n">
        <v>1</v>
      </c>
      <c r="V220" s="17" t="inlineStr">
        <is>
          <t>No</t>
        </is>
      </c>
      <c r="W220" s="17" t="inlineStr">
        <is>
          <t>Constellation (60)</t>
        </is>
      </c>
      <c r="X220" s="17" t="inlineStr">
        <is>
          <t>—</t>
        </is>
      </c>
      <c r="Y220" s="19" t="inlineStr">
        <is>
          <t>View Photo</t>
        </is>
      </c>
    </row>
    <row r="221">
      <c r="A221" s="17" t="inlineStr">
        <is>
          <t>D0220</t>
        </is>
      </c>
      <c r="B221" s="17" t="inlineStr">
        <is>
          <t>07/29/2026</t>
        </is>
      </c>
      <c r="C221" s="17" t="inlineStr">
        <is>
          <t>07/29/2026 03:55 PM</t>
        </is>
      </c>
      <c r="D221" s="17" t="inlineStr">
        <is>
          <t>David Fletcher</t>
        </is>
      </c>
      <c r="E221" s="17" t="inlineStr">
        <is>
          <t>Sales Associate</t>
        </is>
      </c>
      <c r="F221" s="17" t="inlineStr">
        <is>
          <t>Michael Engel</t>
        </is>
      </c>
      <c r="G221" s="17" t="inlineStr">
        <is>
          <t>58001</t>
        </is>
      </c>
      <c r="H221" s="17" t="inlineStr">
        <is>
          <t>TOTAL WINE &amp; MORE (RIVER EDGE)</t>
        </is>
      </c>
      <c r="I221" s="17" t="inlineStr">
        <is>
          <t>RIVER EDGE</t>
        </is>
      </c>
      <c r="J221" s="17" t="inlineStr">
        <is>
          <t>Molson Coors</t>
        </is>
      </c>
      <c r="K221" s="25" t="n">
        <v>3</v>
      </c>
      <c r="L221" s="17" t="inlineStr">
        <is>
          <t>Silver (40-69)</t>
        </is>
      </c>
      <c r="M221" s="18" t="n">
        <v>60</v>
      </c>
      <c r="N221" s="18" t="n">
        <v>60</v>
      </c>
      <c r="O221" s="17" t="inlineStr">
        <is>
          <t>Priority</t>
        </is>
      </c>
      <c r="P221" s="18" t="n">
        <v>500</v>
      </c>
      <c r="Q221" s="17" t="inlineStr">
        <is>
          <t>Yes</t>
        </is>
      </c>
      <c r="R221" s="17" t="inlineStr">
        <is>
          <t>PERONI NASTRO AZZURRO</t>
        </is>
      </c>
      <c r="S221" s="17" t="inlineStr">
        <is>
          <t>PERONI NASTRO AZZURRO</t>
        </is>
      </c>
      <c r="T221" s="17" t="inlineStr">
        <is>
          <t>MOLSON COORS BEVERAGE COMPANY</t>
        </is>
      </c>
      <c r="U221" s="25" t="n">
        <v>1</v>
      </c>
      <c r="V221" s="17" t="inlineStr">
        <is>
          <t>No</t>
        </is>
      </c>
      <c r="W221" s="17" t="inlineStr">
        <is>
          <t>Molson Coors (60)</t>
        </is>
      </c>
      <c r="X221" s="17" t="inlineStr">
        <is>
          <t>—</t>
        </is>
      </c>
      <c r="Y221" s="19" t="inlineStr">
        <is>
          <t>View Photo</t>
        </is>
      </c>
    </row>
    <row r="222">
      <c r="A222" s="17" t="inlineStr">
        <is>
          <t>D0221</t>
        </is>
      </c>
      <c r="B222" s="17" t="inlineStr">
        <is>
          <t>07/30/2026</t>
        </is>
      </c>
      <c r="C222" s="17" t="inlineStr">
        <is>
          <t>07/30/2026 10:40 AM</t>
        </is>
      </c>
      <c r="D222" s="17" t="inlineStr">
        <is>
          <t>mickey obrien</t>
        </is>
      </c>
      <c r="E222" s="17" t="inlineStr">
        <is>
          <t>Sales Associate</t>
        </is>
      </c>
      <c r="F222" s="17" t="inlineStr">
        <is>
          <t>Denise Montes</t>
        </is>
      </c>
      <c r="G222" s="17" t="inlineStr">
        <is>
          <t>31060</t>
        </is>
      </c>
      <c r="H222" s="17" t="inlineStr">
        <is>
          <t>BOTTLE REPUBLIC (RUTHERFORD)</t>
        </is>
      </c>
      <c r="I222" s="17" t="inlineStr">
        <is>
          <t>RUTHERFORD</t>
        </is>
      </c>
      <c r="J222" s="17" t="inlineStr">
        <is>
          <t>Molson Coors</t>
        </is>
      </c>
      <c r="K222" s="25" t="n">
        <v>3</v>
      </c>
      <c r="L222" s="17" t="inlineStr">
        <is>
          <t>Silver (40-69)</t>
        </is>
      </c>
      <c r="M222" s="18" t="n">
        <v>60</v>
      </c>
      <c r="N222" s="18" t="n">
        <v>60</v>
      </c>
      <c r="O222" s="17" t="inlineStr">
        <is>
          <t>Priority</t>
        </is>
      </c>
      <c r="P222" s="18" t="n">
        <v>500</v>
      </c>
      <c r="Q222" s="17" t="inlineStr">
        <is>
          <t>Yes</t>
        </is>
      </c>
      <c r="R222" s="17" t="inlineStr">
        <is>
          <t>MILLER LITE</t>
        </is>
      </c>
      <c r="S222" s="17" t="inlineStr">
        <is>
          <t>MILLER LITE</t>
        </is>
      </c>
      <c r="T222" s="17" t="inlineStr">
        <is>
          <t>MOLSON COORS BEVERAGE COMPANY</t>
        </is>
      </c>
      <c r="U222" s="25" t="n">
        <v>3</v>
      </c>
      <c r="V222" s="17" t="inlineStr">
        <is>
          <t>No</t>
        </is>
      </c>
      <c r="W222" s="17" t="inlineStr">
        <is>
          <t>Molson Coors (60)</t>
        </is>
      </c>
      <c r="X222" s="17" t="inlineStr">
        <is>
          <t>First of a repeat set</t>
        </is>
      </c>
      <c r="Y222" s="19" t="inlineStr">
        <is>
          <t>View Photo</t>
        </is>
      </c>
    </row>
    <row r="223">
      <c r="A223" s="17" t="inlineStr">
        <is>
          <t>D0222</t>
        </is>
      </c>
      <c r="B223" s="17" t="inlineStr">
        <is>
          <t>07/30/2026</t>
        </is>
      </c>
      <c r="C223" s="17" t="inlineStr">
        <is>
          <t>07/30/2026 10:41 AM</t>
        </is>
      </c>
      <c r="D223" s="17" t="inlineStr">
        <is>
          <t>patrick infante</t>
        </is>
      </c>
      <c r="E223" s="17" t="inlineStr">
        <is>
          <t>Sales Associate</t>
        </is>
      </c>
      <c r="F223" s="17" t="inlineStr">
        <is>
          <t>Denise Montes</t>
        </is>
      </c>
      <c r="G223" s="17" t="inlineStr">
        <is>
          <t>31060</t>
        </is>
      </c>
      <c r="H223" s="17" t="inlineStr">
        <is>
          <t>BOTTLE REPUBLIC (RUTHERFORD)</t>
        </is>
      </c>
      <c r="I223" s="17" t="inlineStr">
        <is>
          <t>RUTHERFORD</t>
        </is>
      </c>
      <c r="J223" s="17" t="inlineStr">
        <is>
          <t>Molson Coors</t>
        </is>
      </c>
      <c r="K223" s="25" t="n">
        <v>3</v>
      </c>
      <c r="L223" s="17" t="inlineStr">
        <is>
          <t>Silver (40-69)</t>
        </is>
      </c>
      <c r="M223" s="18" t="n">
        <v>60</v>
      </c>
      <c r="N223" s="18" t="n">
        <v>60</v>
      </c>
      <c r="O223" s="17" t="inlineStr">
        <is>
          <t>Priority</t>
        </is>
      </c>
      <c r="P223" s="18" t="n">
        <v>500</v>
      </c>
      <c r="Q223" s="17" t="inlineStr">
        <is>
          <t>Yes</t>
        </is>
      </c>
      <c r="R223" s="17" t="inlineStr">
        <is>
          <t>MILLER LITE</t>
        </is>
      </c>
      <c r="S223" s="17" t="inlineStr">
        <is>
          <t>MILLER LITE</t>
        </is>
      </c>
      <c r="T223" s="17" t="inlineStr">
        <is>
          <t>MOLSON COORS BEVERAGE COMPANY</t>
        </is>
      </c>
      <c r="U223" s="25" t="n">
        <v>3</v>
      </c>
      <c r="V223" s="17" t="inlineStr">
        <is>
          <t>No</t>
        </is>
      </c>
      <c r="W223" s="17" t="inlineStr">
        <is>
          <t>Molson Coors (60)</t>
        </is>
      </c>
      <c r="X223" s="26" t="inlineStr">
        <is>
          <t>Possible duplicate</t>
        </is>
      </c>
      <c r="Y223" s="19" t="inlineStr">
        <is>
          <t>View Photo</t>
        </is>
      </c>
    </row>
    <row r="224">
      <c r="A224" s="17" t="inlineStr">
        <is>
          <t>D0223</t>
        </is>
      </c>
      <c r="B224" s="17" t="inlineStr">
        <is>
          <t>08/03/2026</t>
        </is>
      </c>
      <c r="C224" s="17" t="inlineStr">
        <is>
          <t>08/03/2026 12:42 PM</t>
        </is>
      </c>
      <c r="D224" s="17" t="inlineStr">
        <is>
          <t>phil Ernst</t>
        </is>
      </c>
      <c r="E224" s="17" t="inlineStr">
        <is>
          <t>Sales Rep</t>
        </is>
      </c>
      <c r="F224" s="17" t="inlineStr">
        <is>
          <t>Michael Engel</t>
        </is>
      </c>
      <c r="G224" s="17" t="inlineStr">
        <is>
          <t>29004</t>
        </is>
      </c>
      <c r="H224" s="17" t="inlineStr">
        <is>
          <t>SHOP-RITE LIQ LYNDHURST</t>
        </is>
      </c>
      <c r="I224" s="17" t="inlineStr">
        <is>
          <t>LYNDHURST</t>
        </is>
      </c>
      <c r="J224" s="17" t="inlineStr">
        <is>
          <t>HUSA (Heineken USA)</t>
        </is>
      </c>
      <c r="K224" s="25" t="n">
        <v>3</v>
      </c>
      <c r="L224" s="17" t="inlineStr">
        <is>
          <t>Silver (40-69)</t>
        </is>
      </c>
      <c r="M224" s="18" t="n">
        <v>60</v>
      </c>
      <c r="N224" s="18" t="n">
        <v>60</v>
      </c>
      <c r="O224" s="17" t="inlineStr">
        <is>
          <t>Priority</t>
        </is>
      </c>
      <c r="P224" s="18" t="n">
        <v>500</v>
      </c>
      <c r="Q224" s="17" t="inlineStr">
        <is>
          <t>Yes</t>
        </is>
      </c>
      <c r="R224" s="17" t="inlineStr">
        <is>
          <t>HEINEKEN</t>
        </is>
      </c>
      <c r="S224" s="17" t="inlineStr">
        <is>
          <t>HEINEKEN</t>
        </is>
      </c>
      <c r="T224" s="17" t="inlineStr">
        <is>
          <t>HEINEKEN</t>
        </is>
      </c>
      <c r="U224" s="25" t="n">
        <v>2</v>
      </c>
      <c r="V224" s="17" t="inlineStr">
        <is>
          <t>No</t>
        </is>
      </c>
      <c r="W224" s="17" t="inlineStr">
        <is>
          <t>HUSA (Heineken USA) (60)</t>
        </is>
      </c>
      <c r="X224" s="17" t="inlineStr">
        <is>
          <t>—</t>
        </is>
      </c>
      <c r="Y224" s="19" t="inlineStr">
        <is>
          <t>View Photo</t>
        </is>
      </c>
    </row>
    <row r="225">
      <c r="A225" s="17" t="inlineStr">
        <is>
          <t>D0224</t>
        </is>
      </c>
      <c r="B225" s="17" t="inlineStr">
        <is>
          <t>08/03/2026</t>
        </is>
      </c>
      <c r="C225" s="17" t="inlineStr">
        <is>
          <t>08/03/2026 12:48 PM</t>
        </is>
      </c>
      <c r="D225" s="17" t="inlineStr">
        <is>
          <t>phil Ernst</t>
        </is>
      </c>
      <c r="E225" s="17" t="inlineStr">
        <is>
          <t>Sales Rep</t>
        </is>
      </c>
      <c r="F225" s="17" t="inlineStr">
        <is>
          <t>Michael Engel</t>
        </is>
      </c>
      <c r="G225" s="17" t="inlineStr">
        <is>
          <t>29004</t>
        </is>
      </c>
      <c r="H225" s="17" t="inlineStr">
        <is>
          <t>SHOP-RITE LIQ LYNDHURST</t>
        </is>
      </c>
      <c r="I225" s="17" t="inlineStr">
        <is>
          <t>LYNDHURST</t>
        </is>
      </c>
      <c r="J225" s="17" t="inlineStr">
        <is>
          <t>Molson Coors</t>
        </is>
      </c>
      <c r="K225" s="25" t="n">
        <v>3</v>
      </c>
      <c r="L225" s="17" t="inlineStr">
        <is>
          <t>Silver (40-69)</t>
        </is>
      </c>
      <c r="M225" s="18" t="n">
        <v>60</v>
      </c>
      <c r="N225" s="18" t="n">
        <v>60</v>
      </c>
      <c r="O225" s="17" t="inlineStr">
        <is>
          <t>Priority</t>
        </is>
      </c>
      <c r="P225" s="18" t="n">
        <v>500</v>
      </c>
      <c r="Q225" s="17" t="inlineStr">
        <is>
          <t>Yes</t>
        </is>
      </c>
      <c r="R225" s="17" t="inlineStr">
        <is>
          <t>MILLER LITE</t>
        </is>
      </c>
      <c r="S225" s="17" t="inlineStr">
        <is>
          <t>MILLER LITE</t>
        </is>
      </c>
      <c r="T225" s="17" t="inlineStr">
        <is>
          <t>MOLSON COORS BEVERAGE COMPANY</t>
        </is>
      </c>
      <c r="U225" s="25" t="n">
        <v>1</v>
      </c>
      <c r="V225" s="17" t="inlineStr">
        <is>
          <t>No</t>
        </is>
      </c>
      <c r="W225" s="17" t="inlineStr">
        <is>
          <t>Molson Coors (60)</t>
        </is>
      </c>
      <c r="X225" s="17" t="inlineStr">
        <is>
          <t>—</t>
        </is>
      </c>
      <c r="Y225" s="19" t="inlineStr">
        <is>
          <t>View Photo</t>
        </is>
      </c>
    </row>
    <row r="226">
      <c r="A226" s="17" t="inlineStr">
        <is>
          <t>D0225</t>
        </is>
      </c>
      <c r="B226" s="17" t="inlineStr">
        <is>
          <t>08/13/2026</t>
        </is>
      </c>
      <c r="C226" s="17" t="inlineStr">
        <is>
          <t>08/13/2026 12:57 PM</t>
        </is>
      </c>
      <c r="D226" s="17" t="inlineStr">
        <is>
          <t>Vaughn Gallagher</t>
        </is>
      </c>
      <c r="E226" s="17" t="inlineStr">
        <is>
          <t>Sales Associate</t>
        </is>
      </c>
      <c r="F226" s="17" t="inlineStr">
        <is>
          <t>Christopher McCrohan</t>
        </is>
      </c>
      <c r="G226" s="17" t="inlineStr">
        <is>
          <t>3001</t>
        </is>
      </c>
      <c r="H226" s="17" t="inlineStr">
        <is>
          <t>BEST CELLARS (WANAQUE)</t>
        </is>
      </c>
      <c r="I226" s="17" t="inlineStr">
        <is>
          <t>WANAQUE</t>
        </is>
      </c>
      <c r="J226" s="17" t="inlineStr">
        <is>
          <t>Boston Beer</t>
        </is>
      </c>
      <c r="K226" s="25" t="n">
        <v>3</v>
      </c>
      <c r="L226" s="17" t="inlineStr">
        <is>
          <t>Silver (40-69)</t>
        </is>
      </c>
      <c r="M226" s="18" t="n">
        <v>60</v>
      </c>
      <c r="N226" s="18" t="n">
        <v>60</v>
      </c>
      <c r="O226" s="17" t="inlineStr">
        <is>
          <t>Priority</t>
        </is>
      </c>
      <c r="P226" s="18" t="n">
        <v>500</v>
      </c>
      <c r="Q226" s="17" t="inlineStr">
        <is>
          <t>Yes</t>
        </is>
      </c>
      <c r="R226" s="17" t="inlineStr">
        <is>
          <t>TWISTED TEA</t>
        </is>
      </c>
      <c r="S226" s="17" t="inlineStr">
        <is>
          <t>TWISTED TEA</t>
        </is>
      </c>
      <c r="T226" s="17" t="inlineStr">
        <is>
          <t>BOSTON BEER COMPANY</t>
        </is>
      </c>
      <c r="U226" s="25" t="n">
        <v>4</v>
      </c>
      <c r="V226" s="17" t="inlineStr">
        <is>
          <t>No</t>
        </is>
      </c>
      <c r="W226" s="17" t="inlineStr">
        <is>
          <t>Boston Beer (60)</t>
        </is>
      </c>
      <c r="X226" s="17" t="inlineStr">
        <is>
          <t>—</t>
        </is>
      </c>
      <c r="Y226" s="19" t="inlineStr">
        <is>
          <t>View Photo</t>
        </is>
      </c>
    </row>
    <row r="227">
      <c r="A227" s="17" t="inlineStr">
        <is>
          <t>D0226</t>
        </is>
      </c>
      <c r="B227" s="17" t="inlineStr">
        <is>
          <t>08/14/2026</t>
        </is>
      </c>
      <c r="C227" s="17" t="inlineStr">
        <is>
          <t>08/14/2026 11:52 AM</t>
        </is>
      </c>
      <c r="D227" s="17" t="inlineStr">
        <is>
          <t>Dave Ehlers</t>
        </is>
      </c>
      <c r="E227" s="17" t="inlineStr">
        <is>
          <t>Sales Rep</t>
        </is>
      </c>
      <c r="F227" s="17" t="inlineStr">
        <is>
          <t>Michael Engel</t>
        </is>
      </c>
      <c r="G227" s="17" t="inlineStr">
        <is>
          <t>58001</t>
        </is>
      </c>
      <c r="H227" s="17" t="inlineStr">
        <is>
          <t>TOTAL WINE &amp; MORE (RIVER EDGE)</t>
        </is>
      </c>
      <c r="I227" s="17" t="inlineStr">
        <is>
          <t>RIVER EDGE</t>
        </is>
      </c>
      <c r="J227" s="17" t="inlineStr">
        <is>
          <t>Boston Beer</t>
        </is>
      </c>
      <c r="K227" s="25" t="n">
        <v>3</v>
      </c>
      <c r="L227" s="17" t="inlineStr">
        <is>
          <t>Silver (40-69)</t>
        </is>
      </c>
      <c r="M227" s="18" t="n">
        <v>60</v>
      </c>
      <c r="N227" s="18" t="n">
        <v>60</v>
      </c>
      <c r="O227" s="17" t="inlineStr">
        <is>
          <t>Priority</t>
        </is>
      </c>
      <c r="P227" s="18" t="n">
        <v>500</v>
      </c>
      <c r="Q227" s="17" t="inlineStr">
        <is>
          <t>Yes</t>
        </is>
      </c>
      <c r="R227" s="17" t="inlineStr">
        <is>
          <t>ANGRY ORCHARD</t>
        </is>
      </c>
      <c r="S227" s="17" t="inlineStr">
        <is>
          <t>ANGRY ORCHARD</t>
        </is>
      </c>
      <c r="T227" s="17" t="inlineStr">
        <is>
          <t>BOSTON BEER COMPANY</t>
        </is>
      </c>
      <c r="U227" s="25" t="n">
        <v>1</v>
      </c>
      <c r="V227" s="17" t="inlineStr">
        <is>
          <t>No</t>
        </is>
      </c>
      <c r="W227" s="17" t="inlineStr">
        <is>
          <t>Boston Beer (60)</t>
        </is>
      </c>
      <c r="X227" s="17" t="inlineStr">
        <is>
          <t>—</t>
        </is>
      </c>
      <c r="Y227" s="19" t="inlineStr">
        <is>
          <t>View Photo</t>
        </is>
      </c>
    </row>
    <row r="228">
      <c r="A228" s="17" t="inlineStr">
        <is>
          <t>D0227</t>
        </is>
      </c>
      <c r="B228" s="17" t="inlineStr">
        <is>
          <t>08/21/2026</t>
        </is>
      </c>
      <c r="C228" s="17" t="inlineStr">
        <is>
          <t>08/21/2026 10:30 AM</t>
        </is>
      </c>
      <c r="D228" s="17" t="inlineStr">
        <is>
          <t>Todd Ewell</t>
        </is>
      </c>
      <c r="E228" s="17" t="inlineStr">
        <is>
          <t>Sales Associate</t>
        </is>
      </c>
      <c r="F228" s="17" t="inlineStr">
        <is>
          <t>Paul Deady</t>
        </is>
      </c>
      <c r="G228" s="17" t="inlineStr">
        <is>
          <t>11003</t>
        </is>
      </c>
      <c r="H228" s="17" t="inlineStr">
        <is>
          <t>LINCOLN PARK FINE WINES &amp; SPIRITS</t>
        </is>
      </c>
      <c r="I228" s="17" t="inlineStr">
        <is>
          <t>LINCOLN PARK</t>
        </is>
      </c>
      <c r="J228" s="17" t="inlineStr">
        <is>
          <t>Molson Coors</t>
        </is>
      </c>
      <c r="K228" s="25" t="n">
        <v>3</v>
      </c>
      <c r="L228" s="17" t="inlineStr">
        <is>
          <t>Silver (40-69)</t>
        </is>
      </c>
      <c r="M228" s="18" t="n">
        <v>60</v>
      </c>
      <c r="N228" s="18" t="n">
        <v>60</v>
      </c>
      <c r="O228" s="17" t="inlineStr">
        <is>
          <t>Priority</t>
        </is>
      </c>
      <c r="P228" s="18" t="n">
        <v>500</v>
      </c>
      <c r="Q228" s="17" t="inlineStr">
        <is>
          <t>Yes</t>
        </is>
      </c>
      <c r="R228" s="17" t="inlineStr">
        <is>
          <t>COORS LIGHT</t>
        </is>
      </c>
      <c r="S228" s="17" t="inlineStr">
        <is>
          <t>COORS LIGHT</t>
        </is>
      </c>
      <c r="T228" s="17" t="inlineStr">
        <is>
          <t>MOLSON COORS BEVERAGE COMPANY</t>
        </is>
      </c>
      <c r="U228" s="25" t="n">
        <v>1</v>
      </c>
      <c r="V228" s="17" t="inlineStr">
        <is>
          <t>No</t>
        </is>
      </c>
      <c r="W228" s="17" t="inlineStr">
        <is>
          <t>Molson Coors (60)</t>
        </is>
      </c>
      <c r="X228" s="26" t="inlineStr">
        <is>
          <t>Possible duplicate</t>
        </is>
      </c>
      <c r="Y228" s="19" t="inlineStr">
        <is>
          <t>View Photo</t>
        </is>
      </c>
    </row>
    <row r="229">
      <c r="A229" s="17" t="inlineStr">
        <is>
          <t>D0228</t>
        </is>
      </c>
      <c r="B229" s="17" t="inlineStr">
        <is>
          <t>08/26/2026</t>
        </is>
      </c>
      <c r="C229" s="17" t="inlineStr">
        <is>
          <t>08/26/2026 11:40 AM</t>
        </is>
      </c>
      <c r="D229" s="17" t="inlineStr">
        <is>
          <t>Jay Tabasco</t>
        </is>
      </c>
      <c r="E229" s="17" t="inlineStr">
        <is>
          <t>Sales Associate</t>
        </is>
      </c>
      <c r="F229" s="17" t="inlineStr">
        <is>
          <t>Paul Deady</t>
        </is>
      </c>
      <c r="G229" s="17" t="inlineStr">
        <is>
          <t>230427</t>
        </is>
      </c>
      <c r="H229" s="17" t="inlineStr">
        <is>
          <t>SHOPRITE WINE &amp; SPIRITS OF NEWTON#830</t>
        </is>
      </c>
      <c r="I229" s="17" t="inlineStr">
        <is>
          <t>NEWTON</t>
        </is>
      </c>
      <c r="J229" s="17" t="inlineStr">
        <is>
          <t>Molson Coors</t>
        </is>
      </c>
      <c r="K229" s="25" t="n">
        <v>3</v>
      </c>
      <c r="L229" s="17" t="inlineStr">
        <is>
          <t>Silver (40-69)</t>
        </is>
      </c>
      <c r="M229" s="18" t="n">
        <v>60</v>
      </c>
      <c r="N229" s="18" t="n">
        <v>60</v>
      </c>
      <c r="O229" s="17" t="inlineStr">
        <is>
          <t>Priority</t>
        </is>
      </c>
      <c r="P229" s="18" t="n">
        <v>500</v>
      </c>
      <c r="Q229" s="17" t="inlineStr">
        <is>
          <t>Yes</t>
        </is>
      </c>
      <c r="R229" s="17" t="inlineStr">
        <is>
          <t>COORS LIGHT</t>
        </is>
      </c>
      <c r="S229" s="17" t="inlineStr">
        <is>
          <t>COORS LIGHT</t>
        </is>
      </c>
      <c r="T229" s="17" t="inlineStr">
        <is>
          <t>MOLSON COORS BEVERAGE COMPANY</t>
        </is>
      </c>
      <c r="U229" s="25" t="n">
        <v>1</v>
      </c>
      <c r="V229" s="17" t="inlineStr">
        <is>
          <t>No</t>
        </is>
      </c>
      <c r="W229" s="17" t="inlineStr">
        <is>
          <t>Molson Coors (60)</t>
        </is>
      </c>
      <c r="X229" s="17" t="inlineStr">
        <is>
          <t>First of a repeat set</t>
        </is>
      </c>
      <c r="Y229" s="19" t="inlineStr">
        <is>
          <t>View Photo</t>
        </is>
      </c>
    </row>
    <row r="230">
      <c r="A230" s="17" t="inlineStr">
        <is>
          <t>D0229</t>
        </is>
      </c>
      <c r="B230" s="17" t="inlineStr">
        <is>
          <t>08/26/2026</t>
        </is>
      </c>
      <c r="C230" s="17" t="inlineStr">
        <is>
          <t>08/26/2026 11:40 AM</t>
        </is>
      </c>
      <c r="D230" s="17" t="inlineStr">
        <is>
          <t>Todd Ewell</t>
        </is>
      </c>
      <c r="E230" s="17" t="inlineStr">
        <is>
          <t>Sales Associate</t>
        </is>
      </c>
      <c r="F230" s="17" t="inlineStr">
        <is>
          <t>Paul Deady</t>
        </is>
      </c>
      <c r="G230" s="17" t="inlineStr">
        <is>
          <t>230427</t>
        </is>
      </c>
      <c r="H230" s="17" t="inlineStr">
        <is>
          <t>SHOPRITE WINE &amp; SPIRITS OF NEWTON#830</t>
        </is>
      </c>
      <c r="I230" s="17" t="inlineStr">
        <is>
          <t>NEWTON</t>
        </is>
      </c>
      <c r="J230" s="17" t="inlineStr">
        <is>
          <t>Molson Coors</t>
        </is>
      </c>
      <c r="K230" s="25" t="n">
        <v>3</v>
      </c>
      <c r="L230" s="17" t="inlineStr">
        <is>
          <t>Silver (40-69)</t>
        </is>
      </c>
      <c r="M230" s="18" t="n">
        <v>60</v>
      </c>
      <c r="N230" s="18" t="n">
        <v>60</v>
      </c>
      <c r="O230" s="17" t="inlineStr">
        <is>
          <t>Priority</t>
        </is>
      </c>
      <c r="P230" s="18" t="n">
        <v>500</v>
      </c>
      <c r="Q230" s="17" t="inlineStr">
        <is>
          <t>Yes</t>
        </is>
      </c>
      <c r="R230" s="17" t="inlineStr">
        <is>
          <t>COORS LIGHT</t>
        </is>
      </c>
      <c r="S230" s="17" t="inlineStr">
        <is>
          <t>COORS LIGHT</t>
        </is>
      </c>
      <c r="T230" s="17" t="inlineStr">
        <is>
          <t>MOLSON COORS BEVERAGE COMPANY</t>
        </is>
      </c>
      <c r="U230" s="25" t="n">
        <v>1</v>
      </c>
      <c r="V230" s="17" t="inlineStr">
        <is>
          <t>No</t>
        </is>
      </c>
      <c r="W230" s="17" t="inlineStr">
        <is>
          <t>Molson Coors (60)</t>
        </is>
      </c>
      <c r="X230" s="26" t="inlineStr">
        <is>
          <t>Possible duplicate</t>
        </is>
      </c>
      <c r="Y230" s="19" t="inlineStr">
        <is>
          <t>View Photo</t>
        </is>
      </c>
    </row>
    <row r="231">
      <c r="A231" s="17" t="inlineStr">
        <is>
          <t>D0230</t>
        </is>
      </c>
      <c r="B231" s="17" t="inlineStr">
        <is>
          <t>07/14/2026</t>
        </is>
      </c>
      <c r="C231" s="17" t="inlineStr">
        <is>
          <t>07/14/2026 11:23 AM</t>
        </is>
      </c>
      <c r="D231" s="17" t="inlineStr">
        <is>
          <t>mickey obrien</t>
        </is>
      </c>
      <c r="E231" s="17" t="inlineStr">
        <is>
          <t>Sales Associate</t>
        </is>
      </c>
      <c r="F231" s="17" t="inlineStr">
        <is>
          <t>Michael Engel</t>
        </is>
      </c>
      <c r="G231" s="17" t="inlineStr">
        <is>
          <t>58001</t>
        </is>
      </c>
      <c r="H231" s="17" t="inlineStr">
        <is>
          <t>TOTAL WINE &amp; MORE (RIVER EDGE)</t>
        </is>
      </c>
      <c r="I231" s="17" t="inlineStr">
        <is>
          <t>RIVER EDGE</t>
        </is>
      </c>
      <c r="J231" s="17" t="inlineStr">
        <is>
          <t>Mark Anthony</t>
        </is>
      </c>
      <c r="K231" s="25" t="n">
        <v>3</v>
      </c>
      <c r="L231" s="17" t="inlineStr">
        <is>
          <t>Silver (40-69)</t>
        </is>
      </c>
      <c r="M231" s="18" t="n">
        <v>59</v>
      </c>
      <c r="N231" s="18" t="n">
        <v>59</v>
      </c>
      <c r="O231" s="17" t="inlineStr">
        <is>
          <t>Priority</t>
        </is>
      </c>
      <c r="P231" s="18" t="n">
        <v>500</v>
      </c>
      <c r="Q231" s="17" t="inlineStr">
        <is>
          <t>Yes</t>
        </is>
      </c>
      <c r="R231" s="17" t="inlineStr">
        <is>
          <t>WHITE CLAW SURF HARD SELTZER</t>
        </is>
      </c>
      <c r="S231" s="17" t="inlineStr">
        <is>
          <t>WHITE CLAW SURF HARD SELTZER</t>
        </is>
      </c>
      <c r="T231" s="17" t="inlineStr">
        <is>
          <t>MARK ANTHONY GROUP</t>
        </is>
      </c>
      <c r="U231" s="25" t="n">
        <v>2</v>
      </c>
      <c r="V231" s="17" t="inlineStr">
        <is>
          <t>No</t>
        </is>
      </c>
      <c r="W231" s="17" t="inlineStr">
        <is>
          <t>Mark Anthony (59)</t>
        </is>
      </c>
      <c r="X231" s="17" t="inlineStr">
        <is>
          <t>—</t>
        </is>
      </c>
      <c r="Y231" s="19" t="inlineStr">
        <is>
          <t>View Photo</t>
        </is>
      </c>
    </row>
    <row r="232">
      <c r="A232" s="17" t="inlineStr">
        <is>
          <t>D0231</t>
        </is>
      </c>
      <c r="B232" s="17" t="inlineStr">
        <is>
          <t>07/15/2026</t>
        </is>
      </c>
      <c r="C232" s="17" t="inlineStr">
        <is>
          <t>07/15/2026 11:11 AM</t>
        </is>
      </c>
      <c r="D232" s="17" t="inlineStr">
        <is>
          <t>Shane Barreca</t>
        </is>
      </c>
      <c r="E232" s="17" t="inlineStr">
        <is>
          <t>Sales Rep</t>
        </is>
      </c>
      <c r="F232" s="17" t="inlineStr">
        <is>
          <t>Paul Deady</t>
        </is>
      </c>
      <c r="G232" s="17" t="inlineStr">
        <is>
          <t>73008</t>
        </is>
      </c>
      <c r="H232" s="17" t="inlineStr">
        <is>
          <t>SHOP RITE LIQ (A)HILLSDAL</t>
        </is>
      </c>
      <c r="I232" s="17" t="inlineStr">
        <is>
          <t>HILLSDALE</t>
        </is>
      </c>
      <c r="J232" s="17" t="inlineStr">
        <is>
          <t>Boston Beer</t>
        </is>
      </c>
      <c r="K232" s="25" t="n">
        <v>3</v>
      </c>
      <c r="L232" s="17" t="inlineStr">
        <is>
          <t>Silver (40-69)</t>
        </is>
      </c>
      <c r="M232" s="18" t="n">
        <v>58</v>
      </c>
      <c r="N232" s="18" t="n">
        <v>58</v>
      </c>
      <c r="O232" s="17" t="inlineStr">
        <is>
          <t>Priority</t>
        </is>
      </c>
      <c r="P232" s="18" t="n">
        <v>500</v>
      </c>
      <c r="Q232" s="17" t="inlineStr">
        <is>
          <t>Yes</t>
        </is>
      </c>
      <c r="R232" s="17" t="inlineStr">
        <is>
          <t>SUN CRUISERS RTD</t>
        </is>
      </c>
      <c r="S232" s="17" t="inlineStr">
        <is>
          <t>SUN CRUISERS RTD</t>
        </is>
      </c>
      <c r="T232" s="17" t="inlineStr">
        <is>
          <t>BOSTON BEER COMPANY</t>
        </is>
      </c>
      <c r="U232" s="25" t="n">
        <v>2</v>
      </c>
      <c r="V232" s="17" t="inlineStr">
        <is>
          <t>No</t>
        </is>
      </c>
      <c r="W232" s="17" t="inlineStr">
        <is>
          <t>Boston Beer (58)</t>
        </is>
      </c>
      <c r="X232" s="17" t="inlineStr">
        <is>
          <t>—</t>
        </is>
      </c>
      <c r="Y232" s="19" t="inlineStr">
        <is>
          <t>View Photo</t>
        </is>
      </c>
    </row>
    <row r="233">
      <c r="A233" s="17" t="inlineStr">
        <is>
          <t>D0232</t>
        </is>
      </c>
      <c r="B233" s="17" t="inlineStr">
        <is>
          <t>08/03/2026</t>
        </is>
      </c>
      <c r="C233" s="17" t="inlineStr">
        <is>
          <t>08/03/2026 11:33 AM</t>
        </is>
      </c>
      <c r="D233" s="17" t="inlineStr">
        <is>
          <t>James Heaney</t>
        </is>
      </c>
      <c r="E233" s="17" t="inlineStr">
        <is>
          <t>Sales Rep</t>
        </is>
      </c>
      <c r="F233" s="17" t="inlineStr">
        <is>
          <t>Denise Montes</t>
        </is>
      </c>
      <c r="G233" s="17" t="inlineStr">
        <is>
          <t>24011</t>
        </is>
      </c>
      <c r="H233" s="17" t="inlineStr">
        <is>
          <t>SHOPPERS VINEYARD (A)</t>
        </is>
      </c>
      <c r="I233" s="17" t="inlineStr">
        <is>
          <t>CLIFTON</t>
        </is>
      </c>
      <c r="J233" s="17" t="inlineStr">
        <is>
          <t>Boston Beer</t>
        </is>
      </c>
      <c r="K233" s="25" t="n">
        <v>3</v>
      </c>
      <c r="L233" s="17" t="inlineStr">
        <is>
          <t>Silver (40-69)</t>
        </is>
      </c>
      <c r="M233" s="18" t="n">
        <v>57</v>
      </c>
      <c r="N233" s="18" t="n">
        <v>57</v>
      </c>
      <c r="O233" s="17" t="inlineStr">
        <is>
          <t>Priority</t>
        </is>
      </c>
      <c r="P233" s="18" t="n">
        <v>500</v>
      </c>
      <c r="Q233" s="17" t="inlineStr">
        <is>
          <t>Yes</t>
        </is>
      </c>
      <c r="R233" s="17" t="inlineStr">
        <is>
          <t>SUN CRUISERS RTD</t>
        </is>
      </c>
      <c r="S233" s="17" t="inlineStr">
        <is>
          <t>SUN CRUISERS RTD</t>
        </is>
      </c>
      <c r="T233" s="17" t="inlineStr">
        <is>
          <t>BOSTON BEER COMPANY</t>
        </is>
      </c>
      <c r="U233" s="25" t="n">
        <v>2</v>
      </c>
      <c r="V233" s="17" t="inlineStr">
        <is>
          <t>No</t>
        </is>
      </c>
      <c r="W233" s="17" t="inlineStr">
        <is>
          <t>Boston Beer (57)</t>
        </is>
      </c>
      <c r="X233" s="17" t="inlineStr">
        <is>
          <t>—</t>
        </is>
      </c>
      <c r="Y233" s="19" t="inlineStr">
        <is>
          <t>View Photo</t>
        </is>
      </c>
    </row>
    <row r="234">
      <c r="A234" s="17" t="inlineStr">
        <is>
          <t>D0233</t>
        </is>
      </c>
      <c r="B234" s="17" t="inlineStr">
        <is>
          <t>07/14/2026</t>
        </is>
      </c>
      <c r="C234" s="17" t="inlineStr">
        <is>
          <t>07/14/2026 12:25 PM</t>
        </is>
      </c>
      <c r="D234" s="17" t="inlineStr">
        <is>
          <t>Chris Payton</t>
        </is>
      </c>
      <c r="E234" s="17" t="inlineStr">
        <is>
          <t>Sales Rep</t>
        </is>
      </c>
      <c r="F234" s="17" t="inlineStr">
        <is>
          <t>Michael Engel</t>
        </is>
      </c>
      <c r="G234" s="17" t="inlineStr">
        <is>
          <t>34009</t>
        </is>
      </c>
      <c r="H234" s="17" t="inlineStr">
        <is>
          <t>THE WINE RACK HASBROUCK HTS</t>
        </is>
      </c>
      <c r="I234" s="17" t="inlineStr">
        <is>
          <t>HASBROUCK HEIGHTS</t>
        </is>
      </c>
      <c r="J234" s="17" t="inlineStr">
        <is>
          <t>Constellation</t>
        </is>
      </c>
      <c r="K234" s="25" t="n">
        <v>3</v>
      </c>
      <c r="L234" s="17" t="inlineStr">
        <is>
          <t>Silver (40-69)</t>
        </is>
      </c>
      <c r="M234" s="18" t="n">
        <v>56</v>
      </c>
      <c r="N234" s="18" t="n">
        <v>56</v>
      </c>
      <c r="O234" s="17" t="inlineStr">
        <is>
          <t>Priority</t>
        </is>
      </c>
      <c r="P234" s="18" t="n">
        <v>500</v>
      </c>
      <c r="Q234" s="17" t="inlineStr">
        <is>
          <t>Yes</t>
        </is>
      </c>
      <c r="R234" s="17" t="inlineStr">
        <is>
          <t>MODELO CERVEZA</t>
        </is>
      </c>
      <c r="S234" s="17" t="inlineStr">
        <is>
          <t>MODELO CERVEZA</t>
        </is>
      </c>
      <c r="T234" s="17" t="inlineStr">
        <is>
          <t>CONSTELLATION BRANDS</t>
        </is>
      </c>
      <c r="U234" s="25" t="n">
        <v>3</v>
      </c>
      <c r="V234" s="17" t="inlineStr">
        <is>
          <t>No</t>
        </is>
      </c>
      <c r="W234" s="17" t="inlineStr">
        <is>
          <t>Constellation (56)</t>
        </is>
      </c>
      <c r="X234" s="17" t="inlineStr">
        <is>
          <t>—</t>
        </is>
      </c>
      <c r="Y234" s="19" t="inlineStr">
        <is>
          <t>View Photo</t>
        </is>
      </c>
    </row>
    <row r="235">
      <c r="A235" s="17" t="inlineStr">
        <is>
          <t>D0234</t>
        </is>
      </c>
      <c r="B235" s="17" t="inlineStr">
        <is>
          <t>07/24/2026</t>
        </is>
      </c>
      <c r="C235" s="17" t="inlineStr">
        <is>
          <t>07/24/2026 05:28 PM</t>
        </is>
      </c>
      <c r="D235" s="17" t="inlineStr">
        <is>
          <t>patrick infante</t>
        </is>
      </c>
      <c r="E235" s="17" t="inlineStr">
        <is>
          <t>Sales Associate</t>
        </is>
      </c>
      <c r="F235" s="17" t="inlineStr">
        <is>
          <t>Denise Montes</t>
        </is>
      </c>
      <c r="G235" s="17" t="inlineStr">
        <is>
          <t>23004</t>
        </is>
      </c>
      <c r="H235" s="17" t="inlineStr">
        <is>
          <t>SHOP RITE WINES/SPIRITS</t>
        </is>
      </c>
      <c r="I235" s="17" t="inlineStr">
        <is>
          <t>CLIFTON</t>
        </is>
      </c>
      <c r="J235" s="17" t="inlineStr">
        <is>
          <t>HUSA (Heineken USA)</t>
        </is>
      </c>
      <c r="K235" s="25" t="n">
        <v>3</v>
      </c>
      <c r="L235" s="17" t="inlineStr">
        <is>
          <t>Silver (40-69)</t>
        </is>
      </c>
      <c r="M235" s="18" t="n">
        <v>56</v>
      </c>
      <c r="N235" s="18" t="n">
        <v>56</v>
      </c>
      <c r="O235" s="17" t="inlineStr">
        <is>
          <t>Priority</t>
        </is>
      </c>
      <c r="P235" s="18" t="n">
        <v>500</v>
      </c>
      <c r="Q235" s="17" t="inlineStr">
        <is>
          <t>Yes</t>
        </is>
      </c>
      <c r="R235" s="17" t="inlineStr">
        <is>
          <t>HEINEKEN</t>
        </is>
      </c>
      <c r="S235" s="17" t="inlineStr">
        <is>
          <t>HEINEKEN</t>
        </is>
      </c>
      <c r="T235" s="17" t="inlineStr">
        <is>
          <t>HEINEKEN</t>
        </is>
      </c>
      <c r="U235" s="25" t="n">
        <v>4</v>
      </c>
      <c r="V235" s="17" t="inlineStr">
        <is>
          <t>No</t>
        </is>
      </c>
      <c r="W235" s="17" t="inlineStr">
        <is>
          <t>HUSA (Heineken USA) (56)</t>
        </is>
      </c>
      <c r="X235" s="17" t="inlineStr">
        <is>
          <t>—</t>
        </is>
      </c>
      <c r="Y235" s="19" t="inlineStr">
        <is>
          <t>View Photo</t>
        </is>
      </c>
    </row>
    <row r="236">
      <c r="A236" s="17" t="inlineStr">
        <is>
          <t>D0235</t>
        </is>
      </c>
      <c r="B236" s="17" t="inlineStr">
        <is>
          <t>07/24/2026</t>
        </is>
      </c>
      <c r="C236" s="17" t="inlineStr">
        <is>
          <t>07/24/2026 05:35 PM</t>
        </is>
      </c>
      <c r="D236" s="17" t="inlineStr">
        <is>
          <t>patrick infante</t>
        </is>
      </c>
      <c r="E236" s="17" t="inlineStr">
        <is>
          <t>Sales Associate</t>
        </is>
      </c>
      <c r="F236" s="17" t="inlineStr">
        <is>
          <t>Denise Montes</t>
        </is>
      </c>
      <c r="G236" s="17" t="inlineStr">
        <is>
          <t>23004</t>
        </is>
      </c>
      <c r="H236" s="17" t="inlineStr">
        <is>
          <t>SHOP RITE WINES/SPIRITS</t>
        </is>
      </c>
      <c r="I236" s="17" t="inlineStr">
        <is>
          <t>CLIFTON</t>
        </is>
      </c>
      <c r="J236" s="17" t="inlineStr">
        <is>
          <t>Constellation</t>
        </is>
      </c>
      <c r="K236" s="25" t="n">
        <v>3</v>
      </c>
      <c r="L236" s="17" t="inlineStr">
        <is>
          <t>Silver (40-69)</t>
        </is>
      </c>
      <c r="M236" s="18" t="n">
        <v>56</v>
      </c>
      <c r="N236" s="18" t="n">
        <v>56</v>
      </c>
      <c r="O236" s="17" t="inlineStr">
        <is>
          <t>Priority</t>
        </is>
      </c>
      <c r="P236" s="18" t="n">
        <v>500</v>
      </c>
      <c r="Q236" s="17" t="inlineStr">
        <is>
          <t>Yes</t>
        </is>
      </c>
      <c r="R236" s="17" t="inlineStr">
        <is>
          <t>MODELO CERVEZA</t>
        </is>
      </c>
      <c r="S236" s="17" t="inlineStr">
        <is>
          <t>MODELO CERVEZA</t>
        </is>
      </c>
      <c r="T236" s="17" t="inlineStr">
        <is>
          <t>CONSTELLATION BRANDS</t>
        </is>
      </c>
      <c r="U236" s="25" t="n">
        <v>1</v>
      </c>
      <c r="V236" s="17" t="inlineStr">
        <is>
          <t>No</t>
        </is>
      </c>
      <c r="W236" s="17" t="inlineStr">
        <is>
          <t>Constellation (56)</t>
        </is>
      </c>
      <c r="X236" s="17" t="inlineStr">
        <is>
          <t>—</t>
        </is>
      </c>
      <c r="Y236" s="19" t="inlineStr">
        <is>
          <t>View Photo</t>
        </is>
      </c>
    </row>
    <row r="237">
      <c r="A237" s="17" t="inlineStr">
        <is>
          <t>D0236</t>
        </is>
      </c>
      <c r="B237" s="17" t="inlineStr">
        <is>
          <t>08/03/2026</t>
        </is>
      </c>
      <c r="C237" s="17" t="inlineStr">
        <is>
          <t>08/03/2026 11:30 AM</t>
        </is>
      </c>
      <c r="D237" s="17" t="inlineStr">
        <is>
          <t>Chris Payton</t>
        </is>
      </c>
      <c r="E237" s="17" t="inlineStr">
        <is>
          <t>Sales Rep</t>
        </is>
      </c>
      <c r="F237" s="17" t="inlineStr">
        <is>
          <t>Michael Engel</t>
        </is>
      </c>
      <c r="G237" s="17" t="inlineStr">
        <is>
          <t>38021</t>
        </is>
      </c>
      <c r="H237" s="17" t="inlineStr">
        <is>
          <t>BUY RITE OF MAIN ST LODI</t>
        </is>
      </c>
      <c r="I237" s="17" t="inlineStr">
        <is>
          <t>LODI</t>
        </is>
      </c>
      <c r="J237" s="17" t="inlineStr">
        <is>
          <t>HUSA (Heineken USA)</t>
        </is>
      </c>
      <c r="K237" s="25" t="n">
        <v>3</v>
      </c>
      <c r="L237" s="17" t="inlineStr">
        <is>
          <t>Silver (40-69)</t>
        </is>
      </c>
      <c r="M237" s="18" t="n">
        <v>56</v>
      </c>
      <c r="N237" s="18" t="n">
        <v>56</v>
      </c>
      <c r="O237" s="17" t="inlineStr">
        <is>
          <t>Priority</t>
        </is>
      </c>
      <c r="P237" s="18" t="n">
        <v>500</v>
      </c>
      <c r="Q237" s="17" t="inlineStr">
        <is>
          <t>Yes</t>
        </is>
      </c>
      <c r="R237" s="17" t="inlineStr">
        <is>
          <t>HEINEKEN</t>
        </is>
      </c>
      <c r="S237" s="17" t="inlineStr">
        <is>
          <t>HEINEKEN</t>
        </is>
      </c>
      <c r="T237" s="17" t="inlineStr">
        <is>
          <t>HEINEKEN</t>
        </is>
      </c>
      <c r="U237" s="25" t="n">
        <v>3</v>
      </c>
      <c r="V237" s="17" t="inlineStr">
        <is>
          <t>No</t>
        </is>
      </c>
      <c r="W237" s="17" t="inlineStr">
        <is>
          <t>HUSA (Heineken USA) (56)</t>
        </is>
      </c>
      <c r="X237" s="17" t="inlineStr">
        <is>
          <t>—</t>
        </is>
      </c>
      <c r="Y237" s="19" t="inlineStr">
        <is>
          <t>View Photo</t>
        </is>
      </c>
    </row>
    <row r="238">
      <c r="A238" s="17" t="inlineStr">
        <is>
          <t>D0237</t>
        </is>
      </c>
      <c r="B238" s="17" t="inlineStr">
        <is>
          <t>08/26/2026</t>
        </is>
      </c>
      <c r="C238" s="17" t="inlineStr">
        <is>
          <t>08/26/2026 08:49 AM</t>
        </is>
      </c>
      <c r="D238" s="17" t="inlineStr">
        <is>
          <t>John Neukum</t>
        </is>
      </c>
      <c r="E238" s="17" t="inlineStr">
        <is>
          <t>Sales Rep</t>
        </is>
      </c>
      <c r="F238" s="17" t="inlineStr">
        <is>
          <t>Michael Engel</t>
        </is>
      </c>
      <c r="G238" s="17" t="inlineStr">
        <is>
          <t>31019</t>
        </is>
      </c>
      <c r="H238" s="17" t="inlineStr">
        <is>
          <t>BJ'S WAREHOUSE E RUTHERFO</t>
        </is>
      </c>
      <c r="I238" s="17" t="inlineStr">
        <is>
          <t>EAST RUTHERFORD</t>
        </is>
      </c>
      <c r="J238" s="17" t="inlineStr">
        <is>
          <t>Molson Coors</t>
        </is>
      </c>
      <c r="K238" s="25" t="n">
        <v>3</v>
      </c>
      <c r="L238" s="17" t="inlineStr">
        <is>
          <t>Silver (40-69)</t>
        </is>
      </c>
      <c r="M238" s="18" t="n">
        <v>56</v>
      </c>
      <c r="N238" s="18" t="n">
        <v>56</v>
      </c>
      <c r="O238" s="17" t="inlineStr">
        <is>
          <t>Priority</t>
        </is>
      </c>
      <c r="P238" s="18" t="n">
        <v>500</v>
      </c>
      <c r="Q238" s="17" t="inlineStr">
        <is>
          <t>Yes</t>
        </is>
      </c>
      <c r="R238" s="17" t="inlineStr">
        <is>
          <t>MILLER LITE</t>
        </is>
      </c>
      <c r="S238" s="17" t="inlineStr">
        <is>
          <t>MILLER LITE</t>
        </is>
      </c>
      <c r="T238" s="17" t="inlineStr">
        <is>
          <t>MOLSON COORS BEVERAGE COMPANY</t>
        </is>
      </c>
      <c r="U238" s="25" t="n">
        <v>1</v>
      </c>
      <c r="V238" s="17" t="inlineStr">
        <is>
          <t>No</t>
        </is>
      </c>
      <c r="W238" s="17" t="inlineStr">
        <is>
          <t>Molson Coors (56)</t>
        </is>
      </c>
      <c r="X238" s="17" t="inlineStr">
        <is>
          <t>—</t>
        </is>
      </c>
      <c r="Y238" s="19" t="inlineStr">
        <is>
          <t>View Photo</t>
        </is>
      </c>
    </row>
    <row r="239">
      <c r="A239" s="17" t="inlineStr">
        <is>
          <t>D0238</t>
        </is>
      </c>
      <c r="B239" s="17" t="inlineStr">
        <is>
          <t>07/20/2026</t>
        </is>
      </c>
      <c r="C239" s="17" t="inlineStr">
        <is>
          <t>07/20/2026 09:50 AM</t>
        </is>
      </c>
      <c r="D239" s="17" t="inlineStr">
        <is>
          <t>Nicholas Micco</t>
        </is>
      </c>
      <c r="E239" s="17" t="inlineStr">
        <is>
          <t>Sales Associate</t>
        </is>
      </c>
      <c r="F239" s="17" t="inlineStr">
        <is>
          <t>Michael Engel</t>
        </is>
      </c>
      <c r="G239" s="17" t="inlineStr">
        <is>
          <t>20106</t>
        </is>
      </c>
      <c r="H239" s="17" t="inlineStr">
        <is>
          <t>SUPER WINE WAREHSE(P)PATE</t>
        </is>
      </c>
      <c r="I239" s="17" t="inlineStr">
        <is>
          <t>PATERSON</t>
        </is>
      </c>
      <c r="J239" s="17" t="inlineStr">
        <is>
          <t>Constellation</t>
        </is>
      </c>
      <c r="K239" s="25" t="n">
        <v>3</v>
      </c>
      <c r="L239" s="17" t="inlineStr">
        <is>
          <t>Silver (40-69)</t>
        </is>
      </c>
      <c r="M239" s="18" t="n">
        <v>55</v>
      </c>
      <c r="N239" s="18" t="n">
        <v>55</v>
      </c>
      <c r="O239" s="17" t="inlineStr">
        <is>
          <t>Priority</t>
        </is>
      </c>
      <c r="P239" s="18" t="n">
        <v>500</v>
      </c>
      <c r="Q239" s="17" t="inlineStr">
        <is>
          <t>Yes</t>
        </is>
      </c>
      <c r="R239" s="17" t="inlineStr">
        <is>
          <t>MODELO CERVEZA</t>
        </is>
      </c>
      <c r="S239" s="17" t="inlineStr">
        <is>
          <t>MODELO CERVEZA, MODELO ORO</t>
        </is>
      </c>
      <c r="T239" s="17" t="inlineStr">
        <is>
          <t>CONSTELLATION BRANDS</t>
        </is>
      </c>
      <c r="U239" s="25" t="n">
        <v>3</v>
      </c>
      <c r="V239" s="17" t="inlineStr">
        <is>
          <t>No</t>
        </is>
      </c>
      <c r="W239" s="17" t="inlineStr">
        <is>
          <t>Constellation (55)</t>
        </is>
      </c>
      <c r="X239" s="26" t="inlineStr">
        <is>
          <t>Possible duplicate</t>
        </is>
      </c>
      <c r="Y239" s="19" t="inlineStr">
        <is>
          <t>View Photo</t>
        </is>
      </c>
    </row>
    <row r="240">
      <c r="A240" s="17" t="inlineStr">
        <is>
          <t>D0239</t>
        </is>
      </c>
      <c r="B240" s="17" t="inlineStr">
        <is>
          <t>07/24/2026</t>
        </is>
      </c>
      <c r="C240" s="17" t="inlineStr">
        <is>
          <t>07/24/2026 05:44 PM</t>
        </is>
      </c>
      <c r="D240" s="17" t="inlineStr">
        <is>
          <t>patrick infante</t>
        </is>
      </c>
      <c r="E240" s="17" t="inlineStr">
        <is>
          <t>Sales Associate</t>
        </is>
      </c>
      <c r="F240" s="17" t="inlineStr">
        <is>
          <t>Denise Montes</t>
        </is>
      </c>
      <c r="G240" s="17" t="inlineStr">
        <is>
          <t>23004</t>
        </is>
      </c>
      <c r="H240" s="17" t="inlineStr">
        <is>
          <t>SHOP RITE WINES/SPIRITS</t>
        </is>
      </c>
      <c r="I240" s="17" t="inlineStr">
        <is>
          <t>CLIFTON</t>
        </is>
      </c>
      <c r="J240" s="17" t="inlineStr">
        <is>
          <t>Constellation</t>
        </is>
      </c>
      <c r="K240" s="25" t="n">
        <v>3</v>
      </c>
      <c r="L240" s="17" t="inlineStr">
        <is>
          <t>Silver (40-69)</t>
        </is>
      </c>
      <c r="M240" s="18" t="n">
        <v>55</v>
      </c>
      <c r="N240" s="18" t="n">
        <v>55</v>
      </c>
      <c r="O240" s="17" t="inlineStr">
        <is>
          <t>Priority</t>
        </is>
      </c>
      <c r="P240" s="18" t="n">
        <v>500</v>
      </c>
      <c r="Q240" s="17" t="inlineStr">
        <is>
          <t>Yes</t>
        </is>
      </c>
      <c r="R240" s="17" t="inlineStr">
        <is>
          <t>MODELO CERVEZA</t>
        </is>
      </c>
      <c r="S240" s="17" t="inlineStr">
        <is>
          <t>MODELO CERVEZA</t>
        </is>
      </c>
      <c r="T240" s="17" t="inlineStr">
        <is>
          <t>CONSTELLATION BRANDS</t>
        </is>
      </c>
      <c r="U240" s="25" t="n">
        <v>3</v>
      </c>
      <c r="V240" s="17" t="inlineStr">
        <is>
          <t>No</t>
        </is>
      </c>
      <c r="W240" s="17" t="inlineStr">
        <is>
          <t>Constellation (55)</t>
        </is>
      </c>
      <c r="X240" s="17" t="inlineStr">
        <is>
          <t>—</t>
        </is>
      </c>
      <c r="Y240" s="19" t="inlineStr">
        <is>
          <t>View Photo</t>
        </is>
      </c>
    </row>
    <row r="241">
      <c r="A241" s="17" t="inlineStr">
        <is>
          <t>D0240</t>
        </is>
      </c>
      <c r="B241" s="17" t="inlineStr">
        <is>
          <t>07/02/2026</t>
        </is>
      </c>
      <c r="C241" s="17" t="inlineStr">
        <is>
          <t>07/02/2026 01:51 PM</t>
        </is>
      </c>
      <c r="D241" s="17" t="inlineStr">
        <is>
          <t>phil Ernst</t>
        </is>
      </c>
      <c r="E241" s="17" t="inlineStr">
        <is>
          <t>Sales Rep</t>
        </is>
      </c>
      <c r="F241" s="17" t="inlineStr">
        <is>
          <t>Michael Engel</t>
        </is>
      </c>
      <c r="G241" s="17" t="inlineStr">
        <is>
          <t>83010</t>
        </is>
      </c>
      <c r="H241" s="17" t="inlineStr">
        <is>
          <t>BOTTLE KING (A) GLEN ROCK</t>
        </is>
      </c>
      <c r="I241" s="17" t="inlineStr">
        <is>
          <t>GLEN ROCK</t>
        </is>
      </c>
      <c r="J241" s="17" t="inlineStr">
        <is>
          <t>Boston Beer</t>
        </is>
      </c>
      <c r="K241" s="25" t="n">
        <v>3</v>
      </c>
      <c r="L241" s="17" t="inlineStr">
        <is>
          <t>Silver (40-69)</t>
        </is>
      </c>
      <c r="M241" s="18" t="n">
        <v>54</v>
      </c>
      <c r="N241" s="18" t="n">
        <v>54</v>
      </c>
      <c r="O241" s="17" t="inlineStr">
        <is>
          <t>Priority</t>
        </is>
      </c>
      <c r="P241" s="18" t="n">
        <v>500</v>
      </c>
      <c r="Q241" s="17" t="inlineStr">
        <is>
          <t>Yes</t>
        </is>
      </c>
      <c r="R241" s="17" t="inlineStr">
        <is>
          <t>SAM ADAMS SEASONAL</t>
        </is>
      </c>
      <c r="S241" s="17" t="inlineStr">
        <is>
          <t>SAM ADAMS SEASONAL, SAMUEL ADAMS</t>
        </is>
      </c>
      <c r="T241" s="17" t="inlineStr">
        <is>
          <t>BOSTON BEER COMPANY</t>
        </is>
      </c>
      <c r="U241" s="25" t="n">
        <v>6</v>
      </c>
      <c r="V241" s="17" t="inlineStr">
        <is>
          <t>No</t>
        </is>
      </c>
      <c r="W241" s="17" t="inlineStr">
        <is>
          <t>Boston Beer (54)</t>
        </is>
      </c>
      <c r="X241" s="17" t="inlineStr">
        <is>
          <t>—</t>
        </is>
      </c>
      <c r="Y241" s="19" t="inlineStr">
        <is>
          <t>View Photo</t>
        </is>
      </c>
    </row>
    <row r="242">
      <c r="A242" s="17" t="inlineStr">
        <is>
          <t>D0241</t>
        </is>
      </c>
      <c r="B242" s="17" t="inlineStr">
        <is>
          <t>08/07/2026</t>
        </is>
      </c>
      <c r="C242" s="17" t="inlineStr">
        <is>
          <t>08/07/2026 12:13 PM</t>
        </is>
      </c>
      <c r="D242" s="17" t="inlineStr">
        <is>
          <t>Matthew Powierski</t>
        </is>
      </c>
      <c r="E242" s="17" t="inlineStr">
        <is>
          <t>Sales Rep</t>
        </is>
      </c>
      <c r="F242" s="17" t="inlineStr">
        <is>
          <t>Denise Montes</t>
        </is>
      </c>
      <c r="G242" s="17" t="inlineStr">
        <is>
          <t>31060</t>
        </is>
      </c>
      <c r="H242" s="17" t="inlineStr">
        <is>
          <t>BOTTLE REPUBLIC (RUTHERFORD)</t>
        </is>
      </c>
      <c r="I242" s="17" t="inlineStr">
        <is>
          <t>RUTHERFORD</t>
        </is>
      </c>
      <c r="J242" s="17" t="inlineStr">
        <is>
          <t>Constellation</t>
        </is>
      </c>
      <c r="K242" s="25" t="n">
        <v>3</v>
      </c>
      <c r="L242" s="17" t="inlineStr">
        <is>
          <t>Silver (40-69)</t>
        </is>
      </c>
      <c r="M242" s="18" t="n">
        <v>54</v>
      </c>
      <c r="N242" s="18" t="n">
        <v>54</v>
      </c>
      <c r="O242" s="17" t="inlineStr">
        <is>
          <t>Priority</t>
        </is>
      </c>
      <c r="P242" s="18" t="n">
        <v>500</v>
      </c>
      <c r="Q242" s="17" t="inlineStr">
        <is>
          <t>Yes</t>
        </is>
      </c>
      <c r="R242" s="17" t="inlineStr">
        <is>
          <t>CORONA EXTRA</t>
        </is>
      </c>
      <c r="S242" s="17" t="inlineStr">
        <is>
          <t>CORONA EXTRA</t>
        </is>
      </c>
      <c r="T242" s="17" t="inlineStr">
        <is>
          <t>CONSTELLATION BRANDS</t>
        </is>
      </c>
      <c r="U242" s="25" t="n">
        <v>1</v>
      </c>
      <c r="V242" s="17" t="inlineStr">
        <is>
          <t>No</t>
        </is>
      </c>
      <c r="W242" s="17" t="inlineStr">
        <is>
          <t>Constellation (54)</t>
        </is>
      </c>
      <c r="X242" s="17" t="inlineStr">
        <is>
          <t>—</t>
        </is>
      </c>
      <c r="Y242" s="19" t="inlineStr">
        <is>
          <t>View Photo</t>
        </is>
      </c>
    </row>
    <row r="243">
      <c r="A243" s="17" t="inlineStr">
        <is>
          <t>D0242</t>
        </is>
      </c>
      <c r="B243" s="17" t="inlineStr">
        <is>
          <t>07/21/2026</t>
        </is>
      </c>
      <c r="C243" s="17" t="inlineStr">
        <is>
          <t>07/21/2026 01:54 PM</t>
        </is>
      </c>
      <c r="D243" s="17" t="inlineStr">
        <is>
          <t>Matthew Powierski</t>
        </is>
      </c>
      <c r="E243" s="17" t="inlineStr">
        <is>
          <t>Sales Rep</t>
        </is>
      </c>
      <c r="F243" s="17" t="inlineStr">
        <is>
          <t>Denise Montes</t>
        </is>
      </c>
      <c r="G243" s="17" t="inlineStr">
        <is>
          <t>37068</t>
        </is>
      </c>
      <c r="H243" s="17" t="inlineStr">
        <is>
          <t>WHOOPEE LIQ (A)</t>
        </is>
      </c>
      <c r="I243" s="17" t="inlineStr">
        <is>
          <t>GARFIELD</t>
        </is>
      </c>
      <c r="J243" s="17" t="inlineStr">
        <is>
          <t>Constellation</t>
        </is>
      </c>
      <c r="K243" s="25" t="n">
        <v>3</v>
      </c>
      <c r="L243" s="17" t="inlineStr">
        <is>
          <t>Silver (40-69)</t>
        </is>
      </c>
      <c r="M243" s="18" t="n">
        <v>53</v>
      </c>
      <c r="N243" s="18" t="n">
        <v>53</v>
      </c>
      <c r="O243" s="17" t="inlineStr">
        <is>
          <t>Priority</t>
        </is>
      </c>
      <c r="P243" s="18" t="n">
        <v>500</v>
      </c>
      <c r="Q243" s="17" t="inlineStr">
        <is>
          <t>Yes</t>
        </is>
      </c>
      <c r="R243" s="17" t="inlineStr">
        <is>
          <t>CORONA EXTRA</t>
        </is>
      </c>
      <c r="S243" s="17" t="inlineStr">
        <is>
          <t>CORONA EXTRA</t>
        </is>
      </c>
      <c r="T243" s="17" t="inlineStr">
        <is>
          <t>CONSTELLATION BRANDS</t>
        </is>
      </c>
      <c r="U243" s="25" t="n">
        <v>1</v>
      </c>
      <c r="V243" s="17" t="inlineStr">
        <is>
          <t>No</t>
        </is>
      </c>
      <c r="W243" s="17" t="inlineStr">
        <is>
          <t>Constellation (53)</t>
        </is>
      </c>
      <c r="X243" s="17" t="inlineStr">
        <is>
          <t>—</t>
        </is>
      </c>
      <c r="Y243" s="19" t="inlineStr">
        <is>
          <t>View Photo</t>
        </is>
      </c>
    </row>
    <row r="244">
      <c r="A244" s="17" t="inlineStr">
        <is>
          <t>D0243</t>
        </is>
      </c>
      <c r="B244" s="17" t="inlineStr">
        <is>
          <t>07/29/2026</t>
        </is>
      </c>
      <c r="C244" s="17" t="inlineStr">
        <is>
          <t>07/29/2026 11:18 AM</t>
        </is>
      </c>
      <c r="D244" s="17" t="inlineStr">
        <is>
          <t>Shane Barreca</t>
        </is>
      </c>
      <c r="E244" s="17" t="inlineStr">
        <is>
          <t>Sales Rep</t>
        </is>
      </c>
      <c r="F244" s="17" t="inlineStr">
        <is>
          <t>Paul Deady</t>
        </is>
      </c>
      <c r="G244" s="17" t="inlineStr">
        <is>
          <t>92011</t>
        </is>
      </c>
      <c r="H244" s="17" t="inlineStr">
        <is>
          <t>BOTTLE KING (A) RAMSEY</t>
        </is>
      </c>
      <c r="I244" s="17" t="inlineStr">
        <is>
          <t>RAMSEY</t>
        </is>
      </c>
      <c r="J244" s="17" t="inlineStr">
        <is>
          <t>Boston Beer</t>
        </is>
      </c>
      <c r="K244" s="25" t="n">
        <v>3</v>
      </c>
      <c r="L244" s="17" t="inlineStr">
        <is>
          <t>Silver (40-69)</t>
        </is>
      </c>
      <c r="M244" s="18" t="n">
        <v>53</v>
      </c>
      <c r="N244" s="18" t="n">
        <v>53</v>
      </c>
      <c r="O244" s="17" t="inlineStr">
        <is>
          <t>Priority</t>
        </is>
      </c>
      <c r="P244" s="18" t="n">
        <v>500</v>
      </c>
      <c r="Q244" s="17" t="inlineStr">
        <is>
          <t>Yes</t>
        </is>
      </c>
      <c r="R244" s="17" t="inlineStr">
        <is>
          <t>SUN CRUISERS RTD</t>
        </is>
      </c>
      <c r="S244" s="17" t="inlineStr">
        <is>
          <t>SUN CRUISERS RTD</t>
        </is>
      </c>
      <c r="T244" s="17" t="inlineStr">
        <is>
          <t>BOSTON BEER COMPANY</t>
        </is>
      </c>
      <c r="U244" s="25" t="n">
        <v>2</v>
      </c>
      <c r="V244" s="17" t="inlineStr">
        <is>
          <t>No</t>
        </is>
      </c>
      <c r="W244" s="17" t="inlineStr">
        <is>
          <t>Boston Beer (53)</t>
        </is>
      </c>
      <c r="X244" s="17" t="inlineStr">
        <is>
          <t>—</t>
        </is>
      </c>
      <c r="Y244" s="19" t="inlineStr">
        <is>
          <t>View Photo</t>
        </is>
      </c>
    </row>
    <row r="245">
      <c r="A245" s="17" t="inlineStr">
        <is>
          <t>D0244</t>
        </is>
      </c>
      <c r="B245" s="17" t="inlineStr">
        <is>
          <t>07/30/2026</t>
        </is>
      </c>
      <c r="C245" s="17" t="inlineStr">
        <is>
          <t>07/30/2026 09:20 AM</t>
        </is>
      </c>
      <c r="D245" s="17" t="inlineStr">
        <is>
          <t>phil Ernst</t>
        </is>
      </c>
      <c r="E245" s="17" t="inlineStr">
        <is>
          <t>Sales Rep</t>
        </is>
      </c>
      <c r="F245" s="17" t="inlineStr">
        <is>
          <t>Michael Engel</t>
        </is>
      </c>
      <c r="G245" s="17" t="inlineStr">
        <is>
          <t>20106</t>
        </is>
      </c>
      <c r="H245" s="17" t="inlineStr">
        <is>
          <t>SUPER WINE WAREHSE(P)PATE</t>
        </is>
      </c>
      <c r="I245" s="17" t="inlineStr">
        <is>
          <t>PATERSON</t>
        </is>
      </c>
      <c r="J245" s="17" t="inlineStr">
        <is>
          <t>HUSA (Heineken USA)</t>
        </is>
      </c>
      <c r="K245" s="25" t="n">
        <v>3</v>
      </c>
      <c r="L245" s="17" t="inlineStr">
        <is>
          <t>Silver (40-69)</t>
        </is>
      </c>
      <c r="M245" s="18" t="n">
        <v>53</v>
      </c>
      <c r="N245" s="18" t="n">
        <v>53</v>
      </c>
      <c r="O245" s="17" t="inlineStr">
        <is>
          <t>Priority</t>
        </is>
      </c>
      <c r="P245" s="18" t="n">
        <v>500</v>
      </c>
      <c r="Q245" s="17" t="inlineStr">
        <is>
          <t>Yes</t>
        </is>
      </c>
      <c r="R245" s="17" t="inlineStr">
        <is>
          <t>HEINEKEN</t>
        </is>
      </c>
      <c r="S245" s="17" t="inlineStr">
        <is>
          <t>HEINEKEN</t>
        </is>
      </c>
      <c r="T245" s="17" t="inlineStr">
        <is>
          <t>HEINEKEN</t>
        </is>
      </c>
      <c r="U245" s="25" t="n">
        <v>6</v>
      </c>
      <c r="V245" s="17" t="inlineStr">
        <is>
          <t>No</t>
        </is>
      </c>
      <c r="W245" s="17" t="inlineStr">
        <is>
          <t>HUSA (Heineken USA) (53)</t>
        </is>
      </c>
      <c r="X245" s="17" t="inlineStr">
        <is>
          <t>—</t>
        </is>
      </c>
      <c r="Y245" s="19" t="inlineStr">
        <is>
          <t>View Photo</t>
        </is>
      </c>
    </row>
    <row r="246">
      <c r="A246" s="17" t="inlineStr">
        <is>
          <t>D0245</t>
        </is>
      </c>
      <c r="B246" s="17" t="inlineStr">
        <is>
          <t>07/02/2026</t>
        </is>
      </c>
      <c r="C246" s="17" t="inlineStr">
        <is>
          <t>07/02/2026 09:35 AM</t>
        </is>
      </c>
      <c r="D246" s="17" t="inlineStr">
        <is>
          <t>Michael Harboy</t>
        </is>
      </c>
      <c r="E246" s="17" t="inlineStr">
        <is>
          <t>Sales Rep</t>
        </is>
      </c>
      <c r="F246" s="17" t="inlineStr">
        <is>
          <t>Mike Kennedy</t>
        </is>
      </c>
      <c r="G246" s="17" t="inlineStr">
        <is>
          <t>12005</t>
        </is>
      </c>
      <c r="H246" s="17" t="inlineStr">
        <is>
          <t>SHAY'S LIQUORS</t>
        </is>
      </c>
      <c r="I246" s="17" t="inlineStr">
        <is>
          <t>WAYNE</t>
        </is>
      </c>
      <c r="J246" s="17" t="inlineStr">
        <is>
          <t>Constellation</t>
        </is>
      </c>
      <c r="K246" s="25" t="n">
        <v>3</v>
      </c>
      <c r="L246" s="17" t="inlineStr">
        <is>
          <t>Silver (40-69)</t>
        </is>
      </c>
      <c r="M246" s="18" t="n">
        <v>52</v>
      </c>
      <c r="N246" s="18" t="n">
        <v>52</v>
      </c>
      <c r="O246" s="17" t="inlineStr">
        <is>
          <t>Priority</t>
        </is>
      </c>
      <c r="P246" s="18" t="n">
        <v>500</v>
      </c>
      <c r="Q246" s="17" t="inlineStr">
        <is>
          <t>Yes</t>
        </is>
      </c>
      <c r="R246" s="17" t="inlineStr">
        <is>
          <t>MODELO CERVEZA</t>
        </is>
      </c>
      <c r="S246" s="17" t="inlineStr">
        <is>
          <t>CERVEZA VICTORIA, MODELO CERVEZA, MODELO ORO, PACIFICO</t>
        </is>
      </c>
      <c r="T246" s="17" t="inlineStr">
        <is>
          <t>CONSTELLATION BRANDS</t>
        </is>
      </c>
      <c r="U246" s="25" t="n">
        <v>9</v>
      </c>
      <c r="V246" s="17" t="inlineStr">
        <is>
          <t>No</t>
        </is>
      </c>
      <c r="W246" s="17" t="inlineStr">
        <is>
          <t>Constellation (52)</t>
        </is>
      </c>
      <c r="X246" s="17" t="inlineStr">
        <is>
          <t>—</t>
        </is>
      </c>
      <c r="Y246" s="19" t="inlineStr">
        <is>
          <t>View Photo</t>
        </is>
      </c>
    </row>
    <row r="247">
      <c r="A247" s="17" t="inlineStr">
        <is>
          <t>D0246</t>
        </is>
      </c>
      <c r="B247" s="17" t="inlineStr">
        <is>
          <t>07/01/2026</t>
        </is>
      </c>
      <c r="C247" s="17" t="inlineStr">
        <is>
          <t>07/01/2026 02:33 PM</t>
        </is>
      </c>
      <c r="D247" s="17" t="inlineStr">
        <is>
          <t>David Fletcher</t>
        </is>
      </c>
      <c r="E247" s="17" t="inlineStr">
        <is>
          <t>Sales Associate</t>
        </is>
      </c>
      <c r="F247" s="17" t="inlineStr">
        <is>
          <t>Michael Engel</t>
        </is>
      </c>
      <c r="G247" s="17" t="inlineStr">
        <is>
          <t>83010</t>
        </is>
      </c>
      <c r="H247" s="17" t="inlineStr">
        <is>
          <t>BOTTLE KING (A) GLEN ROCK</t>
        </is>
      </c>
      <c r="I247" s="17" t="inlineStr">
        <is>
          <t>GLEN ROCK</t>
        </is>
      </c>
      <c r="J247" s="17" t="inlineStr">
        <is>
          <t>Boston Beer</t>
        </is>
      </c>
      <c r="K247" s="25" t="n">
        <v>3</v>
      </c>
      <c r="L247" s="17" t="inlineStr">
        <is>
          <t>Silver (40-69)</t>
        </is>
      </c>
      <c r="M247" s="18" t="n">
        <v>50</v>
      </c>
      <c r="N247" s="18" t="n">
        <v>50</v>
      </c>
      <c r="O247" s="17" t="inlineStr">
        <is>
          <t>Priority</t>
        </is>
      </c>
      <c r="P247" s="18" t="n">
        <v>500</v>
      </c>
      <c r="Q247" s="17" t="inlineStr">
        <is>
          <t>Yes</t>
        </is>
      </c>
      <c r="R247" s="17" t="inlineStr">
        <is>
          <t>SAM ADAMS SEASONAL</t>
        </is>
      </c>
      <c r="S247" s="17" t="inlineStr">
        <is>
          <t>SAM ADAMS SEASONAL, SAMUEL ADAMS</t>
        </is>
      </c>
      <c r="T247" s="17" t="inlineStr">
        <is>
          <t>BOSTON BEER COMPANY</t>
        </is>
      </c>
      <c r="U247" s="25" t="n">
        <v>5</v>
      </c>
      <c r="V247" s="17" t="inlineStr">
        <is>
          <t>No</t>
        </is>
      </c>
      <c r="W247" s="17" t="inlineStr">
        <is>
          <t>Boston Beer (50)</t>
        </is>
      </c>
      <c r="X247" s="17" t="inlineStr">
        <is>
          <t>—</t>
        </is>
      </c>
      <c r="Y247" s="19" t="inlineStr">
        <is>
          <t>View Photo</t>
        </is>
      </c>
    </row>
    <row r="248">
      <c r="A248" s="17" t="inlineStr">
        <is>
          <t>D0247</t>
        </is>
      </c>
      <c r="B248" s="17" t="inlineStr">
        <is>
          <t>07/01/2026</t>
        </is>
      </c>
      <c r="C248" s="17" t="inlineStr">
        <is>
          <t>07/01/2026 05:50 PM</t>
        </is>
      </c>
      <c r="D248" s="17" t="inlineStr">
        <is>
          <t>David Fletcher</t>
        </is>
      </c>
      <c r="E248" s="17" t="inlineStr">
        <is>
          <t>Sales Associate</t>
        </is>
      </c>
      <c r="F248" s="17" t="inlineStr">
        <is>
          <t>Michael Engel</t>
        </is>
      </c>
      <c r="G248" s="17" t="inlineStr">
        <is>
          <t>29004</t>
        </is>
      </c>
      <c r="H248" s="17" t="inlineStr">
        <is>
          <t>SHOP-RITE LIQ LYNDHURST</t>
        </is>
      </c>
      <c r="I248" s="17" t="inlineStr">
        <is>
          <t>LYNDHURST</t>
        </is>
      </c>
      <c r="J248" s="17" t="inlineStr">
        <is>
          <t>Boston Beer</t>
        </is>
      </c>
      <c r="K248" s="25" t="n">
        <v>3</v>
      </c>
      <c r="L248" s="17" t="inlineStr">
        <is>
          <t>Silver (40-69)</t>
        </is>
      </c>
      <c r="M248" s="18" t="n">
        <v>50</v>
      </c>
      <c r="N248" s="18" t="n">
        <v>50</v>
      </c>
      <c r="O248" s="17" t="inlineStr">
        <is>
          <t>Priority</t>
        </is>
      </c>
      <c r="P248" s="18" t="n">
        <v>500</v>
      </c>
      <c r="Q248" s="17" t="inlineStr">
        <is>
          <t>Yes</t>
        </is>
      </c>
      <c r="R248" s="17" t="inlineStr">
        <is>
          <t>TRULY HARD SELTZER</t>
        </is>
      </c>
      <c r="S248" s="17" t="inlineStr">
        <is>
          <t>TRULY HARD SELTZER</t>
        </is>
      </c>
      <c r="T248" s="17" t="inlineStr">
        <is>
          <t>BOSTON BEER COMPANY</t>
        </is>
      </c>
      <c r="U248" s="25" t="n">
        <v>1</v>
      </c>
      <c r="V248" s="17" t="inlineStr">
        <is>
          <t>No</t>
        </is>
      </c>
      <c r="W248" s="17" t="inlineStr">
        <is>
          <t>Boston Beer (50)</t>
        </is>
      </c>
      <c r="X248" s="17" t="inlineStr">
        <is>
          <t>—</t>
        </is>
      </c>
      <c r="Y248" s="19" t="inlineStr">
        <is>
          <t>View Photo</t>
        </is>
      </c>
    </row>
    <row r="249">
      <c r="A249" s="17" t="inlineStr">
        <is>
          <t>D0248</t>
        </is>
      </c>
      <c r="B249" s="17" t="inlineStr">
        <is>
          <t>07/02/2026</t>
        </is>
      </c>
      <c r="C249" s="17" t="inlineStr">
        <is>
          <t>07/02/2026 02:25 PM</t>
        </is>
      </c>
      <c r="D249" s="17" t="inlineStr">
        <is>
          <t>phil Ernst</t>
        </is>
      </c>
      <c r="E249" s="17" t="inlineStr">
        <is>
          <t>Sales Rep</t>
        </is>
      </c>
      <c r="F249" s="17" t="inlineStr">
        <is>
          <t>Michael Engel</t>
        </is>
      </c>
      <c r="G249" s="17" t="inlineStr">
        <is>
          <t>20106</t>
        </is>
      </c>
      <c r="H249" s="17" t="inlineStr">
        <is>
          <t>SUPER WINE WAREHSE(P)PATE</t>
        </is>
      </c>
      <c r="I249" s="17" t="inlineStr">
        <is>
          <t>PATERSON</t>
        </is>
      </c>
      <c r="J249" s="17" t="inlineStr">
        <is>
          <t>Boston Beer</t>
        </is>
      </c>
      <c r="K249" s="25" t="n">
        <v>3</v>
      </c>
      <c r="L249" s="17" t="inlineStr">
        <is>
          <t>Silver (40-69)</t>
        </is>
      </c>
      <c r="M249" s="18" t="n">
        <v>50</v>
      </c>
      <c r="N249" s="18" t="n">
        <v>50</v>
      </c>
      <c r="O249" s="17" t="inlineStr">
        <is>
          <t>Priority</t>
        </is>
      </c>
      <c r="P249" s="18" t="n">
        <v>500</v>
      </c>
      <c r="Q249" s="17" t="inlineStr">
        <is>
          <t>Yes</t>
        </is>
      </c>
      <c r="R249" s="17" t="inlineStr">
        <is>
          <t>TWISTED TEA</t>
        </is>
      </c>
      <c r="S249" s="17" t="inlineStr">
        <is>
          <t>TWISTED TEA</t>
        </is>
      </c>
      <c r="T249" s="17" t="inlineStr">
        <is>
          <t>BOSTON BEER COMPANY</t>
        </is>
      </c>
      <c r="U249" s="25" t="n">
        <v>11</v>
      </c>
      <c r="V249" s="17" t="inlineStr">
        <is>
          <t>No</t>
        </is>
      </c>
      <c r="W249" s="17" t="inlineStr">
        <is>
          <t>Boston Beer (50)</t>
        </is>
      </c>
      <c r="X249" s="17" t="inlineStr">
        <is>
          <t>First of a repeat set</t>
        </is>
      </c>
      <c r="Y249" s="19" t="inlineStr">
        <is>
          <t>View Photo</t>
        </is>
      </c>
    </row>
    <row r="250">
      <c r="A250" s="17" t="inlineStr">
        <is>
          <t>D0249</t>
        </is>
      </c>
      <c r="B250" s="17" t="inlineStr">
        <is>
          <t>07/02/2026</t>
        </is>
      </c>
      <c r="C250" s="17" t="inlineStr">
        <is>
          <t>07/02/2026 02:29 PM</t>
        </is>
      </c>
      <c r="D250" s="17" t="inlineStr">
        <is>
          <t>phil Ernst</t>
        </is>
      </c>
      <c r="E250" s="17" t="inlineStr">
        <is>
          <t>Sales Rep</t>
        </is>
      </c>
      <c r="F250" s="17" t="inlineStr">
        <is>
          <t>Michael Engel</t>
        </is>
      </c>
      <c r="G250" s="17" t="inlineStr">
        <is>
          <t>20106</t>
        </is>
      </c>
      <c r="H250" s="17" t="inlineStr">
        <is>
          <t>SUPER WINE WAREHSE(P)PATE</t>
        </is>
      </c>
      <c r="I250" s="17" t="inlineStr">
        <is>
          <t>PATERSON</t>
        </is>
      </c>
      <c r="J250" s="17" t="inlineStr">
        <is>
          <t>Boston Beer</t>
        </is>
      </c>
      <c r="K250" s="25" t="n">
        <v>3</v>
      </c>
      <c r="L250" s="17" t="inlineStr">
        <is>
          <t>Silver (40-69)</t>
        </is>
      </c>
      <c r="M250" s="18" t="n">
        <v>50</v>
      </c>
      <c r="N250" s="18" t="n">
        <v>50</v>
      </c>
      <c r="O250" s="17" t="inlineStr">
        <is>
          <t>Priority</t>
        </is>
      </c>
      <c r="P250" s="18" t="n">
        <v>500</v>
      </c>
      <c r="Q250" s="17" t="inlineStr">
        <is>
          <t>Yes</t>
        </is>
      </c>
      <c r="R250" s="17" t="inlineStr">
        <is>
          <t>TRULY HARD SELTZER</t>
        </is>
      </c>
      <c r="S250" s="17" t="inlineStr">
        <is>
          <t>TRULY HARD SELTZER</t>
        </is>
      </c>
      <c r="T250" s="17" t="inlineStr">
        <is>
          <t>BOSTON BEER COMPANY</t>
        </is>
      </c>
      <c r="U250" s="25" t="n">
        <v>1</v>
      </c>
      <c r="V250" s="17" t="inlineStr">
        <is>
          <t>No</t>
        </is>
      </c>
      <c r="W250" s="17" t="inlineStr">
        <is>
          <t>Boston Beer (50)</t>
        </is>
      </c>
      <c r="X250" s="17" t="inlineStr">
        <is>
          <t>—</t>
        </is>
      </c>
      <c r="Y250" s="19" t="inlineStr">
        <is>
          <t>View Photo</t>
        </is>
      </c>
    </row>
    <row r="251">
      <c r="A251" s="17" t="inlineStr">
        <is>
          <t>D0250</t>
        </is>
      </c>
      <c r="B251" s="17" t="inlineStr">
        <is>
          <t>07/02/2026</t>
        </is>
      </c>
      <c r="C251" s="17" t="inlineStr">
        <is>
          <t>07/02/2026 11:59 AM</t>
        </is>
      </c>
      <c r="D251" s="17" t="inlineStr">
        <is>
          <t>Nicholas Micco</t>
        </is>
      </c>
      <c r="E251" s="17" t="inlineStr">
        <is>
          <t>Sales Associate</t>
        </is>
      </c>
      <c r="F251" s="17" t="inlineStr">
        <is>
          <t>Michael Engel</t>
        </is>
      </c>
      <c r="G251" s="17" t="inlineStr">
        <is>
          <t>20106</t>
        </is>
      </c>
      <c r="H251" s="17" t="inlineStr">
        <is>
          <t>SUPER WINE WAREHSE(P)PATE</t>
        </is>
      </c>
      <c r="I251" s="17" t="inlineStr">
        <is>
          <t>PATERSON</t>
        </is>
      </c>
      <c r="J251" s="17" t="inlineStr">
        <is>
          <t>Mark Anthony</t>
        </is>
      </c>
      <c r="K251" s="25" t="n">
        <v>3</v>
      </c>
      <c r="L251" s="17" t="inlineStr">
        <is>
          <t>Silver (40-69)</t>
        </is>
      </c>
      <c r="M251" s="18" t="n">
        <v>50</v>
      </c>
      <c r="N251" s="18" t="n">
        <v>50</v>
      </c>
      <c r="O251" s="17" t="inlineStr">
        <is>
          <t>Priority</t>
        </is>
      </c>
      <c r="P251" s="18" t="n">
        <v>500</v>
      </c>
      <c r="Q251" s="17" t="inlineStr">
        <is>
          <t>Yes</t>
        </is>
      </c>
      <c r="R251" s="17" t="inlineStr">
        <is>
          <t>WHITE CLAW SURF HARD SELTZER</t>
        </is>
      </c>
      <c r="S251" s="17" t="inlineStr">
        <is>
          <t>WHITE CLAW SURF HARD SELTZER</t>
        </is>
      </c>
      <c r="T251" s="17" t="inlineStr">
        <is>
          <t>MARK ANTHONY GROUP</t>
        </is>
      </c>
      <c r="U251" s="25" t="n">
        <v>1</v>
      </c>
      <c r="V251" s="17" t="inlineStr">
        <is>
          <t>No</t>
        </is>
      </c>
      <c r="W251" s="17" t="inlineStr">
        <is>
          <t>Mark Anthony (50)</t>
        </is>
      </c>
      <c r="X251" s="17" t="inlineStr">
        <is>
          <t>—</t>
        </is>
      </c>
      <c r="Y251" s="19" t="inlineStr">
        <is>
          <t>View Photo</t>
        </is>
      </c>
    </row>
    <row r="252">
      <c r="A252" s="17" t="inlineStr">
        <is>
          <t>D0251</t>
        </is>
      </c>
      <c r="B252" s="17" t="inlineStr">
        <is>
          <t>07/02/2026</t>
        </is>
      </c>
      <c r="C252" s="17" t="inlineStr">
        <is>
          <t>07/02/2026 12:01 PM</t>
        </is>
      </c>
      <c r="D252" s="17" t="inlineStr">
        <is>
          <t>Nicholas Micco</t>
        </is>
      </c>
      <c r="E252" s="17" t="inlineStr">
        <is>
          <t>Sales Associate</t>
        </is>
      </c>
      <c r="F252" s="17" t="inlineStr">
        <is>
          <t>Michael Engel</t>
        </is>
      </c>
      <c r="G252" s="17" t="inlineStr">
        <is>
          <t>20106</t>
        </is>
      </c>
      <c r="H252" s="17" t="inlineStr">
        <is>
          <t>SUPER WINE WAREHSE(P)PATE</t>
        </is>
      </c>
      <c r="I252" s="17" t="inlineStr">
        <is>
          <t>PATERSON</t>
        </is>
      </c>
      <c r="J252" s="17" t="inlineStr">
        <is>
          <t>Boston Beer</t>
        </is>
      </c>
      <c r="K252" s="25" t="n">
        <v>3</v>
      </c>
      <c r="L252" s="17" t="inlineStr">
        <is>
          <t>Silver (40-69)</t>
        </is>
      </c>
      <c r="M252" s="18" t="n">
        <v>50</v>
      </c>
      <c r="N252" s="18" t="n">
        <v>50</v>
      </c>
      <c r="O252" s="17" t="inlineStr">
        <is>
          <t>Priority</t>
        </is>
      </c>
      <c r="P252" s="18" t="n">
        <v>500</v>
      </c>
      <c r="Q252" s="17" t="inlineStr">
        <is>
          <t>Yes</t>
        </is>
      </c>
      <c r="R252" s="17" t="inlineStr">
        <is>
          <t>TWISTED TEA</t>
        </is>
      </c>
      <c r="S252" s="17" t="inlineStr">
        <is>
          <t>TWISTED TEA</t>
        </is>
      </c>
      <c r="T252" s="17" t="inlineStr">
        <is>
          <t>BOSTON BEER COMPANY</t>
        </is>
      </c>
      <c r="U252" s="25" t="n">
        <v>3</v>
      </c>
      <c r="V252" s="17" t="inlineStr">
        <is>
          <t>No</t>
        </is>
      </c>
      <c r="W252" s="17" t="inlineStr">
        <is>
          <t>Boston Beer (50)</t>
        </is>
      </c>
      <c r="X252" s="26" t="inlineStr">
        <is>
          <t>Possible duplicate</t>
        </is>
      </c>
      <c r="Y252" s="19" t="inlineStr">
        <is>
          <t>View Photo</t>
        </is>
      </c>
    </row>
    <row r="253">
      <c r="A253" s="17" t="inlineStr">
        <is>
          <t>D0252</t>
        </is>
      </c>
      <c r="B253" s="17" t="inlineStr">
        <is>
          <t>07/02/2026</t>
        </is>
      </c>
      <c r="C253" s="17" t="inlineStr">
        <is>
          <t>07/02/2026 12:03 PM</t>
        </is>
      </c>
      <c r="D253" s="17" t="inlineStr">
        <is>
          <t>Nicholas Micco</t>
        </is>
      </c>
      <c r="E253" s="17" t="inlineStr">
        <is>
          <t>Sales Associate</t>
        </is>
      </c>
      <c r="F253" s="17" t="inlineStr">
        <is>
          <t>Michael Engel</t>
        </is>
      </c>
      <c r="G253" s="17" t="inlineStr">
        <is>
          <t>20106</t>
        </is>
      </c>
      <c r="H253" s="17" t="inlineStr">
        <is>
          <t>SUPER WINE WAREHSE(P)PATE</t>
        </is>
      </c>
      <c r="I253" s="17" t="inlineStr">
        <is>
          <t>PATERSON</t>
        </is>
      </c>
      <c r="J253" s="17" t="inlineStr">
        <is>
          <t>Boston Beer</t>
        </is>
      </c>
      <c r="K253" s="25" t="n">
        <v>3</v>
      </c>
      <c r="L253" s="17" t="inlineStr">
        <is>
          <t>Silver (40-69)</t>
        </is>
      </c>
      <c r="M253" s="18" t="n">
        <v>50</v>
      </c>
      <c r="N253" s="18" t="n">
        <v>50</v>
      </c>
      <c r="O253" s="17" t="inlineStr">
        <is>
          <t>Priority</t>
        </is>
      </c>
      <c r="P253" s="18" t="n">
        <v>500</v>
      </c>
      <c r="Q253" s="17" t="inlineStr">
        <is>
          <t>Yes</t>
        </is>
      </c>
      <c r="R253" s="17" t="inlineStr">
        <is>
          <t>TRULY</t>
        </is>
      </c>
      <c r="S253" s="17" t="inlineStr">
        <is>
          <t>TRULY</t>
        </is>
      </c>
      <c r="T253" s="17" t="inlineStr">
        <is>
          <t>BOSTON BEER COMPANY</t>
        </is>
      </c>
      <c r="U253" s="25" t="n">
        <v>1</v>
      </c>
      <c r="V253" s="17" t="inlineStr">
        <is>
          <t>No</t>
        </is>
      </c>
      <c r="W253" s="17" t="inlineStr">
        <is>
          <t>Boston Beer (50)</t>
        </is>
      </c>
      <c r="X253" s="17" t="inlineStr">
        <is>
          <t>—</t>
        </is>
      </c>
      <c r="Y253" s="19" t="inlineStr">
        <is>
          <t>View Photo</t>
        </is>
      </c>
    </row>
    <row r="254">
      <c r="A254" s="17" t="inlineStr">
        <is>
          <t>D0253</t>
        </is>
      </c>
      <c r="B254" s="17" t="inlineStr">
        <is>
          <t>07/02/2026</t>
        </is>
      </c>
      <c r="C254" s="17" t="inlineStr">
        <is>
          <t>07/02/2026 12:04 PM</t>
        </is>
      </c>
      <c r="D254" s="17" t="inlineStr">
        <is>
          <t>David Fletcher</t>
        </is>
      </c>
      <c r="E254" s="17" t="inlineStr">
        <is>
          <t>Sales Associate</t>
        </is>
      </c>
      <c r="F254" s="17" t="inlineStr">
        <is>
          <t>Michael Engel</t>
        </is>
      </c>
      <c r="G254" s="17" t="inlineStr">
        <is>
          <t>20106</t>
        </is>
      </c>
      <c r="H254" s="17" t="inlineStr">
        <is>
          <t>SUPER WINE WAREHSE(P)PATE</t>
        </is>
      </c>
      <c r="I254" s="17" t="inlineStr">
        <is>
          <t>PATERSON</t>
        </is>
      </c>
      <c r="J254" s="17" t="inlineStr">
        <is>
          <t>Boston Beer</t>
        </is>
      </c>
      <c r="K254" s="25" t="n">
        <v>3</v>
      </c>
      <c r="L254" s="17" t="inlineStr">
        <is>
          <t>Silver (40-69)</t>
        </is>
      </c>
      <c r="M254" s="18" t="n">
        <v>50</v>
      </c>
      <c r="N254" s="18" t="n">
        <v>50</v>
      </c>
      <c r="O254" s="17" t="inlineStr">
        <is>
          <t>Priority</t>
        </is>
      </c>
      <c r="P254" s="18" t="n">
        <v>500</v>
      </c>
      <c r="Q254" s="17" t="inlineStr">
        <is>
          <t>Yes</t>
        </is>
      </c>
      <c r="R254" s="17" t="inlineStr">
        <is>
          <t>TRULY SEASONAL HARD SELTZER</t>
        </is>
      </c>
      <c r="S254" s="17" t="inlineStr">
        <is>
          <t>TRULY SEASONAL HARD SELTZER</t>
        </is>
      </c>
      <c r="T254" s="17" t="inlineStr">
        <is>
          <t>BOSTON BEER COMPANY</t>
        </is>
      </c>
      <c r="U254" s="25" t="n">
        <v>1</v>
      </c>
      <c r="V254" s="17" t="inlineStr">
        <is>
          <t>No</t>
        </is>
      </c>
      <c r="W254" s="17" t="inlineStr">
        <is>
          <t>Boston Beer (50)</t>
        </is>
      </c>
      <c r="X254" s="17" t="inlineStr">
        <is>
          <t>—</t>
        </is>
      </c>
      <c r="Y254" s="19" t="inlineStr">
        <is>
          <t>View Photo</t>
        </is>
      </c>
    </row>
    <row r="255">
      <c r="A255" s="17" t="inlineStr">
        <is>
          <t>D0254</t>
        </is>
      </c>
      <c r="B255" s="17" t="inlineStr">
        <is>
          <t>07/13/2026</t>
        </is>
      </c>
      <c r="C255" s="17" t="inlineStr">
        <is>
          <t>07/13/2026 12:58 PM</t>
        </is>
      </c>
      <c r="D255" s="17" t="inlineStr">
        <is>
          <t>Shane Barreca</t>
        </is>
      </c>
      <c r="E255" s="17" t="inlineStr">
        <is>
          <t>Sales Rep</t>
        </is>
      </c>
      <c r="F255" s="17" t="inlineStr">
        <is>
          <t>Paul Deady</t>
        </is>
      </c>
      <c r="G255" s="17" t="inlineStr">
        <is>
          <t>70001</t>
        </is>
      </c>
      <c r="H255" s="17" t="inlineStr">
        <is>
          <t>MONTVALE WINE/LIQ &amp; BEER</t>
        </is>
      </c>
      <c r="I255" s="17" t="inlineStr">
        <is>
          <t>MONTVALE</t>
        </is>
      </c>
      <c r="J255" s="17" t="inlineStr">
        <is>
          <t>Boston Beer</t>
        </is>
      </c>
      <c r="K255" s="25" t="n">
        <v>3</v>
      </c>
      <c r="L255" s="17" t="inlineStr">
        <is>
          <t>Silver (40-69)</t>
        </is>
      </c>
      <c r="M255" s="18" t="n">
        <v>50</v>
      </c>
      <c r="N255" s="18" t="n">
        <v>50</v>
      </c>
      <c r="O255" s="17" t="inlineStr">
        <is>
          <t>Priority</t>
        </is>
      </c>
      <c r="P255" s="18" t="n">
        <v>500</v>
      </c>
      <c r="Q255" s="17" t="inlineStr">
        <is>
          <t>Yes</t>
        </is>
      </c>
      <c r="R255" s="17" t="inlineStr">
        <is>
          <t>TRULY</t>
        </is>
      </c>
      <c r="S255" s="17" t="inlineStr">
        <is>
          <t>TRULY</t>
        </is>
      </c>
      <c r="T255" s="17" t="inlineStr">
        <is>
          <t>BOSTON BEER COMPANY</t>
        </is>
      </c>
      <c r="U255" s="25" t="n">
        <v>1</v>
      </c>
      <c r="V255" s="17" t="inlineStr">
        <is>
          <t>No</t>
        </is>
      </c>
      <c r="W255" s="17" t="inlineStr">
        <is>
          <t>Boston Beer (50)</t>
        </is>
      </c>
      <c r="X255" s="17" t="inlineStr">
        <is>
          <t>—</t>
        </is>
      </c>
      <c r="Y255" s="19" t="inlineStr">
        <is>
          <t>View Photo</t>
        </is>
      </c>
    </row>
    <row r="256">
      <c r="A256" s="17" t="inlineStr">
        <is>
          <t>D0255</t>
        </is>
      </c>
      <c r="B256" s="17" t="inlineStr">
        <is>
          <t>07/14/2026</t>
        </is>
      </c>
      <c r="C256" s="17" t="inlineStr">
        <is>
          <t>07/14/2026 12:10 PM</t>
        </is>
      </c>
      <c r="D256" s="17" t="inlineStr">
        <is>
          <t>Mike Ast</t>
        </is>
      </c>
      <c r="E256" s="17" t="inlineStr">
        <is>
          <t>Sales Rep</t>
        </is>
      </c>
      <c r="F256" s="17" t="inlineStr">
        <is>
          <t>Paul Deady</t>
        </is>
      </c>
      <c r="G256" s="17" t="inlineStr">
        <is>
          <t>18001</t>
        </is>
      </c>
      <c r="H256" s="17" t="inlineStr">
        <is>
          <t>GRAND OPENING LIQ (A)_2</t>
        </is>
      </c>
      <c r="I256" s="17" t="inlineStr">
        <is>
          <t>NORTH HALEDON</t>
        </is>
      </c>
      <c r="J256" s="17" t="inlineStr">
        <is>
          <t>Molson Coors</t>
        </is>
      </c>
      <c r="K256" s="25" t="n">
        <v>3</v>
      </c>
      <c r="L256" s="17" t="inlineStr">
        <is>
          <t>Silver (40-69)</t>
        </is>
      </c>
      <c r="M256" s="18" t="n">
        <v>50</v>
      </c>
      <c r="N256" s="18" t="n">
        <v>50</v>
      </c>
      <c r="O256" s="17" t="inlineStr">
        <is>
          <t>Priority</t>
        </is>
      </c>
      <c r="P256" s="18" t="n">
        <v>500</v>
      </c>
      <c r="Q256" s="17" t="inlineStr">
        <is>
          <t>Yes</t>
        </is>
      </c>
      <c r="R256" s="17" t="inlineStr">
        <is>
          <t>MILLER LITE</t>
        </is>
      </c>
      <c r="S256" s="17" t="inlineStr">
        <is>
          <t>MILLER LITE</t>
        </is>
      </c>
      <c r="T256" s="17" t="inlineStr">
        <is>
          <t>MOLSON COORS BEVERAGE COMPANY</t>
        </is>
      </c>
      <c r="U256" s="25" t="n">
        <v>1</v>
      </c>
      <c r="V256" s="17" t="inlineStr">
        <is>
          <t>No</t>
        </is>
      </c>
      <c r="W256" s="17" t="inlineStr">
        <is>
          <t>Molson Coors (50)</t>
        </is>
      </c>
      <c r="X256" s="17" t="inlineStr">
        <is>
          <t>—</t>
        </is>
      </c>
      <c r="Y256" s="19" t="inlineStr">
        <is>
          <t>View Photo</t>
        </is>
      </c>
    </row>
    <row r="257">
      <c r="A257" s="17" t="inlineStr">
        <is>
          <t>D0256</t>
        </is>
      </c>
      <c r="B257" s="17" t="inlineStr">
        <is>
          <t>07/15/2026</t>
        </is>
      </c>
      <c r="C257" s="17" t="inlineStr">
        <is>
          <t>07/15/2026 11:17 AM</t>
        </is>
      </c>
      <c r="D257" s="17" t="inlineStr">
        <is>
          <t>mickey obrien</t>
        </is>
      </c>
      <c r="E257" s="17" t="inlineStr">
        <is>
          <t>Sales Associate</t>
        </is>
      </c>
      <c r="F257" s="17" t="inlineStr">
        <is>
          <t>Michael Engel</t>
        </is>
      </c>
      <c r="G257" s="17" t="inlineStr">
        <is>
          <t>76010</t>
        </is>
      </c>
      <c r="H257" s="17" t="inlineStr">
        <is>
          <t>USA WINE TRADERS CLUB (SADDLE BROOK)</t>
        </is>
      </c>
      <c r="I257" s="17" t="inlineStr">
        <is>
          <t>SADDLE BROOK</t>
        </is>
      </c>
      <c r="J257" s="17" t="inlineStr">
        <is>
          <t>HUSA (Heineken USA)</t>
        </is>
      </c>
      <c r="K257" s="25" t="n">
        <v>3</v>
      </c>
      <c r="L257" s="17" t="inlineStr">
        <is>
          <t>Silver (40-69)</t>
        </is>
      </c>
      <c r="M257" s="18" t="n">
        <v>50</v>
      </c>
      <c r="N257" s="18" t="n">
        <v>50</v>
      </c>
      <c r="O257" s="17" t="inlineStr">
        <is>
          <t>Priority</t>
        </is>
      </c>
      <c r="P257" s="18" t="n">
        <v>500</v>
      </c>
      <c r="Q257" s="17" t="inlineStr">
        <is>
          <t>Yes</t>
        </is>
      </c>
      <c r="R257" s="17" t="inlineStr">
        <is>
          <t>HEINEKEN</t>
        </is>
      </c>
      <c r="S257" s="17" t="inlineStr">
        <is>
          <t>HEINEKEN</t>
        </is>
      </c>
      <c r="T257" s="17" t="inlineStr">
        <is>
          <t>HEINEKEN</t>
        </is>
      </c>
      <c r="U257" s="25" t="n">
        <v>2</v>
      </c>
      <c r="V257" s="17" t="inlineStr">
        <is>
          <t>No</t>
        </is>
      </c>
      <c r="W257" s="17" t="inlineStr">
        <is>
          <t>HUSA (Heineken USA) (50)</t>
        </is>
      </c>
      <c r="X257" s="17" t="inlineStr">
        <is>
          <t>First of a repeat set</t>
        </is>
      </c>
      <c r="Y257" s="19" t="inlineStr">
        <is>
          <t>View Photo</t>
        </is>
      </c>
    </row>
    <row r="258">
      <c r="A258" s="17" t="inlineStr">
        <is>
          <t>D0257</t>
        </is>
      </c>
      <c r="B258" s="17" t="inlineStr">
        <is>
          <t>07/21/2026</t>
        </is>
      </c>
      <c r="C258" s="17" t="inlineStr">
        <is>
          <t>07/21/2026 02:23 PM</t>
        </is>
      </c>
      <c r="D258" s="17" t="inlineStr">
        <is>
          <t>Todd Ewell</t>
        </is>
      </c>
      <c r="E258" s="17" t="inlineStr">
        <is>
          <t>Sales Associate</t>
        </is>
      </c>
      <c r="F258" s="17" t="inlineStr">
        <is>
          <t>Paul Deady</t>
        </is>
      </c>
      <c r="G258" s="17" t="inlineStr">
        <is>
          <t>11003</t>
        </is>
      </c>
      <c r="H258" s="17" t="inlineStr">
        <is>
          <t>LINCOLN PARK FINE WINES &amp; SPIRITS</t>
        </is>
      </c>
      <c r="I258" s="17" t="inlineStr">
        <is>
          <t>LINCOLN PARK</t>
        </is>
      </c>
      <c r="J258" s="17" t="inlineStr">
        <is>
          <t>HUSA (Heineken USA)</t>
        </is>
      </c>
      <c r="K258" s="25" t="n">
        <v>3</v>
      </c>
      <c r="L258" s="17" t="inlineStr">
        <is>
          <t>Silver (40-69)</t>
        </is>
      </c>
      <c r="M258" s="18" t="n">
        <v>50</v>
      </c>
      <c r="N258" s="18" t="n">
        <v>50</v>
      </c>
      <c r="O258" s="17" t="inlineStr">
        <is>
          <t>Priority</t>
        </is>
      </c>
      <c r="P258" s="18" t="n">
        <v>500</v>
      </c>
      <c r="Q258" s="17" t="inlineStr">
        <is>
          <t>Yes</t>
        </is>
      </c>
      <c r="R258" s="17" t="inlineStr">
        <is>
          <t>HEINEKEN</t>
        </is>
      </c>
      <c r="S258" s="17" t="inlineStr">
        <is>
          <t>HEINEKEN</t>
        </is>
      </c>
      <c r="T258" s="17" t="inlineStr">
        <is>
          <t>HEINEKEN</t>
        </is>
      </c>
      <c r="U258" s="25" t="n">
        <v>1</v>
      </c>
      <c r="V258" s="17" t="inlineStr">
        <is>
          <t>No</t>
        </is>
      </c>
      <c r="W258" s="17" t="inlineStr">
        <is>
          <t>HUSA (Heineken USA) (50)</t>
        </is>
      </c>
      <c r="X258" s="17" t="inlineStr">
        <is>
          <t>—</t>
        </is>
      </c>
      <c r="Y258" s="19" t="inlineStr">
        <is>
          <t>View Photo</t>
        </is>
      </c>
    </row>
    <row r="259">
      <c r="A259" s="17" t="inlineStr">
        <is>
          <t>D0258</t>
        </is>
      </c>
      <c r="B259" s="17" t="inlineStr">
        <is>
          <t>07/21/2026</t>
        </is>
      </c>
      <c r="C259" s="17" t="inlineStr">
        <is>
          <t>07/21/2026 02:25 PM</t>
        </is>
      </c>
      <c r="D259" s="17" t="inlineStr">
        <is>
          <t>Todd Ewell</t>
        </is>
      </c>
      <c r="E259" s="17" t="inlineStr">
        <is>
          <t>Sales Associate</t>
        </is>
      </c>
      <c r="F259" s="17" t="inlineStr">
        <is>
          <t>Paul Deady</t>
        </is>
      </c>
      <c r="G259" s="17" t="inlineStr">
        <is>
          <t>11003</t>
        </is>
      </c>
      <c r="H259" s="17" t="inlineStr">
        <is>
          <t>LINCOLN PARK FINE WINES &amp; SPIRITS</t>
        </is>
      </c>
      <c r="I259" s="17" t="inlineStr">
        <is>
          <t>LINCOLN PARK</t>
        </is>
      </c>
      <c r="J259" s="17" t="inlineStr">
        <is>
          <t>Constellation</t>
        </is>
      </c>
      <c r="K259" s="25" t="n">
        <v>3</v>
      </c>
      <c r="L259" s="17" t="inlineStr">
        <is>
          <t>Silver (40-69)</t>
        </is>
      </c>
      <c r="M259" s="18" t="n">
        <v>50</v>
      </c>
      <c r="N259" s="18" t="n">
        <v>50</v>
      </c>
      <c r="O259" s="17" t="inlineStr">
        <is>
          <t>Priority</t>
        </is>
      </c>
      <c r="P259" s="18" t="n">
        <v>500</v>
      </c>
      <c r="Q259" s="17" t="inlineStr">
        <is>
          <t>Yes</t>
        </is>
      </c>
      <c r="R259" s="17" t="inlineStr">
        <is>
          <t>MODELO CERVEZA</t>
        </is>
      </c>
      <c r="S259" s="17" t="inlineStr">
        <is>
          <t>MODELO CERVEZA</t>
        </is>
      </c>
      <c r="T259" s="17" t="inlineStr">
        <is>
          <t>CONSTELLATION BRANDS</t>
        </is>
      </c>
      <c r="U259" s="25" t="n">
        <v>1</v>
      </c>
      <c r="V259" s="17" t="inlineStr">
        <is>
          <t>No</t>
        </is>
      </c>
      <c r="W259" s="17" t="inlineStr">
        <is>
          <t>Constellation (50)</t>
        </is>
      </c>
      <c r="X259" s="17" t="inlineStr">
        <is>
          <t>First of a repeat set</t>
        </is>
      </c>
      <c r="Y259" s="19" t="inlineStr">
        <is>
          <t>View Photo</t>
        </is>
      </c>
    </row>
    <row r="260">
      <c r="A260" s="17" t="inlineStr">
        <is>
          <t>D0259</t>
        </is>
      </c>
      <c r="B260" s="17" t="inlineStr">
        <is>
          <t>07/21/2026</t>
        </is>
      </c>
      <c r="C260" s="17" t="inlineStr">
        <is>
          <t>07/21/2026 09:56 AM</t>
        </is>
      </c>
      <c r="D260" s="17" t="inlineStr">
        <is>
          <t>Nicholas Micco</t>
        </is>
      </c>
      <c r="E260" s="17" t="inlineStr">
        <is>
          <t>Sales Associate</t>
        </is>
      </c>
      <c r="F260" s="17" t="inlineStr">
        <is>
          <t>Michael Engel</t>
        </is>
      </c>
      <c r="G260" s="17" t="inlineStr">
        <is>
          <t>83010</t>
        </is>
      </c>
      <c r="H260" s="17" t="inlineStr">
        <is>
          <t>BOTTLE KING (A) GLEN ROCK</t>
        </is>
      </c>
      <c r="I260" s="17" t="inlineStr">
        <is>
          <t>GLEN ROCK</t>
        </is>
      </c>
      <c r="J260" s="17" t="inlineStr">
        <is>
          <t>Molson Coors</t>
        </is>
      </c>
      <c r="K260" s="25" t="n">
        <v>3</v>
      </c>
      <c r="L260" s="17" t="inlineStr">
        <is>
          <t>Silver (40-69)</t>
        </is>
      </c>
      <c r="M260" s="18" t="n">
        <v>50</v>
      </c>
      <c r="N260" s="18" t="n">
        <v>50</v>
      </c>
      <c r="O260" s="17" t="inlineStr">
        <is>
          <t>Priority</t>
        </is>
      </c>
      <c r="P260" s="18" t="n">
        <v>500</v>
      </c>
      <c r="Q260" s="17" t="inlineStr">
        <is>
          <t>Yes</t>
        </is>
      </c>
      <c r="R260" s="17" t="inlineStr">
        <is>
          <t>COORS LIGHT</t>
        </is>
      </c>
      <c r="S260" s="17" t="inlineStr">
        <is>
          <t>COORS LIGHT</t>
        </is>
      </c>
      <c r="T260" s="17" t="inlineStr">
        <is>
          <t>MOLSON COORS BEVERAGE COMPANY</t>
        </is>
      </c>
      <c r="U260" s="25" t="n">
        <v>1</v>
      </c>
      <c r="V260" s="17" t="inlineStr">
        <is>
          <t>No</t>
        </is>
      </c>
      <c r="W260" s="17" t="inlineStr">
        <is>
          <t>Molson Coors (50)</t>
        </is>
      </c>
      <c r="X260" s="17" t="inlineStr">
        <is>
          <t>—</t>
        </is>
      </c>
      <c r="Y260" s="19" t="inlineStr">
        <is>
          <t>View Photo</t>
        </is>
      </c>
    </row>
    <row r="261">
      <c r="A261" s="17" t="inlineStr">
        <is>
          <t>D0260</t>
        </is>
      </c>
      <c r="B261" s="17" t="inlineStr">
        <is>
          <t>07/21/2026</t>
        </is>
      </c>
      <c r="C261" s="17" t="inlineStr">
        <is>
          <t>07/21/2026 10:31 AM</t>
        </is>
      </c>
      <c r="D261" s="17" t="inlineStr">
        <is>
          <t>Matthew Powierski</t>
        </is>
      </c>
      <c r="E261" s="17" t="inlineStr">
        <is>
          <t>Sales Rep</t>
        </is>
      </c>
      <c r="F261" s="17" t="inlineStr">
        <is>
          <t>Denise Montes</t>
        </is>
      </c>
      <c r="G261" s="17" t="inlineStr">
        <is>
          <t>77012</t>
        </is>
      </c>
      <c r="H261" s="17" t="inlineStr">
        <is>
          <t>PAYLESS LIQUOR &amp; DELL</t>
        </is>
      </c>
      <c r="I261" s="17" t="inlineStr">
        <is>
          <t>ELMWOOD PARK</t>
        </is>
      </c>
      <c r="J261" s="17" t="inlineStr">
        <is>
          <t>Molson Coors</t>
        </is>
      </c>
      <c r="K261" s="25" t="n">
        <v>3</v>
      </c>
      <c r="L261" s="17" t="inlineStr">
        <is>
          <t>Silver (40-69)</t>
        </is>
      </c>
      <c r="M261" s="18" t="n">
        <v>50</v>
      </c>
      <c r="N261" s="18" t="n">
        <v>50</v>
      </c>
      <c r="O261" s="17" t="inlineStr">
        <is>
          <t>Priority</t>
        </is>
      </c>
      <c r="P261" s="18" t="n">
        <v>500</v>
      </c>
      <c r="Q261" s="17" t="inlineStr">
        <is>
          <t>Yes</t>
        </is>
      </c>
      <c r="R261" s="17" t="inlineStr">
        <is>
          <t>MILLER LITE</t>
        </is>
      </c>
      <c r="S261" s="17" t="inlineStr">
        <is>
          <t>MILLER LITE</t>
        </is>
      </c>
      <c r="T261" s="17" t="inlineStr">
        <is>
          <t>MOLSON COORS BEVERAGE COMPANY</t>
        </is>
      </c>
      <c r="U261" s="25" t="n">
        <v>1</v>
      </c>
      <c r="V261" s="17" t="inlineStr">
        <is>
          <t>No</t>
        </is>
      </c>
      <c r="W261" s="17" t="inlineStr">
        <is>
          <t>Molson Coors (50)</t>
        </is>
      </c>
      <c r="X261" s="17" t="inlineStr">
        <is>
          <t>—</t>
        </is>
      </c>
      <c r="Y261" s="19" t="inlineStr">
        <is>
          <t>View Photo</t>
        </is>
      </c>
    </row>
    <row r="262">
      <c r="A262" s="17" t="inlineStr">
        <is>
          <t>D0261</t>
        </is>
      </c>
      <c r="B262" s="17" t="inlineStr">
        <is>
          <t>07/21/2026</t>
        </is>
      </c>
      <c r="C262" s="17" t="inlineStr">
        <is>
          <t>07/21/2026 12:21 PM</t>
        </is>
      </c>
      <c r="D262" s="17" t="inlineStr">
        <is>
          <t>mickey obrien</t>
        </is>
      </c>
      <c r="E262" s="17" t="inlineStr">
        <is>
          <t>Sales Associate</t>
        </is>
      </c>
      <c r="F262" s="17" t="inlineStr">
        <is>
          <t>Michael Engel</t>
        </is>
      </c>
      <c r="G262" s="17" t="inlineStr">
        <is>
          <t>49027</t>
        </is>
      </c>
      <c r="H262" s="17" t="inlineStr">
        <is>
          <t>LINWOOD WINE-LINWOOD PLAZA</t>
        </is>
      </c>
      <c r="I262" s="17" t="inlineStr">
        <is>
          <t>FORT LEE</t>
        </is>
      </c>
      <c r="J262" s="17" t="inlineStr">
        <is>
          <t>Sapporo</t>
        </is>
      </c>
      <c r="K262" s="25" t="n">
        <v>3</v>
      </c>
      <c r="L262" s="17" t="inlineStr">
        <is>
          <t>Silver (40-69)</t>
        </is>
      </c>
      <c r="M262" s="18" t="n">
        <v>50</v>
      </c>
      <c r="N262" s="18" t="n">
        <v>50</v>
      </c>
      <c r="O262" s="17" t="inlineStr">
        <is>
          <t>Priority</t>
        </is>
      </c>
      <c r="P262" s="18" t="n">
        <v>500</v>
      </c>
      <c r="Q262" s="17" t="inlineStr">
        <is>
          <t>Yes</t>
        </is>
      </c>
      <c r="R262" s="17" t="inlineStr">
        <is>
          <t>SAPPORO</t>
        </is>
      </c>
      <c r="S262" s="17" t="inlineStr">
        <is>
          <t>SAPPORO</t>
        </is>
      </c>
      <c r="T262" s="17" t="inlineStr">
        <is>
          <t>SAPPORO</t>
        </is>
      </c>
      <c r="U262" s="25" t="n">
        <v>1</v>
      </c>
      <c r="V262" s="17" t="inlineStr">
        <is>
          <t>No</t>
        </is>
      </c>
      <c r="W262" s="17" t="inlineStr">
        <is>
          <t>Sapporo (50)</t>
        </is>
      </c>
      <c r="X262" s="17" t="inlineStr">
        <is>
          <t>—</t>
        </is>
      </c>
      <c r="Y262" s="19" t="inlineStr">
        <is>
          <t>View Photo</t>
        </is>
      </c>
    </row>
    <row r="263">
      <c r="A263" s="17" t="inlineStr">
        <is>
          <t>D0262</t>
        </is>
      </c>
      <c r="B263" s="17" t="inlineStr">
        <is>
          <t>07/29/2026</t>
        </is>
      </c>
      <c r="C263" s="17" t="inlineStr">
        <is>
          <t>07/29/2026 10:49 AM</t>
        </is>
      </c>
      <c r="D263" s="17" t="inlineStr">
        <is>
          <t>Todd Ewell</t>
        </is>
      </c>
      <c r="E263" s="17" t="inlineStr">
        <is>
          <t>Sales Associate</t>
        </is>
      </c>
      <c r="F263" s="17" t="inlineStr">
        <is>
          <t>Paul Deady</t>
        </is>
      </c>
      <c r="G263" s="17" t="inlineStr">
        <is>
          <t>11003</t>
        </is>
      </c>
      <c r="H263" s="17" t="inlineStr">
        <is>
          <t>LINCOLN PARK FINE WINES &amp; SPIRITS</t>
        </is>
      </c>
      <c r="I263" s="17" t="inlineStr">
        <is>
          <t>LINCOLN PARK</t>
        </is>
      </c>
      <c r="J263" s="17" t="inlineStr">
        <is>
          <t>Constellation</t>
        </is>
      </c>
      <c r="K263" s="25" t="n">
        <v>3</v>
      </c>
      <c r="L263" s="17" t="inlineStr">
        <is>
          <t>Silver (40-69)</t>
        </is>
      </c>
      <c r="M263" s="18" t="n">
        <v>50</v>
      </c>
      <c r="N263" s="18" t="n">
        <v>50</v>
      </c>
      <c r="O263" s="17" t="inlineStr">
        <is>
          <t>Priority</t>
        </is>
      </c>
      <c r="P263" s="18" t="n">
        <v>500</v>
      </c>
      <c r="Q263" s="17" t="inlineStr">
        <is>
          <t>Yes</t>
        </is>
      </c>
      <c r="R263" s="17" t="inlineStr">
        <is>
          <t>MODELO CERVEZA</t>
        </is>
      </c>
      <c r="S263" s="17" t="inlineStr">
        <is>
          <t>MODELO CERVEZA</t>
        </is>
      </c>
      <c r="T263" s="17" t="inlineStr">
        <is>
          <t>CONSTELLATION BRANDS</t>
        </is>
      </c>
      <c r="U263" s="25" t="n">
        <v>1</v>
      </c>
      <c r="V263" s="17" t="inlineStr">
        <is>
          <t>No</t>
        </is>
      </c>
      <c r="W263" s="17" t="inlineStr">
        <is>
          <t>Constellation (50)</t>
        </is>
      </c>
      <c r="X263" s="17" t="inlineStr">
        <is>
          <t>First of a repeat set</t>
        </is>
      </c>
      <c r="Y263" s="19" t="inlineStr">
        <is>
          <t>View Photo</t>
        </is>
      </c>
    </row>
    <row r="264">
      <c r="A264" s="17" t="inlineStr">
        <is>
          <t>D0263</t>
        </is>
      </c>
      <c r="B264" s="17" t="inlineStr">
        <is>
          <t>07/29/2026</t>
        </is>
      </c>
      <c r="C264" s="17" t="inlineStr">
        <is>
          <t>07/29/2026 10:50 AM</t>
        </is>
      </c>
      <c r="D264" s="17" t="inlineStr">
        <is>
          <t>Jay Tabasco</t>
        </is>
      </c>
      <c r="E264" s="17" t="inlineStr">
        <is>
          <t>Sales Associate</t>
        </is>
      </c>
      <c r="F264" s="17" t="inlineStr">
        <is>
          <t>Paul Deady</t>
        </is>
      </c>
      <c r="G264" s="17" t="inlineStr">
        <is>
          <t>11003</t>
        </is>
      </c>
      <c r="H264" s="17" t="inlineStr">
        <is>
          <t>LINCOLN PARK FINE WINES &amp; SPIRITS</t>
        </is>
      </c>
      <c r="I264" s="17" t="inlineStr">
        <is>
          <t>LINCOLN PARK</t>
        </is>
      </c>
      <c r="J264" s="17" t="inlineStr">
        <is>
          <t>Constellation</t>
        </is>
      </c>
      <c r="K264" s="25" t="n">
        <v>3</v>
      </c>
      <c r="L264" s="17" t="inlineStr">
        <is>
          <t>Silver (40-69)</t>
        </is>
      </c>
      <c r="M264" s="18" t="n">
        <v>50</v>
      </c>
      <c r="N264" s="18" t="n">
        <v>50</v>
      </c>
      <c r="O264" s="17" t="inlineStr">
        <is>
          <t>Priority</t>
        </is>
      </c>
      <c r="P264" s="18" t="n">
        <v>500</v>
      </c>
      <c r="Q264" s="17" t="inlineStr">
        <is>
          <t>Yes</t>
        </is>
      </c>
      <c r="R264" s="17" t="inlineStr">
        <is>
          <t>MODELO CERVEZA</t>
        </is>
      </c>
      <c r="S264" s="17" t="inlineStr">
        <is>
          <t>MODELO CERVEZA</t>
        </is>
      </c>
      <c r="T264" s="17" t="inlineStr">
        <is>
          <t>CONSTELLATION BRANDS</t>
        </is>
      </c>
      <c r="U264" s="25" t="n">
        <v>1</v>
      </c>
      <c r="V264" s="17" t="inlineStr">
        <is>
          <t>No</t>
        </is>
      </c>
      <c r="W264" s="17" t="inlineStr">
        <is>
          <t>Constellation (50)</t>
        </is>
      </c>
      <c r="X264" s="26" t="inlineStr">
        <is>
          <t>Possible duplicate</t>
        </is>
      </c>
      <c r="Y264" s="19" t="inlineStr">
        <is>
          <t>View Photo</t>
        </is>
      </c>
    </row>
    <row r="265">
      <c r="A265" s="17" t="inlineStr">
        <is>
          <t>D0264</t>
        </is>
      </c>
      <c r="B265" s="17" t="inlineStr">
        <is>
          <t>07/29/2026</t>
        </is>
      </c>
      <c r="C265" s="17" t="inlineStr">
        <is>
          <t>07/29/2026 12:27 PM</t>
        </is>
      </c>
      <c r="D265" s="17" t="inlineStr">
        <is>
          <t>Mike Ast</t>
        </is>
      </c>
      <c r="E265" s="17" t="inlineStr">
        <is>
          <t>Sales Rep</t>
        </is>
      </c>
      <c r="F265" s="17" t="inlineStr">
        <is>
          <t>Paul Deady</t>
        </is>
      </c>
      <c r="G265" s="17" t="inlineStr">
        <is>
          <t>17011</t>
        </is>
      </c>
      <c r="H265" s="17" t="inlineStr">
        <is>
          <t>NICO'S WINE &amp; SPIRITS</t>
        </is>
      </c>
      <c r="I265" s="17" t="inlineStr">
        <is>
          <t>HALEDON</t>
        </is>
      </c>
      <c r="J265" s="17" t="inlineStr">
        <is>
          <t>Constellation</t>
        </is>
      </c>
      <c r="K265" s="25" t="n">
        <v>3</v>
      </c>
      <c r="L265" s="17" t="inlineStr">
        <is>
          <t>Silver (40-69)</t>
        </is>
      </c>
      <c r="M265" s="18" t="n">
        <v>50</v>
      </c>
      <c r="N265" s="18" t="n">
        <v>50</v>
      </c>
      <c r="O265" s="17" t="inlineStr">
        <is>
          <t>Priority</t>
        </is>
      </c>
      <c r="P265" s="18" t="n">
        <v>500</v>
      </c>
      <c r="Q265" s="17" t="inlineStr">
        <is>
          <t>Yes</t>
        </is>
      </c>
      <c r="R265" s="17" t="inlineStr">
        <is>
          <t>CORONA EXTRA</t>
        </is>
      </c>
      <c r="S265" s="17" t="inlineStr">
        <is>
          <t>CORONA EXTRA</t>
        </is>
      </c>
      <c r="T265" s="17" t="inlineStr">
        <is>
          <t>CONSTELLATION BRANDS</t>
        </is>
      </c>
      <c r="U265" s="25" t="n">
        <v>2</v>
      </c>
      <c r="V265" s="17" t="inlineStr">
        <is>
          <t>No</t>
        </is>
      </c>
      <c r="W265" s="17" t="inlineStr">
        <is>
          <t>Constellation (50)</t>
        </is>
      </c>
      <c r="X265" s="26" t="inlineStr">
        <is>
          <t>Possible duplicate</t>
        </is>
      </c>
      <c r="Y265" s="19" t="inlineStr">
        <is>
          <t>View Photo</t>
        </is>
      </c>
    </row>
    <row r="266">
      <c r="A266" s="17" t="inlineStr">
        <is>
          <t>D0265</t>
        </is>
      </c>
      <c r="B266" s="17" t="inlineStr">
        <is>
          <t>07/30/2026</t>
        </is>
      </c>
      <c r="C266" s="17" t="inlineStr">
        <is>
          <t>07/30/2026 09:26 AM</t>
        </is>
      </c>
      <c r="D266" s="17" t="inlineStr">
        <is>
          <t>phil Ernst</t>
        </is>
      </c>
      <c r="E266" s="17" t="inlineStr">
        <is>
          <t>Sales Rep</t>
        </is>
      </c>
      <c r="F266" s="17" t="inlineStr">
        <is>
          <t>Michael Engel</t>
        </is>
      </c>
      <c r="G266" s="17" t="inlineStr">
        <is>
          <t>20106</t>
        </is>
      </c>
      <c r="H266" s="17" t="inlineStr">
        <is>
          <t>SUPER WINE WAREHSE(P)PATE</t>
        </is>
      </c>
      <c r="I266" s="17" t="inlineStr">
        <is>
          <t>PATERSON</t>
        </is>
      </c>
      <c r="J266" s="17" t="inlineStr">
        <is>
          <t>Molson Coors</t>
        </is>
      </c>
      <c r="K266" s="25" t="n">
        <v>3</v>
      </c>
      <c r="L266" s="17" t="inlineStr">
        <is>
          <t>Silver (40-69)</t>
        </is>
      </c>
      <c r="M266" s="18" t="n">
        <v>50</v>
      </c>
      <c r="N266" s="18" t="n">
        <v>50</v>
      </c>
      <c r="O266" s="17" t="inlineStr">
        <is>
          <t>Priority</t>
        </is>
      </c>
      <c r="P266" s="18" t="n">
        <v>500</v>
      </c>
      <c r="Q266" s="17" t="inlineStr">
        <is>
          <t>Yes</t>
        </is>
      </c>
      <c r="R266" s="17" t="inlineStr">
        <is>
          <t>COORS LIGHT</t>
        </is>
      </c>
      <c r="S266" s="17" t="inlineStr">
        <is>
          <t>COORS LIGHT</t>
        </is>
      </c>
      <c r="T266" s="17" t="inlineStr">
        <is>
          <t>MOLSON COORS BEVERAGE COMPANY</t>
        </is>
      </c>
      <c r="U266" s="25" t="n">
        <v>3</v>
      </c>
      <c r="V266" s="17" t="inlineStr">
        <is>
          <t>No</t>
        </is>
      </c>
      <c r="W266" s="17" t="inlineStr">
        <is>
          <t>Molson Coors (50)</t>
        </is>
      </c>
      <c r="X266" s="17" t="inlineStr">
        <is>
          <t>—</t>
        </is>
      </c>
      <c r="Y266" s="19" t="inlineStr">
        <is>
          <t>View Photo</t>
        </is>
      </c>
    </row>
    <row r="267">
      <c r="A267" s="17" t="inlineStr">
        <is>
          <t>D0266</t>
        </is>
      </c>
      <c r="B267" s="17" t="inlineStr">
        <is>
          <t>07/30/2026</t>
        </is>
      </c>
      <c r="C267" s="17" t="inlineStr">
        <is>
          <t>07/30/2026 11:53 AM</t>
        </is>
      </c>
      <c r="D267" s="17" t="inlineStr">
        <is>
          <t>Todd Ewell</t>
        </is>
      </c>
      <c r="E267" s="17" t="inlineStr">
        <is>
          <t>Sales Associate</t>
        </is>
      </c>
      <c r="F267" s="17" t="inlineStr">
        <is>
          <t>Paul Deady</t>
        </is>
      </c>
      <c r="G267" s="17" t="inlineStr">
        <is>
          <t>191710</t>
        </is>
      </c>
      <c r="H267" s="17" t="inlineStr">
        <is>
          <t>SHOP RITE WINE &amp; SPIRITS STANHOPE</t>
        </is>
      </c>
      <c r="I267" s="17" t="inlineStr">
        <is>
          <t>STANHOPE</t>
        </is>
      </c>
      <c r="J267" s="17" t="inlineStr">
        <is>
          <t>Boston Beer</t>
        </is>
      </c>
      <c r="K267" s="25" t="n">
        <v>3</v>
      </c>
      <c r="L267" s="17" t="inlineStr">
        <is>
          <t>Silver (40-69)</t>
        </is>
      </c>
      <c r="M267" s="18" t="n">
        <v>50</v>
      </c>
      <c r="N267" s="18" t="n">
        <v>50</v>
      </c>
      <c r="O267" s="17" t="inlineStr">
        <is>
          <t>Priority</t>
        </is>
      </c>
      <c r="P267" s="18" t="n">
        <v>500</v>
      </c>
      <c r="Q267" s="17" t="inlineStr">
        <is>
          <t>Yes</t>
        </is>
      </c>
      <c r="R267" s="17" t="inlineStr">
        <is>
          <t>SUN CRUISERS RTD</t>
        </is>
      </c>
      <c r="S267" s="17" t="inlineStr">
        <is>
          <t>SUN CRUISERS RTD</t>
        </is>
      </c>
      <c r="T267" s="17" t="inlineStr">
        <is>
          <t>BOSTON BEER COMPANY</t>
        </is>
      </c>
      <c r="U267" s="25" t="n">
        <v>1</v>
      </c>
      <c r="V267" s="17" t="inlineStr">
        <is>
          <t>No</t>
        </is>
      </c>
      <c r="W267" s="17" t="inlineStr">
        <is>
          <t>Boston Beer (50)</t>
        </is>
      </c>
      <c r="X267" s="17" t="inlineStr">
        <is>
          <t>—</t>
        </is>
      </c>
      <c r="Y267" s="19" t="inlineStr">
        <is>
          <t>View Photo</t>
        </is>
      </c>
    </row>
    <row r="268">
      <c r="A268" s="17" t="inlineStr">
        <is>
          <t>D0267</t>
        </is>
      </c>
      <c r="B268" s="17" t="inlineStr">
        <is>
          <t>08/03/2026</t>
        </is>
      </c>
      <c r="C268" s="17" t="inlineStr">
        <is>
          <t>08/03/2026 03:34 PM</t>
        </is>
      </c>
      <c r="D268" s="17" t="inlineStr">
        <is>
          <t>phil Ernst</t>
        </is>
      </c>
      <c r="E268" s="17" t="inlineStr">
        <is>
          <t>Sales Rep</t>
        </is>
      </c>
      <c r="F268" s="17" t="inlineStr">
        <is>
          <t>Michael Engel</t>
        </is>
      </c>
      <c r="G268" s="17" t="inlineStr">
        <is>
          <t>43001</t>
        </is>
      </c>
      <c r="H268" s="17" t="inlineStr">
        <is>
          <t>CITY SUPERMARKET</t>
        </is>
      </c>
      <c r="I268" s="17" t="inlineStr">
        <is>
          <t>FAIRVIEW</t>
        </is>
      </c>
      <c r="J268" s="17" t="inlineStr">
        <is>
          <t>HUSA (Heineken USA)</t>
        </is>
      </c>
      <c r="K268" s="25" t="n">
        <v>3</v>
      </c>
      <c r="L268" s="17" t="inlineStr">
        <is>
          <t>Silver (40-69)</t>
        </is>
      </c>
      <c r="M268" s="18" t="n">
        <v>50</v>
      </c>
      <c r="N268" s="18" t="n">
        <v>50</v>
      </c>
      <c r="O268" s="17" t="inlineStr">
        <is>
          <t>Priority</t>
        </is>
      </c>
      <c r="P268" s="18" t="n">
        <v>500</v>
      </c>
      <c r="Q268" s="17" t="inlineStr">
        <is>
          <t>Yes</t>
        </is>
      </c>
      <c r="R268" s="17" t="inlineStr">
        <is>
          <t>HEINEKEN</t>
        </is>
      </c>
      <c r="S268" s="17" t="inlineStr">
        <is>
          <t>HEINEKEN</t>
        </is>
      </c>
      <c r="T268" s="17" t="inlineStr">
        <is>
          <t>HEINEKEN</t>
        </is>
      </c>
      <c r="U268" s="25" t="n">
        <v>1</v>
      </c>
      <c r="V268" s="17" t="inlineStr">
        <is>
          <t>No</t>
        </is>
      </c>
      <c r="W268" s="17" t="inlineStr">
        <is>
          <t>HUSA (Heineken USA) (50)</t>
        </is>
      </c>
      <c r="X268" s="17" t="inlineStr">
        <is>
          <t>—</t>
        </is>
      </c>
      <c r="Y268" s="19" t="inlineStr">
        <is>
          <t>View Photo</t>
        </is>
      </c>
    </row>
    <row r="269">
      <c r="A269" s="17" t="inlineStr">
        <is>
          <t>D0268</t>
        </is>
      </c>
      <c r="B269" s="17" t="inlineStr">
        <is>
          <t>08/03/2026</t>
        </is>
      </c>
      <c r="C269" s="17" t="inlineStr">
        <is>
          <t>08/03/2026 03:39 PM</t>
        </is>
      </c>
      <c r="D269" s="17" t="inlineStr">
        <is>
          <t>Nicholas Micco</t>
        </is>
      </c>
      <c r="E269" s="17" t="inlineStr">
        <is>
          <t>Sales Associate</t>
        </is>
      </c>
      <c r="F269" s="17" t="inlineStr">
        <is>
          <t>Michael Engel</t>
        </is>
      </c>
      <c r="G269" s="17" t="inlineStr">
        <is>
          <t>58001</t>
        </is>
      </c>
      <c r="H269" s="17" t="inlineStr">
        <is>
          <t>TOTAL WINE &amp; MORE (RIVER EDGE)</t>
        </is>
      </c>
      <c r="I269" s="17" t="inlineStr">
        <is>
          <t>RIVER EDGE</t>
        </is>
      </c>
      <c r="J269" s="17" t="inlineStr">
        <is>
          <t>All Other: NOCA BEVERAGES</t>
        </is>
      </c>
      <c r="K269" s="25" t="n">
        <v>3</v>
      </c>
      <c r="L269" s="17" t="inlineStr">
        <is>
          <t>Silver (40-69)</t>
        </is>
      </c>
      <c r="M269" s="18" t="n">
        <v>50</v>
      </c>
      <c r="N269" s="18" t="n">
        <v>50</v>
      </c>
      <c r="O269" s="17" t="inlineStr">
        <is>
          <t>All Other</t>
        </is>
      </c>
      <c r="P269" s="18" t="n">
        <v>300</v>
      </c>
      <c r="Q269" s="17" t="inlineStr">
        <is>
          <t>Yes</t>
        </is>
      </c>
      <c r="R269" s="17" t="inlineStr">
        <is>
          <t>NOCA</t>
        </is>
      </c>
      <c r="S269" s="17" t="inlineStr">
        <is>
          <t>NOCA</t>
        </is>
      </c>
      <c r="T269" s="17" t="inlineStr">
        <is>
          <t>NOCA BEVERAGES</t>
        </is>
      </c>
      <c r="U269" s="25" t="n">
        <v>1</v>
      </c>
      <c r="V269" s="17" t="inlineStr">
        <is>
          <t>No</t>
        </is>
      </c>
      <c r="W269" s="17" t="inlineStr">
        <is>
          <t>All Other: NOCA BEVERAGES (50)</t>
        </is>
      </c>
      <c r="X269" s="17" t="inlineStr">
        <is>
          <t>—</t>
        </is>
      </c>
      <c r="Y269" s="19" t="inlineStr">
        <is>
          <t>View Photo</t>
        </is>
      </c>
    </row>
    <row r="270">
      <c r="A270" s="17" t="inlineStr">
        <is>
          <t>D0269</t>
        </is>
      </c>
      <c r="B270" s="17" t="inlineStr">
        <is>
          <t>08/03/2026</t>
        </is>
      </c>
      <c r="C270" s="17" t="inlineStr">
        <is>
          <t>08/03/2026 03:40 PM</t>
        </is>
      </c>
      <c r="D270" s="17" t="inlineStr">
        <is>
          <t>Dave Ehlers</t>
        </is>
      </c>
      <c r="E270" s="17" t="inlineStr">
        <is>
          <t>Sales Rep</t>
        </is>
      </c>
      <c r="F270" s="17" t="inlineStr">
        <is>
          <t>Michael Engel</t>
        </is>
      </c>
      <c r="G270" s="17" t="inlineStr">
        <is>
          <t>58001</t>
        </is>
      </c>
      <c r="H270" s="17" t="inlineStr">
        <is>
          <t>TOTAL WINE &amp; MORE (RIVER EDGE)</t>
        </is>
      </c>
      <c r="I270" s="17" t="inlineStr">
        <is>
          <t>RIVER EDGE</t>
        </is>
      </c>
      <c r="J270" s="17" t="inlineStr">
        <is>
          <t>All Other: NOCA BEVERAGES</t>
        </is>
      </c>
      <c r="K270" s="25" t="n">
        <v>3</v>
      </c>
      <c r="L270" s="17" t="inlineStr">
        <is>
          <t>Silver (40-69)</t>
        </is>
      </c>
      <c r="M270" s="18" t="n">
        <v>50</v>
      </c>
      <c r="N270" s="18" t="n">
        <v>50</v>
      </c>
      <c r="O270" s="17" t="inlineStr">
        <is>
          <t>All Other</t>
        </is>
      </c>
      <c r="P270" s="18" t="n">
        <v>300</v>
      </c>
      <c r="Q270" s="17" t="inlineStr">
        <is>
          <t>Yes</t>
        </is>
      </c>
      <c r="R270" s="17" t="inlineStr">
        <is>
          <t>NOCA BEVERAGES</t>
        </is>
      </c>
      <c r="S270" s="17" t="inlineStr">
        <is>
          <t>NOCA BEVERAGES</t>
        </is>
      </c>
      <c r="T270" s="17" t="inlineStr">
        <is>
          <t>NOCA BEVERAGES</t>
        </is>
      </c>
      <c r="U270" s="25" t="n">
        <v>1</v>
      </c>
      <c r="V270" s="17" t="inlineStr">
        <is>
          <t>No</t>
        </is>
      </c>
      <c r="W270" s="17" t="inlineStr">
        <is>
          <t>All Other: NOCA BEVERAGES (50)</t>
        </is>
      </c>
      <c r="X270" s="17" t="inlineStr">
        <is>
          <t>—</t>
        </is>
      </c>
      <c r="Y270" s="19" t="inlineStr">
        <is>
          <t>View Photo</t>
        </is>
      </c>
    </row>
    <row r="271">
      <c r="A271" s="17" t="inlineStr">
        <is>
          <t>D0270</t>
        </is>
      </c>
      <c r="B271" s="17" t="inlineStr">
        <is>
          <t>08/05/2026</t>
        </is>
      </c>
      <c r="C271" s="17" t="inlineStr">
        <is>
          <t>08/05/2026 02:35 PM</t>
        </is>
      </c>
      <c r="D271" s="17" t="inlineStr">
        <is>
          <t>mickey obrien</t>
        </is>
      </c>
      <c r="E271" s="17" t="inlineStr">
        <is>
          <t>Sales Associate</t>
        </is>
      </c>
      <c r="F271" s="17" t="inlineStr">
        <is>
          <t>Michael Engel</t>
        </is>
      </c>
      <c r="G271" s="17" t="inlineStr">
        <is>
          <t>14007</t>
        </is>
      </c>
      <c r="H271" s="17" t="inlineStr">
        <is>
          <t>TOTAL WINE &amp; MORE (TOTOWA)</t>
        </is>
      </c>
      <c r="I271" s="17" t="inlineStr">
        <is>
          <t>TOTOWA</t>
        </is>
      </c>
      <c r="J271" s="17" t="inlineStr">
        <is>
          <t>Constellation</t>
        </is>
      </c>
      <c r="K271" s="25" t="n">
        <v>3</v>
      </c>
      <c r="L271" s="17" t="inlineStr">
        <is>
          <t>Silver (40-69)</t>
        </is>
      </c>
      <c r="M271" s="18" t="n">
        <v>50</v>
      </c>
      <c r="N271" s="18" t="n">
        <v>50</v>
      </c>
      <c r="O271" s="17" t="inlineStr">
        <is>
          <t>Priority</t>
        </is>
      </c>
      <c r="P271" s="18" t="n">
        <v>500</v>
      </c>
      <c r="Q271" s="17" t="inlineStr">
        <is>
          <t>Yes</t>
        </is>
      </c>
      <c r="R271" s="17" t="inlineStr">
        <is>
          <t>PACIFICO</t>
        </is>
      </c>
      <c r="S271" s="17" t="inlineStr">
        <is>
          <t>PACIFICO</t>
        </is>
      </c>
      <c r="T271" s="17" t="inlineStr">
        <is>
          <t>CONSTELLATION BRANDS</t>
        </is>
      </c>
      <c r="U271" s="25" t="n">
        <v>1</v>
      </c>
      <c r="V271" s="17" t="inlineStr">
        <is>
          <t>No</t>
        </is>
      </c>
      <c r="W271" s="17" t="inlineStr">
        <is>
          <t>Constellation (50)</t>
        </is>
      </c>
      <c r="X271" s="17" t="inlineStr">
        <is>
          <t>—</t>
        </is>
      </c>
      <c r="Y271" s="19" t="inlineStr">
        <is>
          <t>View Photo</t>
        </is>
      </c>
    </row>
    <row r="272">
      <c r="A272" s="17" t="inlineStr">
        <is>
          <t>D0271</t>
        </is>
      </c>
      <c r="B272" s="17" t="inlineStr">
        <is>
          <t>08/05/2026</t>
        </is>
      </c>
      <c r="C272" s="17" t="inlineStr">
        <is>
          <t>08/05/2026 02:40 PM</t>
        </is>
      </c>
      <c r="D272" s="17" t="inlineStr">
        <is>
          <t>Todd Ewell</t>
        </is>
      </c>
      <c r="E272" s="17" t="inlineStr">
        <is>
          <t>Sales Associate</t>
        </is>
      </c>
      <c r="F272" s="17" t="inlineStr">
        <is>
          <t>Paul Deady</t>
        </is>
      </c>
      <c r="G272" s="17" t="inlineStr">
        <is>
          <t>70001</t>
        </is>
      </c>
      <c r="H272" s="17" t="inlineStr">
        <is>
          <t>MONTVALE WINE/LIQ &amp; BEER</t>
        </is>
      </c>
      <c r="I272" s="17" t="inlineStr">
        <is>
          <t>MONTVALE</t>
        </is>
      </c>
      <c r="J272" s="17" t="inlineStr">
        <is>
          <t>Boston Beer</t>
        </is>
      </c>
      <c r="K272" s="25" t="n">
        <v>3</v>
      </c>
      <c r="L272" s="17" t="inlineStr">
        <is>
          <t>Silver (40-69)</t>
        </is>
      </c>
      <c r="M272" s="18" t="n">
        <v>50</v>
      </c>
      <c r="N272" s="18" t="n">
        <v>50</v>
      </c>
      <c r="O272" s="17" t="inlineStr">
        <is>
          <t>Priority</t>
        </is>
      </c>
      <c r="P272" s="18" t="n">
        <v>500</v>
      </c>
      <c r="Q272" s="17" t="inlineStr">
        <is>
          <t>Yes</t>
        </is>
      </c>
      <c r="R272" s="17" t="inlineStr">
        <is>
          <t>SUN CRUISERS RTD</t>
        </is>
      </c>
      <c r="S272" s="17" t="inlineStr">
        <is>
          <t>SUN CRUISERS RTD</t>
        </is>
      </c>
      <c r="T272" s="17" t="inlineStr">
        <is>
          <t>BOSTON BEER COMPANY</t>
        </is>
      </c>
      <c r="U272" s="25" t="n">
        <v>1</v>
      </c>
      <c r="V272" s="17" t="inlineStr">
        <is>
          <t>No</t>
        </is>
      </c>
      <c r="W272" s="17" t="inlineStr">
        <is>
          <t>Boston Beer (50)</t>
        </is>
      </c>
      <c r="X272" s="17" t="inlineStr">
        <is>
          <t>—</t>
        </is>
      </c>
      <c r="Y272" s="19" t="inlineStr">
        <is>
          <t>View Photo</t>
        </is>
      </c>
    </row>
    <row r="273">
      <c r="A273" s="17" t="inlineStr">
        <is>
          <t>D0272</t>
        </is>
      </c>
      <c r="B273" s="17" t="inlineStr">
        <is>
          <t>08/06/2026</t>
        </is>
      </c>
      <c r="C273" s="17" t="inlineStr">
        <is>
          <t>08/06/2026 01:34 PM</t>
        </is>
      </c>
      <c r="D273" s="17" t="inlineStr">
        <is>
          <t>Javier Melo</t>
        </is>
      </c>
      <c r="E273" s="17" t="inlineStr">
        <is>
          <t>Sales Rep</t>
        </is>
      </c>
      <c r="F273" s="17" t="inlineStr">
        <is>
          <t>Denise Montes</t>
        </is>
      </c>
      <c r="G273" s="17" t="inlineStr">
        <is>
          <t>21044</t>
        </is>
      </c>
      <c r="H273" s="17" t="inlineStr">
        <is>
          <t>FARM BOY</t>
        </is>
      </c>
      <c r="I273" s="17" t="inlineStr">
        <is>
          <t>PATERSON</t>
        </is>
      </c>
      <c r="J273" s="17" t="inlineStr">
        <is>
          <t>Constellation</t>
        </is>
      </c>
      <c r="K273" s="25" t="n">
        <v>3</v>
      </c>
      <c r="L273" s="17" t="inlineStr">
        <is>
          <t>Silver (40-69)</t>
        </is>
      </c>
      <c r="M273" s="18" t="n">
        <v>50</v>
      </c>
      <c r="N273" s="18" t="n">
        <v>50</v>
      </c>
      <c r="O273" s="17" t="inlineStr">
        <is>
          <t>Priority</t>
        </is>
      </c>
      <c r="P273" s="18" t="n">
        <v>500</v>
      </c>
      <c r="Q273" s="17" t="inlineStr">
        <is>
          <t>Yes</t>
        </is>
      </c>
      <c r="R273" s="17" t="inlineStr">
        <is>
          <t>CORONA</t>
        </is>
      </c>
      <c r="S273" s="17" t="inlineStr">
        <is>
          <t>CORONA, CORONA EXTRA</t>
        </is>
      </c>
      <c r="T273" s="17" t="inlineStr">
        <is>
          <t>CONSTELLATION BRANDS</t>
        </is>
      </c>
      <c r="U273" s="25" t="n">
        <v>2</v>
      </c>
      <c r="V273" s="17" t="inlineStr">
        <is>
          <t>No</t>
        </is>
      </c>
      <c r="W273" s="17" t="inlineStr">
        <is>
          <t>Constellation (50)</t>
        </is>
      </c>
      <c r="X273" s="17" t="inlineStr">
        <is>
          <t>—</t>
        </is>
      </c>
      <c r="Y273" s="19" t="inlineStr">
        <is>
          <t>View Photo</t>
        </is>
      </c>
    </row>
    <row r="274">
      <c r="A274" s="17" t="inlineStr">
        <is>
          <t>D0273</t>
        </is>
      </c>
      <c r="B274" s="17" t="inlineStr">
        <is>
          <t>08/06/2026</t>
        </is>
      </c>
      <c r="C274" s="17" t="inlineStr">
        <is>
          <t>08/06/2026 02:35 PM</t>
        </is>
      </c>
      <c r="D274" s="17" t="inlineStr">
        <is>
          <t>patrick infante</t>
        </is>
      </c>
      <c r="E274" s="17" t="inlineStr">
        <is>
          <t>Sales Associate</t>
        </is>
      </c>
      <c r="F274" s="17" t="inlineStr">
        <is>
          <t>Denise Montes</t>
        </is>
      </c>
      <c r="G274" s="17" t="inlineStr">
        <is>
          <t>21044</t>
        </is>
      </c>
      <c r="H274" s="17" t="inlineStr">
        <is>
          <t>FARM BOY</t>
        </is>
      </c>
      <c r="I274" s="17" t="inlineStr">
        <is>
          <t>PATERSON</t>
        </is>
      </c>
      <c r="J274" s="17" t="inlineStr">
        <is>
          <t>Constellation</t>
        </is>
      </c>
      <c r="K274" s="25" t="n">
        <v>3</v>
      </c>
      <c r="L274" s="17" t="inlineStr">
        <is>
          <t>Silver (40-69)</t>
        </is>
      </c>
      <c r="M274" s="18" t="n">
        <v>50</v>
      </c>
      <c r="N274" s="18" t="n">
        <v>50</v>
      </c>
      <c r="O274" s="17" t="inlineStr">
        <is>
          <t>Priority</t>
        </is>
      </c>
      <c r="P274" s="18" t="n">
        <v>500</v>
      </c>
      <c r="Q274" s="17" t="inlineStr">
        <is>
          <t>Yes</t>
        </is>
      </c>
      <c r="R274" s="17" t="inlineStr">
        <is>
          <t>CORONA EXTRA</t>
        </is>
      </c>
      <c r="S274" s="17" t="inlineStr">
        <is>
          <t>CORONA EXTRA</t>
        </is>
      </c>
      <c r="T274" s="17" t="inlineStr">
        <is>
          <t>CONSTELLATION BRANDS</t>
        </is>
      </c>
      <c r="U274" s="25" t="n">
        <v>1</v>
      </c>
      <c r="V274" s="17" t="inlineStr">
        <is>
          <t>No</t>
        </is>
      </c>
      <c r="W274" s="17" t="inlineStr">
        <is>
          <t>Constellation (50)</t>
        </is>
      </c>
      <c r="X274" s="17" t="inlineStr">
        <is>
          <t>—</t>
        </is>
      </c>
      <c r="Y274" s="19" t="inlineStr">
        <is>
          <t>View Photo</t>
        </is>
      </c>
    </row>
    <row r="275">
      <c r="A275" s="17" t="inlineStr">
        <is>
          <t>D0274</t>
        </is>
      </c>
      <c r="B275" s="17" t="inlineStr">
        <is>
          <t>08/07/2026</t>
        </is>
      </c>
      <c r="C275" s="17" t="inlineStr">
        <is>
          <t>08/07/2026 04:32 PM</t>
        </is>
      </c>
      <c r="D275" s="17" t="inlineStr">
        <is>
          <t>Nicholas Micco</t>
        </is>
      </c>
      <c r="E275" s="17" t="inlineStr">
        <is>
          <t>Sales Associate</t>
        </is>
      </c>
      <c r="F275" s="17" t="inlineStr">
        <is>
          <t>Michael Engel</t>
        </is>
      </c>
      <c r="G275" s="17" t="inlineStr">
        <is>
          <t>29004</t>
        </is>
      </c>
      <c r="H275" s="17" t="inlineStr">
        <is>
          <t>SHOP-RITE LIQ LYNDHURST</t>
        </is>
      </c>
      <c r="I275" s="17" t="inlineStr">
        <is>
          <t>LYNDHURST</t>
        </is>
      </c>
      <c r="J275" s="17" t="inlineStr">
        <is>
          <t>Molson Coors</t>
        </is>
      </c>
      <c r="K275" s="25" t="n">
        <v>3</v>
      </c>
      <c r="L275" s="17" t="inlineStr">
        <is>
          <t>Silver (40-69)</t>
        </is>
      </c>
      <c r="M275" s="18" t="n">
        <v>50</v>
      </c>
      <c r="N275" s="18" t="n">
        <v>50</v>
      </c>
      <c r="O275" s="17" t="inlineStr">
        <is>
          <t>Priority</t>
        </is>
      </c>
      <c r="P275" s="18" t="n">
        <v>500</v>
      </c>
      <c r="Q275" s="17" t="inlineStr">
        <is>
          <t>Yes</t>
        </is>
      </c>
      <c r="R275" s="17" t="inlineStr">
        <is>
          <t>MILLER LITE</t>
        </is>
      </c>
      <c r="S275" s="17" t="inlineStr">
        <is>
          <t>MILLER LITE</t>
        </is>
      </c>
      <c r="T275" s="17" t="inlineStr">
        <is>
          <t>MOLSON COORS BEVERAGE COMPANY</t>
        </is>
      </c>
      <c r="U275" s="25" t="n">
        <v>1</v>
      </c>
      <c r="V275" s="17" t="inlineStr">
        <is>
          <t>No</t>
        </is>
      </c>
      <c r="W275" s="17" t="inlineStr">
        <is>
          <t>Molson Coors (50)</t>
        </is>
      </c>
      <c r="X275" s="17" t="inlineStr">
        <is>
          <t>First of a repeat set</t>
        </is>
      </c>
      <c r="Y275" s="19" t="inlineStr">
        <is>
          <t>View Photo</t>
        </is>
      </c>
    </row>
    <row r="276">
      <c r="A276" s="17" t="inlineStr">
        <is>
          <t>D0275</t>
        </is>
      </c>
      <c r="B276" s="17" t="inlineStr">
        <is>
          <t>08/07/2026</t>
        </is>
      </c>
      <c r="C276" s="17" t="inlineStr">
        <is>
          <t>08/07/2026 04:32 PM</t>
        </is>
      </c>
      <c r="D276" s="17" t="inlineStr">
        <is>
          <t>mickey obrien</t>
        </is>
      </c>
      <c r="E276" s="17" t="inlineStr">
        <is>
          <t>Sales Associate</t>
        </is>
      </c>
      <c r="F276" s="17" t="inlineStr">
        <is>
          <t>Michael Engel</t>
        </is>
      </c>
      <c r="G276" s="17" t="inlineStr">
        <is>
          <t>29004</t>
        </is>
      </c>
      <c r="H276" s="17" t="inlineStr">
        <is>
          <t>SHOP-RITE LIQ LYNDHURST</t>
        </is>
      </c>
      <c r="I276" s="17" t="inlineStr">
        <is>
          <t>LYNDHURST</t>
        </is>
      </c>
      <c r="J276" s="17" t="inlineStr">
        <is>
          <t>Molson Coors</t>
        </is>
      </c>
      <c r="K276" s="25" t="n">
        <v>3</v>
      </c>
      <c r="L276" s="17" t="inlineStr">
        <is>
          <t>Silver (40-69)</t>
        </is>
      </c>
      <c r="M276" s="18" t="n">
        <v>50</v>
      </c>
      <c r="N276" s="18" t="n">
        <v>50</v>
      </c>
      <c r="O276" s="17" t="inlineStr">
        <is>
          <t>Priority</t>
        </is>
      </c>
      <c r="P276" s="18" t="n">
        <v>500</v>
      </c>
      <c r="Q276" s="17" t="inlineStr">
        <is>
          <t>Yes</t>
        </is>
      </c>
      <c r="R276" s="17" t="inlineStr">
        <is>
          <t>MILLER LITE</t>
        </is>
      </c>
      <c r="S276" s="17" t="inlineStr">
        <is>
          <t>MILLER LITE</t>
        </is>
      </c>
      <c r="T276" s="17" t="inlineStr">
        <is>
          <t>MOLSON COORS BEVERAGE COMPANY</t>
        </is>
      </c>
      <c r="U276" s="25" t="n">
        <v>1</v>
      </c>
      <c r="V276" s="17" t="inlineStr">
        <is>
          <t>No</t>
        </is>
      </c>
      <c r="W276" s="17" t="inlineStr">
        <is>
          <t>Molson Coors (50)</t>
        </is>
      </c>
      <c r="X276" s="26" t="inlineStr">
        <is>
          <t>Possible duplicate</t>
        </is>
      </c>
      <c r="Y276" s="19" t="inlineStr">
        <is>
          <t>View Photo</t>
        </is>
      </c>
    </row>
    <row r="277">
      <c r="A277" s="17" t="inlineStr">
        <is>
          <t>D0276</t>
        </is>
      </c>
      <c r="B277" s="17" t="inlineStr">
        <is>
          <t>08/10/2026</t>
        </is>
      </c>
      <c r="C277" s="17" t="inlineStr">
        <is>
          <t>08/10/2026 12:21 PM</t>
        </is>
      </c>
      <c r="D277" s="17" t="inlineStr">
        <is>
          <t>Shane Barreca</t>
        </is>
      </c>
      <c r="E277" s="17" t="inlineStr">
        <is>
          <t>Sales Rep</t>
        </is>
      </c>
      <c r="F277" s="17" t="inlineStr">
        <is>
          <t>Paul Deady</t>
        </is>
      </c>
      <c r="G277" s="17" t="inlineStr">
        <is>
          <t>70001</t>
        </is>
      </c>
      <c r="H277" s="17" t="inlineStr">
        <is>
          <t>MONTVALE WINE/LIQ &amp; BEER</t>
        </is>
      </c>
      <c r="I277" s="17" t="inlineStr">
        <is>
          <t>MONTVALE</t>
        </is>
      </c>
      <c r="J277" s="17" t="inlineStr">
        <is>
          <t>All Other: ARTISANAL BREWING VENTURES (EBI)</t>
        </is>
      </c>
      <c r="K277" s="25" t="n">
        <v>3</v>
      </c>
      <c r="L277" s="17" t="inlineStr">
        <is>
          <t>Silver (40-69)</t>
        </is>
      </c>
      <c r="M277" s="18" t="n">
        <v>50</v>
      </c>
      <c r="N277" s="18" t="n">
        <v>50</v>
      </c>
      <c r="O277" s="17" t="inlineStr">
        <is>
          <t>All Other</t>
        </is>
      </c>
      <c r="P277" s="18" t="n">
        <v>300</v>
      </c>
      <c r="Q277" s="17" t="inlineStr">
        <is>
          <t>Yes</t>
        </is>
      </c>
      <c r="R277" s="17" t="inlineStr">
        <is>
          <t>SOUTHERN TIER BREWING COMPANY</t>
        </is>
      </c>
      <c r="S277" s="17" t="inlineStr">
        <is>
          <t>SOUTHERN TIER BREWING COMPANY</t>
        </is>
      </c>
      <c r="T277" s="17" t="inlineStr">
        <is>
          <t>ARTISANAL BREWING VENTURES (EBI)</t>
        </is>
      </c>
      <c r="U277" s="25" t="n">
        <v>1</v>
      </c>
      <c r="V277" s="17" t="inlineStr">
        <is>
          <t>No</t>
        </is>
      </c>
      <c r="W277" s="17" t="inlineStr">
        <is>
          <t>All Other: ARTISANAL BREWING VENTURES (EBI) (50)</t>
        </is>
      </c>
      <c r="X277" s="17" t="inlineStr">
        <is>
          <t>—</t>
        </is>
      </c>
      <c r="Y277" s="19" t="inlineStr">
        <is>
          <t>View Photo</t>
        </is>
      </c>
    </row>
    <row r="278">
      <c r="A278" s="17" t="inlineStr">
        <is>
          <t>D0277</t>
        </is>
      </c>
      <c r="B278" s="17" t="inlineStr">
        <is>
          <t>08/11/2026</t>
        </is>
      </c>
      <c r="C278" s="17" t="inlineStr">
        <is>
          <t>08/11/2026 01:04 PM</t>
        </is>
      </c>
      <c r="D278" s="17" t="inlineStr">
        <is>
          <t>Nicholas Micco</t>
        </is>
      </c>
      <c r="E278" s="17" t="inlineStr">
        <is>
          <t>Sales Associate</t>
        </is>
      </c>
      <c r="F278" s="17" t="inlineStr">
        <is>
          <t>Michael Engel</t>
        </is>
      </c>
      <c r="G278" s="17" t="inlineStr">
        <is>
          <t>14007</t>
        </is>
      </c>
      <c r="H278" s="17" t="inlineStr">
        <is>
          <t>TOTAL WINE &amp; MORE (TOTOWA)</t>
        </is>
      </c>
      <c r="I278" s="17" t="inlineStr">
        <is>
          <t>TOTOWA</t>
        </is>
      </c>
      <c r="J278" s="17" t="inlineStr">
        <is>
          <t>Constellation</t>
        </is>
      </c>
      <c r="K278" s="25" t="n">
        <v>3</v>
      </c>
      <c r="L278" s="17" t="inlineStr">
        <is>
          <t>Silver (40-69)</t>
        </is>
      </c>
      <c r="M278" s="18" t="n">
        <v>50</v>
      </c>
      <c r="N278" s="18" t="n">
        <v>50</v>
      </c>
      <c r="O278" s="17" t="inlineStr">
        <is>
          <t>Priority</t>
        </is>
      </c>
      <c r="P278" s="18" t="n">
        <v>500</v>
      </c>
      <c r="Q278" s="17" t="inlineStr">
        <is>
          <t>Yes</t>
        </is>
      </c>
      <c r="R278" s="17" t="inlineStr">
        <is>
          <t>PACIFICO</t>
        </is>
      </c>
      <c r="S278" s="17" t="inlineStr">
        <is>
          <t>PACIFICO</t>
        </is>
      </c>
      <c r="T278" s="17" t="inlineStr">
        <is>
          <t>CONSTELLATION BRANDS</t>
        </is>
      </c>
      <c r="U278" s="25" t="n">
        <v>1</v>
      </c>
      <c r="V278" s="17" t="inlineStr">
        <is>
          <t>No</t>
        </is>
      </c>
      <c r="W278" s="17" t="inlineStr">
        <is>
          <t>Constellation (50)</t>
        </is>
      </c>
      <c r="X278" s="17" t="inlineStr">
        <is>
          <t>—</t>
        </is>
      </c>
      <c r="Y278" s="19" t="inlineStr">
        <is>
          <t>View Photo</t>
        </is>
      </c>
    </row>
    <row r="279">
      <c r="A279" s="17" t="inlineStr">
        <is>
          <t>D0278</t>
        </is>
      </c>
      <c r="B279" s="17" t="inlineStr">
        <is>
          <t>08/11/2026</t>
        </is>
      </c>
      <c r="C279" s="17" t="inlineStr">
        <is>
          <t>08/11/2026 02:08 PM</t>
        </is>
      </c>
      <c r="D279" s="17" t="inlineStr">
        <is>
          <t>Nicholas Micco</t>
        </is>
      </c>
      <c r="E279" s="17" t="inlineStr">
        <is>
          <t>Sales Associate</t>
        </is>
      </c>
      <c r="F279" s="17" t="inlineStr">
        <is>
          <t>Michael Engel</t>
        </is>
      </c>
      <c r="G279" s="17" t="inlineStr">
        <is>
          <t>58001</t>
        </is>
      </c>
      <c r="H279" s="17" t="inlineStr">
        <is>
          <t>TOTAL WINE &amp; MORE (RIVER EDGE)</t>
        </is>
      </c>
      <c r="I279" s="17" t="inlineStr">
        <is>
          <t>RIVER EDGE</t>
        </is>
      </c>
      <c r="J279" s="17" t="inlineStr">
        <is>
          <t>Constellation</t>
        </is>
      </c>
      <c r="K279" s="25" t="n">
        <v>3</v>
      </c>
      <c r="L279" s="17" t="inlineStr">
        <is>
          <t>Silver (40-69)</t>
        </is>
      </c>
      <c r="M279" s="18" t="n">
        <v>50</v>
      </c>
      <c r="N279" s="18" t="n">
        <v>50</v>
      </c>
      <c r="O279" s="17" t="inlineStr">
        <is>
          <t>Priority</t>
        </is>
      </c>
      <c r="P279" s="18" t="n">
        <v>500</v>
      </c>
      <c r="Q279" s="17" t="inlineStr">
        <is>
          <t>Yes</t>
        </is>
      </c>
      <c r="R279" s="17" t="inlineStr">
        <is>
          <t>PACIFICO</t>
        </is>
      </c>
      <c r="S279" s="17" t="inlineStr">
        <is>
          <t>PACIFICO</t>
        </is>
      </c>
      <c r="T279" s="17" t="inlineStr">
        <is>
          <t>CONSTELLATION BRANDS</t>
        </is>
      </c>
      <c r="U279" s="25" t="n">
        <v>1</v>
      </c>
      <c r="V279" s="17" t="inlineStr">
        <is>
          <t>No</t>
        </is>
      </c>
      <c r="W279" s="17" t="inlineStr">
        <is>
          <t>Constellation (50)</t>
        </is>
      </c>
      <c r="X279" s="17" t="inlineStr">
        <is>
          <t>—</t>
        </is>
      </c>
      <c r="Y279" s="19" t="inlineStr">
        <is>
          <t>View Photo</t>
        </is>
      </c>
    </row>
    <row r="280">
      <c r="A280" s="17" t="inlineStr">
        <is>
          <t>D0279</t>
        </is>
      </c>
      <c r="B280" s="17" t="inlineStr">
        <is>
          <t>08/13/2026</t>
        </is>
      </c>
      <c r="C280" s="17" t="inlineStr">
        <is>
          <t>08/13/2026 12:58 PM</t>
        </is>
      </c>
      <c r="D280" s="17" t="inlineStr">
        <is>
          <t>Alex Rodriguez</t>
        </is>
      </c>
      <c r="E280" s="17" t="inlineStr">
        <is>
          <t>Sales Rep</t>
        </is>
      </c>
      <c r="F280" s="17" t="inlineStr">
        <is>
          <t>Mike Kennedy</t>
        </is>
      </c>
      <c r="G280" s="17" t="inlineStr">
        <is>
          <t>60003</t>
        </is>
      </c>
      <c r="H280" s="17" t="inlineStr">
        <is>
          <t>CHARLIE'S LIQUOR AND CONVENIENCE</t>
        </is>
      </c>
      <c r="I280" s="17" t="inlineStr">
        <is>
          <t>DUMONT</t>
        </is>
      </c>
      <c r="J280" s="17" t="inlineStr">
        <is>
          <t>Constellation</t>
        </is>
      </c>
      <c r="K280" s="25" t="n">
        <v>3</v>
      </c>
      <c r="L280" s="17" t="inlineStr">
        <is>
          <t>Silver (40-69)</t>
        </is>
      </c>
      <c r="M280" s="18" t="n">
        <v>50</v>
      </c>
      <c r="N280" s="18" t="n">
        <v>20</v>
      </c>
      <c r="O280" s="17" t="inlineStr">
        <is>
          <t>Priority</t>
        </is>
      </c>
      <c r="P280" s="18" t="n">
        <v>500</v>
      </c>
      <c r="Q280" s="17" t="inlineStr">
        <is>
          <t>Yes</t>
        </is>
      </c>
      <c r="R280" s="17" t="inlineStr">
        <is>
          <t>COORS LIGHT</t>
        </is>
      </c>
      <c r="S280" s="17" t="inlineStr">
        <is>
          <t>COORS LIGHT, CORONA EXTRA, HEINEKEN, MILLER LITE, MODELO CERVEZA</t>
        </is>
      </c>
      <c r="T280" s="17" t="inlineStr">
        <is>
          <t>CONSTELLATION BRANDS, HEINEKEN, MOLSON COORS BEVERAGE COMPANY</t>
        </is>
      </c>
      <c r="U280" s="25" t="n">
        <v>5</v>
      </c>
      <c r="V280" s="17" t="inlineStr">
        <is>
          <t>Yes</t>
        </is>
      </c>
      <c r="W280" s="17" t="inlineStr">
        <is>
          <t>Molson Coors (20) + Constellation (20) + HUSA (Heineken USA) (10)</t>
        </is>
      </c>
      <c r="X280" s="17" t="inlineStr">
        <is>
          <t>—</t>
        </is>
      </c>
      <c r="Y280" s="19" t="inlineStr">
        <is>
          <t>View Photo</t>
        </is>
      </c>
    </row>
    <row r="281">
      <c r="A281" s="17" t="inlineStr">
        <is>
          <t>D0280</t>
        </is>
      </c>
      <c r="B281" s="17" t="inlineStr">
        <is>
          <t>08/19/2026</t>
        </is>
      </c>
      <c r="C281" s="17" t="inlineStr">
        <is>
          <t>08/19/2026 02:56 PM</t>
        </is>
      </c>
      <c r="D281" s="17" t="inlineStr">
        <is>
          <t>mickey obrien</t>
        </is>
      </c>
      <c r="E281" s="17" t="inlineStr">
        <is>
          <t>Sales Associate</t>
        </is>
      </c>
      <c r="F281" s="17" t="inlineStr">
        <is>
          <t>Michael Engel</t>
        </is>
      </c>
      <c r="G281" s="17" t="inlineStr">
        <is>
          <t>14007</t>
        </is>
      </c>
      <c r="H281" s="17" t="inlineStr">
        <is>
          <t>TOTAL WINE &amp; MORE (TOTOWA)</t>
        </is>
      </c>
      <c r="I281" s="17" t="inlineStr">
        <is>
          <t>TOTOWA</t>
        </is>
      </c>
      <c r="J281" s="17" t="inlineStr">
        <is>
          <t>All Other: NOCA BEVERAGES</t>
        </is>
      </c>
      <c r="K281" s="25" t="n">
        <v>3</v>
      </c>
      <c r="L281" s="17" t="inlineStr">
        <is>
          <t>Silver (40-69)</t>
        </is>
      </c>
      <c r="M281" s="18" t="n">
        <v>50</v>
      </c>
      <c r="N281" s="18" t="n">
        <v>50</v>
      </c>
      <c r="O281" s="17" t="inlineStr">
        <is>
          <t>All Other</t>
        </is>
      </c>
      <c r="P281" s="18" t="n">
        <v>300</v>
      </c>
      <c r="Q281" s="17" t="inlineStr">
        <is>
          <t>Yes</t>
        </is>
      </c>
      <c r="R281" s="17" t="inlineStr">
        <is>
          <t>NOCA</t>
        </is>
      </c>
      <c r="S281" s="17" t="inlineStr">
        <is>
          <t>NOCA</t>
        </is>
      </c>
      <c r="T281" s="17" t="inlineStr">
        <is>
          <t>NOCA BEVERAGES</t>
        </is>
      </c>
      <c r="U281" s="25" t="n">
        <v>1</v>
      </c>
      <c r="V281" s="17" t="inlineStr">
        <is>
          <t>No</t>
        </is>
      </c>
      <c r="W281" s="17" t="inlineStr">
        <is>
          <t>All Other: NOCA BEVERAGES (50)</t>
        </is>
      </c>
      <c r="X281" s="17" t="inlineStr">
        <is>
          <t>—</t>
        </is>
      </c>
      <c r="Y281" s="19" t="inlineStr">
        <is>
          <t>View Photo</t>
        </is>
      </c>
    </row>
    <row r="282">
      <c r="A282" s="17" t="inlineStr">
        <is>
          <t>D0281</t>
        </is>
      </c>
      <c r="B282" s="17" t="inlineStr">
        <is>
          <t>08/21/2026</t>
        </is>
      </c>
      <c r="C282" s="17" t="inlineStr">
        <is>
          <t>08/21/2026 01:29 PM</t>
        </is>
      </c>
      <c r="D282" s="17" t="inlineStr">
        <is>
          <t>patrick infante</t>
        </is>
      </c>
      <c r="E282" s="17" t="inlineStr">
        <is>
          <t>Sales Associate</t>
        </is>
      </c>
      <c r="F282" s="17" t="inlineStr">
        <is>
          <t>Denise Montes</t>
        </is>
      </c>
      <c r="G282" s="17" t="inlineStr">
        <is>
          <t>23004</t>
        </is>
      </c>
      <c r="H282" s="17" t="inlineStr">
        <is>
          <t>SHOP RITE WINES/SPIRITS</t>
        </is>
      </c>
      <c r="I282" s="17" t="inlineStr">
        <is>
          <t>CLIFTON</t>
        </is>
      </c>
      <c r="J282" s="17" t="inlineStr">
        <is>
          <t>Molson Coors</t>
        </is>
      </c>
      <c r="K282" s="25" t="n">
        <v>3</v>
      </c>
      <c r="L282" s="17" t="inlineStr">
        <is>
          <t>Silver (40-69)</t>
        </is>
      </c>
      <c r="M282" s="18" t="n">
        <v>50</v>
      </c>
      <c r="N282" s="18" t="n">
        <v>50</v>
      </c>
      <c r="O282" s="17" t="inlineStr">
        <is>
          <t>Priority</t>
        </is>
      </c>
      <c r="P282" s="18" t="n">
        <v>500</v>
      </c>
      <c r="Q282" s="17" t="inlineStr">
        <is>
          <t>Yes</t>
        </is>
      </c>
      <c r="R282" s="17" t="inlineStr">
        <is>
          <t>COORS LIGHT</t>
        </is>
      </c>
      <c r="S282" s="17" t="inlineStr">
        <is>
          <t>COORS LIGHT</t>
        </is>
      </c>
      <c r="T282" s="17" t="inlineStr">
        <is>
          <t>MOLSON COORS BEVERAGE COMPANY</t>
        </is>
      </c>
      <c r="U282" s="25" t="n">
        <v>1</v>
      </c>
      <c r="V282" s="17" t="inlineStr">
        <is>
          <t>No</t>
        </is>
      </c>
      <c r="W282" s="17" t="inlineStr">
        <is>
          <t>Molson Coors (50)</t>
        </is>
      </c>
      <c r="X282" s="17" t="inlineStr">
        <is>
          <t>—</t>
        </is>
      </c>
      <c r="Y282" s="19" t="inlineStr">
        <is>
          <t>View Photo</t>
        </is>
      </c>
    </row>
    <row r="283">
      <c r="A283" s="17" t="inlineStr">
        <is>
          <t>D0282</t>
        </is>
      </c>
      <c r="B283" s="17" t="inlineStr">
        <is>
          <t>08/27/2026</t>
        </is>
      </c>
      <c r="C283" s="17" t="inlineStr">
        <is>
          <t>08/27/2026 01:19 PM</t>
        </is>
      </c>
      <c r="D283" s="17" t="inlineStr">
        <is>
          <t>Nicholas Micco</t>
        </is>
      </c>
      <c r="E283" s="17" t="inlineStr">
        <is>
          <t>Sales Associate</t>
        </is>
      </c>
      <c r="F283" s="17" t="inlineStr">
        <is>
          <t>Michael Engel</t>
        </is>
      </c>
      <c r="G283" s="17" t="inlineStr">
        <is>
          <t>39001</t>
        </is>
      </c>
      <c r="H283" s="17" t="inlineStr">
        <is>
          <t>HOME WINES &amp; LIQ 75 (A) (SOUTH HACKENSACK)</t>
        </is>
      </c>
      <c r="I283" s="17" t="inlineStr">
        <is>
          <t>SOUTH HACKENSAC</t>
        </is>
      </c>
      <c r="J283" s="17" t="inlineStr">
        <is>
          <t>HUSA (Heineken USA)</t>
        </is>
      </c>
      <c r="K283" s="25" t="n">
        <v>3</v>
      </c>
      <c r="L283" s="17" t="inlineStr">
        <is>
          <t>Silver (40-69)</t>
        </is>
      </c>
      <c r="M283" s="18" t="n">
        <v>50</v>
      </c>
      <c r="N283" s="18" t="n">
        <v>50</v>
      </c>
      <c r="O283" s="17" t="inlineStr">
        <is>
          <t>Priority</t>
        </is>
      </c>
      <c r="P283" s="18" t="n">
        <v>500</v>
      </c>
      <c r="Q283" s="17" t="inlineStr">
        <is>
          <t>Yes</t>
        </is>
      </c>
      <c r="R283" s="17" t="inlineStr">
        <is>
          <t>HEINEKEN</t>
        </is>
      </c>
      <c r="S283" s="17" t="inlineStr">
        <is>
          <t>HEINEKEN</t>
        </is>
      </c>
      <c r="T283" s="17" t="inlineStr">
        <is>
          <t>HEINEKEN</t>
        </is>
      </c>
      <c r="U283" s="25" t="n">
        <v>1</v>
      </c>
      <c r="V283" s="17" t="inlineStr">
        <is>
          <t>No</t>
        </is>
      </c>
      <c r="W283" s="17" t="inlineStr">
        <is>
          <t>HUSA (Heineken USA) (50)</t>
        </is>
      </c>
      <c r="X283" s="17" t="inlineStr">
        <is>
          <t>—</t>
        </is>
      </c>
      <c r="Y283" s="19" t="inlineStr">
        <is>
          <t>View Photo</t>
        </is>
      </c>
    </row>
    <row r="284">
      <c r="A284" s="17" t="inlineStr">
        <is>
          <t>D0283</t>
        </is>
      </c>
      <c r="B284" s="17" t="inlineStr">
        <is>
          <t>08/27/2026</t>
        </is>
      </c>
      <c r="C284" s="17" t="inlineStr">
        <is>
          <t>08/27/2026 02:18 PM</t>
        </is>
      </c>
      <c r="D284" s="17" t="inlineStr">
        <is>
          <t>patrick infante</t>
        </is>
      </c>
      <c r="E284" s="17" t="inlineStr">
        <is>
          <t>Sales Associate</t>
        </is>
      </c>
      <c r="F284" s="17" t="inlineStr">
        <is>
          <t>Denise Montes</t>
        </is>
      </c>
      <c r="G284" s="17" t="inlineStr">
        <is>
          <t>21044</t>
        </is>
      </c>
      <c r="H284" s="17" t="inlineStr">
        <is>
          <t>FARM BOY</t>
        </is>
      </c>
      <c r="I284" s="17" t="inlineStr">
        <is>
          <t>PATERSON</t>
        </is>
      </c>
      <c r="J284" s="17" t="inlineStr">
        <is>
          <t>Constellation</t>
        </is>
      </c>
      <c r="K284" s="25" t="n">
        <v>3</v>
      </c>
      <c r="L284" s="17" t="inlineStr">
        <is>
          <t>Silver (40-69)</t>
        </is>
      </c>
      <c r="M284" s="18" t="n">
        <v>50</v>
      </c>
      <c r="N284" s="18" t="n">
        <v>50</v>
      </c>
      <c r="O284" s="17" t="inlineStr">
        <is>
          <t>Priority</t>
        </is>
      </c>
      <c r="P284" s="18" t="n">
        <v>500</v>
      </c>
      <c r="Q284" s="17" t="inlineStr">
        <is>
          <t>Yes</t>
        </is>
      </c>
      <c r="R284" s="17" t="inlineStr">
        <is>
          <t>CORONA EXTRA</t>
        </is>
      </c>
      <c r="S284" s="17" t="inlineStr">
        <is>
          <t>CORONA EXTRA</t>
        </is>
      </c>
      <c r="T284" s="17" t="inlineStr">
        <is>
          <t>CONSTELLATION BRANDS</t>
        </is>
      </c>
      <c r="U284" s="25" t="n">
        <v>1</v>
      </c>
      <c r="V284" s="17" t="inlineStr">
        <is>
          <t>No</t>
        </is>
      </c>
      <c r="W284" s="17" t="inlineStr">
        <is>
          <t>Constellation (50)</t>
        </is>
      </c>
      <c r="X284" s="17" t="inlineStr">
        <is>
          <t>—</t>
        </is>
      </c>
      <c r="Y284" s="19" t="inlineStr">
        <is>
          <t>View Photo</t>
        </is>
      </c>
    </row>
    <row r="285">
      <c r="A285" s="17" t="inlineStr">
        <is>
          <t>D0284</t>
        </is>
      </c>
      <c r="B285" s="17" t="inlineStr">
        <is>
          <t>08/27/2026</t>
        </is>
      </c>
      <c r="C285" s="17" t="inlineStr">
        <is>
          <t>08/27/2026 02:20 PM</t>
        </is>
      </c>
      <c r="D285" s="17" t="inlineStr">
        <is>
          <t>Javier Melo</t>
        </is>
      </c>
      <c r="E285" s="17" t="inlineStr">
        <is>
          <t>Sales Rep</t>
        </is>
      </c>
      <c r="F285" s="17" t="inlineStr">
        <is>
          <t>Denise Montes</t>
        </is>
      </c>
      <c r="G285" s="17" t="inlineStr">
        <is>
          <t>21044</t>
        </is>
      </c>
      <c r="H285" s="17" t="inlineStr">
        <is>
          <t>FARM BOY</t>
        </is>
      </c>
      <c r="I285" s="17" t="inlineStr">
        <is>
          <t>PATERSON</t>
        </is>
      </c>
      <c r="J285" s="17" t="inlineStr">
        <is>
          <t>Constellation</t>
        </is>
      </c>
      <c r="K285" s="25" t="n">
        <v>3</v>
      </c>
      <c r="L285" s="17" t="inlineStr">
        <is>
          <t>Silver (40-69)</t>
        </is>
      </c>
      <c r="M285" s="18" t="n">
        <v>50</v>
      </c>
      <c r="N285" s="18" t="n">
        <v>50</v>
      </c>
      <c r="O285" s="17" t="inlineStr">
        <is>
          <t>Priority</t>
        </is>
      </c>
      <c r="P285" s="18" t="n">
        <v>500</v>
      </c>
      <c r="Q285" s="17" t="inlineStr">
        <is>
          <t>Yes</t>
        </is>
      </c>
      <c r="R285" s="17" t="inlineStr">
        <is>
          <t>CORONA</t>
        </is>
      </c>
      <c r="S285" s="17" t="inlineStr">
        <is>
          <t>CORONA</t>
        </is>
      </c>
      <c r="T285" s="17" t="inlineStr">
        <is>
          <t>CONSTELLATION BRANDS</t>
        </is>
      </c>
      <c r="U285" s="25" t="n">
        <v>1</v>
      </c>
      <c r="V285" s="17" t="inlineStr">
        <is>
          <t>No</t>
        </is>
      </c>
      <c r="W285" s="17" t="inlineStr">
        <is>
          <t>Constellation (50)</t>
        </is>
      </c>
      <c r="X285" s="17" t="inlineStr">
        <is>
          <t>—</t>
        </is>
      </c>
      <c r="Y285" s="19" t="inlineStr">
        <is>
          <t>View Photo</t>
        </is>
      </c>
    </row>
    <row r="286">
      <c r="A286" s="17" t="inlineStr">
        <is>
          <t>D0285</t>
        </is>
      </c>
      <c r="B286" s="17" t="inlineStr">
        <is>
          <t>07/30/2026</t>
        </is>
      </c>
      <c r="C286" s="17" t="inlineStr">
        <is>
          <t>07/30/2026 09:36 AM</t>
        </is>
      </c>
      <c r="D286" s="17" t="inlineStr">
        <is>
          <t>phil Ernst</t>
        </is>
      </c>
      <c r="E286" s="17" t="inlineStr">
        <is>
          <t>Sales Rep</t>
        </is>
      </c>
      <c r="F286" s="17" t="inlineStr">
        <is>
          <t>Michael Engel</t>
        </is>
      </c>
      <c r="G286" s="17" t="inlineStr">
        <is>
          <t>20106</t>
        </is>
      </c>
      <c r="H286" s="17" t="inlineStr">
        <is>
          <t>SUPER WINE WAREHSE(P)PATE</t>
        </is>
      </c>
      <c r="I286" s="17" t="inlineStr">
        <is>
          <t>PATERSON</t>
        </is>
      </c>
      <c r="J286" s="17" t="inlineStr">
        <is>
          <t>Mark Anthony</t>
        </is>
      </c>
      <c r="K286" s="25" t="n">
        <v>3</v>
      </c>
      <c r="L286" s="17" t="inlineStr">
        <is>
          <t>Silver (40-69)</t>
        </is>
      </c>
      <c r="M286" s="18" t="n">
        <v>49</v>
      </c>
      <c r="N286" s="18" t="n">
        <v>49</v>
      </c>
      <c r="O286" s="17" t="inlineStr">
        <is>
          <t>Priority</t>
        </is>
      </c>
      <c r="P286" s="18" t="n">
        <v>500</v>
      </c>
      <c r="Q286" s="17" t="inlineStr">
        <is>
          <t>Yes</t>
        </is>
      </c>
      <c r="R286" s="17" t="inlineStr">
        <is>
          <t>WHITE CLAW SURF HARD SELTZER</t>
        </is>
      </c>
      <c r="S286" s="17" t="inlineStr">
        <is>
          <t>WHITE CLAW SURF HARD SELTZER</t>
        </is>
      </c>
      <c r="T286" s="17" t="inlineStr">
        <is>
          <t>MARK ANTHONY GROUP</t>
        </is>
      </c>
      <c r="U286" s="25" t="n">
        <v>3</v>
      </c>
      <c r="V286" s="17" t="inlineStr">
        <is>
          <t>No</t>
        </is>
      </c>
      <c r="W286" s="17" t="inlineStr">
        <is>
          <t>Mark Anthony (49)</t>
        </is>
      </c>
      <c r="X286" s="17" t="inlineStr">
        <is>
          <t>—</t>
        </is>
      </c>
      <c r="Y286" s="19" t="inlineStr">
        <is>
          <t>View Photo</t>
        </is>
      </c>
    </row>
    <row r="287">
      <c r="A287" s="17" t="inlineStr">
        <is>
          <t>D0286</t>
        </is>
      </c>
      <c r="B287" s="17" t="inlineStr">
        <is>
          <t>08/05/2026</t>
        </is>
      </c>
      <c r="C287" s="17" t="inlineStr">
        <is>
          <t>08/05/2026 02:42 PM</t>
        </is>
      </c>
      <c r="D287" s="17" t="inlineStr">
        <is>
          <t>Jay Tabasco</t>
        </is>
      </c>
      <c r="E287" s="17" t="inlineStr">
        <is>
          <t>Sales Associate</t>
        </is>
      </c>
      <c r="F287" s="17" t="inlineStr">
        <is>
          <t>Paul Deady</t>
        </is>
      </c>
      <c r="G287" s="17" t="inlineStr">
        <is>
          <t>70001</t>
        </is>
      </c>
      <c r="H287" s="17" t="inlineStr">
        <is>
          <t>MONTVALE WINE/LIQ &amp; BEER</t>
        </is>
      </c>
      <c r="I287" s="17" t="inlineStr">
        <is>
          <t>MONTVALE</t>
        </is>
      </c>
      <c r="J287" s="17" t="inlineStr">
        <is>
          <t>Boston Beer</t>
        </is>
      </c>
      <c r="K287" s="25" t="n">
        <v>3</v>
      </c>
      <c r="L287" s="17" t="inlineStr">
        <is>
          <t>Silver (40-69)</t>
        </is>
      </c>
      <c r="M287" s="18" t="n">
        <v>49</v>
      </c>
      <c r="N287" s="18" t="n">
        <v>49</v>
      </c>
      <c r="O287" s="17" t="inlineStr">
        <is>
          <t>Priority</t>
        </is>
      </c>
      <c r="P287" s="18" t="n">
        <v>500</v>
      </c>
      <c r="Q287" s="17" t="inlineStr">
        <is>
          <t>Yes</t>
        </is>
      </c>
      <c r="R287" s="17" t="inlineStr">
        <is>
          <t>SUN CRUISER LEMONADE</t>
        </is>
      </c>
      <c r="S287" s="17" t="inlineStr">
        <is>
          <t>SUN CRUISER LEMONADE</t>
        </is>
      </c>
      <c r="T287" s="17" t="inlineStr">
        <is>
          <t>BOSTON BEER COMPANY</t>
        </is>
      </c>
      <c r="U287" s="25" t="n">
        <v>1</v>
      </c>
      <c r="V287" s="17" t="inlineStr">
        <is>
          <t>No</t>
        </is>
      </c>
      <c r="W287" s="17" t="inlineStr">
        <is>
          <t>Boston Beer (49)</t>
        </is>
      </c>
      <c r="X287" s="17" t="inlineStr">
        <is>
          <t>—</t>
        </is>
      </c>
      <c r="Y287" s="19" t="inlineStr">
        <is>
          <t>View Photo</t>
        </is>
      </c>
    </row>
    <row r="288">
      <c r="A288" s="17" t="inlineStr">
        <is>
          <t>D0287</t>
        </is>
      </c>
      <c r="B288" s="17" t="inlineStr">
        <is>
          <t>08/25/2026</t>
        </is>
      </c>
      <c r="C288" s="17" t="inlineStr">
        <is>
          <t>08/25/2026 03:36 PM</t>
        </is>
      </c>
      <c r="D288" s="17" t="inlineStr">
        <is>
          <t>phil Ernst</t>
        </is>
      </c>
      <c r="E288" s="17" t="inlineStr">
        <is>
          <t>Sales Rep</t>
        </is>
      </c>
      <c r="F288" s="17" t="inlineStr">
        <is>
          <t>Michael Engel</t>
        </is>
      </c>
      <c r="G288" s="17" t="inlineStr">
        <is>
          <t>80005</t>
        </is>
      </c>
      <c r="H288" s="17" t="inlineStr">
        <is>
          <t>SHOP RITE LIQ (PARAMUS)</t>
        </is>
      </c>
      <c r="I288" s="17" t="inlineStr">
        <is>
          <t>PARAMUS</t>
        </is>
      </c>
      <c r="J288" s="17" t="inlineStr">
        <is>
          <t>Mark Anthony</t>
        </is>
      </c>
      <c r="K288" s="25" t="n">
        <v>3</v>
      </c>
      <c r="L288" s="17" t="inlineStr">
        <is>
          <t>Silver (40-69)</t>
        </is>
      </c>
      <c r="M288" s="18" t="n">
        <v>49</v>
      </c>
      <c r="N288" s="18" t="n">
        <v>49</v>
      </c>
      <c r="O288" s="17" t="inlineStr">
        <is>
          <t>Priority</t>
        </is>
      </c>
      <c r="P288" s="18" t="n">
        <v>500</v>
      </c>
      <c r="Q288" s="17" t="inlineStr">
        <is>
          <t>Yes</t>
        </is>
      </c>
      <c r="R288" s="17" t="inlineStr">
        <is>
          <t>WHITE CLAW ORIGINAL HARD SELTZER</t>
        </is>
      </c>
      <c r="S288" s="17" t="inlineStr">
        <is>
          <t>WHITE CLAW CLAWTAILS, WHITE CLAW ORIGINAL HARD SELTZER, WHITE CLAW SURGE HARD SELTZER</t>
        </is>
      </c>
      <c r="T288" s="17" t="inlineStr">
        <is>
          <t>MARK ANTHONY GROUP</t>
        </is>
      </c>
      <c r="U288" s="25" t="n">
        <v>6</v>
      </c>
      <c r="V288" s="17" t="inlineStr">
        <is>
          <t>No</t>
        </is>
      </c>
      <c r="W288" s="17" t="inlineStr">
        <is>
          <t>Mark Anthony (49)</t>
        </is>
      </c>
      <c r="X288" s="17" t="inlineStr">
        <is>
          <t>—</t>
        </is>
      </c>
      <c r="Y288" s="19" t="inlineStr">
        <is>
          <t>View Photo</t>
        </is>
      </c>
    </row>
    <row r="289">
      <c r="A289" s="17" t="inlineStr">
        <is>
          <t>D0288</t>
        </is>
      </c>
      <c r="B289" s="17" t="inlineStr">
        <is>
          <t>07/22/2026</t>
        </is>
      </c>
      <c r="C289" s="17" t="inlineStr">
        <is>
          <t>07/22/2026 03:04 PM</t>
        </is>
      </c>
      <c r="D289" s="17" t="inlineStr">
        <is>
          <t>Mike Ast</t>
        </is>
      </c>
      <c r="E289" s="17" t="inlineStr">
        <is>
          <t>Sales Rep</t>
        </is>
      </c>
      <c r="F289" s="17" t="inlineStr">
        <is>
          <t>Paul Deady</t>
        </is>
      </c>
      <c r="G289" s="17" t="inlineStr">
        <is>
          <t>12011</t>
        </is>
      </c>
      <c r="H289" s="17" t="inlineStr">
        <is>
          <t>BOTTLE KING (A) WAYNE</t>
        </is>
      </c>
      <c r="I289" s="17" t="inlineStr">
        <is>
          <t>WAYNE</t>
        </is>
      </c>
      <c r="J289" s="17" t="inlineStr">
        <is>
          <t>Boston Beer</t>
        </is>
      </c>
      <c r="K289" s="25" t="n">
        <v>3</v>
      </c>
      <c r="L289" s="17" t="inlineStr">
        <is>
          <t>Silver (40-69)</t>
        </is>
      </c>
      <c r="M289" s="18" t="n">
        <v>48</v>
      </c>
      <c r="N289" s="18" t="n">
        <v>48</v>
      </c>
      <c r="O289" s="17" t="inlineStr">
        <is>
          <t>Priority</t>
        </is>
      </c>
      <c r="P289" s="18" t="n">
        <v>500</v>
      </c>
      <c r="Q289" s="17" t="inlineStr">
        <is>
          <t>Yes</t>
        </is>
      </c>
      <c r="R289" s="17" t="inlineStr">
        <is>
          <t>TWISTED TEA</t>
        </is>
      </c>
      <c r="S289" s="17" t="inlineStr">
        <is>
          <t>TWISTED TEA</t>
        </is>
      </c>
      <c r="T289" s="17" t="inlineStr">
        <is>
          <t>BOSTON BEER COMPANY</t>
        </is>
      </c>
      <c r="U289" s="25" t="n">
        <v>3</v>
      </c>
      <c r="V289" s="17" t="inlineStr">
        <is>
          <t>No</t>
        </is>
      </c>
      <c r="W289" s="17" t="inlineStr">
        <is>
          <t>Boston Beer (48)</t>
        </is>
      </c>
      <c r="X289" s="17" t="inlineStr">
        <is>
          <t>—</t>
        </is>
      </c>
      <c r="Y289" s="19" t="inlineStr">
        <is>
          <t>View Photo</t>
        </is>
      </c>
    </row>
    <row r="290">
      <c r="A290" s="17" t="inlineStr">
        <is>
          <t>D0289</t>
        </is>
      </c>
      <c r="B290" s="17" t="inlineStr">
        <is>
          <t>08/25/2026</t>
        </is>
      </c>
      <c r="C290" s="17" t="inlineStr">
        <is>
          <t>08/25/2026 03:39 PM</t>
        </is>
      </c>
      <c r="D290" s="17" t="inlineStr">
        <is>
          <t>phil Ernst</t>
        </is>
      </c>
      <c r="E290" s="17" t="inlineStr">
        <is>
          <t>Sales Rep</t>
        </is>
      </c>
      <c r="F290" s="17" t="inlineStr">
        <is>
          <t>Michael Engel</t>
        </is>
      </c>
      <c r="G290" s="17" t="inlineStr">
        <is>
          <t>80005</t>
        </is>
      </c>
      <c r="H290" s="17" t="inlineStr">
        <is>
          <t>SHOP RITE LIQ (PARAMUS)</t>
        </is>
      </c>
      <c r="I290" s="17" t="inlineStr">
        <is>
          <t>PARAMUS</t>
        </is>
      </c>
      <c r="J290" s="17" t="inlineStr">
        <is>
          <t>HUSA (Heineken USA)</t>
        </is>
      </c>
      <c r="K290" s="25" t="n">
        <v>3</v>
      </c>
      <c r="L290" s="17" t="inlineStr">
        <is>
          <t>Silver (40-69)</t>
        </is>
      </c>
      <c r="M290" s="18" t="n">
        <v>48</v>
      </c>
      <c r="N290" s="18" t="n">
        <v>48</v>
      </c>
      <c r="O290" s="17" t="inlineStr">
        <is>
          <t>Priority</t>
        </is>
      </c>
      <c r="P290" s="18" t="n">
        <v>500</v>
      </c>
      <c r="Q290" s="17" t="inlineStr">
        <is>
          <t>Yes</t>
        </is>
      </c>
      <c r="R290" s="17" t="inlineStr">
        <is>
          <t>HEINEKEN</t>
        </is>
      </c>
      <c r="S290" s="17" t="inlineStr">
        <is>
          <t>HEINEKEN</t>
        </is>
      </c>
      <c r="T290" s="17" t="inlineStr">
        <is>
          <t>HEINEKEN</t>
        </is>
      </c>
      <c r="U290" s="25" t="n">
        <v>2</v>
      </c>
      <c r="V290" s="17" t="inlineStr">
        <is>
          <t>No</t>
        </is>
      </c>
      <c r="W290" s="17" t="inlineStr">
        <is>
          <t>HUSA (Heineken USA) (48)</t>
        </is>
      </c>
      <c r="X290" s="17" t="inlineStr">
        <is>
          <t>—</t>
        </is>
      </c>
      <c r="Y290" s="19" t="inlineStr">
        <is>
          <t>View Photo</t>
        </is>
      </c>
    </row>
    <row r="291">
      <c r="A291" s="17" t="inlineStr">
        <is>
          <t>D0290</t>
        </is>
      </c>
      <c r="B291" s="17" t="inlineStr">
        <is>
          <t>07/02/2026</t>
        </is>
      </c>
      <c r="C291" s="17" t="inlineStr">
        <is>
          <t>07/02/2026 09:51 AM</t>
        </is>
      </c>
      <c r="D291" s="17" t="inlineStr">
        <is>
          <t>Michael Harboy</t>
        </is>
      </c>
      <c r="E291" s="17" t="inlineStr">
        <is>
          <t>Sales Rep</t>
        </is>
      </c>
      <c r="F291" s="17" t="inlineStr">
        <is>
          <t>Mike Kennedy</t>
        </is>
      </c>
      <c r="G291" s="17" t="inlineStr">
        <is>
          <t>12005</t>
        </is>
      </c>
      <c r="H291" s="17" t="inlineStr">
        <is>
          <t>SHAY'S LIQUORS</t>
        </is>
      </c>
      <c r="I291" s="17" t="inlineStr">
        <is>
          <t>WAYNE</t>
        </is>
      </c>
      <c r="J291" s="17" t="inlineStr">
        <is>
          <t>Boston Beer</t>
        </is>
      </c>
      <c r="K291" s="25" t="n">
        <v>3</v>
      </c>
      <c r="L291" s="17" t="inlineStr">
        <is>
          <t>Silver (40-69)</t>
        </is>
      </c>
      <c r="M291" s="18" t="n">
        <v>47</v>
      </c>
      <c r="N291" s="18" t="n">
        <v>47</v>
      </c>
      <c r="O291" s="17" t="inlineStr">
        <is>
          <t>Priority</t>
        </is>
      </c>
      <c r="P291" s="18" t="n">
        <v>500</v>
      </c>
      <c r="Q291" s="17" t="inlineStr">
        <is>
          <t>Yes</t>
        </is>
      </c>
      <c r="R291" s="17" t="inlineStr">
        <is>
          <t>SAM ADAMS SEASONAL</t>
        </is>
      </c>
      <c r="S291" s="17" t="inlineStr">
        <is>
          <t>SAM ADAMS SEASONAL, SAMUEL ADAMS</t>
        </is>
      </c>
      <c r="T291" s="17" t="inlineStr">
        <is>
          <t>BOSTON BEER COMPANY</t>
        </is>
      </c>
      <c r="U291" s="25" t="n">
        <v>12</v>
      </c>
      <c r="V291" s="17" t="inlineStr">
        <is>
          <t>No</t>
        </is>
      </c>
      <c r="W291" s="17" t="inlineStr">
        <is>
          <t>Boston Beer (47)</t>
        </is>
      </c>
      <c r="X291" s="17" t="inlineStr">
        <is>
          <t>—</t>
        </is>
      </c>
      <c r="Y291" s="19" t="inlineStr">
        <is>
          <t>View Photo</t>
        </is>
      </c>
    </row>
    <row r="292">
      <c r="A292" s="17" t="inlineStr">
        <is>
          <t>D0291</t>
        </is>
      </c>
      <c r="B292" s="17" t="inlineStr">
        <is>
          <t>07/14/2026</t>
        </is>
      </c>
      <c r="C292" s="17" t="inlineStr">
        <is>
          <t>07/14/2026 12:31 PM</t>
        </is>
      </c>
      <c r="D292" s="17" t="inlineStr">
        <is>
          <t>Chris Payton</t>
        </is>
      </c>
      <c r="E292" s="17" t="inlineStr">
        <is>
          <t>Sales Rep</t>
        </is>
      </c>
      <c r="F292" s="17" t="inlineStr">
        <is>
          <t>Michael Engel</t>
        </is>
      </c>
      <c r="G292" s="17" t="inlineStr">
        <is>
          <t>34009</t>
        </is>
      </c>
      <c r="H292" s="17" t="inlineStr">
        <is>
          <t>THE WINE RACK HASBROUCK HTS</t>
        </is>
      </c>
      <c r="I292" s="17" t="inlineStr">
        <is>
          <t>HASBROUCK HEIGHTS</t>
        </is>
      </c>
      <c r="J292" s="17" t="inlineStr">
        <is>
          <t>Constellation</t>
        </is>
      </c>
      <c r="K292" s="25" t="n">
        <v>3</v>
      </c>
      <c r="L292" s="17" t="inlineStr">
        <is>
          <t>Silver (40-69)</t>
        </is>
      </c>
      <c r="M292" s="18" t="n">
        <v>47</v>
      </c>
      <c r="N292" s="18" t="n">
        <v>47</v>
      </c>
      <c r="O292" s="17" t="inlineStr">
        <is>
          <t>Priority</t>
        </is>
      </c>
      <c r="P292" s="18" t="n">
        <v>500</v>
      </c>
      <c r="Q292" s="17" t="inlineStr">
        <is>
          <t>Yes</t>
        </is>
      </c>
      <c r="R292" s="17" t="inlineStr">
        <is>
          <t>CORONA EXTRA</t>
        </is>
      </c>
      <c r="S292" s="17" t="inlineStr">
        <is>
          <t>CORONA EXTRA, CORONA NON-ALCOHOLIC</t>
        </is>
      </c>
      <c r="T292" s="17" t="inlineStr">
        <is>
          <t>CONSTELLATION BRANDS</t>
        </is>
      </c>
      <c r="U292" s="25" t="n">
        <v>3</v>
      </c>
      <c r="V292" s="17" t="inlineStr">
        <is>
          <t>No</t>
        </is>
      </c>
      <c r="W292" s="17" t="inlineStr">
        <is>
          <t>Constellation (47)</t>
        </is>
      </c>
      <c r="X292" s="17" t="inlineStr">
        <is>
          <t>—</t>
        </is>
      </c>
      <c r="Y292" s="19" t="inlineStr">
        <is>
          <t>View Photo</t>
        </is>
      </c>
    </row>
    <row r="293">
      <c r="A293" s="17" t="inlineStr">
        <is>
          <t>D0292</t>
        </is>
      </c>
      <c r="B293" s="17" t="inlineStr">
        <is>
          <t>07/31/2026</t>
        </is>
      </c>
      <c r="C293" s="17" t="inlineStr">
        <is>
          <t>07/31/2026 11:22 AM</t>
        </is>
      </c>
      <c r="D293" s="17" t="inlineStr">
        <is>
          <t>patrick infante</t>
        </is>
      </c>
      <c r="E293" s="17" t="inlineStr">
        <is>
          <t>Sales Associate</t>
        </is>
      </c>
      <c r="F293" s="17" t="inlineStr">
        <is>
          <t>Denise Montes</t>
        </is>
      </c>
      <c r="G293" s="17" t="inlineStr">
        <is>
          <t>77007</t>
        </is>
      </c>
      <c r="H293" s="17" t="inlineStr">
        <is>
          <t>WINE LAND</t>
        </is>
      </c>
      <c r="I293" s="17" t="inlineStr">
        <is>
          <t>ELMWOOD PARK</t>
        </is>
      </c>
      <c r="J293" s="17" t="inlineStr">
        <is>
          <t>Constellation</t>
        </is>
      </c>
      <c r="K293" s="25" t="n">
        <v>3</v>
      </c>
      <c r="L293" s="17" t="inlineStr">
        <is>
          <t>Silver (40-69)</t>
        </is>
      </c>
      <c r="M293" s="18" t="n">
        <v>47</v>
      </c>
      <c r="N293" s="18" t="n">
        <v>47</v>
      </c>
      <c r="O293" s="17" t="inlineStr">
        <is>
          <t>Priority</t>
        </is>
      </c>
      <c r="P293" s="18" t="n">
        <v>500</v>
      </c>
      <c r="Q293" s="17" t="inlineStr">
        <is>
          <t>Yes</t>
        </is>
      </c>
      <c r="R293" s="17" t="inlineStr">
        <is>
          <t>CORONA EXTRA</t>
        </is>
      </c>
      <c r="S293" s="17" t="inlineStr">
        <is>
          <t>CORONA EXTRA</t>
        </is>
      </c>
      <c r="T293" s="17" t="inlineStr">
        <is>
          <t>CONSTELLATION BRANDS</t>
        </is>
      </c>
      <c r="U293" s="25" t="n">
        <v>2</v>
      </c>
      <c r="V293" s="17" t="inlineStr">
        <is>
          <t>No</t>
        </is>
      </c>
      <c r="W293" s="17" t="inlineStr">
        <is>
          <t>Constellation (47)</t>
        </is>
      </c>
      <c r="X293" s="17" t="inlineStr">
        <is>
          <t>—</t>
        </is>
      </c>
      <c r="Y293" s="19" t="inlineStr">
        <is>
          <t>View Photo</t>
        </is>
      </c>
    </row>
    <row r="294">
      <c r="A294" s="17" t="inlineStr">
        <is>
          <t>D0293</t>
        </is>
      </c>
      <c r="B294" s="17" t="inlineStr">
        <is>
          <t>07/02/2026</t>
        </is>
      </c>
      <c r="C294" s="17" t="inlineStr">
        <is>
          <t>07/02/2026 08:39 AM</t>
        </is>
      </c>
      <c r="D294" s="17" t="inlineStr">
        <is>
          <t>phil Ernst</t>
        </is>
      </c>
      <c r="E294" s="17" t="inlineStr">
        <is>
          <t>Sales Rep</t>
        </is>
      </c>
      <c r="F294" s="17" t="inlineStr">
        <is>
          <t>Michael Engel</t>
        </is>
      </c>
      <c r="G294" s="17" t="inlineStr">
        <is>
          <t>80005</t>
        </is>
      </c>
      <c r="H294" s="17" t="inlineStr">
        <is>
          <t>SHOP RITE LIQ (PARAMUS)</t>
        </is>
      </c>
      <c r="I294" s="17" t="inlineStr">
        <is>
          <t>PARAMUS</t>
        </is>
      </c>
      <c r="J294" s="17" t="inlineStr">
        <is>
          <t>Boston Beer</t>
        </is>
      </c>
      <c r="K294" s="25" t="n">
        <v>3</v>
      </c>
      <c r="L294" s="17" t="inlineStr">
        <is>
          <t>Silver (40-69)</t>
        </is>
      </c>
      <c r="M294" s="18" t="n">
        <v>45</v>
      </c>
      <c r="N294" s="18" t="n">
        <v>45</v>
      </c>
      <c r="O294" s="17" t="inlineStr">
        <is>
          <t>Priority</t>
        </is>
      </c>
      <c r="P294" s="18" t="n">
        <v>500</v>
      </c>
      <c r="Q294" s="17" t="inlineStr">
        <is>
          <t>Yes</t>
        </is>
      </c>
      <c r="R294" s="17" t="inlineStr">
        <is>
          <t>TWISTED TEA</t>
        </is>
      </c>
      <c r="S294" s="17" t="inlineStr">
        <is>
          <t>TWISTED TEA</t>
        </is>
      </c>
      <c r="T294" s="17" t="inlineStr">
        <is>
          <t>BOSTON BEER COMPANY</t>
        </is>
      </c>
      <c r="U294" s="25" t="n">
        <v>1</v>
      </c>
      <c r="V294" s="17" t="inlineStr">
        <is>
          <t>No</t>
        </is>
      </c>
      <c r="W294" s="17" t="inlineStr">
        <is>
          <t>Boston Beer (45)</t>
        </is>
      </c>
      <c r="X294" s="17" t="inlineStr">
        <is>
          <t>—</t>
        </is>
      </c>
      <c r="Y294" s="19" t="inlineStr">
        <is>
          <t>View Photo</t>
        </is>
      </c>
    </row>
    <row r="295">
      <c r="A295" s="17" t="inlineStr">
        <is>
          <t>D0294</t>
        </is>
      </c>
      <c r="B295" s="17" t="inlineStr">
        <is>
          <t>07/02/2026</t>
        </is>
      </c>
      <c r="C295" s="17" t="inlineStr">
        <is>
          <t>07/02/2026 09:10 AM</t>
        </is>
      </c>
      <c r="D295" s="17" t="inlineStr">
        <is>
          <t>phil Ernst</t>
        </is>
      </c>
      <c r="E295" s="17" t="inlineStr">
        <is>
          <t>Sales Rep</t>
        </is>
      </c>
      <c r="F295" s="17" t="inlineStr">
        <is>
          <t>Michael Engel</t>
        </is>
      </c>
      <c r="G295" s="17" t="inlineStr">
        <is>
          <t>20106</t>
        </is>
      </c>
      <c r="H295" s="17" t="inlineStr">
        <is>
          <t>SUPER WINE WAREHSE(P)PATE</t>
        </is>
      </c>
      <c r="I295" s="17" t="inlineStr">
        <is>
          <t>PATERSON</t>
        </is>
      </c>
      <c r="J295" s="17" t="inlineStr">
        <is>
          <t>Boston Beer</t>
        </is>
      </c>
      <c r="K295" s="25" t="n">
        <v>3</v>
      </c>
      <c r="L295" s="17" t="inlineStr">
        <is>
          <t>Silver (40-69)</t>
        </is>
      </c>
      <c r="M295" s="18" t="n">
        <v>45</v>
      </c>
      <c r="N295" s="18" t="n">
        <v>45</v>
      </c>
      <c r="O295" s="17" t="inlineStr">
        <is>
          <t>Priority</t>
        </is>
      </c>
      <c r="P295" s="18" t="n">
        <v>500</v>
      </c>
      <c r="Q295" s="17" t="inlineStr">
        <is>
          <t>Yes</t>
        </is>
      </c>
      <c r="R295" s="17" t="inlineStr">
        <is>
          <t>SUN CRUISERS RTD</t>
        </is>
      </c>
      <c r="S295" s="17" t="inlineStr">
        <is>
          <t>SUN CRUISERS RTD</t>
        </is>
      </c>
      <c r="T295" s="17" t="inlineStr">
        <is>
          <t>BOSTON BEER COMPANY</t>
        </is>
      </c>
      <c r="U295" s="25" t="n">
        <v>1</v>
      </c>
      <c r="V295" s="17" t="inlineStr">
        <is>
          <t>No</t>
        </is>
      </c>
      <c r="W295" s="17" t="inlineStr">
        <is>
          <t>Boston Beer (45)</t>
        </is>
      </c>
      <c r="X295" s="17" t="inlineStr">
        <is>
          <t>—</t>
        </is>
      </c>
      <c r="Y295" s="19" t="inlineStr">
        <is>
          <t>View Photo</t>
        </is>
      </c>
    </row>
    <row r="296">
      <c r="A296" s="17" t="inlineStr">
        <is>
          <t>D0295</t>
        </is>
      </c>
      <c r="B296" s="17" t="inlineStr">
        <is>
          <t>07/02/2026</t>
        </is>
      </c>
      <c r="C296" s="17" t="inlineStr">
        <is>
          <t>07/02/2026 10:43 AM</t>
        </is>
      </c>
      <c r="D296" s="17" t="inlineStr">
        <is>
          <t>David Fletcher</t>
        </is>
      </c>
      <c r="E296" s="17" t="inlineStr">
        <is>
          <t>Sales Associate</t>
        </is>
      </c>
      <c r="F296" s="17" t="inlineStr">
        <is>
          <t>Michael Engel</t>
        </is>
      </c>
      <c r="G296" s="17" t="inlineStr">
        <is>
          <t>76010</t>
        </is>
      </c>
      <c r="H296" s="17" t="inlineStr">
        <is>
          <t>USA WINE TRADERS CLUB (SADDLE BROOK)</t>
        </is>
      </c>
      <c r="I296" s="17" t="inlineStr">
        <is>
          <t>SADDLE BROOK</t>
        </is>
      </c>
      <c r="J296" s="17" t="inlineStr">
        <is>
          <t>Boston Beer</t>
        </is>
      </c>
      <c r="K296" s="25" t="n">
        <v>3</v>
      </c>
      <c r="L296" s="17" t="inlineStr">
        <is>
          <t>Silver (40-69)</t>
        </is>
      </c>
      <c r="M296" s="18" t="n">
        <v>45</v>
      </c>
      <c r="N296" s="18" t="n">
        <v>45</v>
      </c>
      <c r="O296" s="17" t="inlineStr">
        <is>
          <t>Priority</t>
        </is>
      </c>
      <c r="P296" s="18" t="n">
        <v>500</v>
      </c>
      <c r="Q296" s="17" t="inlineStr">
        <is>
          <t>Yes</t>
        </is>
      </c>
      <c r="R296" s="17" t="inlineStr">
        <is>
          <t>SUN CRUISERS RTD</t>
        </is>
      </c>
      <c r="S296" s="17" t="inlineStr">
        <is>
          <t>SUN CRUISERS RTD</t>
        </is>
      </c>
      <c r="T296" s="17" t="inlineStr">
        <is>
          <t>BOSTON BEER COMPANY</t>
        </is>
      </c>
      <c r="U296" s="25" t="n">
        <v>2</v>
      </c>
      <c r="V296" s="17" t="inlineStr">
        <is>
          <t>No</t>
        </is>
      </c>
      <c r="W296" s="17" t="inlineStr">
        <is>
          <t>Boston Beer (45)</t>
        </is>
      </c>
      <c r="X296" s="17" t="inlineStr">
        <is>
          <t>—</t>
        </is>
      </c>
      <c r="Y296" s="19" t="inlineStr">
        <is>
          <t>View Photo</t>
        </is>
      </c>
    </row>
    <row r="297">
      <c r="A297" s="17" t="inlineStr">
        <is>
          <t>D0296</t>
        </is>
      </c>
      <c r="B297" s="17" t="inlineStr">
        <is>
          <t>07/07/2026</t>
        </is>
      </c>
      <c r="C297" s="17" t="inlineStr">
        <is>
          <t>07/07/2026 01:57 PM</t>
        </is>
      </c>
      <c r="D297" s="17" t="inlineStr">
        <is>
          <t>Chris Payton</t>
        </is>
      </c>
      <c r="E297" s="17" t="inlineStr">
        <is>
          <t>Sales Rep</t>
        </is>
      </c>
      <c r="F297" s="17" t="inlineStr">
        <is>
          <t>Michael Engel</t>
        </is>
      </c>
      <c r="G297" s="17" t="inlineStr">
        <is>
          <t>38008</t>
        </is>
      </c>
      <c r="H297" s="17" t="inlineStr">
        <is>
          <t>SHOP RITE LIQ.(A)LODI</t>
        </is>
      </c>
      <c r="I297" s="17" t="inlineStr">
        <is>
          <t>LODI</t>
        </is>
      </c>
      <c r="J297" s="17" t="inlineStr">
        <is>
          <t>HUSA (Heineken USA)</t>
        </is>
      </c>
      <c r="K297" s="25" t="n">
        <v>3</v>
      </c>
      <c r="L297" s="17" t="inlineStr">
        <is>
          <t>Silver (40-69)</t>
        </is>
      </c>
      <c r="M297" s="18" t="n">
        <v>45</v>
      </c>
      <c r="N297" s="18" t="n">
        <v>45</v>
      </c>
      <c r="O297" s="17" t="inlineStr">
        <is>
          <t>Priority</t>
        </is>
      </c>
      <c r="P297" s="18" t="n">
        <v>500</v>
      </c>
      <c r="Q297" s="17" t="inlineStr">
        <is>
          <t>Yes</t>
        </is>
      </c>
      <c r="R297" s="17" t="inlineStr">
        <is>
          <t>HEINEKEN</t>
        </is>
      </c>
      <c r="S297" s="17" t="inlineStr">
        <is>
          <t>HEINEKEN</t>
        </is>
      </c>
      <c r="T297" s="17" t="inlineStr">
        <is>
          <t>HEINEKEN</t>
        </is>
      </c>
      <c r="U297" s="25" t="n">
        <v>3</v>
      </c>
      <c r="V297" s="17" t="inlineStr">
        <is>
          <t>No</t>
        </is>
      </c>
      <c r="W297" s="17" t="inlineStr">
        <is>
          <t>HUSA (Heineken USA) (45)</t>
        </is>
      </c>
      <c r="X297" s="17" t="inlineStr">
        <is>
          <t>—</t>
        </is>
      </c>
      <c r="Y297" s="19" t="inlineStr">
        <is>
          <t>View Photo</t>
        </is>
      </c>
    </row>
    <row r="298">
      <c r="A298" s="17" t="inlineStr">
        <is>
          <t>D0297</t>
        </is>
      </c>
      <c r="B298" s="17" t="inlineStr">
        <is>
          <t>07/10/2026</t>
        </is>
      </c>
      <c r="C298" s="17" t="inlineStr">
        <is>
          <t>07/10/2026 11:44 AM</t>
        </is>
      </c>
      <c r="D298" s="17" t="inlineStr">
        <is>
          <t>Dave Ehlers</t>
        </is>
      </c>
      <c r="E298" s="17" t="inlineStr">
        <is>
          <t>Sales Rep</t>
        </is>
      </c>
      <c r="F298" s="17" t="inlineStr">
        <is>
          <t>Michael Engel</t>
        </is>
      </c>
      <c r="G298" s="17" t="inlineStr">
        <is>
          <t>58001</t>
        </is>
      </c>
      <c r="H298" s="17" t="inlineStr">
        <is>
          <t>TOTAL WINE &amp; MORE (RIVER EDGE)</t>
        </is>
      </c>
      <c r="I298" s="17" t="inlineStr">
        <is>
          <t>RIVER EDGE</t>
        </is>
      </c>
      <c r="J298" s="17" t="inlineStr">
        <is>
          <t>All Other: SIERRA NEVADA BREWING COMPANY</t>
        </is>
      </c>
      <c r="K298" s="25" t="n">
        <v>3</v>
      </c>
      <c r="L298" s="17" t="inlineStr">
        <is>
          <t>Silver (40-69)</t>
        </is>
      </c>
      <c r="M298" s="18" t="n">
        <v>45</v>
      </c>
      <c r="N298" s="18" t="n">
        <v>45</v>
      </c>
      <c r="O298" s="17" t="inlineStr">
        <is>
          <t>All Other</t>
        </is>
      </c>
      <c r="P298" s="18" t="n">
        <v>300</v>
      </c>
      <c r="Q298" s="17" t="inlineStr">
        <is>
          <t>Yes</t>
        </is>
      </c>
      <c r="R298" s="17" t="inlineStr">
        <is>
          <t>SIERRA NEVADA BREWING COMPANY</t>
        </is>
      </c>
      <c r="S298" s="17" t="inlineStr">
        <is>
          <t>SIERRA NEVADA BREWING COMPANY</t>
        </is>
      </c>
      <c r="T298" s="17" t="inlineStr">
        <is>
          <t>SIERRA NEVADA BREWING COMPANY</t>
        </is>
      </c>
      <c r="U298" s="25" t="n">
        <v>2</v>
      </c>
      <c r="V298" s="17" t="inlineStr">
        <is>
          <t>No</t>
        </is>
      </c>
      <c r="W298" s="17" t="inlineStr">
        <is>
          <t>All Other: SIERRA NEVADA BREWING COMPANY (45)</t>
        </is>
      </c>
      <c r="X298" s="17" t="inlineStr">
        <is>
          <t>—</t>
        </is>
      </c>
      <c r="Y298" s="19" t="inlineStr">
        <is>
          <t>View Photo</t>
        </is>
      </c>
    </row>
    <row r="299">
      <c r="A299" s="17" t="inlineStr">
        <is>
          <t>D0298</t>
        </is>
      </c>
      <c r="B299" s="17" t="inlineStr">
        <is>
          <t>07/27/2026</t>
        </is>
      </c>
      <c r="C299" s="17" t="inlineStr">
        <is>
          <t>07/27/2026 11:18 AM</t>
        </is>
      </c>
      <c r="D299" s="17" t="inlineStr">
        <is>
          <t>Nicholas Micco</t>
        </is>
      </c>
      <c r="E299" s="17" t="inlineStr">
        <is>
          <t>Sales Associate</t>
        </is>
      </c>
      <c r="F299" s="17" t="inlineStr">
        <is>
          <t>Michael Engel</t>
        </is>
      </c>
      <c r="G299" s="17" t="inlineStr">
        <is>
          <t>20106</t>
        </is>
      </c>
      <c r="H299" s="17" t="inlineStr">
        <is>
          <t>SUPER WINE WAREHSE(P)PATE</t>
        </is>
      </c>
      <c r="I299" s="17" t="inlineStr">
        <is>
          <t>PATERSON</t>
        </is>
      </c>
      <c r="J299" s="17" t="inlineStr">
        <is>
          <t>HUSA (Heineken USA)</t>
        </is>
      </c>
      <c r="K299" s="25" t="n">
        <v>3</v>
      </c>
      <c r="L299" s="17" t="inlineStr">
        <is>
          <t>Silver (40-69)</t>
        </is>
      </c>
      <c r="M299" s="18" t="n">
        <v>45</v>
      </c>
      <c r="N299" s="18" t="n">
        <v>45</v>
      </c>
      <c r="O299" s="17" t="inlineStr">
        <is>
          <t>Priority</t>
        </is>
      </c>
      <c r="P299" s="18" t="n">
        <v>500</v>
      </c>
      <c r="Q299" s="17" t="inlineStr">
        <is>
          <t>Yes</t>
        </is>
      </c>
      <c r="R299" s="17" t="inlineStr">
        <is>
          <t>HEINEKEN</t>
        </is>
      </c>
      <c r="S299" s="17" t="inlineStr">
        <is>
          <t>HEINEKEN</t>
        </is>
      </c>
      <c r="T299" s="17" t="inlineStr">
        <is>
          <t>HEINEKEN</t>
        </is>
      </c>
      <c r="U299" s="25" t="n">
        <v>3</v>
      </c>
      <c r="V299" s="17" t="inlineStr">
        <is>
          <t>No</t>
        </is>
      </c>
      <c r="W299" s="17" t="inlineStr">
        <is>
          <t>HUSA (Heineken USA) (45)</t>
        </is>
      </c>
      <c r="X299" s="17" t="inlineStr">
        <is>
          <t>First of a repeat set</t>
        </is>
      </c>
      <c r="Y299" s="19" t="inlineStr">
        <is>
          <t>View Photo</t>
        </is>
      </c>
    </row>
    <row r="300">
      <c r="A300" s="17" t="inlineStr">
        <is>
          <t>D0299</t>
        </is>
      </c>
      <c r="B300" s="17" t="inlineStr">
        <is>
          <t>07/27/2026</t>
        </is>
      </c>
      <c r="C300" s="17" t="inlineStr">
        <is>
          <t>07/27/2026 11:18 AM</t>
        </is>
      </c>
      <c r="D300" s="17" t="inlineStr">
        <is>
          <t>mickey obrien</t>
        </is>
      </c>
      <c r="E300" s="17" t="inlineStr">
        <is>
          <t>Sales Associate</t>
        </is>
      </c>
      <c r="F300" s="17" t="inlineStr">
        <is>
          <t>Michael Engel</t>
        </is>
      </c>
      <c r="G300" s="17" t="inlineStr">
        <is>
          <t>20106</t>
        </is>
      </c>
      <c r="H300" s="17" t="inlineStr">
        <is>
          <t>SUPER WINE WAREHSE(P)PATE</t>
        </is>
      </c>
      <c r="I300" s="17" t="inlineStr">
        <is>
          <t>PATERSON</t>
        </is>
      </c>
      <c r="J300" s="17" t="inlineStr">
        <is>
          <t>HUSA (Heineken USA)</t>
        </is>
      </c>
      <c r="K300" s="25" t="n">
        <v>3</v>
      </c>
      <c r="L300" s="17" t="inlineStr">
        <is>
          <t>Silver (40-69)</t>
        </is>
      </c>
      <c r="M300" s="18" t="n">
        <v>45</v>
      </c>
      <c r="N300" s="18" t="n">
        <v>45</v>
      </c>
      <c r="O300" s="17" t="inlineStr">
        <is>
          <t>Priority</t>
        </is>
      </c>
      <c r="P300" s="18" t="n">
        <v>500</v>
      </c>
      <c r="Q300" s="17" t="inlineStr">
        <is>
          <t>Yes</t>
        </is>
      </c>
      <c r="R300" s="17" t="inlineStr">
        <is>
          <t>HEINEKEN</t>
        </is>
      </c>
      <c r="S300" s="17" t="inlineStr">
        <is>
          <t>HEINEKEN</t>
        </is>
      </c>
      <c r="T300" s="17" t="inlineStr">
        <is>
          <t>HEINEKEN</t>
        </is>
      </c>
      <c r="U300" s="25" t="n">
        <v>3</v>
      </c>
      <c r="V300" s="17" t="inlineStr">
        <is>
          <t>No</t>
        </is>
      </c>
      <c r="W300" s="17" t="inlineStr">
        <is>
          <t>HUSA (Heineken USA) (45)</t>
        </is>
      </c>
      <c r="X300" s="26" t="inlineStr">
        <is>
          <t>Possible duplicate</t>
        </is>
      </c>
      <c r="Y300" s="19" t="inlineStr">
        <is>
          <t>View Photo</t>
        </is>
      </c>
    </row>
    <row r="301">
      <c r="A301" s="17" t="inlineStr">
        <is>
          <t>D0300</t>
        </is>
      </c>
      <c r="B301" s="17" t="inlineStr">
        <is>
          <t>07/30/2026</t>
        </is>
      </c>
      <c r="C301" s="17" t="inlineStr">
        <is>
          <t>07/30/2026 10:31 AM</t>
        </is>
      </c>
      <c r="D301" s="17" t="inlineStr">
        <is>
          <t>mickey obrien</t>
        </is>
      </c>
      <c r="E301" s="17" t="inlineStr">
        <is>
          <t>Sales Associate</t>
        </is>
      </c>
      <c r="F301" s="17" t="inlineStr">
        <is>
          <t>Denise Montes</t>
        </is>
      </c>
      <c r="G301" s="17" t="inlineStr">
        <is>
          <t>31060</t>
        </is>
      </c>
      <c r="H301" s="17" t="inlineStr">
        <is>
          <t>BOTTLE REPUBLIC (RUTHERFORD)</t>
        </is>
      </c>
      <c r="I301" s="17" t="inlineStr">
        <is>
          <t>RUTHERFORD</t>
        </is>
      </c>
      <c r="J301" s="17" t="inlineStr">
        <is>
          <t>Molson Coors</t>
        </is>
      </c>
      <c r="K301" s="25" t="n">
        <v>3</v>
      </c>
      <c r="L301" s="17" t="inlineStr">
        <is>
          <t>Silver (40-69)</t>
        </is>
      </c>
      <c r="M301" s="18" t="n">
        <v>45</v>
      </c>
      <c r="N301" s="18" t="n">
        <v>45</v>
      </c>
      <c r="O301" s="17" t="inlineStr">
        <is>
          <t>Priority</t>
        </is>
      </c>
      <c r="P301" s="18" t="n">
        <v>500</v>
      </c>
      <c r="Q301" s="17" t="inlineStr">
        <is>
          <t>Yes</t>
        </is>
      </c>
      <c r="R301" s="17" t="inlineStr">
        <is>
          <t>LEINENKUGEL'S</t>
        </is>
      </c>
      <c r="S301" s="17" t="inlineStr">
        <is>
          <t>LEINENKUGEL'S</t>
        </is>
      </c>
      <c r="T301" s="17" t="inlineStr">
        <is>
          <t>MOLSON COORS BEVERAGE COMPANY</t>
        </is>
      </c>
      <c r="U301" s="25" t="n">
        <v>2</v>
      </c>
      <c r="V301" s="17" t="inlineStr">
        <is>
          <t>No</t>
        </is>
      </c>
      <c r="W301" s="17" t="inlineStr">
        <is>
          <t>Molson Coors (45)</t>
        </is>
      </c>
      <c r="X301" s="17" t="inlineStr">
        <is>
          <t>First of a repeat set</t>
        </is>
      </c>
      <c r="Y301" s="19" t="inlineStr">
        <is>
          <t>View Photo</t>
        </is>
      </c>
    </row>
    <row r="302">
      <c r="A302" s="17" t="inlineStr">
        <is>
          <t>D0301</t>
        </is>
      </c>
      <c r="B302" s="17" t="inlineStr">
        <is>
          <t>07/30/2026</t>
        </is>
      </c>
      <c r="C302" s="17" t="inlineStr">
        <is>
          <t>07/30/2026 10:31 AM</t>
        </is>
      </c>
      <c r="D302" s="17" t="inlineStr">
        <is>
          <t>patrick infante</t>
        </is>
      </c>
      <c r="E302" s="17" t="inlineStr">
        <is>
          <t>Sales Associate</t>
        </is>
      </c>
      <c r="F302" s="17" t="inlineStr">
        <is>
          <t>Denise Montes</t>
        </is>
      </c>
      <c r="G302" s="17" t="inlineStr">
        <is>
          <t>31060</t>
        </is>
      </c>
      <c r="H302" s="17" t="inlineStr">
        <is>
          <t>BOTTLE REPUBLIC (RUTHERFORD)</t>
        </is>
      </c>
      <c r="I302" s="17" t="inlineStr">
        <is>
          <t>RUTHERFORD</t>
        </is>
      </c>
      <c r="J302" s="17" t="inlineStr">
        <is>
          <t>Molson Coors</t>
        </is>
      </c>
      <c r="K302" s="25" t="n">
        <v>3</v>
      </c>
      <c r="L302" s="17" t="inlineStr">
        <is>
          <t>Silver (40-69)</t>
        </is>
      </c>
      <c r="M302" s="18" t="n">
        <v>45</v>
      </c>
      <c r="N302" s="18" t="n">
        <v>45</v>
      </c>
      <c r="O302" s="17" t="inlineStr">
        <is>
          <t>Priority</t>
        </is>
      </c>
      <c r="P302" s="18" t="n">
        <v>500</v>
      </c>
      <c r="Q302" s="17" t="inlineStr">
        <is>
          <t>Yes</t>
        </is>
      </c>
      <c r="R302" s="17" t="inlineStr">
        <is>
          <t>LEINENKUGEL'S</t>
        </is>
      </c>
      <c r="S302" s="17" t="inlineStr">
        <is>
          <t>LEINENKUGEL'S</t>
        </is>
      </c>
      <c r="T302" s="17" t="inlineStr">
        <is>
          <t>MOLSON COORS BEVERAGE COMPANY</t>
        </is>
      </c>
      <c r="U302" s="25" t="n">
        <v>2</v>
      </c>
      <c r="V302" s="17" t="inlineStr">
        <is>
          <t>No</t>
        </is>
      </c>
      <c r="W302" s="17" t="inlineStr">
        <is>
          <t>Molson Coors (45)</t>
        </is>
      </c>
      <c r="X302" s="26" t="inlineStr">
        <is>
          <t>Possible duplicate</t>
        </is>
      </c>
      <c r="Y302" s="19" t="inlineStr">
        <is>
          <t>View Photo</t>
        </is>
      </c>
    </row>
    <row r="303">
      <c r="A303" s="17" t="inlineStr">
        <is>
          <t>D0302</t>
        </is>
      </c>
      <c r="B303" s="17" t="inlineStr">
        <is>
          <t>07/30/2026</t>
        </is>
      </c>
      <c r="C303" s="17" t="inlineStr">
        <is>
          <t>07/30/2026 10:36 AM</t>
        </is>
      </c>
      <c r="D303" s="17" t="inlineStr">
        <is>
          <t>Matthew Powierski</t>
        </is>
      </c>
      <c r="E303" s="17" t="inlineStr">
        <is>
          <t>Sales Rep</t>
        </is>
      </c>
      <c r="F303" s="17" t="inlineStr">
        <is>
          <t>Denise Montes</t>
        </is>
      </c>
      <c r="G303" s="17" t="inlineStr">
        <is>
          <t>31060</t>
        </is>
      </c>
      <c r="H303" s="17" t="inlineStr">
        <is>
          <t>BOTTLE REPUBLIC (RUTHERFORD)</t>
        </is>
      </c>
      <c r="I303" s="17" t="inlineStr">
        <is>
          <t>RUTHERFORD</t>
        </is>
      </c>
      <c r="J303" s="17" t="inlineStr">
        <is>
          <t>Molson Coors</t>
        </is>
      </c>
      <c r="K303" s="25" t="n">
        <v>3</v>
      </c>
      <c r="L303" s="17" t="inlineStr">
        <is>
          <t>Silver (40-69)</t>
        </is>
      </c>
      <c r="M303" s="18" t="n">
        <v>45</v>
      </c>
      <c r="N303" s="18" t="n">
        <v>45</v>
      </c>
      <c r="O303" s="17" t="inlineStr">
        <is>
          <t>Priority</t>
        </is>
      </c>
      <c r="P303" s="18" t="n">
        <v>500</v>
      </c>
      <c r="Q303" s="17" t="inlineStr">
        <is>
          <t>Yes</t>
        </is>
      </c>
      <c r="R303" s="17" t="inlineStr">
        <is>
          <t>LEINENKUGEL'S</t>
        </is>
      </c>
      <c r="S303" s="17" t="inlineStr">
        <is>
          <t>LEINENKUGEL'S</t>
        </is>
      </c>
      <c r="T303" s="17" t="inlineStr">
        <is>
          <t>MOLSON COORS BEVERAGE COMPANY</t>
        </is>
      </c>
      <c r="U303" s="25" t="n">
        <v>2</v>
      </c>
      <c r="V303" s="17" t="inlineStr">
        <is>
          <t>No</t>
        </is>
      </c>
      <c r="W303" s="17" t="inlineStr">
        <is>
          <t>Molson Coors (45)</t>
        </is>
      </c>
      <c r="X303" s="26" t="inlineStr">
        <is>
          <t>Possible duplicate</t>
        </is>
      </c>
      <c r="Y303" s="19" t="inlineStr">
        <is>
          <t>View Photo</t>
        </is>
      </c>
    </row>
    <row r="304">
      <c r="A304" s="17" t="inlineStr">
        <is>
          <t>D0303</t>
        </is>
      </c>
      <c r="B304" s="17" t="inlineStr">
        <is>
          <t>08/03/2026</t>
        </is>
      </c>
      <c r="C304" s="17" t="inlineStr">
        <is>
          <t>08/03/2026 12:40 PM</t>
        </is>
      </c>
      <c r="D304" s="17" t="inlineStr">
        <is>
          <t>phil Ernst</t>
        </is>
      </c>
      <c r="E304" s="17" t="inlineStr">
        <is>
          <t>Sales Rep</t>
        </is>
      </c>
      <c r="F304" s="17" t="inlineStr">
        <is>
          <t>Michael Engel</t>
        </is>
      </c>
      <c r="G304" s="17" t="inlineStr">
        <is>
          <t>29004</t>
        </is>
      </c>
      <c r="H304" s="17" t="inlineStr">
        <is>
          <t>SHOP-RITE LIQ LYNDHURST</t>
        </is>
      </c>
      <c r="I304" s="17" t="inlineStr">
        <is>
          <t>LYNDHURST</t>
        </is>
      </c>
      <c r="J304" s="17" t="inlineStr">
        <is>
          <t>Constellation</t>
        </is>
      </c>
      <c r="K304" s="25" t="n">
        <v>3</v>
      </c>
      <c r="L304" s="17" t="inlineStr">
        <is>
          <t>Silver (40-69)</t>
        </is>
      </c>
      <c r="M304" s="18" t="n">
        <v>45</v>
      </c>
      <c r="N304" s="18" t="n">
        <v>45</v>
      </c>
      <c r="O304" s="17" t="inlineStr">
        <is>
          <t>Priority</t>
        </is>
      </c>
      <c r="P304" s="18" t="n">
        <v>500</v>
      </c>
      <c r="Q304" s="17" t="inlineStr">
        <is>
          <t>Yes</t>
        </is>
      </c>
      <c r="R304" s="17" t="inlineStr">
        <is>
          <t>CORONA EXTRA</t>
        </is>
      </c>
      <c r="S304" s="17" t="inlineStr">
        <is>
          <t>CORONA EXTRA</t>
        </is>
      </c>
      <c r="T304" s="17" t="inlineStr">
        <is>
          <t>CONSTELLATION BRANDS</t>
        </is>
      </c>
      <c r="U304" s="25" t="n">
        <v>1</v>
      </c>
      <c r="V304" s="17" t="inlineStr">
        <is>
          <t>No</t>
        </is>
      </c>
      <c r="W304" s="17" t="inlineStr">
        <is>
          <t>Constellation (45)</t>
        </is>
      </c>
      <c r="X304" s="17" t="inlineStr">
        <is>
          <t>—</t>
        </is>
      </c>
      <c r="Y304" s="19" t="inlineStr">
        <is>
          <t>View Photo</t>
        </is>
      </c>
    </row>
    <row r="305">
      <c r="A305" s="17" t="inlineStr">
        <is>
          <t>D0304</t>
        </is>
      </c>
      <c r="B305" s="17" t="inlineStr">
        <is>
          <t>08/17/2026</t>
        </is>
      </c>
      <c r="C305" s="17" t="inlineStr">
        <is>
          <t>08/17/2026 04:35 PM</t>
        </is>
      </c>
      <c r="D305" s="17" t="inlineStr">
        <is>
          <t>phil Ernst</t>
        </is>
      </c>
      <c r="E305" s="17" t="inlineStr">
        <is>
          <t>Sales Rep</t>
        </is>
      </c>
      <c r="F305" s="17" t="inlineStr">
        <is>
          <t>Michael Engel</t>
        </is>
      </c>
      <c r="G305" s="17" t="inlineStr">
        <is>
          <t>43001</t>
        </is>
      </c>
      <c r="H305" s="17" t="inlineStr">
        <is>
          <t>CITY SUPERMARKET</t>
        </is>
      </c>
      <c r="I305" s="17" t="inlineStr">
        <is>
          <t>FAIRVIEW</t>
        </is>
      </c>
      <c r="J305" s="17" t="inlineStr">
        <is>
          <t>HUSA (Heineken USA)</t>
        </is>
      </c>
      <c r="K305" s="25" t="n">
        <v>3</v>
      </c>
      <c r="L305" s="17" t="inlineStr">
        <is>
          <t>Silver (40-69)</t>
        </is>
      </c>
      <c r="M305" s="18" t="n">
        <v>45</v>
      </c>
      <c r="N305" s="18" t="n">
        <v>45</v>
      </c>
      <c r="O305" s="17" t="inlineStr">
        <is>
          <t>Priority</t>
        </is>
      </c>
      <c r="P305" s="18" t="n">
        <v>500</v>
      </c>
      <c r="Q305" s="17" t="inlineStr">
        <is>
          <t>Yes</t>
        </is>
      </c>
      <c r="R305" s="17" t="inlineStr">
        <is>
          <t>HEINEKEN</t>
        </is>
      </c>
      <c r="S305" s="17" t="inlineStr">
        <is>
          <t>HEINEKEN</t>
        </is>
      </c>
      <c r="T305" s="17" t="inlineStr">
        <is>
          <t>HEINEKEN</t>
        </is>
      </c>
      <c r="U305" s="25" t="n">
        <v>1</v>
      </c>
      <c r="V305" s="17" t="inlineStr">
        <is>
          <t>No</t>
        </is>
      </c>
      <c r="W305" s="17" t="inlineStr">
        <is>
          <t>HUSA (Heineken USA) (45)</t>
        </is>
      </c>
      <c r="X305" s="17" t="inlineStr">
        <is>
          <t>—</t>
        </is>
      </c>
      <c r="Y305" s="19" t="inlineStr">
        <is>
          <t>View Photo</t>
        </is>
      </c>
    </row>
    <row r="306">
      <c r="A306" s="17" t="inlineStr">
        <is>
          <t>D0305</t>
        </is>
      </c>
      <c r="B306" s="17" t="inlineStr">
        <is>
          <t>08/18/2026</t>
        </is>
      </c>
      <c r="C306" s="17" t="inlineStr">
        <is>
          <t>08/18/2026 02:27 PM</t>
        </is>
      </c>
      <c r="D306" s="17" t="inlineStr">
        <is>
          <t>Mike Ast</t>
        </is>
      </c>
      <c r="E306" s="17" t="inlineStr">
        <is>
          <t>Sales Rep</t>
        </is>
      </c>
      <c r="F306" s="17" t="inlineStr">
        <is>
          <t>Paul Deady</t>
        </is>
      </c>
      <c r="G306" s="17" t="inlineStr">
        <is>
          <t>84010</t>
        </is>
      </c>
      <c r="H306" s="17" t="inlineStr">
        <is>
          <t>RIDGEWOOD SUPER CELLAR</t>
        </is>
      </c>
      <c r="I306" s="17" t="inlineStr">
        <is>
          <t>RIDGEWOOD</t>
        </is>
      </c>
      <c r="J306" s="17" t="inlineStr">
        <is>
          <t>Constellation</t>
        </is>
      </c>
      <c r="K306" s="25" t="n">
        <v>3</v>
      </c>
      <c r="L306" s="17" t="inlineStr">
        <is>
          <t>Silver (40-69)</t>
        </is>
      </c>
      <c r="M306" s="18" t="n">
        <v>45</v>
      </c>
      <c r="N306" s="18" t="n">
        <v>45</v>
      </c>
      <c r="O306" s="17" t="inlineStr">
        <is>
          <t>Priority</t>
        </is>
      </c>
      <c r="P306" s="18" t="n">
        <v>500</v>
      </c>
      <c r="Q306" s="17" t="inlineStr">
        <is>
          <t>Yes</t>
        </is>
      </c>
      <c r="R306" s="17" t="inlineStr">
        <is>
          <t>MODELO CERVEZA</t>
        </is>
      </c>
      <c r="S306" s="17" t="inlineStr">
        <is>
          <t>MODELO CERVEZA</t>
        </is>
      </c>
      <c r="T306" s="17" t="inlineStr">
        <is>
          <t>CONSTELLATION BRANDS</t>
        </is>
      </c>
      <c r="U306" s="25" t="n">
        <v>4</v>
      </c>
      <c r="V306" s="17" t="inlineStr">
        <is>
          <t>No</t>
        </is>
      </c>
      <c r="W306" s="17" t="inlineStr">
        <is>
          <t>Constellation (45)</t>
        </is>
      </c>
      <c r="X306" s="17" t="inlineStr">
        <is>
          <t>—</t>
        </is>
      </c>
      <c r="Y306" s="19" t="inlineStr">
        <is>
          <t>View Photo</t>
        </is>
      </c>
    </row>
    <row r="307">
      <c r="A307" s="17" t="inlineStr">
        <is>
          <t>D0306</t>
        </is>
      </c>
      <c r="B307" s="17" t="inlineStr">
        <is>
          <t>08/20/2026</t>
        </is>
      </c>
      <c r="C307" s="17" t="inlineStr">
        <is>
          <t>08/20/2026 02:13 PM</t>
        </is>
      </c>
      <c r="D307" s="17" t="inlineStr">
        <is>
          <t>James Heaney</t>
        </is>
      </c>
      <c r="E307" s="17" t="inlineStr">
        <is>
          <t>Sales Rep</t>
        </is>
      </c>
      <c r="F307" s="17" t="inlineStr">
        <is>
          <t>Denise Montes</t>
        </is>
      </c>
      <c r="G307" s="17" t="inlineStr">
        <is>
          <t>29011</t>
        </is>
      </c>
      <c r="H307" s="17" t="inlineStr">
        <is>
          <t>WORLD OF WINE &amp; LIQUOR</t>
        </is>
      </c>
      <c r="I307" s="17" t="inlineStr">
        <is>
          <t>LYNDHURST</t>
        </is>
      </c>
      <c r="J307" s="17" t="inlineStr">
        <is>
          <t>Constellation</t>
        </is>
      </c>
      <c r="K307" s="25" t="n">
        <v>3</v>
      </c>
      <c r="L307" s="17" t="inlineStr">
        <is>
          <t>Silver (40-69)</t>
        </is>
      </c>
      <c r="M307" s="18" t="n">
        <v>45</v>
      </c>
      <c r="N307" s="18" t="n">
        <v>45</v>
      </c>
      <c r="O307" s="17" t="inlineStr">
        <is>
          <t>Priority</t>
        </is>
      </c>
      <c r="P307" s="18" t="n">
        <v>500</v>
      </c>
      <c r="Q307" s="17" t="inlineStr">
        <is>
          <t>Yes</t>
        </is>
      </c>
      <c r="R307" s="17" t="inlineStr">
        <is>
          <t>CORONA EXTRA</t>
        </is>
      </c>
      <c r="S307" s="17" t="inlineStr">
        <is>
          <t>CORONA, CORONA EXTRA</t>
        </is>
      </c>
      <c r="T307" s="17" t="inlineStr">
        <is>
          <t>CONSTELLATION BRANDS</t>
        </is>
      </c>
      <c r="U307" s="25" t="n">
        <v>2</v>
      </c>
      <c r="V307" s="17" t="inlineStr">
        <is>
          <t>No</t>
        </is>
      </c>
      <c r="W307" s="17" t="inlineStr">
        <is>
          <t>Constellation (45)</t>
        </is>
      </c>
      <c r="X307" s="17" t="inlineStr">
        <is>
          <t>—</t>
        </is>
      </c>
      <c r="Y307" s="19" t="inlineStr">
        <is>
          <t>View Photo</t>
        </is>
      </c>
    </row>
    <row r="308">
      <c r="A308" s="17" t="inlineStr">
        <is>
          <t>D0307</t>
        </is>
      </c>
      <c r="B308" s="17" t="inlineStr">
        <is>
          <t>08/26/2026</t>
        </is>
      </c>
      <c r="C308" s="17" t="inlineStr">
        <is>
          <t>08/26/2026 01:14 PM</t>
        </is>
      </c>
      <c r="D308" s="17" t="inlineStr">
        <is>
          <t>Vaughn Gallagher</t>
        </is>
      </c>
      <c r="E308" s="17" t="inlineStr">
        <is>
          <t>Sales Associate</t>
        </is>
      </c>
      <c r="F308" s="17" t="inlineStr">
        <is>
          <t>Christopher McCrohan</t>
        </is>
      </c>
      <c r="G308" s="17" t="inlineStr">
        <is>
          <t>1012</t>
        </is>
      </c>
      <c r="H308" s="17" t="inlineStr">
        <is>
          <t>UNCORKED WINES &amp; SPIRITS (WEST MILFORD)</t>
        </is>
      </c>
      <c r="I308" s="17" t="inlineStr">
        <is>
          <t>WEST MILFORD</t>
        </is>
      </c>
      <c r="J308" s="17" t="inlineStr">
        <is>
          <t>Constellation</t>
        </is>
      </c>
      <c r="K308" s="25" t="n">
        <v>3</v>
      </c>
      <c r="L308" s="17" t="inlineStr">
        <is>
          <t>Silver (40-69)</t>
        </is>
      </c>
      <c r="M308" s="18" t="n">
        <v>45</v>
      </c>
      <c r="N308" s="18" t="n">
        <v>45</v>
      </c>
      <c r="O308" s="17" t="inlineStr">
        <is>
          <t>Priority</t>
        </is>
      </c>
      <c r="P308" s="18" t="n">
        <v>500</v>
      </c>
      <c r="Q308" s="17" t="inlineStr">
        <is>
          <t>Yes</t>
        </is>
      </c>
      <c r="R308" s="17" t="inlineStr">
        <is>
          <t>CORONA EXTRA</t>
        </is>
      </c>
      <c r="S308" s="17" t="inlineStr">
        <is>
          <t>CORONA, CORONA EXTRA</t>
        </is>
      </c>
      <c r="T308" s="17" t="inlineStr">
        <is>
          <t>CONSTELLATION BRANDS</t>
        </is>
      </c>
      <c r="U308" s="25" t="n">
        <v>3</v>
      </c>
      <c r="V308" s="17" t="inlineStr">
        <is>
          <t>No</t>
        </is>
      </c>
      <c r="W308" s="17" t="inlineStr">
        <is>
          <t>Constellation (45)</t>
        </is>
      </c>
      <c r="X308" s="17" t="inlineStr">
        <is>
          <t>—</t>
        </is>
      </c>
      <c r="Y308" s="19" t="inlineStr">
        <is>
          <t>View Photo</t>
        </is>
      </c>
    </row>
    <row r="309">
      <c r="A309" s="17" t="inlineStr">
        <is>
          <t>D0308</t>
        </is>
      </c>
      <c r="B309" s="17" t="inlineStr">
        <is>
          <t>07/06/2026</t>
        </is>
      </c>
      <c r="C309" s="17" t="inlineStr">
        <is>
          <t>07/06/2026 02:39 PM</t>
        </is>
      </c>
      <c r="D309" s="17" t="inlineStr">
        <is>
          <t>phil Ernst</t>
        </is>
      </c>
      <c r="E309" s="17" t="inlineStr">
        <is>
          <t>Sales Rep</t>
        </is>
      </c>
      <c r="F309" s="17" t="inlineStr">
        <is>
          <t>Michael Engel</t>
        </is>
      </c>
      <c r="G309" s="17" t="inlineStr">
        <is>
          <t>46019</t>
        </is>
      </c>
      <c r="H309" s="17" t="inlineStr">
        <is>
          <t>PALISADES WINE AND LIQUOR</t>
        </is>
      </c>
      <c r="I309" s="17" t="inlineStr">
        <is>
          <t>PALISADES PARK</t>
        </is>
      </c>
      <c r="J309" s="17" t="inlineStr">
        <is>
          <t>Constellation</t>
        </is>
      </c>
      <c r="K309" s="25" t="n">
        <v>3</v>
      </c>
      <c r="L309" s="17" t="inlineStr">
        <is>
          <t>Silver (40-69)</t>
        </is>
      </c>
      <c r="M309" s="18" t="n">
        <v>44</v>
      </c>
      <c r="N309" s="18" t="n">
        <v>44</v>
      </c>
      <c r="O309" s="17" t="inlineStr">
        <is>
          <t>Priority</t>
        </is>
      </c>
      <c r="P309" s="18" t="n">
        <v>500</v>
      </c>
      <c r="Q309" s="17" t="inlineStr">
        <is>
          <t>Yes</t>
        </is>
      </c>
      <c r="R309" s="17" t="inlineStr">
        <is>
          <t>MODELO CERVEZA</t>
        </is>
      </c>
      <c r="S309" s="17" t="inlineStr">
        <is>
          <t>MODELO CERVEZA, MODELO ORO</t>
        </is>
      </c>
      <c r="T309" s="17" t="inlineStr">
        <is>
          <t>CONSTELLATION BRANDS</t>
        </is>
      </c>
      <c r="U309" s="25" t="n">
        <v>3</v>
      </c>
      <c r="V309" s="17" t="inlineStr">
        <is>
          <t>No</t>
        </is>
      </c>
      <c r="W309" s="17" t="inlineStr">
        <is>
          <t>Constellation (44)</t>
        </is>
      </c>
      <c r="X309" s="17" t="inlineStr">
        <is>
          <t>—</t>
        </is>
      </c>
      <c r="Y309" s="19" t="inlineStr">
        <is>
          <t>View Photo</t>
        </is>
      </c>
    </row>
    <row r="310">
      <c r="A310" s="17" t="inlineStr">
        <is>
          <t>D0309</t>
        </is>
      </c>
      <c r="B310" s="17" t="inlineStr">
        <is>
          <t>07/23/2026</t>
        </is>
      </c>
      <c r="C310" s="17" t="inlineStr">
        <is>
          <t>07/23/2026 11:31 AM</t>
        </is>
      </c>
      <c r="D310" s="17" t="inlineStr">
        <is>
          <t>Pablo Lopez</t>
        </is>
      </c>
      <c r="E310" s="17" t="inlineStr">
        <is>
          <t>Sales Rep</t>
        </is>
      </c>
      <c r="F310" s="17" t="inlineStr">
        <is>
          <t>Denise Montes</t>
        </is>
      </c>
      <c r="G310" s="17" t="inlineStr">
        <is>
          <t>20014</t>
        </is>
      </c>
      <c r="H310" s="17" t="inlineStr">
        <is>
          <t>BOMBOLON LIQUOR &amp; GROCERY</t>
        </is>
      </c>
      <c r="I310" s="17" t="inlineStr">
        <is>
          <t>PATERSON</t>
        </is>
      </c>
      <c r="J310" s="17" t="inlineStr">
        <is>
          <t>HUSA (Heineken USA)</t>
        </is>
      </c>
      <c r="K310" s="25" t="n">
        <v>3</v>
      </c>
      <c r="L310" s="17" t="inlineStr">
        <is>
          <t>Silver (40-69)</t>
        </is>
      </c>
      <c r="M310" s="18" t="n">
        <v>44</v>
      </c>
      <c r="N310" s="18" t="n">
        <v>44</v>
      </c>
      <c r="O310" s="17" t="inlineStr">
        <is>
          <t>Priority</t>
        </is>
      </c>
      <c r="P310" s="18" t="n">
        <v>500</v>
      </c>
      <c r="Q310" s="17" t="inlineStr">
        <is>
          <t>Yes</t>
        </is>
      </c>
      <c r="R310" s="17" t="inlineStr">
        <is>
          <t>HEINEKEN</t>
        </is>
      </c>
      <c r="S310" s="17" t="inlineStr">
        <is>
          <t>HEINEKEN</t>
        </is>
      </c>
      <c r="T310" s="17" t="inlineStr">
        <is>
          <t>HEINEKEN</t>
        </is>
      </c>
      <c r="U310" s="25" t="n">
        <v>1</v>
      </c>
      <c r="V310" s="17" t="inlineStr">
        <is>
          <t>No</t>
        </is>
      </c>
      <c r="W310" s="17" t="inlineStr">
        <is>
          <t>HUSA (Heineken USA) (44)</t>
        </is>
      </c>
      <c r="X310" s="17" t="inlineStr">
        <is>
          <t>First of a repeat set</t>
        </is>
      </c>
      <c r="Y310" s="19" t="inlineStr">
        <is>
          <t>View Photo</t>
        </is>
      </c>
    </row>
    <row r="311">
      <c r="A311" s="17" t="inlineStr">
        <is>
          <t>D0310</t>
        </is>
      </c>
      <c r="B311" s="17" t="inlineStr">
        <is>
          <t>07/23/2026</t>
        </is>
      </c>
      <c r="C311" s="17" t="inlineStr">
        <is>
          <t>07/23/2026 11:32 AM</t>
        </is>
      </c>
      <c r="D311" s="17" t="inlineStr">
        <is>
          <t>patrick infante</t>
        </is>
      </c>
      <c r="E311" s="17" t="inlineStr">
        <is>
          <t>Sales Associate</t>
        </is>
      </c>
      <c r="F311" s="17" t="inlineStr">
        <is>
          <t>Denise Montes</t>
        </is>
      </c>
      <c r="G311" s="17" t="inlineStr">
        <is>
          <t>20014</t>
        </is>
      </c>
      <c r="H311" s="17" t="inlineStr">
        <is>
          <t>BOMBOLON LIQUOR &amp; GROCERY</t>
        </is>
      </c>
      <c r="I311" s="17" t="inlineStr">
        <is>
          <t>PATERSON</t>
        </is>
      </c>
      <c r="J311" s="17" t="inlineStr">
        <is>
          <t>HUSA (Heineken USA)</t>
        </is>
      </c>
      <c r="K311" s="25" t="n">
        <v>3</v>
      </c>
      <c r="L311" s="17" t="inlineStr">
        <is>
          <t>Silver (40-69)</t>
        </is>
      </c>
      <c r="M311" s="18" t="n">
        <v>44</v>
      </c>
      <c r="N311" s="18" t="n">
        <v>44</v>
      </c>
      <c r="O311" s="17" t="inlineStr">
        <is>
          <t>Priority</t>
        </is>
      </c>
      <c r="P311" s="18" t="n">
        <v>500</v>
      </c>
      <c r="Q311" s="17" t="inlineStr">
        <is>
          <t>Yes</t>
        </is>
      </c>
      <c r="R311" s="17" t="inlineStr">
        <is>
          <t>HEINEKEN</t>
        </is>
      </c>
      <c r="S311" s="17" t="inlineStr">
        <is>
          <t>HEINEKEN</t>
        </is>
      </c>
      <c r="T311" s="17" t="inlineStr">
        <is>
          <t>HEINEKEN</t>
        </is>
      </c>
      <c r="U311" s="25" t="n">
        <v>1</v>
      </c>
      <c r="V311" s="17" t="inlineStr">
        <is>
          <t>No</t>
        </is>
      </c>
      <c r="W311" s="17" t="inlineStr">
        <is>
          <t>HUSA (Heineken USA) (44)</t>
        </is>
      </c>
      <c r="X311" s="26" t="inlineStr">
        <is>
          <t>Possible duplicate</t>
        </is>
      </c>
      <c r="Y311" s="19" t="inlineStr">
        <is>
          <t>View Photo</t>
        </is>
      </c>
    </row>
    <row r="312">
      <c r="A312" s="17" t="inlineStr">
        <is>
          <t>D0311</t>
        </is>
      </c>
      <c r="B312" s="17" t="inlineStr">
        <is>
          <t>07/29/2026</t>
        </is>
      </c>
      <c r="C312" s="17" t="inlineStr">
        <is>
          <t>07/29/2026 12:21 PM</t>
        </is>
      </c>
      <c r="D312" s="17" t="inlineStr">
        <is>
          <t>Jay Tabasco</t>
        </is>
      </c>
      <c r="E312" s="17" t="inlineStr">
        <is>
          <t>Sales Associate</t>
        </is>
      </c>
      <c r="F312" s="17" t="inlineStr">
        <is>
          <t>Paul Deady</t>
        </is>
      </c>
      <c r="G312" s="17" t="inlineStr">
        <is>
          <t>17011</t>
        </is>
      </c>
      <c r="H312" s="17" t="inlineStr">
        <is>
          <t>NICO'S WINE &amp; SPIRITS</t>
        </is>
      </c>
      <c r="I312" s="17" t="inlineStr">
        <is>
          <t>HALEDON</t>
        </is>
      </c>
      <c r="J312" s="17" t="inlineStr">
        <is>
          <t>Constellation</t>
        </is>
      </c>
      <c r="K312" s="25" t="n">
        <v>3</v>
      </c>
      <c r="L312" s="17" t="inlineStr">
        <is>
          <t>Silver (40-69)</t>
        </is>
      </c>
      <c r="M312" s="18" t="n">
        <v>44</v>
      </c>
      <c r="N312" s="18" t="n">
        <v>44</v>
      </c>
      <c r="O312" s="17" t="inlineStr">
        <is>
          <t>Priority</t>
        </is>
      </c>
      <c r="P312" s="18" t="n">
        <v>500</v>
      </c>
      <c r="Q312" s="17" t="inlineStr">
        <is>
          <t>Yes</t>
        </is>
      </c>
      <c r="R312" s="17" t="inlineStr">
        <is>
          <t>CORONA EXTRA</t>
        </is>
      </c>
      <c r="S312" s="17" t="inlineStr">
        <is>
          <t>CORONA EXTRA</t>
        </is>
      </c>
      <c r="T312" s="17" t="inlineStr">
        <is>
          <t>CONSTELLATION BRANDS</t>
        </is>
      </c>
      <c r="U312" s="25" t="n">
        <v>1</v>
      </c>
      <c r="V312" s="17" t="inlineStr">
        <is>
          <t>No</t>
        </is>
      </c>
      <c r="W312" s="17" t="inlineStr">
        <is>
          <t>Constellation (44)</t>
        </is>
      </c>
      <c r="X312" s="17" t="inlineStr">
        <is>
          <t>First of a repeat set</t>
        </is>
      </c>
      <c r="Y312" s="19" t="inlineStr">
        <is>
          <t>View Photo</t>
        </is>
      </c>
    </row>
    <row r="313">
      <c r="A313" s="17" t="inlineStr">
        <is>
          <t>D0312</t>
        </is>
      </c>
      <c r="B313" s="17" t="inlineStr">
        <is>
          <t>07/30/2026</t>
        </is>
      </c>
      <c r="C313" s="17" t="inlineStr">
        <is>
          <t>07/30/2026 09:13 AM</t>
        </is>
      </c>
      <c r="D313" s="17" t="inlineStr">
        <is>
          <t>phil Ernst</t>
        </is>
      </c>
      <c r="E313" s="17" t="inlineStr">
        <is>
          <t>Sales Rep</t>
        </is>
      </c>
      <c r="F313" s="17" t="inlineStr">
        <is>
          <t>Michael Engel</t>
        </is>
      </c>
      <c r="G313" s="17" t="inlineStr">
        <is>
          <t>20106</t>
        </is>
      </c>
      <c r="H313" s="17" t="inlineStr">
        <is>
          <t>SUPER WINE WAREHSE(P)PATE</t>
        </is>
      </c>
      <c r="I313" s="17" t="inlineStr">
        <is>
          <t>PATERSON</t>
        </is>
      </c>
      <c r="J313" s="17" t="inlineStr">
        <is>
          <t>Molson Coors</t>
        </is>
      </c>
      <c r="K313" s="25" t="n">
        <v>3</v>
      </c>
      <c r="L313" s="17" t="inlineStr">
        <is>
          <t>Silver (40-69)</t>
        </is>
      </c>
      <c r="M313" s="18" t="n">
        <v>44</v>
      </c>
      <c r="N313" s="18" t="n">
        <v>44</v>
      </c>
      <c r="O313" s="17" t="inlineStr">
        <is>
          <t>Priority</t>
        </is>
      </c>
      <c r="P313" s="18" t="n">
        <v>500</v>
      </c>
      <c r="Q313" s="17" t="inlineStr">
        <is>
          <t>Yes</t>
        </is>
      </c>
      <c r="R313" s="17" t="inlineStr">
        <is>
          <t>BLUE MOON</t>
        </is>
      </c>
      <c r="S313" s="17" t="inlineStr">
        <is>
          <t>BLUE MOON</t>
        </is>
      </c>
      <c r="T313" s="17" t="inlineStr">
        <is>
          <t>MOLSON COORS BEVERAGE COMPANY</t>
        </is>
      </c>
      <c r="U313" s="25" t="n">
        <v>2</v>
      </c>
      <c r="V313" s="17" t="inlineStr">
        <is>
          <t>No</t>
        </is>
      </c>
      <c r="W313" s="17" t="inlineStr">
        <is>
          <t>Molson Coors (44)</t>
        </is>
      </c>
      <c r="X313" s="17" t="inlineStr">
        <is>
          <t>—</t>
        </is>
      </c>
      <c r="Y313" s="19" t="inlineStr">
        <is>
          <t>View Photo</t>
        </is>
      </c>
    </row>
    <row r="314">
      <c r="A314" s="17" t="inlineStr">
        <is>
          <t>D0313</t>
        </is>
      </c>
      <c r="B314" s="17" t="inlineStr">
        <is>
          <t>08/03/2026</t>
        </is>
      </c>
      <c r="C314" s="17" t="inlineStr">
        <is>
          <t>08/03/2026 11:43 AM</t>
        </is>
      </c>
      <c r="D314" s="17" t="inlineStr">
        <is>
          <t>Jay Tabasco</t>
        </is>
      </c>
      <c r="E314" s="17" t="inlineStr">
        <is>
          <t>Sales Associate</t>
        </is>
      </c>
      <c r="F314" s="17" t="inlineStr">
        <is>
          <t>Paul Deady</t>
        </is>
      </c>
      <c r="G314" s="17" t="inlineStr">
        <is>
          <t>67005</t>
        </is>
      </c>
      <c r="H314" s="17" t="inlineStr">
        <is>
          <t>SHOPRITE LIQ (A)NORTHVLE</t>
        </is>
      </c>
      <c r="I314" s="17" t="inlineStr">
        <is>
          <t>NORTHVALE</t>
        </is>
      </c>
      <c r="J314" s="17" t="inlineStr">
        <is>
          <t>Boston Beer</t>
        </is>
      </c>
      <c r="K314" s="25" t="n">
        <v>3</v>
      </c>
      <c r="L314" s="17" t="inlineStr">
        <is>
          <t>Silver (40-69)</t>
        </is>
      </c>
      <c r="M314" s="18" t="n">
        <v>43</v>
      </c>
      <c r="N314" s="18" t="n">
        <v>43</v>
      </c>
      <c r="O314" s="17" t="inlineStr">
        <is>
          <t>Priority</t>
        </is>
      </c>
      <c r="P314" s="18" t="n">
        <v>500</v>
      </c>
      <c r="Q314" s="17" t="inlineStr">
        <is>
          <t>Yes</t>
        </is>
      </c>
      <c r="R314" s="17" t="inlineStr">
        <is>
          <t>SUN CRUISERS RTD</t>
        </is>
      </c>
      <c r="S314" s="17" t="inlineStr">
        <is>
          <t>SUN CRUISERS RTD</t>
        </is>
      </c>
      <c r="T314" s="17" t="inlineStr">
        <is>
          <t>BOSTON BEER COMPANY</t>
        </is>
      </c>
      <c r="U314" s="25" t="n">
        <v>1</v>
      </c>
      <c r="V314" s="17" t="inlineStr">
        <is>
          <t>No</t>
        </is>
      </c>
      <c r="W314" s="17" t="inlineStr">
        <is>
          <t>Boston Beer (43)</t>
        </is>
      </c>
      <c r="X314" s="17" t="inlineStr">
        <is>
          <t>—</t>
        </is>
      </c>
      <c r="Y314" s="19" t="inlineStr">
        <is>
          <t>View Photo</t>
        </is>
      </c>
    </row>
    <row r="315">
      <c r="A315" s="17" t="inlineStr">
        <is>
          <t>D0314</t>
        </is>
      </c>
      <c r="B315" s="17" t="inlineStr">
        <is>
          <t>08/17/2026</t>
        </is>
      </c>
      <c r="C315" s="17" t="inlineStr">
        <is>
          <t>08/17/2026 01:26 PM</t>
        </is>
      </c>
      <c r="D315" s="17" t="inlineStr">
        <is>
          <t>Dave Ehlers</t>
        </is>
      </c>
      <c r="E315" s="17" t="inlineStr">
        <is>
          <t>Sales Rep</t>
        </is>
      </c>
      <c r="F315" s="17" t="inlineStr">
        <is>
          <t>Michael Engel</t>
        </is>
      </c>
      <c r="G315" s="17" t="inlineStr">
        <is>
          <t>58001</t>
        </is>
      </c>
      <c r="H315" s="17" t="inlineStr">
        <is>
          <t>TOTAL WINE &amp; MORE (RIVER EDGE)</t>
        </is>
      </c>
      <c r="I315" s="17" t="inlineStr">
        <is>
          <t>RIVER EDGE</t>
        </is>
      </c>
      <c r="J315" s="17" t="inlineStr">
        <is>
          <t>Boston Beer</t>
        </is>
      </c>
      <c r="K315" s="25" t="n">
        <v>3</v>
      </c>
      <c r="L315" s="17" t="inlineStr">
        <is>
          <t>Silver (40-69)</t>
        </is>
      </c>
      <c r="M315" s="18" t="n">
        <v>43</v>
      </c>
      <c r="N315" s="18" t="n">
        <v>43</v>
      </c>
      <c r="O315" s="17" t="inlineStr">
        <is>
          <t>Priority</t>
        </is>
      </c>
      <c r="P315" s="18" t="n">
        <v>500</v>
      </c>
      <c r="Q315" s="17" t="inlineStr">
        <is>
          <t>Yes</t>
        </is>
      </c>
      <c r="R315" s="17" t="inlineStr">
        <is>
          <t>LYTT</t>
        </is>
      </c>
      <c r="S315" s="17" t="inlineStr">
        <is>
          <t>LYTT</t>
        </is>
      </c>
      <c r="T315" s="17" t="inlineStr">
        <is>
          <t>BOSTON BEER COMPANY</t>
        </is>
      </c>
      <c r="U315" s="25" t="n">
        <v>5</v>
      </c>
      <c r="V315" s="17" t="inlineStr">
        <is>
          <t>No</t>
        </is>
      </c>
      <c r="W315" s="17" t="inlineStr">
        <is>
          <t>Boston Beer (43)</t>
        </is>
      </c>
      <c r="X315" s="17" t="inlineStr">
        <is>
          <t>—</t>
        </is>
      </c>
      <c r="Y315" s="19" t="inlineStr">
        <is>
          <t>View Photo</t>
        </is>
      </c>
    </row>
    <row r="316">
      <c r="A316" s="17" t="inlineStr">
        <is>
          <t>D0315</t>
        </is>
      </c>
      <c r="B316" s="17" t="inlineStr">
        <is>
          <t>07/02/2026</t>
        </is>
      </c>
      <c r="C316" s="17" t="inlineStr">
        <is>
          <t>07/02/2026 12:02 PM</t>
        </is>
      </c>
      <c r="D316" s="17" t="inlineStr">
        <is>
          <t>David Fletcher</t>
        </is>
      </c>
      <c r="E316" s="17" t="inlineStr">
        <is>
          <t>Sales Associate</t>
        </is>
      </c>
      <c r="F316" s="17" t="inlineStr">
        <is>
          <t>Michael Engel</t>
        </is>
      </c>
      <c r="G316" s="17" t="inlineStr">
        <is>
          <t>20106</t>
        </is>
      </c>
      <c r="H316" s="17" t="inlineStr">
        <is>
          <t>SUPER WINE WAREHSE(P)PATE</t>
        </is>
      </c>
      <c r="I316" s="17" t="inlineStr">
        <is>
          <t>PATERSON</t>
        </is>
      </c>
      <c r="J316" s="17" t="inlineStr">
        <is>
          <t>Boston Beer</t>
        </is>
      </c>
      <c r="K316" s="25" t="n">
        <v>3</v>
      </c>
      <c r="L316" s="17" t="inlineStr">
        <is>
          <t>Silver (40-69)</t>
        </is>
      </c>
      <c r="M316" s="18" t="n">
        <v>42</v>
      </c>
      <c r="N316" s="18" t="n">
        <v>42</v>
      </c>
      <c r="O316" s="17" t="inlineStr">
        <is>
          <t>Priority</t>
        </is>
      </c>
      <c r="P316" s="18" t="n">
        <v>500</v>
      </c>
      <c r="Q316" s="17" t="inlineStr">
        <is>
          <t>Yes</t>
        </is>
      </c>
      <c r="R316" s="17" t="inlineStr">
        <is>
          <t>TWISTED TEA</t>
        </is>
      </c>
      <c r="S316" s="17" t="inlineStr">
        <is>
          <t>TWISTED TEA</t>
        </is>
      </c>
      <c r="T316" s="17" t="inlineStr">
        <is>
          <t>BOSTON BEER COMPANY</t>
        </is>
      </c>
      <c r="U316" s="25" t="n">
        <v>3</v>
      </c>
      <c r="V316" s="17" t="inlineStr">
        <is>
          <t>No</t>
        </is>
      </c>
      <c r="W316" s="17" t="inlineStr">
        <is>
          <t>Boston Beer (42)</t>
        </is>
      </c>
      <c r="X316" s="17" t="inlineStr">
        <is>
          <t>—</t>
        </is>
      </c>
      <c r="Y316" s="19" t="inlineStr">
        <is>
          <t>View Photo</t>
        </is>
      </c>
    </row>
    <row r="317">
      <c r="A317" s="17" t="inlineStr">
        <is>
          <t>D0316</t>
        </is>
      </c>
      <c r="B317" s="17" t="inlineStr">
        <is>
          <t>07/20/2026</t>
        </is>
      </c>
      <c r="C317" s="17" t="inlineStr">
        <is>
          <t>07/20/2026 11:48 AM</t>
        </is>
      </c>
      <c r="D317" s="17" t="inlineStr">
        <is>
          <t>phil Ernst</t>
        </is>
      </c>
      <c r="E317" s="17" t="inlineStr">
        <is>
          <t>Sales Rep</t>
        </is>
      </c>
      <c r="F317" s="17" t="inlineStr">
        <is>
          <t>Michael Engel</t>
        </is>
      </c>
      <c r="G317" s="17" t="inlineStr">
        <is>
          <t>29004</t>
        </is>
      </c>
      <c r="H317" s="17" t="inlineStr">
        <is>
          <t>SHOP-RITE LIQ LYNDHURST</t>
        </is>
      </c>
      <c r="I317" s="17" t="inlineStr">
        <is>
          <t>LYNDHURST</t>
        </is>
      </c>
      <c r="J317" s="17" t="inlineStr">
        <is>
          <t>Boston Beer</t>
        </is>
      </c>
      <c r="K317" s="25" t="n">
        <v>3</v>
      </c>
      <c r="L317" s="17" t="inlineStr">
        <is>
          <t>Silver (40-69)</t>
        </is>
      </c>
      <c r="M317" s="18" t="n">
        <v>42</v>
      </c>
      <c r="N317" s="18" t="n">
        <v>42</v>
      </c>
      <c r="O317" s="17" t="inlineStr">
        <is>
          <t>Priority</t>
        </is>
      </c>
      <c r="P317" s="18" t="n">
        <v>500</v>
      </c>
      <c r="Q317" s="17" t="inlineStr">
        <is>
          <t>Yes</t>
        </is>
      </c>
      <c r="R317" s="17" t="inlineStr">
        <is>
          <t>TRULY</t>
        </is>
      </c>
      <c r="S317" s="17" t="inlineStr">
        <is>
          <t>TRULY</t>
        </is>
      </c>
      <c r="T317" s="17" t="inlineStr">
        <is>
          <t>BOSTON BEER COMPANY</t>
        </is>
      </c>
      <c r="U317" s="25" t="n">
        <v>1</v>
      </c>
      <c r="V317" s="17" t="inlineStr">
        <is>
          <t>No</t>
        </is>
      </c>
      <c r="W317" s="17" t="inlineStr">
        <is>
          <t>Boston Beer (42)</t>
        </is>
      </c>
      <c r="X317" s="17" t="inlineStr">
        <is>
          <t>—</t>
        </is>
      </c>
      <c r="Y317" s="19" t="inlineStr">
        <is>
          <t>View Photo</t>
        </is>
      </c>
    </row>
    <row r="318">
      <c r="A318" s="17" t="inlineStr">
        <is>
          <t>D0317</t>
        </is>
      </c>
      <c r="B318" s="17" t="inlineStr">
        <is>
          <t>07/29/2026</t>
        </is>
      </c>
      <c r="C318" s="17" t="inlineStr">
        <is>
          <t>07/29/2026 11:16 AM</t>
        </is>
      </c>
      <c r="D318" s="17" t="inlineStr">
        <is>
          <t>Shane Barreca</t>
        </is>
      </c>
      <c r="E318" s="17" t="inlineStr">
        <is>
          <t>Sales Rep</t>
        </is>
      </c>
      <c r="F318" s="17" t="inlineStr">
        <is>
          <t>Paul Deady</t>
        </is>
      </c>
      <c r="G318" s="17" t="inlineStr">
        <is>
          <t>92011</t>
        </is>
      </c>
      <c r="H318" s="17" t="inlineStr">
        <is>
          <t>BOTTLE KING (A) RAMSEY</t>
        </is>
      </c>
      <c r="I318" s="17" t="inlineStr">
        <is>
          <t>RAMSEY</t>
        </is>
      </c>
      <c r="J318" s="17" t="inlineStr">
        <is>
          <t>Boston Beer</t>
        </is>
      </c>
      <c r="K318" s="25" t="n">
        <v>3</v>
      </c>
      <c r="L318" s="17" t="inlineStr">
        <is>
          <t>Silver (40-69)</t>
        </is>
      </c>
      <c r="M318" s="18" t="n">
        <v>42</v>
      </c>
      <c r="N318" s="18" t="n">
        <v>26</v>
      </c>
      <c r="O318" s="17" t="inlineStr">
        <is>
          <t>Priority</t>
        </is>
      </c>
      <c r="P318" s="18" t="n">
        <v>500</v>
      </c>
      <c r="Q318" s="17" t="inlineStr">
        <is>
          <t>Yes</t>
        </is>
      </c>
      <c r="R318" s="17" t="inlineStr">
        <is>
          <t>SAMUEL ADAMS</t>
        </is>
      </c>
      <c r="S318" s="17" t="inlineStr">
        <is>
          <t>LEINENKUGEL'S, SAM ADAMS SEASONAL, SAMUEL ADAMS</t>
        </is>
      </c>
      <c r="T318" s="17" t="inlineStr">
        <is>
          <t>BOSTON BEER COMPANY, MOLSON COORS BEVERAGE COMPANY</t>
        </is>
      </c>
      <c r="U318" s="25" t="n">
        <v>8</v>
      </c>
      <c r="V318" s="17" t="inlineStr">
        <is>
          <t>Yes</t>
        </is>
      </c>
      <c r="W318" s="17" t="inlineStr">
        <is>
          <t>Boston Beer (26) + Molson Coors (16)</t>
        </is>
      </c>
      <c r="X318" s="17" t="inlineStr">
        <is>
          <t>—</t>
        </is>
      </c>
      <c r="Y318" s="19" t="inlineStr">
        <is>
          <t>View Photo</t>
        </is>
      </c>
    </row>
    <row r="319">
      <c r="A319" s="17" t="inlineStr">
        <is>
          <t>D0318</t>
        </is>
      </c>
      <c r="B319" s="17" t="inlineStr">
        <is>
          <t>07/29/2026</t>
        </is>
      </c>
      <c r="C319" s="17" t="inlineStr">
        <is>
          <t>07/29/2026 12:21 PM</t>
        </is>
      </c>
      <c r="D319" s="17" t="inlineStr">
        <is>
          <t>Todd Ewell</t>
        </is>
      </c>
      <c r="E319" s="17" t="inlineStr">
        <is>
          <t>Sales Associate</t>
        </is>
      </c>
      <c r="F319" s="17" t="inlineStr">
        <is>
          <t>Paul Deady</t>
        </is>
      </c>
      <c r="G319" s="17" t="inlineStr">
        <is>
          <t>17011</t>
        </is>
      </c>
      <c r="H319" s="17" t="inlineStr">
        <is>
          <t>NICO'S WINE &amp; SPIRITS</t>
        </is>
      </c>
      <c r="I319" s="17" t="inlineStr">
        <is>
          <t>HALEDON</t>
        </is>
      </c>
      <c r="J319" s="17" t="inlineStr">
        <is>
          <t>Constellation</t>
        </is>
      </c>
      <c r="K319" s="25" t="n">
        <v>3</v>
      </c>
      <c r="L319" s="17" t="inlineStr">
        <is>
          <t>Silver (40-69)</t>
        </is>
      </c>
      <c r="M319" s="18" t="n">
        <v>42</v>
      </c>
      <c r="N319" s="18" t="n">
        <v>42</v>
      </c>
      <c r="O319" s="17" t="inlineStr">
        <is>
          <t>Priority</t>
        </is>
      </c>
      <c r="P319" s="18" t="n">
        <v>500</v>
      </c>
      <c r="Q319" s="17" t="inlineStr">
        <is>
          <t>Yes</t>
        </is>
      </c>
      <c r="R319" s="17" t="inlineStr">
        <is>
          <t>CORONA EXTRA</t>
        </is>
      </c>
      <c r="S319" s="17" t="inlineStr">
        <is>
          <t>CORONA EXTRA</t>
        </is>
      </c>
      <c r="T319" s="17" t="inlineStr">
        <is>
          <t>CONSTELLATION BRANDS</t>
        </is>
      </c>
      <c r="U319" s="25" t="n">
        <v>1</v>
      </c>
      <c r="V319" s="17" t="inlineStr">
        <is>
          <t>No</t>
        </is>
      </c>
      <c r="W319" s="17" t="inlineStr">
        <is>
          <t>Constellation (42)</t>
        </is>
      </c>
      <c r="X319" s="26" t="inlineStr">
        <is>
          <t>Possible duplicate</t>
        </is>
      </c>
      <c r="Y319" s="19" t="inlineStr">
        <is>
          <t>View Photo</t>
        </is>
      </c>
    </row>
    <row r="320">
      <c r="A320" s="17" t="inlineStr">
        <is>
          <t>D0319</t>
        </is>
      </c>
      <c r="B320" s="17" t="inlineStr">
        <is>
          <t>07/22/2026</t>
        </is>
      </c>
      <c r="C320" s="17" t="inlineStr">
        <is>
          <t>07/22/2026 11:53 AM</t>
        </is>
      </c>
      <c r="D320" s="17" t="inlineStr">
        <is>
          <t>Matthew Powierski</t>
        </is>
      </c>
      <c r="E320" s="17" t="inlineStr">
        <is>
          <t>Sales Rep</t>
        </is>
      </c>
      <c r="F320" s="17" t="inlineStr">
        <is>
          <t>Denise Montes</t>
        </is>
      </c>
      <c r="G320" s="17" t="inlineStr">
        <is>
          <t>36007</t>
        </is>
      </c>
      <c r="H320" s="17" t="inlineStr">
        <is>
          <t>SHOP RITE OF WALLINGTON</t>
        </is>
      </c>
      <c r="I320" s="17" t="inlineStr">
        <is>
          <t>WALLINGTON</t>
        </is>
      </c>
      <c r="J320" s="17" t="inlineStr">
        <is>
          <t>Constellation</t>
        </is>
      </c>
      <c r="K320" s="25" t="n">
        <v>3</v>
      </c>
      <c r="L320" s="17" t="inlineStr">
        <is>
          <t>Silver (40-69)</t>
        </is>
      </c>
      <c r="M320" s="18" t="n">
        <v>41</v>
      </c>
      <c r="N320" s="18" t="n">
        <v>41</v>
      </c>
      <c r="O320" s="17" t="inlineStr">
        <is>
          <t>Priority</t>
        </is>
      </c>
      <c r="P320" s="18" t="n">
        <v>500</v>
      </c>
      <c r="Q320" s="17" t="inlineStr">
        <is>
          <t>Yes</t>
        </is>
      </c>
      <c r="R320" s="17" t="inlineStr">
        <is>
          <t>CORONA EXTRA</t>
        </is>
      </c>
      <c r="S320" s="17" t="inlineStr">
        <is>
          <t>CORONA EXTRA</t>
        </is>
      </c>
      <c r="T320" s="17" t="inlineStr">
        <is>
          <t>CONSTELLATION BRANDS</t>
        </is>
      </c>
      <c r="U320" s="25" t="n">
        <v>1</v>
      </c>
      <c r="V320" s="17" t="inlineStr">
        <is>
          <t>No</t>
        </is>
      </c>
      <c r="W320" s="17" t="inlineStr">
        <is>
          <t>Constellation (41)</t>
        </is>
      </c>
      <c r="X320" s="17" t="inlineStr">
        <is>
          <t>—</t>
        </is>
      </c>
      <c r="Y320" s="19" t="inlineStr">
        <is>
          <t>View Photo</t>
        </is>
      </c>
    </row>
    <row r="321">
      <c r="A321" s="17" t="inlineStr">
        <is>
          <t>D0320</t>
        </is>
      </c>
      <c r="B321" s="17" t="inlineStr">
        <is>
          <t>08/03/2026</t>
        </is>
      </c>
      <c r="C321" s="17" t="inlineStr">
        <is>
          <t>08/03/2026 12:37 PM</t>
        </is>
      </c>
      <c r="D321" s="17" t="inlineStr">
        <is>
          <t>phil Ernst</t>
        </is>
      </c>
      <c r="E321" s="17" t="inlineStr">
        <is>
          <t>Sales Rep</t>
        </is>
      </c>
      <c r="F321" s="17" t="inlineStr">
        <is>
          <t>Michael Engel</t>
        </is>
      </c>
      <c r="G321" s="17" t="inlineStr">
        <is>
          <t>29004</t>
        </is>
      </c>
      <c r="H321" s="17" t="inlineStr">
        <is>
          <t>SHOP-RITE LIQ LYNDHURST</t>
        </is>
      </c>
      <c r="I321" s="17" t="inlineStr">
        <is>
          <t>LYNDHURST</t>
        </is>
      </c>
      <c r="J321" s="17" t="inlineStr">
        <is>
          <t>Constellation</t>
        </is>
      </c>
      <c r="K321" s="25" t="n">
        <v>3</v>
      </c>
      <c r="L321" s="17" t="inlineStr">
        <is>
          <t>Silver (40-69)</t>
        </is>
      </c>
      <c r="M321" s="18" t="n">
        <v>41</v>
      </c>
      <c r="N321" s="18" t="n">
        <v>41</v>
      </c>
      <c r="O321" s="17" t="inlineStr">
        <is>
          <t>Priority</t>
        </is>
      </c>
      <c r="P321" s="18" t="n">
        <v>500</v>
      </c>
      <c r="Q321" s="17" t="inlineStr">
        <is>
          <t>Yes</t>
        </is>
      </c>
      <c r="R321" s="17" t="inlineStr">
        <is>
          <t>CORONA EXTRA</t>
        </is>
      </c>
      <c r="S321" s="17" t="inlineStr">
        <is>
          <t>CORONA EXTRA</t>
        </is>
      </c>
      <c r="T321" s="17" t="inlineStr">
        <is>
          <t>CONSTELLATION BRANDS</t>
        </is>
      </c>
      <c r="U321" s="25" t="n">
        <v>1</v>
      </c>
      <c r="V321" s="17" t="inlineStr">
        <is>
          <t>No</t>
        </is>
      </c>
      <c r="W321" s="17" t="inlineStr">
        <is>
          <t>Constellation (41)</t>
        </is>
      </c>
      <c r="X321" s="17" t="inlineStr">
        <is>
          <t>—</t>
        </is>
      </c>
      <c r="Y321" s="19" t="inlineStr">
        <is>
          <t>View Photo</t>
        </is>
      </c>
    </row>
    <row r="322">
      <c r="A322" s="17" t="inlineStr">
        <is>
          <t>D0321</t>
        </is>
      </c>
      <c r="B322" s="17" t="inlineStr">
        <is>
          <t>07/02/2026</t>
        </is>
      </c>
      <c r="C322" s="17" t="inlineStr">
        <is>
          <t>07/02/2026 08:47 AM</t>
        </is>
      </c>
      <c r="D322" s="17" t="inlineStr">
        <is>
          <t>phil Ernst</t>
        </is>
      </c>
      <c r="E322" s="17" t="inlineStr">
        <is>
          <t>Sales Rep</t>
        </is>
      </c>
      <c r="F322" s="17" t="inlineStr">
        <is>
          <t>Michael Engel</t>
        </is>
      </c>
      <c r="G322" s="17" t="inlineStr">
        <is>
          <t>80005</t>
        </is>
      </c>
      <c r="H322" s="17" t="inlineStr">
        <is>
          <t>SHOP RITE LIQ (PARAMUS)</t>
        </is>
      </c>
      <c r="I322" s="17" t="inlineStr">
        <is>
          <t>PARAMUS</t>
        </is>
      </c>
      <c r="J322" s="17" t="inlineStr">
        <is>
          <t>Boston Beer</t>
        </is>
      </c>
      <c r="K322" s="25" t="n">
        <v>3</v>
      </c>
      <c r="L322" s="17" t="inlineStr">
        <is>
          <t>Silver (40-69)</t>
        </is>
      </c>
      <c r="M322" s="18" t="n">
        <v>40</v>
      </c>
      <c r="N322" s="18" t="n">
        <v>40</v>
      </c>
      <c r="O322" s="17" t="inlineStr">
        <is>
          <t>Priority</t>
        </is>
      </c>
      <c r="P322" s="18" t="n">
        <v>500</v>
      </c>
      <c r="Q322" s="17" t="inlineStr">
        <is>
          <t>Yes</t>
        </is>
      </c>
      <c r="R322" s="17" t="inlineStr">
        <is>
          <t>TRULY</t>
        </is>
      </c>
      <c r="S322" s="17" t="inlineStr">
        <is>
          <t>TRULY</t>
        </is>
      </c>
      <c r="T322" s="17" t="inlineStr">
        <is>
          <t>BOSTON BEER COMPANY</t>
        </is>
      </c>
      <c r="U322" s="25" t="n">
        <v>1</v>
      </c>
      <c r="V322" s="17" t="inlineStr">
        <is>
          <t>No</t>
        </is>
      </c>
      <c r="W322" s="17" t="inlineStr">
        <is>
          <t>Boston Beer (40)</t>
        </is>
      </c>
      <c r="X322" s="17" t="inlineStr">
        <is>
          <t>—</t>
        </is>
      </c>
      <c r="Y322" s="19" t="inlineStr">
        <is>
          <t>View Photo</t>
        </is>
      </c>
    </row>
    <row r="323">
      <c r="A323" s="17" t="inlineStr">
        <is>
          <t>D0322</t>
        </is>
      </c>
      <c r="B323" s="17" t="inlineStr">
        <is>
          <t>07/02/2026</t>
        </is>
      </c>
      <c r="C323" s="17" t="inlineStr">
        <is>
          <t>07/02/2026 09:30 AM</t>
        </is>
      </c>
      <c r="D323" s="17" t="inlineStr">
        <is>
          <t>phil Ernst</t>
        </is>
      </c>
      <c r="E323" s="17" t="inlineStr">
        <is>
          <t>Sales Rep</t>
        </is>
      </c>
      <c r="F323" s="17" t="inlineStr">
        <is>
          <t>Michael Engel</t>
        </is>
      </c>
      <c r="G323" s="17" t="inlineStr">
        <is>
          <t>83010</t>
        </is>
      </c>
      <c r="H323" s="17" t="inlineStr">
        <is>
          <t>BOTTLE KING (A) GLEN ROCK</t>
        </is>
      </c>
      <c r="I323" s="17" t="inlineStr">
        <is>
          <t>GLEN ROCK</t>
        </is>
      </c>
      <c r="J323" s="17" t="inlineStr">
        <is>
          <t>Boston Beer</t>
        </is>
      </c>
      <c r="K323" s="25" t="n">
        <v>3</v>
      </c>
      <c r="L323" s="17" t="inlineStr">
        <is>
          <t>Silver (40-69)</t>
        </is>
      </c>
      <c r="M323" s="18" t="n">
        <v>40</v>
      </c>
      <c r="N323" s="18" t="n">
        <v>40</v>
      </c>
      <c r="O323" s="17" t="inlineStr">
        <is>
          <t>Priority</t>
        </is>
      </c>
      <c r="P323" s="18" t="n">
        <v>500</v>
      </c>
      <c r="Q323" s="17" t="inlineStr">
        <is>
          <t>Yes</t>
        </is>
      </c>
      <c r="R323" s="17" t="inlineStr">
        <is>
          <t>SAM ADAMS SEASONAL</t>
        </is>
      </c>
      <c r="S323" s="17" t="inlineStr">
        <is>
          <t>SAM ADAMS SEASONAL</t>
        </is>
      </c>
      <c r="T323" s="17" t="inlineStr">
        <is>
          <t>BOSTON BEER COMPANY</t>
        </is>
      </c>
      <c r="U323" s="25" t="n">
        <v>2</v>
      </c>
      <c r="V323" s="17" t="inlineStr">
        <is>
          <t>No</t>
        </is>
      </c>
      <c r="W323" s="17" t="inlineStr">
        <is>
          <t>Boston Beer (40)</t>
        </is>
      </c>
      <c r="X323" s="17" t="inlineStr">
        <is>
          <t>—</t>
        </is>
      </c>
      <c r="Y323" s="19" t="inlineStr">
        <is>
          <t>View Photo</t>
        </is>
      </c>
    </row>
    <row r="324">
      <c r="A324" s="17" t="inlineStr">
        <is>
          <t>D0323</t>
        </is>
      </c>
      <c r="B324" s="17" t="inlineStr">
        <is>
          <t>07/02/2026</t>
        </is>
      </c>
      <c r="C324" s="17" t="inlineStr">
        <is>
          <t>07/02/2026 10:19 AM</t>
        </is>
      </c>
      <c r="D324" s="17" t="inlineStr">
        <is>
          <t>Nicholas Micco</t>
        </is>
      </c>
      <c r="E324" s="17" t="inlineStr">
        <is>
          <t>Sales Associate</t>
        </is>
      </c>
      <c r="F324" s="17" t="inlineStr">
        <is>
          <t>Michael Engel</t>
        </is>
      </c>
      <c r="G324" s="17" t="inlineStr">
        <is>
          <t>38040</t>
        </is>
      </c>
      <c r="H324" s="17" t="inlineStr">
        <is>
          <t>BUY RITE DISCOUNT LIQUOR</t>
        </is>
      </c>
      <c r="I324" s="17" t="inlineStr">
        <is>
          <t>LODI</t>
        </is>
      </c>
      <c r="J324" s="17" t="inlineStr">
        <is>
          <t>Molson Coors</t>
        </is>
      </c>
      <c r="K324" s="25" t="n">
        <v>3</v>
      </c>
      <c r="L324" s="17" t="inlineStr">
        <is>
          <t>Silver (40-69)</t>
        </is>
      </c>
      <c r="M324" s="18" t="n">
        <v>40</v>
      </c>
      <c r="N324" s="18" t="n">
        <v>40</v>
      </c>
      <c r="O324" s="17" t="inlineStr">
        <is>
          <t>Priority</t>
        </is>
      </c>
      <c r="P324" s="18" t="n">
        <v>500</v>
      </c>
      <c r="Q324" s="17" t="inlineStr">
        <is>
          <t>Yes</t>
        </is>
      </c>
      <c r="R324" s="17" t="inlineStr">
        <is>
          <t>COORS LIGHT</t>
        </is>
      </c>
      <c r="S324" s="17" t="inlineStr">
        <is>
          <t>COORS LIGHT</t>
        </is>
      </c>
      <c r="T324" s="17" t="inlineStr">
        <is>
          <t>MOLSON COORS BEVERAGE COMPANY</t>
        </is>
      </c>
      <c r="U324" s="25" t="n">
        <v>1</v>
      </c>
      <c r="V324" s="17" t="inlineStr">
        <is>
          <t>No</t>
        </is>
      </c>
      <c r="W324" s="17" t="inlineStr">
        <is>
          <t>Molson Coors (40)</t>
        </is>
      </c>
      <c r="X324" s="17" t="inlineStr">
        <is>
          <t>—</t>
        </is>
      </c>
      <c r="Y324" s="19" t="inlineStr">
        <is>
          <t>View Photo</t>
        </is>
      </c>
    </row>
    <row r="325">
      <c r="A325" s="17" t="inlineStr">
        <is>
          <t>D0324</t>
        </is>
      </c>
      <c r="B325" s="17" t="inlineStr">
        <is>
          <t>07/02/2026</t>
        </is>
      </c>
      <c r="C325" s="17" t="inlineStr">
        <is>
          <t>07/02/2026 10:22 AM</t>
        </is>
      </c>
      <c r="D325" s="17" t="inlineStr">
        <is>
          <t>David Fletcher</t>
        </is>
      </c>
      <c r="E325" s="17" t="inlineStr">
        <is>
          <t>Sales Associate</t>
        </is>
      </c>
      <c r="F325" s="17" t="inlineStr">
        <is>
          <t>Michael Engel</t>
        </is>
      </c>
      <c r="G325" s="17" t="inlineStr">
        <is>
          <t>38040</t>
        </is>
      </c>
      <c r="H325" s="17" t="inlineStr">
        <is>
          <t>BUY RITE DISCOUNT LIQUOR</t>
        </is>
      </c>
      <c r="I325" s="17" t="inlineStr">
        <is>
          <t>LODI</t>
        </is>
      </c>
      <c r="J325" s="17" t="inlineStr">
        <is>
          <t>Boston Beer</t>
        </is>
      </c>
      <c r="K325" s="25" t="n">
        <v>3</v>
      </c>
      <c r="L325" s="17" t="inlineStr">
        <is>
          <t>Silver (40-69)</t>
        </is>
      </c>
      <c r="M325" s="18" t="n">
        <v>40</v>
      </c>
      <c r="N325" s="18" t="n">
        <v>40</v>
      </c>
      <c r="O325" s="17" t="inlineStr">
        <is>
          <t>Priority</t>
        </is>
      </c>
      <c r="P325" s="18" t="n">
        <v>500</v>
      </c>
      <c r="Q325" s="17" t="inlineStr">
        <is>
          <t>Yes</t>
        </is>
      </c>
      <c r="R325" s="17" t="inlineStr">
        <is>
          <t>TRULY</t>
        </is>
      </c>
      <c r="S325" s="17" t="inlineStr">
        <is>
          <t>TRULY</t>
        </is>
      </c>
      <c r="T325" s="17" t="inlineStr">
        <is>
          <t>BOSTON BEER COMPANY</t>
        </is>
      </c>
      <c r="U325" s="25" t="n">
        <v>1</v>
      </c>
      <c r="V325" s="17" t="inlineStr">
        <is>
          <t>No</t>
        </is>
      </c>
      <c r="W325" s="17" t="inlineStr">
        <is>
          <t>Boston Beer (40)</t>
        </is>
      </c>
      <c r="X325" s="26" t="inlineStr">
        <is>
          <t>Possible duplicate</t>
        </is>
      </c>
      <c r="Y325" s="19" t="inlineStr">
        <is>
          <t>View Photo</t>
        </is>
      </c>
    </row>
    <row r="326">
      <c r="A326" s="17" t="inlineStr">
        <is>
          <t>D0325</t>
        </is>
      </c>
      <c r="B326" s="17" t="inlineStr">
        <is>
          <t>07/02/2026</t>
        </is>
      </c>
      <c r="C326" s="17" t="inlineStr">
        <is>
          <t>07/02/2026 10:42 AM</t>
        </is>
      </c>
      <c r="D326" s="17" t="inlineStr">
        <is>
          <t>Nicholas Micco</t>
        </is>
      </c>
      <c r="E326" s="17" t="inlineStr">
        <is>
          <t>Sales Associate</t>
        </is>
      </c>
      <c r="F326" s="17" t="inlineStr">
        <is>
          <t>Michael Engel</t>
        </is>
      </c>
      <c r="G326" s="17" t="inlineStr">
        <is>
          <t>76010</t>
        </is>
      </c>
      <c r="H326" s="17" t="inlineStr">
        <is>
          <t>USA WINE TRADERS CLUB (SADDLE BROOK)</t>
        </is>
      </c>
      <c r="I326" s="17" t="inlineStr">
        <is>
          <t>SADDLE BROOK</t>
        </is>
      </c>
      <c r="J326" s="17" t="inlineStr">
        <is>
          <t>Boston Beer</t>
        </is>
      </c>
      <c r="K326" s="25" t="n">
        <v>3</v>
      </c>
      <c r="L326" s="17" t="inlineStr">
        <is>
          <t>Silver (40-69)</t>
        </is>
      </c>
      <c r="M326" s="18" t="n">
        <v>40</v>
      </c>
      <c r="N326" s="18" t="n">
        <v>40</v>
      </c>
      <c r="O326" s="17" t="inlineStr">
        <is>
          <t>Priority</t>
        </is>
      </c>
      <c r="P326" s="18" t="n">
        <v>500</v>
      </c>
      <c r="Q326" s="17" t="inlineStr">
        <is>
          <t>Yes</t>
        </is>
      </c>
      <c r="R326" s="17" t="inlineStr">
        <is>
          <t>SUN CRUISERS RTD</t>
        </is>
      </c>
      <c r="S326" s="17" t="inlineStr">
        <is>
          <t>SUN CRUISER LEMONADE, SUN CRUISERS RTD</t>
        </is>
      </c>
      <c r="T326" s="17" t="inlineStr">
        <is>
          <t>BOSTON BEER COMPANY</t>
        </is>
      </c>
      <c r="U326" s="25" t="n">
        <v>2</v>
      </c>
      <c r="V326" s="17" t="inlineStr">
        <is>
          <t>No</t>
        </is>
      </c>
      <c r="W326" s="17" t="inlineStr">
        <is>
          <t>Boston Beer (40)</t>
        </is>
      </c>
      <c r="X326" s="17" t="inlineStr">
        <is>
          <t>—</t>
        </is>
      </c>
      <c r="Y326" s="19" t="inlineStr">
        <is>
          <t>View Photo</t>
        </is>
      </c>
    </row>
    <row r="327">
      <c r="A327" s="17" t="inlineStr">
        <is>
          <t>D0326</t>
        </is>
      </c>
      <c r="B327" s="17" t="inlineStr">
        <is>
          <t>07/02/2026</t>
        </is>
      </c>
      <c r="C327" s="17" t="inlineStr">
        <is>
          <t>07/02/2026 12:02 PM</t>
        </is>
      </c>
      <c r="D327" s="17" t="inlineStr">
        <is>
          <t>Nicholas Micco</t>
        </is>
      </c>
      <c r="E327" s="17" t="inlineStr">
        <is>
          <t>Sales Associate</t>
        </is>
      </c>
      <c r="F327" s="17" t="inlineStr">
        <is>
          <t>Michael Engel</t>
        </is>
      </c>
      <c r="G327" s="17" t="inlineStr">
        <is>
          <t>20106</t>
        </is>
      </c>
      <c r="H327" s="17" t="inlineStr">
        <is>
          <t>SUPER WINE WAREHSE(P)PATE</t>
        </is>
      </c>
      <c r="I327" s="17" t="inlineStr">
        <is>
          <t>PATERSON</t>
        </is>
      </c>
      <c r="J327" s="17" t="inlineStr">
        <is>
          <t>Mark Anthony</t>
        </is>
      </c>
      <c r="K327" s="25" t="n">
        <v>3</v>
      </c>
      <c r="L327" s="17" t="inlineStr">
        <is>
          <t>Silver (40-69)</t>
        </is>
      </c>
      <c r="M327" s="18" t="n">
        <v>40</v>
      </c>
      <c r="N327" s="18" t="n">
        <v>40</v>
      </c>
      <c r="O327" s="17" t="inlineStr">
        <is>
          <t>Priority</t>
        </is>
      </c>
      <c r="P327" s="18" t="n">
        <v>500</v>
      </c>
      <c r="Q327" s="17" t="inlineStr">
        <is>
          <t>Yes</t>
        </is>
      </c>
      <c r="R327" s="17" t="inlineStr">
        <is>
          <t>CAYMAN JACK</t>
        </is>
      </c>
      <c r="S327" s="17" t="inlineStr">
        <is>
          <t>CAYMAN JACK</t>
        </is>
      </c>
      <c r="T327" s="17" t="inlineStr">
        <is>
          <t>MARK ANTHONY GROUP</t>
        </is>
      </c>
      <c r="U327" s="25" t="n">
        <v>1</v>
      </c>
      <c r="V327" s="17" t="inlineStr">
        <is>
          <t>No</t>
        </is>
      </c>
      <c r="W327" s="17" t="inlineStr">
        <is>
          <t>Mark Anthony (40)</t>
        </is>
      </c>
      <c r="X327" s="17" t="inlineStr">
        <is>
          <t>First of a repeat set</t>
        </is>
      </c>
      <c r="Y327" s="19" t="inlineStr">
        <is>
          <t>View Photo</t>
        </is>
      </c>
    </row>
    <row r="328">
      <c r="A328" s="17" t="inlineStr">
        <is>
          <t>D0327</t>
        </is>
      </c>
      <c r="B328" s="17" t="inlineStr">
        <is>
          <t>07/02/2026</t>
        </is>
      </c>
      <c r="C328" s="17" t="inlineStr">
        <is>
          <t>07/02/2026 12:03 PM</t>
        </is>
      </c>
      <c r="D328" s="17" t="inlineStr">
        <is>
          <t>David Fletcher</t>
        </is>
      </c>
      <c r="E328" s="17" t="inlineStr">
        <is>
          <t>Sales Associate</t>
        </is>
      </c>
      <c r="F328" s="17" t="inlineStr">
        <is>
          <t>Michael Engel</t>
        </is>
      </c>
      <c r="G328" s="17" t="inlineStr">
        <is>
          <t>20106</t>
        </is>
      </c>
      <c r="H328" s="17" t="inlineStr">
        <is>
          <t>SUPER WINE WAREHSE(P)PATE</t>
        </is>
      </c>
      <c r="I328" s="17" t="inlineStr">
        <is>
          <t>PATERSON</t>
        </is>
      </c>
      <c r="J328" s="17" t="inlineStr">
        <is>
          <t>Mark Anthony</t>
        </is>
      </c>
      <c r="K328" s="25" t="n">
        <v>3</v>
      </c>
      <c r="L328" s="17" t="inlineStr">
        <is>
          <t>Silver (40-69)</t>
        </is>
      </c>
      <c r="M328" s="18" t="n">
        <v>40</v>
      </c>
      <c r="N328" s="18" t="n">
        <v>40</v>
      </c>
      <c r="O328" s="17" t="inlineStr">
        <is>
          <t>Priority</t>
        </is>
      </c>
      <c r="P328" s="18" t="n">
        <v>500</v>
      </c>
      <c r="Q328" s="17" t="inlineStr">
        <is>
          <t>Yes</t>
        </is>
      </c>
      <c r="R328" s="17" t="inlineStr">
        <is>
          <t>CAYMAN JACK</t>
        </is>
      </c>
      <c r="S328" s="17" t="inlineStr">
        <is>
          <t>CAYMAN JACK</t>
        </is>
      </c>
      <c r="T328" s="17" t="inlineStr">
        <is>
          <t>MARK ANTHONY GROUP</t>
        </is>
      </c>
      <c r="U328" s="25" t="n">
        <v>2</v>
      </c>
      <c r="V328" s="17" t="inlineStr">
        <is>
          <t>No</t>
        </is>
      </c>
      <c r="W328" s="17" t="inlineStr">
        <is>
          <t>Mark Anthony (40)</t>
        </is>
      </c>
      <c r="X328" s="26" t="inlineStr">
        <is>
          <t>Possible duplicate</t>
        </is>
      </c>
      <c r="Y328" s="19" t="inlineStr">
        <is>
          <t>View Photo</t>
        </is>
      </c>
    </row>
    <row r="329">
      <c r="A329" s="17" t="inlineStr">
        <is>
          <t>D0328</t>
        </is>
      </c>
      <c r="B329" s="17" t="inlineStr">
        <is>
          <t>07/03/2026</t>
        </is>
      </c>
      <c r="C329" s="17" t="inlineStr">
        <is>
          <t>07/03/2026 01:11 PM</t>
        </is>
      </c>
      <c r="D329" s="17" t="inlineStr">
        <is>
          <t>patrick infante</t>
        </is>
      </c>
      <c r="E329" s="17" t="inlineStr">
        <is>
          <t>Sales Associate</t>
        </is>
      </c>
      <c r="F329" s="17" t="inlineStr">
        <is>
          <t>Denise Montes</t>
        </is>
      </c>
      <c r="G329" s="17" t="inlineStr">
        <is>
          <t>21026</t>
        </is>
      </c>
      <c r="H329" s="17" t="inlineStr">
        <is>
          <t>C TOWN SUPERMARKET(P)</t>
        </is>
      </c>
      <c r="I329" s="17" t="inlineStr">
        <is>
          <t>PATERSON</t>
        </is>
      </c>
      <c r="J329" s="17" t="inlineStr">
        <is>
          <t>Constellation</t>
        </is>
      </c>
      <c r="K329" s="25" t="n">
        <v>3</v>
      </c>
      <c r="L329" s="17" t="inlineStr">
        <is>
          <t>Silver (40-69)</t>
        </is>
      </c>
      <c r="M329" s="18" t="n">
        <v>40</v>
      </c>
      <c r="N329" s="18" t="n">
        <v>40</v>
      </c>
      <c r="O329" s="17" t="inlineStr">
        <is>
          <t>Priority</t>
        </is>
      </c>
      <c r="P329" s="18" t="n">
        <v>500</v>
      </c>
      <c r="Q329" s="17" t="inlineStr">
        <is>
          <t>Yes</t>
        </is>
      </c>
      <c r="R329" s="17" t="inlineStr">
        <is>
          <t>MODELO CERVEZA</t>
        </is>
      </c>
      <c r="S329" s="17" t="inlineStr">
        <is>
          <t>MODELO CERVEZA</t>
        </is>
      </c>
      <c r="T329" s="17" t="inlineStr">
        <is>
          <t>CONSTELLATION BRANDS</t>
        </is>
      </c>
      <c r="U329" s="25" t="n">
        <v>2</v>
      </c>
      <c r="V329" s="17" t="inlineStr">
        <is>
          <t>No</t>
        </is>
      </c>
      <c r="W329" s="17" t="inlineStr">
        <is>
          <t>Constellation (40)</t>
        </is>
      </c>
      <c r="X329" s="17" t="inlineStr">
        <is>
          <t>First of a repeat set</t>
        </is>
      </c>
      <c r="Y329" s="19" t="inlineStr">
        <is>
          <t>View Photo</t>
        </is>
      </c>
    </row>
    <row r="330">
      <c r="A330" s="17" t="inlineStr">
        <is>
          <t>D0329</t>
        </is>
      </c>
      <c r="B330" s="17" t="inlineStr">
        <is>
          <t>07/03/2026</t>
        </is>
      </c>
      <c r="C330" s="17" t="inlineStr">
        <is>
          <t>07/03/2026 01:13 PM</t>
        </is>
      </c>
      <c r="D330" s="17" t="inlineStr">
        <is>
          <t>Javier Melo</t>
        </is>
      </c>
      <c r="E330" s="17" t="inlineStr">
        <is>
          <t>Sales Rep</t>
        </is>
      </c>
      <c r="F330" s="17" t="inlineStr">
        <is>
          <t>Denise Montes</t>
        </is>
      </c>
      <c r="G330" s="17" t="inlineStr">
        <is>
          <t>21026</t>
        </is>
      </c>
      <c r="H330" s="17" t="inlineStr">
        <is>
          <t>C TOWN SUPERMARKET(P)</t>
        </is>
      </c>
      <c r="I330" s="17" t="inlineStr">
        <is>
          <t>PATERSON</t>
        </is>
      </c>
      <c r="J330" s="17" t="inlineStr">
        <is>
          <t>Constellation</t>
        </is>
      </c>
      <c r="K330" s="25" t="n">
        <v>3</v>
      </c>
      <c r="L330" s="17" t="inlineStr">
        <is>
          <t>Silver (40-69)</t>
        </is>
      </c>
      <c r="M330" s="18" t="n">
        <v>40</v>
      </c>
      <c r="N330" s="18" t="n">
        <v>40</v>
      </c>
      <c r="O330" s="17" t="inlineStr">
        <is>
          <t>Priority</t>
        </is>
      </c>
      <c r="P330" s="18" t="n">
        <v>500</v>
      </c>
      <c r="Q330" s="17" t="inlineStr">
        <is>
          <t>Yes</t>
        </is>
      </c>
      <c r="R330" s="17" t="inlineStr">
        <is>
          <t>MODELO CERVEZA</t>
        </is>
      </c>
      <c r="S330" s="17" t="inlineStr">
        <is>
          <t>MODELO CERVEZA</t>
        </is>
      </c>
      <c r="T330" s="17" t="inlineStr">
        <is>
          <t>CONSTELLATION BRANDS</t>
        </is>
      </c>
      <c r="U330" s="25" t="n">
        <v>2</v>
      </c>
      <c r="V330" s="17" t="inlineStr">
        <is>
          <t>No</t>
        </is>
      </c>
      <c r="W330" s="17" t="inlineStr">
        <is>
          <t>Constellation (40)</t>
        </is>
      </c>
      <c r="X330" s="26" t="inlineStr">
        <is>
          <t>Possible duplicate</t>
        </is>
      </c>
      <c r="Y330" s="19" t="inlineStr">
        <is>
          <t>View Photo</t>
        </is>
      </c>
    </row>
    <row r="331">
      <c r="A331" s="17" t="inlineStr">
        <is>
          <t>D0330</t>
        </is>
      </c>
      <c r="B331" s="17" t="inlineStr">
        <is>
          <t>07/06/2026</t>
        </is>
      </c>
      <c r="C331" s="17" t="inlineStr">
        <is>
          <t>07/06/2026 02:54 PM</t>
        </is>
      </c>
      <c r="D331" s="17" t="inlineStr">
        <is>
          <t>Mike Ast</t>
        </is>
      </c>
      <c r="E331" s="17" t="inlineStr">
        <is>
          <t>Sales Rep</t>
        </is>
      </c>
      <c r="F331" s="17" t="inlineStr">
        <is>
          <t>Paul Deady</t>
        </is>
      </c>
      <c r="G331" s="17" t="inlineStr">
        <is>
          <t>12011</t>
        </is>
      </c>
      <c r="H331" s="17" t="inlineStr">
        <is>
          <t>BOTTLE KING (A) WAYNE</t>
        </is>
      </c>
      <c r="I331" s="17" t="inlineStr">
        <is>
          <t>WAYNE</t>
        </is>
      </c>
      <c r="J331" s="17" t="inlineStr">
        <is>
          <t>HUSA (Heineken USA)</t>
        </is>
      </c>
      <c r="K331" s="25" t="n">
        <v>3</v>
      </c>
      <c r="L331" s="17" t="inlineStr">
        <is>
          <t>Silver (40-69)</t>
        </is>
      </c>
      <c r="M331" s="18" t="n">
        <v>40</v>
      </c>
      <c r="N331" s="18" t="n">
        <v>40</v>
      </c>
      <c r="O331" s="17" t="inlineStr">
        <is>
          <t>Priority</t>
        </is>
      </c>
      <c r="P331" s="18" t="n">
        <v>500</v>
      </c>
      <c r="Q331" s="17" t="inlineStr">
        <is>
          <t>Yes</t>
        </is>
      </c>
      <c r="R331" s="17" t="inlineStr">
        <is>
          <t>HEINEKEN</t>
        </is>
      </c>
      <c r="S331" s="17" t="inlineStr">
        <is>
          <t>HEINEKEN</t>
        </is>
      </c>
      <c r="T331" s="17" t="inlineStr">
        <is>
          <t>HEINEKEN</t>
        </is>
      </c>
      <c r="U331" s="25" t="n">
        <v>1</v>
      </c>
      <c r="V331" s="17" t="inlineStr">
        <is>
          <t>No</t>
        </is>
      </c>
      <c r="W331" s="17" t="inlineStr">
        <is>
          <t>HUSA (Heineken USA) (40)</t>
        </is>
      </c>
      <c r="X331" s="17" t="inlineStr">
        <is>
          <t>—</t>
        </is>
      </c>
      <c r="Y331" s="19" t="inlineStr">
        <is>
          <t>View Photo</t>
        </is>
      </c>
    </row>
    <row r="332">
      <c r="A332" s="17" t="inlineStr">
        <is>
          <t>D0331</t>
        </is>
      </c>
      <c r="B332" s="17" t="inlineStr">
        <is>
          <t>07/06/2026</t>
        </is>
      </c>
      <c r="C332" s="17" t="inlineStr">
        <is>
          <t>07/06/2026 09:52 AM</t>
        </is>
      </c>
      <c r="D332" s="17" t="inlineStr">
        <is>
          <t>Mike Ast</t>
        </is>
      </c>
      <c r="E332" s="17" t="inlineStr">
        <is>
          <t>Sales Rep</t>
        </is>
      </c>
      <c r="F332" s="17" t="inlineStr">
        <is>
          <t>Paul Deady</t>
        </is>
      </c>
      <c r="G332" s="17" t="inlineStr">
        <is>
          <t>11003</t>
        </is>
      </c>
      <c r="H332" s="17" t="inlineStr">
        <is>
          <t>LINCOLN PARK FINE WINES &amp; SPIRITS</t>
        </is>
      </c>
      <c r="I332" s="17" t="inlineStr">
        <is>
          <t>LINCOLN PARK</t>
        </is>
      </c>
      <c r="J332" s="17" t="inlineStr">
        <is>
          <t>Boston Beer</t>
        </is>
      </c>
      <c r="K332" s="25" t="n">
        <v>3</v>
      </c>
      <c r="L332" s="17" t="inlineStr">
        <is>
          <t>Silver (40-69)</t>
        </is>
      </c>
      <c r="M332" s="18" t="n">
        <v>40</v>
      </c>
      <c r="N332" s="18" t="n">
        <v>40</v>
      </c>
      <c r="O332" s="17" t="inlineStr">
        <is>
          <t>Priority</t>
        </is>
      </c>
      <c r="P332" s="18" t="n">
        <v>500</v>
      </c>
      <c r="Q332" s="17" t="inlineStr">
        <is>
          <t>Yes</t>
        </is>
      </c>
      <c r="R332" s="17" t="inlineStr">
        <is>
          <t>SAM ADAMS SEASONAL</t>
        </is>
      </c>
      <c r="S332" s="17" t="inlineStr">
        <is>
          <t>SAM ADAMS SEASONAL, SAMUEL ADAMS</t>
        </is>
      </c>
      <c r="T332" s="17" t="inlineStr">
        <is>
          <t>BOSTON BEER COMPANY</t>
        </is>
      </c>
      <c r="U332" s="25" t="n">
        <v>5</v>
      </c>
      <c r="V332" s="17" t="inlineStr">
        <is>
          <t>No</t>
        </is>
      </c>
      <c r="W332" s="17" t="inlineStr">
        <is>
          <t>Boston Beer (40)</t>
        </is>
      </c>
      <c r="X332" s="17" t="inlineStr">
        <is>
          <t>—</t>
        </is>
      </c>
      <c r="Y332" s="19" t="inlineStr">
        <is>
          <t>View Photo</t>
        </is>
      </c>
    </row>
    <row r="333">
      <c r="A333" s="17" t="inlineStr">
        <is>
          <t>D0332</t>
        </is>
      </c>
      <c r="B333" s="17" t="inlineStr">
        <is>
          <t>07/07/2026</t>
        </is>
      </c>
      <c r="C333" s="17" t="inlineStr">
        <is>
          <t>07/07/2026 01:52 PM</t>
        </is>
      </c>
      <c r="D333" s="17" t="inlineStr">
        <is>
          <t>Chris Payton</t>
        </is>
      </c>
      <c r="E333" s="17" t="inlineStr">
        <is>
          <t>Sales Rep</t>
        </is>
      </c>
      <c r="F333" s="17" t="inlineStr">
        <is>
          <t>Michael Engel</t>
        </is>
      </c>
      <c r="G333" s="17" t="inlineStr">
        <is>
          <t>38008</t>
        </is>
      </c>
      <c r="H333" s="17" t="inlineStr">
        <is>
          <t>SHOP RITE LIQ.(A)LODI</t>
        </is>
      </c>
      <c r="I333" s="17" t="inlineStr">
        <is>
          <t>LODI</t>
        </is>
      </c>
      <c r="J333" s="17" t="inlineStr">
        <is>
          <t>Constellation</t>
        </is>
      </c>
      <c r="K333" s="25" t="n">
        <v>3</v>
      </c>
      <c r="L333" s="17" t="inlineStr">
        <is>
          <t>Silver (40-69)</t>
        </is>
      </c>
      <c r="M333" s="18" t="n">
        <v>40</v>
      </c>
      <c r="N333" s="18" t="n">
        <v>40</v>
      </c>
      <c r="O333" s="17" t="inlineStr">
        <is>
          <t>Priority</t>
        </is>
      </c>
      <c r="P333" s="18" t="n">
        <v>500</v>
      </c>
      <c r="Q333" s="17" t="inlineStr">
        <is>
          <t>Yes</t>
        </is>
      </c>
      <c r="R333" s="17" t="inlineStr">
        <is>
          <t>CORONA</t>
        </is>
      </c>
      <c r="S333" s="17" t="inlineStr">
        <is>
          <t>CORONA, CORONA EXTRA</t>
        </is>
      </c>
      <c r="T333" s="17" t="inlineStr">
        <is>
          <t>CONSTELLATION BRANDS</t>
        </is>
      </c>
      <c r="U333" s="25" t="n">
        <v>3</v>
      </c>
      <c r="V333" s="17" t="inlineStr">
        <is>
          <t>No</t>
        </is>
      </c>
      <c r="W333" s="17" t="inlineStr">
        <is>
          <t>Constellation (40)</t>
        </is>
      </c>
      <c r="X333" s="17" t="inlineStr">
        <is>
          <t>—</t>
        </is>
      </c>
      <c r="Y333" s="19" t="inlineStr">
        <is>
          <t>View Photo</t>
        </is>
      </c>
    </row>
    <row r="334">
      <c r="A334" s="17" t="inlineStr">
        <is>
          <t>D0333</t>
        </is>
      </c>
      <c r="B334" s="17" t="inlineStr">
        <is>
          <t>07/07/2026</t>
        </is>
      </c>
      <c r="C334" s="17" t="inlineStr">
        <is>
          <t>07/07/2026 12:37 PM</t>
        </is>
      </c>
      <c r="D334" s="17" t="inlineStr">
        <is>
          <t>Mike Ast</t>
        </is>
      </c>
      <c r="E334" s="17" t="inlineStr">
        <is>
          <t>Sales Rep</t>
        </is>
      </c>
      <c r="F334" s="17" t="inlineStr">
        <is>
          <t>Paul Deady</t>
        </is>
      </c>
      <c r="G334" s="17" t="inlineStr">
        <is>
          <t>94001</t>
        </is>
      </c>
      <c r="H334" s="17" t="inlineStr">
        <is>
          <t>LONG HILL LIQUORS (A)</t>
        </is>
      </c>
      <c r="I334" s="17" t="inlineStr">
        <is>
          <t>OAKLAND</t>
        </is>
      </c>
      <c r="J334" s="17" t="inlineStr">
        <is>
          <t>Boston Beer</t>
        </is>
      </c>
      <c r="K334" s="25" t="n">
        <v>3</v>
      </c>
      <c r="L334" s="17" t="inlineStr">
        <is>
          <t>Silver (40-69)</t>
        </is>
      </c>
      <c r="M334" s="18" t="n">
        <v>40</v>
      </c>
      <c r="N334" s="18" t="n">
        <v>40</v>
      </c>
      <c r="O334" s="17" t="inlineStr">
        <is>
          <t>Priority</t>
        </is>
      </c>
      <c r="P334" s="18" t="n">
        <v>500</v>
      </c>
      <c r="Q334" s="17" t="inlineStr">
        <is>
          <t>Yes</t>
        </is>
      </c>
      <c r="R334" s="17" t="inlineStr">
        <is>
          <t>SAM ADAMS SEASONAL</t>
        </is>
      </c>
      <c r="S334" s="17" t="inlineStr">
        <is>
          <t>SAM ADAMS SEASONAL, SAMUEL ADAMS</t>
        </is>
      </c>
      <c r="T334" s="17" t="inlineStr">
        <is>
          <t>BOSTON BEER COMPANY</t>
        </is>
      </c>
      <c r="U334" s="25" t="n">
        <v>3</v>
      </c>
      <c r="V334" s="17" t="inlineStr">
        <is>
          <t>No</t>
        </is>
      </c>
      <c r="W334" s="17" t="inlineStr">
        <is>
          <t>Boston Beer (40)</t>
        </is>
      </c>
      <c r="X334" s="17" t="inlineStr">
        <is>
          <t>—</t>
        </is>
      </c>
      <c r="Y334" s="19" t="inlineStr">
        <is>
          <t>View Photo</t>
        </is>
      </c>
    </row>
    <row r="335">
      <c r="A335" s="17" t="inlineStr">
        <is>
          <t>D0334</t>
        </is>
      </c>
      <c r="B335" s="17" t="inlineStr">
        <is>
          <t>07/13/2026</t>
        </is>
      </c>
      <c r="C335" s="17" t="inlineStr">
        <is>
          <t>07/13/2026 09:21 AM</t>
        </is>
      </c>
      <c r="D335" s="17" t="inlineStr">
        <is>
          <t>Shane Barreca</t>
        </is>
      </c>
      <c r="E335" s="17" t="inlineStr">
        <is>
          <t>Sales Rep</t>
        </is>
      </c>
      <c r="F335" s="17" t="inlineStr">
        <is>
          <t>Paul Deady</t>
        </is>
      </c>
      <c r="G335" s="17" t="inlineStr">
        <is>
          <t>75002</t>
        </is>
      </c>
      <c r="H335" s="17" t="inlineStr">
        <is>
          <t>SHOP RITE LIQ (A)EMERSON</t>
        </is>
      </c>
      <c r="I335" s="17" t="inlineStr">
        <is>
          <t>EMERSON</t>
        </is>
      </c>
      <c r="J335" s="17" t="inlineStr">
        <is>
          <t>Constellation</t>
        </is>
      </c>
      <c r="K335" s="25" t="n">
        <v>3</v>
      </c>
      <c r="L335" s="17" t="inlineStr">
        <is>
          <t>Silver (40-69)</t>
        </is>
      </c>
      <c r="M335" s="18" t="n">
        <v>40</v>
      </c>
      <c r="N335" s="18" t="n">
        <v>40</v>
      </c>
      <c r="O335" s="17" t="inlineStr">
        <is>
          <t>Priority</t>
        </is>
      </c>
      <c r="P335" s="18" t="n">
        <v>500</v>
      </c>
      <c r="Q335" s="17" t="inlineStr">
        <is>
          <t>Yes</t>
        </is>
      </c>
      <c r="R335" s="17" t="inlineStr">
        <is>
          <t>CORONA EXTRA</t>
        </is>
      </c>
      <c r="S335" s="17" t="inlineStr">
        <is>
          <t>CORONA, CORONA EXTRA</t>
        </is>
      </c>
      <c r="T335" s="17" t="inlineStr">
        <is>
          <t>CONSTELLATION BRANDS</t>
        </is>
      </c>
      <c r="U335" s="25" t="n">
        <v>4</v>
      </c>
      <c r="V335" s="17" t="inlineStr">
        <is>
          <t>No</t>
        </is>
      </c>
      <c r="W335" s="17" t="inlineStr">
        <is>
          <t>Constellation (40)</t>
        </is>
      </c>
      <c r="X335" s="17" t="inlineStr">
        <is>
          <t>—</t>
        </is>
      </c>
      <c r="Y335" s="19" t="inlineStr">
        <is>
          <t>View Photo</t>
        </is>
      </c>
    </row>
    <row r="336">
      <c r="A336" s="17" t="inlineStr">
        <is>
          <t>D0335</t>
        </is>
      </c>
      <c r="B336" s="17" t="inlineStr">
        <is>
          <t>07/15/2026</t>
        </is>
      </c>
      <c r="C336" s="17" t="inlineStr">
        <is>
          <t>07/15/2026 01:40 PM</t>
        </is>
      </c>
      <c r="D336" s="17" t="inlineStr">
        <is>
          <t>John Neukum</t>
        </is>
      </c>
      <c r="E336" s="17" t="inlineStr">
        <is>
          <t>Sales Rep</t>
        </is>
      </c>
      <c r="F336" s="17" t="inlineStr">
        <is>
          <t>Michael Engel</t>
        </is>
      </c>
      <c r="G336" s="17" t="inlineStr">
        <is>
          <t>31019</t>
        </is>
      </c>
      <c r="H336" s="17" t="inlineStr">
        <is>
          <t>BJ'S WAREHOUSE E RUTHERFO</t>
        </is>
      </c>
      <c r="I336" s="17" t="inlineStr">
        <is>
          <t>EAST RUTHERFORD</t>
        </is>
      </c>
      <c r="J336" s="17" t="inlineStr">
        <is>
          <t>Constellation</t>
        </is>
      </c>
      <c r="K336" s="25" t="n">
        <v>3</v>
      </c>
      <c r="L336" s="17" t="inlineStr">
        <is>
          <t>Silver (40-69)</t>
        </is>
      </c>
      <c r="M336" s="18" t="n">
        <v>40</v>
      </c>
      <c r="N336" s="18" t="n">
        <v>40</v>
      </c>
      <c r="O336" s="17" t="inlineStr">
        <is>
          <t>Priority</t>
        </is>
      </c>
      <c r="P336" s="18" t="n">
        <v>500</v>
      </c>
      <c r="Q336" s="17" t="inlineStr">
        <is>
          <t>Yes</t>
        </is>
      </c>
      <c r="R336" s="17" t="inlineStr">
        <is>
          <t>CERVEZA VICTORIA</t>
        </is>
      </c>
      <c r="S336" s="17" t="inlineStr">
        <is>
          <t>CERVEZA VICTORIA</t>
        </is>
      </c>
      <c r="T336" s="17" t="inlineStr">
        <is>
          <t>CONSTELLATION BRANDS</t>
        </is>
      </c>
      <c r="U336" s="25" t="n">
        <v>1</v>
      </c>
      <c r="V336" s="17" t="inlineStr">
        <is>
          <t>No</t>
        </is>
      </c>
      <c r="W336" s="17" t="inlineStr">
        <is>
          <t>Constellation (40)</t>
        </is>
      </c>
      <c r="X336" s="17" t="inlineStr">
        <is>
          <t>—</t>
        </is>
      </c>
      <c r="Y336" s="19" t="inlineStr">
        <is>
          <t>View Photo</t>
        </is>
      </c>
    </row>
    <row r="337">
      <c r="A337" s="17" t="inlineStr">
        <is>
          <t>D0336</t>
        </is>
      </c>
      <c r="B337" s="17" t="inlineStr">
        <is>
          <t>07/21/2026</t>
        </is>
      </c>
      <c r="C337" s="17" t="inlineStr">
        <is>
          <t>07/21/2026 10:11 AM</t>
        </is>
      </c>
      <c r="D337" s="17" t="inlineStr">
        <is>
          <t>Nicholas Micco</t>
        </is>
      </c>
      <c r="E337" s="17" t="inlineStr">
        <is>
          <t>Sales Associate</t>
        </is>
      </c>
      <c r="F337" s="17" t="inlineStr">
        <is>
          <t>Michael Engel</t>
        </is>
      </c>
      <c r="G337" s="17" t="inlineStr">
        <is>
          <t>83010</t>
        </is>
      </c>
      <c r="H337" s="17" t="inlineStr">
        <is>
          <t>BOTTLE KING (A) GLEN ROCK</t>
        </is>
      </c>
      <c r="I337" s="17" t="inlineStr">
        <is>
          <t>GLEN ROCK</t>
        </is>
      </c>
      <c r="J337" s="17" t="inlineStr">
        <is>
          <t>Boston Beer</t>
        </is>
      </c>
      <c r="K337" s="25" t="n">
        <v>3</v>
      </c>
      <c r="L337" s="17" t="inlineStr">
        <is>
          <t>Silver (40-69)</t>
        </is>
      </c>
      <c r="M337" s="18" t="n">
        <v>40</v>
      </c>
      <c r="N337" s="18" t="n">
        <v>40</v>
      </c>
      <c r="O337" s="17" t="inlineStr">
        <is>
          <t>Priority</t>
        </is>
      </c>
      <c r="P337" s="18" t="n">
        <v>500</v>
      </c>
      <c r="Q337" s="17" t="inlineStr">
        <is>
          <t>Yes</t>
        </is>
      </c>
      <c r="R337" s="17" t="inlineStr">
        <is>
          <t>SUN CRUISER ICED TEA VODKA</t>
        </is>
      </c>
      <c r="S337" s="17" t="inlineStr">
        <is>
          <t>SUN CRUISER ICED TEA VODKA, SUN CRUISER LEMONADE</t>
        </is>
      </c>
      <c r="T337" s="17" t="inlineStr">
        <is>
          <t>BOSTON BEER COMPANY</t>
        </is>
      </c>
      <c r="U337" s="25" t="n">
        <v>2</v>
      </c>
      <c r="V337" s="17" t="inlineStr">
        <is>
          <t>No</t>
        </is>
      </c>
      <c r="W337" s="17" t="inlineStr">
        <is>
          <t>Boston Beer (40)</t>
        </is>
      </c>
      <c r="X337" s="17" t="inlineStr">
        <is>
          <t>—</t>
        </is>
      </c>
      <c r="Y337" s="19" t="inlineStr">
        <is>
          <t>View Photo</t>
        </is>
      </c>
    </row>
    <row r="338">
      <c r="A338" s="17" t="inlineStr">
        <is>
          <t>D0337</t>
        </is>
      </c>
      <c r="B338" s="17" t="inlineStr">
        <is>
          <t>07/21/2026</t>
        </is>
      </c>
      <c r="C338" s="17" t="inlineStr">
        <is>
          <t>07/21/2026 10:11 AM</t>
        </is>
      </c>
      <c r="D338" s="17" t="inlineStr">
        <is>
          <t>mickey obrien</t>
        </is>
      </c>
      <c r="E338" s="17" t="inlineStr">
        <is>
          <t>Sales Associate</t>
        </is>
      </c>
      <c r="F338" s="17" t="inlineStr">
        <is>
          <t>Michael Engel</t>
        </is>
      </c>
      <c r="G338" s="17" t="inlineStr">
        <is>
          <t>83010</t>
        </is>
      </c>
      <c r="H338" s="17" t="inlineStr">
        <is>
          <t>BOTTLE KING (A) GLEN ROCK</t>
        </is>
      </c>
      <c r="I338" s="17" t="inlineStr">
        <is>
          <t>GLEN ROCK</t>
        </is>
      </c>
      <c r="J338" s="17" t="inlineStr">
        <is>
          <t>Boston Beer</t>
        </is>
      </c>
      <c r="K338" s="25" t="n">
        <v>3</v>
      </c>
      <c r="L338" s="17" t="inlineStr">
        <is>
          <t>Silver (40-69)</t>
        </is>
      </c>
      <c r="M338" s="18" t="n">
        <v>40</v>
      </c>
      <c r="N338" s="18" t="n">
        <v>40</v>
      </c>
      <c r="O338" s="17" t="inlineStr">
        <is>
          <t>Priority</t>
        </is>
      </c>
      <c r="P338" s="18" t="n">
        <v>500</v>
      </c>
      <c r="Q338" s="17" t="inlineStr">
        <is>
          <t>Yes</t>
        </is>
      </c>
      <c r="R338" s="17" t="inlineStr">
        <is>
          <t>SUN CRUISER ICED TEA VODKA</t>
        </is>
      </c>
      <c r="S338" s="17" t="inlineStr">
        <is>
          <t>SUN CRUISER ICED TEA VODKA</t>
        </is>
      </c>
      <c r="T338" s="17" t="inlineStr">
        <is>
          <t>BOSTON BEER COMPANY</t>
        </is>
      </c>
      <c r="U338" s="25" t="n">
        <v>2</v>
      </c>
      <c r="V338" s="17" t="inlineStr">
        <is>
          <t>No</t>
        </is>
      </c>
      <c r="W338" s="17" t="inlineStr">
        <is>
          <t>Boston Beer (40)</t>
        </is>
      </c>
      <c r="X338" s="17" t="inlineStr">
        <is>
          <t>—</t>
        </is>
      </c>
      <c r="Y338" s="19" t="inlineStr">
        <is>
          <t>View Photo</t>
        </is>
      </c>
    </row>
    <row r="339">
      <c r="A339" s="17" t="inlineStr">
        <is>
          <t>D0338</t>
        </is>
      </c>
      <c r="B339" s="17" t="inlineStr">
        <is>
          <t>07/21/2026</t>
        </is>
      </c>
      <c r="C339" s="17" t="inlineStr">
        <is>
          <t>07/21/2026 11:24 AM</t>
        </is>
      </c>
      <c r="D339" s="17" t="inlineStr">
        <is>
          <t>Matthew Powierski</t>
        </is>
      </c>
      <c r="E339" s="17" t="inlineStr">
        <is>
          <t>Sales Rep</t>
        </is>
      </c>
      <c r="F339" s="17" t="inlineStr">
        <is>
          <t>Denise Montes</t>
        </is>
      </c>
      <c r="G339" s="17" t="inlineStr">
        <is>
          <t>77009</t>
        </is>
      </c>
      <c r="H339" s="17" t="inlineStr">
        <is>
          <t>M &amp; M WINE &amp; SPIRITS</t>
        </is>
      </c>
      <c r="I339" s="17" t="inlineStr">
        <is>
          <t>ELMWOOD PARK</t>
        </is>
      </c>
      <c r="J339" s="17" t="inlineStr">
        <is>
          <t>Constellation</t>
        </is>
      </c>
      <c r="K339" s="25" t="n">
        <v>3</v>
      </c>
      <c r="L339" s="17" t="inlineStr">
        <is>
          <t>Silver (40-69)</t>
        </is>
      </c>
      <c r="M339" s="18" t="n">
        <v>40</v>
      </c>
      <c r="N339" s="18" t="n">
        <v>40</v>
      </c>
      <c r="O339" s="17" t="inlineStr">
        <is>
          <t>Priority</t>
        </is>
      </c>
      <c r="P339" s="18" t="n">
        <v>500</v>
      </c>
      <c r="Q339" s="17" t="inlineStr">
        <is>
          <t>Yes</t>
        </is>
      </c>
      <c r="R339" s="17" t="inlineStr">
        <is>
          <t>MODELO CERVEZA</t>
        </is>
      </c>
      <c r="S339" s="17" t="inlineStr">
        <is>
          <t>MODELO CERVEZA</t>
        </is>
      </c>
      <c r="T339" s="17" t="inlineStr">
        <is>
          <t>CONSTELLATION BRANDS</t>
        </is>
      </c>
      <c r="U339" s="25" t="n">
        <v>1</v>
      </c>
      <c r="V339" s="17" t="inlineStr">
        <is>
          <t>No</t>
        </is>
      </c>
      <c r="W339" s="17" t="inlineStr">
        <is>
          <t>Constellation (40)</t>
        </is>
      </c>
      <c r="X339" s="17" t="inlineStr">
        <is>
          <t>—</t>
        </is>
      </c>
      <c r="Y339" s="19" t="inlineStr">
        <is>
          <t>View Photo</t>
        </is>
      </c>
    </row>
    <row r="340">
      <c r="A340" s="17" t="inlineStr">
        <is>
          <t>D0339</t>
        </is>
      </c>
      <c r="B340" s="17" t="inlineStr">
        <is>
          <t>07/22/2026</t>
        </is>
      </c>
      <c r="C340" s="17" t="inlineStr">
        <is>
          <t>07/22/2026 03:08 PM</t>
        </is>
      </c>
      <c r="D340" s="17" t="inlineStr">
        <is>
          <t>Mike Ast</t>
        </is>
      </c>
      <c r="E340" s="17" t="inlineStr">
        <is>
          <t>Sales Rep</t>
        </is>
      </c>
      <c r="F340" s="17" t="inlineStr">
        <is>
          <t>Paul Deady</t>
        </is>
      </c>
      <c r="G340" s="17" t="inlineStr">
        <is>
          <t>12011</t>
        </is>
      </c>
      <c r="H340" s="17" t="inlineStr">
        <is>
          <t>BOTTLE KING (A) WAYNE</t>
        </is>
      </c>
      <c r="I340" s="17" t="inlineStr">
        <is>
          <t>WAYNE</t>
        </is>
      </c>
      <c r="J340" s="17" t="inlineStr">
        <is>
          <t>Constellation</t>
        </is>
      </c>
      <c r="K340" s="25" t="n">
        <v>3</v>
      </c>
      <c r="L340" s="17" t="inlineStr">
        <is>
          <t>Silver (40-69)</t>
        </is>
      </c>
      <c r="M340" s="18" t="n">
        <v>40</v>
      </c>
      <c r="N340" s="18" t="n">
        <v>40</v>
      </c>
      <c r="O340" s="17" t="inlineStr">
        <is>
          <t>Priority</t>
        </is>
      </c>
      <c r="P340" s="18" t="n">
        <v>500</v>
      </c>
      <c r="Q340" s="17" t="inlineStr">
        <is>
          <t>Yes</t>
        </is>
      </c>
      <c r="R340" s="17" t="inlineStr">
        <is>
          <t>CORONA</t>
        </is>
      </c>
      <c r="S340" s="17" t="inlineStr">
        <is>
          <t>CORONA, CORONA EXTRA</t>
        </is>
      </c>
      <c r="T340" s="17" t="inlineStr">
        <is>
          <t>CONSTELLATION BRANDS</t>
        </is>
      </c>
      <c r="U340" s="25" t="n">
        <v>3</v>
      </c>
      <c r="V340" s="17" t="inlineStr">
        <is>
          <t>No</t>
        </is>
      </c>
      <c r="W340" s="17" t="inlineStr">
        <is>
          <t>Constellation (40)</t>
        </is>
      </c>
      <c r="X340" s="17" t="inlineStr">
        <is>
          <t>—</t>
        </is>
      </c>
      <c r="Y340" s="19" t="inlineStr">
        <is>
          <t>View Photo</t>
        </is>
      </c>
    </row>
    <row r="341">
      <c r="A341" s="17" t="inlineStr">
        <is>
          <t>D0340</t>
        </is>
      </c>
      <c r="B341" s="17" t="inlineStr">
        <is>
          <t>07/30/2026</t>
        </is>
      </c>
      <c r="C341" s="17" t="inlineStr">
        <is>
          <t>07/30/2026 01:10 PM</t>
        </is>
      </c>
      <c r="D341" s="17" t="inlineStr">
        <is>
          <t>Derrick laws</t>
        </is>
      </c>
      <c r="E341" s="17" t="inlineStr">
        <is>
          <t>Sales Rep</t>
        </is>
      </c>
      <c r="F341" s="17" t="inlineStr">
        <is>
          <t>Denise Montes</t>
        </is>
      </c>
      <c r="G341" s="17" t="inlineStr">
        <is>
          <t>23004</t>
        </is>
      </c>
      <c r="H341" s="17" t="inlineStr">
        <is>
          <t>SHOP RITE WINES/SPIRITS</t>
        </is>
      </c>
      <c r="I341" s="17" t="inlineStr">
        <is>
          <t>CLIFTON</t>
        </is>
      </c>
      <c r="J341" s="17" t="inlineStr">
        <is>
          <t>Constellation</t>
        </is>
      </c>
      <c r="K341" s="25" t="n">
        <v>3</v>
      </c>
      <c r="L341" s="17" t="inlineStr">
        <is>
          <t>Silver (40-69)</t>
        </is>
      </c>
      <c r="M341" s="18" t="n">
        <v>40</v>
      </c>
      <c r="N341" s="18" t="n">
        <v>40</v>
      </c>
      <c r="O341" s="17" t="inlineStr">
        <is>
          <t>Priority</t>
        </is>
      </c>
      <c r="P341" s="18" t="n">
        <v>500</v>
      </c>
      <c r="Q341" s="17" t="inlineStr">
        <is>
          <t>Yes</t>
        </is>
      </c>
      <c r="R341" s="17" t="inlineStr">
        <is>
          <t>MODELO ORO</t>
        </is>
      </c>
      <c r="S341" s="17" t="inlineStr">
        <is>
          <t>MODELO ORO</t>
        </is>
      </c>
      <c r="T341" s="17" t="inlineStr">
        <is>
          <t>CONSTELLATION BRANDS</t>
        </is>
      </c>
      <c r="U341" s="25" t="n">
        <v>1</v>
      </c>
      <c r="V341" s="17" t="inlineStr">
        <is>
          <t>No</t>
        </is>
      </c>
      <c r="W341" s="17" t="inlineStr">
        <is>
          <t>Constellation (40)</t>
        </is>
      </c>
      <c r="X341" s="17" t="inlineStr">
        <is>
          <t>—</t>
        </is>
      </c>
      <c r="Y341" s="19" t="inlineStr">
        <is>
          <t>View Photo</t>
        </is>
      </c>
    </row>
    <row r="342">
      <c r="A342" s="17" t="inlineStr">
        <is>
          <t>D0341</t>
        </is>
      </c>
      <c r="B342" s="17" t="inlineStr">
        <is>
          <t>07/30/2026</t>
        </is>
      </c>
      <c r="C342" s="17" t="inlineStr">
        <is>
          <t>07/30/2026 10:51 AM</t>
        </is>
      </c>
      <c r="D342" s="17" t="inlineStr">
        <is>
          <t>Matthew Powierski</t>
        </is>
      </c>
      <c r="E342" s="17" t="inlineStr">
        <is>
          <t>Sales Rep</t>
        </is>
      </c>
      <c r="F342" s="17" t="inlineStr">
        <is>
          <t>Denise Montes</t>
        </is>
      </c>
      <c r="G342" s="17" t="inlineStr">
        <is>
          <t>31060</t>
        </is>
      </c>
      <c r="H342" s="17" t="inlineStr">
        <is>
          <t>BOTTLE REPUBLIC (RUTHERFORD)</t>
        </is>
      </c>
      <c r="I342" s="17" t="inlineStr">
        <is>
          <t>RUTHERFORD</t>
        </is>
      </c>
      <c r="J342" s="17" t="inlineStr">
        <is>
          <t>Molson Coors</t>
        </is>
      </c>
      <c r="K342" s="25" t="n">
        <v>3</v>
      </c>
      <c r="L342" s="17" t="inlineStr">
        <is>
          <t>Silver (40-69)</t>
        </is>
      </c>
      <c r="M342" s="18" t="n">
        <v>40</v>
      </c>
      <c r="N342" s="18" t="n">
        <v>40</v>
      </c>
      <c r="O342" s="17" t="inlineStr">
        <is>
          <t>Priority</t>
        </is>
      </c>
      <c r="P342" s="18" t="n">
        <v>500</v>
      </c>
      <c r="Q342" s="17" t="inlineStr">
        <is>
          <t>Yes</t>
        </is>
      </c>
      <c r="R342" s="17" t="inlineStr">
        <is>
          <t>MILLER LITE</t>
        </is>
      </c>
      <c r="S342" s="17" t="inlineStr">
        <is>
          <t>MILLER LITE</t>
        </is>
      </c>
      <c r="T342" s="17" t="inlineStr">
        <is>
          <t>MOLSON COORS BEVERAGE COMPANY</t>
        </is>
      </c>
      <c r="U342" s="25" t="n">
        <v>1</v>
      </c>
      <c r="V342" s="17" t="inlineStr">
        <is>
          <t>No</t>
        </is>
      </c>
      <c r="W342" s="17" t="inlineStr">
        <is>
          <t>Molson Coors (40)</t>
        </is>
      </c>
      <c r="X342" s="17" t="inlineStr">
        <is>
          <t>—</t>
        </is>
      </c>
      <c r="Y342" s="19" t="inlineStr">
        <is>
          <t>View Photo</t>
        </is>
      </c>
    </row>
    <row r="343">
      <c r="A343" s="17" t="inlineStr">
        <is>
          <t>D0342</t>
        </is>
      </c>
      <c r="B343" s="17" t="inlineStr">
        <is>
          <t>08/03/2026</t>
        </is>
      </c>
      <c r="C343" s="17" t="inlineStr">
        <is>
          <t>08/03/2026 11:28 AM</t>
        </is>
      </c>
      <c r="D343" s="17" t="inlineStr">
        <is>
          <t>Chris Payton</t>
        </is>
      </c>
      <c r="E343" s="17" t="inlineStr">
        <is>
          <t>Sales Rep</t>
        </is>
      </c>
      <c r="F343" s="17" t="inlineStr">
        <is>
          <t>Michael Engel</t>
        </is>
      </c>
      <c r="G343" s="17" t="inlineStr">
        <is>
          <t>38021</t>
        </is>
      </c>
      <c r="H343" s="17" t="inlineStr">
        <is>
          <t>BUY RITE OF MAIN ST LODI</t>
        </is>
      </c>
      <c r="I343" s="17" t="inlineStr">
        <is>
          <t>LODI</t>
        </is>
      </c>
      <c r="J343" s="17" t="inlineStr">
        <is>
          <t>Constellation</t>
        </is>
      </c>
      <c r="K343" s="25" t="n">
        <v>3</v>
      </c>
      <c r="L343" s="17" t="inlineStr">
        <is>
          <t>Silver (40-69)</t>
        </is>
      </c>
      <c r="M343" s="18" t="n">
        <v>40</v>
      </c>
      <c r="N343" s="18" t="n">
        <v>40</v>
      </c>
      <c r="O343" s="17" t="inlineStr">
        <is>
          <t>Priority</t>
        </is>
      </c>
      <c r="P343" s="18" t="n">
        <v>500</v>
      </c>
      <c r="Q343" s="17" t="inlineStr">
        <is>
          <t>Yes</t>
        </is>
      </c>
      <c r="R343" s="17" t="inlineStr">
        <is>
          <t>CORONA EXTRA</t>
        </is>
      </c>
      <c r="S343" s="17" t="inlineStr">
        <is>
          <t>CORONA EXTRA</t>
        </is>
      </c>
      <c r="T343" s="17" t="inlineStr">
        <is>
          <t>CONSTELLATION BRANDS</t>
        </is>
      </c>
      <c r="U343" s="25" t="n">
        <v>2</v>
      </c>
      <c r="V343" s="17" t="inlineStr">
        <is>
          <t>No</t>
        </is>
      </c>
      <c r="W343" s="17" t="inlineStr">
        <is>
          <t>Constellation (40)</t>
        </is>
      </c>
      <c r="X343" s="17" t="inlineStr">
        <is>
          <t>—</t>
        </is>
      </c>
      <c r="Y343" s="19" t="inlineStr">
        <is>
          <t>View Photo</t>
        </is>
      </c>
    </row>
    <row r="344">
      <c r="A344" s="17" t="inlineStr">
        <is>
          <t>D0343</t>
        </is>
      </c>
      <c r="B344" s="17" t="inlineStr">
        <is>
          <t>08/19/2026</t>
        </is>
      </c>
      <c r="C344" s="17" t="inlineStr">
        <is>
          <t>08/19/2026 11:05 AM</t>
        </is>
      </c>
      <c r="D344" s="17" t="inlineStr">
        <is>
          <t>patrick infante</t>
        </is>
      </c>
      <c r="E344" s="17" t="inlineStr">
        <is>
          <t>Sales Associate</t>
        </is>
      </c>
      <c r="F344" s="17" t="inlineStr">
        <is>
          <t>Denise Montes</t>
        </is>
      </c>
      <c r="G344" s="17" t="inlineStr">
        <is>
          <t>29011</t>
        </is>
      </c>
      <c r="H344" s="17" t="inlineStr">
        <is>
          <t>WORLD OF WINE &amp; LIQUOR</t>
        </is>
      </c>
      <c r="I344" s="17" t="inlineStr">
        <is>
          <t>LYNDHURST</t>
        </is>
      </c>
      <c r="J344" s="17" t="inlineStr">
        <is>
          <t>Constellation</t>
        </is>
      </c>
      <c r="K344" s="25" t="n">
        <v>3</v>
      </c>
      <c r="L344" s="17" t="inlineStr">
        <is>
          <t>Silver (40-69)</t>
        </is>
      </c>
      <c r="M344" s="18" t="n">
        <v>40</v>
      </c>
      <c r="N344" s="18" t="n">
        <v>40</v>
      </c>
      <c r="O344" s="17" t="inlineStr">
        <is>
          <t>Priority</t>
        </is>
      </c>
      <c r="P344" s="18" t="n">
        <v>500</v>
      </c>
      <c r="Q344" s="17" t="inlineStr">
        <is>
          <t>Yes</t>
        </is>
      </c>
      <c r="R344" s="17" t="inlineStr">
        <is>
          <t>CORONA EXTRA</t>
        </is>
      </c>
      <c r="S344" s="17" t="inlineStr">
        <is>
          <t>CORONA EXTRA</t>
        </is>
      </c>
      <c r="T344" s="17" t="inlineStr">
        <is>
          <t>CONSTELLATION BRANDS</t>
        </is>
      </c>
      <c r="U344" s="25" t="n">
        <v>1</v>
      </c>
      <c r="V344" s="17" t="inlineStr">
        <is>
          <t>No</t>
        </is>
      </c>
      <c r="W344" s="17" t="inlineStr">
        <is>
          <t>Constellation (40)</t>
        </is>
      </c>
      <c r="X344" s="17" t="inlineStr">
        <is>
          <t>—</t>
        </is>
      </c>
      <c r="Y344" s="19" t="inlineStr">
        <is>
          <t>View Photo</t>
        </is>
      </c>
    </row>
    <row r="345">
      <c r="A345" s="17" t="inlineStr">
        <is>
          <t>D0344</t>
        </is>
      </c>
      <c r="B345" s="17" t="inlineStr">
        <is>
          <t>08/21/2026</t>
        </is>
      </c>
      <c r="C345" s="17" t="inlineStr">
        <is>
          <t>08/21/2026 01:28 PM</t>
        </is>
      </c>
      <c r="D345" s="17" t="inlineStr">
        <is>
          <t>patrick infante</t>
        </is>
      </c>
      <c r="E345" s="17" t="inlineStr">
        <is>
          <t>Sales Associate</t>
        </is>
      </c>
      <c r="F345" s="17" t="inlineStr">
        <is>
          <t>Denise Montes</t>
        </is>
      </c>
      <c r="G345" s="17" t="inlineStr">
        <is>
          <t>23004</t>
        </is>
      </c>
      <c r="H345" s="17" t="inlineStr">
        <is>
          <t>SHOP RITE WINES/SPIRITS</t>
        </is>
      </c>
      <c r="I345" s="17" t="inlineStr">
        <is>
          <t>CLIFTON</t>
        </is>
      </c>
      <c r="J345" s="17" t="inlineStr">
        <is>
          <t>Molson Coors</t>
        </is>
      </c>
      <c r="K345" s="25" t="n">
        <v>3</v>
      </c>
      <c r="L345" s="17" t="inlineStr">
        <is>
          <t>Silver (40-69)</t>
        </is>
      </c>
      <c r="M345" s="18" t="n">
        <v>40</v>
      </c>
      <c r="N345" s="18" t="n">
        <v>40</v>
      </c>
      <c r="O345" s="17" t="inlineStr">
        <is>
          <t>Priority</t>
        </is>
      </c>
      <c r="P345" s="18" t="n">
        <v>500</v>
      </c>
      <c r="Q345" s="17" t="inlineStr">
        <is>
          <t>Yes</t>
        </is>
      </c>
      <c r="R345" s="17" t="inlineStr">
        <is>
          <t>MILLER LITE</t>
        </is>
      </c>
      <c r="S345" s="17" t="inlineStr">
        <is>
          <t>MILLER LITE</t>
        </is>
      </c>
      <c r="T345" s="17" t="inlineStr">
        <is>
          <t>MOLSON COORS BEVERAGE COMPANY</t>
        </is>
      </c>
      <c r="U345" s="25" t="n">
        <v>2</v>
      </c>
      <c r="V345" s="17" t="inlineStr">
        <is>
          <t>No</t>
        </is>
      </c>
      <c r="W345" s="17" t="inlineStr">
        <is>
          <t>Molson Coors (40)</t>
        </is>
      </c>
      <c r="X345" s="17" t="inlineStr">
        <is>
          <t>—</t>
        </is>
      </c>
      <c r="Y345" s="19" t="inlineStr">
        <is>
          <t>View Photo</t>
        </is>
      </c>
    </row>
    <row r="346">
      <c r="A346" s="17" t="inlineStr">
        <is>
          <t>D0345</t>
        </is>
      </c>
      <c r="B346" s="17" t="inlineStr">
        <is>
          <t>08/26/2026</t>
        </is>
      </c>
      <c r="C346" s="17" t="inlineStr">
        <is>
          <t>08/26/2026 03:51 PM</t>
        </is>
      </c>
      <c r="D346" s="17" t="inlineStr">
        <is>
          <t>Dave Ehlers</t>
        </is>
      </c>
      <c r="E346" s="17" t="inlineStr">
        <is>
          <t>Sales Rep</t>
        </is>
      </c>
      <c r="F346" s="17" t="inlineStr">
        <is>
          <t>Michael Engel</t>
        </is>
      </c>
      <c r="G346" s="17" t="inlineStr">
        <is>
          <t>40010</t>
        </is>
      </c>
      <c r="H346" s="17" t="inlineStr">
        <is>
          <t>HACKENSACK LIQUORS</t>
        </is>
      </c>
      <c r="I346" s="17" t="inlineStr">
        <is>
          <t>HACKENSACK</t>
        </is>
      </c>
      <c r="J346" s="17" t="inlineStr">
        <is>
          <t>Mark Anthony</t>
        </is>
      </c>
      <c r="K346" s="25" t="n">
        <v>3</v>
      </c>
      <c r="L346" s="17" t="inlineStr">
        <is>
          <t>Silver (40-69)</t>
        </is>
      </c>
      <c r="M346" s="18" t="n">
        <v>40</v>
      </c>
      <c r="N346" s="18" t="n">
        <v>40</v>
      </c>
      <c r="O346" s="17" t="inlineStr">
        <is>
          <t>Priority</t>
        </is>
      </c>
      <c r="P346" s="18" t="n">
        <v>500</v>
      </c>
      <c r="Q346" s="17" t="inlineStr">
        <is>
          <t>Yes</t>
        </is>
      </c>
      <c r="R346" s="17" t="inlineStr">
        <is>
          <t>WHITE CLAW ORIGINAL HARD SELTZER</t>
        </is>
      </c>
      <c r="S346" s="17" t="inlineStr">
        <is>
          <t>WHITE CLAW ORIGINAL HARD SELTZER</t>
        </is>
      </c>
      <c r="T346" s="17" t="inlineStr">
        <is>
          <t>MARK ANTHONY GROUP</t>
        </is>
      </c>
      <c r="U346" s="25" t="n">
        <v>2</v>
      </c>
      <c r="V346" s="17" t="inlineStr">
        <is>
          <t>No</t>
        </is>
      </c>
      <c r="W346" s="17" t="inlineStr">
        <is>
          <t>Mark Anthony (40)</t>
        </is>
      </c>
      <c r="X346" s="17" t="inlineStr">
        <is>
          <t>—</t>
        </is>
      </c>
      <c r="Y346" s="19" t="inlineStr">
        <is>
          <t>View Photo</t>
        </is>
      </c>
    </row>
    <row r="347">
      <c r="A347" s="17" t="inlineStr">
        <is>
          <t>D0346</t>
        </is>
      </c>
      <c r="B347" s="17" t="inlineStr">
        <is>
          <t>08/27/2026</t>
        </is>
      </c>
      <c r="C347" s="17" t="inlineStr">
        <is>
          <t>08/27/2026 01:06 PM</t>
        </is>
      </c>
      <c r="D347" s="17" t="inlineStr">
        <is>
          <t>patrick infante</t>
        </is>
      </c>
      <c r="E347" s="17" t="inlineStr">
        <is>
          <t>Sales Associate</t>
        </is>
      </c>
      <c r="F347" s="17" t="inlineStr">
        <is>
          <t>Denise Montes</t>
        </is>
      </c>
      <c r="G347" s="17" t="inlineStr">
        <is>
          <t>21026</t>
        </is>
      </c>
      <c r="H347" s="17" t="inlineStr">
        <is>
          <t>C TOWN SUPERMARKET(P)</t>
        </is>
      </c>
      <c r="I347" s="17" t="inlineStr">
        <is>
          <t>PATERSON</t>
        </is>
      </c>
      <c r="J347" s="17" t="inlineStr">
        <is>
          <t>Constellation</t>
        </is>
      </c>
      <c r="K347" s="25" t="n">
        <v>3</v>
      </c>
      <c r="L347" s="17" t="inlineStr">
        <is>
          <t>Silver (40-69)</t>
        </is>
      </c>
      <c r="M347" s="18" t="n">
        <v>40</v>
      </c>
      <c r="N347" s="18" t="n">
        <v>40</v>
      </c>
      <c r="O347" s="17" t="inlineStr">
        <is>
          <t>Priority</t>
        </is>
      </c>
      <c r="P347" s="18" t="n">
        <v>500</v>
      </c>
      <c r="Q347" s="17" t="inlineStr">
        <is>
          <t>Yes</t>
        </is>
      </c>
      <c r="R347" s="17" t="inlineStr">
        <is>
          <t>CORONA EXTRA</t>
        </is>
      </c>
      <c r="S347" s="17" t="inlineStr">
        <is>
          <t>CORONA EXTRA</t>
        </is>
      </c>
      <c r="T347" s="17" t="inlineStr">
        <is>
          <t>CONSTELLATION BRANDS</t>
        </is>
      </c>
      <c r="U347" s="25" t="n">
        <v>1</v>
      </c>
      <c r="V347" s="17" t="inlineStr">
        <is>
          <t>No</t>
        </is>
      </c>
      <c r="W347" s="17" t="inlineStr">
        <is>
          <t>Constellation (40)</t>
        </is>
      </c>
      <c r="X347" s="17" t="inlineStr">
        <is>
          <t>First of a repeat set</t>
        </is>
      </c>
      <c r="Y347" s="19" t="inlineStr">
        <is>
          <t>View Photo</t>
        </is>
      </c>
    </row>
    <row r="348">
      <c r="A348" s="17" t="inlineStr">
        <is>
          <t>D0347</t>
        </is>
      </c>
      <c r="B348" s="17" t="inlineStr">
        <is>
          <t>08/27/2026</t>
        </is>
      </c>
      <c r="C348" s="17" t="inlineStr">
        <is>
          <t>08/27/2026 01:07 PM</t>
        </is>
      </c>
      <c r="D348" s="17" t="inlineStr">
        <is>
          <t>Javier Melo</t>
        </is>
      </c>
      <c r="E348" s="17" t="inlineStr">
        <is>
          <t>Sales Rep</t>
        </is>
      </c>
      <c r="F348" s="17" t="inlineStr">
        <is>
          <t>Denise Montes</t>
        </is>
      </c>
      <c r="G348" s="17" t="inlineStr">
        <is>
          <t>21026</t>
        </is>
      </c>
      <c r="H348" s="17" t="inlineStr">
        <is>
          <t>C TOWN SUPERMARKET(P)</t>
        </is>
      </c>
      <c r="I348" s="17" t="inlineStr">
        <is>
          <t>PATERSON</t>
        </is>
      </c>
      <c r="J348" s="17" t="inlineStr">
        <is>
          <t>Constellation</t>
        </is>
      </c>
      <c r="K348" s="25" t="n">
        <v>3</v>
      </c>
      <c r="L348" s="17" t="inlineStr">
        <is>
          <t>Silver (40-69)</t>
        </is>
      </c>
      <c r="M348" s="18" t="n">
        <v>40</v>
      </c>
      <c r="N348" s="18" t="n">
        <v>40</v>
      </c>
      <c r="O348" s="17" t="inlineStr">
        <is>
          <t>Priority</t>
        </is>
      </c>
      <c r="P348" s="18" t="n">
        <v>500</v>
      </c>
      <c r="Q348" s="17" t="inlineStr">
        <is>
          <t>Yes</t>
        </is>
      </c>
      <c r="R348" s="17" t="inlineStr">
        <is>
          <t>CORONA EXTRA</t>
        </is>
      </c>
      <c r="S348" s="17" t="inlineStr">
        <is>
          <t>CORONA EXTRA</t>
        </is>
      </c>
      <c r="T348" s="17" t="inlineStr">
        <is>
          <t>CONSTELLATION BRANDS</t>
        </is>
      </c>
      <c r="U348" s="25" t="n">
        <v>1</v>
      </c>
      <c r="V348" s="17" t="inlineStr">
        <is>
          <t>No</t>
        </is>
      </c>
      <c r="W348" s="17" t="inlineStr">
        <is>
          <t>Constellation (40)</t>
        </is>
      </c>
      <c r="X348" s="26" t="inlineStr">
        <is>
          <t>Possible duplicate</t>
        </is>
      </c>
      <c r="Y348" s="19" t="inlineStr">
        <is>
          <t>View Photo</t>
        </is>
      </c>
    </row>
    <row r="349">
      <c r="A349" s="17" t="inlineStr">
        <is>
          <t>D0348</t>
        </is>
      </c>
      <c r="B349" s="17" t="inlineStr">
        <is>
          <t>07/15/2026</t>
        </is>
      </c>
      <c r="C349" s="17" t="inlineStr">
        <is>
          <t>07/15/2026 12:04 PM</t>
        </is>
      </c>
      <c r="D349" s="17" t="inlineStr">
        <is>
          <t>Shane Barreca</t>
        </is>
      </c>
      <c r="E349" s="17" t="inlineStr">
        <is>
          <t>Sales Rep</t>
        </is>
      </c>
      <c r="F349" s="17" t="inlineStr">
        <is>
          <t>Paul Deady</t>
        </is>
      </c>
      <c r="G349" s="17" t="inlineStr">
        <is>
          <t>92011</t>
        </is>
      </c>
      <c r="H349" s="17" t="inlineStr">
        <is>
          <t>BOTTLE KING (A) RAMSEY</t>
        </is>
      </c>
      <c r="I349" s="17" t="inlineStr">
        <is>
          <t>RAMSEY</t>
        </is>
      </c>
      <c r="J349" s="17" t="inlineStr">
        <is>
          <t>Constellation</t>
        </is>
      </c>
      <c r="K349" s="25" t="n">
        <v>2</v>
      </c>
      <c r="L349" s="17" t="inlineStr">
        <is>
          <t>Bronze (20-39)</t>
        </is>
      </c>
      <c r="M349" s="18" t="n">
        <v>39</v>
      </c>
      <c r="N349" s="18" t="n">
        <v>39</v>
      </c>
      <c r="O349" s="17" t="inlineStr">
        <is>
          <t>Priority</t>
        </is>
      </c>
      <c r="P349" s="18" t="n">
        <v>300</v>
      </c>
      <c r="Q349" s="17" t="inlineStr">
        <is>
          <t>Yes</t>
        </is>
      </c>
      <c r="R349" s="17" t="inlineStr">
        <is>
          <t>MODELO CERVEZA</t>
        </is>
      </c>
      <c r="S349" s="17" t="inlineStr">
        <is>
          <t>MODELO CERVEZA</t>
        </is>
      </c>
      <c r="T349" s="17" t="inlineStr">
        <is>
          <t>CONSTELLATION BRANDS</t>
        </is>
      </c>
      <c r="U349" s="25" t="n">
        <v>2</v>
      </c>
      <c r="V349" s="17" t="inlineStr">
        <is>
          <t>No</t>
        </is>
      </c>
      <c r="W349" s="17" t="inlineStr">
        <is>
          <t>Constellation (39)</t>
        </is>
      </c>
      <c r="X349" s="17" t="inlineStr">
        <is>
          <t>—</t>
        </is>
      </c>
      <c r="Y349" s="19" t="inlineStr">
        <is>
          <t>View Photo</t>
        </is>
      </c>
    </row>
    <row r="350">
      <c r="A350" s="17" t="inlineStr">
        <is>
          <t>D0349</t>
        </is>
      </c>
      <c r="B350" s="17" t="inlineStr">
        <is>
          <t>07/02/2026</t>
        </is>
      </c>
      <c r="C350" s="17" t="inlineStr">
        <is>
          <t>07/02/2026 02:27 PM</t>
        </is>
      </c>
      <c r="D350" s="17" t="inlineStr">
        <is>
          <t>phil Ernst</t>
        </is>
      </c>
      <c r="E350" s="17" t="inlineStr">
        <is>
          <t>Sales Rep</t>
        </is>
      </c>
      <c r="F350" s="17" t="inlineStr">
        <is>
          <t>Michael Engel</t>
        </is>
      </c>
      <c r="G350" s="17" t="inlineStr">
        <is>
          <t>20106</t>
        </is>
      </c>
      <c r="H350" s="17" t="inlineStr">
        <is>
          <t>SUPER WINE WAREHSE(P)PATE</t>
        </is>
      </c>
      <c r="I350" s="17" t="inlineStr">
        <is>
          <t>PATERSON</t>
        </is>
      </c>
      <c r="J350" s="17" t="inlineStr">
        <is>
          <t>Mark Anthony</t>
        </is>
      </c>
      <c r="K350" s="25" t="n">
        <v>2</v>
      </c>
      <c r="L350" s="17" t="inlineStr">
        <is>
          <t>Bronze (20-39)</t>
        </is>
      </c>
      <c r="M350" s="18" t="n">
        <v>38</v>
      </c>
      <c r="N350" s="18" t="n">
        <v>38</v>
      </c>
      <c r="O350" s="17" t="inlineStr">
        <is>
          <t>Priority</t>
        </is>
      </c>
      <c r="P350" s="18" t="n">
        <v>300</v>
      </c>
      <c r="Q350" s="17" t="inlineStr">
        <is>
          <t>Yes</t>
        </is>
      </c>
      <c r="R350" s="17" t="inlineStr">
        <is>
          <t>CAYMAN JACK</t>
        </is>
      </c>
      <c r="S350" s="17" t="inlineStr">
        <is>
          <t>CAYMAN JACK</t>
        </is>
      </c>
      <c r="T350" s="17" t="inlineStr">
        <is>
          <t>MARK ANTHONY GROUP</t>
        </is>
      </c>
      <c r="U350" s="25" t="n">
        <v>3</v>
      </c>
      <c r="V350" s="17" t="inlineStr">
        <is>
          <t>No</t>
        </is>
      </c>
      <c r="W350" s="17" t="inlineStr">
        <is>
          <t>Mark Anthony (38)</t>
        </is>
      </c>
      <c r="X350" s="17" t="inlineStr">
        <is>
          <t>—</t>
        </is>
      </c>
      <c r="Y350" s="19" t="inlineStr">
        <is>
          <t>View Photo</t>
        </is>
      </c>
    </row>
    <row r="351">
      <c r="A351" s="17" t="inlineStr">
        <is>
          <t>D0350</t>
        </is>
      </c>
      <c r="B351" s="17" t="inlineStr">
        <is>
          <t>07/21/2026</t>
        </is>
      </c>
      <c r="C351" s="17" t="inlineStr">
        <is>
          <t>07/21/2026 04:58 PM</t>
        </is>
      </c>
      <c r="D351" s="17" t="inlineStr">
        <is>
          <t>Dylan Rubino</t>
        </is>
      </c>
      <c r="E351" s="17" t="inlineStr">
        <is>
          <t>Sales Rep</t>
        </is>
      </c>
      <c r="F351" s="17" t="inlineStr">
        <is>
          <t>Mike Kennedy</t>
        </is>
      </c>
      <c r="G351" s="17" t="inlineStr">
        <is>
          <t>170031</t>
        </is>
      </c>
      <c r="H351" s="17" t="inlineStr">
        <is>
          <t>CITY LIQUORS</t>
        </is>
      </c>
      <c r="I351" s="17" t="inlineStr">
        <is>
          <t>JERSEY CITY</t>
        </is>
      </c>
      <c r="J351" s="17" t="inlineStr">
        <is>
          <t>All Other: TOTAL BEVERAGE SOLUTION</t>
        </is>
      </c>
      <c r="K351" s="25" t="n">
        <v>2</v>
      </c>
      <c r="L351" s="17" t="inlineStr">
        <is>
          <t>Bronze (20-39)</t>
        </is>
      </c>
      <c r="M351" s="18" t="n">
        <v>38</v>
      </c>
      <c r="N351" s="18" t="n">
        <v>38</v>
      </c>
      <c r="O351" s="17" t="inlineStr">
        <is>
          <t>All Other</t>
        </is>
      </c>
      <c r="P351" s="18" t="n">
        <v>200</v>
      </c>
      <c r="Q351" s="17" t="inlineStr">
        <is>
          <t>Yes</t>
        </is>
      </c>
      <c r="R351" s="17" t="inlineStr">
        <is>
          <t>CARIB BREWERY</t>
        </is>
      </c>
      <c r="S351" s="17" t="inlineStr">
        <is>
          <t>CARIB BREWERY</t>
        </is>
      </c>
      <c r="T351" s="17" t="inlineStr">
        <is>
          <t>TOTAL BEVERAGE SOLUTION</t>
        </is>
      </c>
      <c r="U351" s="25" t="n">
        <v>1</v>
      </c>
      <c r="V351" s="17" t="inlineStr">
        <is>
          <t>No</t>
        </is>
      </c>
      <c r="W351" s="17" t="inlineStr">
        <is>
          <t>All Other: TOTAL BEVERAGE SOLUTION (38)</t>
        </is>
      </c>
      <c r="X351" s="17" t="inlineStr">
        <is>
          <t>—</t>
        </is>
      </c>
      <c r="Y351" s="19" t="inlineStr">
        <is>
          <t>View Photo</t>
        </is>
      </c>
    </row>
    <row r="352">
      <c r="A352" s="17" t="inlineStr">
        <is>
          <t>D0351</t>
        </is>
      </c>
      <c r="B352" s="17" t="inlineStr">
        <is>
          <t>08/10/2026</t>
        </is>
      </c>
      <c r="C352" s="17" t="inlineStr">
        <is>
          <t>08/10/2026 12:24 PM</t>
        </is>
      </c>
      <c r="D352" s="17" t="inlineStr">
        <is>
          <t>Shane Barreca</t>
        </is>
      </c>
      <c r="E352" s="17" t="inlineStr">
        <is>
          <t>Sales Rep</t>
        </is>
      </c>
      <c r="F352" s="17" t="inlineStr">
        <is>
          <t>Paul Deady</t>
        </is>
      </c>
      <c r="G352" s="17" t="inlineStr">
        <is>
          <t>70001</t>
        </is>
      </c>
      <c r="H352" s="17" t="inlineStr">
        <is>
          <t>MONTVALE WINE/LIQ &amp; BEER</t>
        </is>
      </c>
      <c r="I352" s="17" t="inlineStr">
        <is>
          <t>MONTVALE</t>
        </is>
      </c>
      <c r="J352" s="17" t="inlineStr">
        <is>
          <t>All Other: PAULANER</t>
        </is>
      </c>
      <c r="K352" s="25" t="n">
        <v>2</v>
      </c>
      <c r="L352" s="17" t="inlineStr">
        <is>
          <t>Bronze (20-39)</t>
        </is>
      </c>
      <c r="M352" s="18" t="n">
        <v>38</v>
      </c>
      <c r="N352" s="18" t="n">
        <v>33</v>
      </c>
      <c r="O352" s="17" t="inlineStr">
        <is>
          <t>All Other</t>
        </is>
      </c>
      <c r="P352" s="18" t="n">
        <v>200</v>
      </c>
      <c r="Q352" s="17" t="inlineStr">
        <is>
          <t>Yes</t>
        </is>
      </c>
      <c r="R352" s="17" t="inlineStr">
        <is>
          <t>PAULANER</t>
        </is>
      </c>
      <c r="S352" s="17" t="inlineStr">
        <is>
          <t>HACKER-PSCHORR, HOFBRAU, PAULANER</t>
        </is>
      </c>
      <c r="T352" s="17" t="inlineStr">
        <is>
          <t>HOFBRAU, PAULANER</t>
        </is>
      </c>
      <c r="U352" s="25" t="n">
        <v>4</v>
      </c>
      <c r="V352" s="17" t="inlineStr">
        <is>
          <t>Yes</t>
        </is>
      </c>
      <c r="W352" s="17" t="inlineStr">
        <is>
          <t>All Other: PAULANER (33) + All Other: HOFBRAU (5)</t>
        </is>
      </c>
      <c r="X352" s="17" t="inlineStr">
        <is>
          <t>—</t>
        </is>
      </c>
      <c r="Y352" s="19" t="inlineStr">
        <is>
          <t>View Photo</t>
        </is>
      </c>
    </row>
    <row r="353">
      <c r="A353" s="17" t="inlineStr">
        <is>
          <t>D0352</t>
        </is>
      </c>
      <c r="B353" s="17" t="inlineStr">
        <is>
          <t>08/17/2026</t>
        </is>
      </c>
      <c r="C353" s="17" t="inlineStr">
        <is>
          <t>08/17/2026 02:33 PM</t>
        </is>
      </c>
      <c r="D353" s="17" t="inlineStr">
        <is>
          <t>Mike Ast</t>
        </is>
      </c>
      <c r="E353" s="17" t="inlineStr">
        <is>
          <t>Sales Rep</t>
        </is>
      </c>
      <c r="F353" s="17" t="inlineStr">
        <is>
          <t>Paul Deady</t>
        </is>
      </c>
      <c r="G353" s="17" t="inlineStr">
        <is>
          <t>12011</t>
        </is>
      </c>
      <c r="H353" s="17" t="inlineStr">
        <is>
          <t>BOTTLE KING (A) WAYNE</t>
        </is>
      </c>
      <c r="I353" s="17" t="inlineStr">
        <is>
          <t>WAYNE</t>
        </is>
      </c>
      <c r="J353" s="17" t="inlineStr">
        <is>
          <t>Boston Beer</t>
        </is>
      </c>
      <c r="K353" s="25" t="n">
        <v>2</v>
      </c>
      <c r="L353" s="17" t="inlineStr">
        <is>
          <t>Bronze (20-39)</t>
        </is>
      </c>
      <c r="M353" s="18" t="n">
        <v>37</v>
      </c>
      <c r="N353" s="18" t="n">
        <v>37</v>
      </c>
      <c r="O353" s="17" t="inlineStr">
        <is>
          <t>Priority</t>
        </is>
      </c>
      <c r="P353" s="18" t="n">
        <v>300</v>
      </c>
      <c r="Q353" s="17" t="inlineStr">
        <is>
          <t>Yes</t>
        </is>
      </c>
      <c r="R353" s="17" t="inlineStr">
        <is>
          <t>SAM ADAMS SEASONAL</t>
        </is>
      </c>
      <c r="S353" s="17" t="inlineStr">
        <is>
          <t>SAM ADAMS SEASONAL</t>
        </is>
      </c>
      <c r="T353" s="17" t="inlineStr">
        <is>
          <t>BOSTON BEER COMPANY</t>
        </is>
      </c>
      <c r="U353" s="25" t="n">
        <v>3</v>
      </c>
      <c r="V353" s="17" t="inlineStr">
        <is>
          <t>No</t>
        </is>
      </c>
      <c r="W353" s="17" t="inlineStr">
        <is>
          <t>Boston Beer (37)</t>
        </is>
      </c>
      <c r="X353" s="17" t="inlineStr">
        <is>
          <t>—</t>
        </is>
      </c>
      <c r="Y353" s="19" t="inlineStr">
        <is>
          <t>View Photo</t>
        </is>
      </c>
    </row>
    <row r="354">
      <c r="A354" s="17" t="inlineStr">
        <is>
          <t>D0353</t>
        </is>
      </c>
      <c r="B354" s="17" t="inlineStr">
        <is>
          <t>07/20/2026</t>
        </is>
      </c>
      <c r="C354" s="17" t="inlineStr">
        <is>
          <t>07/20/2026 09:49 AM</t>
        </is>
      </c>
      <c r="D354" s="17" t="inlineStr">
        <is>
          <t>mickey obrien</t>
        </is>
      </c>
      <c r="E354" s="17" t="inlineStr">
        <is>
          <t>Sales Associate</t>
        </is>
      </c>
      <c r="F354" s="17" t="inlineStr">
        <is>
          <t>Michael Engel</t>
        </is>
      </c>
      <c r="G354" s="17" t="inlineStr">
        <is>
          <t>20106</t>
        </is>
      </c>
      <c r="H354" s="17" t="inlineStr">
        <is>
          <t>SUPER WINE WAREHSE(P)PATE</t>
        </is>
      </c>
      <c r="I354" s="17" t="inlineStr">
        <is>
          <t>PATERSON</t>
        </is>
      </c>
      <c r="J354" s="17" t="inlineStr">
        <is>
          <t>Constellation</t>
        </is>
      </c>
      <c r="K354" s="25" t="n">
        <v>2</v>
      </c>
      <c r="L354" s="17" t="inlineStr">
        <is>
          <t>Bronze (20-39)</t>
        </is>
      </c>
      <c r="M354" s="18" t="n">
        <v>36</v>
      </c>
      <c r="N354" s="18" t="n">
        <v>36</v>
      </c>
      <c r="O354" s="17" t="inlineStr">
        <is>
          <t>Priority</t>
        </is>
      </c>
      <c r="P354" s="18" t="n">
        <v>300</v>
      </c>
      <c r="Q354" s="17" t="inlineStr">
        <is>
          <t>Yes</t>
        </is>
      </c>
      <c r="R354" s="17" t="inlineStr">
        <is>
          <t>MODELO CERVEZA</t>
        </is>
      </c>
      <c r="S354" s="17" t="inlineStr">
        <is>
          <t>MODELO CERVEZA, MODELO ORO</t>
        </is>
      </c>
      <c r="T354" s="17" t="inlineStr">
        <is>
          <t>CONSTELLATION BRANDS</t>
        </is>
      </c>
      <c r="U354" s="25" t="n">
        <v>3</v>
      </c>
      <c r="V354" s="17" t="inlineStr">
        <is>
          <t>No</t>
        </is>
      </c>
      <c r="W354" s="17" t="inlineStr">
        <is>
          <t>Constellation (36)</t>
        </is>
      </c>
      <c r="X354" s="17" t="inlineStr">
        <is>
          <t>First of a repeat set</t>
        </is>
      </c>
      <c r="Y354" s="19" t="inlineStr">
        <is>
          <t>View Photo</t>
        </is>
      </c>
    </row>
    <row r="355">
      <c r="A355" s="17" t="inlineStr">
        <is>
          <t>D0354</t>
        </is>
      </c>
      <c r="B355" s="17" t="inlineStr">
        <is>
          <t>07/29/2026</t>
        </is>
      </c>
      <c r="C355" s="17" t="inlineStr">
        <is>
          <t>07/29/2026 11:21 AM</t>
        </is>
      </c>
      <c r="D355" s="17" t="inlineStr">
        <is>
          <t>Shane Barreca</t>
        </is>
      </c>
      <c r="E355" s="17" t="inlineStr">
        <is>
          <t>Sales Rep</t>
        </is>
      </c>
      <c r="F355" s="17" t="inlineStr">
        <is>
          <t>Paul Deady</t>
        </is>
      </c>
      <c r="G355" s="17" t="inlineStr">
        <is>
          <t>92011</t>
        </is>
      </c>
      <c r="H355" s="17" t="inlineStr">
        <is>
          <t>BOTTLE KING (A) RAMSEY</t>
        </is>
      </c>
      <c r="I355" s="17" t="inlineStr">
        <is>
          <t>RAMSEY</t>
        </is>
      </c>
      <c r="J355" s="17" t="inlineStr">
        <is>
          <t>Constellation</t>
        </is>
      </c>
      <c r="K355" s="25" t="n">
        <v>2</v>
      </c>
      <c r="L355" s="17" t="inlineStr">
        <is>
          <t>Bronze (20-39)</t>
        </is>
      </c>
      <c r="M355" s="18" t="n">
        <v>36</v>
      </c>
      <c r="N355" s="18" t="n">
        <v>36</v>
      </c>
      <c r="O355" s="17" t="inlineStr">
        <is>
          <t>Priority</t>
        </is>
      </c>
      <c r="P355" s="18" t="n">
        <v>300</v>
      </c>
      <c r="Q355" s="17" t="inlineStr">
        <is>
          <t>Yes</t>
        </is>
      </c>
      <c r="R355" s="17" t="inlineStr">
        <is>
          <t>MODELO CERVEZA</t>
        </is>
      </c>
      <c r="S355" s="17" t="inlineStr">
        <is>
          <t>MODELO CERVEZA, MODELO ORO</t>
        </is>
      </c>
      <c r="T355" s="17" t="inlineStr">
        <is>
          <t>CONSTELLATION BRANDS</t>
        </is>
      </c>
      <c r="U355" s="25" t="n">
        <v>2</v>
      </c>
      <c r="V355" s="17" t="inlineStr">
        <is>
          <t>No</t>
        </is>
      </c>
      <c r="W355" s="17" t="inlineStr">
        <is>
          <t>Constellation (36)</t>
        </is>
      </c>
      <c r="X355" s="17" t="inlineStr">
        <is>
          <t>—</t>
        </is>
      </c>
      <c r="Y355" s="19" t="inlineStr">
        <is>
          <t>View Photo</t>
        </is>
      </c>
    </row>
    <row r="356">
      <c r="A356" s="17" t="inlineStr">
        <is>
          <t>D0355</t>
        </is>
      </c>
      <c r="B356" s="17" t="inlineStr">
        <is>
          <t>07/02/2026</t>
        </is>
      </c>
      <c r="C356" s="17" t="inlineStr">
        <is>
          <t>07/02/2026 10:42 AM</t>
        </is>
      </c>
      <c r="D356" s="17" t="inlineStr">
        <is>
          <t>David Fletcher</t>
        </is>
      </c>
      <c r="E356" s="17" t="inlineStr">
        <is>
          <t>Sales Associate</t>
        </is>
      </c>
      <c r="F356" s="17" t="inlineStr">
        <is>
          <t>Michael Engel</t>
        </is>
      </c>
      <c r="G356" s="17" t="inlineStr">
        <is>
          <t>76010</t>
        </is>
      </c>
      <c r="H356" s="17" t="inlineStr">
        <is>
          <t>USA WINE TRADERS CLUB (SADDLE BROOK)</t>
        </is>
      </c>
      <c r="I356" s="17" t="inlineStr">
        <is>
          <t>SADDLE BROOK</t>
        </is>
      </c>
      <c r="J356" s="17" t="inlineStr">
        <is>
          <t>Boston Beer</t>
        </is>
      </c>
      <c r="K356" s="25" t="n">
        <v>2</v>
      </c>
      <c r="L356" s="17" t="inlineStr">
        <is>
          <t>Bronze (20-39)</t>
        </is>
      </c>
      <c r="M356" s="18" t="n">
        <v>35</v>
      </c>
      <c r="N356" s="18" t="n">
        <v>35</v>
      </c>
      <c r="O356" s="17" t="inlineStr">
        <is>
          <t>Priority</t>
        </is>
      </c>
      <c r="P356" s="18" t="n">
        <v>300</v>
      </c>
      <c r="Q356" s="17" t="inlineStr">
        <is>
          <t>Yes</t>
        </is>
      </c>
      <c r="R356" s="17" t="inlineStr">
        <is>
          <t>TRULY</t>
        </is>
      </c>
      <c r="S356" s="17" t="inlineStr">
        <is>
          <t>TRULY</t>
        </is>
      </c>
      <c r="T356" s="17" t="inlineStr">
        <is>
          <t>BOSTON BEER COMPANY</t>
        </is>
      </c>
      <c r="U356" s="25" t="n">
        <v>1</v>
      </c>
      <c r="V356" s="17" t="inlineStr">
        <is>
          <t>No</t>
        </is>
      </c>
      <c r="W356" s="17" t="inlineStr">
        <is>
          <t>Boston Beer (35)</t>
        </is>
      </c>
      <c r="X356" s="17" t="inlineStr">
        <is>
          <t>First of a repeat set</t>
        </is>
      </c>
      <c r="Y356" s="19" t="inlineStr">
        <is>
          <t>View Photo</t>
        </is>
      </c>
    </row>
    <row r="357">
      <c r="A357" s="17" t="inlineStr">
        <is>
          <t>D0356</t>
        </is>
      </c>
      <c r="B357" s="17" t="inlineStr">
        <is>
          <t>07/13/2026</t>
        </is>
      </c>
      <c r="C357" s="17" t="inlineStr">
        <is>
          <t>07/13/2026 01:02 PM</t>
        </is>
      </c>
      <c r="D357" s="17" t="inlineStr">
        <is>
          <t>Shane Barreca</t>
        </is>
      </c>
      <c r="E357" s="17" t="inlineStr">
        <is>
          <t>Sales Rep</t>
        </is>
      </c>
      <c r="F357" s="17" t="inlineStr">
        <is>
          <t>Paul Deady</t>
        </is>
      </c>
      <c r="G357" s="17" t="inlineStr">
        <is>
          <t>70001</t>
        </is>
      </c>
      <c r="H357" s="17" t="inlineStr">
        <is>
          <t>MONTVALE WINE/LIQ &amp; BEER</t>
        </is>
      </c>
      <c r="I357" s="17" t="inlineStr">
        <is>
          <t>MONTVALE</t>
        </is>
      </c>
      <c r="J357" s="17" t="inlineStr">
        <is>
          <t>Boston Beer</t>
        </is>
      </c>
      <c r="K357" s="25" t="n">
        <v>2</v>
      </c>
      <c r="L357" s="17" t="inlineStr">
        <is>
          <t>Bronze (20-39)</t>
        </is>
      </c>
      <c r="M357" s="18" t="n">
        <v>35</v>
      </c>
      <c r="N357" s="18" t="n">
        <v>35</v>
      </c>
      <c r="O357" s="17" t="inlineStr">
        <is>
          <t>Priority</t>
        </is>
      </c>
      <c r="P357" s="18" t="n">
        <v>300</v>
      </c>
      <c r="Q357" s="17" t="inlineStr">
        <is>
          <t>Yes</t>
        </is>
      </c>
      <c r="R357" s="17" t="inlineStr">
        <is>
          <t>SAM ADAMS SEASONAL</t>
        </is>
      </c>
      <c r="S357" s="17" t="inlineStr">
        <is>
          <t>SAM ADAMS SEASONAL, SAMUEL ADAMS</t>
        </is>
      </c>
      <c r="T357" s="17" t="inlineStr">
        <is>
          <t>BOSTON BEER COMPANY</t>
        </is>
      </c>
      <c r="U357" s="25" t="n">
        <v>2</v>
      </c>
      <c r="V357" s="17" t="inlineStr">
        <is>
          <t>No</t>
        </is>
      </c>
      <c r="W357" s="17" t="inlineStr">
        <is>
          <t>Boston Beer (35)</t>
        </is>
      </c>
      <c r="X357" s="17" t="inlineStr">
        <is>
          <t>—</t>
        </is>
      </c>
      <c r="Y357" s="19" t="inlineStr">
        <is>
          <t>View Photo</t>
        </is>
      </c>
    </row>
    <row r="358">
      <c r="A358" s="17" t="inlineStr">
        <is>
          <t>D0357</t>
        </is>
      </c>
      <c r="B358" s="17" t="inlineStr">
        <is>
          <t>07/14/2026</t>
        </is>
      </c>
      <c r="C358" s="17" t="inlineStr">
        <is>
          <t>07/14/2026 12:29 PM</t>
        </is>
      </c>
      <c r="D358" s="17" t="inlineStr">
        <is>
          <t>Chris Payton</t>
        </is>
      </c>
      <c r="E358" s="17" t="inlineStr">
        <is>
          <t>Sales Rep</t>
        </is>
      </c>
      <c r="F358" s="17" t="inlineStr">
        <is>
          <t>Michael Engel</t>
        </is>
      </c>
      <c r="G358" s="17" t="inlineStr">
        <is>
          <t>34009</t>
        </is>
      </c>
      <c r="H358" s="17" t="inlineStr">
        <is>
          <t>THE WINE RACK HASBROUCK HTS</t>
        </is>
      </c>
      <c r="I358" s="17" t="inlineStr">
        <is>
          <t>HASBROUCK HEIGHTS</t>
        </is>
      </c>
      <c r="J358" s="17" t="inlineStr">
        <is>
          <t>HUSA (Heineken USA)</t>
        </is>
      </c>
      <c r="K358" s="25" t="n">
        <v>2</v>
      </c>
      <c r="L358" s="17" t="inlineStr">
        <is>
          <t>Bronze (20-39)</t>
        </is>
      </c>
      <c r="M358" s="18" t="n">
        <v>35</v>
      </c>
      <c r="N358" s="18" t="n">
        <v>35</v>
      </c>
      <c r="O358" s="17" t="inlineStr">
        <is>
          <t>Priority</t>
        </is>
      </c>
      <c r="P358" s="18" t="n">
        <v>300</v>
      </c>
      <c r="Q358" s="17" t="inlineStr">
        <is>
          <t>Yes</t>
        </is>
      </c>
      <c r="R358" s="17" t="inlineStr">
        <is>
          <t>HEINEKEN</t>
        </is>
      </c>
      <c r="S358" s="17" t="inlineStr">
        <is>
          <t>HEINEKEN</t>
        </is>
      </c>
      <c r="T358" s="17" t="inlineStr">
        <is>
          <t>HEINEKEN</t>
        </is>
      </c>
      <c r="U358" s="25" t="n">
        <v>3</v>
      </c>
      <c r="V358" s="17" t="inlineStr">
        <is>
          <t>No</t>
        </is>
      </c>
      <c r="W358" s="17" t="inlineStr">
        <is>
          <t>HUSA (Heineken USA) (35)</t>
        </is>
      </c>
      <c r="X358" s="17" t="inlineStr">
        <is>
          <t>—</t>
        </is>
      </c>
      <c r="Y358" s="19" t="inlineStr">
        <is>
          <t>View Photo</t>
        </is>
      </c>
    </row>
    <row r="359">
      <c r="A359" s="17" t="inlineStr">
        <is>
          <t>D0358</t>
        </is>
      </c>
      <c r="B359" s="17" t="inlineStr">
        <is>
          <t>07/14/2026</t>
        </is>
      </c>
      <c r="C359" s="17" t="inlineStr">
        <is>
          <t>07/14/2026 12:34 PM</t>
        </is>
      </c>
      <c r="D359" s="17" t="inlineStr">
        <is>
          <t>Mike Ast</t>
        </is>
      </c>
      <c r="E359" s="17" t="inlineStr">
        <is>
          <t>Sales Rep</t>
        </is>
      </c>
      <c r="F359" s="17" t="inlineStr">
        <is>
          <t>Paul Deady</t>
        </is>
      </c>
      <c r="G359" s="17" t="inlineStr">
        <is>
          <t>96002</t>
        </is>
      </c>
      <c r="H359" s="17" t="inlineStr">
        <is>
          <t>WINE &amp; SPIRIT WORLD(W)</t>
        </is>
      </c>
      <c r="I359" s="17" t="inlineStr">
        <is>
          <t>WYCKOFF</t>
        </is>
      </c>
      <c r="J359" s="17" t="inlineStr">
        <is>
          <t>Boston Beer</t>
        </is>
      </c>
      <c r="K359" s="25" t="n">
        <v>2</v>
      </c>
      <c r="L359" s="17" t="inlineStr">
        <is>
          <t>Bronze (20-39)</t>
        </is>
      </c>
      <c r="M359" s="18" t="n">
        <v>35</v>
      </c>
      <c r="N359" s="18" t="n">
        <v>35</v>
      </c>
      <c r="O359" s="17" t="inlineStr">
        <is>
          <t>Priority</t>
        </is>
      </c>
      <c r="P359" s="18" t="n">
        <v>300</v>
      </c>
      <c r="Q359" s="17" t="inlineStr">
        <is>
          <t>Yes</t>
        </is>
      </c>
      <c r="R359" s="17" t="inlineStr">
        <is>
          <t>SAMUEL ADAMS</t>
        </is>
      </c>
      <c r="S359" s="17" t="inlineStr">
        <is>
          <t>SAM ADAMS SEASONAL, SAMUEL ADAMS</t>
        </is>
      </c>
      <c r="T359" s="17" t="inlineStr">
        <is>
          <t>BOSTON BEER COMPANY</t>
        </is>
      </c>
      <c r="U359" s="25" t="n">
        <v>4</v>
      </c>
      <c r="V359" s="17" t="inlineStr">
        <is>
          <t>No</t>
        </is>
      </c>
      <c r="W359" s="17" t="inlineStr">
        <is>
          <t>Boston Beer (35)</t>
        </is>
      </c>
      <c r="X359" s="17" t="inlineStr">
        <is>
          <t>—</t>
        </is>
      </c>
      <c r="Y359" s="19" t="inlineStr">
        <is>
          <t>View Photo</t>
        </is>
      </c>
    </row>
    <row r="360">
      <c r="A360" s="17" t="inlineStr">
        <is>
          <t>D0359</t>
        </is>
      </c>
      <c r="B360" s="17" t="inlineStr">
        <is>
          <t>07/20/2026</t>
        </is>
      </c>
      <c r="C360" s="17" t="inlineStr">
        <is>
          <t>07/20/2026 02:48 PM</t>
        </is>
      </c>
      <c r="D360" s="17" t="inlineStr">
        <is>
          <t>patrick infante</t>
        </is>
      </c>
      <c r="E360" s="17" t="inlineStr">
        <is>
          <t>Sales Associate</t>
        </is>
      </c>
      <c r="F360" s="17" t="inlineStr">
        <is>
          <t>Denise Montes</t>
        </is>
      </c>
      <c r="G360" s="17" t="inlineStr">
        <is>
          <t>24011</t>
        </is>
      </c>
      <c r="H360" s="17" t="inlineStr">
        <is>
          <t>SHOPPERS VINEYARD (A)</t>
        </is>
      </c>
      <c r="I360" s="17" t="inlineStr">
        <is>
          <t>CLIFTON</t>
        </is>
      </c>
      <c r="J360" s="17" t="inlineStr">
        <is>
          <t>Boston Beer</t>
        </is>
      </c>
      <c r="K360" s="25" t="n">
        <v>2</v>
      </c>
      <c r="L360" s="17" t="inlineStr">
        <is>
          <t>Bronze (20-39)</t>
        </is>
      </c>
      <c r="M360" s="18" t="n">
        <v>35</v>
      </c>
      <c r="N360" s="18" t="n">
        <v>35</v>
      </c>
      <c r="O360" s="17" t="inlineStr">
        <is>
          <t>Priority</t>
        </is>
      </c>
      <c r="P360" s="18" t="n">
        <v>300</v>
      </c>
      <c r="Q360" s="17" t="inlineStr">
        <is>
          <t>Yes</t>
        </is>
      </c>
      <c r="R360" s="17" t="inlineStr">
        <is>
          <t>SUN CRUISER LEMONADE</t>
        </is>
      </c>
      <c r="S360" s="17" t="inlineStr">
        <is>
          <t>SUN CRUISER LEMONADE</t>
        </is>
      </c>
      <c r="T360" s="17" t="inlineStr">
        <is>
          <t>BOSTON BEER COMPANY</t>
        </is>
      </c>
      <c r="U360" s="25" t="n">
        <v>2</v>
      </c>
      <c r="V360" s="17" t="inlineStr">
        <is>
          <t>No</t>
        </is>
      </c>
      <c r="W360" s="17" t="inlineStr">
        <is>
          <t>Boston Beer (35)</t>
        </is>
      </c>
      <c r="X360" s="17" t="inlineStr">
        <is>
          <t>—</t>
        </is>
      </c>
      <c r="Y360" s="19" t="inlineStr">
        <is>
          <t>View Photo</t>
        </is>
      </c>
    </row>
    <row r="361">
      <c r="A361" s="17" t="inlineStr">
        <is>
          <t>D0360</t>
        </is>
      </c>
      <c r="B361" s="17" t="inlineStr">
        <is>
          <t>07/21/2026</t>
        </is>
      </c>
      <c r="C361" s="17" t="inlineStr">
        <is>
          <t>07/21/2026 04:18 PM</t>
        </is>
      </c>
      <c r="D361" s="17" t="inlineStr">
        <is>
          <t>Mike Ast</t>
        </is>
      </c>
      <c r="E361" s="17" t="inlineStr">
        <is>
          <t>Sales Rep</t>
        </is>
      </c>
      <c r="F361" s="17" t="inlineStr">
        <is>
          <t>Paul Deady</t>
        </is>
      </c>
      <c r="G361" s="17" t="inlineStr">
        <is>
          <t>11003</t>
        </is>
      </c>
      <c r="H361" s="17" t="inlineStr">
        <is>
          <t>LINCOLN PARK FINE WINES &amp; SPIRITS</t>
        </is>
      </c>
      <c r="I361" s="17" t="inlineStr">
        <is>
          <t>LINCOLN PARK</t>
        </is>
      </c>
      <c r="J361" s="17" t="inlineStr">
        <is>
          <t>Molson Coors</t>
        </is>
      </c>
      <c r="K361" s="25" t="n">
        <v>2</v>
      </c>
      <c r="L361" s="17" t="inlineStr">
        <is>
          <t>Bronze (20-39)</t>
        </is>
      </c>
      <c r="M361" s="18" t="n">
        <v>35</v>
      </c>
      <c r="N361" s="18" t="n">
        <v>35</v>
      </c>
      <c r="O361" s="17" t="inlineStr">
        <is>
          <t>Priority</t>
        </is>
      </c>
      <c r="P361" s="18" t="n">
        <v>300</v>
      </c>
      <c r="Q361" s="17" t="inlineStr">
        <is>
          <t>Yes</t>
        </is>
      </c>
      <c r="R361" s="17" t="inlineStr">
        <is>
          <t>PERONI NASTRO AZZURRO</t>
        </is>
      </c>
      <c r="S361" s="17" t="inlineStr">
        <is>
          <t>PERONI NASTRO AZZURRO</t>
        </is>
      </c>
      <c r="T361" s="17" t="inlineStr">
        <is>
          <t>MOLSON COORS BEVERAGE COMPANY</t>
        </is>
      </c>
      <c r="U361" s="25" t="n">
        <v>3</v>
      </c>
      <c r="V361" s="17" t="inlineStr">
        <is>
          <t>No</t>
        </is>
      </c>
      <c r="W361" s="17" t="inlineStr">
        <is>
          <t>Molson Coors (35)</t>
        </is>
      </c>
      <c r="X361" s="26" t="inlineStr">
        <is>
          <t>Possible duplicate</t>
        </is>
      </c>
      <c r="Y361" s="19" t="inlineStr">
        <is>
          <t>View Photo</t>
        </is>
      </c>
    </row>
    <row r="362">
      <c r="A362" s="17" t="inlineStr">
        <is>
          <t>D0361</t>
        </is>
      </c>
      <c r="B362" s="17" t="inlineStr">
        <is>
          <t>07/29/2026</t>
        </is>
      </c>
      <c r="C362" s="17" t="inlineStr">
        <is>
          <t>07/29/2026 01:50 PM</t>
        </is>
      </c>
      <c r="D362" s="17" t="inlineStr">
        <is>
          <t>Matthew Powierski</t>
        </is>
      </c>
      <c r="E362" s="17" t="inlineStr">
        <is>
          <t>Sales Rep</t>
        </is>
      </c>
      <c r="F362" s="17" t="inlineStr">
        <is>
          <t>Denise Montes</t>
        </is>
      </c>
      <c r="G362" s="17" t="inlineStr">
        <is>
          <t>31060</t>
        </is>
      </c>
      <c r="H362" s="17" t="inlineStr">
        <is>
          <t>BOTTLE REPUBLIC (RUTHERFORD)</t>
        </is>
      </c>
      <c r="I362" s="17" t="inlineStr">
        <is>
          <t>RUTHERFORD</t>
        </is>
      </c>
      <c r="J362" s="17" t="inlineStr">
        <is>
          <t>HUSA (Heineken USA)</t>
        </is>
      </c>
      <c r="K362" s="25" t="n">
        <v>2</v>
      </c>
      <c r="L362" s="17" t="inlineStr">
        <is>
          <t>Bronze (20-39)</t>
        </is>
      </c>
      <c r="M362" s="18" t="n">
        <v>35</v>
      </c>
      <c r="N362" s="18" t="n">
        <v>35</v>
      </c>
      <c r="O362" s="17" t="inlineStr">
        <is>
          <t>Priority</t>
        </is>
      </c>
      <c r="P362" s="18" t="n">
        <v>300</v>
      </c>
      <c r="Q362" s="17" t="inlineStr">
        <is>
          <t>Yes</t>
        </is>
      </c>
      <c r="R362" s="17" t="inlineStr">
        <is>
          <t>HEINEKEN</t>
        </is>
      </c>
      <c r="S362" s="17" t="inlineStr">
        <is>
          <t>HEINEKEN</t>
        </is>
      </c>
      <c r="T362" s="17" t="inlineStr">
        <is>
          <t>HEINEKEN</t>
        </is>
      </c>
      <c r="U362" s="25" t="n">
        <v>1</v>
      </c>
      <c r="V362" s="17" t="inlineStr">
        <is>
          <t>No</t>
        </is>
      </c>
      <c r="W362" s="17" t="inlineStr">
        <is>
          <t>HUSA (Heineken USA) (35)</t>
        </is>
      </c>
      <c r="X362" s="17" t="inlineStr">
        <is>
          <t>—</t>
        </is>
      </c>
      <c r="Y362" s="19" t="inlineStr">
        <is>
          <t>View Photo</t>
        </is>
      </c>
    </row>
    <row r="363">
      <c r="A363" s="17" t="inlineStr">
        <is>
          <t>D0362</t>
        </is>
      </c>
      <c r="B363" s="17" t="inlineStr">
        <is>
          <t>07/29/2026</t>
        </is>
      </c>
      <c r="C363" s="17" t="inlineStr">
        <is>
          <t>07/29/2026 03:07 PM</t>
        </is>
      </c>
      <c r="D363" s="17" t="inlineStr">
        <is>
          <t>patrick infante</t>
        </is>
      </c>
      <c r="E363" s="17" t="inlineStr">
        <is>
          <t>Sales Associate</t>
        </is>
      </c>
      <c r="F363" s="17" t="inlineStr">
        <is>
          <t>Denise Montes</t>
        </is>
      </c>
      <c r="G363" s="17" t="inlineStr">
        <is>
          <t>25008</t>
        </is>
      </c>
      <c r="H363" s="17" t="inlineStr">
        <is>
          <t>CLIFTON COMMONS S &amp; W</t>
        </is>
      </c>
      <c r="I363" s="17" t="inlineStr">
        <is>
          <t>CLIFTON</t>
        </is>
      </c>
      <c r="J363" s="17" t="inlineStr">
        <is>
          <t>Molson Coors</t>
        </is>
      </c>
      <c r="K363" s="25" t="n">
        <v>2</v>
      </c>
      <c r="L363" s="17" t="inlineStr">
        <is>
          <t>Bronze (20-39)</t>
        </is>
      </c>
      <c r="M363" s="18" t="n">
        <v>35</v>
      </c>
      <c r="N363" s="18" t="n">
        <v>35</v>
      </c>
      <c r="O363" s="17" t="inlineStr">
        <is>
          <t>Priority</t>
        </is>
      </c>
      <c r="P363" s="18" t="n">
        <v>300</v>
      </c>
      <c r="Q363" s="17" t="inlineStr">
        <is>
          <t>Yes</t>
        </is>
      </c>
      <c r="R363" s="17" t="inlineStr">
        <is>
          <t>COORS LIGHT</t>
        </is>
      </c>
      <c r="S363" s="17" t="inlineStr">
        <is>
          <t>COORS LIGHT</t>
        </is>
      </c>
      <c r="T363" s="17" t="inlineStr">
        <is>
          <t>MOLSON COORS BEVERAGE COMPANY</t>
        </is>
      </c>
      <c r="U363" s="25" t="n">
        <v>1</v>
      </c>
      <c r="V363" s="17" t="inlineStr">
        <is>
          <t>No</t>
        </is>
      </c>
      <c r="W363" s="17" t="inlineStr">
        <is>
          <t>Molson Coors (35)</t>
        </is>
      </c>
      <c r="X363" s="17" t="inlineStr">
        <is>
          <t>First of a repeat set</t>
        </is>
      </c>
      <c r="Y363" s="19" t="inlineStr">
        <is>
          <t>View Photo</t>
        </is>
      </c>
    </row>
    <row r="364">
      <c r="A364" s="17" t="inlineStr">
        <is>
          <t>D0363</t>
        </is>
      </c>
      <c r="B364" s="17" t="inlineStr">
        <is>
          <t>07/29/2026</t>
        </is>
      </c>
      <c r="C364" s="17" t="inlineStr">
        <is>
          <t>07/29/2026 03:08 PM</t>
        </is>
      </c>
      <c r="D364" s="17" t="inlineStr">
        <is>
          <t>mickey obrien</t>
        </is>
      </c>
      <c r="E364" s="17" t="inlineStr">
        <is>
          <t>Sales Associate</t>
        </is>
      </c>
      <c r="F364" s="17" t="inlineStr">
        <is>
          <t>Denise Montes</t>
        </is>
      </c>
      <c r="G364" s="17" t="inlineStr">
        <is>
          <t>25008</t>
        </is>
      </c>
      <c r="H364" s="17" t="inlineStr">
        <is>
          <t>CLIFTON COMMONS S &amp; W</t>
        </is>
      </c>
      <c r="I364" s="17" t="inlineStr">
        <is>
          <t>CLIFTON</t>
        </is>
      </c>
      <c r="J364" s="17" t="inlineStr">
        <is>
          <t>Molson Coors</t>
        </is>
      </c>
      <c r="K364" s="25" t="n">
        <v>2</v>
      </c>
      <c r="L364" s="17" t="inlineStr">
        <is>
          <t>Bronze (20-39)</t>
        </is>
      </c>
      <c r="M364" s="18" t="n">
        <v>35</v>
      </c>
      <c r="N364" s="18" t="n">
        <v>35</v>
      </c>
      <c r="O364" s="17" t="inlineStr">
        <is>
          <t>Priority</t>
        </is>
      </c>
      <c r="P364" s="18" t="n">
        <v>300</v>
      </c>
      <c r="Q364" s="17" t="inlineStr">
        <is>
          <t>Yes</t>
        </is>
      </c>
      <c r="R364" s="17" t="inlineStr">
        <is>
          <t>COORS LIGHT</t>
        </is>
      </c>
      <c r="S364" s="17" t="inlineStr">
        <is>
          <t>COORS LIGHT</t>
        </is>
      </c>
      <c r="T364" s="17" t="inlineStr">
        <is>
          <t>MOLSON COORS BEVERAGE COMPANY</t>
        </is>
      </c>
      <c r="U364" s="25" t="n">
        <v>1</v>
      </c>
      <c r="V364" s="17" t="inlineStr">
        <is>
          <t>No</t>
        </is>
      </c>
      <c r="W364" s="17" t="inlineStr">
        <is>
          <t>Molson Coors (35)</t>
        </is>
      </c>
      <c r="X364" s="26" t="inlineStr">
        <is>
          <t>Possible duplicate</t>
        </is>
      </c>
      <c r="Y364" s="19" t="inlineStr">
        <is>
          <t>View Photo</t>
        </is>
      </c>
    </row>
    <row r="365">
      <c r="A365" s="17" t="inlineStr">
        <is>
          <t>D0364</t>
        </is>
      </c>
      <c r="B365" s="17" t="inlineStr">
        <is>
          <t>07/30/2026</t>
        </is>
      </c>
      <c r="C365" s="17" t="inlineStr">
        <is>
          <t>07/30/2026 09:17 AM</t>
        </is>
      </c>
      <c r="D365" s="17" t="inlineStr">
        <is>
          <t>phil Ernst</t>
        </is>
      </c>
      <c r="E365" s="17" t="inlineStr">
        <is>
          <t>Sales Rep</t>
        </is>
      </c>
      <c r="F365" s="17" t="inlineStr">
        <is>
          <t>Michael Engel</t>
        </is>
      </c>
      <c r="G365" s="17" t="inlineStr">
        <is>
          <t>20106</t>
        </is>
      </c>
      <c r="H365" s="17" t="inlineStr">
        <is>
          <t>SUPER WINE WAREHSE(P)PATE</t>
        </is>
      </c>
      <c r="I365" s="17" t="inlineStr">
        <is>
          <t>PATERSON</t>
        </is>
      </c>
      <c r="J365" s="17" t="inlineStr">
        <is>
          <t>Molson Coors</t>
        </is>
      </c>
      <c r="K365" s="25" t="n">
        <v>2</v>
      </c>
      <c r="L365" s="17" t="inlineStr">
        <is>
          <t>Bronze (20-39)</t>
        </is>
      </c>
      <c r="M365" s="18" t="n">
        <v>35</v>
      </c>
      <c r="N365" s="18" t="n">
        <v>35</v>
      </c>
      <c r="O365" s="17" t="inlineStr">
        <is>
          <t>Priority</t>
        </is>
      </c>
      <c r="P365" s="18" t="n">
        <v>300</v>
      </c>
      <c r="Q365" s="17" t="inlineStr">
        <is>
          <t>Yes</t>
        </is>
      </c>
      <c r="R365" s="17" t="inlineStr">
        <is>
          <t>COORS LIGHT</t>
        </is>
      </c>
      <c r="S365" s="17" t="inlineStr">
        <is>
          <t>COORS LIGHT</t>
        </is>
      </c>
      <c r="T365" s="17" t="inlineStr">
        <is>
          <t>MOLSON COORS BEVERAGE COMPANY</t>
        </is>
      </c>
      <c r="U365" s="25" t="n">
        <v>1</v>
      </c>
      <c r="V365" s="17" t="inlineStr">
        <is>
          <t>No</t>
        </is>
      </c>
      <c r="W365" s="17" t="inlineStr">
        <is>
          <t>Molson Coors (35)</t>
        </is>
      </c>
      <c r="X365" s="17" t="inlineStr">
        <is>
          <t>—</t>
        </is>
      </c>
      <c r="Y365" s="19" t="inlineStr">
        <is>
          <t>View Photo</t>
        </is>
      </c>
    </row>
    <row r="366">
      <c r="A366" s="17" t="inlineStr">
        <is>
          <t>D0365</t>
        </is>
      </c>
      <c r="B366" s="17" t="inlineStr">
        <is>
          <t>08/25/2026</t>
        </is>
      </c>
      <c r="C366" s="17" t="inlineStr">
        <is>
          <t>08/25/2026 10:06 AM</t>
        </is>
      </c>
      <c r="D366" s="17" t="inlineStr">
        <is>
          <t>Chris Payton</t>
        </is>
      </c>
      <c r="E366" s="17" t="inlineStr">
        <is>
          <t>Sales Rep</t>
        </is>
      </c>
      <c r="F366" s="17" t="inlineStr">
        <is>
          <t>Michael Engel</t>
        </is>
      </c>
      <c r="G366" s="17" t="inlineStr">
        <is>
          <t>81001</t>
        </is>
      </c>
      <c r="H366" s="17" t="inlineStr">
        <is>
          <t>B &amp; B LIQUORS (FAIR LAWN)</t>
        </is>
      </c>
      <c r="I366" s="17" t="inlineStr">
        <is>
          <t>FAIR LAWN</t>
        </is>
      </c>
      <c r="J366" s="17" t="inlineStr">
        <is>
          <t>Mark Anthony</t>
        </is>
      </c>
      <c r="K366" s="25" t="n">
        <v>2</v>
      </c>
      <c r="L366" s="17" t="inlineStr">
        <is>
          <t>Bronze (20-39)</t>
        </is>
      </c>
      <c r="M366" s="18" t="n">
        <v>35</v>
      </c>
      <c r="N366" s="18" t="n">
        <v>35</v>
      </c>
      <c r="O366" s="17" t="inlineStr">
        <is>
          <t>Priority</t>
        </is>
      </c>
      <c r="P366" s="18" t="n">
        <v>300</v>
      </c>
      <c r="Q366" s="17" t="inlineStr">
        <is>
          <t>Yes</t>
        </is>
      </c>
      <c r="R366" s="17" t="inlineStr">
        <is>
          <t>WHITE CLAW ORIGINAL HARD SELTZER</t>
        </is>
      </c>
      <c r="S366" s="17" t="inlineStr">
        <is>
          <t>WHITE CLAW ORIGINAL HARD SELTZER, WHITE CLAW SURF HARD SELTZER</t>
        </is>
      </c>
      <c r="T366" s="17" t="inlineStr">
        <is>
          <t>MARK ANTHONY GROUP</t>
        </is>
      </c>
      <c r="U366" s="25" t="n">
        <v>10</v>
      </c>
      <c r="V366" s="17" t="inlineStr">
        <is>
          <t>No</t>
        </is>
      </c>
      <c r="W366" s="17" t="inlineStr">
        <is>
          <t>Mark Anthony (35)</t>
        </is>
      </c>
      <c r="X366" s="17" t="inlineStr">
        <is>
          <t>—</t>
        </is>
      </c>
      <c r="Y366" s="19" t="inlineStr">
        <is>
          <t>View Photo</t>
        </is>
      </c>
    </row>
    <row r="367">
      <c r="A367" s="17" t="inlineStr">
        <is>
          <t>D0366</t>
        </is>
      </c>
      <c r="B367" s="17" t="inlineStr">
        <is>
          <t>07/20/2026</t>
        </is>
      </c>
      <c r="C367" s="17" t="inlineStr">
        <is>
          <t>07/20/2026 03:29 PM</t>
        </is>
      </c>
      <c r="D367" s="17" t="inlineStr">
        <is>
          <t>James Heaney</t>
        </is>
      </c>
      <c r="E367" s="17" t="inlineStr">
        <is>
          <t>Sales Rep</t>
        </is>
      </c>
      <c r="F367" s="17" t="inlineStr">
        <is>
          <t>Denise Montes</t>
        </is>
      </c>
      <c r="G367" s="17" t="inlineStr">
        <is>
          <t>24011</t>
        </is>
      </c>
      <c r="H367" s="17" t="inlineStr">
        <is>
          <t>SHOPPERS VINEYARD (A)</t>
        </is>
      </c>
      <c r="I367" s="17" t="inlineStr">
        <is>
          <t>CLIFTON</t>
        </is>
      </c>
      <c r="J367" s="17" t="inlineStr">
        <is>
          <t>Boston Beer</t>
        </is>
      </c>
      <c r="K367" s="25" t="n">
        <v>2</v>
      </c>
      <c r="L367" s="17" t="inlineStr">
        <is>
          <t>Bronze (20-39)</t>
        </is>
      </c>
      <c r="M367" s="18" t="n">
        <v>34</v>
      </c>
      <c r="N367" s="18" t="n">
        <v>34</v>
      </c>
      <c r="O367" s="17" t="inlineStr">
        <is>
          <t>Priority</t>
        </is>
      </c>
      <c r="P367" s="18" t="n">
        <v>300</v>
      </c>
      <c r="Q367" s="17" t="inlineStr">
        <is>
          <t>Yes</t>
        </is>
      </c>
      <c r="R367" s="17" t="inlineStr">
        <is>
          <t>SUN CRUISERS RTD</t>
        </is>
      </c>
      <c r="S367" s="17" t="inlineStr">
        <is>
          <t>SUN CRUISERS RTD</t>
        </is>
      </c>
      <c r="T367" s="17" t="inlineStr">
        <is>
          <t>BOSTON BEER COMPANY</t>
        </is>
      </c>
      <c r="U367" s="25" t="n">
        <v>2</v>
      </c>
      <c r="V367" s="17" t="inlineStr">
        <is>
          <t>No</t>
        </is>
      </c>
      <c r="W367" s="17" t="inlineStr">
        <is>
          <t>Boston Beer (34)</t>
        </is>
      </c>
      <c r="X367" s="17" t="inlineStr">
        <is>
          <t>—</t>
        </is>
      </c>
      <c r="Y367" s="19" t="inlineStr">
        <is>
          <t>View Photo</t>
        </is>
      </c>
    </row>
    <row r="368">
      <c r="A368" s="17" t="inlineStr">
        <is>
          <t>D0367</t>
        </is>
      </c>
      <c r="B368" s="17" t="inlineStr">
        <is>
          <t>07/15/2026</t>
        </is>
      </c>
      <c r="C368" s="17" t="inlineStr">
        <is>
          <t>07/15/2026 01:42 PM</t>
        </is>
      </c>
      <c r="D368" s="17" t="inlineStr">
        <is>
          <t>mickey obrien</t>
        </is>
      </c>
      <c r="E368" s="17" t="inlineStr">
        <is>
          <t>Sales Associate</t>
        </is>
      </c>
      <c r="F368" s="17" t="inlineStr">
        <is>
          <t>Michael Engel</t>
        </is>
      </c>
      <c r="G368" s="17" t="inlineStr">
        <is>
          <t>40022</t>
        </is>
      </c>
      <c r="H368" s="17" t="inlineStr">
        <is>
          <t>BUY RITE OF HACKENSACK</t>
        </is>
      </c>
      <c r="I368" s="17" t="inlineStr">
        <is>
          <t>HACKENSACK</t>
        </is>
      </c>
      <c r="J368" s="17" t="inlineStr">
        <is>
          <t>Boston Beer</t>
        </is>
      </c>
      <c r="K368" s="25" t="n">
        <v>2</v>
      </c>
      <c r="L368" s="17" t="inlineStr">
        <is>
          <t>Bronze (20-39)</t>
        </is>
      </c>
      <c r="M368" s="18" t="n">
        <v>33</v>
      </c>
      <c r="N368" s="18" t="n">
        <v>33</v>
      </c>
      <c r="O368" s="17" t="inlineStr">
        <is>
          <t>Priority</t>
        </is>
      </c>
      <c r="P368" s="18" t="n">
        <v>300</v>
      </c>
      <c r="Q368" s="17" t="inlineStr">
        <is>
          <t>Yes</t>
        </is>
      </c>
      <c r="R368" s="17" t="inlineStr">
        <is>
          <t>TWISTED TEA</t>
        </is>
      </c>
      <c r="S368" s="17" t="inlineStr">
        <is>
          <t>TWISTED TEA</t>
        </is>
      </c>
      <c r="T368" s="17" t="inlineStr">
        <is>
          <t>BOSTON BEER COMPANY</t>
        </is>
      </c>
      <c r="U368" s="25" t="n">
        <v>4</v>
      </c>
      <c r="V368" s="17" t="inlineStr">
        <is>
          <t>No</t>
        </is>
      </c>
      <c r="W368" s="17" t="inlineStr">
        <is>
          <t>Boston Beer (33)</t>
        </is>
      </c>
      <c r="X368" s="26" t="inlineStr">
        <is>
          <t>Possible duplicate</t>
        </is>
      </c>
      <c r="Y368" s="19" t="inlineStr">
        <is>
          <t>View Photo</t>
        </is>
      </c>
    </row>
    <row r="369">
      <c r="A369" s="17" t="inlineStr">
        <is>
          <t>D0368</t>
        </is>
      </c>
      <c r="B369" s="17" t="inlineStr">
        <is>
          <t>07/28/2026</t>
        </is>
      </c>
      <c r="C369" s="17" t="inlineStr">
        <is>
          <t>07/28/2026 01:06 PM</t>
        </is>
      </c>
      <c r="D369" s="17" t="inlineStr">
        <is>
          <t>Derrick laws</t>
        </is>
      </c>
      <c r="E369" s="17" t="inlineStr">
        <is>
          <t>Sales Rep</t>
        </is>
      </c>
      <c r="F369" s="17" t="inlineStr">
        <is>
          <t>Denise Montes</t>
        </is>
      </c>
      <c r="G369" s="17" t="inlineStr">
        <is>
          <t>23004</t>
        </is>
      </c>
      <c r="H369" s="17" t="inlineStr">
        <is>
          <t>SHOP RITE WINES/SPIRITS</t>
        </is>
      </c>
      <c r="I369" s="17" t="inlineStr">
        <is>
          <t>CLIFTON</t>
        </is>
      </c>
      <c r="J369" s="17" t="inlineStr">
        <is>
          <t>Constellation</t>
        </is>
      </c>
      <c r="K369" s="25" t="n">
        <v>2</v>
      </c>
      <c r="L369" s="17" t="inlineStr">
        <is>
          <t>Bronze (20-39)</t>
        </is>
      </c>
      <c r="M369" s="18" t="n">
        <v>33</v>
      </c>
      <c r="N369" s="18" t="n">
        <v>33</v>
      </c>
      <c r="O369" s="17" t="inlineStr">
        <is>
          <t>Priority</t>
        </is>
      </c>
      <c r="P369" s="18" t="n">
        <v>300</v>
      </c>
      <c r="Q369" s="17" t="inlineStr">
        <is>
          <t>Yes</t>
        </is>
      </c>
      <c r="R369" s="17" t="inlineStr">
        <is>
          <t>MODELO CERVEZA</t>
        </is>
      </c>
      <c r="S369" s="17" t="inlineStr">
        <is>
          <t>MODELO CERVEZA</t>
        </is>
      </c>
      <c r="T369" s="17" t="inlineStr">
        <is>
          <t>CONSTELLATION BRANDS</t>
        </is>
      </c>
      <c r="U369" s="25" t="n">
        <v>2</v>
      </c>
      <c r="V369" s="17" t="inlineStr">
        <is>
          <t>No</t>
        </is>
      </c>
      <c r="W369" s="17" t="inlineStr">
        <is>
          <t>Constellation (33)</t>
        </is>
      </c>
      <c r="X369" s="17" t="inlineStr">
        <is>
          <t>—</t>
        </is>
      </c>
      <c r="Y369" s="19" t="inlineStr">
        <is>
          <t>View Photo</t>
        </is>
      </c>
    </row>
    <row r="370">
      <c r="A370" s="17" t="inlineStr">
        <is>
          <t>D0369</t>
        </is>
      </c>
      <c r="B370" s="17" t="inlineStr">
        <is>
          <t>07/01/2026</t>
        </is>
      </c>
      <c r="C370" s="17" t="inlineStr">
        <is>
          <t>07/01/2026 01:23 PM</t>
        </is>
      </c>
      <c r="D370" s="17" t="inlineStr">
        <is>
          <t>mickey obrien</t>
        </is>
      </c>
      <c r="E370" s="17" t="inlineStr">
        <is>
          <t>Sales Associate</t>
        </is>
      </c>
      <c r="F370" s="17" t="inlineStr">
        <is>
          <t>Denise Montes</t>
        </is>
      </c>
      <c r="G370" s="17" t="inlineStr">
        <is>
          <t>21033</t>
        </is>
      </c>
      <c r="H370" s="17" t="inlineStr">
        <is>
          <t>THE LIQUOR SHOP</t>
        </is>
      </c>
      <c r="I370" s="17" t="inlineStr">
        <is>
          <t>PATERSON</t>
        </is>
      </c>
      <c r="J370" s="17" t="inlineStr">
        <is>
          <t>Constellation</t>
        </is>
      </c>
      <c r="K370" s="25" t="n">
        <v>2</v>
      </c>
      <c r="L370" s="17" t="inlineStr">
        <is>
          <t>Bronze (20-39)</t>
        </is>
      </c>
      <c r="M370" s="18" t="n">
        <v>32</v>
      </c>
      <c r="N370" s="18" t="n">
        <v>32</v>
      </c>
      <c r="O370" s="17" t="inlineStr">
        <is>
          <t>Priority</t>
        </is>
      </c>
      <c r="P370" s="18" t="n">
        <v>300</v>
      </c>
      <c r="Q370" s="17" t="inlineStr">
        <is>
          <t>Yes</t>
        </is>
      </c>
      <c r="R370" s="17" t="inlineStr">
        <is>
          <t>MODELO ORO</t>
        </is>
      </c>
      <c r="S370" s="17" t="inlineStr">
        <is>
          <t>MODELO ORO</t>
        </is>
      </c>
      <c r="T370" s="17" t="inlineStr">
        <is>
          <t>CONSTELLATION BRANDS</t>
        </is>
      </c>
      <c r="U370" s="25" t="n">
        <v>1</v>
      </c>
      <c r="V370" s="17" t="inlineStr">
        <is>
          <t>No</t>
        </is>
      </c>
      <c r="W370" s="17" t="inlineStr">
        <is>
          <t>Constellation (32)</t>
        </is>
      </c>
      <c r="X370" s="17" t="inlineStr">
        <is>
          <t>—</t>
        </is>
      </c>
      <c r="Y370" s="19" t="inlineStr">
        <is>
          <t>View Photo</t>
        </is>
      </c>
    </row>
    <row r="371">
      <c r="A371" s="17" t="inlineStr">
        <is>
          <t>D0370</t>
        </is>
      </c>
      <c r="B371" s="17" t="inlineStr">
        <is>
          <t>07/01/2026</t>
        </is>
      </c>
      <c r="C371" s="17" t="inlineStr">
        <is>
          <t>07/01/2026 01:23 PM</t>
        </is>
      </c>
      <c r="D371" s="17" t="inlineStr">
        <is>
          <t>patrick infante</t>
        </is>
      </c>
      <c r="E371" s="17" t="inlineStr">
        <is>
          <t>Sales Associate</t>
        </is>
      </c>
      <c r="F371" s="17" t="inlineStr">
        <is>
          <t>Denise Montes</t>
        </is>
      </c>
      <c r="G371" s="17" t="inlineStr">
        <is>
          <t>21033</t>
        </is>
      </c>
      <c r="H371" s="17" t="inlineStr">
        <is>
          <t>THE LIQUOR SHOP</t>
        </is>
      </c>
      <c r="I371" s="17" t="inlineStr">
        <is>
          <t>PATERSON</t>
        </is>
      </c>
      <c r="J371" s="17" t="inlineStr">
        <is>
          <t>Constellation</t>
        </is>
      </c>
      <c r="K371" s="25" t="n">
        <v>2</v>
      </c>
      <c r="L371" s="17" t="inlineStr">
        <is>
          <t>Bronze (20-39)</t>
        </is>
      </c>
      <c r="M371" s="18" t="n">
        <v>32</v>
      </c>
      <c r="N371" s="18" t="n">
        <v>32</v>
      </c>
      <c r="O371" s="17" t="inlineStr">
        <is>
          <t>Priority</t>
        </is>
      </c>
      <c r="P371" s="18" t="n">
        <v>300</v>
      </c>
      <c r="Q371" s="17" t="inlineStr">
        <is>
          <t>Yes</t>
        </is>
      </c>
      <c r="R371" s="17" t="inlineStr">
        <is>
          <t>MODELO CERVEZA</t>
        </is>
      </c>
      <c r="S371" s="17" t="inlineStr">
        <is>
          <t>MODELO CERVEZA</t>
        </is>
      </c>
      <c r="T371" s="17" t="inlineStr">
        <is>
          <t>CONSTELLATION BRANDS</t>
        </is>
      </c>
      <c r="U371" s="25" t="n">
        <v>1</v>
      </c>
      <c r="V371" s="17" t="inlineStr">
        <is>
          <t>No</t>
        </is>
      </c>
      <c r="W371" s="17" t="inlineStr">
        <is>
          <t>Constellation (32)</t>
        </is>
      </c>
      <c r="X371" s="17" t="inlineStr">
        <is>
          <t>—</t>
        </is>
      </c>
      <c r="Y371" s="19" t="inlineStr">
        <is>
          <t>View Photo</t>
        </is>
      </c>
    </row>
    <row r="372">
      <c r="A372" s="17" t="inlineStr">
        <is>
          <t>D0371</t>
        </is>
      </c>
      <c r="B372" s="17" t="inlineStr">
        <is>
          <t>07/14/2026</t>
        </is>
      </c>
      <c r="C372" s="17" t="inlineStr">
        <is>
          <t>07/14/2026 10:30 AM</t>
        </is>
      </c>
      <c r="D372" s="17" t="inlineStr">
        <is>
          <t>Shane Barreca</t>
        </is>
      </c>
      <c r="E372" s="17" t="inlineStr">
        <is>
          <t>Sales Rep</t>
        </is>
      </c>
      <c r="F372" s="17" t="inlineStr">
        <is>
          <t>Paul Deady</t>
        </is>
      </c>
      <c r="G372" s="17" t="inlineStr">
        <is>
          <t>75004</t>
        </is>
      </c>
      <c r="H372" s="17" t="inlineStr">
        <is>
          <t>CORK &amp; KEG (A)</t>
        </is>
      </c>
      <c r="I372" s="17" t="inlineStr">
        <is>
          <t>EMERSON</t>
        </is>
      </c>
      <c r="J372" s="17" t="inlineStr">
        <is>
          <t>Boston Beer</t>
        </is>
      </c>
      <c r="K372" s="25" t="n">
        <v>2</v>
      </c>
      <c r="L372" s="17" t="inlineStr">
        <is>
          <t>Bronze (20-39)</t>
        </is>
      </c>
      <c r="M372" s="18" t="n">
        <v>32</v>
      </c>
      <c r="N372" s="18" t="n">
        <v>18</v>
      </c>
      <c r="O372" s="17" t="inlineStr">
        <is>
          <t>Priority</t>
        </is>
      </c>
      <c r="P372" s="18" t="n">
        <v>300</v>
      </c>
      <c r="Q372" s="17" t="inlineStr">
        <is>
          <t>Yes</t>
        </is>
      </c>
      <c r="R372" s="17" t="inlineStr">
        <is>
          <t>SUN CRUISERS RTD</t>
        </is>
      </c>
      <c r="S372" s="17" t="inlineStr">
        <is>
          <t>CARBLISS, SUN CRUISERS RTD</t>
        </is>
      </c>
      <c r="T372" s="17" t="inlineStr">
        <is>
          <t>BOSTON BEER COMPANY, DRINK CARBLISS</t>
        </is>
      </c>
      <c r="U372" s="25" t="n">
        <v>3</v>
      </c>
      <c r="V372" s="17" t="inlineStr">
        <is>
          <t>Yes</t>
        </is>
      </c>
      <c r="W372" s="17" t="inlineStr">
        <is>
          <t>Boston Beer (18) + Carbliss (14)</t>
        </is>
      </c>
      <c r="X372" s="17" t="inlineStr">
        <is>
          <t>—</t>
        </is>
      </c>
      <c r="Y372" s="19" t="inlineStr">
        <is>
          <t>View Photo</t>
        </is>
      </c>
    </row>
    <row r="373">
      <c r="A373" s="17" t="inlineStr">
        <is>
          <t>D0372</t>
        </is>
      </c>
      <c r="B373" s="17" t="inlineStr">
        <is>
          <t>07/15/2026</t>
        </is>
      </c>
      <c r="C373" s="17" t="inlineStr">
        <is>
          <t>07/15/2026 01:42 PM</t>
        </is>
      </c>
      <c r="D373" s="17" t="inlineStr">
        <is>
          <t>Dave Ehlers</t>
        </is>
      </c>
      <c r="E373" s="17" t="inlineStr">
        <is>
          <t>Sales Rep</t>
        </is>
      </c>
      <c r="F373" s="17" t="inlineStr">
        <is>
          <t>Michael Engel</t>
        </is>
      </c>
      <c r="G373" s="17" t="inlineStr">
        <is>
          <t>40022</t>
        </is>
      </c>
      <c r="H373" s="17" t="inlineStr">
        <is>
          <t>BUY RITE OF HACKENSACK</t>
        </is>
      </c>
      <c r="I373" s="17" t="inlineStr">
        <is>
          <t>HACKENSACK</t>
        </is>
      </c>
      <c r="J373" s="17" t="inlineStr">
        <is>
          <t>Boston Beer</t>
        </is>
      </c>
      <c r="K373" s="25" t="n">
        <v>2</v>
      </c>
      <c r="L373" s="17" t="inlineStr">
        <is>
          <t>Bronze (20-39)</t>
        </is>
      </c>
      <c r="M373" s="18" t="n">
        <v>32</v>
      </c>
      <c r="N373" s="18" t="n">
        <v>32</v>
      </c>
      <c r="O373" s="17" t="inlineStr">
        <is>
          <t>Priority</t>
        </is>
      </c>
      <c r="P373" s="18" t="n">
        <v>300</v>
      </c>
      <c r="Q373" s="17" t="inlineStr">
        <is>
          <t>Yes</t>
        </is>
      </c>
      <c r="R373" s="17" t="inlineStr">
        <is>
          <t>TWISTED TEA</t>
        </is>
      </c>
      <c r="S373" s="17" t="inlineStr">
        <is>
          <t>TWISTED TEA</t>
        </is>
      </c>
      <c r="T373" s="17" t="inlineStr">
        <is>
          <t>BOSTON BEER COMPANY</t>
        </is>
      </c>
      <c r="U373" s="25" t="n">
        <v>4</v>
      </c>
      <c r="V373" s="17" t="inlineStr">
        <is>
          <t>No</t>
        </is>
      </c>
      <c r="W373" s="17" t="inlineStr">
        <is>
          <t>Boston Beer (32)</t>
        </is>
      </c>
      <c r="X373" s="17" t="inlineStr">
        <is>
          <t>First of a repeat set</t>
        </is>
      </c>
      <c r="Y373" s="19" t="inlineStr">
        <is>
          <t>View Photo</t>
        </is>
      </c>
    </row>
    <row r="374">
      <c r="A374" s="17" t="inlineStr">
        <is>
          <t>D0373</t>
        </is>
      </c>
      <c r="B374" s="17" t="inlineStr">
        <is>
          <t>07/30/2026</t>
        </is>
      </c>
      <c r="C374" s="17" t="inlineStr">
        <is>
          <t>07/30/2026 09:29 AM</t>
        </is>
      </c>
      <c r="D374" s="17" t="inlineStr">
        <is>
          <t>phil Ernst</t>
        </is>
      </c>
      <c r="E374" s="17" t="inlineStr">
        <is>
          <t>Sales Rep</t>
        </is>
      </c>
      <c r="F374" s="17" t="inlineStr">
        <is>
          <t>Michael Engel</t>
        </is>
      </c>
      <c r="G374" s="17" t="inlineStr">
        <is>
          <t>20106</t>
        </is>
      </c>
      <c r="H374" s="17" t="inlineStr">
        <is>
          <t>SUPER WINE WAREHSE(P)PATE</t>
        </is>
      </c>
      <c r="I374" s="17" t="inlineStr">
        <is>
          <t>PATERSON</t>
        </is>
      </c>
      <c r="J374" s="17" t="inlineStr">
        <is>
          <t>Constellation</t>
        </is>
      </c>
      <c r="K374" s="25" t="n">
        <v>2</v>
      </c>
      <c r="L374" s="17" t="inlineStr">
        <is>
          <t>Bronze (20-39)</t>
        </is>
      </c>
      <c r="M374" s="18" t="n">
        <v>32</v>
      </c>
      <c r="N374" s="18" t="n">
        <v>32</v>
      </c>
      <c r="O374" s="17" t="inlineStr">
        <is>
          <t>Priority</t>
        </is>
      </c>
      <c r="P374" s="18" t="n">
        <v>300</v>
      </c>
      <c r="Q374" s="17" t="inlineStr">
        <is>
          <t>Yes</t>
        </is>
      </c>
      <c r="R374" s="17" t="inlineStr">
        <is>
          <t>CORONA EXTRA</t>
        </is>
      </c>
      <c r="S374" s="17" t="inlineStr">
        <is>
          <t>CORONA, CORONA EXTRA</t>
        </is>
      </c>
      <c r="T374" s="17" t="inlineStr">
        <is>
          <t>CONSTELLATION BRANDS</t>
        </is>
      </c>
      <c r="U374" s="25" t="n">
        <v>6</v>
      </c>
      <c r="V374" s="17" t="inlineStr">
        <is>
          <t>No</t>
        </is>
      </c>
      <c r="W374" s="17" t="inlineStr">
        <is>
          <t>Constellation (32)</t>
        </is>
      </c>
      <c r="X374" s="17" t="inlineStr">
        <is>
          <t>—</t>
        </is>
      </c>
      <c r="Y374" s="19" t="inlineStr">
        <is>
          <t>View Photo</t>
        </is>
      </c>
    </row>
    <row r="375">
      <c r="A375" s="17" t="inlineStr">
        <is>
          <t>D0374</t>
        </is>
      </c>
      <c r="B375" s="17" t="inlineStr">
        <is>
          <t>08/13/2026</t>
        </is>
      </c>
      <c r="C375" s="17" t="inlineStr">
        <is>
          <t>08/13/2026 01:30 PM</t>
        </is>
      </c>
      <c r="D375" s="17" t="inlineStr">
        <is>
          <t>Vaughn Gallagher</t>
        </is>
      </c>
      <c r="E375" s="17" t="inlineStr">
        <is>
          <t>Sales Associate</t>
        </is>
      </c>
      <c r="F375" s="17" t="inlineStr">
        <is>
          <t>Christopher McCrohan</t>
        </is>
      </c>
      <c r="G375" s="17" t="inlineStr">
        <is>
          <t>3001</t>
        </is>
      </c>
      <c r="H375" s="17" t="inlineStr">
        <is>
          <t>BEST CELLARS (WANAQUE)</t>
        </is>
      </c>
      <c r="I375" s="17" t="inlineStr">
        <is>
          <t>WANAQUE</t>
        </is>
      </c>
      <c r="J375" s="17" t="inlineStr">
        <is>
          <t>Constellation</t>
        </is>
      </c>
      <c r="K375" s="25" t="n">
        <v>2</v>
      </c>
      <c r="L375" s="17" t="inlineStr">
        <is>
          <t>Bronze (20-39)</t>
        </is>
      </c>
      <c r="M375" s="18" t="n">
        <v>32</v>
      </c>
      <c r="N375" s="18" t="n">
        <v>32</v>
      </c>
      <c r="O375" s="17" t="inlineStr">
        <is>
          <t>Priority</t>
        </is>
      </c>
      <c r="P375" s="18" t="n">
        <v>300</v>
      </c>
      <c r="Q375" s="17" t="inlineStr">
        <is>
          <t>Yes</t>
        </is>
      </c>
      <c r="R375" s="17" t="inlineStr">
        <is>
          <t>MODELO ORO</t>
        </is>
      </c>
      <c r="S375" s="17" t="inlineStr">
        <is>
          <t>MODELO CERVEZA, MODELO ORO</t>
        </is>
      </c>
      <c r="T375" s="17" t="inlineStr">
        <is>
          <t>CONSTELLATION BRANDS</t>
        </is>
      </c>
      <c r="U375" s="25" t="n">
        <v>2</v>
      </c>
      <c r="V375" s="17" t="inlineStr">
        <is>
          <t>No</t>
        </is>
      </c>
      <c r="W375" s="17" t="inlineStr">
        <is>
          <t>Constellation (32)</t>
        </is>
      </c>
      <c r="X375" s="17" t="inlineStr">
        <is>
          <t>—</t>
        </is>
      </c>
      <c r="Y375" s="19" t="inlineStr">
        <is>
          <t>View Photo</t>
        </is>
      </c>
    </row>
    <row r="376">
      <c r="A376" s="17" t="inlineStr">
        <is>
          <t>D0375</t>
        </is>
      </c>
      <c r="B376" s="17" t="inlineStr">
        <is>
          <t>08/25/2026</t>
        </is>
      </c>
      <c r="C376" s="17" t="inlineStr">
        <is>
          <t>08/25/2026 03:43 PM</t>
        </is>
      </c>
      <c r="D376" s="17" t="inlineStr">
        <is>
          <t>phil Ernst</t>
        </is>
      </c>
      <c r="E376" s="17" t="inlineStr">
        <is>
          <t>Sales Rep</t>
        </is>
      </c>
      <c r="F376" s="17" t="inlineStr">
        <is>
          <t>Michael Engel</t>
        </is>
      </c>
      <c r="G376" s="17" t="inlineStr">
        <is>
          <t>80005</t>
        </is>
      </c>
      <c r="H376" s="17" t="inlineStr">
        <is>
          <t>SHOP RITE LIQ (PARAMUS)</t>
        </is>
      </c>
      <c r="I376" s="17" t="inlineStr">
        <is>
          <t>PARAMUS</t>
        </is>
      </c>
      <c r="J376" s="17" t="inlineStr">
        <is>
          <t>Boston Beer</t>
        </is>
      </c>
      <c r="K376" s="25" t="n">
        <v>2</v>
      </c>
      <c r="L376" s="17" t="inlineStr">
        <is>
          <t>Bronze (20-39)</t>
        </is>
      </c>
      <c r="M376" s="18" t="n">
        <v>32</v>
      </c>
      <c r="N376" s="18" t="n">
        <v>32</v>
      </c>
      <c r="O376" s="17" t="inlineStr">
        <is>
          <t>Priority</t>
        </is>
      </c>
      <c r="P376" s="18" t="n">
        <v>300</v>
      </c>
      <c r="Q376" s="17" t="inlineStr">
        <is>
          <t>Yes</t>
        </is>
      </c>
      <c r="R376" s="17" t="inlineStr">
        <is>
          <t>SUN CRUISERS RTD</t>
        </is>
      </c>
      <c r="S376" s="17" t="inlineStr">
        <is>
          <t>SUN CRUISERS RTD</t>
        </is>
      </c>
      <c r="T376" s="17" t="inlineStr">
        <is>
          <t>BOSTON BEER COMPANY</t>
        </is>
      </c>
      <c r="U376" s="25" t="n">
        <v>2</v>
      </c>
      <c r="V376" s="17" t="inlineStr">
        <is>
          <t>No</t>
        </is>
      </c>
      <c r="W376" s="17" t="inlineStr">
        <is>
          <t>Boston Beer (32)</t>
        </is>
      </c>
      <c r="X376" s="17" t="inlineStr">
        <is>
          <t>—</t>
        </is>
      </c>
      <c r="Y376" s="19" t="inlineStr">
        <is>
          <t>View Photo</t>
        </is>
      </c>
    </row>
    <row r="377">
      <c r="A377" s="17" t="inlineStr">
        <is>
          <t>D0376</t>
        </is>
      </c>
      <c r="B377" s="17" t="inlineStr">
        <is>
          <t>07/02/2026</t>
        </is>
      </c>
      <c r="C377" s="17" t="inlineStr">
        <is>
          <t>07/02/2026 08:48 AM</t>
        </is>
      </c>
      <c r="D377" s="17" t="inlineStr">
        <is>
          <t>phil Ernst</t>
        </is>
      </c>
      <c r="E377" s="17" t="inlineStr">
        <is>
          <t>Sales Rep</t>
        </is>
      </c>
      <c r="F377" s="17" t="inlineStr">
        <is>
          <t>Michael Engel</t>
        </is>
      </c>
      <c r="G377" s="17" t="inlineStr">
        <is>
          <t>80005</t>
        </is>
      </c>
      <c r="H377" s="17" t="inlineStr">
        <is>
          <t>SHOP RITE LIQ (PARAMUS)</t>
        </is>
      </c>
      <c r="I377" s="17" t="inlineStr">
        <is>
          <t>PARAMUS</t>
        </is>
      </c>
      <c r="J377" s="17" t="inlineStr">
        <is>
          <t>Boston Beer</t>
        </is>
      </c>
      <c r="K377" s="25" t="n">
        <v>2</v>
      </c>
      <c r="L377" s="17" t="inlineStr">
        <is>
          <t>Bronze (20-39)</t>
        </is>
      </c>
      <c r="M377" s="18" t="n">
        <v>30</v>
      </c>
      <c r="N377" s="18" t="n">
        <v>30</v>
      </c>
      <c r="O377" s="17" t="inlineStr">
        <is>
          <t>Priority</t>
        </is>
      </c>
      <c r="P377" s="18" t="n">
        <v>300</v>
      </c>
      <c r="Q377" s="17" t="inlineStr">
        <is>
          <t>Yes</t>
        </is>
      </c>
      <c r="R377" s="17" t="inlineStr">
        <is>
          <t>SUN CRUISERS RTD</t>
        </is>
      </c>
      <c r="S377" s="17" t="inlineStr">
        <is>
          <t>SUN CRUISERS RTD</t>
        </is>
      </c>
      <c r="T377" s="17" t="inlineStr">
        <is>
          <t>BOSTON BEER COMPANY</t>
        </is>
      </c>
      <c r="U377" s="25" t="n">
        <v>1</v>
      </c>
      <c r="V377" s="17" t="inlineStr">
        <is>
          <t>No</t>
        </is>
      </c>
      <c r="W377" s="17" t="inlineStr">
        <is>
          <t>Boston Beer (30)</t>
        </is>
      </c>
      <c r="X377" s="17" t="inlineStr">
        <is>
          <t>—</t>
        </is>
      </c>
      <c r="Y377" s="19" t="inlineStr">
        <is>
          <t>View Photo</t>
        </is>
      </c>
    </row>
    <row r="378">
      <c r="A378" s="17" t="inlineStr">
        <is>
          <t>D0377</t>
        </is>
      </c>
      <c r="B378" s="17" t="inlineStr">
        <is>
          <t>07/02/2026</t>
        </is>
      </c>
      <c r="C378" s="17" t="inlineStr">
        <is>
          <t>07/02/2026 10:20 AM</t>
        </is>
      </c>
      <c r="D378" s="17" t="inlineStr">
        <is>
          <t>Nicholas Micco</t>
        </is>
      </c>
      <c r="E378" s="17" t="inlineStr">
        <is>
          <t>Sales Associate</t>
        </is>
      </c>
      <c r="F378" s="17" t="inlineStr">
        <is>
          <t>Michael Engel</t>
        </is>
      </c>
      <c r="G378" s="17" t="inlineStr">
        <is>
          <t>38040</t>
        </is>
      </c>
      <c r="H378" s="17" t="inlineStr">
        <is>
          <t>BUY RITE DISCOUNT LIQUOR</t>
        </is>
      </c>
      <c r="I378" s="17" t="inlineStr">
        <is>
          <t>LODI</t>
        </is>
      </c>
      <c r="J378" s="17" t="inlineStr">
        <is>
          <t>Boston Beer</t>
        </is>
      </c>
      <c r="K378" s="25" t="n">
        <v>2</v>
      </c>
      <c r="L378" s="17" t="inlineStr">
        <is>
          <t>Bronze (20-39)</t>
        </is>
      </c>
      <c r="M378" s="18" t="n">
        <v>30</v>
      </c>
      <c r="N378" s="18" t="n">
        <v>30</v>
      </c>
      <c r="O378" s="17" t="inlineStr">
        <is>
          <t>Priority</t>
        </is>
      </c>
      <c r="P378" s="18" t="n">
        <v>300</v>
      </c>
      <c r="Q378" s="17" t="inlineStr">
        <is>
          <t>Yes</t>
        </is>
      </c>
      <c r="R378" s="17" t="inlineStr">
        <is>
          <t>TRULY</t>
        </is>
      </c>
      <c r="S378" s="17" t="inlineStr">
        <is>
          <t>TRULY</t>
        </is>
      </c>
      <c r="T378" s="17" t="inlineStr">
        <is>
          <t>BOSTON BEER COMPANY</t>
        </is>
      </c>
      <c r="U378" s="25" t="n">
        <v>1</v>
      </c>
      <c r="V378" s="17" t="inlineStr">
        <is>
          <t>No</t>
        </is>
      </c>
      <c r="W378" s="17" t="inlineStr">
        <is>
          <t>Boston Beer (30)</t>
        </is>
      </c>
      <c r="X378" s="17" t="inlineStr">
        <is>
          <t>First of a repeat set</t>
        </is>
      </c>
      <c r="Y378" s="19" t="inlineStr">
        <is>
          <t>View Photo</t>
        </is>
      </c>
    </row>
    <row r="379">
      <c r="A379" s="17" t="inlineStr">
        <is>
          <t>D0378</t>
        </is>
      </c>
      <c r="B379" s="17" t="inlineStr">
        <is>
          <t>07/02/2026</t>
        </is>
      </c>
      <c r="C379" s="17" t="inlineStr">
        <is>
          <t>07/02/2026 10:21 AM</t>
        </is>
      </c>
      <c r="D379" s="17" t="inlineStr">
        <is>
          <t>Nicholas Micco</t>
        </is>
      </c>
      <c r="E379" s="17" t="inlineStr">
        <is>
          <t>Sales Associate</t>
        </is>
      </c>
      <c r="F379" s="17" t="inlineStr">
        <is>
          <t>Michael Engel</t>
        </is>
      </c>
      <c r="G379" s="17" t="inlineStr">
        <is>
          <t>38040</t>
        </is>
      </c>
      <c r="H379" s="17" t="inlineStr">
        <is>
          <t>BUY RITE DISCOUNT LIQUOR</t>
        </is>
      </c>
      <c r="I379" s="17" t="inlineStr">
        <is>
          <t>LODI</t>
        </is>
      </c>
      <c r="J379" s="17" t="inlineStr">
        <is>
          <t>Boston Beer</t>
        </is>
      </c>
      <c r="K379" s="25" t="n">
        <v>2</v>
      </c>
      <c r="L379" s="17" t="inlineStr">
        <is>
          <t>Bronze (20-39)</t>
        </is>
      </c>
      <c r="M379" s="18" t="n">
        <v>30</v>
      </c>
      <c r="N379" s="18" t="n">
        <v>30</v>
      </c>
      <c r="O379" s="17" t="inlineStr">
        <is>
          <t>Priority</t>
        </is>
      </c>
      <c r="P379" s="18" t="n">
        <v>300</v>
      </c>
      <c r="Q379" s="17" t="inlineStr">
        <is>
          <t>Yes</t>
        </is>
      </c>
      <c r="R379" s="17" t="inlineStr">
        <is>
          <t>TWISTED TEA</t>
        </is>
      </c>
      <c r="S379" s="17" t="inlineStr">
        <is>
          <t>TWISTED TEA</t>
        </is>
      </c>
      <c r="T379" s="17" t="inlineStr">
        <is>
          <t>BOSTON BEER COMPANY</t>
        </is>
      </c>
      <c r="U379" s="25" t="n">
        <v>1</v>
      </c>
      <c r="V379" s="17" t="inlineStr">
        <is>
          <t>No</t>
        </is>
      </c>
      <c r="W379" s="17" t="inlineStr">
        <is>
          <t>Boston Beer (30)</t>
        </is>
      </c>
      <c r="X379" s="17" t="inlineStr">
        <is>
          <t>First of a repeat set</t>
        </is>
      </c>
      <c r="Y379" s="19" t="inlineStr">
        <is>
          <t>View Photo</t>
        </is>
      </c>
    </row>
    <row r="380">
      <c r="A380" s="17" t="inlineStr">
        <is>
          <t>D0379</t>
        </is>
      </c>
      <c r="B380" s="17" t="inlineStr">
        <is>
          <t>07/02/2026</t>
        </is>
      </c>
      <c r="C380" s="17" t="inlineStr">
        <is>
          <t>07/02/2026 10:23 AM</t>
        </is>
      </c>
      <c r="D380" s="17" t="inlineStr">
        <is>
          <t>David Fletcher</t>
        </is>
      </c>
      <c r="E380" s="17" t="inlineStr">
        <is>
          <t>Sales Associate</t>
        </is>
      </c>
      <c r="F380" s="17" t="inlineStr">
        <is>
          <t>Michael Engel</t>
        </is>
      </c>
      <c r="G380" s="17" t="inlineStr">
        <is>
          <t>38040</t>
        </is>
      </c>
      <c r="H380" s="17" t="inlineStr">
        <is>
          <t>BUY RITE DISCOUNT LIQUOR</t>
        </is>
      </c>
      <c r="I380" s="17" t="inlineStr">
        <is>
          <t>LODI</t>
        </is>
      </c>
      <c r="J380" s="17" t="inlineStr">
        <is>
          <t>Boston Beer</t>
        </is>
      </c>
      <c r="K380" s="25" t="n">
        <v>2</v>
      </c>
      <c r="L380" s="17" t="inlineStr">
        <is>
          <t>Bronze (20-39)</t>
        </is>
      </c>
      <c r="M380" s="18" t="n">
        <v>30</v>
      </c>
      <c r="N380" s="18" t="n">
        <v>30</v>
      </c>
      <c r="O380" s="17" t="inlineStr">
        <is>
          <t>Priority</t>
        </is>
      </c>
      <c r="P380" s="18" t="n">
        <v>300</v>
      </c>
      <c r="Q380" s="17" t="inlineStr">
        <is>
          <t>Yes</t>
        </is>
      </c>
      <c r="R380" s="17" t="inlineStr">
        <is>
          <t>TWISTED TEA</t>
        </is>
      </c>
      <c r="S380" s="17" t="inlineStr">
        <is>
          <t>TWISTED TEA</t>
        </is>
      </c>
      <c r="T380" s="17" t="inlineStr">
        <is>
          <t>BOSTON BEER COMPANY</t>
        </is>
      </c>
      <c r="U380" s="25" t="n">
        <v>2</v>
      </c>
      <c r="V380" s="17" t="inlineStr">
        <is>
          <t>No</t>
        </is>
      </c>
      <c r="W380" s="17" t="inlineStr">
        <is>
          <t>Boston Beer (30)</t>
        </is>
      </c>
      <c r="X380" s="26" t="inlineStr">
        <is>
          <t>Possible duplicate</t>
        </is>
      </c>
      <c r="Y380" s="19" t="inlineStr">
        <is>
          <t>View Photo</t>
        </is>
      </c>
    </row>
    <row r="381">
      <c r="A381" s="17" t="inlineStr">
        <is>
          <t>D0380</t>
        </is>
      </c>
      <c r="B381" s="17" t="inlineStr">
        <is>
          <t>07/02/2026</t>
        </is>
      </c>
      <c r="C381" s="17" t="inlineStr">
        <is>
          <t>07/02/2026 10:43 AM</t>
        </is>
      </c>
      <c r="D381" s="17" t="inlineStr">
        <is>
          <t>Nicholas Micco</t>
        </is>
      </c>
      <c r="E381" s="17" t="inlineStr">
        <is>
          <t>Sales Associate</t>
        </is>
      </c>
      <c r="F381" s="17" t="inlineStr">
        <is>
          <t>Michael Engel</t>
        </is>
      </c>
      <c r="G381" s="17" t="inlineStr">
        <is>
          <t>76010</t>
        </is>
      </c>
      <c r="H381" s="17" t="inlineStr">
        <is>
          <t>USA WINE TRADERS CLUB (SADDLE BROOK)</t>
        </is>
      </c>
      <c r="I381" s="17" t="inlineStr">
        <is>
          <t>SADDLE BROOK</t>
        </is>
      </c>
      <c r="J381" s="17" t="inlineStr">
        <is>
          <t>Boston Beer</t>
        </is>
      </c>
      <c r="K381" s="25" t="n">
        <v>2</v>
      </c>
      <c r="L381" s="17" t="inlineStr">
        <is>
          <t>Bronze (20-39)</t>
        </is>
      </c>
      <c r="M381" s="18" t="n">
        <v>30</v>
      </c>
      <c r="N381" s="18" t="n">
        <v>30</v>
      </c>
      <c r="O381" s="17" t="inlineStr">
        <is>
          <t>Priority</t>
        </is>
      </c>
      <c r="P381" s="18" t="n">
        <v>300</v>
      </c>
      <c r="Q381" s="17" t="inlineStr">
        <is>
          <t>Yes</t>
        </is>
      </c>
      <c r="R381" s="17" t="inlineStr">
        <is>
          <t>TRULY</t>
        </is>
      </c>
      <c r="S381" s="17" t="inlineStr">
        <is>
          <t>TRULY</t>
        </is>
      </c>
      <c r="T381" s="17" t="inlineStr">
        <is>
          <t>BOSTON BEER COMPANY</t>
        </is>
      </c>
      <c r="U381" s="25" t="n">
        <v>1</v>
      </c>
      <c r="V381" s="17" t="inlineStr">
        <is>
          <t>No</t>
        </is>
      </c>
      <c r="W381" s="17" t="inlineStr">
        <is>
          <t>Boston Beer (30)</t>
        </is>
      </c>
      <c r="X381" s="26" t="inlineStr">
        <is>
          <t>Possible duplicate</t>
        </is>
      </c>
      <c r="Y381" s="19" t="inlineStr">
        <is>
          <t>View Photo</t>
        </is>
      </c>
    </row>
    <row r="382">
      <c r="A382" s="17" t="inlineStr">
        <is>
          <t>D0381</t>
        </is>
      </c>
      <c r="B382" s="17" t="inlineStr">
        <is>
          <t>07/02/2026</t>
        </is>
      </c>
      <c r="C382" s="17" t="inlineStr">
        <is>
          <t>07/02/2026 10:48 AM</t>
        </is>
      </c>
      <c r="D382" s="17" t="inlineStr">
        <is>
          <t>Nicholas Micco</t>
        </is>
      </c>
      <c r="E382" s="17" t="inlineStr">
        <is>
          <t>Sales Associate</t>
        </is>
      </c>
      <c r="F382" s="17" t="inlineStr">
        <is>
          <t>Michael Engel</t>
        </is>
      </c>
      <c r="G382" s="17" t="inlineStr">
        <is>
          <t>76010</t>
        </is>
      </c>
      <c r="H382" s="17" t="inlineStr">
        <is>
          <t>USA WINE TRADERS CLUB (SADDLE BROOK)</t>
        </is>
      </c>
      <c r="I382" s="17" t="inlineStr">
        <is>
          <t>SADDLE BROOK</t>
        </is>
      </c>
      <c r="J382" s="17" t="inlineStr">
        <is>
          <t>Boston Beer</t>
        </is>
      </c>
      <c r="K382" s="25" t="n">
        <v>2</v>
      </c>
      <c r="L382" s="17" t="inlineStr">
        <is>
          <t>Bronze (20-39)</t>
        </is>
      </c>
      <c r="M382" s="18" t="n">
        <v>30</v>
      </c>
      <c r="N382" s="18" t="n">
        <v>30</v>
      </c>
      <c r="O382" s="17" t="inlineStr">
        <is>
          <t>Priority</t>
        </is>
      </c>
      <c r="P382" s="18" t="n">
        <v>300</v>
      </c>
      <c r="Q382" s="17" t="inlineStr">
        <is>
          <t>Yes</t>
        </is>
      </c>
      <c r="R382" s="17" t="inlineStr">
        <is>
          <t>TWISTED TEA</t>
        </is>
      </c>
      <c r="S382" s="17" t="inlineStr">
        <is>
          <t>TWISTED TEA</t>
        </is>
      </c>
      <c r="T382" s="17" t="inlineStr">
        <is>
          <t>BOSTON BEER COMPANY</t>
        </is>
      </c>
      <c r="U382" s="25" t="n">
        <v>2</v>
      </c>
      <c r="V382" s="17" t="inlineStr">
        <is>
          <t>No</t>
        </is>
      </c>
      <c r="W382" s="17" t="inlineStr">
        <is>
          <t>Boston Beer (30)</t>
        </is>
      </c>
      <c r="X382" s="26" t="inlineStr">
        <is>
          <t>Possible duplicate</t>
        </is>
      </c>
      <c r="Y382" s="19" t="inlineStr">
        <is>
          <t>View Photo</t>
        </is>
      </c>
    </row>
    <row r="383">
      <c r="A383" s="17" t="inlineStr">
        <is>
          <t>D0382</t>
        </is>
      </c>
      <c r="B383" s="17" t="inlineStr">
        <is>
          <t>07/08/2026</t>
        </is>
      </c>
      <c r="C383" s="17" t="inlineStr">
        <is>
          <t>07/08/2026 02:47 PM</t>
        </is>
      </c>
      <c r="D383" s="17" t="inlineStr">
        <is>
          <t>Dave Ehlers</t>
        </is>
      </c>
      <c r="E383" s="17" t="inlineStr">
        <is>
          <t>Sales Rep</t>
        </is>
      </c>
      <c r="F383" s="17" t="inlineStr">
        <is>
          <t>Michael Engel</t>
        </is>
      </c>
      <c r="G383" s="17" t="inlineStr">
        <is>
          <t>58001</t>
        </is>
      </c>
      <c r="H383" s="17" t="inlineStr">
        <is>
          <t>TOTAL WINE &amp; MORE (RIVER EDGE)</t>
        </is>
      </c>
      <c r="I383" s="17" t="inlineStr">
        <is>
          <t>RIVER EDGE</t>
        </is>
      </c>
      <c r="J383" s="17" t="inlineStr">
        <is>
          <t>Boston Beer</t>
        </is>
      </c>
      <c r="K383" s="25" t="n">
        <v>2</v>
      </c>
      <c r="L383" s="17" t="inlineStr">
        <is>
          <t>Bronze (20-39)</t>
        </is>
      </c>
      <c r="M383" s="18" t="n">
        <v>30</v>
      </c>
      <c r="N383" s="18" t="n">
        <v>30</v>
      </c>
      <c r="O383" s="17" t="inlineStr">
        <is>
          <t>Priority</t>
        </is>
      </c>
      <c r="P383" s="18" t="n">
        <v>300</v>
      </c>
      <c r="Q383" s="17" t="inlineStr">
        <is>
          <t>Yes</t>
        </is>
      </c>
      <c r="R383" s="17" t="inlineStr">
        <is>
          <t>SINLESS SPIRITS</t>
        </is>
      </c>
      <c r="S383" s="17" t="inlineStr">
        <is>
          <t>SINLESS SPIRITS</t>
        </is>
      </c>
      <c r="T383" s="17" t="inlineStr">
        <is>
          <t>BOSTON BEER COMPANY</t>
        </is>
      </c>
      <c r="U383" s="25" t="n">
        <v>1</v>
      </c>
      <c r="V383" s="17" t="inlineStr">
        <is>
          <t>No</t>
        </is>
      </c>
      <c r="W383" s="17" t="inlineStr">
        <is>
          <t>Boston Beer (30)</t>
        </is>
      </c>
      <c r="X383" s="17" t="inlineStr">
        <is>
          <t>—</t>
        </is>
      </c>
      <c r="Y383" s="19" t="inlineStr">
        <is>
          <t>View Photo</t>
        </is>
      </c>
    </row>
    <row r="384">
      <c r="A384" s="17" t="inlineStr">
        <is>
          <t>D0383</t>
        </is>
      </c>
      <c r="B384" s="17" t="inlineStr">
        <is>
          <t>07/08/2026</t>
        </is>
      </c>
      <c r="C384" s="17" t="inlineStr">
        <is>
          <t>07/08/2026 09:50 AM</t>
        </is>
      </c>
      <c r="D384" s="17" t="inlineStr">
        <is>
          <t>phil Ernst</t>
        </is>
      </c>
      <c r="E384" s="17" t="inlineStr">
        <is>
          <t>Sales Rep</t>
        </is>
      </c>
      <c r="F384" s="17" t="inlineStr">
        <is>
          <t>Michael Engel</t>
        </is>
      </c>
      <c r="G384" s="17" t="inlineStr">
        <is>
          <t>83010</t>
        </is>
      </c>
      <c r="H384" s="17" t="inlineStr">
        <is>
          <t>BOTTLE KING (A) GLEN ROCK</t>
        </is>
      </c>
      <c r="I384" s="17" t="inlineStr">
        <is>
          <t>GLEN ROCK</t>
        </is>
      </c>
      <c r="J384" s="17" t="inlineStr">
        <is>
          <t>All Other: ATHLETIC BREWING COMPANY</t>
        </is>
      </c>
      <c r="K384" s="25" t="n">
        <v>2</v>
      </c>
      <c r="L384" s="17" t="inlineStr">
        <is>
          <t>Bronze (20-39)</t>
        </is>
      </c>
      <c r="M384" s="18" t="n">
        <v>30</v>
      </c>
      <c r="N384" s="18" t="n">
        <v>30</v>
      </c>
      <c r="O384" s="17" t="inlineStr">
        <is>
          <t>All Other</t>
        </is>
      </c>
      <c r="P384" s="18" t="n">
        <v>200</v>
      </c>
      <c r="Q384" s="17" t="inlineStr">
        <is>
          <t>Yes</t>
        </is>
      </c>
      <c r="R384" s="17" t="inlineStr">
        <is>
          <t>ATHLETIC BREWING COMPANY</t>
        </is>
      </c>
      <c r="S384" s="17" t="inlineStr">
        <is>
          <t>ATHLETIC BREWING COMPANY</t>
        </is>
      </c>
      <c r="T384" s="17" t="inlineStr">
        <is>
          <t>ATHLETIC BREWING COMPANY</t>
        </is>
      </c>
      <c r="U384" s="25" t="n">
        <v>1</v>
      </c>
      <c r="V384" s="17" t="inlineStr">
        <is>
          <t>No</t>
        </is>
      </c>
      <c r="W384" s="17" t="inlineStr">
        <is>
          <t>All Other: ATHLETIC BREWING COMPANY (30)</t>
        </is>
      </c>
      <c r="X384" s="17" t="inlineStr">
        <is>
          <t>—</t>
        </is>
      </c>
      <c r="Y384" s="19" t="inlineStr">
        <is>
          <t>View Photo</t>
        </is>
      </c>
    </row>
    <row r="385">
      <c r="A385" s="17" t="inlineStr">
        <is>
          <t>D0384</t>
        </is>
      </c>
      <c r="B385" s="17" t="inlineStr">
        <is>
          <t>07/10/2026</t>
        </is>
      </c>
      <c r="C385" s="17" t="inlineStr">
        <is>
          <t>07/10/2026 11:59 AM</t>
        </is>
      </c>
      <c r="D385" s="17" t="inlineStr">
        <is>
          <t>Dave Ehlers</t>
        </is>
      </c>
      <c r="E385" s="17" t="inlineStr">
        <is>
          <t>Sales Rep</t>
        </is>
      </c>
      <c r="F385" s="17" t="inlineStr">
        <is>
          <t>Michael Engel</t>
        </is>
      </c>
      <c r="G385" s="17" t="inlineStr">
        <is>
          <t>58001</t>
        </is>
      </c>
      <c r="H385" s="17" t="inlineStr">
        <is>
          <t>TOTAL WINE &amp; MORE (RIVER EDGE)</t>
        </is>
      </c>
      <c r="I385" s="17" t="inlineStr">
        <is>
          <t>RIVER EDGE</t>
        </is>
      </c>
      <c r="J385" s="17" t="inlineStr">
        <is>
          <t>HUSA (Heineken USA)</t>
        </is>
      </c>
      <c r="K385" s="25" t="n">
        <v>2</v>
      </c>
      <c r="L385" s="17" t="inlineStr">
        <is>
          <t>Bronze (20-39)</t>
        </is>
      </c>
      <c r="M385" s="18" t="n">
        <v>30</v>
      </c>
      <c r="N385" s="18" t="n">
        <v>30</v>
      </c>
      <c r="O385" s="17" t="inlineStr">
        <is>
          <t>Priority</t>
        </is>
      </c>
      <c r="P385" s="18" t="n">
        <v>300</v>
      </c>
      <c r="Q385" s="17" t="inlineStr">
        <is>
          <t>Yes</t>
        </is>
      </c>
      <c r="R385" s="17" t="inlineStr">
        <is>
          <t>DOS EQUIS</t>
        </is>
      </c>
      <c r="S385" s="17" t="inlineStr">
        <is>
          <t>DOS EQUIS</t>
        </is>
      </c>
      <c r="T385" s="17" t="inlineStr">
        <is>
          <t>HEINEKEN</t>
        </is>
      </c>
      <c r="U385" s="25" t="n">
        <v>3</v>
      </c>
      <c r="V385" s="17" t="inlineStr">
        <is>
          <t>No</t>
        </is>
      </c>
      <c r="W385" s="17" t="inlineStr">
        <is>
          <t>HUSA (Heineken USA) (30)</t>
        </is>
      </c>
      <c r="X385" s="17" t="inlineStr">
        <is>
          <t>—</t>
        </is>
      </c>
      <c r="Y385" s="19" t="inlineStr">
        <is>
          <t>View Photo</t>
        </is>
      </c>
    </row>
    <row r="386">
      <c r="A386" s="17" t="inlineStr">
        <is>
          <t>D0385</t>
        </is>
      </c>
      <c r="B386" s="17" t="inlineStr">
        <is>
          <t>07/22/2026</t>
        </is>
      </c>
      <c r="C386" s="17" t="inlineStr">
        <is>
          <t>07/22/2026 03:02 PM</t>
        </is>
      </c>
      <c r="D386" s="17" t="inlineStr">
        <is>
          <t>Mike Ast</t>
        </is>
      </c>
      <c r="E386" s="17" t="inlineStr">
        <is>
          <t>Sales Rep</t>
        </is>
      </c>
      <c r="F386" s="17" t="inlineStr">
        <is>
          <t>Paul Deady</t>
        </is>
      </c>
      <c r="G386" s="17" t="inlineStr">
        <is>
          <t>12011</t>
        </is>
      </c>
      <c r="H386" s="17" t="inlineStr">
        <is>
          <t>BOTTLE KING (A) WAYNE</t>
        </is>
      </c>
      <c r="I386" s="17" t="inlineStr">
        <is>
          <t>WAYNE</t>
        </is>
      </c>
      <c r="J386" s="17" t="inlineStr">
        <is>
          <t>Molson Coors</t>
        </is>
      </c>
      <c r="K386" s="25" t="n">
        <v>2</v>
      </c>
      <c r="L386" s="17" t="inlineStr">
        <is>
          <t>Bronze (20-39)</t>
        </is>
      </c>
      <c r="M386" s="18" t="n">
        <v>30</v>
      </c>
      <c r="N386" s="18" t="n">
        <v>30</v>
      </c>
      <c r="O386" s="17" t="inlineStr">
        <is>
          <t>Priority</t>
        </is>
      </c>
      <c r="P386" s="18" t="n">
        <v>300</v>
      </c>
      <c r="Q386" s="17" t="inlineStr">
        <is>
          <t>Yes</t>
        </is>
      </c>
      <c r="R386" s="17" t="inlineStr">
        <is>
          <t>LEINENKUGEL'S</t>
        </is>
      </c>
      <c r="S386" s="17" t="inlineStr">
        <is>
          <t>LEINENKUGEL'S</t>
        </is>
      </c>
      <c r="T386" s="17" t="inlineStr">
        <is>
          <t>MOLSON COORS BEVERAGE COMPANY</t>
        </is>
      </c>
      <c r="U386" s="25" t="n">
        <v>2</v>
      </c>
      <c r="V386" s="17" t="inlineStr">
        <is>
          <t>No</t>
        </is>
      </c>
      <c r="W386" s="17" t="inlineStr">
        <is>
          <t>Molson Coors (30)</t>
        </is>
      </c>
      <c r="X386" s="17" t="inlineStr">
        <is>
          <t>—</t>
        </is>
      </c>
      <c r="Y386" s="19" t="inlineStr">
        <is>
          <t>View Photo</t>
        </is>
      </c>
    </row>
    <row r="387">
      <c r="A387" s="17" t="inlineStr">
        <is>
          <t>D0386</t>
        </is>
      </c>
      <c r="B387" s="17" t="inlineStr">
        <is>
          <t>07/27/2026</t>
        </is>
      </c>
      <c r="C387" s="17" t="inlineStr">
        <is>
          <t>07/27/2026 11:17 AM</t>
        </is>
      </c>
      <c r="D387" s="17" t="inlineStr">
        <is>
          <t>Nicholas Micco</t>
        </is>
      </c>
      <c r="E387" s="17" t="inlineStr">
        <is>
          <t>Sales Associate</t>
        </is>
      </c>
      <c r="F387" s="17" t="inlineStr">
        <is>
          <t>Michael Engel</t>
        </is>
      </c>
      <c r="G387" s="17" t="inlineStr">
        <is>
          <t>20106</t>
        </is>
      </c>
      <c r="H387" s="17" t="inlineStr">
        <is>
          <t>SUPER WINE WAREHSE(P)PATE</t>
        </is>
      </c>
      <c r="I387" s="17" t="inlineStr">
        <is>
          <t>PATERSON</t>
        </is>
      </c>
      <c r="J387" s="17" t="inlineStr">
        <is>
          <t>Molson Coors</t>
        </is>
      </c>
      <c r="K387" s="25" t="n">
        <v>2</v>
      </c>
      <c r="L387" s="17" t="inlineStr">
        <is>
          <t>Bronze (20-39)</t>
        </is>
      </c>
      <c r="M387" s="18" t="n">
        <v>30</v>
      </c>
      <c r="N387" s="18" t="n">
        <v>30</v>
      </c>
      <c r="O387" s="17" t="inlineStr">
        <is>
          <t>Priority</t>
        </is>
      </c>
      <c r="P387" s="18" t="n">
        <v>300</v>
      </c>
      <c r="Q387" s="17" t="inlineStr">
        <is>
          <t>Yes</t>
        </is>
      </c>
      <c r="R387" s="17" t="inlineStr">
        <is>
          <t>COORS LIGHT</t>
        </is>
      </c>
      <c r="S387" s="17" t="inlineStr">
        <is>
          <t>COORS LIGHT</t>
        </is>
      </c>
      <c r="T387" s="17" t="inlineStr">
        <is>
          <t>MOLSON COORS BEVERAGE COMPANY</t>
        </is>
      </c>
      <c r="U387" s="25" t="n">
        <v>1</v>
      </c>
      <c r="V387" s="17" t="inlineStr">
        <is>
          <t>No</t>
        </is>
      </c>
      <c r="W387" s="17" t="inlineStr">
        <is>
          <t>Molson Coors (30)</t>
        </is>
      </c>
      <c r="X387" s="17" t="inlineStr">
        <is>
          <t>First of a repeat set</t>
        </is>
      </c>
      <c r="Y387" s="19" t="inlineStr">
        <is>
          <t>View Photo</t>
        </is>
      </c>
    </row>
    <row r="388">
      <c r="A388" s="17" t="inlineStr">
        <is>
          <t>D0387</t>
        </is>
      </c>
      <c r="B388" s="17" t="inlineStr">
        <is>
          <t>07/27/2026</t>
        </is>
      </c>
      <c r="C388" s="17" t="inlineStr">
        <is>
          <t>07/27/2026 11:17 AM</t>
        </is>
      </c>
      <c r="D388" s="17" t="inlineStr">
        <is>
          <t>mickey obrien</t>
        </is>
      </c>
      <c r="E388" s="17" t="inlineStr">
        <is>
          <t>Sales Associate</t>
        </is>
      </c>
      <c r="F388" s="17" t="inlineStr">
        <is>
          <t>Michael Engel</t>
        </is>
      </c>
      <c r="G388" s="17" t="inlineStr">
        <is>
          <t>20106</t>
        </is>
      </c>
      <c r="H388" s="17" t="inlineStr">
        <is>
          <t>SUPER WINE WAREHSE(P)PATE</t>
        </is>
      </c>
      <c r="I388" s="17" t="inlineStr">
        <is>
          <t>PATERSON</t>
        </is>
      </c>
      <c r="J388" s="17" t="inlineStr">
        <is>
          <t>Molson Coors</t>
        </is>
      </c>
      <c r="K388" s="25" t="n">
        <v>2</v>
      </c>
      <c r="L388" s="17" t="inlineStr">
        <is>
          <t>Bronze (20-39)</t>
        </is>
      </c>
      <c r="M388" s="18" t="n">
        <v>30</v>
      </c>
      <c r="N388" s="18" t="n">
        <v>30</v>
      </c>
      <c r="O388" s="17" t="inlineStr">
        <is>
          <t>Priority</t>
        </is>
      </c>
      <c r="P388" s="18" t="n">
        <v>300</v>
      </c>
      <c r="Q388" s="17" t="inlineStr">
        <is>
          <t>Yes</t>
        </is>
      </c>
      <c r="R388" s="17" t="inlineStr">
        <is>
          <t>COORS LIGHT</t>
        </is>
      </c>
      <c r="S388" s="17" t="inlineStr">
        <is>
          <t>COORS LIGHT</t>
        </is>
      </c>
      <c r="T388" s="17" t="inlineStr">
        <is>
          <t>MOLSON COORS BEVERAGE COMPANY</t>
        </is>
      </c>
      <c r="U388" s="25" t="n">
        <v>1</v>
      </c>
      <c r="V388" s="17" t="inlineStr">
        <is>
          <t>No</t>
        </is>
      </c>
      <c r="W388" s="17" t="inlineStr">
        <is>
          <t>Molson Coors (30)</t>
        </is>
      </c>
      <c r="X388" s="26" t="inlineStr">
        <is>
          <t>Possible duplicate</t>
        </is>
      </c>
      <c r="Y388" s="19" t="inlineStr">
        <is>
          <t>View Photo</t>
        </is>
      </c>
    </row>
    <row r="389">
      <c r="A389" s="17" t="inlineStr">
        <is>
          <t>D0388</t>
        </is>
      </c>
      <c r="B389" s="17" t="inlineStr">
        <is>
          <t>07/28/2026</t>
        </is>
      </c>
      <c r="C389" s="17" t="inlineStr">
        <is>
          <t>07/28/2026 01:04 PM</t>
        </is>
      </c>
      <c r="D389" s="17" t="inlineStr">
        <is>
          <t>Derrick laws</t>
        </is>
      </c>
      <c r="E389" s="17" t="inlineStr">
        <is>
          <t>Sales Rep</t>
        </is>
      </c>
      <c r="F389" s="17" t="inlineStr">
        <is>
          <t>Denise Montes</t>
        </is>
      </c>
      <c r="G389" s="17" t="inlineStr">
        <is>
          <t>23004</t>
        </is>
      </c>
      <c r="H389" s="17" t="inlineStr">
        <is>
          <t>SHOP RITE WINES/SPIRITS</t>
        </is>
      </c>
      <c r="I389" s="17" t="inlineStr">
        <is>
          <t>CLIFTON</t>
        </is>
      </c>
      <c r="J389" s="17" t="inlineStr">
        <is>
          <t>Constellation</t>
        </is>
      </c>
      <c r="K389" s="25" t="n">
        <v>2</v>
      </c>
      <c r="L389" s="17" t="inlineStr">
        <is>
          <t>Bronze (20-39)</t>
        </is>
      </c>
      <c r="M389" s="18" t="n">
        <v>30</v>
      </c>
      <c r="N389" s="18" t="n">
        <v>30</v>
      </c>
      <c r="O389" s="17" t="inlineStr">
        <is>
          <t>Priority</t>
        </is>
      </c>
      <c r="P389" s="18" t="n">
        <v>300</v>
      </c>
      <c r="Q389" s="17" t="inlineStr">
        <is>
          <t>Yes</t>
        </is>
      </c>
      <c r="R389" s="17" t="inlineStr">
        <is>
          <t>CORONA EXTRA</t>
        </is>
      </c>
      <c r="S389" s="17" t="inlineStr">
        <is>
          <t>CORONA EXTRA</t>
        </is>
      </c>
      <c r="T389" s="17" t="inlineStr">
        <is>
          <t>CONSTELLATION BRANDS</t>
        </is>
      </c>
      <c r="U389" s="25" t="n">
        <v>2</v>
      </c>
      <c r="V389" s="17" t="inlineStr">
        <is>
          <t>No</t>
        </is>
      </c>
      <c r="W389" s="17" t="inlineStr">
        <is>
          <t>Constellation (30)</t>
        </is>
      </c>
      <c r="X389" s="17" t="inlineStr">
        <is>
          <t>—</t>
        </is>
      </c>
      <c r="Y389" s="19" t="inlineStr">
        <is>
          <t>View Photo</t>
        </is>
      </c>
    </row>
    <row r="390">
      <c r="A390" s="17" t="inlineStr">
        <is>
          <t>D0389</t>
        </is>
      </c>
      <c r="B390" s="17" t="inlineStr">
        <is>
          <t>07/29/2026</t>
        </is>
      </c>
      <c r="C390" s="17" t="inlineStr">
        <is>
          <t>07/29/2026 01:54 PM</t>
        </is>
      </c>
      <c r="D390" s="17" t="inlineStr">
        <is>
          <t>Matthew Powierski</t>
        </is>
      </c>
      <c r="E390" s="17" t="inlineStr">
        <is>
          <t>Sales Rep</t>
        </is>
      </c>
      <c r="F390" s="17" t="inlineStr">
        <is>
          <t>Denise Montes</t>
        </is>
      </c>
      <c r="G390" s="17" t="inlineStr">
        <is>
          <t>31060</t>
        </is>
      </c>
      <c r="H390" s="17" t="inlineStr">
        <is>
          <t>BOTTLE REPUBLIC (RUTHERFORD)</t>
        </is>
      </c>
      <c r="I390" s="17" t="inlineStr">
        <is>
          <t>RUTHERFORD</t>
        </is>
      </c>
      <c r="J390" s="17" t="inlineStr">
        <is>
          <t>Constellation</t>
        </is>
      </c>
      <c r="K390" s="25" t="n">
        <v>2</v>
      </c>
      <c r="L390" s="17" t="inlineStr">
        <is>
          <t>Bronze (20-39)</t>
        </is>
      </c>
      <c r="M390" s="18" t="n">
        <v>30</v>
      </c>
      <c r="N390" s="18" t="n">
        <v>30</v>
      </c>
      <c r="O390" s="17" t="inlineStr">
        <is>
          <t>Priority</t>
        </is>
      </c>
      <c r="P390" s="18" t="n">
        <v>300</v>
      </c>
      <c r="Q390" s="17" t="inlineStr">
        <is>
          <t>Yes</t>
        </is>
      </c>
      <c r="R390" s="17" t="inlineStr">
        <is>
          <t>MODELO CERVEZA</t>
        </is>
      </c>
      <c r="S390" s="17" t="inlineStr">
        <is>
          <t>MODELO CERVEZA</t>
        </is>
      </c>
      <c r="T390" s="17" t="inlineStr">
        <is>
          <t>CONSTELLATION BRANDS</t>
        </is>
      </c>
      <c r="U390" s="25" t="n">
        <v>1</v>
      </c>
      <c r="V390" s="17" t="inlineStr">
        <is>
          <t>No</t>
        </is>
      </c>
      <c r="W390" s="17" t="inlineStr">
        <is>
          <t>Constellation (30)</t>
        </is>
      </c>
      <c r="X390" s="17" t="inlineStr">
        <is>
          <t>—</t>
        </is>
      </c>
      <c r="Y390" s="19" t="inlineStr">
        <is>
          <t>View Photo</t>
        </is>
      </c>
    </row>
    <row r="391">
      <c r="A391" s="17" t="inlineStr">
        <is>
          <t>D0390</t>
        </is>
      </c>
      <c r="B391" s="17" t="inlineStr">
        <is>
          <t>08/06/2026</t>
        </is>
      </c>
      <c r="C391" s="17" t="inlineStr">
        <is>
          <t>08/06/2026 01:38 PM</t>
        </is>
      </c>
      <c r="D391" s="17" t="inlineStr">
        <is>
          <t>Javier Melo</t>
        </is>
      </c>
      <c r="E391" s="17" t="inlineStr">
        <is>
          <t>Sales Rep</t>
        </is>
      </c>
      <c r="F391" s="17" t="inlineStr">
        <is>
          <t>Denise Montes</t>
        </is>
      </c>
      <c r="G391" s="17" t="inlineStr">
        <is>
          <t>21044</t>
        </is>
      </c>
      <c r="H391" s="17" t="inlineStr">
        <is>
          <t>FARM BOY</t>
        </is>
      </c>
      <c r="I391" s="17" t="inlineStr">
        <is>
          <t>PATERSON</t>
        </is>
      </c>
      <c r="J391" s="17" t="inlineStr">
        <is>
          <t>Boston Beer</t>
        </is>
      </c>
      <c r="K391" s="25" t="n">
        <v>2</v>
      </c>
      <c r="L391" s="17" t="inlineStr">
        <is>
          <t>Bronze (20-39)</t>
        </is>
      </c>
      <c r="M391" s="18" t="n">
        <v>30</v>
      </c>
      <c r="N391" s="18" t="n">
        <v>30</v>
      </c>
      <c r="O391" s="17" t="inlineStr">
        <is>
          <t>Priority</t>
        </is>
      </c>
      <c r="P391" s="18" t="n">
        <v>300</v>
      </c>
      <c r="Q391" s="17" t="inlineStr">
        <is>
          <t>Yes</t>
        </is>
      </c>
      <c r="R391" s="17" t="inlineStr">
        <is>
          <t>LYTT</t>
        </is>
      </c>
      <c r="S391" s="17" t="inlineStr">
        <is>
          <t>LYTT</t>
        </is>
      </c>
      <c r="T391" s="17" t="inlineStr">
        <is>
          <t>BOSTON BEER COMPANY</t>
        </is>
      </c>
      <c r="U391" s="25" t="n">
        <v>1</v>
      </c>
      <c r="V391" s="17" t="inlineStr">
        <is>
          <t>No</t>
        </is>
      </c>
      <c r="W391" s="17" t="inlineStr">
        <is>
          <t>Boston Beer (30)</t>
        </is>
      </c>
      <c r="X391" s="17" t="inlineStr">
        <is>
          <t>First of a repeat set</t>
        </is>
      </c>
      <c r="Y391" s="19" t="inlineStr">
        <is>
          <t>View Photo</t>
        </is>
      </c>
    </row>
    <row r="392">
      <c r="A392" s="17" t="inlineStr">
        <is>
          <t>D0391</t>
        </is>
      </c>
      <c r="B392" s="17" t="inlineStr">
        <is>
          <t>08/06/2026</t>
        </is>
      </c>
      <c r="C392" s="17" t="inlineStr">
        <is>
          <t>08/06/2026 02:38 PM</t>
        </is>
      </c>
      <c r="D392" s="17" t="inlineStr">
        <is>
          <t>patrick infante</t>
        </is>
      </c>
      <c r="E392" s="17" t="inlineStr">
        <is>
          <t>Sales Associate</t>
        </is>
      </c>
      <c r="F392" s="17" t="inlineStr">
        <is>
          <t>Denise Montes</t>
        </is>
      </c>
      <c r="G392" s="17" t="inlineStr">
        <is>
          <t>21044</t>
        </is>
      </c>
      <c r="H392" s="17" t="inlineStr">
        <is>
          <t>FARM BOY</t>
        </is>
      </c>
      <c r="I392" s="17" t="inlineStr">
        <is>
          <t>PATERSON</t>
        </is>
      </c>
      <c r="J392" s="17" t="inlineStr">
        <is>
          <t>Boston Beer</t>
        </is>
      </c>
      <c r="K392" s="25" t="n">
        <v>2</v>
      </c>
      <c r="L392" s="17" t="inlineStr">
        <is>
          <t>Bronze (20-39)</t>
        </is>
      </c>
      <c r="M392" s="18" t="n">
        <v>30</v>
      </c>
      <c r="N392" s="18" t="n">
        <v>30</v>
      </c>
      <c r="O392" s="17" t="inlineStr">
        <is>
          <t>Priority</t>
        </is>
      </c>
      <c r="P392" s="18" t="n">
        <v>300</v>
      </c>
      <c r="Q392" s="17" t="inlineStr">
        <is>
          <t>Yes</t>
        </is>
      </c>
      <c r="R392" s="17" t="inlineStr">
        <is>
          <t>LYTT</t>
        </is>
      </c>
      <c r="S392" s="17" t="inlineStr">
        <is>
          <t>LYTT</t>
        </is>
      </c>
      <c r="T392" s="17" t="inlineStr">
        <is>
          <t>BOSTON BEER COMPANY</t>
        </is>
      </c>
      <c r="U392" s="25" t="n">
        <v>1</v>
      </c>
      <c r="V392" s="17" t="inlineStr">
        <is>
          <t>No</t>
        </is>
      </c>
      <c r="W392" s="17" t="inlineStr">
        <is>
          <t>Boston Beer (30)</t>
        </is>
      </c>
      <c r="X392" s="26" t="inlineStr">
        <is>
          <t>Possible duplicate</t>
        </is>
      </c>
      <c r="Y392" s="19" t="inlineStr">
        <is>
          <t>View Photo</t>
        </is>
      </c>
    </row>
    <row r="393">
      <c r="A393" s="17" t="inlineStr">
        <is>
          <t>D0392</t>
        </is>
      </c>
      <c r="B393" s="17" t="inlineStr">
        <is>
          <t>08/12/2026</t>
        </is>
      </c>
      <c r="C393" s="17" t="inlineStr">
        <is>
          <t>08/12/2026 10:46 AM</t>
        </is>
      </c>
      <c r="D393" s="17" t="inlineStr">
        <is>
          <t>Todd Ewell</t>
        </is>
      </c>
      <c r="E393" s="17" t="inlineStr">
        <is>
          <t>Sales Associate</t>
        </is>
      </c>
      <c r="F393" s="17" t="inlineStr">
        <is>
          <t>Paul Deady</t>
        </is>
      </c>
      <c r="G393" s="17" t="inlineStr">
        <is>
          <t>191010</t>
        </is>
      </c>
      <c r="H393" s="17" t="inlineStr">
        <is>
          <t>LIQUOR FACTORY II JEFFERSON</t>
        </is>
      </c>
      <c r="I393" s="17" t="inlineStr">
        <is>
          <t>LAKE HOPATCONG</t>
        </is>
      </c>
      <c r="J393" s="17" t="inlineStr">
        <is>
          <t>Constellation</t>
        </is>
      </c>
      <c r="K393" s="25" t="n">
        <v>2</v>
      </c>
      <c r="L393" s="17" t="inlineStr">
        <is>
          <t>Bronze (20-39)</t>
        </is>
      </c>
      <c r="M393" s="18" t="n">
        <v>30</v>
      </c>
      <c r="N393" s="18" t="n">
        <v>30</v>
      </c>
      <c r="O393" s="17" t="inlineStr">
        <is>
          <t>Priority</t>
        </is>
      </c>
      <c r="P393" s="18" t="n">
        <v>300</v>
      </c>
      <c r="Q393" s="17" t="inlineStr">
        <is>
          <t>Yes</t>
        </is>
      </c>
      <c r="R393" s="17" t="inlineStr">
        <is>
          <t>CORONA EXTRA</t>
        </is>
      </c>
      <c r="S393" s="17" t="inlineStr">
        <is>
          <t>CORONA EXTRA</t>
        </is>
      </c>
      <c r="T393" s="17" t="inlineStr">
        <is>
          <t>CONSTELLATION BRANDS</t>
        </is>
      </c>
      <c r="U393" s="25" t="n">
        <v>1</v>
      </c>
      <c r="V393" s="17" t="inlineStr">
        <is>
          <t>No</t>
        </is>
      </c>
      <c r="W393" s="17" t="inlineStr">
        <is>
          <t>Constellation (30)</t>
        </is>
      </c>
      <c r="X393" s="17" t="inlineStr">
        <is>
          <t>—</t>
        </is>
      </c>
      <c r="Y393" s="19" t="inlineStr">
        <is>
          <t>View Photo</t>
        </is>
      </c>
    </row>
    <row r="394">
      <c r="A394" s="17" t="inlineStr">
        <is>
          <t>D0393</t>
        </is>
      </c>
      <c r="B394" s="17" t="inlineStr">
        <is>
          <t>08/12/2026</t>
        </is>
      </c>
      <c r="C394" s="17" t="inlineStr">
        <is>
          <t>08/12/2026 11:26 AM</t>
        </is>
      </c>
      <c r="D394" s="17" t="inlineStr">
        <is>
          <t>mickey obrien</t>
        </is>
      </c>
      <c r="E394" s="17" t="inlineStr">
        <is>
          <t>Sales Associate</t>
        </is>
      </c>
      <c r="F394" s="17" t="inlineStr">
        <is>
          <t>Michael Engel</t>
        </is>
      </c>
      <c r="G394" s="17" t="inlineStr">
        <is>
          <t>40010</t>
        </is>
      </c>
      <c r="H394" s="17" t="inlineStr">
        <is>
          <t>HACKENSACK LIQUORS</t>
        </is>
      </c>
      <c r="I394" s="17" t="inlineStr">
        <is>
          <t>HACKENSACK</t>
        </is>
      </c>
      <c r="J394" s="17" t="inlineStr">
        <is>
          <t>Molson Coors</t>
        </is>
      </c>
      <c r="K394" s="25" t="n">
        <v>2</v>
      </c>
      <c r="L394" s="17" t="inlineStr">
        <is>
          <t>Bronze (20-39)</t>
        </is>
      </c>
      <c r="M394" s="18" t="n">
        <v>30</v>
      </c>
      <c r="N394" s="18" t="n">
        <v>30</v>
      </c>
      <c r="O394" s="17" t="inlineStr">
        <is>
          <t>Priority</t>
        </is>
      </c>
      <c r="P394" s="18" t="n">
        <v>300</v>
      </c>
      <c r="Q394" s="17" t="inlineStr">
        <is>
          <t>Yes</t>
        </is>
      </c>
      <c r="R394" s="17" t="inlineStr">
        <is>
          <t>COORS LIGHT</t>
        </is>
      </c>
      <c r="S394" s="17" t="inlineStr">
        <is>
          <t>COORS LIGHT</t>
        </is>
      </c>
      <c r="T394" s="17" t="inlineStr">
        <is>
          <t>MOLSON COORS BEVERAGE COMPANY</t>
        </is>
      </c>
      <c r="U394" s="25" t="n">
        <v>1</v>
      </c>
      <c r="V394" s="17" t="inlineStr">
        <is>
          <t>No</t>
        </is>
      </c>
      <c r="W394" s="17" t="inlineStr">
        <is>
          <t>Molson Coors (30)</t>
        </is>
      </c>
      <c r="X394" s="17" t="inlineStr">
        <is>
          <t>—</t>
        </is>
      </c>
      <c r="Y394" s="19" t="inlineStr">
        <is>
          <t>View Photo</t>
        </is>
      </c>
    </row>
    <row r="395">
      <c r="A395" s="17" t="inlineStr">
        <is>
          <t>D0394</t>
        </is>
      </c>
      <c r="B395" s="17" t="inlineStr">
        <is>
          <t>08/21/2026</t>
        </is>
      </c>
      <c r="C395" s="17" t="inlineStr">
        <is>
          <t>08/21/2026 01:26 PM</t>
        </is>
      </c>
      <c r="D395" s="17" t="inlineStr">
        <is>
          <t>Dave Ehlers</t>
        </is>
      </c>
      <c r="E395" s="17" t="inlineStr">
        <is>
          <t>Sales Rep</t>
        </is>
      </c>
      <c r="F395" s="17" t="inlineStr">
        <is>
          <t>Michael Engel</t>
        </is>
      </c>
      <c r="G395" s="17" t="inlineStr">
        <is>
          <t>58001</t>
        </is>
      </c>
      <c r="H395" s="17" t="inlineStr">
        <is>
          <t>TOTAL WINE &amp; MORE (RIVER EDGE)</t>
        </is>
      </c>
      <c r="I395" s="17" t="inlineStr">
        <is>
          <t>RIVER EDGE</t>
        </is>
      </c>
      <c r="J395" s="17" t="inlineStr">
        <is>
          <t>Molson Coors</t>
        </is>
      </c>
      <c r="K395" s="25" t="n">
        <v>2</v>
      </c>
      <c r="L395" s="17" t="inlineStr">
        <is>
          <t>Bronze (20-39)</t>
        </is>
      </c>
      <c r="M395" s="18" t="n">
        <v>30</v>
      </c>
      <c r="N395" s="18" t="n">
        <v>30</v>
      </c>
      <c r="O395" s="17" t="inlineStr">
        <is>
          <t>Priority</t>
        </is>
      </c>
      <c r="P395" s="18" t="n">
        <v>300</v>
      </c>
      <c r="Q395" s="17" t="inlineStr">
        <is>
          <t>Yes</t>
        </is>
      </c>
      <c r="R395" s="17" t="inlineStr">
        <is>
          <t>KEYSTONE BEER</t>
        </is>
      </c>
      <c r="S395" s="17" t="inlineStr">
        <is>
          <t>KEYSTONE BEER</t>
        </is>
      </c>
      <c r="T395" s="17" t="inlineStr">
        <is>
          <t>MOLSON COORS BEVERAGE COMPANY</t>
        </is>
      </c>
      <c r="U395" s="25" t="n">
        <v>1</v>
      </c>
      <c r="V395" s="17" t="inlineStr">
        <is>
          <t>No</t>
        </is>
      </c>
      <c r="W395" s="17" t="inlineStr">
        <is>
          <t>Molson Coors (30)</t>
        </is>
      </c>
      <c r="X395" s="17" t="inlineStr">
        <is>
          <t>—</t>
        </is>
      </c>
      <c r="Y395" s="19" t="inlineStr">
        <is>
          <t>View Photo</t>
        </is>
      </c>
    </row>
    <row r="396">
      <c r="A396" s="17" t="inlineStr">
        <is>
          <t>D0395</t>
        </is>
      </c>
      <c r="B396" s="17" t="inlineStr">
        <is>
          <t>08/18/2026</t>
        </is>
      </c>
      <c r="C396" s="17" t="inlineStr">
        <is>
          <t>08/18/2026 11:35 AM</t>
        </is>
      </c>
      <c r="D396" s="17" t="inlineStr">
        <is>
          <t>John O’Donoghue</t>
        </is>
      </c>
      <c r="E396" s="17" t="inlineStr">
        <is>
          <t>Sales Rep</t>
        </is>
      </c>
      <c r="F396" s="17" t="inlineStr">
        <is>
          <t>Mike Kennedy</t>
        </is>
      </c>
      <c r="G396" s="17" t="inlineStr">
        <is>
          <t>190711</t>
        </is>
      </c>
      <c r="H396" s="17" t="inlineStr">
        <is>
          <t>SHOP RITE LIQUORS</t>
        </is>
      </c>
      <c r="I396" s="17" t="inlineStr">
        <is>
          <t>ROCKAWAY</t>
        </is>
      </c>
      <c r="J396" s="17" t="inlineStr">
        <is>
          <t>All Other: F.X. MATT BREWING COMPANY</t>
        </is>
      </c>
      <c r="K396" s="25" t="n">
        <v>2</v>
      </c>
      <c r="L396" s="17" t="inlineStr">
        <is>
          <t>Bronze (20-39)</t>
        </is>
      </c>
      <c r="M396" s="18" t="n">
        <v>29</v>
      </c>
      <c r="N396" s="18" t="n">
        <v>9</v>
      </c>
      <c r="O396" s="17" t="inlineStr">
        <is>
          <t>All Other</t>
        </is>
      </c>
      <c r="P396" s="18" t="n">
        <v>200</v>
      </c>
      <c r="Q396" s="17" t="inlineStr">
        <is>
          <t>Yes</t>
        </is>
      </c>
      <c r="R396" s="17" t="inlineStr">
        <is>
          <t>SARANAC BREWERY</t>
        </is>
      </c>
      <c r="S396" s="17" t="inlineStr">
        <is>
          <t>FLYING DOG SEASONAL RELEASE, HOFBRAU, LONG TRAIL BREWING CO, SARANAC BREWERY, WHOLE HOG</t>
        </is>
      </c>
      <c r="T396" s="17" t="inlineStr">
        <is>
          <t>BARREL ONE COLLECTIVE, F.X. MATT BREWING COMPANY, FLYING DOG BREWERY, HOFBRAU, STEVEN'S POINT BREWERY</t>
        </is>
      </c>
      <c r="U396" s="25" t="n">
        <v>6</v>
      </c>
      <c r="V396" s="17" t="inlineStr">
        <is>
          <t>Yes</t>
        </is>
      </c>
      <c r="W396" s="17" t="inlineStr">
        <is>
          <t>All Other: F.X. MATT BREWING COMPANY (9) + All Other: BARREL ONE COLLECTIVE (5) + All Other: HOFBRAU (5) + All Other: FLYING DOG BREWERY (5) + All Other: STEVEN'S POINT BREWERY (5)</t>
        </is>
      </c>
      <c r="X396" s="17" t="inlineStr">
        <is>
          <t>—</t>
        </is>
      </c>
      <c r="Y396" s="19" t="inlineStr">
        <is>
          <t>View Photo</t>
        </is>
      </c>
    </row>
    <row r="397">
      <c r="A397" s="17" t="inlineStr">
        <is>
          <t>D0396</t>
        </is>
      </c>
      <c r="B397" s="17" t="inlineStr">
        <is>
          <t>07/29/2026</t>
        </is>
      </c>
      <c r="C397" s="17" t="inlineStr">
        <is>
          <t>07/29/2026 11:46 AM</t>
        </is>
      </c>
      <c r="D397" s="17" t="inlineStr">
        <is>
          <t>mickey obrien</t>
        </is>
      </c>
      <c r="E397" s="17" t="inlineStr">
        <is>
          <t>Sales Associate</t>
        </is>
      </c>
      <c r="F397" s="17" t="inlineStr">
        <is>
          <t>Denise Montes</t>
        </is>
      </c>
      <c r="G397" s="17" t="inlineStr">
        <is>
          <t>31060</t>
        </is>
      </c>
      <c r="H397" s="17" t="inlineStr">
        <is>
          <t>BOTTLE REPUBLIC (RUTHERFORD)</t>
        </is>
      </c>
      <c r="I397" s="17" t="inlineStr">
        <is>
          <t>RUTHERFORD</t>
        </is>
      </c>
      <c r="J397" s="17" t="inlineStr">
        <is>
          <t>Boston Beer</t>
        </is>
      </c>
      <c r="K397" s="25" t="n">
        <v>2</v>
      </c>
      <c r="L397" s="17" t="inlineStr">
        <is>
          <t>Bronze (20-39)</t>
        </is>
      </c>
      <c r="M397" s="18" t="n">
        <v>28</v>
      </c>
      <c r="N397" s="18" t="n">
        <v>28</v>
      </c>
      <c r="O397" s="17" t="inlineStr">
        <is>
          <t>Priority</t>
        </is>
      </c>
      <c r="P397" s="18" t="n">
        <v>300</v>
      </c>
      <c r="Q397" s="17" t="inlineStr">
        <is>
          <t>Yes</t>
        </is>
      </c>
      <c r="R397" s="17" t="inlineStr">
        <is>
          <t>SUN CRUISER ICED TEA VODKA</t>
        </is>
      </c>
      <c r="S397" s="17" t="inlineStr">
        <is>
          <t>SUN CRUISER ICED TEA VODKA</t>
        </is>
      </c>
      <c r="T397" s="17" t="inlineStr">
        <is>
          <t>BOSTON BEER COMPANY</t>
        </is>
      </c>
      <c r="U397" s="25" t="n">
        <v>3</v>
      </c>
      <c r="V397" s="17" t="inlineStr">
        <is>
          <t>No</t>
        </is>
      </c>
      <c r="W397" s="17" t="inlineStr">
        <is>
          <t>Boston Beer (28)</t>
        </is>
      </c>
      <c r="X397" s="17" t="inlineStr">
        <is>
          <t>—</t>
        </is>
      </c>
      <c r="Y397" s="19" t="inlineStr">
        <is>
          <t>View Photo</t>
        </is>
      </c>
    </row>
    <row r="398">
      <c r="A398" s="17" t="inlineStr">
        <is>
          <t>D0397</t>
        </is>
      </c>
      <c r="B398" s="17" t="inlineStr">
        <is>
          <t>07/29/2026</t>
        </is>
      </c>
      <c r="C398" s="17" t="inlineStr">
        <is>
          <t>07/29/2026 11:46 AM</t>
        </is>
      </c>
      <c r="D398" s="17" t="inlineStr">
        <is>
          <t>patrick infante</t>
        </is>
      </c>
      <c r="E398" s="17" t="inlineStr">
        <is>
          <t>Sales Associate</t>
        </is>
      </c>
      <c r="F398" s="17" t="inlineStr">
        <is>
          <t>Denise Montes</t>
        </is>
      </c>
      <c r="G398" s="17" t="inlineStr">
        <is>
          <t>31060</t>
        </is>
      </c>
      <c r="H398" s="17" t="inlineStr">
        <is>
          <t>BOTTLE REPUBLIC (RUTHERFORD)</t>
        </is>
      </c>
      <c r="I398" s="17" t="inlineStr">
        <is>
          <t>RUTHERFORD</t>
        </is>
      </c>
      <c r="J398" s="17" t="inlineStr">
        <is>
          <t>Boston Beer</t>
        </is>
      </c>
      <c r="K398" s="25" t="n">
        <v>2</v>
      </c>
      <c r="L398" s="17" t="inlineStr">
        <is>
          <t>Bronze (20-39)</t>
        </is>
      </c>
      <c r="M398" s="18" t="n">
        <v>28</v>
      </c>
      <c r="N398" s="18" t="n">
        <v>28</v>
      </c>
      <c r="O398" s="17" t="inlineStr">
        <is>
          <t>Priority</t>
        </is>
      </c>
      <c r="P398" s="18" t="n">
        <v>300</v>
      </c>
      <c r="Q398" s="17" t="inlineStr">
        <is>
          <t>Yes</t>
        </is>
      </c>
      <c r="R398" s="17" t="inlineStr">
        <is>
          <t>SUN CRUISER LEMONADE</t>
        </is>
      </c>
      <c r="S398" s="17" t="inlineStr">
        <is>
          <t>SUN CRUISER LEMONADE</t>
        </is>
      </c>
      <c r="T398" s="17" t="inlineStr">
        <is>
          <t>BOSTON BEER COMPANY</t>
        </is>
      </c>
      <c r="U398" s="25" t="n">
        <v>3</v>
      </c>
      <c r="V398" s="17" t="inlineStr">
        <is>
          <t>No</t>
        </is>
      </c>
      <c r="W398" s="17" t="inlineStr">
        <is>
          <t>Boston Beer (28)</t>
        </is>
      </c>
      <c r="X398" s="17" t="inlineStr">
        <is>
          <t>—</t>
        </is>
      </c>
      <c r="Y398" s="19" t="inlineStr">
        <is>
          <t>View Photo</t>
        </is>
      </c>
    </row>
    <row r="399">
      <c r="A399" s="17" t="inlineStr">
        <is>
          <t>D0398</t>
        </is>
      </c>
      <c r="B399" s="17" t="inlineStr">
        <is>
          <t>08/03/2026</t>
        </is>
      </c>
      <c r="C399" s="17" t="inlineStr">
        <is>
          <t>08/03/2026 11:41 AM</t>
        </is>
      </c>
      <c r="D399" s="17" t="inlineStr">
        <is>
          <t>Jay Tabasco</t>
        </is>
      </c>
      <c r="E399" s="17" t="inlineStr">
        <is>
          <t>Sales Associate</t>
        </is>
      </c>
      <c r="F399" s="17" t="inlineStr">
        <is>
          <t>Paul Deady</t>
        </is>
      </c>
      <c r="G399" s="17" t="inlineStr">
        <is>
          <t>67005</t>
        </is>
      </c>
      <c r="H399" s="17" t="inlineStr">
        <is>
          <t>SHOPRITE LIQ (A)NORTHVLE</t>
        </is>
      </c>
      <c r="I399" s="17" t="inlineStr">
        <is>
          <t>NORTHVALE</t>
        </is>
      </c>
      <c r="J399" s="17" t="inlineStr">
        <is>
          <t>HUSA (Heineken USA)</t>
        </is>
      </c>
      <c r="K399" s="25" t="n">
        <v>2</v>
      </c>
      <c r="L399" s="17" t="inlineStr">
        <is>
          <t>Bronze (20-39)</t>
        </is>
      </c>
      <c r="M399" s="18" t="n">
        <v>28</v>
      </c>
      <c r="N399" s="18" t="n">
        <v>28</v>
      </c>
      <c r="O399" s="17" t="inlineStr">
        <is>
          <t>Priority</t>
        </is>
      </c>
      <c r="P399" s="18" t="n">
        <v>300</v>
      </c>
      <c r="Q399" s="17" t="inlineStr">
        <is>
          <t>Yes</t>
        </is>
      </c>
      <c r="R399" s="17" t="inlineStr">
        <is>
          <t>HEINEKEN</t>
        </is>
      </c>
      <c r="S399" s="17" t="inlineStr">
        <is>
          <t>HEINEKEN</t>
        </is>
      </c>
      <c r="T399" s="17" t="inlineStr">
        <is>
          <t>HEINEKEN</t>
        </is>
      </c>
      <c r="U399" s="25" t="n">
        <v>1</v>
      </c>
      <c r="V399" s="17" t="inlineStr">
        <is>
          <t>No</t>
        </is>
      </c>
      <c r="W399" s="17" t="inlineStr">
        <is>
          <t>HUSA (Heineken USA) (28)</t>
        </is>
      </c>
      <c r="X399" s="17" t="inlineStr">
        <is>
          <t>—</t>
        </is>
      </c>
      <c r="Y399" s="19" t="inlineStr">
        <is>
          <t>View Photo</t>
        </is>
      </c>
    </row>
    <row r="400">
      <c r="A400" s="17" t="inlineStr">
        <is>
          <t>D0399</t>
        </is>
      </c>
      <c r="B400" s="17" t="inlineStr">
        <is>
          <t>08/25/2026</t>
        </is>
      </c>
      <c r="C400" s="17" t="inlineStr">
        <is>
          <t>08/25/2026 12:39 PM</t>
        </is>
      </c>
      <c r="D400" s="17" t="inlineStr">
        <is>
          <t>Mike Ast</t>
        </is>
      </c>
      <c r="E400" s="17" t="inlineStr">
        <is>
          <t>Sales Rep</t>
        </is>
      </c>
      <c r="F400" s="17" t="inlineStr">
        <is>
          <t>Paul Deady</t>
        </is>
      </c>
      <c r="G400" s="17" t="inlineStr">
        <is>
          <t>94001</t>
        </is>
      </c>
      <c r="H400" s="17" t="inlineStr">
        <is>
          <t>LONG HILL LIQUORS (A)</t>
        </is>
      </c>
      <c r="I400" s="17" t="inlineStr">
        <is>
          <t>OAKLAND</t>
        </is>
      </c>
      <c r="J400" s="17" t="inlineStr">
        <is>
          <t>All Other: TOTAL BEVERAGE SOLUTION</t>
        </is>
      </c>
      <c r="K400" s="25" t="n">
        <v>2</v>
      </c>
      <c r="L400" s="17" t="inlineStr">
        <is>
          <t>Bronze (20-39)</t>
        </is>
      </c>
      <c r="M400" s="18" t="n">
        <v>28</v>
      </c>
      <c r="N400" s="18" t="n">
        <v>9</v>
      </c>
      <c r="O400" s="17" t="inlineStr">
        <is>
          <t>All Other</t>
        </is>
      </c>
      <c r="P400" s="18" t="n">
        <v>200</v>
      </c>
      <c r="Q400" s="17" t="inlineStr">
        <is>
          <t>Yes</t>
        </is>
      </c>
      <c r="R400" s="17" t="inlineStr">
        <is>
          <t>SHIPYARD BREWING COMPANY</t>
        </is>
      </c>
      <c r="S400" s="17" t="inlineStr">
        <is>
          <t>SHIPYARD BREWING COMPANY, SOUTHERN TIER BREWING COMPANY, STEVENS POINT BREWERY, YUENGLING BREWERY</t>
        </is>
      </c>
      <c r="T400" s="17" t="inlineStr">
        <is>
          <t>ARTISANAL BREWING VENTURES (EBI), STEVEN'S POINT BREWERY, TOTAL BEVERAGE SOLUTION, YUENGLING BREWERY</t>
        </is>
      </c>
      <c r="U400" s="25" t="n">
        <v>4</v>
      </c>
      <c r="V400" s="17" t="inlineStr">
        <is>
          <t>Yes</t>
        </is>
      </c>
      <c r="W400" s="17" t="inlineStr">
        <is>
          <t>All Other: TOTAL BEVERAGE SOLUTION (9) + All Other: ARTISANAL BREWING VENTURES (EBI) (8) + All Other: STEVEN'S POINT BREWERY (6) + Yuengling (5)</t>
        </is>
      </c>
      <c r="X400" s="17" t="inlineStr">
        <is>
          <t>—</t>
        </is>
      </c>
      <c r="Y400" s="19" t="inlineStr">
        <is>
          <t>View Photo</t>
        </is>
      </c>
    </row>
    <row r="401">
      <c r="A401" s="17" t="inlineStr">
        <is>
          <t>D0400</t>
        </is>
      </c>
      <c r="B401" s="17" t="inlineStr">
        <is>
          <t>07/02/2026</t>
        </is>
      </c>
      <c r="C401" s="17" t="inlineStr">
        <is>
          <t>07/02/2026 01:55 PM</t>
        </is>
      </c>
      <c r="D401" s="17" t="inlineStr">
        <is>
          <t>phil Ernst</t>
        </is>
      </c>
      <c r="E401" s="17" t="inlineStr">
        <is>
          <t>Sales Rep</t>
        </is>
      </c>
      <c r="F401" s="17" t="inlineStr">
        <is>
          <t>Michael Engel</t>
        </is>
      </c>
      <c r="G401" s="17" t="inlineStr">
        <is>
          <t>83010</t>
        </is>
      </c>
      <c r="H401" s="17" t="inlineStr">
        <is>
          <t>BOTTLE KING (A) GLEN ROCK</t>
        </is>
      </c>
      <c r="I401" s="17" t="inlineStr">
        <is>
          <t>GLEN ROCK</t>
        </is>
      </c>
      <c r="J401" s="17" t="inlineStr">
        <is>
          <t>Boston Beer</t>
        </is>
      </c>
      <c r="K401" s="25" t="n">
        <v>2</v>
      </c>
      <c r="L401" s="17" t="inlineStr">
        <is>
          <t>Bronze (20-39)</t>
        </is>
      </c>
      <c r="M401" s="18" t="n">
        <v>26</v>
      </c>
      <c r="N401" s="18" t="n">
        <v>26</v>
      </c>
      <c r="O401" s="17" t="inlineStr">
        <is>
          <t>Priority</t>
        </is>
      </c>
      <c r="P401" s="18" t="n">
        <v>300</v>
      </c>
      <c r="Q401" s="17" t="inlineStr">
        <is>
          <t>Yes</t>
        </is>
      </c>
      <c r="R401" s="17" t="inlineStr">
        <is>
          <t>TWISTED TEA</t>
        </is>
      </c>
      <c r="S401" s="17" t="inlineStr">
        <is>
          <t>TWISTED TEA</t>
        </is>
      </c>
      <c r="T401" s="17" t="inlineStr">
        <is>
          <t>BOSTON BEER COMPANY</t>
        </is>
      </c>
      <c r="U401" s="25" t="n">
        <v>4</v>
      </c>
      <c r="V401" s="17" t="inlineStr">
        <is>
          <t>No</t>
        </is>
      </c>
      <c r="W401" s="17" t="inlineStr">
        <is>
          <t>Boston Beer (26)</t>
        </is>
      </c>
      <c r="X401" s="17" t="inlineStr">
        <is>
          <t>—</t>
        </is>
      </c>
      <c r="Y401" s="19" t="inlineStr">
        <is>
          <t>View Photo</t>
        </is>
      </c>
    </row>
    <row r="402">
      <c r="A402" s="17" t="inlineStr">
        <is>
          <t>D0401</t>
        </is>
      </c>
      <c r="B402" s="17" t="inlineStr">
        <is>
          <t>07/08/2026</t>
        </is>
      </c>
      <c r="C402" s="17" t="inlineStr">
        <is>
          <t>07/08/2026 10:21 AM</t>
        </is>
      </c>
      <c r="D402" s="17" t="inlineStr">
        <is>
          <t>mickey obrien</t>
        </is>
      </c>
      <c r="E402" s="17" t="inlineStr">
        <is>
          <t>Sales Associate</t>
        </is>
      </c>
      <c r="F402" s="17" t="inlineStr">
        <is>
          <t>Michael Engel</t>
        </is>
      </c>
      <c r="G402" s="17" t="inlineStr">
        <is>
          <t>49027</t>
        </is>
      </c>
      <c r="H402" s="17" t="inlineStr">
        <is>
          <t>LINWOOD WINE-LINWOOD PLAZA</t>
        </is>
      </c>
      <c r="I402" s="17" t="inlineStr">
        <is>
          <t>FORT LEE</t>
        </is>
      </c>
      <c r="J402" s="17" t="inlineStr">
        <is>
          <t>Constellation</t>
        </is>
      </c>
      <c r="K402" s="25" t="n">
        <v>2</v>
      </c>
      <c r="L402" s="17" t="inlineStr">
        <is>
          <t>Bronze (20-39)</t>
        </is>
      </c>
      <c r="M402" s="18" t="n">
        <v>26</v>
      </c>
      <c r="N402" s="18" t="n">
        <v>26</v>
      </c>
      <c r="O402" s="17" t="inlineStr">
        <is>
          <t>Priority</t>
        </is>
      </c>
      <c r="P402" s="18" t="n">
        <v>300</v>
      </c>
      <c r="Q402" s="17" t="inlineStr">
        <is>
          <t>Yes</t>
        </is>
      </c>
      <c r="R402" s="17" t="inlineStr">
        <is>
          <t>CORONA EXTRA</t>
        </is>
      </c>
      <c r="S402" s="17" t="inlineStr">
        <is>
          <t>CORONA EXTRA</t>
        </is>
      </c>
      <c r="T402" s="17" t="inlineStr">
        <is>
          <t>CONSTELLATION BRANDS</t>
        </is>
      </c>
      <c r="U402" s="25" t="n">
        <v>1</v>
      </c>
      <c r="V402" s="17" t="inlineStr">
        <is>
          <t>No</t>
        </is>
      </c>
      <c r="W402" s="17" t="inlineStr">
        <is>
          <t>Constellation (26)</t>
        </is>
      </c>
      <c r="X402" s="17" t="inlineStr">
        <is>
          <t>—</t>
        </is>
      </c>
      <c r="Y402" s="19" t="inlineStr">
        <is>
          <t>View Photo</t>
        </is>
      </c>
    </row>
    <row r="403">
      <c r="A403" s="17" t="inlineStr">
        <is>
          <t>D0402</t>
        </is>
      </c>
      <c r="B403" s="17" t="inlineStr">
        <is>
          <t>07/15/2026</t>
        </is>
      </c>
      <c r="C403" s="17" t="inlineStr">
        <is>
          <t>07/15/2026 11:16 AM</t>
        </is>
      </c>
      <c r="D403" s="17" t="inlineStr">
        <is>
          <t>mickey obrien</t>
        </is>
      </c>
      <c r="E403" s="17" t="inlineStr">
        <is>
          <t>Sales Associate</t>
        </is>
      </c>
      <c r="F403" s="17" t="inlineStr">
        <is>
          <t>Michael Engel</t>
        </is>
      </c>
      <c r="G403" s="17" t="inlineStr">
        <is>
          <t>76010</t>
        </is>
      </c>
      <c r="H403" s="17" t="inlineStr">
        <is>
          <t>USA WINE TRADERS CLUB (SADDLE BROOK)</t>
        </is>
      </c>
      <c r="I403" s="17" t="inlineStr">
        <is>
          <t>SADDLE BROOK</t>
        </is>
      </c>
      <c r="J403" s="17" t="inlineStr">
        <is>
          <t>Boston Beer</t>
        </is>
      </c>
      <c r="K403" s="25" t="n">
        <v>2</v>
      </c>
      <c r="L403" s="17" t="inlineStr">
        <is>
          <t>Bronze (20-39)</t>
        </is>
      </c>
      <c r="M403" s="18" t="n">
        <v>26</v>
      </c>
      <c r="N403" s="18" t="n">
        <v>26</v>
      </c>
      <c r="O403" s="17" t="inlineStr">
        <is>
          <t>Priority</t>
        </is>
      </c>
      <c r="P403" s="18" t="n">
        <v>300</v>
      </c>
      <c r="Q403" s="17" t="inlineStr">
        <is>
          <t>Yes</t>
        </is>
      </c>
      <c r="R403" s="17" t="inlineStr">
        <is>
          <t>TWISTED TEA</t>
        </is>
      </c>
      <c r="S403" s="17" t="inlineStr">
        <is>
          <t>TWISTED TEA</t>
        </is>
      </c>
      <c r="T403" s="17" t="inlineStr">
        <is>
          <t>BOSTON BEER COMPANY</t>
        </is>
      </c>
      <c r="U403" s="25" t="n">
        <v>3</v>
      </c>
      <c r="V403" s="17" t="inlineStr">
        <is>
          <t>No</t>
        </is>
      </c>
      <c r="W403" s="17" t="inlineStr">
        <is>
          <t>Boston Beer (26)</t>
        </is>
      </c>
      <c r="X403" s="17" t="inlineStr">
        <is>
          <t>—</t>
        </is>
      </c>
      <c r="Y403" s="19" t="inlineStr">
        <is>
          <t>View Photo</t>
        </is>
      </c>
    </row>
    <row r="404">
      <c r="A404" s="17" t="inlineStr">
        <is>
          <t>D0403</t>
        </is>
      </c>
      <c r="B404" s="17" t="inlineStr">
        <is>
          <t>07/29/2026</t>
        </is>
      </c>
      <c r="C404" s="17" t="inlineStr">
        <is>
          <t>07/29/2026 01:51 PM</t>
        </is>
      </c>
      <c r="D404" s="17" t="inlineStr">
        <is>
          <t>Matthew Powierski</t>
        </is>
      </c>
      <c r="E404" s="17" t="inlineStr">
        <is>
          <t>Sales Rep</t>
        </is>
      </c>
      <c r="F404" s="17" t="inlineStr">
        <is>
          <t>Denise Montes</t>
        </is>
      </c>
      <c r="G404" s="17" t="inlineStr">
        <is>
          <t>31060</t>
        </is>
      </c>
      <c r="H404" s="17" t="inlineStr">
        <is>
          <t>BOTTLE REPUBLIC (RUTHERFORD)</t>
        </is>
      </c>
      <c r="I404" s="17" t="inlineStr">
        <is>
          <t>RUTHERFORD</t>
        </is>
      </c>
      <c r="J404" s="17" t="inlineStr">
        <is>
          <t>Boston Beer</t>
        </is>
      </c>
      <c r="K404" s="25" t="n">
        <v>2</v>
      </c>
      <c r="L404" s="17" t="inlineStr">
        <is>
          <t>Bronze (20-39)</t>
        </is>
      </c>
      <c r="M404" s="18" t="n">
        <v>26</v>
      </c>
      <c r="N404" s="18" t="n">
        <v>26</v>
      </c>
      <c r="O404" s="17" t="inlineStr">
        <is>
          <t>Priority</t>
        </is>
      </c>
      <c r="P404" s="18" t="n">
        <v>300</v>
      </c>
      <c r="Q404" s="17" t="inlineStr">
        <is>
          <t>Yes</t>
        </is>
      </c>
      <c r="R404" s="17" t="inlineStr">
        <is>
          <t>SUN CRUISERS RTD</t>
        </is>
      </c>
      <c r="S404" s="17" t="inlineStr">
        <is>
          <t>SUN CRUISERS RTD</t>
        </is>
      </c>
      <c r="T404" s="17" t="inlineStr">
        <is>
          <t>BOSTON BEER COMPANY</t>
        </is>
      </c>
      <c r="U404" s="25" t="n">
        <v>1</v>
      </c>
      <c r="V404" s="17" t="inlineStr">
        <is>
          <t>No</t>
        </is>
      </c>
      <c r="W404" s="17" t="inlineStr">
        <is>
          <t>Boston Beer (26)</t>
        </is>
      </c>
      <c r="X404" s="17" t="inlineStr">
        <is>
          <t>—</t>
        </is>
      </c>
      <c r="Y404" s="19" t="inlineStr">
        <is>
          <t>View Photo</t>
        </is>
      </c>
    </row>
    <row r="405">
      <c r="A405" s="17" t="inlineStr">
        <is>
          <t>D0404</t>
        </is>
      </c>
      <c r="B405" s="17" t="inlineStr">
        <is>
          <t>08/18/2026</t>
        </is>
      </c>
      <c r="C405" s="17" t="inlineStr">
        <is>
          <t>08/18/2026 02:18 PM</t>
        </is>
      </c>
      <c r="D405" s="17" t="inlineStr">
        <is>
          <t>Chris Payton</t>
        </is>
      </c>
      <c r="E405" s="17" t="inlineStr">
        <is>
          <t>Sales Rep</t>
        </is>
      </c>
      <c r="F405" s="17" t="inlineStr">
        <is>
          <t>Michael Engel</t>
        </is>
      </c>
      <c r="G405" s="17" t="inlineStr">
        <is>
          <t>38040</t>
        </is>
      </c>
      <c r="H405" s="17" t="inlineStr">
        <is>
          <t>BUY RITE DISCOUNT LIQUOR</t>
        </is>
      </c>
      <c r="I405" s="17" t="inlineStr">
        <is>
          <t>LODI</t>
        </is>
      </c>
      <c r="J405" s="17" t="inlineStr">
        <is>
          <t>Boston Beer</t>
        </is>
      </c>
      <c r="K405" s="25" t="n">
        <v>2</v>
      </c>
      <c r="L405" s="17" t="inlineStr">
        <is>
          <t>Bronze (20-39)</t>
        </is>
      </c>
      <c r="M405" s="18" t="n">
        <v>26</v>
      </c>
      <c r="N405" s="18" t="n">
        <v>26</v>
      </c>
      <c r="O405" s="17" t="inlineStr">
        <is>
          <t>Priority</t>
        </is>
      </c>
      <c r="P405" s="18" t="n">
        <v>300</v>
      </c>
      <c r="Q405" s="17" t="inlineStr">
        <is>
          <t>Yes</t>
        </is>
      </c>
      <c r="R405" s="17" t="inlineStr">
        <is>
          <t>TRULY</t>
        </is>
      </c>
      <c r="S405" s="17" t="inlineStr">
        <is>
          <t>TRULY</t>
        </is>
      </c>
      <c r="T405" s="17" t="inlineStr">
        <is>
          <t>BOSTON BEER COMPANY</t>
        </is>
      </c>
      <c r="U405" s="25" t="n">
        <v>1</v>
      </c>
      <c r="V405" s="17" t="inlineStr">
        <is>
          <t>No</t>
        </is>
      </c>
      <c r="W405" s="17" t="inlineStr">
        <is>
          <t>Boston Beer (26)</t>
        </is>
      </c>
      <c r="X405" s="17" t="inlineStr">
        <is>
          <t>—</t>
        </is>
      </c>
      <c r="Y405" s="19" t="inlineStr">
        <is>
          <t>View Photo</t>
        </is>
      </c>
    </row>
    <row r="406">
      <c r="A406" s="17" t="inlineStr">
        <is>
          <t>D0405</t>
        </is>
      </c>
      <c r="B406" s="17" t="inlineStr">
        <is>
          <t>07/01/2026</t>
        </is>
      </c>
      <c r="C406" s="17" t="inlineStr">
        <is>
          <t>07/01/2026 01:17 PM</t>
        </is>
      </c>
      <c r="D406" s="17" t="inlineStr">
        <is>
          <t>patrick infante</t>
        </is>
      </c>
      <c r="E406" s="17" t="inlineStr">
        <is>
          <t>Sales Associate</t>
        </is>
      </c>
      <c r="F406" s="17" t="inlineStr">
        <is>
          <t>Denise Montes</t>
        </is>
      </c>
      <c r="G406" s="17" t="inlineStr">
        <is>
          <t>21033</t>
        </is>
      </c>
      <c r="H406" s="17" t="inlineStr">
        <is>
          <t>THE LIQUOR SHOP</t>
        </is>
      </c>
      <c r="I406" s="17" t="inlineStr">
        <is>
          <t>PATERSON</t>
        </is>
      </c>
      <c r="J406" s="17" t="inlineStr">
        <is>
          <t>Molson Coors</t>
        </is>
      </c>
      <c r="K406" s="25" t="n">
        <v>2</v>
      </c>
      <c r="L406" s="17" t="inlineStr">
        <is>
          <t>Bronze (20-39)</t>
        </is>
      </c>
      <c r="M406" s="18" t="n">
        <v>25</v>
      </c>
      <c r="N406" s="18" t="n">
        <v>25</v>
      </c>
      <c r="O406" s="17" t="inlineStr">
        <is>
          <t>Priority</t>
        </is>
      </c>
      <c r="P406" s="18" t="n">
        <v>300</v>
      </c>
      <c r="Q406" s="17" t="inlineStr">
        <is>
          <t>Yes</t>
        </is>
      </c>
      <c r="R406" s="17" t="inlineStr">
        <is>
          <t>COORS LIGHT</t>
        </is>
      </c>
      <c r="S406" s="17" t="inlineStr">
        <is>
          <t>COORS LIGHT</t>
        </is>
      </c>
      <c r="T406" s="17" t="inlineStr">
        <is>
          <t>MOLSON COORS BEVERAGE COMPANY</t>
        </is>
      </c>
      <c r="U406" s="25" t="n">
        <v>2</v>
      </c>
      <c r="V406" s="17" t="inlineStr">
        <is>
          <t>No</t>
        </is>
      </c>
      <c r="W406" s="17" t="inlineStr">
        <is>
          <t>Molson Coors (25)</t>
        </is>
      </c>
      <c r="X406" s="17" t="inlineStr">
        <is>
          <t>—</t>
        </is>
      </c>
      <c r="Y406" s="19" t="inlineStr">
        <is>
          <t>View Photo</t>
        </is>
      </c>
    </row>
    <row r="407">
      <c r="A407" s="17" t="inlineStr">
        <is>
          <t>D0406</t>
        </is>
      </c>
      <c r="B407" s="17" t="inlineStr">
        <is>
          <t>07/16/2026</t>
        </is>
      </c>
      <c r="C407" s="17" t="inlineStr">
        <is>
          <t>07/16/2026 01:45 PM</t>
        </is>
      </c>
      <c r="D407" s="17" t="inlineStr">
        <is>
          <t>Jay Tabasco</t>
        </is>
      </c>
      <c r="E407" s="17" t="inlineStr">
        <is>
          <t>Sales Associate</t>
        </is>
      </c>
      <c r="F407" s="17" t="inlineStr">
        <is>
          <t>Paul Deady</t>
        </is>
      </c>
      <c r="G407" s="17" t="inlineStr">
        <is>
          <t>84010</t>
        </is>
      </c>
      <c r="H407" s="17" t="inlineStr">
        <is>
          <t>RIDGEWOOD SUPER CELLAR</t>
        </is>
      </c>
      <c r="I407" s="17" t="inlineStr">
        <is>
          <t>RIDGEWOOD</t>
        </is>
      </c>
      <c r="J407" s="17" t="inlineStr">
        <is>
          <t>Boston Beer</t>
        </is>
      </c>
      <c r="K407" s="25" t="n">
        <v>2</v>
      </c>
      <c r="L407" s="17" t="inlineStr">
        <is>
          <t>Bronze (20-39)</t>
        </is>
      </c>
      <c r="M407" s="18" t="n">
        <v>25</v>
      </c>
      <c r="N407" s="18" t="n">
        <v>25</v>
      </c>
      <c r="O407" s="17" t="inlineStr">
        <is>
          <t>Priority</t>
        </is>
      </c>
      <c r="P407" s="18" t="n">
        <v>300</v>
      </c>
      <c r="Q407" s="17" t="inlineStr">
        <is>
          <t>Yes</t>
        </is>
      </c>
      <c r="R407" s="17" t="inlineStr">
        <is>
          <t>SUN CRUISERS RTD</t>
        </is>
      </c>
      <c r="S407" s="17" t="inlineStr">
        <is>
          <t>SUN CRUISERS RTD</t>
        </is>
      </c>
      <c r="T407" s="17" t="inlineStr">
        <is>
          <t>BOSTON BEER COMPANY</t>
        </is>
      </c>
      <c r="U407" s="25" t="n">
        <v>1</v>
      </c>
      <c r="V407" s="17" t="inlineStr">
        <is>
          <t>No</t>
        </is>
      </c>
      <c r="W407" s="17" t="inlineStr">
        <is>
          <t>Boston Beer (25)</t>
        </is>
      </c>
      <c r="X407" s="17" t="inlineStr">
        <is>
          <t>—</t>
        </is>
      </c>
      <c r="Y407" s="19" t="inlineStr">
        <is>
          <t>View Photo</t>
        </is>
      </c>
    </row>
    <row r="408">
      <c r="A408" s="17" t="inlineStr">
        <is>
          <t>D0407</t>
        </is>
      </c>
      <c r="B408" s="17" t="inlineStr">
        <is>
          <t>07/21/2026</t>
        </is>
      </c>
      <c r="C408" s="17" t="inlineStr">
        <is>
          <t>07/21/2026 10:06 AM</t>
        </is>
      </c>
      <c r="D408" s="17" t="inlineStr">
        <is>
          <t>Nicholas Micco</t>
        </is>
      </c>
      <c r="E408" s="17" t="inlineStr">
        <is>
          <t>Sales Associate</t>
        </is>
      </c>
      <c r="F408" s="17" t="inlineStr">
        <is>
          <t>Michael Engel</t>
        </is>
      </c>
      <c r="G408" s="17" t="inlineStr">
        <is>
          <t>83010</t>
        </is>
      </c>
      <c r="H408" s="17" t="inlineStr">
        <is>
          <t>BOTTLE KING (A) GLEN ROCK</t>
        </is>
      </c>
      <c r="I408" s="17" t="inlineStr">
        <is>
          <t>GLEN ROCK</t>
        </is>
      </c>
      <c r="J408" s="17" t="inlineStr">
        <is>
          <t>Boston Beer</t>
        </is>
      </c>
      <c r="K408" s="25" t="n">
        <v>2</v>
      </c>
      <c r="L408" s="17" t="inlineStr">
        <is>
          <t>Bronze (20-39)</t>
        </is>
      </c>
      <c r="M408" s="18" t="n">
        <v>25</v>
      </c>
      <c r="N408" s="18" t="n">
        <v>25</v>
      </c>
      <c r="O408" s="17" t="inlineStr">
        <is>
          <t>Priority</t>
        </is>
      </c>
      <c r="P408" s="18" t="n">
        <v>300</v>
      </c>
      <c r="Q408" s="17" t="inlineStr">
        <is>
          <t>Yes</t>
        </is>
      </c>
      <c r="R408" s="17" t="inlineStr">
        <is>
          <t>SAMUEL ADAMS</t>
        </is>
      </c>
      <c r="S408" s="17" t="inlineStr">
        <is>
          <t>SAMUEL ADAMS</t>
        </is>
      </c>
      <c r="T408" s="17" t="inlineStr">
        <is>
          <t>BOSTON BEER COMPANY</t>
        </is>
      </c>
      <c r="U408" s="25" t="n">
        <v>2</v>
      </c>
      <c r="V408" s="17" t="inlineStr">
        <is>
          <t>No</t>
        </is>
      </c>
      <c r="W408" s="17" t="inlineStr">
        <is>
          <t>Boston Beer (25)</t>
        </is>
      </c>
      <c r="X408" s="17" t="inlineStr">
        <is>
          <t>First of a repeat set</t>
        </is>
      </c>
      <c r="Y408" s="19" t="inlineStr">
        <is>
          <t>View Photo</t>
        </is>
      </c>
    </row>
    <row r="409">
      <c r="A409" s="17" t="inlineStr">
        <is>
          <t>D0408</t>
        </is>
      </c>
      <c r="B409" s="17" t="inlineStr">
        <is>
          <t>07/21/2026</t>
        </is>
      </c>
      <c r="C409" s="17" t="inlineStr">
        <is>
          <t>07/21/2026 10:12 AM</t>
        </is>
      </c>
      <c r="D409" s="17" t="inlineStr">
        <is>
          <t>mickey obrien</t>
        </is>
      </c>
      <c r="E409" s="17" t="inlineStr">
        <is>
          <t>Sales Associate</t>
        </is>
      </c>
      <c r="F409" s="17" t="inlineStr">
        <is>
          <t>Michael Engel</t>
        </is>
      </c>
      <c r="G409" s="17" t="inlineStr">
        <is>
          <t>83010</t>
        </is>
      </c>
      <c r="H409" s="17" t="inlineStr">
        <is>
          <t>BOTTLE KING (A) GLEN ROCK</t>
        </is>
      </c>
      <c r="I409" s="17" t="inlineStr">
        <is>
          <t>GLEN ROCK</t>
        </is>
      </c>
      <c r="J409" s="17" t="inlineStr">
        <is>
          <t>Boston Beer</t>
        </is>
      </c>
      <c r="K409" s="25" t="n">
        <v>2</v>
      </c>
      <c r="L409" s="17" t="inlineStr">
        <is>
          <t>Bronze (20-39)</t>
        </is>
      </c>
      <c r="M409" s="18" t="n">
        <v>25</v>
      </c>
      <c r="N409" s="18" t="n">
        <v>25</v>
      </c>
      <c r="O409" s="17" t="inlineStr">
        <is>
          <t>Priority</t>
        </is>
      </c>
      <c r="P409" s="18" t="n">
        <v>300</v>
      </c>
      <c r="Q409" s="17" t="inlineStr">
        <is>
          <t>Yes</t>
        </is>
      </c>
      <c r="R409" s="17" t="inlineStr">
        <is>
          <t>SAMUEL ADAMS</t>
        </is>
      </c>
      <c r="S409" s="17" t="inlineStr">
        <is>
          <t>SAMUEL ADAMS</t>
        </is>
      </c>
      <c r="T409" s="17" t="inlineStr">
        <is>
          <t>BOSTON BEER COMPANY</t>
        </is>
      </c>
      <c r="U409" s="25" t="n">
        <v>2</v>
      </c>
      <c r="V409" s="17" t="inlineStr">
        <is>
          <t>No</t>
        </is>
      </c>
      <c r="W409" s="17" t="inlineStr">
        <is>
          <t>Boston Beer (25)</t>
        </is>
      </c>
      <c r="X409" s="26" t="inlineStr">
        <is>
          <t>Possible duplicate</t>
        </is>
      </c>
      <c r="Y409" s="19" t="inlineStr">
        <is>
          <t>View Photo</t>
        </is>
      </c>
    </row>
    <row r="410">
      <c r="A410" s="17" t="inlineStr">
        <is>
          <t>D0409</t>
        </is>
      </c>
      <c r="B410" s="17" t="inlineStr">
        <is>
          <t>07/22/2026</t>
        </is>
      </c>
      <c r="C410" s="17" t="inlineStr">
        <is>
          <t>07/22/2026 10:21 AM</t>
        </is>
      </c>
      <c r="D410" s="17" t="inlineStr">
        <is>
          <t>Mike Ast</t>
        </is>
      </c>
      <c r="E410" s="17" t="inlineStr">
        <is>
          <t>Sales Rep</t>
        </is>
      </c>
      <c r="F410" s="17" t="inlineStr">
        <is>
          <t>Paul Deady</t>
        </is>
      </c>
      <c r="G410" s="17" t="inlineStr">
        <is>
          <t>93003</t>
        </is>
      </c>
      <c r="H410" s="17" t="inlineStr">
        <is>
          <t>MAHWAH LIQRS (P)</t>
        </is>
      </c>
      <c r="I410" s="17" t="inlineStr">
        <is>
          <t>MAHWAH</t>
        </is>
      </c>
      <c r="J410" s="17" t="inlineStr">
        <is>
          <t>Boston Beer</t>
        </is>
      </c>
      <c r="K410" s="25" t="n">
        <v>2</v>
      </c>
      <c r="L410" s="17" t="inlineStr">
        <is>
          <t>Bronze (20-39)</t>
        </is>
      </c>
      <c r="M410" s="18" t="n">
        <v>25</v>
      </c>
      <c r="N410" s="18" t="n">
        <v>25</v>
      </c>
      <c r="O410" s="17" t="inlineStr">
        <is>
          <t>Priority</t>
        </is>
      </c>
      <c r="P410" s="18" t="n">
        <v>300</v>
      </c>
      <c r="Q410" s="17" t="inlineStr">
        <is>
          <t>Yes</t>
        </is>
      </c>
      <c r="R410" s="17" t="inlineStr">
        <is>
          <t>SUN CRUISER ICED TEA VODKA</t>
        </is>
      </c>
      <c r="S410" s="17" t="inlineStr">
        <is>
          <t>SUN CRUISER ICED TEA VODKA</t>
        </is>
      </c>
      <c r="T410" s="17" t="inlineStr">
        <is>
          <t>BOSTON BEER COMPANY</t>
        </is>
      </c>
      <c r="U410" s="25" t="n">
        <v>1</v>
      </c>
      <c r="V410" s="17" t="inlineStr">
        <is>
          <t>No</t>
        </is>
      </c>
      <c r="W410" s="17" t="inlineStr">
        <is>
          <t>Boston Beer (25)</t>
        </is>
      </c>
      <c r="X410" s="17" t="inlineStr">
        <is>
          <t>—</t>
        </is>
      </c>
      <c r="Y410" s="19" t="inlineStr">
        <is>
          <t>View Photo</t>
        </is>
      </c>
    </row>
    <row r="411">
      <c r="A411" s="17" t="inlineStr">
        <is>
          <t>D0410</t>
        </is>
      </c>
      <c r="B411" s="17" t="inlineStr">
        <is>
          <t>07/30/2026</t>
        </is>
      </c>
      <c r="C411" s="17" t="inlineStr">
        <is>
          <t>07/30/2026 11:27 AM</t>
        </is>
      </c>
      <c r="D411" s="17" t="inlineStr">
        <is>
          <t>Alex Rodriguez</t>
        </is>
      </c>
      <c r="E411" s="17" t="inlineStr">
        <is>
          <t>Sales Rep</t>
        </is>
      </c>
      <c r="F411" s="17" t="inlineStr">
        <is>
          <t>Mike Kennedy</t>
        </is>
      </c>
      <c r="G411" s="17" t="inlineStr">
        <is>
          <t>11005</t>
        </is>
      </c>
      <c r="H411" s="17" t="inlineStr">
        <is>
          <t>WOLFSON MARKET</t>
        </is>
      </c>
      <c r="I411" s="17" t="inlineStr">
        <is>
          <t>LINCOLN PARK</t>
        </is>
      </c>
      <c r="J411" s="17" t="inlineStr">
        <is>
          <t>Molson Coors</t>
        </is>
      </c>
      <c r="K411" s="25" t="n">
        <v>2</v>
      </c>
      <c r="L411" s="17" t="inlineStr">
        <is>
          <t>Bronze (20-39)</t>
        </is>
      </c>
      <c r="M411" s="18" t="n">
        <v>25</v>
      </c>
      <c r="N411" s="18" t="n">
        <v>25</v>
      </c>
      <c r="O411" s="17" t="inlineStr">
        <is>
          <t>Priority</t>
        </is>
      </c>
      <c r="P411" s="18" t="n">
        <v>300</v>
      </c>
      <c r="Q411" s="17" t="inlineStr">
        <is>
          <t>Yes</t>
        </is>
      </c>
      <c r="R411" s="17" t="inlineStr">
        <is>
          <t>COORS LIGHT</t>
        </is>
      </c>
      <c r="S411" s="17" t="inlineStr">
        <is>
          <t>COORS LIGHT</t>
        </is>
      </c>
      <c r="T411" s="17" t="inlineStr">
        <is>
          <t>MOLSON COORS BEVERAGE COMPANY</t>
        </is>
      </c>
      <c r="U411" s="25" t="n">
        <v>1</v>
      </c>
      <c r="V411" s="17" t="inlineStr">
        <is>
          <t>No</t>
        </is>
      </c>
      <c r="W411" s="17" t="inlineStr">
        <is>
          <t>Molson Coors (25)</t>
        </is>
      </c>
      <c r="X411" s="17" t="inlineStr">
        <is>
          <t>—</t>
        </is>
      </c>
      <c r="Y411" s="19" t="inlineStr">
        <is>
          <t>View Photo</t>
        </is>
      </c>
    </row>
    <row r="412">
      <c r="A412" s="17" t="inlineStr">
        <is>
          <t>D0411</t>
        </is>
      </c>
      <c r="B412" s="17" t="inlineStr">
        <is>
          <t>08/03/2026</t>
        </is>
      </c>
      <c r="C412" s="17" t="inlineStr">
        <is>
          <t>08/03/2026 09:44 AM</t>
        </is>
      </c>
      <c r="D412" s="17" t="inlineStr">
        <is>
          <t>Michael Harboy</t>
        </is>
      </c>
      <c r="E412" s="17" t="inlineStr">
        <is>
          <t>Sales Rep</t>
        </is>
      </c>
      <c r="F412" s="17" t="inlineStr">
        <is>
          <t>Mike Kennedy</t>
        </is>
      </c>
      <c r="G412" s="17" t="inlineStr">
        <is>
          <t>11005</t>
        </is>
      </c>
      <c r="H412" s="17" t="inlineStr">
        <is>
          <t>WOLFSON MARKET</t>
        </is>
      </c>
      <c r="I412" s="17" t="inlineStr">
        <is>
          <t>LINCOLN PARK</t>
        </is>
      </c>
      <c r="J412" s="17" t="inlineStr">
        <is>
          <t>Molson Coors</t>
        </is>
      </c>
      <c r="K412" s="25" t="n">
        <v>2</v>
      </c>
      <c r="L412" s="17" t="inlineStr">
        <is>
          <t>Bronze (20-39)</t>
        </is>
      </c>
      <c r="M412" s="18" t="n">
        <v>25</v>
      </c>
      <c r="N412" s="18" t="n">
        <v>25</v>
      </c>
      <c r="O412" s="17" t="inlineStr">
        <is>
          <t>Priority</t>
        </is>
      </c>
      <c r="P412" s="18" t="n">
        <v>300</v>
      </c>
      <c r="Q412" s="17" t="inlineStr">
        <is>
          <t>Yes</t>
        </is>
      </c>
      <c r="R412" s="17" t="inlineStr">
        <is>
          <t>COORS LIGHT</t>
        </is>
      </c>
      <c r="S412" s="17" t="inlineStr">
        <is>
          <t>COORS LIGHT</t>
        </is>
      </c>
      <c r="T412" s="17" t="inlineStr">
        <is>
          <t>MOLSON COORS BEVERAGE COMPANY</t>
        </is>
      </c>
      <c r="U412" s="25" t="n">
        <v>1</v>
      </c>
      <c r="V412" s="17" t="inlineStr">
        <is>
          <t>No</t>
        </is>
      </c>
      <c r="W412" s="17" t="inlineStr">
        <is>
          <t>Molson Coors (25)</t>
        </is>
      </c>
      <c r="X412" s="17" t="inlineStr">
        <is>
          <t>—</t>
        </is>
      </c>
      <c r="Y412" s="19" t="inlineStr">
        <is>
          <t>View Photo</t>
        </is>
      </c>
    </row>
    <row r="413">
      <c r="A413" s="17" t="inlineStr">
        <is>
          <t>D0412</t>
        </is>
      </c>
      <c r="B413" s="17" t="inlineStr">
        <is>
          <t>08/10/2026</t>
        </is>
      </c>
      <c r="C413" s="17" t="inlineStr">
        <is>
          <t>08/10/2026 03:51 PM</t>
        </is>
      </c>
      <c r="D413" s="17" t="inlineStr">
        <is>
          <t>Andrew Lundy</t>
        </is>
      </c>
      <c r="E413" s="17" t="inlineStr">
        <is>
          <t>Sales Rep</t>
        </is>
      </c>
      <c r="F413" s="17" t="inlineStr">
        <is>
          <t>Mike Kennedy</t>
        </is>
      </c>
      <c r="G413" s="17" t="inlineStr">
        <is>
          <t>250024</t>
        </is>
      </c>
      <c r="H413" s="17" t="inlineStr">
        <is>
          <t>BEST CELLARS (SUMMIT)</t>
        </is>
      </c>
      <c r="I413" s="17" t="inlineStr">
        <is>
          <t>SUMMIT</t>
        </is>
      </c>
      <c r="J413" s="17" t="inlineStr">
        <is>
          <t>Montauk</t>
        </is>
      </c>
      <c r="K413" s="25" t="n">
        <v>2</v>
      </c>
      <c r="L413" s="17" t="inlineStr">
        <is>
          <t>Bronze (20-39)</t>
        </is>
      </c>
      <c r="M413" s="18" t="n">
        <v>25</v>
      </c>
      <c r="N413" s="18" t="n">
        <v>25</v>
      </c>
      <c r="O413" s="17" t="inlineStr">
        <is>
          <t>Priority</t>
        </is>
      </c>
      <c r="P413" s="18" t="n">
        <v>300</v>
      </c>
      <c r="Q413" s="17" t="inlineStr">
        <is>
          <t>Yes</t>
        </is>
      </c>
      <c r="R413" s="17" t="inlineStr">
        <is>
          <t>MONTAUK BREWING COMPANY</t>
        </is>
      </c>
      <c r="S413" s="17" t="inlineStr">
        <is>
          <t>MONTAUK BREWING COMPANY</t>
        </is>
      </c>
      <c r="T413" s="17" t="inlineStr">
        <is>
          <t>TILRAY BRANDS</t>
        </is>
      </c>
      <c r="U413" s="25" t="n">
        <v>3</v>
      </c>
      <c r="V413" s="17" t="inlineStr">
        <is>
          <t>No</t>
        </is>
      </c>
      <c r="W413" s="17" t="inlineStr">
        <is>
          <t>Montauk (25)</t>
        </is>
      </c>
      <c r="X413" s="17" t="inlineStr">
        <is>
          <t>—</t>
        </is>
      </c>
      <c r="Y413" s="19" t="inlineStr">
        <is>
          <t>View Photo</t>
        </is>
      </c>
    </row>
    <row r="414">
      <c r="A414" s="17" t="inlineStr">
        <is>
          <t>D0413</t>
        </is>
      </c>
      <c r="B414" s="17" t="inlineStr">
        <is>
          <t>07/02/2026</t>
        </is>
      </c>
      <c r="C414" s="17" t="inlineStr">
        <is>
          <t>07/02/2026 11:29 AM</t>
        </is>
      </c>
      <c r="D414" s="17" t="inlineStr">
        <is>
          <t>patrick infante</t>
        </is>
      </c>
      <c r="E414" s="17" t="inlineStr">
        <is>
          <t>Sales Associate</t>
        </is>
      </c>
      <c r="F414" s="17" t="inlineStr">
        <is>
          <t>Denise Montes</t>
        </is>
      </c>
      <c r="G414" s="17" t="inlineStr">
        <is>
          <t>21033</t>
        </is>
      </c>
      <c r="H414" s="17" t="inlineStr">
        <is>
          <t>THE LIQUOR SHOP</t>
        </is>
      </c>
      <c r="I414" s="17" t="inlineStr">
        <is>
          <t>PATERSON</t>
        </is>
      </c>
      <c r="J414" s="17" t="inlineStr">
        <is>
          <t>Constellation</t>
        </is>
      </c>
      <c r="K414" s="25" t="n">
        <v>2</v>
      </c>
      <c r="L414" s="17" t="inlineStr">
        <is>
          <t>Bronze (20-39)</t>
        </is>
      </c>
      <c r="M414" s="18" t="n">
        <v>24</v>
      </c>
      <c r="N414" s="18" t="n">
        <v>24</v>
      </c>
      <c r="O414" s="17" t="inlineStr">
        <is>
          <t>Priority</t>
        </is>
      </c>
      <c r="P414" s="18" t="n">
        <v>300</v>
      </c>
      <c r="Q414" s="17" t="inlineStr">
        <is>
          <t>Yes</t>
        </is>
      </c>
      <c r="R414" s="17" t="inlineStr">
        <is>
          <t>MODELO CERVEZA</t>
        </is>
      </c>
      <c r="S414" s="17" t="inlineStr">
        <is>
          <t>MODELO CERVEZA</t>
        </is>
      </c>
      <c r="T414" s="17" t="inlineStr">
        <is>
          <t>CONSTELLATION BRANDS</t>
        </is>
      </c>
      <c r="U414" s="25" t="n">
        <v>1</v>
      </c>
      <c r="V414" s="17" t="inlineStr">
        <is>
          <t>No</t>
        </is>
      </c>
      <c r="W414" s="17" t="inlineStr">
        <is>
          <t>Constellation (24)</t>
        </is>
      </c>
      <c r="X414" s="17" t="inlineStr">
        <is>
          <t>—</t>
        </is>
      </c>
      <c r="Y414" s="19" t="inlineStr">
        <is>
          <t>View Photo</t>
        </is>
      </c>
    </row>
    <row r="415">
      <c r="A415" s="17" t="inlineStr">
        <is>
          <t>D0414</t>
        </is>
      </c>
      <c r="B415" s="17" t="inlineStr">
        <is>
          <t>08/13/2026</t>
        </is>
      </c>
      <c r="C415" s="17" t="inlineStr">
        <is>
          <t>08/13/2026 12:45 PM</t>
        </is>
      </c>
      <c r="D415" s="17" t="inlineStr">
        <is>
          <t>Vaughn Gallagher</t>
        </is>
      </c>
      <c r="E415" s="17" t="inlineStr">
        <is>
          <t>Sales Associate</t>
        </is>
      </c>
      <c r="F415" s="17" t="inlineStr">
        <is>
          <t>Christopher McCrohan</t>
        </is>
      </c>
      <c r="G415" s="17" t="inlineStr">
        <is>
          <t>3001</t>
        </is>
      </c>
      <c r="H415" s="17" t="inlineStr">
        <is>
          <t>BEST CELLARS (WANAQUE)</t>
        </is>
      </c>
      <c r="I415" s="17" t="inlineStr">
        <is>
          <t>WANAQUE</t>
        </is>
      </c>
      <c r="J415" s="17" t="inlineStr">
        <is>
          <t>Boston Beer</t>
        </is>
      </c>
      <c r="K415" s="25" t="n">
        <v>2</v>
      </c>
      <c r="L415" s="17" t="inlineStr">
        <is>
          <t>Bronze (20-39)</t>
        </is>
      </c>
      <c r="M415" s="18" t="n">
        <v>24</v>
      </c>
      <c r="N415" s="18" t="n">
        <v>24</v>
      </c>
      <c r="O415" s="17" t="inlineStr">
        <is>
          <t>Priority</t>
        </is>
      </c>
      <c r="P415" s="18" t="n">
        <v>300</v>
      </c>
      <c r="Q415" s="17" t="inlineStr">
        <is>
          <t>Yes</t>
        </is>
      </c>
      <c r="R415" s="17" t="inlineStr">
        <is>
          <t>SUN CRUISERS RTD</t>
        </is>
      </c>
      <c r="S415" s="17" t="inlineStr">
        <is>
          <t>SUN CRUISERS RTD</t>
        </is>
      </c>
      <c r="T415" s="17" t="inlineStr">
        <is>
          <t>BOSTON BEER COMPANY</t>
        </is>
      </c>
      <c r="U415" s="25" t="n">
        <v>1</v>
      </c>
      <c r="V415" s="17" t="inlineStr">
        <is>
          <t>No</t>
        </is>
      </c>
      <c r="W415" s="17" t="inlineStr">
        <is>
          <t>Boston Beer (24)</t>
        </is>
      </c>
      <c r="X415" s="17" t="inlineStr">
        <is>
          <t>—</t>
        </is>
      </c>
      <c r="Y415" s="19" t="inlineStr">
        <is>
          <t>View Photo</t>
        </is>
      </c>
    </row>
    <row r="416">
      <c r="A416" s="17" t="inlineStr">
        <is>
          <t>D0415</t>
        </is>
      </c>
      <c r="B416" s="17" t="inlineStr">
        <is>
          <t>08/18/2026</t>
        </is>
      </c>
      <c r="C416" s="17" t="inlineStr">
        <is>
          <t>08/18/2026 11:24 AM</t>
        </is>
      </c>
      <c r="D416" s="17" t="inlineStr">
        <is>
          <t>Javier Melo</t>
        </is>
      </c>
      <c r="E416" s="17" t="inlineStr">
        <is>
          <t>Sales Rep</t>
        </is>
      </c>
      <c r="F416" s="17" t="inlineStr">
        <is>
          <t>Denise Montes</t>
        </is>
      </c>
      <c r="G416" s="17" t="inlineStr">
        <is>
          <t>21026</t>
        </is>
      </c>
      <c r="H416" s="17" t="inlineStr">
        <is>
          <t>C TOWN SUPERMARKET(P)</t>
        </is>
      </c>
      <c r="I416" s="17" t="inlineStr">
        <is>
          <t>PATERSON</t>
        </is>
      </c>
      <c r="J416" s="17" t="inlineStr">
        <is>
          <t>Boston Beer</t>
        </is>
      </c>
      <c r="K416" s="25" t="n">
        <v>2</v>
      </c>
      <c r="L416" s="17" t="inlineStr">
        <is>
          <t>Bronze (20-39)</t>
        </is>
      </c>
      <c r="M416" s="18" t="n">
        <v>24</v>
      </c>
      <c r="N416" s="18" t="n">
        <v>24</v>
      </c>
      <c r="O416" s="17" t="inlineStr">
        <is>
          <t>Priority</t>
        </is>
      </c>
      <c r="P416" s="18" t="n">
        <v>300</v>
      </c>
      <c r="Q416" s="17" t="inlineStr">
        <is>
          <t>Yes</t>
        </is>
      </c>
      <c r="R416" s="17" t="inlineStr">
        <is>
          <t>LYTT</t>
        </is>
      </c>
      <c r="S416" s="17" t="inlineStr">
        <is>
          <t>LYTT</t>
        </is>
      </c>
      <c r="T416" s="17" t="inlineStr">
        <is>
          <t>BOSTON BEER COMPANY</t>
        </is>
      </c>
      <c r="U416" s="25" t="n">
        <v>1</v>
      </c>
      <c r="V416" s="17" t="inlineStr">
        <is>
          <t>No</t>
        </is>
      </c>
      <c r="W416" s="17" t="inlineStr">
        <is>
          <t>Boston Beer (24)</t>
        </is>
      </c>
      <c r="X416" s="17" t="inlineStr">
        <is>
          <t>—</t>
        </is>
      </c>
      <c r="Y416" s="19" t="inlineStr">
        <is>
          <t>View Photo</t>
        </is>
      </c>
    </row>
    <row r="417">
      <c r="A417" s="17" t="inlineStr">
        <is>
          <t>D0416</t>
        </is>
      </c>
      <c r="B417" s="17" t="inlineStr">
        <is>
          <t>08/19/2026</t>
        </is>
      </c>
      <c r="C417" s="17" t="inlineStr">
        <is>
          <t>08/19/2026 01:51 PM</t>
        </is>
      </c>
      <c r="D417" s="17" t="inlineStr">
        <is>
          <t>David Fletcher</t>
        </is>
      </c>
      <c r="E417" s="17" t="inlineStr">
        <is>
          <t>Sales Associate</t>
        </is>
      </c>
      <c r="F417" s="17" t="inlineStr">
        <is>
          <t>Michael Engel</t>
        </is>
      </c>
      <c r="G417" s="17" t="inlineStr">
        <is>
          <t>38008</t>
        </is>
      </c>
      <c r="H417" s="17" t="inlineStr">
        <is>
          <t>SHOP RITE LIQ.(A)LODI</t>
        </is>
      </c>
      <c r="I417" s="17" t="inlineStr">
        <is>
          <t>LODI</t>
        </is>
      </c>
      <c r="J417" s="17" t="inlineStr">
        <is>
          <t>Constellation</t>
        </is>
      </c>
      <c r="K417" s="25" t="n">
        <v>2</v>
      </c>
      <c r="L417" s="17" t="inlineStr">
        <is>
          <t>Bronze (20-39)</t>
        </is>
      </c>
      <c r="M417" s="18" t="n">
        <v>24</v>
      </c>
      <c r="N417" s="18" t="n">
        <v>24</v>
      </c>
      <c r="O417" s="17" t="inlineStr">
        <is>
          <t>Priority</t>
        </is>
      </c>
      <c r="P417" s="18" t="n">
        <v>300</v>
      </c>
      <c r="Q417" s="17" t="inlineStr">
        <is>
          <t>Yes</t>
        </is>
      </c>
      <c r="R417" s="17" t="inlineStr">
        <is>
          <t>CORONA EXTRA</t>
        </is>
      </c>
      <c r="S417" s="17" t="inlineStr">
        <is>
          <t>CORONA EXTRA</t>
        </is>
      </c>
      <c r="T417" s="17" t="inlineStr">
        <is>
          <t>CONSTELLATION BRANDS</t>
        </is>
      </c>
      <c r="U417" s="25" t="n">
        <v>1</v>
      </c>
      <c r="V417" s="17" t="inlineStr">
        <is>
          <t>No</t>
        </is>
      </c>
      <c r="W417" s="17" t="inlineStr">
        <is>
          <t>Constellation (24)</t>
        </is>
      </c>
      <c r="X417" s="17" t="inlineStr">
        <is>
          <t>—</t>
        </is>
      </c>
      <c r="Y417" s="19" t="inlineStr">
        <is>
          <t>View Photo</t>
        </is>
      </c>
    </row>
    <row r="418">
      <c r="A418" s="17" t="inlineStr">
        <is>
          <t>D0417</t>
        </is>
      </c>
      <c r="B418" s="17" t="inlineStr">
        <is>
          <t>08/04/2026</t>
        </is>
      </c>
      <c r="C418" s="17" t="inlineStr">
        <is>
          <t>08/04/2026 01:42 PM</t>
        </is>
      </c>
      <c r="D418" s="17" t="inlineStr">
        <is>
          <t>Michael Harboy</t>
        </is>
      </c>
      <c r="E418" s="17" t="inlineStr">
        <is>
          <t>Sales Rep</t>
        </is>
      </c>
      <c r="F418" s="17" t="inlineStr">
        <is>
          <t>Mike Kennedy</t>
        </is>
      </c>
      <c r="G418" s="17" t="inlineStr">
        <is>
          <t>150048</t>
        </is>
      </c>
      <c r="H418" s="17" t="inlineStr">
        <is>
          <t>CEDAR GROVE WINE CELLAR</t>
        </is>
      </c>
      <c r="I418" s="17" t="inlineStr">
        <is>
          <t>CEDAR GROVE</t>
        </is>
      </c>
      <c r="J418" s="17" t="inlineStr">
        <is>
          <t>Garage</t>
        </is>
      </c>
      <c r="K418" s="25" t="n">
        <v>2</v>
      </c>
      <c r="L418" s="17" t="inlineStr">
        <is>
          <t>Bronze (20-39)</t>
        </is>
      </c>
      <c r="M418" s="18" t="n">
        <v>23</v>
      </c>
      <c r="N418" s="18" t="n">
        <v>23</v>
      </c>
      <c r="O418" s="17" t="inlineStr">
        <is>
          <t>Priority</t>
        </is>
      </c>
      <c r="P418" s="18" t="n">
        <v>300</v>
      </c>
      <c r="Q418" s="17" t="inlineStr">
        <is>
          <t>Yes</t>
        </is>
      </c>
      <c r="R418" s="17" t="inlineStr">
        <is>
          <t>GARAGE BEER - CONTRACT BREWING</t>
        </is>
      </c>
      <c r="S418" s="17" t="inlineStr">
        <is>
          <t>GARAGE BEER - CONTRACT BREWING</t>
        </is>
      </c>
      <c r="T418" s="17" t="inlineStr">
        <is>
          <t>GARAGE BEER CO.</t>
        </is>
      </c>
      <c r="U418" s="25" t="n">
        <v>4</v>
      </c>
      <c r="V418" s="17" t="inlineStr">
        <is>
          <t>No</t>
        </is>
      </c>
      <c r="W418" s="17" t="inlineStr">
        <is>
          <t>Garage (23)</t>
        </is>
      </c>
      <c r="X418" s="17" t="inlineStr">
        <is>
          <t>—</t>
        </is>
      </c>
      <c r="Y418" s="19" t="inlineStr">
        <is>
          <t>View Photo</t>
        </is>
      </c>
    </row>
    <row r="419">
      <c r="A419" s="17" t="inlineStr">
        <is>
          <t>D0418</t>
        </is>
      </c>
      <c r="B419" s="17" t="inlineStr">
        <is>
          <t>07/14/2026</t>
        </is>
      </c>
      <c r="C419" s="17" t="inlineStr">
        <is>
          <t>07/14/2026 12:33 PM</t>
        </is>
      </c>
      <c r="D419" s="17" t="inlineStr">
        <is>
          <t>Chris Payton</t>
        </is>
      </c>
      <c r="E419" s="17" t="inlineStr">
        <is>
          <t>Sales Rep</t>
        </is>
      </c>
      <c r="F419" s="17" t="inlineStr">
        <is>
          <t>Michael Engel</t>
        </is>
      </c>
      <c r="G419" s="17" t="inlineStr">
        <is>
          <t>34009</t>
        </is>
      </c>
      <c r="H419" s="17" t="inlineStr">
        <is>
          <t>THE WINE RACK HASBROUCK HTS</t>
        </is>
      </c>
      <c r="I419" s="17" t="inlineStr">
        <is>
          <t>HASBROUCK HEIGHTS</t>
        </is>
      </c>
      <c r="J419" s="17" t="inlineStr">
        <is>
          <t>Boston Beer</t>
        </is>
      </c>
      <c r="K419" s="25" t="n">
        <v>2</v>
      </c>
      <c r="L419" s="17" t="inlineStr">
        <is>
          <t>Bronze (20-39)</t>
        </is>
      </c>
      <c r="M419" s="18" t="n">
        <v>22</v>
      </c>
      <c r="N419" s="18" t="n">
        <v>22</v>
      </c>
      <c r="O419" s="17" t="inlineStr">
        <is>
          <t>Priority</t>
        </is>
      </c>
      <c r="P419" s="18" t="n">
        <v>300</v>
      </c>
      <c r="Q419" s="17" t="inlineStr">
        <is>
          <t>Yes</t>
        </is>
      </c>
      <c r="R419" s="17" t="inlineStr">
        <is>
          <t>SUN CRUISERS RTD</t>
        </is>
      </c>
      <c r="S419" s="17" t="inlineStr">
        <is>
          <t>SUN CRUISERS RTD</t>
        </is>
      </c>
      <c r="T419" s="17" t="inlineStr">
        <is>
          <t>BOSTON BEER COMPANY</t>
        </is>
      </c>
      <c r="U419" s="25" t="n">
        <v>2</v>
      </c>
      <c r="V419" s="17" t="inlineStr">
        <is>
          <t>No</t>
        </is>
      </c>
      <c r="W419" s="17" t="inlineStr">
        <is>
          <t>Boston Beer (22)</t>
        </is>
      </c>
      <c r="X419" s="17" t="inlineStr">
        <is>
          <t>—</t>
        </is>
      </c>
      <c r="Y419" s="19" t="inlineStr">
        <is>
          <t>View Photo</t>
        </is>
      </c>
    </row>
    <row r="420">
      <c r="A420" s="17" t="inlineStr">
        <is>
          <t>D0419</t>
        </is>
      </c>
      <c r="B420" s="17" t="inlineStr">
        <is>
          <t>07/21/2026</t>
        </is>
      </c>
      <c r="C420" s="17" t="inlineStr">
        <is>
          <t>07/21/2026 02:21 PM</t>
        </is>
      </c>
      <c r="D420" s="17" t="inlineStr">
        <is>
          <t>Todd Ewell</t>
        </is>
      </c>
      <c r="E420" s="17" t="inlineStr">
        <is>
          <t>Sales Associate</t>
        </is>
      </c>
      <c r="F420" s="17" t="inlineStr">
        <is>
          <t>Paul Deady</t>
        </is>
      </c>
      <c r="G420" s="17" t="inlineStr">
        <is>
          <t>11003</t>
        </is>
      </c>
      <c r="H420" s="17" t="inlineStr">
        <is>
          <t>LINCOLN PARK FINE WINES &amp; SPIRITS</t>
        </is>
      </c>
      <c r="I420" s="17" t="inlineStr">
        <is>
          <t>LINCOLN PARK</t>
        </is>
      </c>
      <c r="J420" s="17" t="inlineStr">
        <is>
          <t>Molson Coors</t>
        </is>
      </c>
      <c r="K420" s="25" t="n">
        <v>2</v>
      </c>
      <c r="L420" s="17" t="inlineStr">
        <is>
          <t>Bronze (20-39)</t>
        </is>
      </c>
      <c r="M420" s="18" t="n">
        <v>22</v>
      </c>
      <c r="N420" s="18" t="n">
        <v>22</v>
      </c>
      <c r="O420" s="17" t="inlineStr">
        <is>
          <t>Priority</t>
        </is>
      </c>
      <c r="P420" s="18" t="n">
        <v>300</v>
      </c>
      <c r="Q420" s="17" t="inlineStr">
        <is>
          <t>Yes</t>
        </is>
      </c>
      <c r="R420" s="17" t="inlineStr">
        <is>
          <t>PERONI NASTRO AZZURRO</t>
        </is>
      </c>
      <c r="S420" s="17" t="inlineStr">
        <is>
          <t>PERONI NASTRO AZZURRO</t>
        </is>
      </c>
      <c r="T420" s="17" t="inlineStr">
        <is>
          <t>MOLSON COORS BEVERAGE COMPANY</t>
        </is>
      </c>
      <c r="U420" s="25" t="n">
        <v>1</v>
      </c>
      <c r="V420" s="17" t="inlineStr">
        <is>
          <t>No</t>
        </is>
      </c>
      <c r="W420" s="17" t="inlineStr">
        <is>
          <t>Molson Coors (22)</t>
        </is>
      </c>
      <c r="X420" s="17" t="inlineStr">
        <is>
          <t>First of a repeat set</t>
        </is>
      </c>
      <c r="Y420" s="19" t="inlineStr">
        <is>
          <t>View Photo</t>
        </is>
      </c>
    </row>
    <row r="421">
      <c r="A421" s="17" t="inlineStr">
        <is>
          <t>D0420</t>
        </is>
      </c>
      <c r="B421" s="17" t="inlineStr">
        <is>
          <t>07/28/2026</t>
        </is>
      </c>
      <c r="C421" s="17" t="inlineStr">
        <is>
          <t>07/28/2026 12:56 PM</t>
        </is>
      </c>
      <c r="D421" s="17" t="inlineStr">
        <is>
          <t>Derrick laws</t>
        </is>
      </c>
      <c r="E421" s="17" t="inlineStr">
        <is>
          <t>Sales Rep</t>
        </is>
      </c>
      <c r="F421" s="17" t="inlineStr">
        <is>
          <t>Denise Montes</t>
        </is>
      </c>
      <c r="G421" s="17" t="inlineStr">
        <is>
          <t>23004</t>
        </is>
      </c>
      <c r="H421" s="17" t="inlineStr">
        <is>
          <t>SHOP RITE WINES/SPIRITS</t>
        </is>
      </c>
      <c r="I421" s="17" t="inlineStr">
        <is>
          <t>CLIFTON</t>
        </is>
      </c>
      <c r="J421" s="17" t="inlineStr">
        <is>
          <t>All Other: CENTRAL BEER IMPORT &amp; EXPORT FAMOSA</t>
        </is>
      </c>
      <c r="K421" s="25" t="n">
        <v>2</v>
      </c>
      <c r="L421" s="17" t="inlineStr">
        <is>
          <t>Bronze (20-39)</t>
        </is>
      </c>
      <c r="M421" s="18" t="n">
        <v>22</v>
      </c>
      <c r="N421" s="18" t="n">
        <v>22</v>
      </c>
      <c r="O421" s="17" t="inlineStr">
        <is>
          <t>All Other</t>
        </is>
      </c>
      <c r="P421" s="18" t="n">
        <v>200</v>
      </c>
      <c r="Q421" s="17" t="inlineStr">
        <is>
          <t>Yes</t>
        </is>
      </c>
      <c r="R421" s="17" t="inlineStr">
        <is>
          <t>FAMOSA</t>
        </is>
      </c>
      <c r="S421" s="17" t="inlineStr">
        <is>
          <t>FAMOSA</t>
        </is>
      </c>
      <c r="T421" s="17" t="inlineStr">
        <is>
          <t>CENTRAL BEER IMPORT &amp; EXPORT FAMOSA</t>
        </is>
      </c>
      <c r="U421" s="25" t="n">
        <v>2</v>
      </c>
      <c r="V421" s="17" t="inlineStr">
        <is>
          <t>No</t>
        </is>
      </c>
      <c r="W421" s="17" t="inlineStr">
        <is>
          <t>All Other: CENTRAL BEER IMPORT &amp; EXPORT FAMOSA (22)</t>
        </is>
      </c>
      <c r="X421" s="17" t="inlineStr">
        <is>
          <t>—</t>
        </is>
      </c>
      <c r="Y421" s="19" t="inlineStr">
        <is>
          <t>View Photo</t>
        </is>
      </c>
    </row>
    <row r="422">
      <c r="A422" s="17" t="inlineStr">
        <is>
          <t>D0421</t>
        </is>
      </c>
      <c r="B422" s="17" t="inlineStr">
        <is>
          <t>08/03/2026</t>
        </is>
      </c>
      <c r="C422" s="17" t="inlineStr">
        <is>
          <t>08/03/2026 05:12 PM</t>
        </is>
      </c>
      <c r="D422" s="17" t="inlineStr">
        <is>
          <t>phil Ernst</t>
        </is>
      </c>
      <c r="E422" s="17" t="inlineStr">
        <is>
          <t>Sales Rep</t>
        </is>
      </c>
      <c r="F422" s="17" t="inlineStr">
        <is>
          <t>Michael Engel</t>
        </is>
      </c>
      <c r="G422" s="17" t="inlineStr">
        <is>
          <t>89007</t>
        </is>
      </c>
      <c r="H422" s="17" t="inlineStr">
        <is>
          <t>ACME MARKETS (ALLENDALE)</t>
        </is>
      </c>
      <c r="I422" s="17" t="inlineStr">
        <is>
          <t>ALLENDALE</t>
        </is>
      </c>
      <c r="J422" s="17" t="inlineStr">
        <is>
          <t>Constellation</t>
        </is>
      </c>
      <c r="K422" s="25" t="n">
        <v>2</v>
      </c>
      <c r="L422" s="17" t="inlineStr">
        <is>
          <t>Bronze (20-39)</t>
        </is>
      </c>
      <c r="M422" s="18" t="n">
        <v>22</v>
      </c>
      <c r="N422" s="18" t="n">
        <v>22</v>
      </c>
      <c r="O422" s="17" t="inlineStr">
        <is>
          <t>Priority</t>
        </is>
      </c>
      <c r="P422" s="18" t="n">
        <v>300</v>
      </c>
      <c r="Q422" s="17" t="inlineStr">
        <is>
          <t>Yes</t>
        </is>
      </c>
      <c r="R422" s="17" t="inlineStr">
        <is>
          <t>MODELO CERVEZA</t>
        </is>
      </c>
      <c r="S422" s="17" t="inlineStr">
        <is>
          <t>CORONA EXTRA, MODELO CERVEZA</t>
        </is>
      </c>
      <c r="T422" s="17" t="inlineStr">
        <is>
          <t>CONSTELLATION BRANDS</t>
        </is>
      </c>
      <c r="U422" s="25" t="n">
        <v>2</v>
      </c>
      <c r="V422" s="17" t="inlineStr">
        <is>
          <t>No</t>
        </is>
      </c>
      <c r="W422" s="17" t="inlineStr">
        <is>
          <t>Constellation (22)</t>
        </is>
      </c>
      <c r="X422" s="17" t="inlineStr">
        <is>
          <t>—</t>
        </is>
      </c>
      <c r="Y422" s="19" t="inlineStr">
        <is>
          <t>View Photo</t>
        </is>
      </c>
    </row>
    <row r="423">
      <c r="A423" s="17" t="inlineStr">
        <is>
          <t>D0422</t>
        </is>
      </c>
      <c r="B423" s="17" t="inlineStr">
        <is>
          <t>08/03/2026</t>
        </is>
      </c>
      <c r="C423" s="17" t="inlineStr">
        <is>
          <t>08/03/2026 12:32 PM</t>
        </is>
      </c>
      <c r="D423" s="17" t="inlineStr">
        <is>
          <t>Jay Tabasco</t>
        </is>
      </c>
      <c r="E423" s="17" t="inlineStr">
        <is>
          <t>Sales Associate</t>
        </is>
      </c>
      <c r="F423" s="17" t="inlineStr">
        <is>
          <t>Paul Deady</t>
        </is>
      </c>
      <c r="G423" s="17" t="inlineStr">
        <is>
          <t>73008</t>
        </is>
      </c>
      <c r="H423" s="17" t="inlineStr">
        <is>
          <t>SHOP RITE LIQ (A)HILLSDAL</t>
        </is>
      </c>
      <c r="I423" s="17" t="inlineStr">
        <is>
          <t>HILLSDALE</t>
        </is>
      </c>
      <c r="J423" s="17" t="inlineStr">
        <is>
          <t>HUSA (Heineken USA)</t>
        </is>
      </c>
      <c r="K423" s="25" t="n">
        <v>2</v>
      </c>
      <c r="L423" s="17" t="inlineStr">
        <is>
          <t>Bronze (20-39)</t>
        </is>
      </c>
      <c r="M423" s="18" t="n">
        <v>22</v>
      </c>
      <c r="N423" s="18" t="n">
        <v>22</v>
      </c>
      <c r="O423" s="17" t="inlineStr">
        <is>
          <t>Priority</t>
        </is>
      </c>
      <c r="P423" s="18" t="n">
        <v>300</v>
      </c>
      <c r="Q423" s="17" t="inlineStr">
        <is>
          <t>Yes</t>
        </is>
      </c>
      <c r="R423" s="17" t="inlineStr">
        <is>
          <t>HEINEKEN</t>
        </is>
      </c>
      <c r="S423" s="17" t="inlineStr">
        <is>
          <t>HEINEKEN</t>
        </is>
      </c>
      <c r="T423" s="17" t="inlineStr">
        <is>
          <t>HEINEKEN</t>
        </is>
      </c>
      <c r="U423" s="25" t="n">
        <v>1</v>
      </c>
      <c r="V423" s="17" t="inlineStr">
        <is>
          <t>No</t>
        </is>
      </c>
      <c r="W423" s="17" t="inlineStr">
        <is>
          <t>HUSA (Heineken USA) (22)</t>
        </is>
      </c>
      <c r="X423" s="17" t="inlineStr">
        <is>
          <t>—</t>
        </is>
      </c>
      <c r="Y423" s="19" t="inlineStr">
        <is>
          <t>View Photo</t>
        </is>
      </c>
    </row>
    <row r="424">
      <c r="A424" s="17" t="inlineStr">
        <is>
          <t>D0423</t>
        </is>
      </c>
      <c r="B424" s="17" t="inlineStr">
        <is>
          <t>07/14/2026</t>
        </is>
      </c>
      <c r="C424" s="17" t="inlineStr">
        <is>
          <t>07/14/2026 09:58 AM</t>
        </is>
      </c>
      <c r="D424" s="17" t="inlineStr">
        <is>
          <t>Jayson Romine</t>
        </is>
      </c>
      <c r="E424" s="17" t="inlineStr">
        <is>
          <t>Sales Rep</t>
        </is>
      </c>
      <c r="F424" s="17" t="inlineStr">
        <is>
          <t>Paul Deady</t>
        </is>
      </c>
      <c r="G424" s="17" t="inlineStr">
        <is>
          <t>231215</t>
        </is>
      </c>
      <c r="H424" s="17" t="inlineStr">
        <is>
          <t>MAC &amp; LINDY'S W &amp; S (A)</t>
        </is>
      </c>
      <c r="I424" s="17" t="inlineStr">
        <is>
          <t>VERNON</t>
        </is>
      </c>
      <c r="J424" s="17" t="inlineStr">
        <is>
          <t>Boston Beer</t>
        </is>
      </c>
      <c r="K424" s="25" t="n">
        <v>2</v>
      </c>
      <c r="L424" s="17" t="inlineStr">
        <is>
          <t>Bronze (20-39)</t>
        </is>
      </c>
      <c r="M424" s="18" t="n">
        <v>21</v>
      </c>
      <c r="N424" s="18" t="n">
        <v>21</v>
      </c>
      <c r="O424" s="17" t="inlineStr">
        <is>
          <t>Priority</t>
        </is>
      </c>
      <c r="P424" s="18" t="n">
        <v>300</v>
      </c>
      <c r="Q424" s="17" t="inlineStr">
        <is>
          <t>Yes</t>
        </is>
      </c>
      <c r="R424" s="17" t="inlineStr">
        <is>
          <t>SUN CRUISERS RTD</t>
        </is>
      </c>
      <c r="S424" s="17" t="inlineStr">
        <is>
          <t>SUN CRUISER LEMONADE, SUN CRUISERS RTD</t>
        </is>
      </c>
      <c r="T424" s="17" t="inlineStr">
        <is>
          <t>BOSTON BEER COMPANY</t>
        </is>
      </c>
      <c r="U424" s="25" t="n">
        <v>2</v>
      </c>
      <c r="V424" s="17" t="inlineStr">
        <is>
          <t>No</t>
        </is>
      </c>
      <c r="W424" s="17" t="inlineStr">
        <is>
          <t>Boston Beer (21)</t>
        </is>
      </c>
      <c r="X424" s="17" t="inlineStr">
        <is>
          <t>—</t>
        </is>
      </c>
      <c r="Y424" s="19" t="inlineStr">
        <is>
          <t>View Photo</t>
        </is>
      </c>
    </row>
    <row r="425">
      <c r="A425" s="17" t="inlineStr">
        <is>
          <t>D0424</t>
        </is>
      </c>
      <c r="B425" s="17" t="inlineStr">
        <is>
          <t>08/03/2026</t>
        </is>
      </c>
      <c r="C425" s="17" t="inlineStr">
        <is>
          <t>08/03/2026 12:51 PM</t>
        </is>
      </c>
      <c r="D425" s="17" t="inlineStr">
        <is>
          <t>phil Ernst</t>
        </is>
      </c>
      <c r="E425" s="17" t="inlineStr">
        <is>
          <t>Sales Rep</t>
        </is>
      </c>
      <c r="F425" s="17" t="inlineStr">
        <is>
          <t>Michael Engel</t>
        </is>
      </c>
      <c r="G425" s="17" t="inlineStr">
        <is>
          <t>29004</t>
        </is>
      </c>
      <c r="H425" s="17" t="inlineStr">
        <is>
          <t>SHOP-RITE LIQ LYNDHURST</t>
        </is>
      </c>
      <c r="I425" s="17" t="inlineStr">
        <is>
          <t>LYNDHURST</t>
        </is>
      </c>
      <c r="J425" s="17" t="inlineStr">
        <is>
          <t>Yuengling</t>
        </is>
      </c>
      <c r="K425" s="25" t="n">
        <v>2</v>
      </c>
      <c r="L425" s="17" t="inlineStr">
        <is>
          <t>Bronze (20-39)</t>
        </is>
      </c>
      <c r="M425" s="18" t="n">
        <v>21</v>
      </c>
      <c r="N425" s="18" t="n">
        <v>21</v>
      </c>
      <c r="O425" s="17" t="inlineStr">
        <is>
          <t>Priority</t>
        </is>
      </c>
      <c r="P425" s="18" t="n">
        <v>300</v>
      </c>
      <c r="Q425" s="17" t="inlineStr">
        <is>
          <t>Yes</t>
        </is>
      </c>
      <c r="R425" s="17" t="inlineStr">
        <is>
          <t>YUENGLING BREWERY</t>
        </is>
      </c>
      <c r="S425" s="17" t="inlineStr">
        <is>
          <t>YUENGLING BREWERY</t>
        </is>
      </c>
      <c r="T425" s="17" t="inlineStr">
        <is>
          <t>YUENGLING BREWERY</t>
        </is>
      </c>
      <c r="U425" s="25" t="n">
        <v>3</v>
      </c>
      <c r="V425" s="17" t="inlineStr">
        <is>
          <t>No</t>
        </is>
      </c>
      <c r="W425" s="17" t="inlineStr">
        <is>
          <t>Yuengling (21)</t>
        </is>
      </c>
      <c r="X425" s="17" t="inlineStr">
        <is>
          <t>—</t>
        </is>
      </c>
      <c r="Y425" s="19" t="inlineStr">
        <is>
          <t>View Photo</t>
        </is>
      </c>
    </row>
    <row r="426">
      <c r="A426" s="17" t="inlineStr">
        <is>
          <t>D0425</t>
        </is>
      </c>
      <c r="B426" s="17" t="inlineStr">
        <is>
          <t>07/06/2026</t>
        </is>
      </c>
      <c r="C426" s="17" t="inlineStr">
        <is>
          <t>07/06/2026 02:55 PM</t>
        </is>
      </c>
      <c r="D426" s="17" t="inlineStr">
        <is>
          <t>Mike Ast</t>
        </is>
      </c>
      <c r="E426" s="17" t="inlineStr">
        <is>
          <t>Sales Rep</t>
        </is>
      </c>
      <c r="F426" s="17" t="inlineStr">
        <is>
          <t>Paul Deady</t>
        </is>
      </c>
      <c r="G426" s="17" t="inlineStr">
        <is>
          <t>12011</t>
        </is>
      </c>
      <c r="H426" s="17" t="inlineStr">
        <is>
          <t>BOTTLE KING (A) WAYNE</t>
        </is>
      </c>
      <c r="I426" s="17" t="inlineStr">
        <is>
          <t>WAYNE</t>
        </is>
      </c>
      <c r="J426" s="17" t="inlineStr">
        <is>
          <t>Constellation</t>
        </is>
      </c>
      <c r="K426" s="25" t="n">
        <v>2</v>
      </c>
      <c r="L426" s="17" t="inlineStr">
        <is>
          <t>Bronze (20-39)</t>
        </is>
      </c>
      <c r="M426" s="18" t="n">
        <v>20</v>
      </c>
      <c r="N426" s="18" t="n">
        <v>20</v>
      </c>
      <c r="O426" s="17" t="inlineStr">
        <is>
          <t>Priority</t>
        </is>
      </c>
      <c r="P426" s="18" t="n">
        <v>300</v>
      </c>
      <c r="Q426" s="17" t="inlineStr">
        <is>
          <t>Yes</t>
        </is>
      </c>
      <c r="R426" s="17" t="inlineStr">
        <is>
          <t>CORONA EXTRA</t>
        </is>
      </c>
      <c r="S426" s="17" t="inlineStr">
        <is>
          <t>CORONA, CORONA EXTRA</t>
        </is>
      </c>
      <c r="T426" s="17" t="inlineStr">
        <is>
          <t>CONSTELLATION BRANDS</t>
        </is>
      </c>
      <c r="U426" s="25" t="n">
        <v>2</v>
      </c>
      <c r="V426" s="17" t="inlineStr">
        <is>
          <t>No</t>
        </is>
      </c>
      <c r="W426" s="17" t="inlineStr">
        <is>
          <t>Constellation (20)</t>
        </is>
      </c>
      <c r="X426" s="17" t="inlineStr">
        <is>
          <t>—</t>
        </is>
      </c>
      <c r="Y426" s="19" t="inlineStr">
        <is>
          <t>View Photo</t>
        </is>
      </c>
    </row>
    <row r="427">
      <c r="A427" s="17" t="inlineStr">
        <is>
          <t>D0426</t>
        </is>
      </c>
      <c r="B427" s="17" t="inlineStr">
        <is>
          <t>07/06/2026</t>
        </is>
      </c>
      <c r="C427" s="17" t="inlineStr">
        <is>
          <t>07/06/2026 11:27 AM</t>
        </is>
      </c>
      <c r="D427" s="17" t="inlineStr">
        <is>
          <t>Mike Ast</t>
        </is>
      </c>
      <c r="E427" s="17" t="inlineStr">
        <is>
          <t>Sales Rep</t>
        </is>
      </c>
      <c r="F427" s="17" t="inlineStr">
        <is>
          <t>Paul Deady</t>
        </is>
      </c>
      <c r="G427" s="17" t="inlineStr">
        <is>
          <t>17010</t>
        </is>
      </c>
      <c r="H427" s="17" t="inlineStr">
        <is>
          <t>FRANK'S FINE WINE &amp; FOODS</t>
        </is>
      </c>
      <c r="I427" s="17" t="inlineStr">
        <is>
          <t>HALEDON</t>
        </is>
      </c>
      <c r="J427" s="17" t="inlineStr">
        <is>
          <t>Boston Beer</t>
        </is>
      </c>
      <c r="K427" s="25" t="n">
        <v>2</v>
      </c>
      <c r="L427" s="17" t="inlineStr">
        <is>
          <t>Bronze (20-39)</t>
        </is>
      </c>
      <c r="M427" s="18" t="n">
        <v>20</v>
      </c>
      <c r="N427" s="18" t="n">
        <v>20</v>
      </c>
      <c r="O427" s="17" t="inlineStr">
        <is>
          <t>Priority</t>
        </is>
      </c>
      <c r="P427" s="18" t="n">
        <v>300</v>
      </c>
      <c r="Q427" s="17" t="inlineStr">
        <is>
          <t>Yes</t>
        </is>
      </c>
      <c r="R427" s="17" t="inlineStr">
        <is>
          <t>SAMUEL ADAMS</t>
        </is>
      </c>
      <c r="S427" s="17" t="inlineStr">
        <is>
          <t>SAMUEL ADAMS</t>
        </is>
      </c>
      <c r="T427" s="17" t="inlineStr">
        <is>
          <t>BOSTON BEER COMPANY</t>
        </is>
      </c>
      <c r="U427" s="25" t="n">
        <v>2</v>
      </c>
      <c r="V427" s="17" t="inlineStr">
        <is>
          <t>No</t>
        </is>
      </c>
      <c r="W427" s="17" t="inlineStr">
        <is>
          <t>Boston Beer (20)</t>
        </is>
      </c>
      <c r="X427" s="17" t="inlineStr">
        <is>
          <t>—</t>
        </is>
      </c>
      <c r="Y427" s="19" t="inlineStr">
        <is>
          <t>View Photo</t>
        </is>
      </c>
    </row>
    <row r="428">
      <c r="A428" s="17" t="inlineStr">
        <is>
          <t>D0427</t>
        </is>
      </c>
      <c r="B428" s="17" t="inlineStr">
        <is>
          <t>07/08/2026</t>
        </is>
      </c>
      <c r="C428" s="17" t="inlineStr">
        <is>
          <t>07/08/2026 01:39 PM</t>
        </is>
      </c>
      <c r="D428" s="17" t="inlineStr">
        <is>
          <t>Javier Melo</t>
        </is>
      </c>
      <c r="E428" s="17" t="inlineStr">
        <is>
          <t>Sales Rep</t>
        </is>
      </c>
      <c r="F428" s="17" t="inlineStr">
        <is>
          <t>Denise Montes</t>
        </is>
      </c>
      <c r="G428" s="17" t="inlineStr">
        <is>
          <t>21044</t>
        </is>
      </c>
      <c r="H428" s="17" t="inlineStr">
        <is>
          <t>FARM BOY</t>
        </is>
      </c>
      <c r="I428" s="17" t="inlineStr">
        <is>
          <t>PATERSON</t>
        </is>
      </c>
      <c r="J428" s="17" t="inlineStr">
        <is>
          <t>All Other: CENTRAL BEER IMPORT &amp; EXPORT FAMOSA</t>
        </is>
      </c>
      <c r="K428" s="25" t="n">
        <v>2</v>
      </c>
      <c r="L428" s="17" t="inlineStr">
        <is>
          <t>Bronze (20-39)</t>
        </is>
      </c>
      <c r="M428" s="18" t="n">
        <v>20</v>
      </c>
      <c r="N428" s="18" t="n">
        <v>20</v>
      </c>
      <c r="O428" s="17" t="inlineStr">
        <is>
          <t>All Other</t>
        </is>
      </c>
      <c r="P428" s="18" t="n">
        <v>200</v>
      </c>
      <c r="Q428" s="17" t="inlineStr">
        <is>
          <t>Yes</t>
        </is>
      </c>
      <c r="R428" s="17" t="inlineStr">
        <is>
          <t>FAMOSA</t>
        </is>
      </c>
      <c r="S428" s="17" t="inlineStr">
        <is>
          <t>FAMOSA</t>
        </is>
      </c>
      <c r="T428" s="17" t="inlineStr">
        <is>
          <t>CENTRAL BEER IMPORT &amp; EXPORT FAMOSA</t>
        </is>
      </c>
      <c r="U428" s="25" t="n">
        <v>1</v>
      </c>
      <c r="V428" s="17" t="inlineStr">
        <is>
          <t>No</t>
        </is>
      </c>
      <c r="W428" s="17" t="inlineStr">
        <is>
          <t>All Other: CENTRAL BEER IMPORT &amp; EXPORT FAMOSA (20)</t>
        </is>
      </c>
      <c r="X428" s="17" t="inlineStr">
        <is>
          <t>—</t>
        </is>
      </c>
      <c r="Y428" s="19" t="inlineStr">
        <is>
          <t>View Photo</t>
        </is>
      </c>
    </row>
    <row r="429">
      <c r="A429" s="17" t="inlineStr">
        <is>
          <t>D0428</t>
        </is>
      </c>
      <c r="B429" s="17" t="inlineStr">
        <is>
          <t>07/14/2026</t>
        </is>
      </c>
      <c r="C429" s="17" t="inlineStr">
        <is>
          <t>07/14/2026 09:56 AM</t>
        </is>
      </c>
      <c r="D429" s="17" t="inlineStr">
        <is>
          <t>Jayson Romine</t>
        </is>
      </c>
      <c r="E429" s="17" t="inlineStr">
        <is>
          <t>Sales Rep</t>
        </is>
      </c>
      <c r="F429" s="17" t="inlineStr">
        <is>
          <t>Paul Deady</t>
        </is>
      </c>
      <c r="G429" s="17" t="inlineStr">
        <is>
          <t>231215</t>
        </is>
      </c>
      <c r="H429" s="17" t="inlineStr">
        <is>
          <t>MAC &amp; LINDY'S W &amp; S (A)</t>
        </is>
      </c>
      <c r="I429" s="17" t="inlineStr">
        <is>
          <t>VERNON</t>
        </is>
      </c>
      <c r="J429" s="17" t="inlineStr">
        <is>
          <t>Boston Beer</t>
        </is>
      </c>
      <c r="K429" s="25" t="n">
        <v>2</v>
      </c>
      <c r="L429" s="17" t="inlineStr">
        <is>
          <t>Bronze (20-39)</t>
        </is>
      </c>
      <c r="M429" s="18" t="n">
        <v>20</v>
      </c>
      <c r="N429" s="18" t="n">
        <v>20</v>
      </c>
      <c r="O429" s="17" t="inlineStr">
        <is>
          <t>Priority</t>
        </is>
      </c>
      <c r="P429" s="18" t="n">
        <v>300</v>
      </c>
      <c r="Q429" s="17" t="inlineStr">
        <is>
          <t>Yes</t>
        </is>
      </c>
      <c r="R429" s="17" t="inlineStr">
        <is>
          <t>SUN CRUISERS RTD</t>
        </is>
      </c>
      <c r="S429" s="17" t="inlineStr">
        <is>
          <t>SUN CRUISER LEMONADE, SUN CRUISERS RTD</t>
        </is>
      </c>
      <c r="T429" s="17" t="inlineStr">
        <is>
          <t>BOSTON BEER COMPANY</t>
        </is>
      </c>
      <c r="U429" s="25" t="n">
        <v>2</v>
      </c>
      <c r="V429" s="17" t="inlineStr">
        <is>
          <t>No</t>
        </is>
      </c>
      <c r="W429" s="17" t="inlineStr">
        <is>
          <t>Boston Beer (20)</t>
        </is>
      </c>
      <c r="X429" s="17" t="inlineStr">
        <is>
          <t>—</t>
        </is>
      </c>
      <c r="Y429" s="19" t="inlineStr">
        <is>
          <t>View Photo</t>
        </is>
      </c>
    </row>
    <row r="430">
      <c r="A430" s="17" t="inlineStr">
        <is>
          <t>D0429</t>
        </is>
      </c>
      <c r="B430" s="17" t="inlineStr">
        <is>
          <t>07/17/2026</t>
        </is>
      </c>
      <c r="C430" s="17" t="inlineStr">
        <is>
          <t>07/17/2026 02:11 PM</t>
        </is>
      </c>
      <c r="D430" s="17" t="inlineStr">
        <is>
          <t>Alex Rodriguez</t>
        </is>
      </c>
      <c r="E430" s="17" t="inlineStr">
        <is>
          <t>Sales Rep</t>
        </is>
      </c>
      <c r="F430" s="17" t="inlineStr">
        <is>
          <t>Mike Kennedy</t>
        </is>
      </c>
      <c r="G430" s="17" t="inlineStr">
        <is>
          <t>150002</t>
        </is>
      </c>
      <c r="H430" s="17" t="inlineStr">
        <is>
          <t>SHOPRITE WINE &amp; SPIRITS</t>
        </is>
      </c>
      <c r="I430" s="17" t="inlineStr">
        <is>
          <t>CALDWELL</t>
        </is>
      </c>
      <c r="J430" s="17" t="inlineStr">
        <is>
          <t>Garage</t>
        </is>
      </c>
      <c r="K430" s="25" t="n">
        <v>2</v>
      </c>
      <c r="L430" s="17" t="inlineStr">
        <is>
          <t>Bronze (20-39)</t>
        </is>
      </c>
      <c r="M430" s="18" t="n">
        <v>20</v>
      </c>
      <c r="N430" s="18" t="n">
        <v>20</v>
      </c>
      <c r="O430" s="17" t="inlineStr">
        <is>
          <t>Priority</t>
        </is>
      </c>
      <c r="P430" s="18" t="n">
        <v>300</v>
      </c>
      <c r="Q430" s="17" t="inlineStr">
        <is>
          <t>Yes</t>
        </is>
      </c>
      <c r="R430" s="17" t="inlineStr">
        <is>
          <t>GARAGE BEER - CONTRACT BREWING</t>
        </is>
      </c>
      <c r="S430" s="17" t="inlineStr">
        <is>
          <t>GARAGE BEER - CONTRACT BREWING</t>
        </is>
      </c>
      <c r="T430" s="17" t="inlineStr">
        <is>
          <t>GARAGE BEER CO.</t>
        </is>
      </c>
      <c r="U430" s="25" t="n">
        <v>2</v>
      </c>
      <c r="V430" s="17" t="inlineStr">
        <is>
          <t>No</t>
        </is>
      </c>
      <c r="W430" s="17" t="inlineStr">
        <is>
          <t>Garage (20)</t>
        </is>
      </c>
      <c r="X430" s="17" t="inlineStr">
        <is>
          <t>—</t>
        </is>
      </c>
      <c r="Y430" s="19" t="inlineStr">
        <is>
          <t>View Photo</t>
        </is>
      </c>
    </row>
    <row r="431">
      <c r="A431" s="17" t="inlineStr">
        <is>
          <t>D0430</t>
        </is>
      </c>
      <c r="B431" s="17" t="inlineStr">
        <is>
          <t>07/17/2026</t>
        </is>
      </c>
      <c r="C431" s="17" t="inlineStr">
        <is>
          <t>07/17/2026 12:20 PM</t>
        </is>
      </c>
      <c r="D431" s="17" t="inlineStr">
        <is>
          <t>Alex Rodriguez</t>
        </is>
      </c>
      <c r="E431" s="17" t="inlineStr">
        <is>
          <t>Sales Rep</t>
        </is>
      </c>
      <c r="F431" s="17" t="inlineStr">
        <is>
          <t>Mike Kennedy</t>
        </is>
      </c>
      <c r="G431" s="17" t="inlineStr">
        <is>
          <t>12005</t>
        </is>
      </c>
      <c r="H431" s="17" t="inlineStr">
        <is>
          <t>SHAY'S LIQUORS</t>
        </is>
      </c>
      <c r="I431" s="17" t="inlineStr">
        <is>
          <t>WAYNE</t>
        </is>
      </c>
      <c r="J431" s="17" t="inlineStr">
        <is>
          <t>Constellation</t>
        </is>
      </c>
      <c r="K431" s="25" t="n">
        <v>2</v>
      </c>
      <c r="L431" s="17" t="inlineStr">
        <is>
          <t>Bronze (20-39)</t>
        </is>
      </c>
      <c r="M431" s="18" t="n">
        <v>20</v>
      </c>
      <c r="N431" s="18" t="n">
        <v>20</v>
      </c>
      <c r="O431" s="17" t="inlineStr">
        <is>
          <t>Priority</t>
        </is>
      </c>
      <c r="P431" s="18" t="n">
        <v>300</v>
      </c>
      <c r="Q431" s="17" t="inlineStr">
        <is>
          <t>Yes</t>
        </is>
      </c>
      <c r="R431" s="17" t="inlineStr">
        <is>
          <t>MODELO CERVEZA</t>
        </is>
      </c>
      <c r="S431" s="17" t="inlineStr">
        <is>
          <t>MODELO CERVEZA</t>
        </is>
      </c>
      <c r="T431" s="17" t="inlineStr">
        <is>
          <t>CONSTELLATION BRANDS</t>
        </is>
      </c>
      <c r="U431" s="25" t="n">
        <v>2</v>
      </c>
      <c r="V431" s="17" t="inlineStr">
        <is>
          <t>No</t>
        </is>
      </c>
      <c r="W431" s="17" t="inlineStr">
        <is>
          <t>Constellation (20)</t>
        </is>
      </c>
      <c r="X431" s="17" t="inlineStr">
        <is>
          <t>—</t>
        </is>
      </c>
      <c r="Y431" s="19" t="inlineStr">
        <is>
          <t>View Photo</t>
        </is>
      </c>
    </row>
    <row r="432">
      <c r="A432" s="17" t="inlineStr">
        <is>
          <t>D0431</t>
        </is>
      </c>
      <c r="B432" s="17" t="inlineStr">
        <is>
          <t>07/21/2026</t>
        </is>
      </c>
      <c r="C432" s="17" t="inlineStr">
        <is>
          <t>07/21/2026 10:33 AM</t>
        </is>
      </c>
      <c r="D432" s="17" t="inlineStr">
        <is>
          <t>Michael Harboy</t>
        </is>
      </c>
      <c r="E432" s="17" t="inlineStr">
        <is>
          <t>Sales Rep</t>
        </is>
      </c>
      <c r="F432" s="17" t="inlineStr">
        <is>
          <t>Mike Kennedy</t>
        </is>
      </c>
      <c r="G432" s="17" t="inlineStr">
        <is>
          <t>150002</t>
        </is>
      </c>
      <c r="H432" s="17" t="inlineStr">
        <is>
          <t>SHOPRITE WINE &amp; SPIRITS</t>
        </is>
      </c>
      <c r="I432" s="17" t="inlineStr">
        <is>
          <t>CALDWELL</t>
        </is>
      </c>
      <c r="J432" s="17" t="inlineStr">
        <is>
          <t>Garage</t>
        </is>
      </c>
      <c r="K432" s="25" t="n">
        <v>2</v>
      </c>
      <c r="L432" s="17" t="inlineStr">
        <is>
          <t>Bronze (20-39)</t>
        </is>
      </c>
      <c r="M432" s="18" t="n">
        <v>20</v>
      </c>
      <c r="N432" s="18" t="n">
        <v>20</v>
      </c>
      <c r="O432" s="17" t="inlineStr">
        <is>
          <t>Priority</t>
        </is>
      </c>
      <c r="P432" s="18" t="n">
        <v>300</v>
      </c>
      <c r="Q432" s="17" t="inlineStr">
        <is>
          <t>Yes</t>
        </is>
      </c>
      <c r="R432" s="17" t="inlineStr">
        <is>
          <t>GARAGE BEER - CONTRACT BREWING</t>
        </is>
      </c>
      <c r="S432" s="17" t="inlineStr">
        <is>
          <t>GARAGE BEER - CONTRACT BREWING</t>
        </is>
      </c>
      <c r="T432" s="17" t="inlineStr">
        <is>
          <t>GARAGE BEER CO., MAHOU USA</t>
        </is>
      </c>
      <c r="U432" s="25" t="n">
        <v>3</v>
      </c>
      <c r="V432" s="17" t="inlineStr">
        <is>
          <t>No</t>
        </is>
      </c>
      <c r="W432" s="17" t="inlineStr">
        <is>
          <t>Garage (20)</t>
        </is>
      </c>
      <c r="X432" s="17" t="inlineStr">
        <is>
          <t>—</t>
        </is>
      </c>
      <c r="Y432" s="19" t="inlineStr">
        <is>
          <t>View Photo</t>
        </is>
      </c>
    </row>
    <row r="433">
      <c r="A433" s="17" t="inlineStr">
        <is>
          <t>D0432</t>
        </is>
      </c>
      <c r="B433" s="17" t="inlineStr">
        <is>
          <t>07/23/2026</t>
        </is>
      </c>
      <c r="C433" s="17" t="inlineStr">
        <is>
          <t>07/23/2026 11:02 AM</t>
        </is>
      </c>
      <c r="D433" s="17" t="inlineStr">
        <is>
          <t>Mike Ast</t>
        </is>
      </c>
      <c r="E433" s="17" t="inlineStr">
        <is>
          <t>Sales Rep</t>
        </is>
      </c>
      <c r="F433" s="17" t="inlineStr">
        <is>
          <t>Paul Deady</t>
        </is>
      </c>
      <c r="G433" s="17" t="inlineStr">
        <is>
          <t>84010</t>
        </is>
      </c>
      <c r="H433" s="17" t="inlineStr">
        <is>
          <t>RIDGEWOOD SUPER CELLAR</t>
        </is>
      </c>
      <c r="I433" s="17" t="inlineStr">
        <is>
          <t>RIDGEWOOD</t>
        </is>
      </c>
      <c r="J433" s="17" t="inlineStr">
        <is>
          <t>Boston Beer</t>
        </is>
      </c>
      <c r="K433" s="25" t="n">
        <v>2</v>
      </c>
      <c r="L433" s="17" t="inlineStr">
        <is>
          <t>Bronze (20-39)</t>
        </is>
      </c>
      <c r="M433" s="18" t="n">
        <v>20</v>
      </c>
      <c r="N433" s="18" t="n">
        <v>20</v>
      </c>
      <c r="O433" s="17" t="inlineStr">
        <is>
          <t>Priority</t>
        </is>
      </c>
      <c r="P433" s="18" t="n">
        <v>300</v>
      </c>
      <c r="Q433" s="17" t="inlineStr">
        <is>
          <t>Yes</t>
        </is>
      </c>
      <c r="R433" s="17" t="inlineStr">
        <is>
          <t>SUN CRUISERS RTD</t>
        </is>
      </c>
      <c r="S433" s="17" t="inlineStr">
        <is>
          <t>SUN CRUISERS RTD</t>
        </is>
      </c>
      <c r="T433" s="17" t="inlineStr">
        <is>
          <t>BOSTON BEER COMPANY</t>
        </is>
      </c>
      <c r="U433" s="25" t="n">
        <v>1</v>
      </c>
      <c r="V433" s="17" t="inlineStr">
        <is>
          <t>No</t>
        </is>
      </c>
      <c r="W433" s="17" t="inlineStr">
        <is>
          <t>Boston Beer (20)</t>
        </is>
      </c>
      <c r="X433" s="17" t="inlineStr">
        <is>
          <t>—</t>
        </is>
      </c>
      <c r="Y433" s="19" t="inlineStr">
        <is>
          <t>View Photo</t>
        </is>
      </c>
    </row>
    <row r="434">
      <c r="A434" s="17" t="inlineStr">
        <is>
          <t>D0433</t>
        </is>
      </c>
      <c r="B434" s="17" t="inlineStr">
        <is>
          <t>07/28/2026</t>
        </is>
      </c>
      <c r="C434" s="17" t="inlineStr">
        <is>
          <t>07/28/2026 12:54 PM</t>
        </is>
      </c>
      <c r="D434" s="17" t="inlineStr">
        <is>
          <t>Derrick laws</t>
        </is>
      </c>
      <c r="E434" s="17" t="inlineStr">
        <is>
          <t>Sales Rep</t>
        </is>
      </c>
      <c r="F434" s="17" t="inlineStr">
        <is>
          <t>Denise Montes</t>
        </is>
      </c>
      <c r="G434" s="17" t="inlineStr">
        <is>
          <t>23004</t>
        </is>
      </c>
      <c r="H434" s="17" t="inlineStr">
        <is>
          <t>SHOP RITE WINES/SPIRITS</t>
        </is>
      </c>
      <c r="I434" s="17" t="inlineStr">
        <is>
          <t>CLIFTON</t>
        </is>
      </c>
      <c r="J434" s="17" t="inlineStr">
        <is>
          <t>Constellation</t>
        </is>
      </c>
      <c r="K434" s="25" t="n">
        <v>2</v>
      </c>
      <c r="L434" s="17" t="inlineStr">
        <is>
          <t>Bronze (20-39)</t>
        </is>
      </c>
      <c r="M434" s="18" t="n">
        <v>20</v>
      </c>
      <c r="N434" s="18" t="n">
        <v>20</v>
      </c>
      <c r="O434" s="17" t="inlineStr">
        <is>
          <t>Priority</t>
        </is>
      </c>
      <c r="P434" s="18" t="n">
        <v>300</v>
      </c>
      <c r="Q434" s="17" t="inlineStr">
        <is>
          <t>Yes</t>
        </is>
      </c>
      <c r="R434" s="17" t="inlineStr">
        <is>
          <t>CORONA</t>
        </is>
      </c>
      <c r="S434" s="17" t="inlineStr">
        <is>
          <t>CORONA, CORONA EXTRA</t>
        </is>
      </c>
      <c r="T434" s="17" t="inlineStr">
        <is>
          <t>CONSTELLATION BRANDS</t>
        </is>
      </c>
      <c r="U434" s="25" t="n">
        <v>5</v>
      </c>
      <c r="V434" s="17" t="inlineStr">
        <is>
          <t>No</t>
        </is>
      </c>
      <c r="W434" s="17" t="inlineStr">
        <is>
          <t>Constellation (20)</t>
        </is>
      </c>
      <c r="X434" s="17" t="inlineStr">
        <is>
          <t>—</t>
        </is>
      </c>
      <c r="Y434" s="19" t="inlineStr">
        <is>
          <t>View Photo</t>
        </is>
      </c>
    </row>
    <row r="435">
      <c r="A435" s="17" t="inlineStr">
        <is>
          <t>D0434</t>
        </is>
      </c>
      <c r="B435" s="17" t="inlineStr">
        <is>
          <t>07/29/2026</t>
        </is>
      </c>
      <c r="C435" s="17" t="inlineStr">
        <is>
          <t>07/29/2026 01:39 PM</t>
        </is>
      </c>
      <c r="D435" s="17" t="inlineStr">
        <is>
          <t>patrick infante</t>
        </is>
      </c>
      <c r="E435" s="17" t="inlineStr">
        <is>
          <t>Sales Associate</t>
        </is>
      </c>
      <c r="F435" s="17" t="inlineStr">
        <is>
          <t>Denise Montes</t>
        </is>
      </c>
      <c r="G435" s="17" t="inlineStr">
        <is>
          <t>31060</t>
        </is>
      </c>
      <c r="H435" s="17" t="inlineStr">
        <is>
          <t>BOTTLE REPUBLIC (RUTHERFORD)</t>
        </is>
      </c>
      <c r="I435" s="17" t="inlineStr">
        <is>
          <t>RUTHERFORD</t>
        </is>
      </c>
      <c r="J435" s="17" t="inlineStr">
        <is>
          <t>Molson Coors</t>
        </is>
      </c>
      <c r="K435" s="25" t="n">
        <v>2</v>
      </c>
      <c r="L435" s="17" t="inlineStr">
        <is>
          <t>Bronze (20-39)</t>
        </is>
      </c>
      <c r="M435" s="18" t="n">
        <v>20</v>
      </c>
      <c r="N435" s="18" t="n">
        <v>20</v>
      </c>
      <c r="O435" s="17" t="inlineStr">
        <is>
          <t>Priority</t>
        </is>
      </c>
      <c r="P435" s="18" t="n">
        <v>300</v>
      </c>
      <c r="Q435" s="17" t="inlineStr">
        <is>
          <t>Yes</t>
        </is>
      </c>
      <c r="R435" s="17" t="inlineStr">
        <is>
          <t>LEINENKUGEL'S</t>
        </is>
      </c>
      <c r="S435" s="17" t="inlineStr">
        <is>
          <t>LEINENKUGEL'S</t>
        </is>
      </c>
      <c r="T435" s="17" t="inlineStr">
        <is>
          <t>MOLSON COORS BEVERAGE COMPANY</t>
        </is>
      </c>
      <c r="U435" s="25" t="n">
        <v>2</v>
      </c>
      <c r="V435" s="17" t="inlineStr">
        <is>
          <t>No</t>
        </is>
      </c>
      <c r="W435" s="17" t="inlineStr">
        <is>
          <t>Molson Coors (20)</t>
        </is>
      </c>
      <c r="X435" s="17" t="inlineStr">
        <is>
          <t>—</t>
        </is>
      </c>
      <c r="Y435" s="19" t="inlineStr">
        <is>
          <t>View Photo</t>
        </is>
      </c>
    </row>
    <row r="436">
      <c r="A436" s="17" t="inlineStr">
        <is>
          <t>D0435</t>
        </is>
      </c>
      <c r="B436" s="17" t="inlineStr">
        <is>
          <t>07/29/2026</t>
        </is>
      </c>
      <c r="C436" s="17" t="inlineStr">
        <is>
          <t>07/29/2026 11:17 AM</t>
        </is>
      </c>
      <c r="D436" s="17" t="inlineStr">
        <is>
          <t>Mike Ast</t>
        </is>
      </c>
      <c r="E436" s="17" t="inlineStr">
        <is>
          <t>Sales Rep</t>
        </is>
      </c>
      <c r="F436" s="17" t="inlineStr">
        <is>
          <t>Paul Deady</t>
        </is>
      </c>
      <c r="G436" s="17" t="inlineStr">
        <is>
          <t>84003</t>
        </is>
      </c>
      <c r="H436" s="17" t="inlineStr">
        <is>
          <t>STOP &amp; SHOP (A)RIDGEWOOD</t>
        </is>
      </c>
      <c r="I436" s="17" t="inlineStr">
        <is>
          <t>RIDGEWOOD</t>
        </is>
      </c>
      <c r="J436" s="17" t="inlineStr">
        <is>
          <t>Boston Beer</t>
        </is>
      </c>
      <c r="K436" s="25" t="n">
        <v>2</v>
      </c>
      <c r="L436" s="17" t="inlineStr">
        <is>
          <t>Bronze (20-39)</t>
        </is>
      </c>
      <c r="M436" s="18" t="n">
        <v>20</v>
      </c>
      <c r="N436" s="18" t="n">
        <v>20</v>
      </c>
      <c r="O436" s="17" t="inlineStr">
        <is>
          <t>Priority</t>
        </is>
      </c>
      <c r="P436" s="18" t="n">
        <v>300</v>
      </c>
      <c r="Q436" s="17" t="inlineStr">
        <is>
          <t>Yes</t>
        </is>
      </c>
      <c r="R436" s="17" t="inlineStr">
        <is>
          <t>SAM ADAMS SEASONAL</t>
        </is>
      </c>
      <c r="S436" s="17" t="inlineStr">
        <is>
          <t>SAM ADAMS SEASONAL, SAMUEL ADAMS</t>
        </is>
      </c>
      <c r="T436" s="17" t="inlineStr">
        <is>
          <t>BOSTON BEER COMPANY</t>
        </is>
      </c>
      <c r="U436" s="25" t="n">
        <v>5</v>
      </c>
      <c r="V436" s="17" t="inlineStr">
        <is>
          <t>No</t>
        </is>
      </c>
      <c r="W436" s="17" t="inlineStr">
        <is>
          <t>Boston Beer (20)</t>
        </is>
      </c>
      <c r="X436" s="17" t="inlineStr">
        <is>
          <t>—</t>
        </is>
      </c>
      <c r="Y436" s="19" t="inlineStr">
        <is>
          <t>View Photo</t>
        </is>
      </c>
    </row>
    <row r="437">
      <c r="A437" s="17" t="inlineStr">
        <is>
          <t>D0436</t>
        </is>
      </c>
      <c r="B437" s="17" t="inlineStr">
        <is>
          <t>07/30/2026</t>
        </is>
      </c>
      <c r="C437" s="17" t="inlineStr">
        <is>
          <t>07/30/2026 12:43 PM</t>
        </is>
      </c>
      <c r="D437" s="17" t="inlineStr">
        <is>
          <t>Alex Rodriguez</t>
        </is>
      </c>
      <c r="E437" s="17" t="inlineStr">
        <is>
          <t>Sales Rep</t>
        </is>
      </c>
      <c r="F437" s="17" t="inlineStr">
        <is>
          <t>Mike Kennedy</t>
        </is>
      </c>
      <c r="G437" s="17" t="inlineStr">
        <is>
          <t>150248</t>
        </is>
      </c>
      <c r="H437" s="17" t="inlineStr">
        <is>
          <t>THE WINE RACK NORTH CALDWELL</t>
        </is>
      </c>
      <c r="I437" s="17" t="inlineStr">
        <is>
          <t>NORTH CALDWELL</t>
        </is>
      </c>
      <c r="J437" s="17" t="inlineStr">
        <is>
          <t>All Other: TALKHOUSE ENCORE</t>
        </is>
      </c>
      <c r="K437" s="25" t="n">
        <v>2</v>
      </c>
      <c r="L437" s="17" t="inlineStr">
        <is>
          <t>Bronze (20-39)</t>
        </is>
      </c>
      <c r="M437" s="18" t="n">
        <v>20</v>
      </c>
      <c r="N437" s="18" t="n">
        <v>20</v>
      </c>
      <c r="O437" s="17" t="inlineStr">
        <is>
          <t>All Other</t>
        </is>
      </c>
      <c r="P437" s="18" t="n">
        <v>200</v>
      </c>
      <c r="Q437" s="17" t="inlineStr">
        <is>
          <t>Yes</t>
        </is>
      </c>
      <c r="R437" s="17" t="inlineStr">
        <is>
          <t>TALKHOUSE ENCORE TEQUILA SODA</t>
        </is>
      </c>
      <c r="S437" s="17" t="inlineStr">
        <is>
          <t>TALKHOUSE ENCORE TEQUILA SODA, TALKHOUSE ENCORE VARIETY PACK</t>
        </is>
      </c>
      <c r="T437" s="17" t="inlineStr">
        <is>
          <t>TALKHOUSE ENCORE</t>
        </is>
      </c>
      <c r="U437" s="25" t="n">
        <v>4</v>
      </c>
      <c r="V437" s="17" t="inlineStr">
        <is>
          <t>No</t>
        </is>
      </c>
      <c r="W437" s="17" t="inlineStr">
        <is>
          <t>All Other: TALKHOUSE ENCORE (20)</t>
        </is>
      </c>
      <c r="X437" s="17" t="inlineStr">
        <is>
          <t>—</t>
        </is>
      </c>
      <c r="Y437" s="19" t="inlineStr">
        <is>
          <t>View Photo</t>
        </is>
      </c>
    </row>
    <row r="438">
      <c r="A438" s="17" t="inlineStr">
        <is>
          <t>D0437</t>
        </is>
      </c>
      <c r="B438" s="17" t="inlineStr">
        <is>
          <t>08/06/2026</t>
        </is>
      </c>
      <c r="C438" s="17" t="inlineStr">
        <is>
          <t>08/06/2026 02:22 PM</t>
        </is>
      </c>
      <c r="D438" s="17" t="inlineStr">
        <is>
          <t>Javier Melo</t>
        </is>
      </c>
      <c r="E438" s="17" t="inlineStr">
        <is>
          <t>Sales Rep</t>
        </is>
      </c>
      <c r="F438" s="17" t="inlineStr">
        <is>
          <t>Denise Montes</t>
        </is>
      </c>
      <c r="G438" s="17" t="inlineStr">
        <is>
          <t>21044</t>
        </is>
      </c>
      <c r="H438" s="17" t="inlineStr">
        <is>
          <t>FARM BOY</t>
        </is>
      </c>
      <c r="I438" s="17" t="inlineStr">
        <is>
          <t>PATERSON</t>
        </is>
      </c>
      <c r="J438" s="17" t="inlineStr">
        <is>
          <t>Constellation</t>
        </is>
      </c>
      <c r="K438" s="25" t="n">
        <v>2</v>
      </c>
      <c r="L438" s="17" t="inlineStr">
        <is>
          <t>Bronze (20-39)</t>
        </is>
      </c>
      <c r="M438" s="18" t="n">
        <v>20</v>
      </c>
      <c r="N438" s="18" t="n">
        <v>20</v>
      </c>
      <c r="O438" s="17" t="inlineStr">
        <is>
          <t>Priority</t>
        </is>
      </c>
      <c r="P438" s="18" t="n">
        <v>300</v>
      </c>
      <c r="Q438" s="17" t="inlineStr">
        <is>
          <t>Yes</t>
        </is>
      </c>
      <c r="R438" s="17" t="inlineStr">
        <is>
          <t>CORONA EXTRA</t>
        </is>
      </c>
      <c r="S438" s="17" t="inlineStr">
        <is>
          <t>CORONA EXTRA</t>
        </is>
      </c>
      <c r="T438" s="17" t="inlineStr">
        <is>
          <t>CONSTELLATION BRANDS</t>
        </is>
      </c>
      <c r="U438" s="25" t="n">
        <v>1</v>
      </c>
      <c r="V438" s="17" t="inlineStr">
        <is>
          <t>No</t>
        </is>
      </c>
      <c r="W438" s="17" t="inlineStr">
        <is>
          <t>Constellation (20)</t>
        </is>
      </c>
      <c r="X438" s="17" t="inlineStr">
        <is>
          <t>First of a repeat set</t>
        </is>
      </c>
      <c r="Y438" s="19" t="inlineStr">
        <is>
          <t>View Photo</t>
        </is>
      </c>
    </row>
    <row r="439">
      <c r="A439" s="17" t="inlineStr">
        <is>
          <t>D0438</t>
        </is>
      </c>
      <c r="B439" s="17" t="inlineStr">
        <is>
          <t>08/06/2026</t>
        </is>
      </c>
      <c r="C439" s="17" t="inlineStr">
        <is>
          <t>08/06/2026 02:34 PM</t>
        </is>
      </c>
      <c r="D439" s="17" t="inlineStr">
        <is>
          <t>patrick infante</t>
        </is>
      </c>
      <c r="E439" s="17" t="inlineStr">
        <is>
          <t>Sales Associate</t>
        </is>
      </c>
      <c r="F439" s="17" t="inlineStr">
        <is>
          <t>Denise Montes</t>
        </is>
      </c>
      <c r="G439" s="17" t="inlineStr">
        <is>
          <t>21044</t>
        </is>
      </c>
      <c r="H439" s="17" t="inlineStr">
        <is>
          <t>FARM BOY</t>
        </is>
      </c>
      <c r="I439" s="17" t="inlineStr">
        <is>
          <t>PATERSON</t>
        </is>
      </c>
      <c r="J439" s="17" t="inlineStr">
        <is>
          <t>Constellation</t>
        </is>
      </c>
      <c r="K439" s="25" t="n">
        <v>2</v>
      </c>
      <c r="L439" s="17" t="inlineStr">
        <is>
          <t>Bronze (20-39)</t>
        </is>
      </c>
      <c r="M439" s="18" t="n">
        <v>20</v>
      </c>
      <c r="N439" s="18" t="n">
        <v>20</v>
      </c>
      <c r="O439" s="17" t="inlineStr">
        <is>
          <t>Priority</t>
        </is>
      </c>
      <c r="P439" s="18" t="n">
        <v>300</v>
      </c>
      <c r="Q439" s="17" t="inlineStr">
        <is>
          <t>Yes</t>
        </is>
      </c>
      <c r="R439" s="17" t="inlineStr">
        <is>
          <t>CORONA EXTRA</t>
        </is>
      </c>
      <c r="S439" s="17" t="inlineStr">
        <is>
          <t>CORONA EXTRA</t>
        </is>
      </c>
      <c r="T439" s="17" t="inlineStr">
        <is>
          <t>CONSTELLATION BRANDS</t>
        </is>
      </c>
      <c r="U439" s="25" t="n">
        <v>1</v>
      </c>
      <c r="V439" s="17" t="inlineStr">
        <is>
          <t>No</t>
        </is>
      </c>
      <c r="W439" s="17" t="inlineStr">
        <is>
          <t>Constellation (20)</t>
        </is>
      </c>
      <c r="X439" s="26" t="inlineStr">
        <is>
          <t>Possible duplicate</t>
        </is>
      </c>
      <c r="Y439" s="19" t="inlineStr">
        <is>
          <t>View Photo</t>
        </is>
      </c>
    </row>
    <row r="440">
      <c r="A440" s="17" t="inlineStr">
        <is>
          <t>D0439</t>
        </is>
      </c>
      <c r="B440" s="17" t="inlineStr">
        <is>
          <t>08/11/2026</t>
        </is>
      </c>
      <c r="C440" s="17" t="inlineStr">
        <is>
          <t>08/11/2026 11:42 AM</t>
        </is>
      </c>
      <c r="D440" s="17" t="inlineStr">
        <is>
          <t>Jaime Colonna</t>
        </is>
      </c>
      <c r="E440" s="17" t="inlineStr">
        <is>
          <t>Sales Rep</t>
        </is>
      </c>
      <c r="F440" s="17" t="inlineStr">
        <is>
          <t>Mike Kennedy</t>
        </is>
      </c>
      <c r="G440" s="17" t="inlineStr">
        <is>
          <t>170021</t>
        </is>
      </c>
      <c r="H440" s="17" t="inlineStr">
        <is>
          <t>JERSEY CITY BUY RITE (A)</t>
        </is>
      </c>
      <c r="I440" s="17" t="inlineStr">
        <is>
          <t>JERSEY CITY</t>
        </is>
      </c>
      <c r="J440" s="17" t="inlineStr">
        <is>
          <t>All Other: ARTISANAL BREWING VENTURES (EBI)</t>
        </is>
      </c>
      <c r="K440" s="25" t="n">
        <v>2</v>
      </c>
      <c r="L440" s="17" t="inlineStr">
        <is>
          <t>Bronze (20-39)</t>
        </is>
      </c>
      <c r="M440" s="18" t="n">
        <v>20</v>
      </c>
      <c r="N440" s="18" t="n">
        <v>20</v>
      </c>
      <c r="O440" s="17" t="inlineStr">
        <is>
          <t>All Other</t>
        </is>
      </c>
      <c r="P440" s="18" t="n">
        <v>200</v>
      </c>
      <c r="Q440" s="17" t="inlineStr">
        <is>
          <t>Yes</t>
        </is>
      </c>
      <c r="R440" s="17" t="inlineStr">
        <is>
          <t>SOUTHERN TIER BREWING COMPANY</t>
        </is>
      </c>
      <c r="S440" s="17" t="inlineStr">
        <is>
          <t>SOUTHERN TIER BREWING COMPANY</t>
        </is>
      </c>
      <c r="T440" s="17" t="inlineStr">
        <is>
          <t>ARTISANAL BREWING VENTURES (EBI)</t>
        </is>
      </c>
      <c r="U440" s="25" t="n">
        <v>1</v>
      </c>
      <c r="V440" s="17" t="inlineStr">
        <is>
          <t>No</t>
        </is>
      </c>
      <c r="W440" s="17" t="inlineStr">
        <is>
          <t>All Other: ARTISANAL BREWING VENTURES (EBI) (20)</t>
        </is>
      </c>
      <c r="X440" s="17" t="inlineStr">
        <is>
          <t>—</t>
        </is>
      </c>
      <c r="Y440" s="19" t="inlineStr">
        <is>
          <t>View Photo</t>
        </is>
      </c>
    </row>
    <row r="441">
      <c r="A441" s="17" t="inlineStr">
        <is>
          <t>D0440</t>
        </is>
      </c>
      <c r="B441" s="17" t="inlineStr">
        <is>
          <t>08/14/2026</t>
        </is>
      </c>
      <c r="C441" s="17" t="inlineStr">
        <is>
          <t>08/14/2026 02:01 PM</t>
        </is>
      </c>
      <c r="D441" s="17" t="inlineStr">
        <is>
          <t>patrick infante</t>
        </is>
      </c>
      <c r="E441" s="17" t="inlineStr">
        <is>
          <t>Sales Associate</t>
        </is>
      </c>
      <c r="F441" s="17" t="inlineStr">
        <is>
          <t>Denise Montes</t>
        </is>
      </c>
      <c r="G441" s="17" t="inlineStr">
        <is>
          <t>24011</t>
        </is>
      </c>
      <c r="H441" s="17" t="inlineStr">
        <is>
          <t>SHOPPERS VINEYARD (A)</t>
        </is>
      </c>
      <c r="I441" s="17" t="inlineStr">
        <is>
          <t>CLIFTON</t>
        </is>
      </c>
      <c r="J441" s="17" t="inlineStr">
        <is>
          <t>Boston Beer</t>
        </is>
      </c>
      <c r="K441" s="25" t="n">
        <v>2</v>
      </c>
      <c r="L441" s="17" t="inlineStr">
        <is>
          <t>Bronze (20-39)</t>
        </is>
      </c>
      <c r="M441" s="18" t="n">
        <v>20</v>
      </c>
      <c r="N441" s="18" t="n">
        <v>20</v>
      </c>
      <c r="O441" s="17" t="inlineStr">
        <is>
          <t>Priority</t>
        </is>
      </c>
      <c r="P441" s="18" t="n">
        <v>300</v>
      </c>
      <c r="Q441" s="17" t="inlineStr">
        <is>
          <t>Yes</t>
        </is>
      </c>
      <c r="R441" s="17" t="inlineStr">
        <is>
          <t>ANGRY ORCHARD</t>
        </is>
      </c>
      <c r="S441" s="17" t="inlineStr">
        <is>
          <t>ANGRY ORCHARD</t>
        </is>
      </c>
      <c r="T441" s="17" t="inlineStr">
        <is>
          <t>BOSTON BEER COMPANY</t>
        </is>
      </c>
      <c r="U441" s="25" t="n">
        <v>1</v>
      </c>
      <c r="V441" s="17" t="inlineStr">
        <is>
          <t>No</t>
        </is>
      </c>
      <c r="W441" s="17" t="inlineStr">
        <is>
          <t>Boston Beer (20)</t>
        </is>
      </c>
      <c r="X441" s="17" t="inlineStr">
        <is>
          <t>—</t>
        </is>
      </c>
      <c r="Y441" s="19" t="inlineStr">
        <is>
          <t>View Photo</t>
        </is>
      </c>
    </row>
    <row r="442">
      <c r="A442" s="17" t="inlineStr">
        <is>
          <t>D0441</t>
        </is>
      </c>
      <c r="B442" s="17" t="inlineStr">
        <is>
          <t>08/21/2026</t>
        </is>
      </c>
      <c r="C442" s="17" t="inlineStr">
        <is>
          <t>08/21/2026 01:12 PM</t>
        </is>
      </c>
      <c r="D442" s="17" t="inlineStr">
        <is>
          <t>patrick infante</t>
        </is>
      </c>
      <c r="E442" s="17" t="inlineStr">
        <is>
          <t>Sales Associate</t>
        </is>
      </c>
      <c r="F442" s="17" t="inlineStr">
        <is>
          <t>Denise Montes</t>
        </is>
      </c>
      <c r="G442" s="17" t="inlineStr">
        <is>
          <t>23004</t>
        </is>
      </c>
      <c r="H442" s="17" t="inlineStr">
        <is>
          <t>SHOP RITE WINES/SPIRITS</t>
        </is>
      </c>
      <c r="I442" s="17" t="inlineStr">
        <is>
          <t>CLIFTON</t>
        </is>
      </c>
      <c r="J442" s="17" t="inlineStr">
        <is>
          <t>Molson Coors</t>
        </is>
      </c>
      <c r="K442" s="25" t="n">
        <v>2</v>
      </c>
      <c r="L442" s="17" t="inlineStr">
        <is>
          <t>Bronze (20-39)</t>
        </is>
      </c>
      <c r="M442" s="18" t="n">
        <v>20</v>
      </c>
      <c r="N442" s="18" t="n">
        <v>20</v>
      </c>
      <c r="O442" s="17" t="inlineStr">
        <is>
          <t>Priority</t>
        </is>
      </c>
      <c r="P442" s="18" t="n">
        <v>300</v>
      </c>
      <c r="Q442" s="17" t="inlineStr">
        <is>
          <t>Yes</t>
        </is>
      </c>
      <c r="R442" s="17" t="inlineStr">
        <is>
          <t>PERONI NASTRO AZZURRO</t>
        </is>
      </c>
      <c r="S442" s="17" t="inlineStr">
        <is>
          <t>PERONI NASTRO AZZURRO</t>
        </is>
      </c>
      <c r="T442" s="17" t="inlineStr">
        <is>
          <t>MOLSON COORS BEVERAGE COMPANY</t>
        </is>
      </c>
      <c r="U442" s="25" t="n">
        <v>2</v>
      </c>
      <c r="V442" s="17" t="inlineStr">
        <is>
          <t>No</t>
        </is>
      </c>
      <c r="W442" s="17" t="inlineStr">
        <is>
          <t>Molson Coors (20)</t>
        </is>
      </c>
      <c r="X442" s="17" t="inlineStr">
        <is>
          <t>—</t>
        </is>
      </c>
      <c r="Y442" s="19" t="inlineStr">
        <is>
          <t>View Photo</t>
        </is>
      </c>
    </row>
    <row r="443">
      <c r="A443" s="17" t="inlineStr">
        <is>
          <t>D0442</t>
        </is>
      </c>
      <c r="B443" s="17" t="inlineStr">
        <is>
          <t>08/27/2026</t>
        </is>
      </c>
      <c r="C443" s="17" t="inlineStr">
        <is>
          <t>08/27/2026 02:17 PM</t>
        </is>
      </c>
      <c r="D443" s="17" t="inlineStr">
        <is>
          <t>patrick infante</t>
        </is>
      </c>
      <c r="E443" s="17" t="inlineStr">
        <is>
          <t>Sales Associate</t>
        </is>
      </c>
      <c r="F443" s="17" t="inlineStr">
        <is>
          <t>Denise Montes</t>
        </is>
      </c>
      <c r="G443" s="17" t="inlineStr">
        <is>
          <t>21044</t>
        </is>
      </c>
      <c r="H443" s="17" t="inlineStr">
        <is>
          <t>FARM BOY</t>
        </is>
      </c>
      <c r="I443" s="17" t="inlineStr">
        <is>
          <t>PATERSON</t>
        </is>
      </c>
      <c r="J443" s="17" t="inlineStr">
        <is>
          <t>Constellation</t>
        </is>
      </c>
      <c r="K443" s="25" t="n">
        <v>2</v>
      </c>
      <c r="L443" s="17" t="inlineStr">
        <is>
          <t>Bronze (20-39)</t>
        </is>
      </c>
      <c r="M443" s="18" t="n">
        <v>20</v>
      </c>
      <c r="N443" s="18" t="n">
        <v>20</v>
      </c>
      <c r="O443" s="17" t="inlineStr">
        <is>
          <t>Priority</t>
        </is>
      </c>
      <c r="P443" s="18" t="n">
        <v>300</v>
      </c>
      <c r="Q443" s="17" t="inlineStr">
        <is>
          <t>Yes</t>
        </is>
      </c>
      <c r="R443" s="17" t="inlineStr">
        <is>
          <t>CORONA EXTRA</t>
        </is>
      </c>
      <c r="S443" s="17" t="inlineStr">
        <is>
          <t>CORONA EXTRA</t>
        </is>
      </c>
      <c r="T443" s="17" t="inlineStr">
        <is>
          <t>CONSTELLATION BRANDS</t>
        </is>
      </c>
      <c r="U443" s="25" t="n">
        <v>1</v>
      </c>
      <c r="V443" s="17" t="inlineStr">
        <is>
          <t>No</t>
        </is>
      </c>
      <c r="W443" s="17" t="inlineStr">
        <is>
          <t>Constellation (20)</t>
        </is>
      </c>
      <c r="X443" s="17" t="inlineStr">
        <is>
          <t>First of a repeat set</t>
        </is>
      </c>
      <c r="Y443" s="19" t="inlineStr">
        <is>
          <t>View Photo</t>
        </is>
      </c>
    </row>
    <row r="444">
      <c r="A444" s="17" t="inlineStr">
        <is>
          <t>D0443</t>
        </is>
      </c>
      <c r="B444" s="17" t="inlineStr">
        <is>
          <t>08/27/2026</t>
        </is>
      </c>
      <c r="C444" s="17" t="inlineStr">
        <is>
          <t>08/27/2026 02:18 PM</t>
        </is>
      </c>
      <c r="D444" s="17" t="inlineStr">
        <is>
          <t>Javier Melo</t>
        </is>
      </c>
      <c r="E444" s="17" t="inlineStr">
        <is>
          <t>Sales Rep</t>
        </is>
      </c>
      <c r="F444" s="17" t="inlineStr">
        <is>
          <t>Denise Montes</t>
        </is>
      </c>
      <c r="G444" s="17" t="inlineStr">
        <is>
          <t>21044</t>
        </is>
      </c>
      <c r="H444" s="17" t="inlineStr">
        <is>
          <t>FARM BOY</t>
        </is>
      </c>
      <c r="I444" s="17" t="inlineStr">
        <is>
          <t>PATERSON</t>
        </is>
      </c>
      <c r="J444" s="17" t="inlineStr">
        <is>
          <t>Constellation</t>
        </is>
      </c>
      <c r="K444" s="25" t="n">
        <v>2</v>
      </c>
      <c r="L444" s="17" t="inlineStr">
        <is>
          <t>Bronze (20-39)</t>
        </is>
      </c>
      <c r="M444" s="18" t="n">
        <v>20</v>
      </c>
      <c r="N444" s="18" t="n">
        <v>20</v>
      </c>
      <c r="O444" s="17" t="inlineStr">
        <is>
          <t>Priority</t>
        </is>
      </c>
      <c r="P444" s="18" t="n">
        <v>300</v>
      </c>
      <c r="Q444" s="17" t="inlineStr">
        <is>
          <t>Yes</t>
        </is>
      </c>
      <c r="R444" s="17" t="inlineStr">
        <is>
          <t>CORONA EXTRA</t>
        </is>
      </c>
      <c r="S444" s="17" t="inlineStr">
        <is>
          <t>CORONA EXTRA</t>
        </is>
      </c>
      <c r="T444" s="17" t="inlineStr">
        <is>
          <t>CONSTELLATION BRANDS</t>
        </is>
      </c>
      <c r="U444" s="25" t="n">
        <v>1</v>
      </c>
      <c r="V444" s="17" t="inlineStr">
        <is>
          <t>No</t>
        </is>
      </c>
      <c r="W444" s="17" t="inlineStr">
        <is>
          <t>Constellation (20)</t>
        </is>
      </c>
      <c r="X444" s="26" t="inlineStr">
        <is>
          <t>Possible duplicate</t>
        </is>
      </c>
      <c r="Y444" s="19" t="inlineStr">
        <is>
          <t>View Photo</t>
        </is>
      </c>
    </row>
    <row r="445">
      <c r="A445" s="17" t="inlineStr">
        <is>
          <t>D0444</t>
        </is>
      </c>
      <c r="B445" s="17" t="inlineStr">
        <is>
          <t>08/28/2026</t>
        </is>
      </c>
      <c r="C445" s="17" t="inlineStr">
        <is>
          <t>08/28/2026 12:04 PM</t>
        </is>
      </c>
      <c r="D445" s="17" t="inlineStr">
        <is>
          <t>patrick infante</t>
        </is>
      </c>
      <c r="E445" s="17" t="inlineStr">
        <is>
          <t>Sales Associate</t>
        </is>
      </c>
      <c r="F445" s="17" t="inlineStr">
        <is>
          <t>Denise Montes</t>
        </is>
      </c>
      <c r="G445" s="17" t="inlineStr">
        <is>
          <t>21033</t>
        </is>
      </c>
      <c r="H445" s="17" t="inlineStr">
        <is>
          <t>THE LIQUOR SHOP</t>
        </is>
      </c>
      <c r="I445" s="17" t="inlineStr">
        <is>
          <t>PATERSON</t>
        </is>
      </c>
      <c r="J445" s="17" t="inlineStr">
        <is>
          <t>Constellation</t>
        </is>
      </c>
      <c r="K445" s="25" t="n">
        <v>2</v>
      </c>
      <c r="L445" s="17" t="inlineStr">
        <is>
          <t>Bronze (20-39)</t>
        </is>
      </c>
      <c r="M445" s="18" t="n">
        <v>20</v>
      </c>
      <c r="N445" s="18" t="n">
        <v>20</v>
      </c>
      <c r="O445" s="17" t="inlineStr">
        <is>
          <t>Priority</t>
        </is>
      </c>
      <c r="P445" s="18" t="n">
        <v>300</v>
      </c>
      <c r="Q445" s="17" t="inlineStr">
        <is>
          <t>Yes</t>
        </is>
      </c>
      <c r="R445" s="17" t="inlineStr">
        <is>
          <t>CORONA EXTRA</t>
        </is>
      </c>
      <c r="S445" s="17" t="inlineStr">
        <is>
          <t>CORONA EXTRA</t>
        </is>
      </c>
      <c r="T445" s="17" t="inlineStr">
        <is>
          <t>CONSTELLATION BRANDS</t>
        </is>
      </c>
      <c r="U445" s="25" t="n">
        <v>1</v>
      </c>
      <c r="V445" s="17" t="inlineStr">
        <is>
          <t>No</t>
        </is>
      </c>
      <c r="W445" s="17" t="inlineStr">
        <is>
          <t>Constellation (20)</t>
        </is>
      </c>
      <c r="X445" s="17" t="inlineStr">
        <is>
          <t>—</t>
        </is>
      </c>
      <c r="Y445" s="19" t="inlineStr">
        <is>
          <t>View Photo</t>
        </is>
      </c>
    </row>
    <row r="446">
      <c r="A446" s="17" t="inlineStr">
        <is>
          <t>D0445</t>
        </is>
      </c>
      <c r="B446" s="17" t="inlineStr">
        <is>
          <t>07/27/2026</t>
        </is>
      </c>
      <c r="C446" s="17" t="inlineStr">
        <is>
          <t>07/27/2026 12:45 PM</t>
        </is>
      </c>
      <c r="D446" s="17" t="inlineStr">
        <is>
          <t>Alex Rodriguez</t>
        </is>
      </c>
      <c r="E446" s="17" t="inlineStr">
        <is>
          <t>Sales Rep</t>
        </is>
      </c>
      <c r="F446" s="17" t="inlineStr"/>
      <c r="G446" s="17" t="inlineStr">
        <is>
          <t>250036</t>
        </is>
      </c>
      <c r="H446" s="17" t="inlineStr">
        <is>
          <t>WATCHUNG LIQUOR (P)</t>
        </is>
      </c>
      <c r="I446" s="17" t="inlineStr">
        <is>
          <t>PLAINFIELD</t>
        </is>
      </c>
      <c r="J446" s="17" t="inlineStr">
        <is>
          <t>All Other: CENTRAL BEER IMPORT &amp; EXPORT FAMOSA</t>
        </is>
      </c>
      <c r="K446" s="25" t="n">
        <v>1</v>
      </c>
      <c r="L446" s="17" t="inlineStr">
        <is>
          <t>Other (10-19)</t>
        </is>
      </c>
      <c r="M446" s="18" t="n">
        <v>19</v>
      </c>
      <c r="N446" s="18" t="n">
        <v>19</v>
      </c>
      <c r="O446" s="17" t="inlineStr">
        <is>
          <t>All Other</t>
        </is>
      </c>
      <c r="P446" s="18" t="n">
        <v>100</v>
      </c>
      <c r="Q446" s="17" t="inlineStr">
        <is>
          <t>Yes</t>
        </is>
      </c>
      <c r="R446" s="17" t="inlineStr">
        <is>
          <t>FAMOSA</t>
        </is>
      </c>
      <c r="S446" s="17" t="inlineStr">
        <is>
          <t>FAMOSA</t>
        </is>
      </c>
      <c r="T446" s="17" t="inlineStr">
        <is>
          <t>CENTRAL BEER IMPORT &amp; EXPORT FAMOSA</t>
        </is>
      </c>
      <c r="U446" s="25" t="n">
        <v>1</v>
      </c>
      <c r="V446" s="17" t="inlineStr">
        <is>
          <t>No</t>
        </is>
      </c>
      <c r="W446" s="17" t="inlineStr">
        <is>
          <t>All Other: CENTRAL BEER IMPORT &amp; EXPORT FAMOSA (19)</t>
        </is>
      </c>
      <c r="X446" s="17" t="inlineStr">
        <is>
          <t>—</t>
        </is>
      </c>
      <c r="Y446" s="19" t="inlineStr">
        <is>
          <t>View Photo</t>
        </is>
      </c>
    </row>
    <row r="447">
      <c r="A447" s="17" t="inlineStr">
        <is>
          <t>D0446</t>
        </is>
      </c>
      <c r="B447" s="17" t="inlineStr">
        <is>
          <t>07/06/2026</t>
        </is>
      </c>
      <c r="C447" s="17" t="inlineStr">
        <is>
          <t>07/06/2026 11:25 AM</t>
        </is>
      </c>
      <c r="D447" s="17" t="inlineStr">
        <is>
          <t>Mike Ast</t>
        </is>
      </c>
      <c r="E447" s="17" t="inlineStr">
        <is>
          <t>Sales Rep</t>
        </is>
      </c>
      <c r="F447" s="17" t="inlineStr">
        <is>
          <t>Paul Deady</t>
        </is>
      </c>
      <c r="G447" s="17" t="inlineStr">
        <is>
          <t>17010</t>
        </is>
      </c>
      <c r="H447" s="17" t="inlineStr">
        <is>
          <t>FRANK'S FINE WINE &amp; FOODS</t>
        </is>
      </c>
      <c r="I447" s="17" t="inlineStr">
        <is>
          <t>HALEDON</t>
        </is>
      </c>
      <c r="J447" s="17" t="inlineStr">
        <is>
          <t>HUSA (Heineken USA)</t>
        </is>
      </c>
      <c r="K447" s="25" t="n">
        <v>1</v>
      </c>
      <c r="L447" s="17" t="inlineStr">
        <is>
          <t>Other (10-19)</t>
        </is>
      </c>
      <c r="M447" s="18" t="n">
        <v>18</v>
      </c>
      <c r="N447" s="18" t="n">
        <v>18</v>
      </c>
      <c r="O447" s="17" t="inlineStr">
        <is>
          <t>Priority</t>
        </is>
      </c>
      <c r="P447" s="18" t="n">
        <v>200</v>
      </c>
      <c r="Q447" s="17" t="inlineStr">
        <is>
          <t>Yes</t>
        </is>
      </c>
      <c r="R447" s="17" t="inlineStr">
        <is>
          <t>DOS EQUIS</t>
        </is>
      </c>
      <c r="S447" s="17" t="inlineStr">
        <is>
          <t>DOS EQUIS</t>
        </is>
      </c>
      <c r="T447" s="17" t="inlineStr">
        <is>
          <t>HEINEKEN</t>
        </is>
      </c>
      <c r="U447" s="25" t="n">
        <v>2</v>
      </c>
      <c r="V447" s="17" t="inlineStr">
        <is>
          <t>No</t>
        </is>
      </c>
      <c r="W447" s="17" t="inlineStr">
        <is>
          <t>HUSA (Heineken USA) (18)</t>
        </is>
      </c>
      <c r="X447" s="17" t="inlineStr">
        <is>
          <t>—</t>
        </is>
      </c>
      <c r="Y447" s="19" t="inlineStr">
        <is>
          <t>View Photo</t>
        </is>
      </c>
    </row>
    <row r="448">
      <c r="A448" s="17" t="inlineStr">
        <is>
          <t>D0447</t>
        </is>
      </c>
      <c r="B448" s="17" t="inlineStr">
        <is>
          <t>07/30/2026</t>
        </is>
      </c>
      <c r="C448" s="17" t="inlineStr">
        <is>
          <t>07/30/2026 10:31 AM</t>
        </is>
      </c>
      <c r="D448" s="17" t="inlineStr">
        <is>
          <t>phil Ernst</t>
        </is>
      </c>
      <c r="E448" s="17" t="inlineStr">
        <is>
          <t>Sales Rep</t>
        </is>
      </c>
      <c r="F448" s="17" t="inlineStr">
        <is>
          <t>Michael Engel</t>
        </is>
      </c>
      <c r="G448" s="17" t="inlineStr">
        <is>
          <t>83010</t>
        </is>
      </c>
      <c r="H448" s="17" t="inlineStr">
        <is>
          <t>BOTTLE KING (A) GLEN ROCK</t>
        </is>
      </c>
      <c r="I448" s="17" t="inlineStr">
        <is>
          <t>GLEN ROCK</t>
        </is>
      </c>
      <c r="J448" s="17" t="inlineStr">
        <is>
          <t>All Other: ATHLETIC BREWING COMPANY</t>
        </is>
      </c>
      <c r="K448" s="25" t="n">
        <v>1</v>
      </c>
      <c r="L448" s="17" t="inlineStr">
        <is>
          <t>Other (10-19)</t>
        </is>
      </c>
      <c r="M448" s="18" t="n">
        <v>18</v>
      </c>
      <c r="N448" s="18" t="n">
        <v>18</v>
      </c>
      <c r="O448" s="17" t="inlineStr">
        <is>
          <t>All Other</t>
        </is>
      </c>
      <c r="P448" s="18" t="n">
        <v>100</v>
      </c>
      <c r="Q448" s="17" t="inlineStr">
        <is>
          <t>Yes</t>
        </is>
      </c>
      <c r="R448" s="17" t="inlineStr">
        <is>
          <t>ATHLETIC BREWING COMPANY</t>
        </is>
      </c>
      <c r="S448" s="17" t="inlineStr">
        <is>
          <t>ATHLETIC BREWING COMPANY</t>
        </is>
      </c>
      <c r="T448" s="17" t="inlineStr">
        <is>
          <t>ATHLETIC BREWING COMPANY</t>
        </is>
      </c>
      <c r="U448" s="25" t="n">
        <v>1</v>
      </c>
      <c r="V448" s="17" t="inlineStr">
        <is>
          <t>No</t>
        </is>
      </c>
      <c r="W448" s="17" t="inlineStr">
        <is>
          <t>All Other: ATHLETIC BREWING COMPANY (18)</t>
        </is>
      </c>
      <c r="X448" s="17" t="inlineStr">
        <is>
          <t>—</t>
        </is>
      </c>
      <c r="Y448" s="19" t="inlineStr">
        <is>
          <t>View Photo</t>
        </is>
      </c>
    </row>
    <row r="449">
      <c r="A449" s="17" t="inlineStr">
        <is>
          <t>D0448</t>
        </is>
      </c>
      <c r="B449" s="17" t="inlineStr">
        <is>
          <t>08/03/2026</t>
        </is>
      </c>
      <c r="C449" s="17" t="inlineStr">
        <is>
          <t>08/03/2026 11:39 AM</t>
        </is>
      </c>
      <c r="D449" s="17" t="inlineStr">
        <is>
          <t>patrick infante</t>
        </is>
      </c>
      <c r="E449" s="17" t="inlineStr">
        <is>
          <t>Sales Associate</t>
        </is>
      </c>
      <c r="F449" s="17" t="inlineStr">
        <is>
          <t>Denise Montes</t>
        </is>
      </c>
      <c r="G449" s="17" t="inlineStr">
        <is>
          <t>37013</t>
        </is>
      </c>
      <c r="H449" s="17" t="inlineStr">
        <is>
          <t>JOE'S LIQUORS</t>
        </is>
      </c>
      <c r="I449" s="17" t="inlineStr">
        <is>
          <t>GARFIELD</t>
        </is>
      </c>
      <c r="J449" s="17" t="inlineStr">
        <is>
          <t>Constellation</t>
        </is>
      </c>
      <c r="K449" s="25" t="n">
        <v>1</v>
      </c>
      <c r="L449" s="17" t="inlineStr">
        <is>
          <t>Other (10-19)</t>
        </is>
      </c>
      <c r="M449" s="18" t="n">
        <v>18</v>
      </c>
      <c r="N449" s="18" t="n">
        <v>18</v>
      </c>
      <c r="O449" s="17" t="inlineStr">
        <is>
          <t>Priority</t>
        </is>
      </c>
      <c r="P449" s="18" t="n">
        <v>200</v>
      </c>
      <c r="Q449" s="17" t="inlineStr">
        <is>
          <t>Yes</t>
        </is>
      </c>
      <c r="R449" s="17" t="inlineStr">
        <is>
          <t>CORONA EXTRA</t>
        </is>
      </c>
      <c r="S449" s="17" t="inlineStr">
        <is>
          <t>CORONA EXTRA</t>
        </is>
      </c>
      <c r="T449" s="17" t="inlineStr">
        <is>
          <t>CONSTELLATION BRANDS</t>
        </is>
      </c>
      <c r="U449" s="25" t="n">
        <v>2</v>
      </c>
      <c r="V449" s="17" t="inlineStr">
        <is>
          <t>No</t>
        </is>
      </c>
      <c r="W449" s="17" t="inlineStr">
        <is>
          <t>Constellation (18)</t>
        </is>
      </c>
      <c r="X449" s="17" t="inlineStr">
        <is>
          <t>—</t>
        </is>
      </c>
      <c r="Y449" s="19" t="inlineStr">
        <is>
          <t>View Photo</t>
        </is>
      </c>
    </row>
    <row r="450">
      <c r="A450" s="17" t="inlineStr">
        <is>
          <t>D0449</t>
        </is>
      </c>
      <c r="B450" s="17" t="inlineStr">
        <is>
          <t>08/05/2026</t>
        </is>
      </c>
      <c r="C450" s="17" t="inlineStr">
        <is>
          <t>08/05/2026 01:32 PM</t>
        </is>
      </c>
      <c r="D450" s="17" t="inlineStr">
        <is>
          <t>Michael Harboy</t>
        </is>
      </c>
      <c r="E450" s="17" t="inlineStr">
        <is>
          <t>Sales Rep</t>
        </is>
      </c>
      <c r="F450" s="17" t="inlineStr">
        <is>
          <t>Mike Kennedy</t>
        </is>
      </c>
      <c r="G450" s="17" t="inlineStr">
        <is>
          <t>150248</t>
        </is>
      </c>
      <c r="H450" s="17" t="inlineStr">
        <is>
          <t>THE WINE RACK NORTH CALDWELL</t>
        </is>
      </c>
      <c r="I450" s="17" t="inlineStr">
        <is>
          <t>NORTH CALDWELL</t>
        </is>
      </c>
      <c r="J450" s="17" t="inlineStr">
        <is>
          <t>All Other: TALKHOUSE ENCORE</t>
        </is>
      </c>
      <c r="K450" s="25" t="n">
        <v>1</v>
      </c>
      <c r="L450" s="17" t="inlineStr">
        <is>
          <t>Other (10-19)</t>
        </is>
      </c>
      <c r="M450" s="18" t="n">
        <v>18</v>
      </c>
      <c r="N450" s="18" t="n">
        <v>18</v>
      </c>
      <c r="O450" s="17" t="inlineStr">
        <is>
          <t>All Other</t>
        </is>
      </c>
      <c r="P450" s="18" t="n">
        <v>100</v>
      </c>
      <c r="Q450" s="17" t="inlineStr">
        <is>
          <t>Yes</t>
        </is>
      </c>
      <c r="R450" s="17" t="inlineStr">
        <is>
          <t>TALKHOUSE ENCORE VARIETY PACK</t>
        </is>
      </c>
      <c r="S450" s="17" t="inlineStr">
        <is>
          <t>TALKHOUSE ENCORE VARIETY PACK</t>
        </is>
      </c>
      <c r="T450" s="17" t="inlineStr">
        <is>
          <t>TALKHOUSE ENCORE</t>
        </is>
      </c>
      <c r="U450" s="25" t="n">
        <v>2</v>
      </c>
      <c r="V450" s="17" t="inlineStr">
        <is>
          <t>No</t>
        </is>
      </c>
      <c r="W450" s="17" t="inlineStr">
        <is>
          <t>All Other: TALKHOUSE ENCORE (18)</t>
        </is>
      </c>
      <c r="X450" s="17" t="inlineStr">
        <is>
          <t>—</t>
        </is>
      </c>
      <c r="Y450" s="19" t="inlineStr">
        <is>
          <t>View Photo</t>
        </is>
      </c>
    </row>
    <row r="451">
      <c r="A451" s="17" t="inlineStr">
        <is>
          <t>D0450</t>
        </is>
      </c>
      <c r="B451" s="17" t="inlineStr">
        <is>
          <t>08/07/2026</t>
        </is>
      </c>
      <c r="C451" s="17" t="inlineStr">
        <is>
          <t>08/07/2026 03:32 PM</t>
        </is>
      </c>
      <c r="D451" s="17" t="inlineStr">
        <is>
          <t>mickey obrien</t>
        </is>
      </c>
      <c r="E451" s="17" t="inlineStr">
        <is>
          <t>Sales Associate</t>
        </is>
      </c>
      <c r="F451" s="17" t="inlineStr">
        <is>
          <t>Michael Engel</t>
        </is>
      </c>
      <c r="G451" s="17" t="inlineStr">
        <is>
          <t>40022</t>
        </is>
      </c>
      <c r="H451" s="17" t="inlineStr">
        <is>
          <t>BUY RITE OF HACKENSACK</t>
        </is>
      </c>
      <c r="I451" s="17" t="inlineStr">
        <is>
          <t>HACKENSACK</t>
        </is>
      </c>
      <c r="J451" s="17" t="inlineStr">
        <is>
          <t>Molson Coors</t>
        </is>
      </c>
      <c r="K451" s="25" t="n">
        <v>1</v>
      </c>
      <c r="L451" s="17" t="inlineStr">
        <is>
          <t>Other (10-19)</t>
        </is>
      </c>
      <c r="M451" s="18" t="n">
        <v>18</v>
      </c>
      <c r="N451" s="18" t="n">
        <v>18</v>
      </c>
      <c r="O451" s="17" t="inlineStr">
        <is>
          <t>Priority</t>
        </is>
      </c>
      <c r="P451" s="18" t="n">
        <v>200</v>
      </c>
      <c r="Q451" s="17" t="inlineStr">
        <is>
          <t>Yes</t>
        </is>
      </c>
      <c r="R451" s="17" t="inlineStr">
        <is>
          <t>MILLER LITE</t>
        </is>
      </c>
      <c r="S451" s="17" t="inlineStr">
        <is>
          <t>MILLER LITE</t>
        </is>
      </c>
      <c r="T451" s="17" t="inlineStr">
        <is>
          <t>MOLSON COORS BEVERAGE COMPANY</t>
        </is>
      </c>
      <c r="U451" s="25" t="n">
        <v>3</v>
      </c>
      <c r="V451" s="17" t="inlineStr">
        <is>
          <t>No</t>
        </is>
      </c>
      <c r="W451" s="17" t="inlineStr">
        <is>
          <t>Molson Coors (18)</t>
        </is>
      </c>
      <c r="X451" s="17" t="inlineStr">
        <is>
          <t>—</t>
        </is>
      </c>
      <c r="Y451" s="19" t="inlineStr">
        <is>
          <t>View Photo</t>
        </is>
      </c>
    </row>
    <row r="452">
      <c r="A452" s="17" t="inlineStr">
        <is>
          <t>D0451</t>
        </is>
      </c>
      <c r="B452" s="17" t="inlineStr">
        <is>
          <t>07/02/2026</t>
        </is>
      </c>
      <c r="C452" s="17" t="inlineStr">
        <is>
          <t>07/02/2026 10:47 AM</t>
        </is>
      </c>
      <c r="D452" s="17" t="inlineStr">
        <is>
          <t>David Fletcher</t>
        </is>
      </c>
      <c r="E452" s="17" t="inlineStr">
        <is>
          <t>Sales Associate</t>
        </is>
      </c>
      <c r="F452" s="17" t="inlineStr">
        <is>
          <t>Michael Engel</t>
        </is>
      </c>
      <c r="G452" s="17" t="inlineStr">
        <is>
          <t>76010</t>
        </is>
      </c>
      <c r="H452" s="17" t="inlineStr">
        <is>
          <t>USA WINE TRADERS CLUB (SADDLE BROOK)</t>
        </is>
      </c>
      <c r="I452" s="17" t="inlineStr">
        <is>
          <t>SADDLE BROOK</t>
        </is>
      </c>
      <c r="J452" s="17" t="inlineStr">
        <is>
          <t>Boston Beer</t>
        </is>
      </c>
      <c r="K452" s="25" t="n">
        <v>1</v>
      </c>
      <c r="L452" s="17" t="inlineStr">
        <is>
          <t>Other (10-19)</t>
        </is>
      </c>
      <c r="M452" s="18" t="n">
        <v>15</v>
      </c>
      <c r="N452" s="18" t="n">
        <v>15</v>
      </c>
      <c r="O452" s="17" t="inlineStr">
        <is>
          <t>Priority</t>
        </is>
      </c>
      <c r="P452" s="18" t="n">
        <v>200</v>
      </c>
      <c r="Q452" s="17" t="inlineStr">
        <is>
          <t>Yes</t>
        </is>
      </c>
      <c r="R452" s="17" t="inlineStr">
        <is>
          <t>TWISTED TEA</t>
        </is>
      </c>
      <c r="S452" s="17" t="inlineStr">
        <is>
          <t>TWISTED TEA</t>
        </is>
      </c>
      <c r="T452" s="17" t="inlineStr">
        <is>
          <t>BOSTON BEER COMPANY</t>
        </is>
      </c>
      <c r="U452" s="25" t="n">
        <v>3</v>
      </c>
      <c r="V452" s="17" t="inlineStr">
        <is>
          <t>No</t>
        </is>
      </c>
      <c r="W452" s="17" t="inlineStr">
        <is>
          <t>Boston Beer (15)</t>
        </is>
      </c>
      <c r="X452" s="17" t="inlineStr">
        <is>
          <t>First of a repeat set</t>
        </is>
      </c>
      <c r="Y452" s="19" t="inlineStr">
        <is>
          <t>View Photo</t>
        </is>
      </c>
    </row>
    <row r="453">
      <c r="A453" s="17" t="inlineStr">
        <is>
          <t>D0452</t>
        </is>
      </c>
      <c r="B453" s="17" t="inlineStr">
        <is>
          <t>07/14/2026</t>
        </is>
      </c>
      <c r="C453" s="17" t="inlineStr">
        <is>
          <t>07/14/2026 12:32 PM</t>
        </is>
      </c>
      <c r="D453" s="17" t="inlineStr">
        <is>
          <t>Mike Ast</t>
        </is>
      </c>
      <c r="E453" s="17" t="inlineStr">
        <is>
          <t>Sales Rep</t>
        </is>
      </c>
      <c r="F453" s="17" t="inlineStr">
        <is>
          <t>Paul Deady</t>
        </is>
      </c>
      <c r="G453" s="17" t="inlineStr">
        <is>
          <t>96002</t>
        </is>
      </c>
      <c r="H453" s="17" t="inlineStr">
        <is>
          <t>WINE &amp; SPIRIT WORLD(W)</t>
        </is>
      </c>
      <c r="I453" s="17" t="inlineStr">
        <is>
          <t>WYCKOFF</t>
        </is>
      </c>
      <c r="J453" s="17" t="inlineStr">
        <is>
          <t>Boston Beer</t>
        </is>
      </c>
      <c r="K453" s="25" t="n">
        <v>1</v>
      </c>
      <c r="L453" s="17" t="inlineStr">
        <is>
          <t>Other (10-19)</t>
        </is>
      </c>
      <c r="M453" s="18" t="n">
        <v>15</v>
      </c>
      <c r="N453" s="18" t="n">
        <v>15</v>
      </c>
      <c r="O453" s="17" t="inlineStr">
        <is>
          <t>Priority</t>
        </is>
      </c>
      <c r="P453" s="18" t="n">
        <v>200</v>
      </c>
      <c r="Q453" s="17" t="inlineStr">
        <is>
          <t>Yes</t>
        </is>
      </c>
      <c r="R453" s="17" t="inlineStr">
        <is>
          <t>TWISTED TEA</t>
        </is>
      </c>
      <c r="S453" s="17" t="inlineStr">
        <is>
          <t>TWISTED TEA</t>
        </is>
      </c>
      <c r="T453" s="17" t="inlineStr">
        <is>
          <t>BOSTON BEER COMPANY</t>
        </is>
      </c>
      <c r="U453" s="25" t="n">
        <v>2</v>
      </c>
      <c r="V453" s="17" t="inlineStr">
        <is>
          <t>No</t>
        </is>
      </c>
      <c r="W453" s="17" t="inlineStr">
        <is>
          <t>Boston Beer (15)</t>
        </is>
      </c>
      <c r="X453" s="17" t="inlineStr">
        <is>
          <t>—</t>
        </is>
      </c>
      <c r="Y453" s="19" t="inlineStr">
        <is>
          <t>View Photo</t>
        </is>
      </c>
    </row>
    <row r="454">
      <c r="A454" s="17" t="inlineStr">
        <is>
          <t>D0453</t>
        </is>
      </c>
      <c r="B454" s="17" t="inlineStr">
        <is>
          <t>07/14/2026</t>
        </is>
      </c>
      <c r="C454" s="17" t="inlineStr">
        <is>
          <t>07/14/2026 12:37 PM</t>
        </is>
      </c>
      <c r="D454" s="17" t="inlineStr">
        <is>
          <t>Mike Ast</t>
        </is>
      </c>
      <c r="E454" s="17" t="inlineStr">
        <is>
          <t>Sales Rep</t>
        </is>
      </c>
      <c r="F454" s="17" t="inlineStr">
        <is>
          <t>Paul Deady</t>
        </is>
      </c>
      <c r="G454" s="17" t="inlineStr">
        <is>
          <t>96002</t>
        </is>
      </c>
      <c r="H454" s="17" t="inlineStr">
        <is>
          <t>WINE &amp; SPIRIT WORLD(W)</t>
        </is>
      </c>
      <c r="I454" s="17" t="inlineStr">
        <is>
          <t>WYCKOFF</t>
        </is>
      </c>
      <c r="J454" s="17" t="inlineStr">
        <is>
          <t>HUSA (Heineken USA)</t>
        </is>
      </c>
      <c r="K454" s="25" t="n">
        <v>1</v>
      </c>
      <c r="L454" s="17" t="inlineStr">
        <is>
          <t>Other (10-19)</t>
        </is>
      </c>
      <c r="M454" s="18" t="n">
        <v>15</v>
      </c>
      <c r="N454" s="18" t="n">
        <v>15</v>
      </c>
      <c r="O454" s="17" t="inlineStr">
        <is>
          <t>Priority</t>
        </is>
      </c>
      <c r="P454" s="18" t="n">
        <v>200</v>
      </c>
      <c r="Q454" s="17" t="inlineStr">
        <is>
          <t>Yes</t>
        </is>
      </c>
      <c r="R454" s="17" t="inlineStr">
        <is>
          <t>DOS EQUIS</t>
        </is>
      </c>
      <c r="S454" s="17" t="inlineStr">
        <is>
          <t>DOS EQUIS</t>
        </is>
      </c>
      <c r="T454" s="17" t="inlineStr">
        <is>
          <t>HEINEKEN</t>
        </is>
      </c>
      <c r="U454" s="25" t="n">
        <v>2</v>
      </c>
      <c r="V454" s="17" t="inlineStr">
        <is>
          <t>No</t>
        </is>
      </c>
      <c r="W454" s="17" t="inlineStr">
        <is>
          <t>HUSA (Heineken USA) (15)</t>
        </is>
      </c>
      <c r="X454" s="17" t="inlineStr">
        <is>
          <t>—</t>
        </is>
      </c>
      <c r="Y454" s="19" t="inlineStr">
        <is>
          <t>View Photo</t>
        </is>
      </c>
    </row>
    <row r="455">
      <c r="A455" s="17" t="inlineStr">
        <is>
          <t>D0454</t>
        </is>
      </c>
      <c r="B455" s="17" t="inlineStr">
        <is>
          <t>07/15/2026</t>
        </is>
      </c>
      <c r="C455" s="17" t="inlineStr">
        <is>
          <t>07/15/2026 01:46 PM</t>
        </is>
      </c>
      <c r="D455" s="17" t="inlineStr">
        <is>
          <t>Dave Ehlers</t>
        </is>
      </c>
      <c r="E455" s="17" t="inlineStr">
        <is>
          <t>Sales Rep</t>
        </is>
      </c>
      <c r="F455" s="17" t="inlineStr">
        <is>
          <t>Michael Engel</t>
        </is>
      </c>
      <c r="G455" s="17" t="inlineStr">
        <is>
          <t>40022</t>
        </is>
      </c>
      <c r="H455" s="17" t="inlineStr">
        <is>
          <t>BUY RITE OF HACKENSACK</t>
        </is>
      </c>
      <c r="I455" s="17" t="inlineStr">
        <is>
          <t>HACKENSACK</t>
        </is>
      </c>
      <c r="J455" s="17" t="inlineStr">
        <is>
          <t>Molson Coors</t>
        </is>
      </c>
      <c r="K455" s="25" t="n">
        <v>1</v>
      </c>
      <c r="L455" s="17" t="inlineStr">
        <is>
          <t>Other (10-19)</t>
        </is>
      </c>
      <c r="M455" s="18" t="n">
        <v>15</v>
      </c>
      <c r="N455" s="18" t="n">
        <v>15</v>
      </c>
      <c r="O455" s="17" t="inlineStr">
        <is>
          <t>Priority</t>
        </is>
      </c>
      <c r="P455" s="18" t="n">
        <v>200</v>
      </c>
      <c r="Q455" s="17" t="inlineStr">
        <is>
          <t>Yes</t>
        </is>
      </c>
      <c r="R455" s="17" t="inlineStr">
        <is>
          <t>BLUE MOON</t>
        </is>
      </c>
      <c r="S455" s="17" t="inlineStr">
        <is>
          <t>BLUE MOON</t>
        </is>
      </c>
      <c r="T455" s="17" t="inlineStr">
        <is>
          <t>MOLSON COORS BEVERAGE COMPANY</t>
        </is>
      </c>
      <c r="U455" s="25" t="n">
        <v>3</v>
      </c>
      <c r="V455" s="17" t="inlineStr">
        <is>
          <t>No</t>
        </is>
      </c>
      <c r="W455" s="17" t="inlineStr">
        <is>
          <t>Molson Coors (15)</t>
        </is>
      </c>
      <c r="X455" s="17" t="inlineStr">
        <is>
          <t>First of a repeat set</t>
        </is>
      </c>
      <c r="Y455" s="19" t="inlineStr">
        <is>
          <t>View Photo</t>
        </is>
      </c>
    </row>
    <row r="456">
      <c r="A456" s="17" t="inlineStr">
        <is>
          <t>D0455</t>
        </is>
      </c>
      <c r="B456" s="17" t="inlineStr">
        <is>
          <t>07/15/2026</t>
        </is>
      </c>
      <c r="C456" s="17" t="inlineStr">
        <is>
          <t>07/15/2026 01:46 PM</t>
        </is>
      </c>
      <c r="D456" s="17" t="inlineStr">
        <is>
          <t>mickey obrien</t>
        </is>
      </c>
      <c r="E456" s="17" t="inlineStr">
        <is>
          <t>Sales Associate</t>
        </is>
      </c>
      <c r="F456" s="17" t="inlineStr">
        <is>
          <t>Michael Engel</t>
        </is>
      </c>
      <c r="G456" s="17" t="inlineStr">
        <is>
          <t>40022</t>
        </is>
      </c>
      <c r="H456" s="17" t="inlineStr">
        <is>
          <t>BUY RITE OF HACKENSACK</t>
        </is>
      </c>
      <c r="I456" s="17" t="inlineStr">
        <is>
          <t>HACKENSACK</t>
        </is>
      </c>
      <c r="J456" s="17" t="inlineStr">
        <is>
          <t>Molson Coors</t>
        </is>
      </c>
      <c r="K456" s="25" t="n">
        <v>1</v>
      </c>
      <c r="L456" s="17" t="inlineStr">
        <is>
          <t>Other (10-19)</t>
        </is>
      </c>
      <c r="M456" s="18" t="n">
        <v>15</v>
      </c>
      <c r="N456" s="18" t="n">
        <v>15</v>
      </c>
      <c r="O456" s="17" t="inlineStr">
        <is>
          <t>Priority</t>
        </is>
      </c>
      <c r="P456" s="18" t="n">
        <v>200</v>
      </c>
      <c r="Q456" s="17" t="inlineStr">
        <is>
          <t>Yes</t>
        </is>
      </c>
      <c r="R456" s="17" t="inlineStr">
        <is>
          <t>BLUE MOON</t>
        </is>
      </c>
      <c r="S456" s="17" t="inlineStr">
        <is>
          <t>BLUE MOON</t>
        </is>
      </c>
      <c r="T456" s="17" t="inlineStr">
        <is>
          <t>MOLSON COORS BEVERAGE COMPANY</t>
        </is>
      </c>
      <c r="U456" s="25" t="n">
        <v>3</v>
      </c>
      <c r="V456" s="17" t="inlineStr">
        <is>
          <t>No</t>
        </is>
      </c>
      <c r="W456" s="17" t="inlineStr">
        <is>
          <t>Molson Coors (15)</t>
        </is>
      </c>
      <c r="X456" s="26" t="inlineStr">
        <is>
          <t>Possible duplicate</t>
        </is>
      </c>
      <c r="Y456" s="19" t="inlineStr">
        <is>
          <t>View Photo</t>
        </is>
      </c>
    </row>
    <row r="457">
      <c r="A457" s="17" t="inlineStr">
        <is>
          <t>D0456</t>
        </is>
      </c>
      <c r="B457" s="17" t="inlineStr">
        <is>
          <t>08/03/2026</t>
        </is>
      </c>
      <c r="C457" s="17" t="inlineStr">
        <is>
          <t>08/03/2026 12:52 PM</t>
        </is>
      </c>
      <c r="D457" s="17" t="inlineStr">
        <is>
          <t>patrick infante</t>
        </is>
      </c>
      <c r="E457" s="17" t="inlineStr">
        <is>
          <t>Sales Associate</t>
        </is>
      </c>
      <c r="F457" s="17" t="inlineStr">
        <is>
          <t>Denise Montes</t>
        </is>
      </c>
      <c r="G457" s="17" t="inlineStr">
        <is>
          <t>29011</t>
        </is>
      </c>
      <c r="H457" s="17" t="inlineStr">
        <is>
          <t>WORLD OF WINE &amp; LIQUOR</t>
        </is>
      </c>
      <c r="I457" s="17" t="inlineStr">
        <is>
          <t>LYNDHURST</t>
        </is>
      </c>
      <c r="J457" s="17" t="inlineStr">
        <is>
          <t>HUSA (Heineken USA)</t>
        </is>
      </c>
      <c r="K457" s="25" t="n">
        <v>1</v>
      </c>
      <c r="L457" s="17" t="inlineStr">
        <is>
          <t>Other (10-19)</t>
        </is>
      </c>
      <c r="M457" s="18" t="n">
        <v>15</v>
      </c>
      <c r="N457" s="18" t="n">
        <v>15</v>
      </c>
      <c r="O457" s="17" t="inlineStr">
        <is>
          <t>Priority</t>
        </is>
      </c>
      <c r="P457" s="18" t="n">
        <v>200</v>
      </c>
      <c r="Q457" s="17" t="inlineStr">
        <is>
          <t>Yes</t>
        </is>
      </c>
      <c r="R457" s="17" t="inlineStr">
        <is>
          <t>HEINEKEN</t>
        </is>
      </c>
      <c r="S457" s="17" t="inlineStr">
        <is>
          <t>HEINEKEN</t>
        </is>
      </c>
      <c r="T457" s="17" t="inlineStr">
        <is>
          <t>HEINEKEN</t>
        </is>
      </c>
      <c r="U457" s="25" t="n">
        <v>2</v>
      </c>
      <c r="V457" s="17" t="inlineStr">
        <is>
          <t>No</t>
        </is>
      </c>
      <c r="W457" s="17" t="inlineStr">
        <is>
          <t>HUSA (Heineken USA) (15)</t>
        </is>
      </c>
      <c r="X457" s="17" t="inlineStr">
        <is>
          <t>—</t>
        </is>
      </c>
      <c r="Y457" s="19" t="inlineStr">
        <is>
          <t>View Photo</t>
        </is>
      </c>
    </row>
    <row r="458">
      <c r="A458" s="17" t="inlineStr">
        <is>
          <t>D0457</t>
        </is>
      </c>
      <c r="B458" s="17" t="inlineStr">
        <is>
          <t>08/04/2026</t>
        </is>
      </c>
      <c r="C458" s="17" t="inlineStr">
        <is>
          <t>08/04/2026 10:26 AM</t>
        </is>
      </c>
      <c r="D458" s="17" t="inlineStr">
        <is>
          <t>James Heaney</t>
        </is>
      </c>
      <c r="E458" s="17" t="inlineStr">
        <is>
          <t>Sales Rep</t>
        </is>
      </c>
      <c r="F458" s="17" t="inlineStr">
        <is>
          <t>Denise Montes</t>
        </is>
      </c>
      <c r="G458" s="17" t="inlineStr">
        <is>
          <t>29011</t>
        </is>
      </c>
      <c r="H458" s="17" t="inlineStr">
        <is>
          <t>WORLD OF WINE &amp; LIQUOR</t>
        </is>
      </c>
      <c r="I458" s="17" t="inlineStr">
        <is>
          <t>LYNDHURST</t>
        </is>
      </c>
      <c r="J458" s="17" t="inlineStr">
        <is>
          <t>HUSA (Heineken USA)</t>
        </is>
      </c>
      <c r="K458" s="25" t="n">
        <v>1</v>
      </c>
      <c r="L458" s="17" t="inlineStr">
        <is>
          <t>Other (10-19)</t>
        </is>
      </c>
      <c r="M458" s="18" t="n">
        <v>15</v>
      </c>
      <c r="N458" s="18" t="n">
        <v>15</v>
      </c>
      <c r="O458" s="17" t="inlineStr">
        <is>
          <t>Priority</t>
        </is>
      </c>
      <c r="P458" s="18" t="n">
        <v>200</v>
      </c>
      <c r="Q458" s="17" t="inlineStr">
        <is>
          <t>Yes</t>
        </is>
      </c>
      <c r="R458" s="17" t="inlineStr">
        <is>
          <t>HEINEKEN</t>
        </is>
      </c>
      <c r="S458" s="17" t="inlineStr">
        <is>
          <t>HEINEKEN</t>
        </is>
      </c>
      <c r="T458" s="17" t="inlineStr">
        <is>
          <t>HEINEKEN</t>
        </is>
      </c>
      <c r="U458" s="25" t="n">
        <v>3</v>
      </c>
      <c r="V458" s="17" t="inlineStr">
        <is>
          <t>No</t>
        </is>
      </c>
      <c r="W458" s="17" t="inlineStr">
        <is>
          <t>HUSA (Heineken USA) (15)</t>
        </is>
      </c>
      <c r="X458" s="17" t="inlineStr">
        <is>
          <t>—</t>
        </is>
      </c>
      <c r="Y458" s="19" t="inlineStr">
        <is>
          <t>View Photo</t>
        </is>
      </c>
    </row>
    <row r="459">
      <c r="A459" s="17" t="inlineStr">
        <is>
          <t>D0458</t>
        </is>
      </c>
      <c r="B459" s="17" t="inlineStr">
        <is>
          <t>07/02/2026</t>
        </is>
      </c>
      <c r="C459" s="17" t="inlineStr">
        <is>
          <t>07/02/2026 09:37 AM</t>
        </is>
      </c>
      <c r="D459" s="17" t="inlineStr">
        <is>
          <t>Michael Harboy</t>
        </is>
      </c>
      <c r="E459" s="17" t="inlineStr">
        <is>
          <t>Sales Rep</t>
        </is>
      </c>
      <c r="F459" s="17" t="inlineStr">
        <is>
          <t>Mike Kennedy</t>
        </is>
      </c>
      <c r="G459" s="17" t="inlineStr">
        <is>
          <t>12005</t>
        </is>
      </c>
      <c r="H459" s="17" t="inlineStr">
        <is>
          <t>SHAY'S LIQUORS</t>
        </is>
      </c>
      <c r="I459" s="17" t="inlineStr">
        <is>
          <t>WAYNE</t>
        </is>
      </c>
      <c r="J459" s="17" t="inlineStr">
        <is>
          <t>Garage</t>
        </is>
      </c>
      <c r="K459" s="25" t="n">
        <v>1</v>
      </c>
      <c r="L459" s="17" t="inlineStr">
        <is>
          <t>Other (10-19)</t>
        </is>
      </c>
      <c r="M459" s="18" t="n">
        <v>14</v>
      </c>
      <c r="N459" s="18" t="n">
        <v>14</v>
      </c>
      <c r="O459" s="17" t="inlineStr">
        <is>
          <t>Priority</t>
        </is>
      </c>
      <c r="P459" s="18" t="n">
        <v>200</v>
      </c>
      <c r="Q459" s="17" t="inlineStr">
        <is>
          <t>Yes</t>
        </is>
      </c>
      <c r="R459" s="17" t="inlineStr">
        <is>
          <t>GARAGE BEER - CONTRACT BREWING</t>
        </is>
      </c>
      <c r="S459" s="17" t="inlineStr">
        <is>
          <t>GARAGE BEER - CONTRACT BREWING</t>
        </is>
      </c>
      <c r="T459" s="17" t="inlineStr">
        <is>
          <t>MAHOU USA</t>
        </is>
      </c>
      <c r="U459" s="25" t="n">
        <v>4</v>
      </c>
      <c r="V459" s="17" t="inlineStr">
        <is>
          <t>No</t>
        </is>
      </c>
      <c r="W459" s="17" t="inlineStr">
        <is>
          <t>Garage (14)</t>
        </is>
      </c>
      <c r="X459" s="17" t="inlineStr">
        <is>
          <t>—</t>
        </is>
      </c>
      <c r="Y459" s="19" t="inlineStr">
        <is>
          <t>View Photo</t>
        </is>
      </c>
    </row>
    <row r="460">
      <c r="A460" s="17" t="inlineStr">
        <is>
          <t>D0459</t>
        </is>
      </c>
      <c r="B460" s="17" t="inlineStr">
        <is>
          <t>07/13/2026</t>
        </is>
      </c>
      <c r="C460" s="17" t="inlineStr">
        <is>
          <t>07/13/2026 11:46 AM</t>
        </is>
      </c>
      <c r="D460" s="17" t="inlineStr">
        <is>
          <t>patrick infante</t>
        </is>
      </c>
      <c r="E460" s="17" t="inlineStr">
        <is>
          <t>Sales Associate</t>
        </is>
      </c>
      <c r="F460" s="17" t="inlineStr">
        <is>
          <t>Denise Montes</t>
        </is>
      </c>
      <c r="G460" s="17" t="inlineStr">
        <is>
          <t>15034</t>
        </is>
      </c>
      <c r="H460" s="17" t="inlineStr">
        <is>
          <t>ALLEN'S LIQUORS</t>
        </is>
      </c>
      <c r="I460" s="17" t="inlineStr">
        <is>
          <t>PATERSON</t>
        </is>
      </c>
      <c r="J460" s="17" t="inlineStr">
        <is>
          <t>Constellation</t>
        </is>
      </c>
      <c r="K460" s="25" t="n">
        <v>1</v>
      </c>
      <c r="L460" s="17" t="inlineStr">
        <is>
          <t>Other (10-19)</t>
        </is>
      </c>
      <c r="M460" s="18" t="n">
        <v>14</v>
      </c>
      <c r="N460" s="18" t="n">
        <v>14</v>
      </c>
      <c r="O460" s="17" t="inlineStr">
        <is>
          <t>Priority</t>
        </is>
      </c>
      <c r="P460" s="18" t="n">
        <v>200</v>
      </c>
      <c r="Q460" s="17" t="inlineStr">
        <is>
          <t>Yes</t>
        </is>
      </c>
      <c r="R460" s="17" t="inlineStr">
        <is>
          <t>MODELO CERVEZA</t>
        </is>
      </c>
      <c r="S460" s="17" t="inlineStr">
        <is>
          <t>MODELO CERVEZA</t>
        </is>
      </c>
      <c r="T460" s="17" t="inlineStr">
        <is>
          <t>CONSTELLATION BRANDS</t>
        </is>
      </c>
      <c r="U460" s="25" t="n">
        <v>1</v>
      </c>
      <c r="V460" s="17" t="inlineStr">
        <is>
          <t>No</t>
        </is>
      </c>
      <c r="W460" s="17" t="inlineStr">
        <is>
          <t>Constellation (14)</t>
        </is>
      </c>
      <c r="X460" s="17" t="inlineStr">
        <is>
          <t>—</t>
        </is>
      </c>
      <c r="Y460" s="19" t="inlineStr">
        <is>
          <t>View Photo</t>
        </is>
      </c>
    </row>
    <row r="461">
      <c r="A461" s="17" t="inlineStr">
        <is>
          <t>D0460</t>
        </is>
      </c>
      <c r="B461" s="17" t="inlineStr">
        <is>
          <t>07/30/2026</t>
        </is>
      </c>
      <c r="C461" s="17" t="inlineStr">
        <is>
          <t>07/30/2026 09:33 AM</t>
        </is>
      </c>
      <c r="D461" s="17" t="inlineStr">
        <is>
          <t>phil Ernst</t>
        </is>
      </c>
      <c r="E461" s="17" t="inlineStr">
        <is>
          <t>Sales Rep</t>
        </is>
      </c>
      <c r="F461" s="17" t="inlineStr">
        <is>
          <t>Michael Engel</t>
        </is>
      </c>
      <c r="G461" s="17" t="inlineStr">
        <is>
          <t>20106</t>
        </is>
      </c>
      <c r="H461" s="17" t="inlineStr">
        <is>
          <t>SUPER WINE WAREHSE(P)PATE</t>
        </is>
      </c>
      <c r="I461" s="17" t="inlineStr">
        <is>
          <t>PATERSON</t>
        </is>
      </c>
      <c r="J461" s="17" t="inlineStr">
        <is>
          <t>All Other: FEVER TREE USA</t>
        </is>
      </c>
      <c r="K461" s="25" t="n">
        <v>1</v>
      </c>
      <c r="L461" s="17" t="inlineStr">
        <is>
          <t>Other (10-19)</t>
        </is>
      </c>
      <c r="M461" s="18" t="n">
        <v>14</v>
      </c>
      <c r="N461" s="18" t="n">
        <v>14</v>
      </c>
      <c r="O461" s="17" t="inlineStr">
        <is>
          <t>Priority</t>
        </is>
      </c>
      <c r="P461" s="18" t="n">
        <v>200</v>
      </c>
      <c r="Q461" s="17" t="inlineStr">
        <is>
          <t>Yes</t>
        </is>
      </c>
      <c r="R461" s="17" t="inlineStr">
        <is>
          <t>FEVER TREE</t>
        </is>
      </c>
      <c r="S461" s="17" t="inlineStr">
        <is>
          <t>FEVER TREE</t>
        </is>
      </c>
      <c r="T461" s="17" t="inlineStr">
        <is>
          <t>FEVER TREE USA</t>
        </is>
      </c>
      <c r="U461" s="25" t="n">
        <v>2</v>
      </c>
      <c r="V461" s="17" t="inlineStr">
        <is>
          <t>No</t>
        </is>
      </c>
      <c r="W461" s="17" t="inlineStr">
        <is>
          <t>All Other: FEVER TREE USA (14)</t>
        </is>
      </c>
      <c r="X461" s="17" t="inlineStr">
        <is>
          <t>—</t>
        </is>
      </c>
      <c r="Y461" s="19" t="inlineStr">
        <is>
          <t>View Photo</t>
        </is>
      </c>
    </row>
    <row r="462">
      <c r="A462" s="17" t="inlineStr">
        <is>
          <t>D0461</t>
        </is>
      </c>
      <c r="B462" s="17" t="inlineStr">
        <is>
          <t>08/10/2026</t>
        </is>
      </c>
      <c r="C462" s="17" t="inlineStr">
        <is>
          <t>08/10/2026 02:02 PM</t>
        </is>
      </c>
      <c r="D462" s="17" t="inlineStr">
        <is>
          <t>Michael Harboy</t>
        </is>
      </c>
      <c r="E462" s="17" t="inlineStr">
        <is>
          <t>Sales Rep</t>
        </is>
      </c>
      <c r="F462" s="17" t="inlineStr">
        <is>
          <t>Mike Kennedy</t>
        </is>
      </c>
      <c r="G462" s="17" t="inlineStr">
        <is>
          <t>201048</t>
        </is>
      </c>
      <c r="H462" s="17" t="inlineStr">
        <is>
          <t>SHOPRITE OF WEST CALDWELL</t>
        </is>
      </c>
      <c r="I462" s="17" t="inlineStr">
        <is>
          <t>WEST CALDWELL</t>
        </is>
      </c>
      <c r="J462" s="17" t="inlineStr">
        <is>
          <t>Garage</t>
        </is>
      </c>
      <c r="K462" s="25" t="n">
        <v>1</v>
      </c>
      <c r="L462" s="17" t="inlineStr">
        <is>
          <t>Other (10-19)</t>
        </is>
      </c>
      <c r="M462" s="18" t="n">
        <v>13</v>
      </c>
      <c r="N462" s="18" t="n">
        <v>13</v>
      </c>
      <c r="O462" s="17" t="inlineStr">
        <is>
          <t>Priority</t>
        </is>
      </c>
      <c r="P462" s="18" t="n">
        <v>200</v>
      </c>
      <c r="Q462" s="17" t="inlineStr">
        <is>
          <t>Yes</t>
        </is>
      </c>
      <c r="R462" s="17" t="inlineStr">
        <is>
          <t>GARAGE BEER - CONTRACT BREWING</t>
        </is>
      </c>
      <c r="S462" s="17" t="inlineStr">
        <is>
          <t>GARAGE BEER - CONTRACT BREWING</t>
        </is>
      </c>
      <c r="T462" s="17" t="inlineStr">
        <is>
          <t>GARAGE BEER CO.</t>
        </is>
      </c>
      <c r="U462" s="25" t="n">
        <v>2</v>
      </c>
      <c r="V462" s="17" t="inlineStr">
        <is>
          <t>No</t>
        </is>
      </c>
      <c r="W462" s="17" t="inlineStr">
        <is>
          <t>Garage (13)</t>
        </is>
      </c>
      <c r="X462" s="17" t="inlineStr">
        <is>
          <t>—</t>
        </is>
      </c>
      <c r="Y462" s="19" t="inlineStr">
        <is>
          <t>View Photo</t>
        </is>
      </c>
    </row>
    <row r="463">
      <c r="A463" s="17" t="inlineStr">
        <is>
          <t>D0462</t>
        </is>
      </c>
      <c r="B463" s="17" t="inlineStr">
        <is>
          <t>07/02/2026</t>
        </is>
      </c>
      <c r="C463" s="17" t="inlineStr">
        <is>
          <t>07/02/2026 09:31 AM</t>
        </is>
      </c>
      <c r="D463" s="17" t="inlineStr">
        <is>
          <t>Michael Harboy</t>
        </is>
      </c>
      <c r="E463" s="17" t="inlineStr">
        <is>
          <t>Sales Rep</t>
        </is>
      </c>
      <c r="F463" s="17" t="inlineStr">
        <is>
          <t>Mike Kennedy</t>
        </is>
      </c>
      <c r="G463" s="17" t="inlineStr">
        <is>
          <t>12005</t>
        </is>
      </c>
      <c r="H463" s="17" t="inlineStr">
        <is>
          <t>SHAY'S LIQUORS</t>
        </is>
      </c>
      <c r="I463" s="17" t="inlineStr">
        <is>
          <t>WAYNE</t>
        </is>
      </c>
      <c r="J463" s="17" t="inlineStr">
        <is>
          <t>Carbliss</t>
        </is>
      </c>
      <c r="K463" s="25" t="n">
        <v>1</v>
      </c>
      <c r="L463" s="17" t="inlineStr">
        <is>
          <t>Other (10-19)</t>
        </is>
      </c>
      <c r="M463" s="18" t="n">
        <v>12</v>
      </c>
      <c r="N463" s="18" t="n">
        <v>12</v>
      </c>
      <c r="O463" s="17" t="inlineStr">
        <is>
          <t>Priority</t>
        </is>
      </c>
      <c r="P463" s="18" t="n">
        <v>200</v>
      </c>
      <c r="Q463" s="17" t="inlineStr">
        <is>
          <t>Yes</t>
        </is>
      </c>
      <c r="R463" s="17" t="inlineStr">
        <is>
          <t>CARBLISS</t>
        </is>
      </c>
      <c r="S463" s="17" t="inlineStr">
        <is>
          <t>CARBLISS</t>
        </is>
      </c>
      <c r="T463" s="17" t="inlineStr">
        <is>
          <t>DRINK CARBLISS</t>
        </is>
      </c>
      <c r="U463" s="25" t="n">
        <v>1</v>
      </c>
      <c r="V463" s="17" t="inlineStr">
        <is>
          <t>No</t>
        </is>
      </c>
      <c r="W463" s="17" t="inlineStr">
        <is>
          <t>Carbliss (12)</t>
        </is>
      </c>
      <c r="X463" s="17" t="inlineStr">
        <is>
          <t>—</t>
        </is>
      </c>
      <c r="Y463" s="19" t="inlineStr">
        <is>
          <t>View Photo</t>
        </is>
      </c>
    </row>
    <row r="464">
      <c r="A464" s="17" t="inlineStr">
        <is>
          <t>D0463</t>
        </is>
      </c>
      <c r="B464" s="17" t="inlineStr">
        <is>
          <t>07/20/2026</t>
        </is>
      </c>
      <c r="C464" s="17" t="inlineStr">
        <is>
          <t>07/20/2026 10:00 AM</t>
        </is>
      </c>
      <c r="D464" s="17" t="inlineStr">
        <is>
          <t>Mike Ast</t>
        </is>
      </c>
      <c r="E464" s="17" t="inlineStr">
        <is>
          <t>Sales Rep</t>
        </is>
      </c>
      <c r="F464" s="17" t="inlineStr">
        <is>
          <t>Paul Deady</t>
        </is>
      </c>
      <c r="G464" s="17" t="inlineStr">
        <is>
          <t>11003</t>
        </is>
      </c>
      <c r="H464" s="17" t="inlineStr">
        <is>
          <t>LINCOLN PARK FINE WINES &amp; SPIRITS</t>
        </is>
      </c>
      <c r="I464" s="17" t="inlineStr">
        <is>
          <t>LINCOLN PARK</t>
        </is>
      </c>
      <c r="J464" s="17" t="inlineStr">
        <is>
          <t>Yuengling</t>
        </is>
      </c>
      <c r="K464" s="25" t="n">
        <v>1</v>
      </c>
      <c r="L464" s="17" t="inlineStr">
        <is>
          <t>Other (10-19)</t>
        </is>
      </c>
      <c r="M464" s="18" t="n">
        <v>12</v>
      </c>
      <c r="N464" s="18" t="n">
        <v>12</v>
      </c>
      <c r="O464" s="17" t="inlineStr">
        <is>
          <t>Priority</t>
        </is>
      </c>
      <c r="P464" s="18" t="n">
        <v>200</v>
      </c>
      <c r="Q464" s="17" t="inlineStr">
        <is>
          <t>Yes</t>
        </is>
      </c>
      <c r="R464" s="17" t="inlineStr">
        <is>
          <t>YUENGLING BREWERY</t>
        </is>
      </c>
      <c r="S464" s="17" t="inlineStr">
        <is>
          <t>YUENGLING BREWERY</t>
        </is>
      </c>
      <c r="T464" s="17" t="inlineStr">
        <is>
          <t>YUENGLING BREWERY</t>
        </is>
      </c>
      <c r="U464" s="25" t="n">
        <v>1</v>
      </c>
      <c r="V464" s="17" t="inlineStr">
        <is>
          <t>No</t>
        </is>
      </c>
      <c r="W464" s="17" t="inlineStr">
        <is>
          <t>Yuengling (12)</t>
        </is>
      </c>
      <c r="X464" s="17" t="inlineStr">
        <is>
          <t>—</t>
        </is>
      </c>
      <c r="Y464" s="19" t="inlineStr">
        <is>
          <t>View Photo</t>
        </is>
      </c>
    </row>
    <row r="465">
      <c r="A465" s="17" t="inlineStr">
        <is>
          <t>D0464</t>
        </is>
      </c>
      <c r="B465" s="17" t="inlineStr">
        <is>
          <t>07/24/2026</t>
        </is>
      </c>
      <c r="C465" s="17" t="inlineStr">
        <is>
          <t>07/24/2026 05:50 PM</t>
        </is>
      </c>
      <c r="D465" s="17" t="inlineStr">
        <is>
          <t>patrick infante</t>
        </is>
      </c>
      <c r="E465" s="17" t="inlineStr">
        <is>
          <t>Sales Associate</t>
        </is>
      </c>
      <c r="F465" s="17" t="inlineStr">
        <is>
          <t>Denise Montes</t>
        </is>
      </c>
      <c r="G465" s="17" t="inlineStr">
        <is>
          <t>23004</t>
        </is>
      </c>
      <c r="H465" s="17" t="inlineStr">
        <is>
          <t>SHOP RITE WINES/SPIRITS</t>
        </is>
      </c>
      <c r="I465" s="17" t="inlineStr">
        <is>
          <t>CLIFTON</t>
        </is>
      </c>
      <c r="J465" s="17" t="inlineStr">
        <is>
          <t>Constellation</t>
        </is>
      </c>
      <c r="K465" s="25" t="n">
        <v>1</v>
      </c>
      <c r="L465" s="17" t="inlineStr">
        <is>
          <t>Other (10-19)</t>
        </is>
      </c>
      <c r="M465" s="18" t="n">
        <v>12</v>
      </c>
      <c r="N465" s="18" t="n">
        <v>12</v>
      </c>
      <c r="O465" s="17" t="inlineStr">
        <is>
          <t>Priority</t>
        </is>
      </c>
      <c r="P465" s="18" t="n">
        <v>200</v>
      </c>
      <c r="Q465" s="17" t="inlineStr">
        <is>
          <t>Yes</t>
        </is>
      </c>
      <c r="R465" s="17" t="inlineStr">
        <is>
          <t>CORONA</t>
        </is>
      </c>
      <c r="S465" s="17" t="inlineStr">
        <is>
          <t>CORONA</t>
        </is>
      </c>
      <c r="T465" s="17" t="inlineStr">
        <is>
          <t>CONSTELLATION BRANDS</t>
        </is>
      </c>
      <c r="U465" s="25" t="n">
        <v>2</v>
      </c>
      <c r="V465" s="17" t="inlineStr">
        <is>
          <t>No</t>
        </is>
      </c>
      <c r="W465" s="17" t="inlineStr">
        <is>
          <t>Constellation (12)</t>
        </is>
      </c>
      <c r="X465" s="17" t="inlineStr">
        <is>
          <t>—</t>
        </is>
      </c>
      <c r="Y465" s="19" t="inlineStr">
        <is>
          <t>View Photo</t>
        </is>
      </c>
    </row>
    <row r="466">
      <c r="A466" s="17" t="inlineStr">
        <is>
          <t>D0465</t>
        </is>
      </c>
      <c r="B466" s="17" t="inlineStr">
        <is>
          <t>08/06/2026</t>
        </is>
      </c>
      <c r="C466" s="17" t="inlineStr">
        <is>
          <t>08/06/2026 03:46 PM</t>
        </is>
      </c>
      <c r="D466" s="17" t="inlineStr">
        <is>
          <t>Javier Melo</t>
        </is>
      </c>
      <c r="E466" s="17" t="inlineStr">
        <is>
          <t>Sales Rep</t>
        </is>
      </c>
      <c r="F466" s="17" t="inlineStr">
        <is>
          <t>Denise Montes</t>
        </is>
      </c>
      <c r="G466" s="17" t="inlineStr">
        <is>
          <t>15059</t>
        </is>
      </c>
      <c r="H466" s="17" t="inlineStr">
        <is>
          <t>BELMONT LIQRS (P)</t>
        </is>
      </c>
      <c r="I466" s="17" t="inlineStr">
        <is>
          <t>PATERSON</t>
        </is>
      </c>
      <c r="J466" s="17" t="inlineStr">
        <is>
          <t>Boston Beer</t>
        </is>
      </c>
      <c r="K466" s="25" t="n">
        <v>1</v>
      </c>
      <c r="L466" s="17" t="inlineStr">
        <is>
          <t>Other (10-19)</t>
        </is>
      </c>
      <c r="M466" s="18" t="n">
        <v>12</v>
      </c>
      <c r="N466" s="18" t="n">
        <v>12</v>
      </c>
      <c r="O466" s="17" t="inlineStr">
        <is>
          <t>Priority</t>
        </is>
      </c>
      <c r="P466" s="18" t="n">
        <v>200</v>
      </c>
      <c r="Q466" s="17" t="inlineStr">
        <is>
          <t>Yes</t>
        </is>
      </c>
      <c r="R466" s="17" t="inlineStr">
        <is>
          <t>LYTT</t>
        </is>
      </c>
      <c r="S466" s="17" t="inlineStr">
        <is>
          <t>LYTT</t>
        </is>
      </c>
      <c r="T466" s="17" t="inlineStr">
        <is>
          <t>BOSTON BEER COMPANY</t>
        </is>
      </c>
      <c r="U466" s="25" t="n">
        <v>1</v>
      </c>
      <c r="V466" s="17" t="inlineStr">
        <is>
          <t>No</t>
        </is>
      </c>
      <c r="W466" s="17" t="inlineStr">
        <is>
          <t>Boston Beer (12)</t>
        </is>
      </c>
      <c r="X466" s="17" t="inlineStr">
        <is>
          <t>—</t>
        </is>
      </c>
      <c r="Y466" s="19" t="inlineStr">
        <is>
          <t>View Photo</t>
        </is>
      </c>
    </row>
    <row r="467">
      <c r="A467" s="17" t="inlineStr">
        <is>
          <t>D0466</t>
        </is>
      </c>
      <c r="B467" s="17" t="inlineStr">
        <is>
          <t>08/06/2026</t>
        </is>
      </c>
      <c r="C467" s="17" t="inlineStr">
        <is>
          <t>08/06/2026 04:37 PM</t>
        </is>
      </c>
      <c r="D467" s="17" t="inlineStr">
        <is>
          <t>Javier Melo</t>
        </is>
      </c>
      <c r="E467" s="17" t="inlineStr">
        <is>
          <t>Sales Rep</t>
        </is>
      </c>
      <c r="F467" s="17" t="inlineStr">
        <is>
          <t>Denise Montes</t>
        </is>
      </c>
      <c r="G467" s="17" t="inlineStr">
        <is>
          <t>25047</t>
        </is>
      </c>
      <c r="H467" s="17" t="inlineStr">
        <is>
          <t>PARKER LIQUORS (Z)</t>
        </is>
      </c>
      <c r="I467" s="17" t="inlineStr">
        <is>
          <t>CLIFTON</t>
        </is>
      </c>
      <c r="J467" s="17" t="inlineStr">
        <is>
          <t>Boston Beer</t>
        </is>
      </c>
      <c r="K467" s="25" t="n">
        <v>1</v>
      </c>
      <c r="L467" s="17" t="inlineStr">
        <is>
          <t>Other (10-19)</t>
        </is>
      </c>
      <c r="M467" s="18" t="n">
        <v>12</v>
      </c>
      <c r="N467" s="18" t="n">
        <v>12</v>
      </c>
      <c r="O467" s="17" t="inlineStr">
        <is>
          <t>Priority</t>
        </is>
      </c>
      <c r="P467" s="18" t="n">
        <v>200</v>
      </c>
      <c r="Q467" s="17" t="inlineStr">
        <is>
          <t>Yes</t>
        </is>
      </c>
      <c r="R467" s="17" t="inlineStr">
        <is>
          <t>LYTT</t>
        </is>
      </c>
      <c r="S467" s="17" t="inlineStr">
        <is>
          <t>LYTT</t>
        </is>
      </c>
      <c r="T467" s="17" t="inlineStr">
        <is>
          <t>BOSTON BEER COMPANY</t>
        </is>
      </c>
      <c r="U467" s="25" t="n">
        <v>1</v>
      </c>
      <c r="V467" s="17" t="inlineStr">
        <is>
          <t>No</t>
        </is>
      </c>
      <c r="W467" s="17" t="inlineStr">
        <is>
          <t>Boston Beer (12)</t>
        </is>
      </c>
      <c r="X467" s="17" t="inlineStr">
        <is>
          <t>—</t>
        </is>
      </c>
      <c r="Y467" s="19" t="inlineStr">
        <is>
          <t>View Photo</t>
        </is>
      </c>
    </row>
    <row r="468">
      <c r="A468" s="17" t="inlineStr">
        <is>
          <t>D0467</t>
        </is>
      </c>
      <c r="B468" s="17" t="inlineStr">
        <is>
          <t>08/07/2026</t>
        </is>
      </c>
      <c r="C468" s="17" t="inlineStr">
        <is>
          <t>08/07/2026 10:29 AM</t>
        </is>
      </c>
      <c r="D468" s="17" t="inlineStr">
        <is>
          <t>Javier Melo</t>
        </is>
      </c>
      <c r="E468" s="17" t="inlineStr">
        <is>
          <t>Sales Rep</t>
        </is>
      </c>
      <c r="F468" s="17" t="inlineStr">
        <is>
          <t>Denise Montes</t>
        </is>
      </c>
      <c r="G468" s="17" t="inlineStr">
        <is>
          <t>20069</t>
        </is>
      </c>
      <c r="H468" s="17" t="inlineStr">
        <is>
          <t>SEGUNDO'S (P)</t>
        </is>
      </c>
      <c r="I468" s="17" t="inlineStr">
        <is>
          <t>PATERSON</t>
        </is>
      </c>
      <c r="J468" s="17" t="inlineStr">
        <is>
          <t>Boston Beer</t>
        </is>
      </c>
      <c r="K468" s="25" t="n">
        <v>1</v>
      </c>
      <c r="L468" s="17" t="inlineStr">
        <is>
          <t>Other (10-19)</t>
        </is>
      </c>
      <c r="M468" s="18" t="n">
        <v>12</v>
      </c>
      <c r="N468" s="18" t="n">
        <v>12</v>
      </c>
      <c r="O468" s="17" t="inlineStr">
        <is>
          <t>Priority</t>
        </is>
      </c>
      <c r="P468" s="18" t="n">
        <v>200</v>
      </c>
      <c r="Q468" s="17" t="inlineStr">
        <is>
          <t>Yes</t>
        </is>
      </c>
      <c r="R468" s="17" t="inlineStr">
        <is>
          <t>LYTT</t>
        </is>
      </c>
      <c r="S468" s="17" t="inlineStr">
        <is>
          <t>LYTT</t>
        </is>
      </c>
      <c r="T468" s="17" t="inlineStr">
        <is>
          <t>BOSTON BEER COMPANY</t>
        </is>
      </c>
      <c r="U468" s="25" t="n">
        <v>1</v>
      </c>
      <c r="V468" s="17" t="inlineStr">
        <is>
          <t>No</t>
        </is>
      </c>
      <c r="W468" s="17" t="inlineStr">
        <is>
          <t>Boston Beer (12)</t>
        </is>
      </c>
      <c r="X468" s="17" t="inlineStr">
        <is>
          <t>—</t>
        </is>
      </c>
      <c r="Y468" s="19" t="inlineStr">
        <is>
          <t>View Photo</t>
        </is>
      </c>
    </row>
    <row r="469">
      <c r="A469" s="17" t="inlineStr">
        <is>
          <t>D0468</t>
        </is>
      </c>
      <c r="B469" s="17" t="inlineStr">
        <is>
          <t>08/10/2026</t>
        </is>
      </c>
      <c r="C469" s="17" t="inlineStr">
        <is>
          <t>08/10/2026 12:52 PM</t>
        </is>
      </c>
      <c r="D469" s="17" t="inlineStr">
        <is>
          <t>Javier Melo</t>
        </is>
      </c>
      <c r="E469" s="17" t="inlineStr">
        <is>
          <t>Sales Rep</t>
        </is>
      </c>
      <c r="F469" s="17" t="inlineStr">
        <is>
          <t>Denise Montes</t>
        </is>
      </c>
      <c r="G469" s="17" t="inlineStr">
        <is>
          <t>20055</t>
        </is>
      </c>
      <c r="H469" s="17" t="inlineStr">
        <is>
          <t>PARUTA'S (A)</t>
        </is>
      </c>
      <c r="I469" s="17" t="inlineStr">
        <is>
          <t>PATERSON</t>
        </is>
      </c>
      <c r="J469" s="17" t="inlineStr">
        <is>
          <t>Boston Beer</t>
        </is>
      </c>
      <c r="K469" s="25" t="n">
        <v>1</v>
      </c>
      <c r="L469" s="17" t="inlineStr">
        <is>
          <t>Other (10-19)</t>
        </is>
      </c>
      <c r="M469" s="18" t="n">
        <v>12</v>
      </c>
      <c r="N469" s="18" t="n">
        <v>12</v>
      </c>
      <c r="O469" s="17" t="inlineStr">
        <is>
          <t>Priority</t>
        </is>
      </c>
      <c r="P469" s="18" t="n">
        <v>200</v>
      </c>
      <c r="Q469" s="17" t="inlineStr">
        <is>
          <t>Yes</t>
        </is>
      </c>
      <c r="R469" s="17" t="inlineStr">
        <is>
          <t>LYTT</t>
        </is>
      </c>
      <c r="S469" s="17" t="inlineStr">
        <is>
          <t>LYTT</t>
        </is>
      </c>
      <c r="T469" s="17" t="inlineStr">
        <is>
          <t>BOSTON BEER COMPANY</t>
        </is>
      </c>
      <c r="U469" s="25" t="n">
        <v>1</v>
      </c>
      <c r="V469" s="17" t="inlineStr">
        <is>
          <t>No</t>
        </is>
      </c>
      <c r="W469" s="17" t="inlineStr">
        <is>
          <t>Boston Beer (12)</t>
        </is>
      </c>
      <c r="X469" s="17" t="inlineStr">
        <is>
          <t>—</t>
        </is>
      </c>
      <c r="Y469" s="19" t="inlineStr">
        <is>
          <t>View Photo</t>
        </is>
      </c>
    </row>
    <row r="470">
      <c r="A470" s="17" t="inlineStr">
        <is>
          <t>D0469</t>
        </is>
      </c>
      <c r="B470" s="17" t="inlineStr">
        <is>
          <t>08/11/2026</t>
        </is>
      </c>
      <c r="C470" s="17" t="inlineStr">
        <is>
          <t>08/11/2026 02:54 PM</t>
        </is>
      </c>
      <c r="D470" s="17" t="inlineStr">
        <is>
          <t>Javier Melo</t>
        </is>
      </c>
      <c r="E470" s="17" t="inlineStr">
        <is>
          <t>Sales Rep</t>
        </is>
      </c>
      <c r="F470" s="17" t="inlineStr">
        <is>
          <t>Denise Montes</t>
        </is>
      </c>
      <c r="G470" s="17" t="inlineStr">
        <is>
          <t>27002</t>
        </is>
      </c>
      <c r="H470" s="17" t="inlineStr">
        <is>
          <t>PRESIDENT LIQRS (A)</t>
        </is>
      </c>
      <c r="I470" s="17" t="inlineStr">
        <is>
          <t>PASSAIC</t>
        </is>
      </c>
      <c r="J470" s="17" t="inlineStr">
        <is>
          <t>Boston Beer</t>
        </is>
      </c>
      <c r="K470" s="25" t="n">
        <v>1</v>
      </c>
      <c r="L470" s="17" t="inlineStr">
        <is>
          <t>Other (10-19)</t>
        </is>
      </c>
      <c r="M470" s="18" t="n">
        <v>12</v>
      </c>
      <c r="N470" s="18" t="n">
        <v>12</v>
      </c>
      <c r="O470" s="17" t="inlineStr">
        <is>
          <t>Priority</t>
        </is>
      </c>
      <c r="P470" s="18" t="n">
        <v>200</v>
      </c>
      <c r="Q470" s="17" t="inlineStr">
        <is>
          <t>Yes</t>
        </is>
      </c>
      <c r="R470" s="17" t="inlineStr">
        <is>
          <t>LYTT</t>
        </is>
      </c>
      <c r="S470" s="17" t="inlineStr">
        <is>
          <t>LYTT</t>
        </is>
      </c>
      <c r="T470" s="17" t="inlineStr">
        <is>
          <t>BOSTON BEER COMPANY</t>
        </is>
      </c>
      <c r="U470" s="25" t="n">
        <v>1</v>
      </c>
      <c r="V470" s="17" t="inlineStr">
        <is>
          <t>No</t>
        </is>
      </c>
      <c r="W470" s="17" t="inlineStr">
        <is>
          <t>Boston Beer (12)</t>
        </is>
      </c>
      <c r="X470" s="17" t="inlineStr">
        <is>
          <t>—</t>
        </is>
      </c>
      <c r="Y470" s="19" t="inlineStr">
        <is>
          <t>View Photo</t>
        </is>
      </c>
    </row>
    <row r="471">
      <c r="A471" s="17" t="inlineStr">
        <is>
          <t>D0470</t>
        </is>
      </c>
      <c r="B471" s="17" t="inlineStr">
        <is>
          <t>08/17/2026</t>
        </is>
      </c>
      <c r="C471" s="17" t="inlineStr">
        <is>
          <t>08/17/2026 09:33 AM</t>
        </is>
      </c>
      <c r="D471" s="17" t="inlineStr">
        <is>
          <t>phil Ernst</t>
        </is>
      </c>
      <c r="E471" s="17" t="inlineStr">
        <is>
          <t>Sales Rep</t>
        </is>
      </c>
      <c r="F471" s="17" t="inlineStr">
        <is>
          <t>Michael Engel</t>
        </is>
      </c>
      <c r="G471" s="17" t="inlineStr">
        <is>
          <t>89007</t>
        </is>
      </c>
      <c r="H471" s="17" t="inlineStr">
        <is>
          <t>ACME MARKETS (ALLENDALE)</t>
        </is>
      </c>
      <c r="I471" s="17" t="inlineStr">
        <is>
          <t>ALLENDALE</t>
        </is>
      </c>
      <c r="J471" s="17" t="inlineStr">
        <is>
          <t>Constellation</t>
        </is>
      </c>
      <c r="K471" s="25" t="n">
        <v>1</v>
      </c>
      <c r="L471" s="17" t="inlineStr">
        <is>
          <t>Other (10-19)</t>
        </is>
      </c>
      <c r="M471" s="18" t="n">
        <v>12</v>
      </c>
      <c r="N471" s="18" t="n">
        <v>12</v>
      </c>
      <c r="O471" s="17" t="inlineStr">
        <is>
          <t>Priority</t>
        </is>
      </c>
      <c r="P471" s="18" t="n">
        <v>200</v>
      </c>
      <c r="Q471" s="17" t="inlineStr">
        <is>
          <t>Yes</t>
        </is>
      </c>
      <c r="R471" s="17" t="inlineStr">
        <is>
          <t>MODELO CERVEZA</t>
        </is>
      </c>
      <c r="S471" s="17" t="inlineStr">
        <is>
          <t>MODELO CERVEZA</t>
        </is>
      </c>
      <c r="T471" s="17" t="inlineStr">
        <is>
          <t>CONSTELLATION BRANDS</t>
        </is>
      </c>
      <c r="U471" s="25" t="n">
        <v>1</v>
      </c>
      <c r="V471" s="17" t="inlineStr">
        <is>
          <t>No</t>
        </is>
      </c>
      <c r="W471" s="17" t="inlineStr">
        <is>
          <t>Constellation (12)</t>
        </is>
      </c>
      <c r="X471" s="17" t="inlineStr">
        <is>
          <t>—</t>
        </is>
      </c>
      <c r="Y471" s="19" t="inlineStr">
        <is>
          <t>View Photo</t>
        </is>
      </c>
    </row>
    <row r="472">
      <c r="A472" s="17" t="inlineStr">
        <is>
          <t>D0471</t>
        </is>
      </c>
      <c r="B472" s="17" t="inlineStr">
        <is>
          <t>08/21/2026</t>
        </is>
      </c>
      <c r="C472" s="17" t="inlineStr">
        <is>
          <t>08/21/2026 11:26 AM</t>
        </is>
      </c>
      <c r="D472" s="17" t="inlineStr">
        <is>
          <t>Javier Melo</t>
        </is>
      </c>
      <c r="E472" s="17" t="inlineStr">
        <is>
          <t>Sales Rep</t>
        </is>
      </c>
      <c r="F472" s="17" t="inlineStr">
        <is>
          <t>Denise Montes</t>
        </is>
      </c>
      <c r="G472" s="17" t="inlineStr">
        <is>
          <t>20056</t>
        </is>
      </c>
      <c r="H472" s="17" t="inlineStr">
        <is>
          <t>EAST SIDE BAR LIQUORS</t>
        </is>
      </c>
      <c r="I472" s="17" t="inlineStr">
        <is>
          <t>PATERSON</t>
        </is>
      </c>
      <c r="J472" s="17" t="inlineStr">
        <is>
          <t>Boston Beer</t>
        </is>
      </c>
      <c r="K472" s="25" t="n">
        <v>1</v>
      </c>
      <c r="L472" s="17" t="inlineStr">
        <is>
          <t>Other (10-19)</t>
        </is>
      </c>
      <c r="M472" s="18" t="n">
        <v>12</v>
      </c>
      <c r="N472" s="18" t="n">
        <v>12</v>
      </c>
      <c r="O472" s="17" t="inlineStr">
        <is>
          <t>Priority</t>
        </is>
      </c>
      <c r="P472" s="18" t="n">
        <v>200</v>
      </c>
      <c r="Q472" s="17" t="inlineStr">
        <is>
          <t>Yes</t>
        </is>
      </c>
      <c r="R472" s="17" t="inlineStr">
        <is>
          <t>LYTT</t>
        </is>
      </c>
      <c r="S472" s="17" t="inlineStr">
        <is>
          <t>LYTT</t>
        </is>
      </c>
      <c r="T472" s="17" t="inlineStr">
        <is>
          <t>BOSTON BEER COMPANY</t>
        </is>
      </c>
      <c r="U472" s="25" t="n">
        <v>1</v>
      </c>
      <c r="V472" s="17" t="inlineStr">
        <is>
          <t>No</t>
        </is>
      </c>
      <c r="W472" s="17" t="inlineStr">
        <is>
          <t>Boston Beer (12)</t>
        </is>
      </c>
      <c r="X472" s="17" t="inlineStr">
        <is>
          <t>—</t>
        </is>
      </c>
      <c r="Y472" s="19" t="inlineStr">
        <is>
          <t>View Photo</t>
        </is>
      </c>
    </row>
    <row r="473">
      <c r="A473" s="17" t="inlineStr">
        <is>
          <t>D0472</t>
        </is>
      </c>
      <c r="B473" s="17" t="inlineStr">
        <is>
          <t>07/28/2026</t>
        </is>
      </c>
      <c r="C473" s="17" t="inlineStr">
        <is>
          <t>07/28/2026 01:01 PM</t>
        </is>
      </c>
      <c r="D473" s="17" t="inlineStr">
        <is>
          <t>Derrick laws</t>
        </is>
      </c>
      <c r="E473" s="17" t="inlineStr">
        <is>
          <t>Sales Rep</t>
        </is>
      </c>
      <c r="F473" s="17" t="inlineStr">
        <is>
          <t>Denise Montes</t>
        </is>
      </c>
      <c r="G473" s="17" t="inlineStr">
        <is>
          <t>23004</t>
        </is>
      </c>
      <c r="H473" s="17" t="inlineStr">
        <is>
          <t>SHOP RITE WINES/SPIRITS</t>
        </is>
      </c>
      <c r="I473" s="17" t="inlineStr">
        <is>
          <t>CLIFTON</t>
        </is>
      </c>
      <c r="J473" s="17" t="inlineStr">
        <is>
          <t>Constellation</t>
        </is>
      </c>
      <c r="K473" s="25" t="n">
        <v>1</v>
      </c>
      <c r="L473" s="17" t="inlineStr">
        <is>
          <t>Other (10-19)</t>
        </is>
      </c>
      <c r="M473" s="18" t="n">
        <v>11</v>
      </c>
      <c r="N473" s="18" t="n">
        <v>11</v>
      </c>
      <c r="O473" s="17" t="inlineStr">
        <is>
          <t>Priority</t>
        </is>
      </c>
      <c r="P473" s="18" t="n">
        <v>200</v>
      </c>
      <c r="Q473" s="17" t="inlineStr">
        <is>
          <t>Yes</t>
        </is>
      </c>
      <c r="R473" s="17" t="inlineStr">
        <is>
          <t>MODELO CHELADA</t>
        </is>
      </c>
      <c r="S473" s="17" t="inlineStr">
        <is>
          <t>MODELO CHELADA</t>
        </is>
      </c>
      <c r="T473" s="17" t="inlineStr">
        <is>
          <t>CONSTELLATION BRANDS</t>
        </is>
      </c>
      <c r="U473" s="25" t="n">
        <v>2</v>
      </c>
      <c r="V473" s="17" t="inlineStr">
        <is>
          <t>No</t>
        </is>
      </c>
      <c r="W473" s="17" t="inlineStr">
        <is>
          <t>Constellation (11)</t>
        </is>
      </c>
      <c r="X473" s="17" t="inlineStr">
        <is>
          <t>—</t>
        </is>
      </c>
      <c r="Y473" s="19" t="inlineStr">
        <is>
          <t>View Photo</t>
        </is>
      </c>
    </row>
    <row r="474">
      <c r="A474" s="17" t="inlineStr">
        <is>
          <t>D0473</t>
        </is>
      </c>
      <c r="B474" s="17" t="inlineStr">
        <is>
          <t>07/01/2026</t>
        </is>
      </c>
      <c r="C474" s="17" t="inlineStr">
        <is>
          <t>07/01/2026 03:04 PM</t>
        </is>
      </c>
      <c r="D474" s="17" t="inlineStr">
        <is>
          <t>John Neukum</t>
        </is>
      </c>
      <c r="E474" s="17" t="inlineStr">
        <is>
          <t>Sales Rep</t>
        </is>
      </c>
      <c r="F474" s="17" t="inlineStr">
        <is>
          <t>Michael Engel</t>
        </is>
      </c>
      <c r="G474" s="17" t="inlineStr">
        <is>
          <t>12060</t>
        </is>
      </c>
      <c r="H474" s="17" t="inlineStr">
        <is>
          <t>COSTCO WHLSE V#32366-WAYN</t>
        </is>
      </c>
      <c r="I474" s="17" t="inlineStr">
        <is>
          <t>WAYNE</t>
        </is>
      </c>
      <c r="J474" s="17" t="inlineStr">
        <is>
          <t>Constellation</t>
        </is>
      </c>
      <c r="K474" s="25" t="n">
        <v>1</v>
      </c>
      <c r="L474" s="17" t="inlineStr">
        <is>
          <t>Other (10-19)</t>
        </is>
      </c>
      <c r="M474" s="18" t="n">
        <v>10</v>
      </c>
      <c r="N474" s="18" t="n">
        <v>10</v>
      </c>
      <c r="O474" s="17" t="inlineStr">
        <is>
          <t>Priority</t>
        </is>
      </c>
      <c r="P474" s="18" t="n">
        <v>200</v>
      </c>
      <c r="Q474" s="17" t="inlineStr">
        <is>
          <t>Yes</t>
        </is>
      </c>
      <c r="R474" s="17" t="inlineStr">
        <is>
          <t>MODELO CERVEZA</t>
        </is>
      </c>
      <c r="S474" s="17" t="inlineStr">
        <is>
          <t>MODELO CERVEZA</t>
        </is>
      </c>
      <c r="T474" s="17" t="inlineStr">
        <is>
          <t>CONSTELLATION BRANDS</t>
        </is>
      </c>
      <c r="U474" s="25" t="n">
        <v>1</v>
      </c>
      <c r="V474" s="17" t="inlineStr">
        <is>
          <t>No</t>
        </is>
      </c>
      <c r="W474" s="17" t="inlineStr">
        <is>
          <t>Constellation (10)</t>
        </is>
      </c>
      <c r="X474" s="17" t="inlineStr">
        <is>
          <t>—</t>
        </is>
      </c>
      <c r="Y474" s="19" t="inlineStr">
        <is>
          <t>View Photo</t>
        </is>
      </c>
    </row>
    <row r="475">
      <c r="A475" s="17" t="inlineStr">
        <is>
          <t>D0474</t>
        </is>
      </c>
      <c r="B475" s="17" t="inlineStr">
        <is>
          <t>07/02/2026</t>
        </is>
      </c>
      <c r="C475" s="17" t="inlineStr">
        <is>
          <t>07/02/2026 09:30 AM</t>
        </is>
      </c>
      <c r="D475" s="17" t="inlineStr">
        <is>
          <t>mickey obrien</t>
        </is>
      </c>
      <c r="E475" s="17" t="inlineStr">
        <is>
          <t>Sales Associate</t>
        </is>
      </c>
      <c r="F475" s="17" t="inlineStr">
        <is>
          <t>Michael Engel</t>
        </is>
      </c>
      <c r="G475" s="17" t="inlineStr">
        <is>
          <t>58001</t>
        </is>
      </c>
      <c r="H475" s="17" t="inlineStr">
        <is>
          <t>TOTAL WINE &amp; MORE (RIVER EDGE)</t>
        </is>
      </c>
      <c r="I475" s="17" t="inlineStr">
        <is>
          <t>RIVER EDGE</t>
        </is>
      </c>
      <c r="J475" s="17" t="inlineStr">
        <is>
          <t>Boston Beer</t>
        </is>
      </c>
      <c r="K475" s="25" t="n">
        <v>1</v>
      </c>
      <c r="L475" s="17" t="inlineStr">
        <is>
          <t>Other (10-19)</t>
        </is>
      </c>
      <c r="M475" s="18" t="n">
        <v>10</v>
      </c>
      <c r="N475" s="18" t="n">
        <v>10</v>
      </c>
      <c r="O475" s="17" t="inlineStr">
        <is>
          <t>Priority</t>
        </is>
      </c>
      <c r="P475" s="18" t="n">
        <v>200</v>
      </c>
      <c r="Q475" s="17" t="inlineStr">
        <is>
          <t>Yes</t>
        </is>
      </c>
      <c r="R475" s="17" t="inlineStr">
        <is>
          <t>TWISTED TEA</t>
        </is>
      </c>
      <c r="S475" s="17" t="inlineStr">
        <is>
          <t>TWISTED TEA</t>
        </is>
      </c>
      <c r="T475" s="17" t="inlineStr">
        <is>
          <t>BOSTON BEER COMPANY</t>
        </is>
      </c>
      <c r="U475" s="25" t="n">
        <v>1</v>
      </c>
      <c r="V475" s="17" t="inlineStr">
        <is>
          <t>No</t>
        </is>
      </c>
      <c r="W475" s="17" t="inlineStr">
        <is>
          <t>Boston Beer (10)</t>
        </is>
      </c>
      <c r="X475" s="17" t="inlineStr">
        <is>
          <t>—</t>
        </is>
      </c>
      <c r="Y475" s="19" t="inlineStr">
        <is>
          <t>View Photo</t>
        </is>
      </c>
    </row>
    <row r="476">
      <c r="A476" s="17" t="inlineStr">
        <is>
          <t>D0475</t>
        </is>
      </c>
      <c r="B476" s="17" t="inlineStr">
        <is>
          <t>07/02/2026</t>
        </is>
      </c>
      <c r="C476" s="17" t="inlineStr">
        <is>
          <t>07/02/2026 10:45 AM</t>
        </is>
      </c>
      <c r="D476" s="17" t="inlineStr">
        <is>
          <t>Nicholas Micco</t>
        </is>
      </c>
      <c r="E476" s="17" t="inlineStr">
        <is>
          <t>Sales Associate</t>
        </is>
      </c>
      <c r="F476" s="17" t="inlineStr">
        <is>
          <t>Michael Engel</t>
        </is>
      </c>
      <c r="G476" s="17" t="inlineStr">
        <is>
          <t>76010</t>
        </is>
      </c>
      <c r="H476" s="17" t="inlineStr">
        <is>
          <t>USA WINE TRADERS CLUB (SADDLE BROOK)</t>
        </is>
      </c>
      <c r="I476" s="17" t="inlineStr">
        <is>
          <t>SADDLE BROOK</t>
        </is>
      </c>
      <c r="J476" s="17" t="inlineStr">
        <is>
          <t>Boston Beer</t>
        </is>
      </c>
      <c r="K476" s="25" t="n">
        <v>1</v>
      </c>
      <c r="L476" s="17" t="inlineStr">
        <is>
          <t>Other (10-19)</t>
        </is>
      </c>
      <c r="M476" s="18" t="n">
        <v>10</v>
      </c>
      <c r="N476" s="18" t="n">
        <v>10</v>
      </c>
      <c r="O476" s="17" t="inlineStr">
        <is>
          <t>Priority</t>
        </is>
      </c>
      <c r="P476" s="18" t="n">
        <v>200</v>
      </c>
      <c r="Q476" s="17" t="inlineStr">
        <is>
          <t>Yes</t>
        </is>
      </c>
      <c r="R476" s="17" t="inlineStr">
        <is>
          <t>TRULY</t>
        </is>
      </c>
      <c r="S476" s="17" t="inlineStr">
        <is>
          <t>TRULY</t>
        </is>
      </c>
      <c r="T476" s="17" t="inlineStr">
        <is>
          <t>BOSTON BEER COMPANY</t>
        </is>
      </c>
      <c r="U476" s="25" t="n">
        <v>1</v>
      </c>
      <c r="V476" s="17" t="inlineStr">
        <is>
          <t>No</t>
        </is>
      </c>
      <c r="W476" s="17" t="inlineStr">
        <is>
          <t>Boston Beer (10)</t>
        </is>
      </c>
      <c r="X476" s="26" t="inlineStr">
        <is>
          <t>Possible duplicate</t>
        </is>
      </c>
      <c r="Y476" s="19" t="inlineStr">
        <is>
          <t>View Photo</t>
        </is>
      </c>
    </row>
    <row r="477">
      <c r="A477" s="17" t="inlineStr">
        <is>
          <t>D0476</t>
        </is>
      </c>
      <c r="B477" s="17" t="inlineStr">
        <is>
          <t>07/09/2026</t>
        </is>
      </c>
      <c r="C477" s="17" t="inlineStr">
        <is>
          <t>07/09/2026 11:40 AM</t>
        </is>
      </c>
      <c r="D477" s="17" t="inlineStr">
        <is>
          <t>Matthew Powierski</t>
        </is>
      </c>
      <c r="E477" s="17" t="inlineStr">
        <is>
          <t>Sales Rep</t>
        </is>
      </c>
      <c r="F477" s="17" t="inlineStr">
        <is>
          <t>Denise Montes</t>
        </is>
      </c>
      <c r="G477" s="17" t="inlineStr">
        <is>
          <t>31060</t>
        </is>
      </c>
      <c r="H477" s="17" t="inlineStr">
        <is>
          <t>BOTTLE REPUBLIC (RUTHERFORD)</t>
        </is>
      </c>
      <c r="I477" s="17" t="inlineStr">
        <is>
          <t>RUTHERFORD</t>
        </is>
      </c>
      <c r="J477" s="17" t="inlineStr">
        <is>
          <t>Constellation</t>
        </is>
      </c>
      <c r="K477" s="25" t="n">
        <v>1</v>
      </c>
      <c r="L477" s="17" t="inlineStr">
        <is>
          <t>Other (10-19)</t>
        </is>
      </c>
      <c r="M477" s="18" t="n">
        <v>10</v>
      </c>
      <c r="N477" s="18" t="n">
        <v>10</v>
      </c>
      <c r="O477" s="17" t="inlineStr">
        <is>
          <t>Priority</t>
        </is>
      </c>
      <c r="P477" s="18" t="n">
        <v>200</v>
      </c>
      <c r="Q477" s="17" t="inlineStr">
        <is>
          <t>Yes</t>
        </is>
      </c>
      <c r="R477" s="17" t="inlineStr">
        <is>
          <t>MODELO CERVEZA</t>
        </is>
      </c>
      <c r="S477" s="17" t="inlineStr">
        <is>
          <t>MODELO CERVEZA, MODELO ORO</t>
        </is>
      </c>
      <c r="T477" s="17" t="inlineStr">
        <is>
          <t>CONSTELLATION BRANDS</t>
        </is>
      </c>
      <c r="U477" s="25" t="n">
        <v>2</v>
      </c>
      <c r="V477" s="17" t="inlineStr">
        <is>
          <t>No</t>
        </is>
      </c>
      <c r="W477" s="17" t="inlineStr">
        <is>
          <t>Constellation (10)</t>
        </is>
      </c>
      <c r="X477" s="17" t="inlineStr">
        <is>
          <t>—</t>
        </is>
      </c>
      <c r="Y477" s="19" t="inlineStr">
        <is>
          <t>View Photo</t>
        </is>
      </c>
    </row>
    <row r="478">
      <c r="A478" s="17" t="inlineStr">
        <is>
          <t>D0477</t>
        </is>
      </c>
      <c r="B478" s="17" t="inlineStr">
        <is>
          <t>07/09/2026</t>
        </is>
      </c>
      <c r="C478" s="17" t="inlineStr">
        <is>
          <t>07/09/2026 12:41 PM</t>
        </is>
      </c>
      <c r="D478" s="17" t="inlineStr">
        <is>
          <t>Jay Tabasco</t>
        </is>
      </c>
      <c r="E478" s="17" t="inlineStr">
        <is>
          <t>Sales Associate</t>
        </is>
      </c>
      <c r="F478" s="17" t="inlineStr">
        <is>
          <t>Paul Deady</t>
        </is>
      </c>
      <c r="G478" s="17" t="inlineStr">
        <is>
          <t>96002</t>
        </is>
      </c>
      <c r="H478" s="17" t="inlineStr">
        <is>
          <t>WINE &amp; SPIRIT WORLD(W)</t>
        </is>
      </c>
      <c r="I478" s="17" t="inlineStr">
        <is>
          <t>WYCKOFF</t>
        </is>
      </c>
      <c r="J478" s="17" t="inlineStr">
        <is>
          <t>Boston Beer</t>
        </is>
      </c>
      <c r="K478" s="25" t="n">
        <v>1</v>
      </c>
      <c r="L478" s="17" t="inlineStr">
        <is>
          <t>Other (10-19)</t>
        </is>
      </c>
      <c r="M478" s="18" t="n">
        <v>10</v>
      </c>
      <c r="N478" s="18" t="n">
        <v>10</v>
      </c>
      <c r="O478" s="17" t="inlineStr">
        <is>
          <t>Priority</t>
        </is>
      </c>
      <c r="P478" s="18" t="n">
        <v>200</v>
      </c>
      <c r="Q478" s="17" t="inlineStr">
        <is>
          <t>Yes</t>
        </is>
      </c>
      <c r="R478" s="17" t="inlineStr">
        <is>
          <t>SUN CRUISERS RTD</t>
        </is>
      </c>
      <c r="S478" s="17" t="inlineStr">
        <is>
          <t>SUN CRUISERS RTD</t>
        </is>
      </c>
      <c r="T478" s="17" t="inlineStr">
        <is>
          <t>BOSTON BEER COMPANY</t>
        </is>
      </c>
      <c r="U478" s="25" t="n">
        <v>1</v>
      </c>
      <c r="V478" s="17" t="inlineStr">
        <is>
          <t>No</t>
        </is>
      </c>
      <c r="W478" s="17" t="inlineStr">
        <is>
          <t>Boston Beer (10)</t>
        </is>
      </c>
      <c r="X478" s="17" t="inlineStr">
        <is>
          <t>—</t>
        </is>
      </c>
      <c r="Y478" s="19" t="inlineStr">
        <is>
          <t>View Photo</t>
        </is>
      </c>
    </row>
    <row r="479">
      <c r="A479" s="17" t="inlineStr">
        <is>
          <t>D0478</t>
        </is>
      </c>
      <c r="B479" s="17" t="inlineStr">
        <is>
          <t>07/14/2026</t>
        </is>
      </c>
      <c r="C479" s="17" t="inlineStr">
        <is>
          <t>07/14/2026 11:29 AM</t>
        </is>
      </c>
      <c r="D479" s="17" t="inlineStr">
        <is>
          <t>Mike Ast</t>
        </is>
      </c>
      <c r="E479" s="17" t="inlineStr">
        <is>
          <t>Sales Rep</t>
        </is>
      </c>
      <c r="F479" s="17" t="inlineStr">
        <is>
          <t>Paul Deady</t>
        </is>
      </c>
      <c r="G479" s="17" t="inlineStr">
        <is>
          <t>94008</t>
        </is>
      </c>
      <c r="H479" s="17" t="inlineStr">
        <is>
          <t>OAKLAND WINE (A)</t>
        </is>
      </c>
      <c r="I479" s="17" t="inlineStr">
        <is>
          <t>OAKLAND</t>
        </is>
      </c>
      <c r="J479" s="17" t="inlineStr">
        <is>
          <t>Carbliss</t>
        </is>
      </c>
      <c r="K479" s="25" t="n">
        <v>1</v>
      </c>
      <c r="L479" s="17" t="inlineStr">
        <is>
          <t>Other (10-19)</t>
        </is>
      </c>
      <c r="M479" s="18" t="n">
        <v>10</v>
      </c>
      <c r="N479" s="18" t="n">
        <v>10</v>
      </c>
      <c r="O479" s="17" t="inlineStr">
        <is>
          <t>Priority</t>
        </is>
      </c>
      <c r="P479" s="18" t="n">
        <v>200</v>
      </c>
      <c r="Q479" s="17" t="inlineStr">
        <is>
          <t>Yes</t>
        </is>
      </c>
      <c r="R479" s="17" t="inlineStr">
        <is>
          <t>CARBLISS</t>
        </is>
      </c>
      <c r="S479" s="17" t="inlineStr">
        <is>
          <t>CARBLISS</t>
        </is>
      </c>
      <c r="T479" s="17" t="inlineStr">
        <is>
          <t>DRINK CARBLISS</t>
        </is>
      </c>
      <c r="U479" s="25" t="n">
        <v>1</v>
      </c>
      <c r="V479" s="17" t="inlineStr">
        <is>
          <t>No</t>
        </is>
      </c>
      <c r="W479" s="17" t="inlineStr">
        <is>
          <t>Carbliss (10)</t>
        </is>
      </c>
      <c r="X479" s="17" t="inlineStr">
        <is>
          <t>—</t>
        </is>
      </c>
      <c r="Y479" s="19" t="inlineStr">
        <is>
          <t>View Photo</t>
        </is>
      </c>
    </row>
    <row r="480">
      <c r="A480" s="17" t="inlineStr">
        <is>
          <t>D0479</t>
        </is>
      </c>
      <c r="B480" s="17" t="inlineStr">
        <is>
          <t>07/20/2026</t>
        </is>
      </c>
      <c r="C480" s="17" t="inlineStr">
        <is>
          <t>07/20/2026 09:58 AM</t>
        </is>
      </c>
      <c r="D480" s="17" t="inlineStr">
        <is>
          <t>Mike Ast</t>
        </is>
      </c>
      <c r="E480" s="17" t="inlineStr">
        <is>
          <t>Sales Rep</t>
        </is>
      </c>
      <c r="F480" s="17" t="inlineStr">
        <is>
          <t>Paul Deady</t>
        </is>
      </c>
      <c r="G480" s="17" t="inlineStr">
        <is>
          <t>11003</t>
        </is>
      </c>
      <c r="H480" s="17" t="inlineStr">
        <is>
          <t>LINCOLN PARK FINE WINES &amp; SPIRITS</t>
        </is>
      </c>
      <c r="I480" s="17" t="inlineStr">
        <is>
          <t>LINCOLN PARK</t>
        </is>
      </c>
      <c r="J480" s="17" t="inlineStr">
        <is>
          <t>All Other: DELTA BEVERAGES LLC</t>
        </is>
      </c>
      <c r="K480" s="25" t="n">
        <v>1</v>
      </c>
      <c r="L480" s="17" t="inlineStr">
        <is>
          <t>Other (10-19)</t>
        </is>
      </c>
      <c r="M480" s="18" t="n">
        <v>10</v>
      </c>
      <c r="N480" s="18" t="n">
        <v>10</v>
      </c>
      <c r="O480" s="17" t="inlineStr">
        <is>
          <t>All Other</t>
        </is>
      </c>
      <c r="P480" s="18" t="n">
        <v>100</v>
      </c>
      <c r="Q480" s="17" t="inlineStr">
        <is>
          <t>Yes</t>
        </is>
      </c>
      <c r="R480" s="17" t="inlineStr">
        <is>
          <t>DELTA THC SELTZER</t>
        </is>
      </c>
      <c r="S480" s="17" t="inlineStr">
        <is>
          <t>DELTA THC SELTZER</t>
        </is>
      </c>
      <c r="T480" s="17" t="inlineStr">
        <is>
          <t>DELTA BEVERAGES LLC</t>
        </is>
      </c>
      <c r="U480" s="25" t="n">
        <v>1</v>
      </c>
      <c r="V480" s="17" t="inlineStr">
        <is>
          <t>No</t>
        </is>
      </c>
      <c r="W480" s="17" t="inlineStr">
        <is>
          <t>All Other: DELTA BEVERAGES LLC (10)</t>
        </is>
      </c>
      <c r="X480" s="17" t="inlineStr">
        <is>
          <t>—</t>
        </is>
      </c>
      <c r="Y480" s="19" t="inlineStr">
        <is>
          <t>View Photo</t>
        </is>
      </c>
    </row>
    <row r="481">
      <c r="A481" s="17" t="inlineStr">
        <is>
          <t>D0480</t>
        </is>
      </c>
      <c r="B481" s="17" t="inlineStr">
        <is>
          <t>07/20/2026</t>
        </is>
      </c>
      <c r="C481" s="17" t="inlineStr">
        <is>
          <t>07/20/2026 12:34 PM</t>
        </is>
      </c>
      <c r="D481" s="17" t="inlineStr">
        <is>
          <t>Alex Rodriguez</t>
        </is>
      </c>
      <c r="E481" s="17" t="inlineStr">
        <is>
          <t>Sales Rep</t>
        </is>
      </c>
      <c r="F481" s="17" t="inlineStr">
        <is>
          <t>Mike Kennedy</t>
        </is>
      </c>
      <c r="G481" s="17" t="inlineStr">
        <is>
          <t>250047</t>
        </is>
      </c>
      <c r="H481" s="17" t="inlineStr">
        <is>
          <t>WINE CELLAR</t>
        </is>
      </c>
      <c r="I481" s="17" t="inlineStr">
        <is>
          <t>ELIZABETH</t>
        </is>
      </c>
      <c r="J481" s="17" t="inlineStr">
        <is>
          <t>Garage</t>
        </is>
      </c>
      <c r="K481" s="25" t="n">
        <v>1</v>
      </c>
      <c r="L481" s="17" t="inlineStr">
        <is>
          <t>Other (10-19)</t>
        </is>
      </c>
      <c r="M481" s="18" t="n">
        <v>10</v>
      </c>
      <c r="N481" s="18" t="n">
        <v>10</v>
      </c>
      <c r="O481" s="17" t="inlineStr">
        <is>
          <t>Priority</t>
        </is>
      </c>
      <c r="P481" s="18" t="n">
        <v>200</v>
      </c>
      <c r="Q481" s="17" t="inlineStr">
        <is>
          <t>Yes</t>
        </is>
      </c>
      <c r="R481" s="17" t="inlineStr">
        <is>
          <t>GARAGE BEER - CONTRACT BREWING</t>
        </is>
      </c>
      <c r="S481" s="17" t="inlineStr">
        <is>
          <t>GARAGE BEER - CONTRACT BREWING</t>
        </is>
      </c>
      <c r="T481" s="17" t="inlineStr">
        <is>
          <t>MAHOU USA</t>
        </is>
      </c>
      <c r="U481" s="25" t="n">
        <v>2</v>
      </c>
      <c r="V481" s="17" t="inlineStr">
        <is>
          <t>No</t>
        </is>
      </c>
      <c r="W481" s="17" t="inlineStr">
        <is>
          <t>Garage (10)</t>
        </is>
      </c>
      <c r="X481" s="17" t="inlineStr">
        <is>
          <t>—</t>
        </is>
      </c>
      <c r="Y481" s="19" t="inlineStr">
        <is>
          <t>View Photo</t>
        </is>
      </c>
    </row>
    <row r="482">
      <c r="A482" s="17" t="inlineStr">
        <is>
          <t>D0481</t>
        </is>
      </c>
      <c r="B482" s="17" t="inlineStr">
        <is>
          <t>07/22/2026</t>
        </is>
      </c>
      <c r="C482" s="17" t="inlineStr">
        <is>
          <t>07/22/2026 11:31 AM</t>
        </is>
      </c>
      <c r="D482" s="17" t="inlineStr">
        <is>
          <t>Pablo Lopez</t>
        </is>
      </c>
      <c r="E482" s="17" t="inlineStr">
        <is>
          <t>Sales Rep</t>
        </is>
      </c>
      <c r="F482" s="17" t="inlineStr">
        <is>
          <t>Denise Montes</t>
        </is>
      </c>
      <c r="G482" s="17" t="inlineStr">
        <is>
          <t>15034</t>
        </is>
      </c>
      <c r="H482" s="17" t="inlineStr">
        <is>
          <t>ALLEN'S LIQUORS</t>
        </is>
      </c>
      <c r="I482" s="17" t="inlineStr">
        <is>
          <t>PATERSON</t>
        </is>
      </c>
      <c r="J482" s="17" t="inlineStr">
        <is>
          <t>Constellation</t>
        </is>
      </c>
      <c r="K482" s="25" t="n">
        <v>1</v>
      </c>
      <c r="L482" s="17" t="inlineStr">
        <is>
          <t>Other (10-19)</t>
        </is>
      </c>
      <c r="M482" s="18" t="n">
        <v>10</v>
      </c>
      <c r="N482" s="18" t="n">
        <v>10</v>
      </c>
      <c r="O482" s="17" t="inlineStr">
        <is>
          <t>Priority</t>
        </is>
      </c>
      <c r="P482" s="18" t="n">
        <v>200</v>
      </c>
      <c r="Q482" s="17" t="inlineStr">
        <is>
          <t>Yes</t>
        </is>
      </c>
      <c r="R482" s="17" t="inlineStr">
        <is>
          <t>MODELO CERVEZA</t>
        </is>
      </c>
      <c r="S482" s="17" t="inlineStr">
        <is>
          <t>MODELO CERVEZA</t>
        </is>
      </c>
      <c r="T482" s="17" t="inlineStr">
        <is>
          <t>CONSTELLATION BRANDS</t>
        </is>
      </c>
      <c r="U482" s="25" t="n">
        <v>1</v>
      </c>
      <c r="V482" s="17" t="inlineStr">
        <is>
          <t>No</t>
        </is>
      </c>
      <c r="W482" s="17" t="inlineStr">
        <is>
          <t>Constellation (10)</t>
        </is>
      </c>
      <c r="X482" s="17" t="inlineStr">
        <is>
          <t>—</t>
        </is>
      </c>
      <c r="Y482" s="19" t="inlineStr">
        <is>
          <t>View Photo</t>
        </is>
      </c>
    </row>
    <row r="483">
      <c r="A483" s="17" t="inlineStr">
        <is>
          <t>D0482</t>
        </is>
      </c>
      <c r="B483" s="17" t="inlineStr">
        <is>
          <t>07/27/2026</t>
        </is>
      </c>
      <c r="C483" s="17" t="inlineStr">
        <is>
          <t>07/27/2026 03:41 PM</t>
        </is>
      </c>
      <c r="D483" s="17" t="inlineStr">
        <is>
          <t>patrick infante</t>
        </is>
      </c>
      <c r="E483" s="17" t="inlineStr">
        <is>
          <t>Sales Associate</t>
        </is>
      </c>
      <c r="F483" s="17" t="inlineStr">
        <is>
          <t>Denise Montes</t>
        </is>
      </c>
      <c r="G483" s="17" t="inlineStr">
        <is>
          <t>23004</t>
        </is>
      </c>
      <c r="H483" s="17" t="inlineStr">
        <is>
          <t>SHOP RITE WINES/SPIRITS</t>
        </is>
      </c>
      <c r="I483" s="17" t="inlineStr">
        <is>
          <t>CLIFTON</t>
        </is>
      </c>
      <c r="J483" s="17" t="inlineStr">
        <is>
          <t>HUSA (Heineken USA)</t>
        </is>
      </c>
      <c r="K483" s="25" t="n">
        <v>1</v>
      </c>
      <c r="L483" s="17" t="inlineStr">
        <is>
          <t>Other (10-19)</t>
        </is>
      </c>
      <c r="M483" s="18" t="n">
        <v>10</v>
      </c>
      <c r="N483" s="18" t="n">
        <v>10</v>
      </c>
      <c r="O483" s="17" t="inlineStr">
        <is>
          <t>Priority</t>
        </is>
      </c>
      <c r="P483" s="18" t="n">
        <v>200</v>
      </c>
      <c r="Q483" s="17" t="inlineStr">
        <is>
          <t>Yes</t>
        </is>
      </c>
      <c r="R483" s="17" t="inlineStr">
        <is>
          <t>HEINEKEN</t>
        </is>
      </c>
      <c r="S483" s="17" t="inlineStr">
        <is>
          <t>HEINEKEN</t>
        </is>
      </c>
      <c r="T483" s="17" t="inlineStr">
        <is>
          <t>HEINEKEN</t>
        </is>
      </c>
      <c r="U483" s="25" t="n">
        <v>1</v>
      </c>
      <c r="V483" s="17" t="inlineStr">
        <is>
          <t>No</t>
        </is>
      </c>
      <c r="W483" s="17" t="inlineStr">
        <is>
          <t>HUSA (Heineken USA) (10)</t>
        </is>
      </c>
      <c r="X483" s="17" t="inlineStr">
        <is>
          <t>—</t>
        </is>
      </c>
      <c r="Y483" s="19" t="inlineStr">
        <is>
          <t>View Photo</t>
        </is>
      </c>
    </row>
    <row r="484">
      <c r="A484" s="17" t="inlineStr">
        <is>
          <t>D0483</t>
        </is>
      </c>
      <c r="B484" s="17" t="inlineStr">
        <is>
          <t>07/28/2026</t>
        </is>
      </c>
      <c r="C484" s="17" t="inlineStr">
        <is>
          <t>07/28/2026 12:53 PM</t>
        </is>
      </c>
      <c r="D484" s="17" t="inlineStr">
        <is>
          <t>Derrick laws</t>
        </is>
      </c>
      <c r="E484" s="17" t="inlineStr">
        <is>
          <t>Sales Rep</t>
        </is>
      </c>
      <c r="F484" s="17" t="inlineStr">
        <is>
          <t>Denise Montes</t>
        </is>
      </c>
      <c r="G484" s="17" t="inlineStr">
        <is>
          <t>23004</t>
        </is>
      </c>
      <c r="H484" s="17" t="inlineStr">
        <is>
          <t>SHOP RITE WINES/SPIRITS</t>
        </is>
      </c>
      <c r="I484" s="17" t="inlineStr">
        <is>
          <t>CLIFTON</t>
        </is>
      </c>
      <c r="J484" s="17" t="inlineStr">
        <is>
          <t>Boston Beer</t>
        </is>
      </c>
      <c r="K484" s="25" t="n">
        <v>1</v>
      </c>
      <c r="L484" s="17" t="inlineStr">
        <is>
          <t>Other (10-19)</t>
        </is>
      </c>
      <c r="M484" s="18" t="n">
        <v>10</v>
      </c>
      <c r="N484" s="18" t="n">
        <v>10</v>
      </c>
      <c r="O484" s="17" t="inlineStr">
        <is>
          <t>Priority</t>
        </is>
      </c>
      <c r="P484" s="18" t="n">
        <v>200</v>
      </c>
      <c r="Q484" s="17" t="inlineStr">
        <is>
          <t>Yes</t>
        </is>
      </c>
      <c r="R484" s="17" t="inlineStr">
        <is>
          <t>DOGFISH HEAD BREWERY</t>
        </is>
      </c>
      <c r="S484" s="17" t="inlineStr">
        <is>
          <t>DOGFISH HEAD BREWERY</t>
        </is>
      </c>
      <c r="T484" s="17" t="inlineStr">
        <is>
          <t>BOSTON BEER COMPANY</t>
        </is>
      </c>
      <c r="U484" s="25" t="n">
        <v>1</v>
      </c>
      <c r="V484" s="17" t="inlineStr">
        <is>
          <t>No</t>
        </is>
      </c>
      <c r="W484" s="17" t="inlineStr">
        <is>
          <t>Boston Beer (10)</t>
        </is>
      </c>
      <c r="X484" s="17" t="inlineStr">
        <is>
          <t>—</t>
        </is>
      </c>
      <c r="Y484" s="19" t="inlineStr">
        <is>
          <t>View Photo</t>
        </is>
      </c>
    </row>
    <row r="485">
      <c r="A485" s="17" t="inlineStr">
        <is>
          <t>D0484</t>
        </is>
      </c>
      <c r="B485" s="17" t="inlineStr">
        <is>
          <t>07/29/2026</t>
        </is>
      </c>
      <c r="C485" s="17" t="inlineStr">
        <is>
          <t>07/29/2026 10:47 AM</t>
        </is>
      </c>
      <c r="D485" s="17" t="inlineStr">
        <is>
          <t>John O’Donoghue</t>
        </is>
      </c>
      <c r="E485" s="17" t="inlineStr">
        <is>
          <t>Sales Rep</t>
        </is>
      </c>
      <c r="F485" s="17" t="inlineStr">
        <is>
          <t>Mike Kennedy</t>
        </is>
      </c>
      <c r="G485" s="17" t="inlineStr">
        <is>
          <t>190012</t>
        </is>
      </c>
      <c r="H485" s="17" t="inlineStr">
        <is>
          <t>JOE CANAL'S DISC LIQ</t>
        </is>
      </c>
      <c r="I485" s="17" t="inlineStr">
        <is>
          <t>PARSIPPANY</t>
        </is>
      </c>
      <c r="J485" s="17" t="inlineStr">
        <is>
          <t>Garage</t>
        </is>
      </c>
      <c r="K485" s="25" t="n">
        <v>1</v>
      </c>
      <c r="L485" s="17" t="inlineStr">
        <is>
          <t>Other (10-19)</t>
        </is>
      </c>
      <c r="M485" s="18" t="n">
        <v>10</v>
      </c>
      <c r="N485" s="18" t="n">
        <v>10</v>
      </c>
      <c r="O485" s="17" t="inlineStr">
        <is>
          <t>Priority</t>
        </is>
      </c>
      <c r="P485" s="18" t="n">
        <v>200</v>
      </c>
      <c r="Q485" s="17" t="inlineStr">
        <is>
          <t>Yes</t>
        </is>
      </c>
      <c r="R485" s="17" t="inlineStr">
        <is>
          <t>GARAGE BEER - CONTRACT BREWING</t>
        </is>
      </c>
      <c r="S485" s="17" t="inlineStr">
        <is>
          <t>GARAGE BEER - CONTRACT BREWING</t>
        </is>
      </c>
      <c r="T485" s="17" t="inlineStr">
        <is>
          <t>GARAGE BEER CO.</t>
        </is>
      </c>
      <c r="U485" s="25" t="n">
        <v>2</v>
      </c>
      <c r="V485" s="17" t="inlineStr">
        <is>
          <t>No</t>
        </is>
      </c>
      <c r="W485" s="17" t="inlineStr">
        <is>
          <t>Garage (10)</t>
        </is>
      </c>
      <c r="X485" s="17" t="inlineStr">
        <is>
          <t>—</t>
        </is>
      </c>
      <c r="Y485" s="19" t="inlineStr">
        <is>
          <t>View Photo</t>
        </is>
      </c>
    </row>
    <row r="486">
      <c r="A486" s="17" t="inlineStr">
        <is>
          <t>D0485</t>
        </is>
      </c>
      <c r="B486" s="17" t="inlineStr">
        <is>
          <t>07/30/2026</t>
        </is>
      </c>
      <c r="C486" s="17" t="inlineStr">
        <is>
          <t>07/30/2026 01:32 PM</t>
        </is>
      </c>
      <c r="D486" s="17" t="inlineStr">
        <is>
          <t>Dave Ehlers</t>
        </is>
      </c>
      <c r="E486" s="17" t="inlineStr">
        <is>
          <t>Sales Rep</t>
        </is>
      </c>
      <c r="F486" s="17" t="inlineStr">
        <is>
          <t>Michael Engel</t>
        </is>
      </c>
      <c r="G486" s="17" t="inlineStr">
        <is>
          <t>58001</t>
        </is>
      </c>
      <c r="H486" s="17" t="inlineStr">
        <is>
          <t>TOTAL WINE &amp; MORE (RIVER EDGE)</t>
        </is>
      </c>
      <c r="I486" s="17" t="inlineStr">
        <is>
          <t>RIVER EDGE</t>
        </is>
      </c>
      <c r="J486" s="17" t="inlineStr">
        <is>
          <t>Molson Coors</t>
        </is>
      </c>
      <c r="K486" s="25" t="n">
        <v>1</v>
      </c>
      <c r="L486" s="17" t="inlineStr">
        <is>
          <t>Other (10-19)</t>
        </is>
      </c>
      <c r="M486" s="18" t="n">
        <v>10</v>
      </c>
      <c r="N486" s="18" t="n">
        <v>10</v>
      </c>
      <c r="O486" s="17" t="inlineStr">
        <is>
          <t>Priority</t>
        </is>
      </c>
      <c r="P486" s="18" t="n">
        <v>200</v>
      </c>
      <c r="Q486" s="17" t="inlineStr">
        <is>
          <t>Yes</t>
        </is>
      </c>
      <c r="R486" s="17" t="inlineStr">
        <is>
          <t>PERONI NASTRO AZZURRO</t>
        </is>
      </c>
      <c r="S486" s="17" t="inlineStr">
        <is>
          <t>PERONI NASTRO AZZURRO</t>
        </is>
      </c>
      <c r="T486" s="17" t="inlineStr">
        <is>
          <t>MOLSON COORS BEVERAGE COMPANY</t>
        </is>
      </c>
      <c r="U486" s="25" t="n">
        <v>1</v>
      </c>
      <c r="V486" s="17" t="inlineStr">
        <is>
          <t>No</t>
        </is>
      </c>
      <c r="W486" s="17" t="inlineStr">
        <is>
          <t>Molson Coors (10)</t>
        </is>
      </c>
      <c r="X486" s="17" t="inlineStr">
        <is>
          <t>—</t>
        </is>
      </c>
      <c r="Y486" s="19" t="inlineStr">
        <is>
          <t>View Photo</t>
        </is>
      </c>
    </row>
    <row r="487">
      <c r="A487" s="17" t="inlineStr">
        <is>
          <t>D0486</t>
        </is>
      </c>
      <c r="B487" s="17" t="inlineStr">
        <is>
          <t>07/30/2026</t>
        </is>
      </c>
      <c r="C487" s="17" t="inlineStr">
        <is>
          <t>07/30/2026 12:05 PM</t>
        </is>
      </c>
      <c r="D487" s="17" t="inlineStr">
        <is>
          <t>Jay Tabasco</t>
        </is>
      </c>
      <c r="E487" s="17" t="inlineStr">
        <is>
          <t>Sales Associate</t>
        </is>
      </c>
      <c r="F487" s="17" t="inlineStr">
        <is>
          <t>Paul Deady</t>
        </is>
      </c>
      <c r="G487" s="17" t="inlineStr">
        <is>
          <t>191710</t>
        </is>
      </c>
      <c r="H487" s="17" t="inlineStr">
        <is>
          <t>SHOP RITE WINE &amp; SPIRITS STANHOPE</t>
        </is>
      </c>
      <c r="I487" s="17" t="inlineStr">
        <is>
          <t>STANHOPE</t>
        </is>
      </c>
      <c r="J487" s="17" t="inlineStr">
        <is>
          <t>Mark Anthony</t>
        </is>
      </c>
      <c r="K487" s="25" t="n">
        <v>1</v>
      </c>
      <c r="L487" s="17" t="inlineStr">
        <is>
          <t>Other (10-19)</t>
        </is>
      </c>
      <c r="M487" s="18" t="n">
        <v>10</v>
      </c>
      <c r="N487" s="18" t="n">
        <v>10</v>
      </c>
      <c r="O487" s="17" t="inlineStr">
        <is>
          <t>Priority</t>
        </is>
      </c>
      <c r="P487" s="18" t="n">
        <v>200</v>
      </c>
      <c r="Q487" s="17" t="inlineStr">
        <is>
          <t>Yes</t>
        </is>
      </c>
      <c r="R487" s="17" t="inlineStr">
        <is>
          <t>WHITE CLAW SURF HARD SELTZER</t>
        </is>
      </c>
      <c r="S487" s="17" t="inlineStr">
        <is>
          <t>WHITE CLAW SURF HARD SELTZER</t>
        </is>
      </c>
      <c r="T487" s="17" t="inlineStr">
        <is>
          <t>MARK ANTHONY GROUP</t>
        </is>
      </c>
      <c r="U487" s="25" t="n">
        <v>1</v>
      </c>
      <c r="V487" s="17" t="inlineStr">
        <is>
          <t>No</t>
        </is>
      </c>
      <c r="W487" s="17" t="inlineStr">
        <is>
          <t>Mark Anthony (10)</t>
        </is>
      </c>
      <c r="X487" s="26" t="inlineStr">
        <is>
          <t>Possible duplicate</t>
        </is>
      </c>
      <c r="Y487" s="19" t="inlineStr">
        <is>
          <t>View Photo</t>
        </is>
      </c>
    </row>
    <row r="488">
      <c r="A488" s="17" t="inlineStr">
        <is>
          <t>D0487</t>
        </is>
      </c>
      <c r="B488" s="17" t="inlineStr">
        <is>
          <t>08/03/2026</t>
        </is>
      </c>
      <c r="C488" s="17" t="inlineStr">
        <is>
          <t>08/03/2026 03:41 PM</t>
        </is>
      </c>
      <c r="D488" s="17" t="inlineStr">
        <is>
          <t>phil Ernst</t>
        </is>
      </c>
      <c r="E488" s="17" t="inlineStr">
        <is>
          <t>Sales Rep</t>
        </is>
      </c>
      <c r="F488" s="17" t="inlineStr">
        <is>
          <t>Michael Engel</t>
        </is>
      </c>
      <c r="G488" s="17" t="inlineStr">
        <is>
          <t>43001</t>
        </is>
      </c>
      <c r="H488" s="17" t="inlineStr">
        <is>
          <t>CITY SUPERMARKET</t>
        </is>
      </c>
      <c r="I488" s="17" t="inlineStr">
        <is>
          <t>FAIRVIEW</t>
        </is>
      </c>
      <c r="J488" s="17" t="inlineStr">
        <is>
          <t>All Other: SARATOGA SPRING WATER CO.</t>
        </is>
      </c>
      <c r="K488" s="25" t="n">
        <v>1</v>
      </c>
      <c r="L488" s="17" t="inlineStr">
        <is>
          <t>Other (10-19)</t>
        </is>
      </c>
      <c r="M488" s="18" t="n">
        <v>10</v>
      </c>
      <c r="N488" s="18" t="n">
        <v>10</v>
      </c>
      <c r="O488" s="17" t="inlineStr">
        <is>
          <t>All Other</t>
        </is>
      </c>
      <c r="P488" s="18" t="n">
        <v>100</v>
      </c>
      <c r="Q488" s="17" t="inlineStr">
        <is>
          <t>Yes</t>
        </is>
      </c>
      <c r="R488" s="17" t="inlineStr">
        <is>
          <t>SARATOGA WATER</t>
        </is>
      </c>
      <c r="S488" s="17" t="inlineStr">
        <is>
          <t>SARATOGA WATER</t>
        </is>
      </c>
      <c r="T488" s="17" t="inlineStr">
        <is>
          <t>SARATOGA SPRING WATER CO.</t>
        </is>
      </c>
      <c r="U488" s="25" t="n">
        <v>1</v>
      </c>
      <c r="V488" s="17" t="inlineStr">
        <is>
          <t>No</t>
        </is>
      </c>
      <c r="W488" s="17" t="inlineStr">
        <is>
          <t>All Other: SARATOGA SPRING WATER CO. (10)</t>
        </is>
      </c>
      <c r="X488" s="17" t="inlineStr">
        <is>
          <t>—</t>
        </is>
      </c>
      <c r="Y488" s="19" t="inlineStr">
        <is>
          <t>View Photo</t>
        </is>
      </c>
    </row>
    <row r="489">
      <c r="A489" s="17" t="inlineStr">
        <is>
          <t>D0488</t>
        </is>
      </c>
      <c r="B489" s="17" t="inlineStr">
        <is>
          <t>08/10/2026</t>
        </is>
      </c>
      <c r="C489" s="17" t="inlineStr">
        <is>
          <t>08/10/2026 09:54 AM</t>
        </is>
      </c>
      <c r="D489" s="17" t="inlineStr">
        <is>
          <t>John O’Donoghue</t>
        </is>
      </c>
      <c r="E489" s="17" t="inlineStr">
        <is>
          <t>Sales Rep</t>
        </is>
      </c>
      <c r="F489" s="17" t="inlineStr">
        <is>
          <t>Mike Kennedy</t>
        </is>
      </c>
      <c r="G489" s="17" t="inlineStr">
        <is>
          <t>191835</t>
        </is>
      </c>
      <c r="H489" s="17" t="inlineStr">
        <is>
          <t>THE VILLAGE LIQUOR STORE_2</t>
        </is>
      </c>
      <c r="I489" s="17" t="inlineStr">
        <is>
          <t>CEDAR KNOLLS</t>
        </is>
      </c>
      <c r="J489" s="17" t="inlineStr">
        <is>
          <t>Garage</t>
        </is>
      </c>
      <c r="K489" s="25" t="n">
        <v>1</v>
      </c>
      <c r="L489" s="17" t="inlineStr">
        <is>
          <t>Other (10-19)</t>
        </is>
      </c>
      <c r="M489" s="18" t="n">
        <v>10</v>
      </c>
      <c r="N489" s="18" t="n">
        <v>10</v>
      </c>
      <c r="O489" s="17" t="inlineStr">
        <is>
          <t>Priority</t>
        </is>
      </c>
      <c r="P489" s="18" t="n">
        <v>200</v>
      </c>
      <c r="Q489" s="17" t="inlineStr">
        <is>
          <t>Yes</t>
        </is>
      </c>
      <c r="R489" s="17" t="inlineStr">
        <is>
          <t>GARAGE BEER - CONTRACT BREWING</t>
        </is>
      </c>
      <c r="S489" s="17" t="inlineStr">
        <is>
          <t>GARAGE BEER - CONTRACT BREWING</t>
        </is>
      </c>
      <c r="T489" s="17" t="inlineStr">
        <is>
          <t>GARAGE BEER CO.</t>
        </is>
      </c>
      <c r="U489" s="25" t="n">
        <v>2</v>
      </c>
      <c r="V489" s="17" t="inlineStr">
        <is>
          <t>No</t>
        </is>
      </c>
      <c r="W489" s="17" t="inlineStr">
        <is>
          <t>Garage (10)</t>
        </is>
      </c>
      <c r="X489" s="17" t="inlineStr">
        <is>
          <t>—</t>
        </is>
      </c>
      <c r="Y489" s="19" t="inlineStr">
        <is>
          <t>View Photo</t>
        </is>
      </c>
    </row>
    <row r="490">
      <c r="A490" s="17" t="inlineStr">
        <is>
          <t>D0489</t>
        </is>
      </c>
      <c r="B490" s="17" t="inlineStr">
        <is>
          <t>08/21/2026</t>
        </is>
      </c>
      <c r="C490" s="17" t="inlineStr">
        <is>
          <t>08/21/2026 01:26 PM</t>
        </is>
      </c>
      <c r="D490" s="17" t="inlineStr">
        <is>
          <t>patrick infante</t>
        </is>
      </c>
      <c r="E490" s="17" t="inlineStr">
        <is>
          <t>Sales Associate</t>
        </is>
      </c>
      <c r="F490" s="17" t="inlineStr">
        <is>
          <t>Denise Montes</t>
        </is>
      </c>
      <c r="G490" s="17" t="inlineStr">
        <is>
          <t>23004</t>
        </is>
      </c>
      <c r="H490" s="17" t="inlineStr">
        <is>
          <t>SHOP RITE WINES/SPIRITS</t>
        </is>
      </c>
      <c r="I490" s="17" t="inlineStr">
        <is>
          <t>CLIFTON</t>
        </is>
      </c>
      <c r="J490" s="17" t="inlineStr">
        <is>
          <t>Molson Coors</t>
        </is>
      </c>
      <c r="K490" s="25" t="n">
        <v>1</v>
      </c>
      <c r="L490" s="17" t="inlineStr">
        <is>
          <t>Other (10-19)</t>
        </is>
      </c>
      <c r="M490" s="18" t="n">
        <v>10</v>
      </c>
      <c r="N490" s="18" t="n">
        <v>10</v>
      </c>
      <c r="O490" s="17" t="inlineStr">
        <is>
          <t>Priority</t>
        </is>
      </c>
      <c r="P490" s="18" t="n">
        <v>200</v>
      </c>
      <c r="Q490" s="17" t="inlineStr">
        <is>
          <t>Yes</t>
        </is>
      </c>
      <c r="R490" s="17" t="inlineStr">
        <is>
          <t>BLUE MOON</t>
        </is>
      </c>
      <c r="S490" s="17" t="inlineStr">
        <is>
          <t>BLUE MOON</t>
        </is>
      </c>
      <c r="T490" s="17" t="inlineStr">
        <is>
          <t>MOLSON COORS BEVERAGE COMPANY</t>
        </is>
      </c>
      <c r="U490" s="25" t="n">
        <v>1</v>
      </c>
      <c r="V490" s="17" t="inlineStr">
        <is>
          <t>No</t>
        </is>
      </c>
      <c r="W490" s="17" t="inlineStr">
        <is>
          <t>Molson Coors (10)</t>
        </is>
      </c>
      <c r="X490" s="17" t="inlineStr">
        <is>
          <t>—</t>
        </is>
      </c>
      <c r="Y490" s="19" t="inlineStr">
        <is>
          <t>View Photo</t>
        </is>
      </c>
    </row>
    <row r="491">
      <c r="A491" s="17" t="inlineStr">
        <is>
          <t>D0490</t>
        </is>
      </c>
      <c r="B491" s="17" t="inlineStr">
        <is>
          <t>08/24/2026</t>
        </is>
      </c>
      <c r="C491" s="17" t="inlineStr">
        <is>
          <t>08/24/2026 11:08 AM</t>
        </is>
      </c>
      <c r="D491" s="17" t="inlineStr">
        <is>
          <t>Jay Tabasco</t>
        </is>
      </c>
      <c r="E491" s="17" t="inlineStr">
        <is>
          <t>Sales Associate</t>
        </is>
      </c>
      <c r="F491" s="17" t="inlineStr">
        <is>
          <t>Paul Deady</t>
        </is>
      </c>
      <c r="G491" s="17" t="inlineStr">
        <is>
          <t>191814</t>
        </is>
      </c>
      <c r="H491" s="17" t="inlineStr">
        <is>
          <t>SANDY'S WINE &amp; SPIRIT (P) (BUDD LAKE)</t>
        </is>
      </c>
      <c r="I491" s="17" t="inlineStr">
        <is>
          <t>BUDD LAKE</t>
        </is>
      </c>
      <c r="J491" s="17" t="inlineStr">
        <is>
          <t>Constellation</t>
        </is>
      </c>
      <c r="K491" s="25" t="n">
        <v>1</v>
      </c>
      <c r="L491" s="17" t="inlineStr">
        <is>
          <t>Other (10-19)</t>
        </is>
      </c>
      <c r="M491" s="18" t="n">
        <v>10</v>
      </c>
      <c r="N491" s="18" t="n">
        <v>10</v>
      </c>
      <c r="O491" s="17" t="inlineStr">
        <is>
          <t>Priority</t>
        </is>
      </c>
      <c r="P491" s="18" t="n">
        <v>200</v>
      </c>
      <c r="Q491" s="17" t="inlineStr">
        <is>
          <t>Yes</t>
        </is>
      </c>
      <c r="R491" s="17" t="inlineStr">
        <is>
          <t>CORONA EXTRA</t>
        </is>
      </c>
      <c r="S491" s="17" t="inlineStr">
        <is>
          <t>CORONA EXTRA</t>
        </is>
      </c>
      <c r="T491" s="17" t="inlineStr">
        <is>
          <t>CONSTELLATION BRANDS</t>
        </is>
      </c>
      <c r="U491" s="25" t="n">
        <v>1</v>
      </c>
      <c r="V491" s="17" t="inlineStr">
        <is>
          <t>No</t>
        </is>
      </c>
      <c r="W491" s="17" t="inlineStr">
        <is>
          <t>Constellation (10)</t>
        </is>
      </c>
      <c r="X491" s="17" t="inlineStr">
        <is>
          <t>First of a repeat set</t>
        </is>
      </c>
      <c r="Y491" s="19" t="inlineStr">
        <is>
          <t>View Photo</t>
        </is>
      </c>
    </row>
    <row r="492">
      <c r="A492" s="17" t="inlineStr">
        <is>
          <t>D0491</t>
        </is>
      </c>
      <c r="B492" s="17" t="inlineStr">
        <is>
          <t>08/24/2026</t>
        </is>
      </c>
      <c r="C492" s="17" t="inlineStr">
        <is>
          <t>08/24/2026 11:08 AM</t>
        </is>
      </c>
      <c r="D492" s="17" t="inlineStr">
        <is>
          <t>Todd Ewell</t>
        </is>
      </c>
      <c r="E492" s="17" t="inlineStr">
        <is>
          <t>Sales Associate</t>
        </is>
      </c>
      <c r="F492" s="17" t="inlineStr">
        <is>
          <t>Paul Deady</t>
        </is>
      </c>
      <c r="G492" s="17" t="inlineStr">
        <is>
          <t>191814</t>
        </is>
      </c>
      <c r="H492" s="17" t="inlineStr">
        <is>
          <t>SANDY'S WINE &amp; SPIRIT (P) (BUDD LAKE)</t>
        </is>
      </c>
      <c r="I492" s="17" t="inlineStr">
        <is>
          <t>BUDD LAKE</t>
        </is>
      </c>
      <c r="J492" s="17" t="inlineStr">
        <is>
          <t>Constellation</t>
        </is>
      </c>
      <c r="K492" s="25" t="n">
        <v>1</v>
      </c>
      <c r="L492" s="17" t="inlineStr">
        <is>
          <t>Other (10-19)</t>
        </is>
      </c>
      <c r="M492" s="18" t="n">
        <v>10</v>
      </c>
      <c r="N492" s="18" t="n">
        <v>10</v>
      </c>
      <c r="O492" s="17" t="inlineStr">
        <is>
          <t>Priority</t>
        </is>
      </c>
      <c r="P492" s="18" t="n">
        <v>200</v>
      </c>
      <c r="Q492" s="17" t="inlineStr">
        <is>
          <t>Yes</t>
        </is>
      </c>
      <c r="R492" s="17" t="inlineStr">
        <is>
          <t>CORONA EXTRA</t>
        </is>
      </c>
      <c r="S492" s="17" t="inlineStr">
        <is>
          <t>CORONA EXTRA</t>
        </is>
      </c>
      <c r="T492" s="17" t="inlineStr">
        <is>
          <t>CONSTELLATION BRANDS</t>
        </is>
      </c>
      <c r="U492" s="25" t="n">
        <v>1</v>
      </c>
      <c r="V492" s="17" t="inlineStr">
        <is>
          <t>No</t>
        </is>
      </c>
      <c r="W492" s="17" t="inlineStr">
        <is>
          <t>Constellation (10)</t>
        </is>
      </c>
      <c r="X492" s="26" t="inlineStr">
        <is>
          <t>Possible duplicate</t>
        </is>
      </c>
      <c r="Y492" s="19" t="inlineStr">
        <is>
          <t>View Photo</t>
        </is>
      </c>
    </row>
    <row r="493">
      <c r="A493" s="17" t="inlineStr">
        <is>
          <t>D0492</t>
        </is>
      </c>
      <c r="B493" s="17" t="inlineStr">
        <is>
          <t>08/26/2026</t>
        </is>
      </c>
      <c r="C493" s="17" t="inlineStr">
        <is>
          <t>08/26/2026 01:07 PM</t>
        </is>
      </c>
      <c r="D493" s="17" t="inlineStr">
        <is>
          <t>Nicholas Micco</t>
        </is>
      </c>
      <c r="E493" s="17" t="inlineStr">
        <is>
          <t>Sales Associate</t>
        </is>
      </c>
      <c r="F493" s="17" t="inlineStr">
        <is>
          <t>Michael Engel</t>
        </is>
      </c>
      <c r="G493" s="17" t="inlineStr">
        <is>
          <t>80005</t>
        </is>
      </c>
      <c r="H493" s="17" t="inlineStr">
        <is>
          <t>SHOP RITE LIQ (PARAMUS)</t>
        </is>
      </c>
      <c r="I493" s="17" t="inlineStr">
        <is>
          <t>PARAMUS</t>
        </is>
      </c>
      <c r="J493" s="17" t="inlineStr">
        <is>
          <t>Boston Beer</t>
        </is>
      </c>
      <c r="K493" s="25" t="n">
        <v>1</v>
      </c>
      <c r="L493" s="17" t="inlineStr">
        <is>
          <t>Other (10-19)</t>
        </is>
      </c>
      <c r="M493" s="18" t="n">
        <v>10</v>
      </c>
      <c r="N493" s="18" t="n">
        <v>10</v>
      </c>
      <c r="O493" s="17" t="inlineStr">
        <is>
          <t>Priority</t>
        </is>
      </c>
      <c r="P493" s="18" t="n">
        <v>200</v>
      </c>
      <c r="Q493" s="17" t="inlineStr">
        <is>
          <t>Yes</t>
        </is>
      </c>
      <c r="R493" s="17" t="inlineStr">
        <is>
          <t>ANGRY ORCHARD</t>
        </is>
      </c>
      <c r="S493" s="17" t="inlineStr">
        <is>
          <t>ANGRY ORCHARD</t>
        </is>
      </c>
      <c r="T493" s="17" t="inlineStr">
        <is>
          <t>BOSTON BEER COMPANY</t>
        </is>
      </c>
      <c r="U493" s="25" t="n">
        <v>1</v>
      </c>
      <c r="V493" s="17" t="inlineStr">
        <is>
          <t>No</t>
        </is>
      </c>
      <c r="W493" s="17" t="inlineStr">
        <is>
          <t>Boston Beer (10)</t>
        </is>
      </c>
      <c r="X493" s="17" t="inlineStr">
        <is>
          <t>—</t>
        </is>
      </c>
      <c r="Y493" s="19" t="inlineStr">
        <is>
          <t>View Photo</t>
        </is>
      </c>
    </row>
    <row r="494">
      <c r="A494" s="17" t="inlineStr">
        <is>
          <t>D0493</t>
        </is>
      </c>
      <c r="B494" s="17" t="inlineStr">
        <is>
          <t>08/26/2026</t>
        </is>
      </c>
      <c r="C494" s="17" t="inlineStr">
        <is>
          <t>08/26/2026 03:46 PM</t>
        </is>
      </c>
      <c r="D494" s="17" t="inlineStr">
        <is>
          <t>Dave Ehlers</t>
        </is>
      </c>
      <c r="E494" s="17" t="inlineStr">
        <is>
          <t>Sales Rep</t>
        </is>
      </c>
      <c r="F494" s="17" t="inlineStr">
        <is>
          <t>Michael Engel</t>
        </is>
      </c>
      <c r="G494" s="17" t="inlineStr">
        <is>
          <t>40010</t>
        </is>
      </c>
      <c r="H494" s="17" t="inlineStr">
        <is>
          <t>HACKENSACK LIQUORS</t>
        </is>
      </c>
      <c r="I494" s="17" t="inlineStr">
        <is>
          <t>HACKENSACK</t>
        </is>
      </c>
      <c r="J494" s="17" t="inlineStr">
        <is>
          <t>Molson Coors</t>
        </is>
      </c>
      <c r="K494" s="25" t="n">
        <v>1</v>
      </c>
      <c r="L494" s="17" t="inlineStr">
        <is>
          <t>Other (10-19)</t>
        </is>
      </c>
      <c r="M494" s="18" t="n">
        <v>10</v>
      </c>
      <c r="N494" s="18" t="n">
        <v>10</v>
      </c>
      <c r="O494" s="17" t="inlineStr">
        <is>
          <t>Priority</t>
        </is>
      </c>
      <c r="P494" s="18" t="n">
        <v>200</v>
      </c>
      <c r="Q494" s="17" t="inlineStr">
        <is>
          <t>Yes</t>
        </is>
      </c>
      <c r="R494" s="17" t="inlineStr">
        <is>
          <t>KEYSTONE BEER</t>
        </is>
      </c>
      <c r="S494" s="17" t="inlineStr">
        <is>
          <t>KEYSTONE BEER</t>
        </is>
      </c>
      <c r="T494" s="17" t="inlineStr">
        <is>
          <t>MOLSON COORS BEVERAGE COMPANY</t>
        </is>
      </c>
      <c r="U494" s="25" t="n">
        <v>1</v>
      </c>
      <c r="V494" s="17" t="inlineStr">
        <is>
          <t>No</t>
        </is>
      </c>
      <c r="W494" s="17" t="inlineStr">
        <is>
          <t>Molson Coors (10)</t>
        </is>
      </c>
      <c r="X494" s="17" t="inlineStr">
        <is>
          <t>—</t>
        </is>
      </c>
      <c r="Y494" s="19" t="inlineStr">
        <is>
          <t>View Photo</t>
        </is>
      </c>
    </row>
    <row r="495">
      <c r="A495" s="17" t="inlineStr">
        <is>
          <t>D0494</t>
        </is>
      </c>
      <c r="B495" s="17" t="inlineStr">
        <is>
          <t>08/27/2026</t>
        </is>
      </c>
      <c r="C495" s="17" t="inlineStr">
        <is>
          <t>08/27/2026 01:07 PM</t>
        </is>
      </c>
      <c r="D495" s="17" t="inlineStr">
        <is>
          <t>mickey obrien</t>
        </is>
      </c>
      <c r="E495" s="17" t="inlineStr">
        <is>
          <t>Sales Associate</t>
        </is>
      </c>
      <c r="F495" s="17" t="inlineStr">
        <is>
          <t>Michael Engel</t>
        </is>
      </c>
      <c r="G495" s="17" t="inlineStr">
        <is>
          <t>52019</t>
        </is>
      </c>
      <c r="H495" s="17" t="inlineStr">
        <is>
          <t>W E BEVERAGE (A)</t>
        </is>
      </c>
      <c r="I495" s="17" t="inlineStr">
        <is>
          <t>ENGLEWOOD</t>
        </is>
      </c>
      <c r="J495" s="17" t="inlineStr">
        <is>
          <t>HUSA (Heineken USA)</t>
        </is>
      </c>
      <c r="K495" s="25" t="n">
        <v>1</v>
      </c>
      <c r="L495" s="17" t="inlineStr">
        <is>
          <t>Other (10-19)</t>
        </is>
      </c>
      <c r="M495" s="18" t="n">
        <v>10</v>
      </c>
      <c r="N495" s="18" t="n">
        <v>10</v>
      </c>
      <c r="O495" s="17" t="inlineStr">
        <is>
          <t>Priority</t>
        </is>
      </c>
      <c r="P495" s="18" t="n">
        <v>200</v>
      </c>
      <c r="Q495" s="17" t="inlineStr">
        <is>
          <t>Yes</t>
        </is>
      </c>
      <c r="R495" s="17" t="inlineStr">
        <is>
          <t>HEINEKEN</t>
        </is>
      </c>
      <c r="S495" s="17" t="inlineStr">
        <is>
          <t>HEINEKEN</t>
        </is>
      </c>
      <c r="T495" s="17" t="inlineStr">
        <is>
          <t>HEINEKEN</t>
        </is>
      </c>
      <c r="U495" s="25" t="n">
        <v>1</v>
      </c>
      <c r="V495" s="17" t="inlineStr">
        <is>
          <t>No</t>
        </is>
      </c>
      <c r="W495" s="17" t="inlineStr">
        <is>
          <t>HUSA (Heineken USA) (10)</t>
        </is>
      </c>
      <c r="X495" s="17" t="inlineStr">
        <is>
          <t>—</t>
        </is>
      </c>
      <c r="Y495" s="19" t="inlineStr">
        <is>
          <t>View Photo</t>
        </is>
      </c>
    </row>
    <row r="496">
      <c r="A496" s="23" t="inlineStr">
        <is>
          <t>D0495</t>
        </is>
      </c>
      <c r="B496" s="23" t="inlineStr">
        <is>
          <t>08/12/2026</t>
        </is>
      </c>
      <c r="C496" s="23" t="inlineStr">
        <is>
          <t>08/12/2026 03:38 PM</t>
        </is>
      </c>
      <c r="D496" s="23" t="inlineStr">
        <is>
          <t>Dylan Rubino</t>
        </is>
      </c>
      <c r="E496" s="23" t="inlineStr">
        <is>
          <t>Sales Rep</t>
        </is>
      </c>
      <c r="F496" s="23" t="inlineStr">
        <is>
          <t>Mike Kennedy</t>
        </is>
      </c>
      <c r="G496" s="23" t="inlineStr">
        <is>
          <t>170909</t>
        </is>
      </c>
      <c r="H496" s="23" t="inlineStr">
        <is>
          <t>A2Z WINE CLUB</t>
        </is>
      </c>
      <c r="I496" s="23" t="inlineStr">
        <is>
          <t>SECAUCUS</t>
        </is>
      </c>
      <c r="J496" s="23" t="inlineStr">
        <is>
          <t>All Other: VIVA BEVERAGES</t>
        </is>
      </c>
      <c r="K496" s="27" t="n">
        <v>0</v>
      </c>
      <c r="L496" s="23" t="inlineStr">
        <is>
          <t>Non-qualifying (&lt;10)</t>
        </is>
      </c>
      <c r="M496" s="24" t="n">
        <v>9</v>
      </c>
      <c r="N496" s="24" t="n">
        <v>9</v>
      </c>
      <c r="O496" s="23" t="inlineStr">
        <is>
          <t>All Other</t>
        </is>
      </c>
      <c r="P496" s="24" t="n">
        <v>0</v>
      </c>
      <c r="Q496" s="23" t="inlineStr">
        <is>
          <t>No</t>
        </is>
      </c>
      <c r="R496" s="23" t="inlineStr">
        <is>
          <t>VIVA TEQUILA SELTZER</t>
        </is>
      </c>
      <c r="S496" s="23" t="inlineStr">
        <is>
          <t>VIVA TEQUILA SELTZER</t>
        </is>
      </c>
      <c r="T496" s="23" t="inlineStr">
        <is>
          <t>VIVA BEVERAGES</t>
        </is>
      </c>
      <c r="U496" s="27" t="n">
        <v>1</v>
      </c>
      <c r="V496" s="23" t="inlineStr">
        <is>
          <t>No</t>
        </is>
      </c>
      <c r="W496" s="23" t="inlineStr">
        <is>
          <t>All Other: VIVA BEVERAGES (9)</t>
        </is>
      </c>
      <c r="X496" s="23" t="inlineStr">
        <is>
          <t>—</t>
        </is>
      </c>
      <c r="Y496" s="28" t="inlineStr">
        <is>
          <t>View Photo</t>
        </is>
      </c>
    </row>
    <row r="497">
      <c r="A497" s="23" t="inlineStr">
        <is>
          <t>D0496</t>
        </is>
      </c>
      <c r="B497" s="23" t="inlineStr">
        <is>
          <t>07/02/2026</t>
        </is>
      </c>
      <c r="C497" s="23" t="inlineStr">
        <is>
          <t>07/02/2026 01:49 PM</t>
        </is>
      </c>
      <c r="D497" s="23" t="inlineStr">
        <is>
          <t>phil Ernst</t>
        </is>
      </c>
      <c r="E497" s="23" t="inlineStr">
        <is>
          <t>Sales Rep</t>
        </is>
      </c>
      <c r="F497" s="23" t="inlineStr">
        <is>
          <t>Michael Engel</t>
        </is>
      </c>
      <c r="G497" s="23" t="inlineStr">
        <is>
          <t>83010</t>
        </is>
      </c>
      <c r="H497" s="23" t="inlineStr">
        <is>
          <t>BOTTLE KING (A) GLEN ROCK</t>
        </is>
      </c>
      <c r="I497" s="23" t="inlineStr">
        <is>
          <t>GLEN ROCK</t>
        </is>
      </c>
      <c r="J497" s="23" t="inlineStr">
        <is>
          <t>Boston Beer</t>
        </is>
      </c>
      <c r="K497" s="27" t="n">
        <v>0</v>
      </c>
      <c r="L497" s="23" t="inlineStr">
        <is>
          <t>Non-qualifying (&lt;10)</t>
        </is>
      </c>
      <c r="M497" s="24" t="n">
        <v>8</v>
      </c>
      <c r="N497" s="24" t="n">
        <v>8</v>
      </c>
      <c r="O497" s="23" t="inlineStr">
        <is>
          <t>Priority</t>
        </is>
      </c>
      <c r="P497" s="24" t="n">
        <v>0</v>
      </c>
      <c r="Q497" s="23" t="inlineStr">
        <is>
          <t>No</t>
        </is>
      </c>
      <c r="R497" s="23" t="inlineStr">
        <is>
          <t>SINLESS RTD</t>
        </is>
      </c>
      <c r="S497" s="23" t="inlineStr">
        <is>
          <t>SINLESS RTD</t>
        </is>
      </c>
      <c r="T497" s="23" t="inlineStr">
        <is>
          <t>BOSTON BEER COMPANY</t>
        </is>
      </c>
      <c r="U497" s="27" t="n">
        <v>1</v>
      </c>
      <c r="V497" s="23" t="inlineStr">
        <is>
          <t>No</t>
        </is>
      </c>
      <c r="W497" s="23" t="inlineStr">
        <is>
          <t>Boston Beer (8)</t>
        </is>
      </c>
      <c r="X497" s="23" t="inlineStr">
        <is>
          <t>—</t>
        </is>
      </c>
      <c r="Y497" s="28" t="inlineStr">
        <is>
          <t>View Photo</t>
        </is>
      </c>
    </row>
    <row r="498">
      <c r="A498" s="23" t="inlineStr">
        <is>
          <t>D0497</t>
        </is>
      </c>
      <c r="B498" s="23" t="inlineStr">
        <is>
          <t>07/07/2026</t>
        </is>
      </c>
      <c r="C498" s="23" t="inlineStr">
        <is>
          <t>07/07/2026 11:02 AM</t>
        </is>
      </c>
      <c r="D498" s="23" t="inlineStr">
        <is>
          <t>Matthew Powierski</t>
        </is>
      </c>
      <c r="E498" s="23" t="inlineStr">
        <is>
          <t>Sales Rep</t>
        </is>
      </c>
      <c r="F498" s="23" t="inlineStr">
        <is>
          <t>Denise Montes</t>
        </is>
      </c>
      <c r="G498" s="23" t="inlineStr">
        <is>
          <t>77009</t>
        </is>
      </c>
      <c r="H498" s="23" t="inlineStr">
        <is>
          <t>M &amp; M WINE &amp; SPIRITS</t>
        </is>
      </c>
      <c r="I498" s="23" t="inlineStr">
        <is>
          <t>ELMWOOD PARK</t>
        </is>
      </c>
      <c r="J498" s="23" t="inlineStr">
        <is>
          <t>All Other: FEVER TREE USA</t>
        </is>
      </c>
      <c r="K498" s="27" t="n">
        <v>0</v>
      </c>
      <c r="L498" s="23" t="inlineStr">
        <is>
          <t>Non-qualifying (&lt;10)</t>
        </is>
      </c>
      <c r="M498" s="24" t="n">
        <v>8</v>
      </c>
      <c r="N498" s="24" t="n">
        <v>8</v>
      </c>
      <c r="O498" s="23" t="inlineStr">
        <is>
          <t>Priority</t>
        </is>
      </c>
      <c r="P498" s="24" t="n">
        <v>0</v>
      </c>
      <c r="Q498" s="23" t="inlineStr">
        <is>
          <t>No</t>
        </is>
      </c>
      <c r="R498" s="23" t="inlineStr">
        <is>
          <t>FEVER TREE</t>
        </is>
      </c>
      <c r="S498" s="23" t="inlineStr">
        <is>
          <t>FEVER TREE</t>
        </is>
      </c>
      <c r="T498" s="23" t="inlineStr">
        <is>
          <t>FEVER TREE USA</t>
        </is>
      </c>
      <c r="U498" s="27" t="n">
        <v>1</v>
      </c>
      <c r="V498" s="23" t="inlineStr">
        <is>
          <t>No</t>
        </is>
      </c>
      <c r="W498" s="23" t="inlineStr">
        <is>
          <t>All Other: FEVER TREE USA (8)</t>
        </is>
      </c>
      <c r="X498" s="23" t="inlineStr">
        <is>
          <t>—</t>
        </is>
      </c>
      <c r="Y498" s="28" t="inlineStr">
        <is>
          <t>View Photo</t>
        </is>
      </c>
    </row>
    <row r="499">
      <c r="A499" s="23" t="inlineStr">
        <is>
          <t>D0498</t>
        </is>
      </c>
      <c r="B499" s="23" t="inlineStr">
        <is>
          <t>07/13/2026</t>
        </is>
      </c>
      <c r="C499" s="23" t="inlineStr">
        <is>
          <t>07/13/2026 01:18 PM</t>
        </is>
      </c>
      <c r="D499" s="23" t="inlineStr">
        <is>
          <t>Jayson Romine</t>
        </is>
      </c>
      <c r="E499" s="23" t="inlineStr">
        <is>
          <t>Sales Rep</t>
        </is>
      </c>
      <c r="F499" s="23" t="inlineStr">
        <is>
          <t>Paul Deady</t>
        </is>
      </c>
      <c r="G499" s="23" t="inlineStr">
        <is>
          <t>230412</t>
        </is>
      </c>
      <c r="H499" s="23" t="inlineStr">
        <is>
          <t>USA WINE TRADERS CLUB OF NEWTON (A)</t>
        </is>
      </c>
      <c r="I499" s="23" t="inlineStr">
        <is>
          <t>NEWTON</t>
        </is>
      </c>
      <c r="J499" s="23" t="inlineStr">
        <is>
          <t>Carbliss</t>
        </is>
      </c>
      <c r="K499" s="27" t="n">
        <v>0</v>
      </c>
      <c r="L499" s="23" t="inlineStr">
        <is>
          <t>Non-qualifying (&lt;10)</t>
        </is>
      </c>
      <c r="M499" s="24" t="n">
        <v>8</v>
      </c>
      <c r="N499" s="24" t="n">
        <v>8</v>
      </c>
      <c r="O499" s="23" t="inlineStr">
        <is>
          <t>Priority</t>
        </is>
      </c>
      <c r="P499" s="24" t="n">
        <v>0</v>
      </c>
      <c r="Q499" s="23" t="inlineStr">
        <is>
          <t>No</t>
        </is>
      </c>
      <c r="R499" s="23" t="inlineStr">
        <is>
          <t>CARBLISS</t>
        </is>
      </c>
      <c r="S499" s="23" t="inlineStr">
        <is>
          <t>CARBLISS</t>
        </is>
      </c>
      <c r="T499" s="23" t="inlineStr">
        <is>
          <t>DRINK CARBLISS</t>
        </is>
      </c>
      <c r="U499" s="27" t="n">
        <v>1</v>
      </c>
      <c r="V499" s="23" t="inlineStr">
        <is>
          <t>No</t>
        </is>
      </c>
      <c r="W499" s="23" t="inlineStr">
        <is>
          <t>Carbliss (8)</t>
        </is>
      </c>
      <c r="X499" s="23" t="inlineStr">
        <is>
          <t>—</t>
        </is>
      </c>
      <c r="Y499" s="28" t="inlineStr">
        <is>
          <t>View Photo</t>
        </is>
      </c>
    </row>
    <row r="500">
      <c r="A500" s="23" t="inlineStr">
        <is>
          <t>D0499</t>
        </is>
      </c>
      <c r="B500" s="23" t="inlineStr">
        <is>
          <t>07/30/2026</t>
        </is>
      </c>
      <c r="C500" s="23" t="inlineStr">
        <is>
          <t>07/30/2026 09:11 AM</t>
        </is>
      </c>
      <c r="D500" s="23" t="inlineStr">
        <is>
          <t>phil Ernst</t>
        </is>
      </c>
      <c r="E500" s="23" t="inlineStr">
        <is>
          <t>Sales Rep</t>
        </is>
      </c>
      <c r="F500" s="23" t="inlineStr">
        <is>
          <t>Michael Engel</t>
        </is>
      </c>
      <c r="G500" s="23" t="inlineStr">
        <is>
          <t>20106</t>
        </is>
      </c>
      <c r="H500" s="23" t="inlineStr">
        <is>
          <t>SUPER WINE WAREHSE(P)PATE</t>
        </is>
      </c>
      <c r="I500" s="23" t="inlineStr">
        <is>
          <t>PATERSON</t>
        </is>
      </c>
      <c r="J500" s="23" t="inlineStr">
        <is>
          <t>Molson Coors</t>
        </is>
      </c>
      <c r="K500" s="27" t="n">
        <v>0</v>
      </c>
      <c r="L500" s="23" t="inlineStr">
        <is>
          <t>Non-qualifying (&lt;10)</t>
        </is>
      </c>
      <c r="M500" s="24" t="n">
        <v>8</v>
      </c>
      <c r="N500" s="24" t="n">
        <v>8</v>
      </c>
      <c r="O500" s="23" t="inlineStr">
        <is>
          <t>Priority</t>
        </is>
      </c>
      <c r="P500" s="24" t="n">
        <v>0</v>
      </c>
      <c r="Q500" s="23" t="inlineStr">
        <is>
          <t>No</t>
        </is>
      </c>
      <c r="R500" s="23" t="inlineStr">
        <is>
          <t>MILLER LITE</t>
        </is>
      </c>
      <c r="S500" s="23" t="inlineStr">
        <is>
          <t>MILLER LITE</t>
        </is>
      </c>
      <c r="T500" s="23" t="inlineStr">
        <is>
          <t>MOLSON COORS BEVERAGE COMPANY</t>
        </is>
      </c>
      <c r="U500" s="27" t="n">
        <v>1</v>
      </c>
      <c r="V500" s="23" t="inlineStr">
        <is>
          <t>No</t>
        </is>
      </c>
      <c r="W500" s="23" t="inlineStr">
        <is>
          <t>Molson Coors (8)</t>
        </is>
      </c>
      <c r="X500" s="23" t="inlineStr">
        <is>
          <t>—</t>
        </is>
      </c>
      <c r="Y500" s="28" t="inlineStr">
        <is>
          <t>View Photo</t>
        </is>
      </c>
    </row>
    <row r="501">
      <c r="A501" s="23" t="inlineStr">
        <is>
          <t>D0500</t>
        </is>
      </c>
      <c r="B501" s="23" t="inlineStr">
        <is>
          <t>07/30/2026</t>
        </is>
      </c>
      <c r="C501" s="23" t="inlineStr">
        <is>
          <t>07/30/2026 09:34 AM</t>
        </is>
      </c>
      <c r="D501" s="23" t="inlineStr">
        <is>
          <t>phil Ernst</t>
        </is>
      </c>
      <c r="E501" s="23" t="inlineStr">
        <is>
          <t>Sales Rep</t>
        </is>
      </c>
      <c r="F501" s="23" t="inlineStr">
        <is>
          <t>Michael Engel</t>
        </is>
      </c>
      <c r="G501" s="23" t="inlineStr">
        <is>
          <t>20106</t>
        </is>
      </c>
      <c r="H501" s="23" t="inlineStr">
        <is>
          <t>SUPER WINE WAREHSE(P)PATE</t>
        </is>
      </c>
      <c r="I501" s="23" t="inlineStr">
        <is>
          <t>PATERSON</t>
        </is>
      </c>
      <c r="J501" s="23" t="inlineStr">
        <is>
          <t>Carbliss</t>
        </is>
      </c>
      <c r="K501" s="27" t="n">
        <v>0</v>
      </c>
      <c r="L501" s="23" t="inlineStr">
        <is>
          <t>Non-qualifying (&lt;10)</t>
        </is>
      </c>
      <c r="M501" s="24" t="n">
        <v>8</v>
      </c>
      <c r="N501" s="24" t="n">
        <v>8</v>
      </c>
      <c r="O501" s="23" t="inlineStr">
        <is>
          <t>Priority</t>
        </is>
      </c>
      <c r="P501" s="24" t="n">
        <v>0</v>
      </c>
      <c r="Q501" s="23" t="inlineStr">
        <is>
          <t>No</t>
        </is>
      </c>
      <c r="R501" s="23" t="inlineStr">
        <is>
          <t>CARBLISS</t>
        </is>
      </c>
      <c r="S501" s="23" t="inlineStr">
        <is>
          <t>CARBLISS</t>
        </is>
      </c>
      <c r="T501" s="23" t="inlineStr">
        <is>
          <t>DRINK CARBLISS</t>
        </is>
      </c>
      <c r="U501" s="27" t="n">
        <v>1</v>
      </c>
      <c r="V501" s="23" t="inlineStr">
        <is>
          <t>No</t>
        </is>
      </c>
      <c r="W501" s="23" t="inlineStr">
        <is>
          <t>Carbliss (8)</t>
        </is>
      </c>
      <c r="X501" s="23" t="inlineStr">
        <is>
          <t>—</t>
        </is>
      </c>
      <c r="Y501" s="28" t="inlineStr">
        <is>
          <t>View Photo</t>
        </is>
      </c>
    </row>
    <row r="502">
      <c r="A502" s="23" t="inlineStr">
        <is>
          <t>D0501</t>
        </is>
      </c>
      <c r="B502" s="23" t="inlineStr">
        <is>
          <t>08/13/2026</t>
        </is>
      </c>
      <c r="C502" s="23" t="inlineStr">
        <is>
          <t>08/13/2026 01:08 PM</t>
        </is>
      </c>
      <c r="D502" s="23" t="inlineStr">
        <is>
          <t>Vaughn Gallagher</t>
        </is>
      </c>
      <c r="E502" s="23" t="inlineStr">
        <is>
          <t>Sales Associate</t>
        </is>
      </c>
      <c r="F502" s="23" t="inlineStr">
        <is>
          <t>Christopher McCrohan</t>
        </is>
      </c>
      <c r="G502" s="23" t="inlineStr">
        <is>
          <t>3001</t>
        </is>
      </c>
      <c r="H502" s="23" t="inlineStr">
        <is>
          <t>BEST CELLARS (WANAQUE)</t>
        </is>
      </c>
      <c r="I502" s="23" t="inlineStr">
        <is>
          <t>WANAQUE</t>
        </is>
      </c>
      <c r="J502" s="23" t="inlineStr">
        <is>
          <t>Carbliss</t>
        </is>
      </c>
      <c r="K502" s="27" t="n">
        <v>0</v>
      </c>
      <c r="L502" s="23" t="inlineStr">
        <is>
          <t>Non-qualifying (&lt;10)</t>
        </is>
      </c>
      <c r="M502" s="24" t="n">
        <v>8</v>
      </c>
      <c r="N502" s="24" t="n">
        <v>8</v>
      </c>
      <c r="O502" s="23" t="inlineStr">
        <is>
          <t>Priority</t>
        </is>
      </c>
      <c r="P502" s="24" t="n">
        <v>0</v>
      </c>
      <c r="Q502" s="23" t="inlineStr">
        <is>
          <t>No</t>
        </is>
      </c>
      <c r="R502" s="23" t="inlineStr">
        <is>
          <t>CARBLISS</t>
        </is>
      </c>
      <c r="S502" s="23" t="inlineStr">
        <is>
          <t>CARBLISS</t>
        </is>
      </c>
      <c r="T502" s="23" t="inlineStr">
        <is>
          <t>DRINK CARBLISS</t>
        </is>
      </c>
      <c r="U502" s="27" t="n">
        <v>1</v>
      </c>
      <c r="V502" s="23" t="inlineStr">
        <is>
          <t>No</t>
        </is>
      </c>
      <c r="W502" s="23" t="inlineStr">
        <is>
          <t>Carbliss (8)</t>
        </is>
      </c>
      <c r="X502" s="23" t="inlineStr">
        <is>
          <t>—</t>
        </is>
      </c>
      <c r="Y502" s="28" t="inlineStr">
        <is>
          <t>View Photo</t>
        </is>
      </c>
    </row>
    <row r="503">
      <c r="A503" s="23" t="inlineStr">
        <is>
          <t>D0502</t>
        </is>
      </c>
      <c r="B503" s="23" t="inlineStr">
        <is>
          <t>08/17/2026</t>
        </is>
      </c>
      <c r="C503" s="23" t="inlineStr">
        <is>
          <t>08/17/2026 09:35 AM</t>
        </is>
      </c>
      <c r="D503" s="23" t="inlineStr">
        <is>
          <t>phil Ernst</t>
        </is>
      </c>
      <c r="E503" s="23" t="inlineStr">
        <is>
          <t>Sales Rep</t>
        </is>
      </c>
      <c r="F503" s="23" t="inlineStr">
        <is>
          <t>Michael Engel</t>
        </is>
      </c>
      <c r="G503" s="23" t="inlineStr">
        <is>
          <t>89007</t>
        </is>
      </c>
      <c r="H503" s="23" t="inlineStr">
        <is>
          <t>ACME MARKETS (ALLENDALE)</t>
        </is>
      </c>
      <c r="I503" s="23" t="inlineStr">
        <is>
          <t>ALLENDALE</t>
        </is>
      </c>
      <c r="J503" s="23" t="inlineStr">
        <is>
          <t>Constellation</t>
        </is>
      </c>
      <c r="K503" s="27" t="n">
        <v>0</v>
      </c>
      <c r="L503" s="23" t="inlineStr">
        <is>
          <t>Non-qualifying (&lt;10)</t>
        </is>
      </c>
      <c r="M503" s="24" t="n">
        <v>8</v>
      </c>
      <c r="N503" s="24" t="n">
        <v>8</v>
      </c>
      <c r="O503" s="23" t="inlineStr">
        <is>
          <t>Priority</t>
        </is>
      </c>
      <c r="P503" s="24" t="n">
        <v>0</v>
      </c>
      <c r="Q503" s="23" t="inlineStr">
        <is>
          <t>No</t>
        </is>
      </c>
      <c r="R503" s="23" t="inlineStr">
        <is>
          <t>CORONA EXTRA</t>
        </is>
      </c>
      <c r="S503" s="23" t="inlineStr">
        <is>
          <t>CORONA EXTRA</t>
        </is>
      </c>
      <c r="T503" s="23" t="inlineStr">
        <is>
          <t>CONSTELLATION BRANDS</t>
        </is>
      </c>
      <c r="U503" s="27" t="n">
        <v>1</v>
      </c>
      <c r="V503" s="23" t="inlineStr">
        <is>
          <t>No</t>
        </is>
      </c>
      <c r="W503" s="23" t="inlineStr">
        <is>
          <t>Constellation (8)</t>
        </is>
      </c>
      <c r="X503" s="23" t="inlineStr">
        <is>
          <t>—</t>
        </is>
      </c>
      <c r="Y503" s="28" t="inlineStr">
        <is>
          <t>View Photo</t>
        </is>
      </c>
    </row>
    <row r="504">
      <c r="A504" s="23" t="inlineStr">
        <is>
          <t>D0503</t>
        </is>
      </c>
      <c r="B504" s="23" t="inlineStr">
        <is>
          <t>07/14/2026</t>
        </is>
      </c>
      <c r="C504" s="23" t="inlineStr">
        <is>
          <t>07/14/2026 10:57 AM</t>
        </is>
      </c>
      <c r="D504" s="23" t="inlineStr">
        <is>
          <t>John O’Donoghue</t>
        </is>
      </c>
      <c r="E504" s="23" t="inlineStr">
        <is>
          <t>Sales Rep</t>
        </is>
      </c>
      <c r="F504" s="23" t="inlineStr">
        <is>
          <t>Mike Kennedy</t>
        </is>
      </c>
      <c r="G504" s="23" t="inlineStr">
        <is>
          <t>190655</t>
        </is>
      </c>
      <c r="H504" s="23" t="inlineStr">
        <is>
          <t>SANDY'S WINE &amp; SPIRITS (FLANDERS)</t>
        </is>
      </c>
      <c r="I504" s="23" t="inlineStr">
        <is>
          <t>FLANDERS</t>
        </is>
      </c>
      <c r="J504" s="23" t="inlineStr">
        <is>
          <t>All Other: TILRAY BRANDS</t>
        </is>
      </c>
      <c r="K504" s="27" t="n">
        <v>0</v>
      </c>
      <c r="L504" s="23" t="inlineStr">
        <is>
          <t>Non-qualifying (&lt;10)</t>
        </is>
      </c>
      <c r="M504" s="24" t="n">
        <v>7</v>
      </c>
      <c r="N504" s="24" t="n">
        <v>7</v>
      </c>
      <c r="O504" s="23" t="inlineStr">
        <is>
          <t>All Other</t>
        </is>
      </c>
      <c r="P504" s="24" t="n">
        <v>0</v>
      </c>
      <c r="Q504" s="23" t="inlineStr">
        <is>
          <t>No</t>
        </is>
      </c>
      <c r="R504" s="23" t="inlineStr">
        <is>
          <t>POPSICLE FMB</t>
        </is>
      </c>
      <c r="S504" s="23" t="inlineStr">
        <is>
          <t>POPSICLE FMB</t>
        </is>
      </c>
      <c r="T504" s="23" t="inlineStr">
        <is>
          <t>TILRAY BRANDS</t>
        </is>
      </c>
      <c r="U504" s="27" t="n">
        <v>1</v>
      </c>
      <c r="V504" s="23" t="inlineStr">
        <is>
          <t>No</t>
        </is>
      </c>
      <c r="W504" s="23" t="inlineStr">
        <is>
          <t>All Other: TILRAY BRANDS (7)</t>
        </is>
      </c>
      <c r="X504" s="23" t="inlineStr">
        <is>
          <t>—</t>
        </is>
      </c>
      <c r="Y504" s="28" t="inlineStr">
        <is>
          <t>View Photo</t>
        </is>
      </c>
    </row>
    <row r="505">
      <c r="A505" s="23" t="inlineStr">
        <is>
          <t>D0504</t>
        </is>
      </c>
      <c r="B505" s="23" t="inlineStr">
        <is>
          <t>07/30/2026</t>
        </is>
      </c>
      <c r="C505" s="23" t="inlineStr">
        <is>
          <t>07/30/2026 09:16 AM</t>
        </is>
      </c>
      <c r="D505" s="23" t="inlineStr">
        <is>
          <t>phil Ernst</t>
        </is>
      </c>
      <c r="E505" s="23" t="inlineStr">
        <is>
          <t>Sales Rep</t>
        </is>
      </c>
      <c r="F505" s="23" t="inlineStr">
        <is>
          <t>Michael Engel</t>
        </is>
      </c>
      <c r="G505" s="23" t="inlineStr">
        <is>
          <t>20106</t>
        </is>
      </c>
      <c r="H505" s="23" t="inlineStr">
        <is>
          <t>SUPER WINE WAREHSE(P)PATE</t>
        </is>
      </c>
      <c r="I505" s="23" t="inlineStr">
        <is>
          <t>PATERSON</t>
        </is>
      </c>
      <c r="J505" s="23" t="inlineStr">
        <is>
          <t>Molson Coors</t>
        </is>
      </c>
      <c r="K505" s="27" t="n">
        <v>0</v>
      </c>
      <c r="L505" s="23" t="inlineStr">
        <is>
          <t>Non-qualifying (&lt;10)</t>
        </is>
      </c>
      <c r="M505" s="24" t="n">
        <v>7</v>
      </c>
      <c r="N505" s="24" t="n">
        <v>7</v>
      </c>
      <c r="O505" s="23" t="inlineStr">
        <is>
          <t>Priority</t>
        </is>
      </c>
      <c r="P505" s="24" t="n">
        <v>0</v>
      </c>
      <c r="Q505" s="23" t="inlineStr">
        <is>
          <t>No</t>
        </is>
      </c>
      <c r="R505" s="23" t="inlineStr">
        <is>
          <t>COORS</t>
        </is>
      </c>
      <c r="S505" s="23" t="inlineStr">
        <is>
          <t>COORS</t>
        </is>
      </c>
      <c r="T505" s="23" t="inlineStr">
        <is>
          <t>MOLSON COORS BEVERAGE COMPANY</t>
        </is>
      </c>
      <c r="U505" s="27" t="n">
        <v>1</v>
      </c>
      <c r="V505" s="23" t="inlineStr">
        <is>
          <t>No</t>
        </is>
      </c>
      <c r="W505" s="23" t="inlineStr">
        <is>
          <t>Molson Coors (7)</t>
        </is>
      </c>
      <c r="X505" s="23" t="inlineStr">
        <is>
          <t>—</t>
        </is>
      </c>
      <c r="Y505" s="28" t="inlineStr">
        <is>
          <t>View Photo</t>
        </is>
      </c>
    </row>
    <row r="506">
      <c r="A506" s="23" t="inlineStr">
        <is>
          <t>D0505</t>
        </is>
      </c>
      <c r="B506" s="23" t="inlineStr">
        <is>
          <t>07/30/2026</t>
        </is>
      </c>
      <c r="C506" s="23" t="inlineStr">
        <is>
          <t>07/30/2026 10:32 AM</t>
        </is>
      </c>
      <c r="D506" s="23" t="inlineStr">
        <is>
          <t>phil Ernst</t>
        </is>
      </c>
      <c r="E506" s="23" t="inlineStr">
        <is>
          <t>Sales Rep</t>
        </is>
      </c>
      <c r="F506" s="23" t="inlineStr">
        <is>
          <t>Michael Engel</t>
        </is>
      </c>
      <c r="G506" s="23" t="inlineStr">
        <is>
          <t>83010</t>
        </is>
      </c>
      <c r="H506" s="23" t="inlineStr">
        <is>
          <t>BOTTLE KING (A) GLEN ROCK</t>
        </is>
      </c>
      <c r="I506" s="23" t="inlineStr">
        <is>
          <t>GLEN ROCK</t>
        </is>
      </c>
      <c r="J506" s="23" t="inlineStr">
        <is>
          <t>Molson Coors</t>
        </is>
      </c>
      <c r="K506" s="27" t="n">
        <v>0</v>
      </c>
      <c r="L506" s="23" t="inlineStr">
        <is>
          <t>Non-qualifying (&lt;10)</t>
        </is>
      </c>
      <c r="M506" s="24" t="n">
        <v>7</v>
      </c>
      <c r="N506" s="24" t="n">
        <v>7</v>
      </c>
      <c r="O506" s="23" t="inlineStr">
        <is>
          <t>Priority</t>
        </is>
      </c>
      <c r="P506" s="24" t="n">
        <v>0</v>
      </c>
      <c r="Q506" s="23" t="inlineStr">
        <is>
          <t>No</t>
        </is>
      </c>
      <c r="R506" s="23" t="inlineStr">
        <is>
          <t>SIMPLY SPIKED LEMONADE</t>
        </is>
      </c>
      <c r="S506" s="23" t="inlineStr">
        <is>
          <t>SIMPLY SPIKED LEMONADE</t>
        </is>
      </c>
      <c r="T506" s="23" t="inlineStr">
        <is>
          <t>MOLSON COORS BEVERAGE COMPANY</t>
        </is>
      </c>
      <c r="U506" s="27" t="n">
        <v>1</v>
      </c>
      <c r="V506" s="23" t="inlineStr">
        <is>
          <t>No</t>
        </is>
      </c>
      <c r="W506" s="23" t="inlineStr">
        <is>
          <t>Molson Coors (7)</t>
        </is>
      </c>
      <c r="X506" s="23" t="inlineStr">
        <is>
          <t>—</t>
        </is>
      </c>
      <c r="Y506" s="28" t="inlineStr">
        <is>
          <t>View Photo</t>
        </is>
      </c>
    </row>
    <row r="507">
      <c r="A507" s="23" t="inlineStr">
        <is>
          <t>D0506</t>
        </is>
      </c>
      <c r="B507" s="23" t="inlineStr">
        <is>
          <t>07/30/2026</t>
        </is>
      </c>
      <c r="C507" s="23" t="inlineStr">
        <is>
          <t>07/30/2026 10:55 AM</t>
        </is>
      </c>
      <c r="D507" s="23" t="inlineStr">
        <is>
          <t>phil Ernst</t>
        </is>
      </c>
      <c r="E507" s="23" t="inlineStr">
        <is>
          <t>Sales Rep</t>
        </is>
      </c>
      <c r="F507" s="23" t="inlineStr">
        <is>
          <t>Michael Engel</t>
        </is>
      </c>
      <c r="G507" s="23" t="inlineStr">
        <is>
          <t>83010</t>
        </is>
      </c>
      <c r="H507" s="23" t="inlineStr">
        <is>
          <t>BOTTLE KING (A) GLEN ROCK</t>
        </is>
      </c>
      <c r="I507" s="23" t="inlineStr">
        <is>
          <t>GLEN ROCK</t>
        </is>
      </c>
      <c r="J507" s="23" t="inlineStr">
        <is>
          <t>Boston Beer</t>
        </is>
      </c>
      <c r="K507" s="27" t="n">
        <v>0</v>
      </c>
      <c r="L507" s="23" t="inlineStr">
        <is>
          <t>Non-qualifying (&lt;10)</t>
        </is>
      </c>
      <c r="M507" s="24" t="n">
        <v>7</v>
      </c>
      <c r="N507" s="24" t="n">
        <v>7</v>
      </c>
      <c r="O507" s="23" t="inlineStr">
        <is>
          <t>Priority</t>
        </is>
      </c>
      <c r="P507" s="24" t="n">
        <v>0</v>
      </c>
      <c r="Q507" s="23" t="inlineStr">
        <is>
          <t>No</t>
        </is>
      </c>
      <c r="R507" s="23" t="inlineStr">
        <is>
          <t>SINLESS SPIRITS</t>
        </is>
      </c>
      <c r="S507" s="23" t="inlineStr">
        <is>
          <t>SINLESS SPIRITS</t>
        </is>
      </c>
      <c r="T507" s="23" t="inlineStr">
        <is>
          <t>BOSTON BEER COMPANY</t>
        </is>
      </c>
      <c r="U507" s="27" t="n">
        <v>1</v>
      </c>
      <c r="V507" s="23" t="inlineStr">
        <is>
          <t>No</t>
        </is>
      </c>
      <c r="W507" s="23" t="inlineStr">
        <is>
          <t>Boston Beer (7)</t>
        </is>
      </c>
      <c r="X507" s="23" t="inlineStr">
        <is>
          <t>—</t>
        </is>
      </c>
      <c r="Y507" s="28" t="inlineStr">
        <is>
          <t>View Photo</t>
        </is>
      </c>
    </row>
    <row r="508">
      <c r="A508" s="23" t="inlineStr">
        <is>
          <t>D0507</t>
        </is>
      </c>
      <c r="B508" s="23" t="inlineStr">
        <is>
          <t>07/30/2026</t>
        </is>
      </c>
      <c r="C508" s="23" t="inlineStr">
        <is>
          <t>07/30/2026 11:53 AM</t>
        </is>
      </c>
      <c r="D508" s="23" t="inlineStr">
        <is>
          <t>phil Ernst</t>
        </is>
      </c>
      <c r="E508" s="23" t="inlineStr">
        <is>
          <t>Sales Rep</t>
        </is>
      </c>
      <c r="F508" s="23" t="inlineStr">
        <is>
          <t>Michael Engel</t>
        </is>
      </c>
      <c r="G508" s="23" t="inlineStr">
        <is>
          <t>81014</t>
        </is>
      </c>
      <c r="H508" s="23" t="inlineStr">
        <is>
          <t>SHOP RITE LIQ(A) FAIR LWN</t>
        </is>
      </c>
      <c r="I508" s="23" t="inlineStr">
        <is>
          <t>FAIR LAWN</t>
        </is>
      </c>
      <c r="J508" s="23" t="inlineStr">
        <is>
          <t>Carbliss</t>
        </is>
      </c>
      <c r="K508" s="27" t="n">
        <v>0</v>
      </c>
      <c r="L508" s="23" t="inlineStr">
        <is>
          <t>Non-qualifying (&lt;10)</t>
        </is>
      </c>
      <c r="M508" s="24" t="n">
        <v>7</v>
      </c>
      <c r="N508" s="24" t="n">
        <v>7</v>
      </c>
      <c r="O508" s="23" t="inlineStr">
        <is>
          <t>Priority</t>
        </is>
      </c>
      <c r="P508" s="24" t="n">
        <v>0</v>
      </c>
      <c r="Q508" s="23" t="inlineStr">
        <is>
          <t>No</t>
        </is>
      </c>
      <c r="R508" s="23" t="inlineStr">
        <is>
          <t>CARBLISS</t>
        </is>
      </c>
      <c r="S508" s="23" t="inlineStr">
        <is>
          <t>CARBLISS</t>
        </is>
      </c>
      <c r="T508" s="23" t="inlineStr">
        <is>
          <t>DRINK CARBLISS</t>
        </is>
      </c>
      <c r="U508" s="27" t="n">
        <v>1</v>
      </c>
      <c r="V508" s="23" t="inlineStr">
        <is>
          <t>No</t>
        </is>
      </c>
      <c r="W508" s="23" t="inlineStr">
        <is>
          <t>Carbliss (7)</t>
        </is>
      </c>
      <c r="X508" s="23" t="inlineStr">
        <is>
          <t>—</t>
        </is>
      </c>
      <c r="Y508" s="28" t="inlineStr">
        <is>
          <t>View Photo</t>
        </is>
      </c>
    </row>
    <row r="509">
      <c r="A509" s="23" t="inlineStr">
        <is>
          <t>D0508</t>
        </is>
      </c>
      <c r="B509" s="23" t="inlineStr">
        <is>
          <t>07/02/2026</t>
        </is>
      </c>
      <c r="C509" s="23" t="inlineStr">
        <is>
          <t>07/02/2026 10:44 AM</t>
        </is>
      </c>
      <c r="D509" s="23" t="inlineStr">
        <is>
          <t>David Fletcher</t>
        </is>
      </c>
      <c r="E509" s="23" t="inlineStr">
        <is>
          <t>Sales Associate</t>
        </is>
      </c>
      <c r="F509" s="23" t="inlineStr">
        <is>
          <t>Michael Engel</t>
        </is>
      </c>
      <c r="G509" s="23" t="inlineStr">
        <is>
          <t>76010</t>
        </is>
      </c>
      <c r="H509" s="23" t="inlineStr">
        <is>
          <t>USA WINE TRADERS CLUB (SADDLE BROOK)</t>
        </is>
      </c>
      <c r="I509" s="23" t="inlineStr">
        <is>
          <t>SADDLE BROOK</t>
        </is>
      </c>
      <c r="J509" s="23" t="inlineStr">
        <is>
          <t>Boston Beer</t>
        </is>
      </c>
      <c r="K509" s="27" t="n">
        <v>0</v>
      </c>
      <c r="L509" s="23" t="inlineStr">
        <is>
          <t>Non-qualifying (&lt;10)</t>
        </is>
      </c>
      <c r="M509" s="24" t="n">
        <v>6</v>
      </c>
      <c r="N509" s="24" t="n">
        <v>6</v>
      </c>
      <c r="O509" s="23" t="inlineStr">
        <is>
          <t>Priority</t>
        </is>
      </c>
      <c r="P509" s="24" t="n">
        <v>0</v>
      </c>
      <c r="Q509" s="23" t="inlineStr">
        <is>
          <t>No</t>
        </is>
      </c>
      <c r="R509" s="23" t="inlineStr">
        <is>
          <t>TRULY SEASONAL HARD SELTZER</t>
        </is>
      </c>
      <c r="S509" s="23" t="inlineStr">
        <is>
          <t>TRULY SEASONAL HARD SELTZER</t>
        </is>
      </c>
      <c r="T509" s="23" t="inlineStr">
        <is>
          <t>BOSTON BEER COMPANY</t>
        </is>
      </c>
      <c r="U509" s="27" t="n">
        <v>1</v>
      </c>
      <c r="V509" s="23" t="inlineStr">
        <is>
          <t>No</t>
        </is>
      </c>
      <c r="W509" s="23" t="inlineStr">
        <is>
          <t>Boston Beer (6)</t>
        </is>
      </c>
      <c r="X509" s="23" t="inlineStr">
        <is>
          <t>—</t>
        </is>
      </c>
      <c r="Y509" s="28" t="inlineStr">
        <is>
          <t>View Photo</t>
        </is>
      </c>
    </row>
    <row r="510">
      <c r="A510" s="23" t="inlineStr">
        <is>
          <t>D0509</t>
        </is>
      </c>
      <c r="B510" s="23" t="inlineStr">
        <is>
          <t>07/28/2026</t>
        </is>
      </c>
      <c r="C510" s="23" t="inlineStr">
        <is>
          <t>07/28/2026 01:02 PM</t>
        </is>
      </c>
      <c r="D510" s="23" t="inlineStr">
        <is>
          <t>Derrick laws</t>
        </is>
      </c>
      <c r="E510" s="23" t="inlineStr">
        <is>
          <t>Sales Rep</t>
        </is>
      </c>
      <c r="F510" s="23" t="inlineStr">
        <is>
          <t>Denise Montes</t>
        </is>
      </c>
      <c r="G510" s="23" t="inlineStr">
        <is>
          <t>23004</t>
        </is>
      </c>
      <c r="H510" s="23" t="inlineStr">
        <is>
          <t>SHOP RITE WINES/SPIRITS</t>
        </is>
      </c>
      <c r="I510" s="23" t="inlineStr">
        <is>
          <t>CLIFTON</t>
        </is>
      </c>
      <c r="J510" s="23" t="inlineStr">
        <is>
          <t>Constellation</t>
        </is>
      </c>
      <c r="K510" s="27" t="n">
        <v>0</v>
      </c>
      <c r="L510" s="23" t="inlineStr">
        <is>
          <t>Non-qualifying (&lt;10)</t>
        </is>
      </c>
      <c r="M510" s="24" t="n">
        <v>6</v>
      </c>
      <c r="N510" s="24" t="n">
        <v>6</v>
      </c>
      <c r="O510" s="23" t="inlineStr">
        <is>
          <t>Priority</t>
        </is>
      </c>
      <c r="P510" s="24" t="n">
        <v>0</v>
      </c>
      <c r="Q510" s="23" t="inlineStr">
        <is>
          <t>No</t>
        </is>
      </c>
      <c r="R510" s="23" t="inlineStr">
        <is>
          <t>CORONA</t>
        </is>
      </c>
      <c r="S510" s="23" t="inlineStr">
        <is>
          <t>CORONA</t>
        </is>
      </c>
      <c r="T510" s="23" t="inlineStr">
        <is>
          <t>CONSTELLATION BRANDS</t>
        </is>
      </c>
      <c r="U510" s="27" t="n">
        <v>1</v>
      </c>
      <c r="V510" s="23" t="inlineStr">
        <is>
          <t>No</t>
        </is>
      </c>
      <c r="W510" s="23" t="inlineStr">
        <is>
          <t>Constellation (6)</t>
        </is>
      </c>
      <c r="X510" s="23" t="inlineStr">
        <is>
          <t>—</t>
        </is>
      </c>
      <c r="Y510" s="28" t="inlineStr">
        <is>
          <t>View Photo</t>
        </is>
      </c>
    </row>
    <row r="511">
      <c r="A511" s="23" t="inlineStr">
        <is>
          <t>D0510</t>
        </is>
      </c>
      <c r="B511" s="23" t="inlineStr">
        <is>
          <t>07/28/2026</t>
        </is>
      </c>
      <c r="C511" s="23" t="inlineStr">
        <is>
          <t>07/28/2026 02:59 PM</t>
        </is>
      </c>
      <c r="D511" s="23" t="inlineStr">
        <is>
          <t>Dave Ehlers</t>
        </is>
      </c>
      <c r="E511" s="23" t="inlineStr">
        <is>
          <t>Sales Rep</t>
        </is>
      </c>
      <c r="F511" s="23" t="inlineStr">
        <is>
          <t>Michael Engel</t>
        </is>
      </c>
      <c r="G511" s="23" t="inlineStr">
        <is>
          <t>58001</t>
        </is>
      </c>
      <c r="H511" s="23" t="inlineStr">
        <is>
          <t>TOTAL WINE &amp; MORE (RIVER EDGE)</t>
        </is>
      </c>
      <c r="I511" s="23" t="inlineStr">
        <is>
          <t>RIVER EDGE</t>
        </is>
      </c>
      <c r="J511" s="23" t="inlineStr">
        <is>
          <t>Molson Coors</t>
        </is>
      </c>
      <c r="K511" s="27" t="n">
        <v>0</v>
      </c>
      <c r="L511" s="23" t="inlineStr">
        <is>
          <t>Non-qualifying (&lt;10)</t>
        </is>
      </c>
      <c r="M511" s="24" t="n">
        <v>6</v>
      </c>
      <c r="N511" s="24" t="n">
        <v>6</v>
      </c>
      <c r="O511" s="23" t="inlineStr">
        <is>
          <t>Priority</t>
        </is>
      </c>
      <c r="P511" s="24" t="n">
        <v>0</v>
      </c>
      <c r="Q511" s="23" t="inlineStr">
        <is>
          <t>No</t>
        </is>
      </c>
      <c r="R511" s="23" t="inlineStr">
        <is>
          <t>COORS</t>
        </is>
      </c>
      <c r="S511" s="23" t="inlineStr">
        <is>
          <t>COORS</t>
        </is>
      </c>
      <c r="T511" s="23" t="inlineStr">
        <is>
          <t>MOLSON COORS BEVERAGE COMPANY</t>
        </is>
      </c>
      <c r="U511" s="27" t="n">
        <v>1</v>
      </c>
      <c r="V511" s="23" t="inlineStr">
        <is>
          <t>No</t>
        </is>
      </c>
      <c r="W511" s="23" t="inlineStr">
        <is>
          <t>Molson Coors (6)</t>
        </is>
      </c>
      <c r="X511" s="23" t="inlineStr">
        <is>
          <t>—</t>
        </is>
      </c>
      <c r="Y511" s="28" t="inlineStr">
        <is>
          <t>View Photo</t>
        </is>
      </c>
    </row>
    <row r="512">
      <c r="A512" s="23" t="inlineStr">
        <is>
          <t>D0511</t>
        </is>
      </c>
      <c r="B512" s="23" t="inlineStr">
        <is>
          <t>08/10/2026</t>
        </is>
      </c>
      <c r="C512" s="23" t="inlineStr">
        <is>
          <t>08/10/2026 10:50 AM</t>
        </is>
      </c>
      <c r="D512" s="23" t="inlineStr">
        <is>
          <t>Jayson Romine</t>
        </is>
      </c>
      <c r="E512" s="23" t="inlineStr">
        <is>
          <t>Sales Rep</t>
        </is>
      </c>
      <c r="F512" s="23" t="inlineStr">
        <is>
          <t>Paul Deady</t>
        </is>
      </c>
      <c r="G512" s="23" t="inlineStr">
        <is>
          <t>231316</t>
        </is>
      </c>
      <c r="H512" s="23" t="inlineStr">
        <is>
          <t>PATRICKS WINE BARN</t>
        </is>
      </c>
      <c r="I512" s="23" t="inlineStr">
        <is>
          <t>SUSSEX</t>
        </is>
      </c>
      <c r="J512" s="23" t="inlineStr">
        <is>
          <t>Boston Beer</t>
        </is>
      </c>
      <c r="K512" s="27" t="n">
        <v>0</v>
      </c>
      <c r="L512" s="23" t="inlineStr">
        <is>
          <t>Non-qualifying (&lt;10)</t>
        </is>
      </c>
      <c r="M512" s="24" t="n">
        <v>6</v>
      </c>
      <c r="N512" s="24" t="n">
        <v>6</v>
      </c>
      <c r="O512" s="23" t="inlineStr">
        <is>
          <t>Priority</t>
        </is>
      </c>
      <c r="P512" s="24" t="n">
        <v>0</v>
      </c>
      <c r="Q512" s="23" t="inlineStr">
        <is>
          <t>No</t>
        </is>
      </c>
      <c r="R512" s="23" t="inlineStr">
        <is>
          <t>LYTT</t>
        </is>
      </c>
      <c r="S512" s="23" t="inlineStr">
        <is>
          <t>LYTT</t>
        </is>
      </c>
      <c r="T512" s="23" t="inlineStr">
        <is>
          <t>BOSTON BEER COMPANY</t>
        </is>
      </c>
      <c r="U512" s="27" t="n">
        <v>6</v>
      </c>
      <c r="V512" s="23" t="inlineStr">
        <is>
          <t>No</t>
        </is>
      </c>
      <c r="W512" s="23" t="inlineStr">
        <is>
          <t>Boston Beer (6)</t>
        </is>
      </c>
      <c r="X512" s="23" t="inlineStr">
        <is>
          <t>—</t>
        </is>
      </c>
      <c r="Y512" s="28" t="inlineStr">
        <is>
          <t>View Photo</t>
        </is>
      </c>
    </row>
    <row r="513">
      <c r="A513" s="23" t="inlineStr">
        <is>
          <t>D0512</t>
        </is>
      </c>
      <c r="B513" s="23" t="inlineStr">
        <is>
          <t>08/11/2026</t>
        </is>
      </c>
      <c r="C513" s="23" t="inlineStr">
        <is>
          <t>08/11/2026 01:00 PM</t>
        </is>
      </c>
      <c r="D513" s="23" t="inlineStr">
        <is>
          <t>James Heaney</t>
        </is>
      </c>
      <c r="E513" s="23" t="inlineStr">
        <is>
          <t>Sales Rep</t>
        </is>
      </c>
      <c r="F513" s="23" t="inlineStr">
        <is>
          <t>Denise Montes</t>
        </is>
      </c>
      <c r="G513" s="23" t="inlineStr">
        <is>
          <t>28012</t>
        </is>
      </c>
      <c r="H513" s="23" t="inlineStr">
        <is>
          <t>LUCKY 7 (A)</t>
        </is>
      </c>
      <c r="I513" s="23" t="inlineStr">
        <is>
          <t>NORTH ARLINGTON</t>
        </is>
      </c>
      <c r="J513" s="23" t="inlineStr">
        <is>
          <t>Boston Beer</t>
        </is>
      </c>
      <c r="K513" s="27" t="n">
        <v>0</v>
      </c>
      <c r="L513" s="23" t="inlineStr">
        <is>
          <t>Non-qualifying (&lt;10)</t>
        </is>
      </c>
      <c r="M513" s="24" t="n">
        <v>6</v>
      </c>
      <c r="N513" s="24" t="n">
        <v>6</v>
      </c>
      <c r="O513" s="23" t="inlineStr">
        <is>
          <t>Priority</t>
        </is>
      </c>
      <c r="P513" s="24" t="n">
        <v>0</v>
      </c>
      <c r="Q513" s="23" t="inlineStr">
        <is>
          <t>No</t>
        </is>
      </c>
      <c r="R513" s="23" t="inlineStr">
        <is>
          <t>LYTT</t>
        </is>
      </c>
      <c r="S513" s="23" t="inlineStr">
        <is>
          <t>LYTT</t>
        </is>
      </c>
      <c r="T513" s="23" t="inlineStr">
        <is>
          <t>BOSTON BEER COMPANY</t>
        </is>
      </c>
      <c r="U513" s="27" t="n">
        <v>6</v>
      </c>
      <c r="V513" s="23" t="inlineStr">
        <is>
          <t>No</t>
        </is>
      </c>
      <c r="W513" s="23" t="inlineStr">
        <is>
          <t>Boston Beer (6)</t>
        </is>
      </c>
      <c r="X513" s="23" t="inlineStr">
        <is>
          <t>—</t>
        </is>
      </c>
      <c r="Y513" s="28" t="inlineStr">
        <is>
          <t>View Photo</t>
        </is>
      </c>
    </row>
    <row r="514">
      <c r="A514" s="23" t="inlineStr">
        <is>
          <t>D0513</t>
        </is>
      </c>
      <c r="B514" s="23" t="inlineStr">
        <is>
          <t>08/11/2026</t>
        </is>
      </c>
      <c r="C514" s="23" t="inlineStr">
        <is>
          <t>08/11/2026 09:08 AM</t>
        </is>
      </c>
      <c r="D514" s="23" t="inlineStr">
        <is>
          <t>James Heaney</t>
        </is>
      </c>
      <c r="E514" s="23" t="inlineStr">
        <is>
          <t>Sales Rep</t>
        </is>
      </c>
      <c r="F514" s="23" t="inlineStr">
        <is>
          <t>Denise Montes</t>
        </is>
      </c>
      <c r="G514" s="23" t="inlineStr">
        <is>
          <t>29009</t>
        </is>
      </c>
      <c r="H514" s="23" t="inlineStr">
        <is>
          <t>QUICK BUY</t>
        </is>
      </c>
      <c r="I514" s="23" t="inlineStr">
        <is>
          <t>LYNDHURST</t>
        </is>
      </c>
      <c r="J514" s="23" t="inlineStr">
        <is>
          <t>Boston Beer</t>
        </is>
      </c>
      <c r="K514" s="27" t="n">
        <v>0</v>
      </c>
      <c r="L514" s="23" t="inlineStr">
        <is>
          <t>Non-qualifying (&lt;10)</t>
        </is>
      </c>
      <c r="M514" s="24" t="n">
        <v>6</v>
      </c>
      <c r="N514" s="24" t="n">
        <v>6</v>
      </c>
      <c r="O514" s="23" t="inlineStr">
        <is>
          <t>Priority</t>
        </is>
      </c>
      <c r="P514" s="24" t="n">
        <v>0</v>
      </c>
      <c r="Q514" s="23" t="inlineStr">
        <is>
          <t>No</t>
        </is>
      </c>
      <c r="R514" s="23" t="inlineStr">
        <is>
          <t>LYTT</t>
        </is>
      </c>
      <c r="S514" s="23" t="inlineStr">
        <is>
          <t>LYTT</t>
        </is>
      </c>
      <c r="T514" s="23" t="inlineStr">
        <is>
          <t>BOSTON BEER COMPANY</t>
        </is>
      </c>
      <c r="U514" s="27" t="n">
        <v>6</v>
      </c>
      <c r="V514" s="23" t="inlineStr">
        <is>
          <t>No</t>
        </is>
      </c>
      <c r="W514" s="23" t="inlineStr">
        <is>
          <t>Boston Beer (6)</t>
        </is>
      </c>
      <c r="X514" s="23" t="inlineStr">
        <is>
          <t>—</t>
        </is>
      </c>
      <c r="Y514" s="28" t="inlineStr">
        <is>
          <t>View Photo</t>
        </is>
      </c>
    </row>
    <row r="515">
      <c r="A515" s="23" t="inlineStr">
        <is>
          <t>D0514</t>
        </is>
      </c>
      <c r="B515" s="23" t="inlineStr">
        <is>
          <t>08/11/2026</t>
        </is>
      </c>
      <c r="C515" s="23" t="inlineStr">
        <is>
          <t>08/11/2026 09:59 AM</t>
        </is>
      </c>
      <c r="D515" s="23" t="inlineStr">
        <is>
          <t>Jayson Romine</t>
        </is>
      </c>
      <c r="E515" s="23" t="inlineStr">
        <is>
          <t>Sales Rep</t>
        </is>
      </c>
      <c r="F515" s="23" t="inlineStr">
        <is>
          <t>Paul Deady</t>
        </is>
      </c>
      <c r="G515" s="23" t="inlineStr">
        <is>
          <t>231215</t>
        </is>
      </c>
      <c r="H515" s="23" t="inlineStr">
        <is>
          <t>MAC &amp; LINDY'S W &amp; S (A)</t>
        </is>
      </c>
      <c r="I515" s="23" t="inlineStr">
        <is>
          <t>VERNON</t>
        </is>
      </c>
      <c r="J515" s="23" t="inlineStr">
        <is>
          <t>Boston Beer</t>
        </is>
      </c>
      <c r="K515" s="27" t="n">
        <v>0</v>
      </c>
      <c r="L515" s="23" t="inlineStr">
        <is>
          <t>Non-qualifying (&lt;10)</t>
        </is>
      </c>
      <c r="M515" s="24" t="n">
        <v>6</v>
      </c>
      <c r="N515" s="24" t="n">
        <v>6</v>
      </c>
      <c r="O515" s="23" t="inlineStr">
        <is>
          <t>Priority</t>
        </is>
      </c>
      <c r="P515" s="24" t="n">
        <v>0</v>
      </c>
      <c r="Q515" s="23" t="inlineStr">
        <is>
          <t>No</t>
        </is>
      </c>
      <c r="R515" s="23" t="inlineStr">
        <is>
          <t>LYTT</t>
        </is>
      </c>
      <c r="S515" s="23" t="inlineStr">
        <is>
          <t>LYTT</t>
        </is>
      </c>
      <c r="T515" s="23" t="inlineStr">
        <is>
          <t>BOSTON BEER COMPANY</t>
        </is>
      </c>
      <c r="U515" s="27" t="n">
        <v>6</v>
      </c>
      <c r="V515" s="23" t="inlineStr">
        <is>
          <t>No</t>
        </is>
      </c>
      <c r="W515" s="23" t="inlineStr">
        <is>
          <t>Boston Beer (6)</t>
        </is>
      </c>
      <c r="X515" s="23" t="inlineStr">
        <is>
          <t>—</t>
        </is>
      </c>
      <c r="Y515" s="28" t="inlineStr">
        <is>
          <t>View Photo</t>
        </is>
      </c>
    </row>
    <row r="516">
      <c r="A516" s="23" t="inlineStr">
        <is>
          <t>D0515</t>
        </is>
      </c>
      <c r="B516" s="23" t="inlineStr">
        <is>
          <t>08/13/2026</t>
        </is>
      </c>
      <c r="C516" s="23" t="inlineStr">
        <is>
          <t>08/13/2026 01:02 PM</t>
        </is>
      </c>
      <c r="D516" s="23" t="inlineStr">
        <is>
          <t>Chris Payton</t>
        </is>
      </c>
      <c r="E516" s="23" t="inlineStr">
        <is>
          <t>Sales Rep</t>
        </is>
      </c>
      <c r="F516" s="23" t="inlineStr">
        <is>
          <t>Michael Engel</t>
        </is>
      </c>
      <c r="G516" s="23" t="inlineStr">
        <is>
          <t>76010</t>
        </is>
      </c>
      <c r="H516" s="23" t="inlineStr">
        <is>
          <t>USA WINE TRADERS CLUB (SADDLE BROOK)</t>
        </is>
      </c>
      <c r="I516" s="23" t="inlineStr">
        <is>
          <t>SADDLE BROOK</t>
        </is>
      </c>
      <c r="J516" s="23" t="inlineStr">
        <is>
          <t>Boston Beer</t>
        </is>
      </c>
      <c r="K516" s="27" t="n">
        <v>0</v>
      </c>
      <c r="L516" s="23" t="inlineStr">
        <is>
          <t>Non-qualifying (&lt;10)</t>
        </is>
      </c>
      <c r="M516" s="24" t="n">
        <v>6</v>
      </c>
      <c r="N516" s="24" t="n">
        <v>6</v>
      </c>
      <c r="O516" s="23" t="inlineStr">
        <is>
          <t>Priority</t>
        </is>
      </c>
      <c r="P516" s="24" t="n">
        <v>0</v>
      </c>
      <c r="Q516" s="23" t="inlineStr">
        <is>
          <t>No</t>
        </is>
      </c>
      <c r="R516" s="23" t="inlineStr">
        <is>
          <t>LYTT</t>
        </is>
      </c>
      <c r="S516" s="23" t="inlineStr">
        <is>
          <t>LYTT</t>
        </is>
      </c>
      <c r="T516" s="23" t="inlineStr">
        <is>
          <t>BOSTON BEER COMPANY</t>
        </is>
      </c>
      <c r="U516" s="27" t="n">
        <v>6</v>
      </c>
      <c r="V516" s="23" t="inlineStr">
        <is>
          <t>No</t>
        </is>
      </c>
      <c r="W516" s="23" t="inlineStr">
        <is>
          <t>Boston Beer (6)</t>
        </is>
      </c>
      <c r="X516" s="23" t="inlineStr">
        <is>
          <t>—</t>
        </is>
      </c>
      <c r="Y516" s="28" t="inlineStr">
        <is>
          <t>View Photo</t>
        </is>
      </c>
    </row>
    <row r="517">
      <c r="A517" s="23" t="inlineStr">
        <is>
          <t>D0516</t>
        </is>
      </c>
      <c r="B517" s="23" t="inlineStr">
        <is>
          <t>08/13/2026</t>
        </is>
      </c>
      <c r="C517" s="23" t="inlineStr">
        <is>
          <t>08/13/2026 01:38 PM</t>
        </is>
      </c>
      <c r="D517" s="23" t="inlineStr">
        <is>
          <t>Vaughn Gallagher</t>
        </is>
      </c>
      <c r="E517" s="23" t="inlineStr">
        <is>
          <t>Sales Associate</t>
        </is>
      </c>
      <c r="F517" s="23" t="inlineStr">
        <is>
          <t>Christopher McCrohan</t>
        </is>
      </c>
      <c r="G517" s="23" t="inlineStr">
        <is>
          <t>3001</t>
        </is>
      </c>
      <c r="H517" s="23" t="inlineStr">
        <is>
          <t>BEST CELLARS (WANAQUE)</t>
        </is>
      </c>
      <c r="I517" s="23" t="inlineStr">
        <is>
          <t>WANAQUE</t>
        </is>
      </c>
      <c r="J517" s="23" t="inlineStr">
        <is>
          <t>Boston Beer</t>
        </is>
      </c>
      <c r="K517" s="27" t="n">
        <v>0</v>
      </c>
      <c r="L517" s="23" t="inlineStr">
        <is>
          <t>Non-qualifying (&lt;10)</t>
        </is>
      </c>
      <c r="M517" s="24" t="n">
        <v>6</v>
      </c>
      <c r="N517" s="24" t="n">
        <v>6</v>
      </c>
      <c r="O517" s="23" t="inlineStr">
        <is>
          <t>Priority</t>
        </is>
      </c>
      <c r="P517" s="24" t="n">
        <v>0</v>
      </c>
      <c r="Q517" s="23" t="inlineStr">
        <is>
          <t>No</t>
        </is>
      </c>
      <c r="R517" s="23" t="inlineStr">
        <is>
          <t>LYTT</t>
        </is>
      </c>
      <c r="S517" s="23" t="inlineStr">
        <is>
          <t>LYTT</t>
        </is>
      </c>
      <c r="T517" s="23" t="inlineStr">
        <is>
          <t>BOSTON BEER COMPANY</t>
        </is>
      </c>
      <c r="U517" s="27" t="n">
        <v>6</v>
      </c>
      <c r="V517" s="23" t="inlineStr">
        <is>
          <t>No</t>
        </is>
      </c>
      <c r="W517" s="23" t="inlineStr">
        <is>
          <t>Boston Beer (6)</t>
        </is>
      </c>
      <c r="X517" s="23" t="inlineStr">
        <is>
          <t>—</t>
        </is>
      </c>
      <c r="Y517" s="28" t="inlineStr">
        <is>
          <t>View Photo</t>
        </is>
      </c>
    </row>
    <row r="518">
      <c r="A518" s="23" t="inlineStr">
        <is>
          <t>D0517</t>
        </is>
      </c>
      <c r="B518" s="23" t="inlineStr">
        <is>
          <t>08/13/2026</t>
        </is>
      </c>
      <c r="C518" s="23" t="inlineStr">
        <is>
          <t>08/13/2026 10:51 AM</t>
        </is>
      </c>
      <c r="D518" s="23" t="inlineStr">
        <is>
          <t>Matthew Powierski</t>
        </is>
      </c>
      <c r="E518" s="23" t="inlineStr">
        <is>
          <t>Sales Rep</t>
        </is>
      </c>
      <c r="F518" s="23" t="inlineStr">
        <is>
          <t>Denise Montes</t>
        </is>
      </c>
      <c r="G518" s="23" t="inlineStr">
        <is>
          <t>32017</t>
        </is>
      </c>
      <c r="H518" s="23" t="inlineStr">
        <is>
          <t>WINE GRAND (CARLSTADT)</t>
        </is>
      </c>
      <c r="I518" s="23" t="inlineStr">
        <is>
          <t>CARLSTADT</t>
        </is>
      </c>
      <c r="J518" s="23" t="inlineStr">
        <is>
          <t>Boston Beer</t>
        </is>
      </c>
      <c r="K518" s="27" t="n">
        <v>0</v>
      </c>
      <c r="L518" s="23" t="inlineStr">
        <is>
          <t>Non-qualifying (&lt;10)</t>
        </is>
      </c>
      <c r="M518" s="24" t="n">
        <v>6</v>
      </c>
      <c r="N518" s="24" t="n">
        <v>6</v>
      </c>
      <c r="O518" s="23" t="inlineStr">
        <is>
          <t>Priority</t>
        </is>
      </c>
      <c r="P518" s="24" t="n">
        <v>0</v>
      </c>
      <c r="Q518" s="23" t="inlineStr">
        <is>
          <t>No</t>
        </is>
      </c>
      <c r="R518" s="23" t="inlineStr">
        <is>
          <t>LYTT</t>
        </is>
      </c>
      <c r="S518" s="23" t="inlineStr">
        <is>
          <t>LYTT</t>
        </is>
      </c>
      <c r="T518" s="23" t="inlineStr">
        <is>
          <t>BOSTON BEER COMPANY</t>
        </is>
      </c>
      <c r="U518" s="27" t="n">
        <v>6</v>
      </c>
      <c r="V518" s="23" t="inlineStr">
        <is>
          <t>No</t>
        </is>
      </c>
      <c r="W518" s="23" t="inlineStr">
        <is>
          <t>Boston Beer (6)</t>
        </is>
      </c>
      <c r="X518" s="23" t="inlineStr">
        <is>
          <t>—</t>
        </is>
      </c>
      <c r="Y518" s="28" t="inlineStr">
        <is>
          <t>View Photo</t>
        </is>
      </c>
    </row>
    <row r="519">
      <c r="A519" s="23" t="inlineStr">
        <is>
          <t>D0518</t>
        </is>
      </c>
      <c r="B519" s="23" t="inlineStr">
        <is>
          <t>08/13/2026</t>
        </is>
      </c>
      <c r="C519" s="23" t="inlineStr">
        <is>
          <t>08/13/2026 11:05 AM</t>
        </is>
      </c>
      <c r="D519" s="23" t="inlineStr">
        <is>
          <t>Daniel La Gala</t>
        </is>
      </c>
      <c r="E519" s="23" t="inlineStr">
        <is>
          <t>Sales Rep</t>
        </is>
      </c>
      <c r="F519" s="23" t="inlineStr">
        <is>
          <t>Michael Engel</t>
        </is>
      </c>
      <c r="G519" s="23" t="inlineStr">
        <is>
          <t>49027</t>
        </is>
      </c>
      <c r="H519" s="23" t="inlineStr">
        <is>
          <t>LINWOOD WINE-LINWOOD PLAZA</t>
        </is>
      </c>
      <c r="I519" s="23" t="inlineStr">
        <is>
          <t>FORT LEE</t>
        </is>
      </c>
      <c r="J519" s="23" t="inlineStr">
        <is>
          <t>Boston Beer</t>
        </is>
      </c>
      <c r="K519" s="27" t="n">
        <v>0</v>
      </c>
      <c r="L519" s="23" t="inlineStr">
        <is>
          <t>Non-qualifying (&lt;10)</t>
        </is>
      </c>
      <c r="M519" s="24" t="n">
        <v>6</v>
      </c>
      <c r="N519" s="24" t="n">
        <v>6</v>
      </c>
      <c r="O519" s="23" t="inlineStr">
        <is>
          <t>Priority</t>
        </is>
      </c>
      <c r="P519" s="24" t="n">
        <v>0</v>
      </c>
      <c r="Q519" s="23" t="inlineStr">
        <is>
          <t>No</t>
        </is>
      </c>
      <c r="R519" s="23" t="inlineStr">
        <is>
          <t>LYTT</t>
        </is>
      </c>
      <c r="S519" s="23" t="inlineStr">
        <is>
          <t>LYTT</t>
        </is>
      </c>
      <c r="T519" s="23" t="inlineStr">
        <is>
          <t>BOSTON BEER COMPANY</t>
        </is>
      </c>
      <c r="U519" s="27" t="n">
        <v>6</v>
      </c>
      <c r="V519" s="23" t="inlineStr">
        <is>
          <t>No</t>
        </is>
      </c>
      <c r="W519" s="23" t="inlineStr">
        <is>
          <t>Boston Beer (6)</t>
        </is>
      </c>
      <c r="X519" s="23" t="inlineStr">
        <is>
          <t>—</t>
        </is>
      </c>
      <c r="Y519" s="28" t="inlineStr">
        <is>
          <t>View Photo</t>
        </is>
      </c>
    </row>
    <row r="520">
      <c r="A520" s="23" t="inlineStr">
        <is>
          <t>D0519</t>
        </is>
      </c>
      <c r="B520" s="23" t="inlineStr">
        <is>
          <t>08/17/2026</t>
        </is>
      </c>
      <c r="C520" s="23" t="inlineStr">
        <is>
          <t>08/17/2026 10:00 AM</t>
        </is>
      </c>
      <c r="D520" s="23" t="inlineStr">
        <is>
          <t>James Heaney</t>
        </is>
      </c>
      <c r="E520" s="23" t="inlineStr">
        <is>
          <t>Sales Rep</t>
        </is>
      </c>
      <c r="F520" s="23" t="inlineStr">
        <is>
          <t>Denise Montes</t>
        </is>
      </c>
      <c r="G520" s="23" t="inlineStr">
        <is>
          <t>24017</t>
        </is>
      </c>
      <c r="H520" s="23" t="inlineStr">
        <is>
          <t>RAINBOW LIQUOR (P)</t>
        </is>
      </c>
      <c r="I520" s="23" t="inlineStr">
        <is>
          <t>CLIFTON</t>
        </is>
      </c>
      <c r="J520" s="23" t="inlineStr">
        <is>
          <t>Boston Beer</t>
        </is>
      </c>
      <c r="K520" s="27" t="n">
        <v>0</v>
      </c>
      <c r="L520" s="23" t="inlineStr">
        <is>
          <t>Non-qualifying (&lt;10)</t>
        </is>
      </c>
      <c r="M520" s="24" t="n">
        <v>6</v>
      </c>
      <c r="N520" s="24" t="n">
        <v>6</v>
      </c>
      <c r="O520" s="23" t="inlineStr">
        <is>
          <t>Priority</t>
        </is>
      </c>
      <c r="P520" s="24" t="n">
        <v>0</v>
      </c>
      <c r="Q520" s="23" t="inlineStr">
        <is>
          <t>No</t>
        </is>
      </c>
      <c r="R520" s="23" t="inlineStr">
        <is>
          <t>LYTT</t>
        </is>
      </c>
      <c r="S520" s="23" t="inlineStr">
        <is>
          <t>LYTT</t>
        </is>
      </c>
      <c r="T520" s="23" t="inlineStr">
        <is>
          <t>BOSTON BEER COMPANY</t>
        </is>
      </c>
      <c r="U520" s="27" t="n">
        <v>6</v>
      </c>
      <c r="V520" s="23" t="inlineStr">
        <is>
          <t>No</t>
        </is>
      </c>
      <c r="W520" s="23" t="inlineStr">
        <is>
          <t>Boston Beer (6)</t>
        </is>
      </c>
      <c r="X520" s="23" t="inlineStr">
        <is>
          <t>—</t>
        </is>
      </c>
      <c r="Y520" s="28" t="inlineStr">
        <is>
          <t>View Photo</t>
        </is>
      </c>
    </row>
    <row r="521">
      <c r="A521" s="23" t="inlineStr">
        <is>
          <t>D0520</t>
        </is>
      </c>
      <c r="B521" s="23" t="inlineStr">
        <is>
          <t>08/18/2026</t>
        </is>
      </c>
      <c r="C521" s="23" t="inlineStr">
        <is>
          <t>08/18/2026 11:04 AM</t>
        </is>
      </c>
      <c r="D521" s="23" t="inlineStr">
        <is>
          <t>James Heaney</t>
        </is>
      </c>
      <c r="E521" s="23" t="inlineStr">
        <is>
          <t>Sales Rep</t>
        </is>
      </c>
      <c r="F521" s="23" t="inlineStr">
        <is>
          <t>Denise Montes</t>
        </is>
      </c>
      <c r="G521" s="23" t="inlineStr">
        <is>
          <t>29011</t>
        </is>
      </c>
      <c r="H521" s="23" t="inlineStr">
        <is>
          <t>WORLD OF WINE &amp; LIQUOR</t>
        </is>
      </c>
      <c r="I521" s="23" t="inlineStr">
        <is>
          <t>LYNDHURST</t>
        </is>
      </c>
      <c r="J521" s="23" t="inlineStr">
        <is>
          <t>Boston Beer</t>
        </is>
      </c>
      <c r="K521" s="27" t="n">
        <v>0</v>
      </c>
      <c r="L521" s="23" t="inlineStr">
        <is>
          <t>Non-qualifying (&lt;10)</t>
        </is>
      </c>
      <c r="M521" s="24" t="n">
        <v>6</v>
      </c>
      <c r="N521" s="24" t="n">
        <v>6</v>
      </c>
      <c r="O521" s="23" t="inlineStr">
        <is>
          <t>Priority</t>
        </is>
      </c>
      <c r="P521" s="24" t="n">
        <v>0</v>
      </c>
      <c r="Q521" s="23" t="inlineStr">
        <is>
          <t>No</t>
        </is>
      </c>
      <c r="R521" s="23" t="inlineStr">
        <is>
          <t>LYTT</t>
        </is>
      </c>
      <c r="S521" s="23" t="inlineStr">
        <is>
          <t>LYTT</t>
        </is>
      </c>
      <c r="T521" s="23" t="inlineStr">
        <is>
          <t>BOSTON BEER COMPANY</t>
        </is>
      </c>
      <c r="U521" s="27" t="n">
        <v>6</v>
      </c>
      <c r="V521" s="23" t="inlineStr">
        <is>
          <t>No</t>
        </is>
      </c>
      <c r="W521" s="23" t="inlineStr">
        <is>
          <t>Boston Beer (6)</t>
        </is>
      </c>
      <c r="X521" s="23" t="inlineStr">
        <is>
          <t>—</t>
        </is>
      </c>
      <c r="Y521" s="28" t="inlineStr">
        <is>
          <t>View Photo</t>
        </is>
      </c>
    </row>
    <row r="522">
      <c r="A522" s="23" t="inlineStr">
        <is>
          <t>D0521</t>
        </is>
      </c>
      <c r="B522" s="23" t="inlineStr">
        <is>
          <t>08/20/2026</t>
        </is>
      </c>
      <c r="C522" s="23" t="inlineStr">
        <is>
          <t>08/20/2026 01:19 PM</t>
        </is>
      </c>
      <c r="D522" s="23" t="inlineStr">
        <is>
          <t>Matthew Powierski</t>
        </is>
      </c>
      <c r="E522" s="23" t="inlineStr">
        <is>
          <t>Sales Rep</t>
        </is>
      </c>
      <c r="F522" s="23" t="inlineStr">
        <is>
          <t>Denise Montes</t>
        </is>
      </c>
      <c r="G522" s="23" t="inlineStr">
        <is>
          <t>36016</t>
        </is>
      </c>
      <c r="H522" s="23" t="inlineStr">
        <is>
          <t>KING LIQUORS</t>
        </is>
      </c>
      <c r="I522" s="23" t="inlineStr">
        <is>
          <t>WALLINGTON</t>
        </is>
      </c>
      <c r="J522" s="23" t="inlineStr">
        <is>
          <t>Boston Beer</t>
        </is>
      </c>
      <c r="K522" s="27" t="n">
        <v>0</v>
      </c>
      <c r="L522" s="23" t="inlineStr">
        <is>
          <t>Non-qualifying (&lt;10)</t>
        </is>
      </c>
      <c r="M522" s="24" t="n">
        <v>6</v>
      </c>
      <c r="N522" s="24" t="n">
        <v>6</v>
      </c>
      <c r="O522" s="23" t="inlineStr">
        <is>
          <t>Priority</t>
        </is>
      </c>
      <c r="P522" s="24" t="n">
        <v>0</v>
      </c>
      <c r="Q522" s="23" t="inlineStr">
        <is>
          <t>No</t>
        </is>
      </c>
      <c r="R522" s="23" t="inlineStr">
        <is>
          <t>LYTT</t>
        </is>
      </c>
      <c r="S522" s="23" t="inlineStr">
        <is>
          <t>LYTT</t>
        </is>
      </c>
      <c r="T522" s="23" t="inlineStr">
        <is>
          <t>BOSTON BEER COMPANY</t>
        </is>
      </c>
      <c r="U522" s="27" t="n">
        <v>6</v>
      </c>
      <c r="V522" s="23" t="inlineStr">
        <is>
          <t>No</t>
        </is>
      </c>
      <c r="W522" s="23" t="inlineStr">
        <is>
          <t>Boston Beer (6)</t>
        </is>
      </c>
      <c r="X522" s="23" t="inlineStr">
        <is>
          <t>—</t>
        </is>
      </c>
      <c r="Y522" s="28" t="inlineStr">
        <is>
          <t>View Photo</t>
        </is>
      </c>
    </row>
    <row r="523">
      <c r="A523" s="23" t="inlineStr">
        <is>
          <t>D0522</t>
        </is>
      </c>
      <c r="B523" s="23" t="inlineStr">
        <is>
          <t>08/20/2026</t>
        </is>
      </c>
      <c r="C523" s="23" t="inlineStr">
        <is>
          <t>08/20/2026 12:51 PM</t>
        </is>
      </c>
      <c r="D523" s="23" t="inlineStr">
        <is>
          <t>Matthew Powierski</t>
        </is>
      </c>
      <c r="E523" s="23" t="inlineStr">
        <is>
          <t>Sales Rep</t>
        </is>
      </c>
      <c r="F523" s="23" t="inlineStr">
        <is>
          <t>Denise Montes</t>
        </is>
      </c>
      <c r="G523" s="23" t="inlineStr">
        <is>
          <t>37068</t>
        </is>
      </c>
      <c r="H523" s="23" t="inlineStr">
        <is>
          <t>WHOOPEE LIQ (A)</t>
        </is>
      </c>
      <c r="I523" s="23" t="inlineStr">
        <is>
          <t>GARFIELD</t>
        </is>
      </c>
      <c r="J523" s="23" t="inlineStr">
        <is>
          <t>Boston Beer</t>
        </is>
      </c>
      <c r="K523" s="27" t="n">
        <v>0</v>
      </c>
      <c r="L523" s="23" t="inlineStr">
        <is>
          <t>Non-qualifying (&lt;10)</t>
        </is>
      </c>
      <c r="M523" s="24" t="n">
        <v>6</v>
      </c>
      <c r="N523" s="24" t="n">
        <v>6</v>
      </c>
      <c r="O523" s="23" t="inlineStr">
        <is>
          <t>Priority</t>
        </is>
      </c>
      <c r="P523" s="24" t="n">
        <v>0</v>
      </c>
      <c r="Q523" s="23" t="inlineStr">
        <is>
          <t>No</t>
        </is>
      </c>
      <c r="R523" s="23" t="inlineStr">
        <is>
          <t>LYTT</t>
        </is>
      </c>
      <c r="S523" s="23" t="inlineStr">
        <is>
          <t>LYTT</t>
        </is>
      </c>
      <c r="T523" s="23" t="inlineStr">
        <is>
          <t>BOSTON BEER COMPANY</t>
        </is>
      </c>
      <c r="U523" s="27" t="n">
        <v>6</v>
      </c>
      <c r="V523" s="23" t="inlineStr">
        <is>
          <t>No</t>
        </is>
      </c>
      <c r="W523" s="23" t="inlineStr">
        <is>
          <t>Boston Beer (6)</t>
        </is>
      </c>
      <c r="X523" s="23" t="inlineStr">
        <is>
          <t>—</t>
        </is>
      </c>
      <c r="Y523" s="28" t="inlineStr">
        <is>
          <t>View Photo</t>
        </is>
      </c>
    </row>
    <row r="524">
      <c r="A524" s="23" t="inlineStr">
        <is>
          <t>D0523</t>
        </is>
      </c>
      <c r="B524" s="23" t="inlineStr">
        <is>
          <t>08/21/2026</t>
        </is>
      </c>
      <c r="C524" s="23" t="inlineStr">
        <is>
          <t>08/21/2026 11:20 AM</t>
        </is>
      </c>
      <c r="D524" s="23" t="inlineStr">
        <is>
          <t>Matthew Powierski</t>
        </is>
      </c>
      <c r="E524" s="23" t="inlineStr">
        <is>
          <t>Sales Rep</t>
        </is>
      </c>
      <c r="F524" s="23" t="inlineStr">
        <is>
          <t>Denise Montes</t>
        </is>
      </c>
      <c r="G524" s="23" t="inlineStr">
        <is>
          <t>36007</t>
        </is>
      </c>
      <c r="H524" s="23" t="inlineStr">
        <is>
          <t>SHOP RITE OF WALLINGTON</t>
        </is>
      </c>
      <c r="I524" s="23" t="inlineStr">
        <is>
          <t>WALLINGTON</t>
        </is>
      </c>
      <c r="J524" s="23" t="inlineStr">
        <is>
          <t>Boston Beer</t>
        </is>
      </c>
      <c r="K524" s="27" t="n">
        <v>0</v>
      </c>
      <c r="L524" s="23" t="inlineStr">
        <is>
          <t>Non-qualifying (&lt;10)</t>
        </is>
      </c>
      <c r="M524" s="24" t="n">
        <v>6</v>
      </c>
      <c r="N524" s="24" t="n">
        <v>6</v>
      </c>
      <c r="O524" s="23" t="inlineStr">
        <is>
          <t>Priority</t>
        </is>
      </c>
      <c r="P524" s="24" t="n">
        <v>0</v>
      </c>
      <c r="Q524" s="23" t="inlineStr">
        <is>
          <t>No</t>
        </is>
      </c>
      <c r="R524" s="23" t="inlineStr">
        <is>
          <t>LYTT</t>
        </is>
      </c>
      <c r="S524" s="23" t="inlineStr">
        <is>
          <t>LYTT</t>
        </is>
      </c>
      <c r="T524" s="23" t="inlineStr">
        <is>
          <t>BOSTON BEER COMPANY</t>
        </is>
      </c>
      <c r="U524" s="27" t="n">
        <v>6</v>
      </c>
      <c r="V524" s="23" t="inlineStr">
        <is>
          <t>No</t>
        </is>
      </c>
      <c r="W524" s="23" t="inlineStr">
        <is>
          <t>Boston Beer (6)</t>
        </is>
      </c>
      <c r="X524" s="23" t="inlineStr">
        <is>
          <t>—</t>
        </is>
      </c>
      <c r="Y524" s="28" t="inlineStr">
        <is>
          <t>View Photo</t>
        </is>
      </c>
    </row>
    <row r="525">
      <c r="A525" s="23" t="inlineStr">
        <is>
          <t>D0524</t>
        </is>
      </c>
      <c r="B525" s="23" t="inlineStr">
        <is>
          <t>08/21/2026</t>
        </is>
      </c>
      <c r="C525" s="23" t="inlineStr">
        <is>
          <t>08/21/2026 12:03 PM</t>
        </is>
      </c>
      <c r="D525" s="23" t="inlineStr">
        <is>
          <t>Matthew Powierski</t>
        </is>
      </c>
      <c r="E525" s="23" t="inlineStr">
        <is>
          <t>Sales Rep</t>
        </is>
      </c>
      <c r="F525" s="23" t="inlineStr">
        <is>
          <t>Denise Montes</t>
        </is>
      </c>
      <c r="G525" s="23" t="inlineStr">
        <is>
          <t>31004</t>
        </is>
      </c>
      <c r="H525" s="23" t="inlineStr">
        <is>
          <t>METRO LIQUORS (EAST RUTHERFORD)</t>
        </is>
      </c>
      <c r="I525" s="23" t="inlineStr">
        <is>
          <t>EAST RUTHERFORD</t>
        </is>
      </c>
      <c r="J525" s="23" t="inlineStr">
        <is>
          <t>Boston Beer</t>
        </is>
      </c>
      <c r="K525" s="27" t="n">
        <v>0</v>
      </c>
      <c r="L525" s="23" t="inlineStr">
        <is>
          <t>Non-qualifying (&lt;10)</t>
        </is>
      </c>
      <c r="M525" s="24" t="n">
        <v>6</v>
      </c>
      <c r="N525" s="24" t="n">
        <v>6</v>
      </c>
      <c r="O525" s="23" t="inlineStr">
        <is>
          <t>Priority</t>
        </is>
      </c>
      <c r="P525" s="24" t="n">
        <v>0</v>
      </c>
      <c r="Q525" s="23" t="inlineStr">
        <is>
          <t>No</t>
        </is>
      </c>
      <c r="R525" s="23" t="inlineStr">
        <is>
          <t>LYTT</t>
        </is>
      </c>
      <c r="S525" s="23" t="inlineStr">
        <is>
          <t>LYTT</t>
        </is>
      </c>
      <c r="T525" s="23" t="inlineStr">
        <is>
          <t>BOSTON BEER COMPANY</t>
        </is>
      </c>
      <c r="U525" s="27" t="n">
        <v>6</v>
      </c>
      <c r="V525" s="23" t="inlineStr">
        <is>
          <t>No</t>
        </is>
      </c>
      <c r="W525" s="23" t="inlineStr">
        <is>
          <t>Boston Beer (6)</t>
        </is>
      </c>
      <c r="X525" s="23" t="inlineStr">
        <is>
          <t>—</t>
        </is>
      </c>
      <c r="Y525" s="28" t="inlineStr">
        <is>
          <t>View Photo</t>
        </is>
      </c>
    </row>
    <row r="526">
      <c r="A526" s="23" t="inlineStr">
        <is>
          <t>D0525</t>
        </is>
      </c>
      <c r="B526" s="23" t="inlineStr">
        <is>
          <t>08/21/2026</t>
        </is>
      </c>
      <c r="C526" s="23" t="inlineStr">
        <is>
          <t>08/21/2026 12:25 PM</t>
        </is>
      </c>
      <c r="D526" s="23" t="inlineStr">
        <is>
          <t>Matthew Powierski</t>
        </is>
      </c>
      <c r="E526" s="23" t="inlineStr">
        <is>
          <t>Sales Rep</t>
        </is>
      </c>
      <c r="F526" s="23" t="inlineStr">
        <is>
          <t>Denise Montes</t>
        </is>
      </c>
      <c r="G526" s="23" t="inlineStr">
        <is>
          <t>31033</t>
        </is>
      </c>
      <c r="H526" s="23" t="inlineStr">
        <is>
          <t>CAPRI DELI&amp;LIQ (P)</t>
        </is>
      </c>
      <c r="I526" s="23" t="inlineStr">
        <is>
          <t>EAST RUTHERFORD</t>
        </is>
      </c>
      <c r="J526" s="23" t="inlineStr">
        <is>
          <t>Boston Beer</t>
        </is>
      </c>
      <c r="K526" s="27" t="n">
        <v>0</v>
      </c>
      <c r="L526" s="23" t="inlineStr">
        <is>
          <t>Non-qualifying (&lt;10)</t>
        </is>
      </c>
      <c r="M526" s="24" t="n">
        <v>6</v>
      </c>
      <c r="N526" s="24" t="n">
        <v>6</v>
      </c>
      <c r="O526" s="23" t="inlineStr">
        <is>
          <t>Priority</t>
        </is>
      </c>
      <c r="P526" s="24" t="n">
        <v>0</v>
      </c>
      <c r="Q526" s="23" t="inlineStr">
        <is>
          <t>No</t>
        </is>
      </c>
      <c r="R526" s="23" t="inlineStr">
        <is>
          <t>LYTT</t>
        </is>
      </c>
      <c r="S526" s="23" t="inlineStr">
        <is>
          <t>LYTT</t>
        </is>
      </c>
      <c r="T526" s="23" t="inlineStr">
        <is>
          <t>BOSTON BEER COMPANY</t>
        </is>
      </c>
      <c r="U526" s="27" t="n">
        <v>6</v>
      </c>
      <c r="V526" s="23" t="inlineStr">
        <is>
          <t>No</t>
        </is>
      </c>
      <c r="W526" s="23" t="inlineStr">
        <is>
          <t>Boston Beer (6)</t>
        </is>
      </c>
      <c r="X526" s="23" t="inlineStr">
        <is>
          <t>—</t>
        </is>
      </c>
      <c r="Y526" s="28" t="inlineStr">
        <is>
          <t>View Photo</t>
        </is>
      </c>
    </row>
    <row r="527">
      <c r="A527" s="23" t="inlineStr">
        <is>
          <t>D0526</t>
        </is>
      </c>
      <c r="B527" s="23" t="inlineStr">
        <is>
          <t>08/24/2026</t>
        </is>
      </c>
      <c r="C527" s="23" t="inlineStr">
        <is>
          <t>08/24/2026 10:11 AM</t>
        </is>
      </c>
      <c r="D527" s="23" t="inlineStr">
        <is>
          <t>Matthew Powierski</t>
        </is>
      </c>
      <c r="E527" s="23" t="inlineStr">
        <is>
          <t>Sales Rep</t>
        </is>
      </c>
      <c r="F527" s="23" t="inlineStr">
        <is>
          <t>Denise Montes</t>
        </is>
      </c>
      <c r="G527" s="23" t="inlineStr">
        <is>
          <t>36006</t>
        </is>
      </c>
      <c r="H527" s="23" t="inlineStr">
        <is>
          <t>WALLINGTON LIQUOR AND WINE</t>
        </is>
      </c>
      <c r="I527" s="23" t="inlineStr">
        <is>
          <t>WALLINGTON</t>
        </is>
      </c>
      <c r="J527" s="23" t="inlineStr">
        <is>
          <t>Boston Beer</t>
        </is>
      </c>
      <c r="K527" s="27" t="n">
        <v>0</v>
      </c>
      <c r="L527" s="23" t="inlineStr">
        <is>
          <t>Non-qualifying (&lt;10)</t>
        </is>
      </c>
      <c r="M527" s="24" t="n">
        <v>6</v>
      </c>
      <c r="N527" s="24" t="n">
        <v>6</v>
      </c>
      <c r="O527" s="23" t="inlineStr">
        <is>
          <t>Priority</t>
        </is>
      </c>
      <c r="P527" s="24" t="n">
        <v>0</v>
      </c>
      <c r="Q527" s="23" t="inlineStr">
        <is>
          <t>No</t>
        </is>
      </c>
      <c r="R527" s="23" t="inlineStr">
        <is>
          <t>LYTT</t>
        </is>
      </c>
      <c r="S527" s="23" t="inlineStr">
        <is>
          <t>LYTT</t>
        </is>
      </c>
      <c r="T527" s="23" t="inlineStr">
        <is>
          <t>BOSTON BEER COMPANY</t>
        </is>
      </c>
      <c r="U527" s="27" t="n">
        <v>6</v>
      </c>
      <c r="V527" s="23" t="inlineStr">
        <is>
          <t>No</t>
        </is>
      </c>
      <c r="W527" s="23" t="inlineStr">
        <is>
          <t>Boston Beer (6)</t>
        </is>
      </c>
      <c r="X527" s="23" t="inlineStr">
        <is>
          <t>—</t>
        </is>
      </c>
      <c r="Y527" s="28" t="inlineStr">
        <is>
          <t>View Photo</t>
        </is>
      </c>
    </row>
    <row r="528">
      <c r="A528" s="23" t="inlineStr">
        <is>
          <t>D0527</t>
        </is>
      </c>
      <c r="B528" s="23" t="inlineStr">
        <is>
          <t>08/24/2026</t>
        </is>
      </c>
      <c r="C528" s="23" t="inlineStr">
        <is>
          <t>08/24/2026 11:37 AM</t>
        </is>
      </c>
      <c r="D528" s="23" t="inlineStr">
        <is>
          <t>Nicholas Micco</t>
        </is>
      </c>
      <c r="E528" s="23" t="inlineStr">
        <is>
          <t>Sales Associate</t>
        </is>
      </c>
      <c r="F528" s="23" t="inlineStr">
        <is>
          <t>Michael Engel</t>
        </is>
      </c>
      <c r="G528" s="23" t="inlineStr">
        <is>
          <t>83001</t>
        </is>
      </c>
      <c r="H528" s="23" t="inlineStr">
        <is>
          <t>FOOD UNIVERSE MARKETPLACE</t>
        </is>
      </c>
      <c r="I528" s="23" t="inlineStr">
        <is>
          <t>GLEN ROCK</t>
        </is>
      </c>
      <c r="J528" s="23" t="inlineStr">
        <is>
          <t>Boston Beer</t>
        </is>
      </c>
      <c r="K528" s="27" t="n">
        <v>0</v>
      </c>
      <c r="L528" s="23" t="inlineStr">
        <is>
          <t>Non-qualifying (&lt;10)</t>
        </is>
      </c>
      <c r="M528" s="24" t="n">
        <v>6</v>
      </c>
      <c r="N528" s="24" t="n">
        <v>6</v>
      </c>
      <c r="O528" s="23" t="inlineStr">
        <is>
          <t>Priority</t>
        </is>
      </c>
      <c r="P528" s="24" t="n">
        <v>0</v>
      </c>
      <c r="Q528" s="23" t="inlineStr">
        <is>
          <t>No</t>
        </is>
      </c>
      <c r="R528" s="23" t="inlineStr">
        <is>
          <t>LYTT</t>
        </is>
      </c>
      <c r="S528" s="23" t="inlineStr">
        <is>
          <t>LYTT</t>
        </is>
      </c>
      <c r="T528" s="23" t="inlineStr">
        <is>
          <t>BOSTON BEER COMPANY</t>
        </is>
      </c>
      <c r="U528" s="27" t="n">
        <v>6</v>
      </c>
      <c r="V528" s="23" t="inlineStr">
        <is>
          <t>No</t>
        </is>
      </c>
      <c r="W528" s="23" t="inlineStr">
        <is>
          <t>Boston Beer (6)</t>
        </is>
      </c>
      <c r="X528" s="23" t="inlineStr">
        <is>
          <t>—</t>
        </is>
      </c>
      <c r="Y528" s="28" t="inlineStr">
        <is>
          <t>View Photo</t>
        </is>
      </c>
    </row>
    <row r="529">
      <c r="A529" s="23" t="inlineStr">
        <is>
          <t>D0528</t>
        </is>
      </c>
      <c r="B529" s="23" t="inlineStr">
        <is>
          <t>08/25/2026</t>
        </is>
      </c>
      <c r="C529" s="23" t="inlineStr">
        <is>
          <t>08/25/2026 04:11 PM</t>
        </is>
      </c>
      <c r="D529" s="23" t="inlineStr">
        <is>
          <t>Jayson Romine</t>
        </is>
      </c>
      <c r="E529" s="23" t="inlineStr">
        <is>
          <t>Sales Rep</t>
        </is>
      </c>
      <c r="F529" s="23" t="inlineStr">
        <is>
          <t>Paul Deady</t>
        </is>
      </c>
      <c r="G529" s="23" t="inlineStr">
        <is>
          <t>191010</t>
        </is>
      </c>
      <c r="H529" s="23" t="inlineStr">
        <is>
          <t>LIQUOR FACTORY II JEFFERSON</t>
        </is>
      </c>
      <c r="I529" s="23" t="inlineStr">
        <is>
          <t>LAKE HOPATCONG</t>
        </is>
      </c>
      <c r="J529" s="23" t="inlineStr">
        <is>
          <t>Boston Beer</t>
        </is>
      </c>
      <c r="K529" s="27" t="n">
        <v>0</v>
      </c>
      <c r="L529" s="23" t="inlineStr">
        <is>
          <t>Non-qualifying (&lt;10)</t>
        </is>
      </c>
      <c r="M529" s="24" t="n">
        <v>6</v>
      </c>
      <c r="N529" s="24" t="n">
        <v>6</v>
      </c>
      <c r="O529" s="23" t="inlineStr">
        <is>
          <t>Priority</t>
        </is>
      </c>
      <c r="P529" s="24" t="n">
        <v>0</v>
      </c>
      <c r="Q529" s="23" t="inlineStr">
        <is>
          <t>No</t>
        </is>
      </c>
      <c r="R529" s="23" t="inlineStr">
        <is>
          <t>LYTT</t>
        </is>
      </c>
      <c r="S529" s="23" t="inlineStr">
        <is>
          <t>LYTT</t>
        </is>
      </c>
      <c r="T529" s="23" t="inlineStr">
        <is>
          <t>BOSTON BEER COMPANY</t>
        </is>
      </c>
      <c r="U529" s="27" t="n">
        <v>6</v>
      </c>
      <c r="V529" s="23" t="inlineStr">
        <is>
          <t>No</t>
        </is>
      </c>
      <c r="W529" s="23" t="inlineStr">
        <is>
          <t>Boston Beer (6)</t>
        </is>
      </c>
      <c r="X529" s="23" t="inlineStr">
        <is>
          <t>—</t>
        </is>
      </c>
      <c r="Y529" s="28" t="inlineStr">
        <is>
          <t>View Photo</t>
        </is>
      </c>
    </row>
    <row r="530">
      <c r="A530" s="23" t="inlineStr">
        <is>
          <t>D0529</t>
        </is>
      </c>
      <c r="B530" s="23" t="inlineStr">
        <is>
          <t>08/25/2026</t>
        </is>
      </c>
      <c r="C530" s="23" t="inlineStr">
        <is>
          <t>08/25/2026 10:13 AM</t>
        </is>
      </c>
      <c r="D530" s="23" t="inlineStr">
        <is>
          <t>Daniel La Gala</t>
        </is>
      </c>
      <c r="E530" s="23" t="inlineStr">
        <is>
          <t>Sales Rep</t>
        </is>
      </c>
      <c r="F530" s="23" t="inlineStr">
        <is>
          <t>Michael Engel</t>
        </is>
      </c>
      <c r="G530" s="23" t="inlineStr">
        <is>
          <t>44002</t>
        </is>
      </c>
      <c r="H530" s="23" t="inlineStr">
        <is>
          <t>WINE AND FOOD MART (Z)</t>
        </is>
      </c>
      <c r="I530" s="23" t="inlineStr">
        <is>
          <t>CLIFFSIDE PARK</t>
        </is>
      </c>
      <c r="J530" s="23" t="inlineStr">
        <is>
          <t>Boston Beer</t>
        </is>
      </c>
      <c r="K530" s="27" t="n">
        <v>0</v>
      </c>
      <c r="L530" s="23" t="inlineStr">
        <is>
          <t>Non-qualifying (&lt;10)</t>
        </is>
      </c>
      <c r="M530" s="24" t="n">
        <v>6</v>
      </c>
      <c r="N530" s="24" t="n">
        <v>6</v>
      </c>
      <c r="O530" s="23" t="inlineStr">
        <is>
          <t>Priority</t>
        </is>
      </c>
      <c r="P530" s="24" t="n">
        <v>0</v>
      </c>
      <c r="Q530" s="23" t="inlineStr">
        <is>
          <t>No</t>
        </is>
      </c>
      <c r="R530" s="23" t="inlineStr">
        <is>
          <t>LYTT</t>
        </is>
      </c>
      <c r="S530" s="23" t="inlineStr">
        <is>
          <t>LYTT</t>
        </is>
      </c>
      <c r="T530" s="23" t="inlineStr">
        <is>
          <t>BOSTON BEER COMPANY</t>
        </is>
      </c>
      <c r="U530" s="27" t="n">
        <v>6</v>
      </c>
      <c r="V530" s="23" t="inlineStr">
        <is>
          <t>No</t>
        </is>
      </c>
      <c r="W530" s="23" t="inlineStr">
        <is>
          <t>Boston Beer (6)</t>
        </is>
      </c>
      <c r="X530" s="23" t="inlineStr">
        <is>
          <t>—</t>
        </is>
      </c>
      <c r="Y530" s="28" t="inlineStr">
        <is>
          <t>View Photo</t>
        </is>
      </c>
    </row>
    <row r="531">
      <c r="A531" s="23" t="inlineStr">
        <is>
          <t>D0530</t>
        </is>
      </c>
      <c r="B531" s="23" t="inlineStr">
        <is>
          <t>08/27/2026</t>
        </is>
      </c>
      <c r="C531" s="23" t="inlineStr">
        <is>
          <t>08/27/2026 01:57 PM</t>
        </is>
      </c>
      <c r="D531" s="23" t="inlineStr">
        <is>
          <t>James Heaney</t>
        </is>
      </c>
      <c r="E531" s="23" t="inlineStr">
        <is>
          <t>Sales Rep</t>
        </is>
      </c>
      <c r="F531" s="23" t="inlineStr">
        <is>
          <t>Denise Montes</t>
        </is>
      </c>
      <c r="G531" s="23" t="inlineStr">
        <is>
          <t>25008</t>
        </is>
      </c>
      <c r="H531" s="23" t="inlineStr">
        <is>
          <t>CLIFTON COMMONS S &amp; W</t>
        </is>
      </c>
      <c r="I531" s="23" t="inlineStr">
        <is>
          <t>CLIFTON</t>
        </is>
      </c>
      <c r="J531" s="23" t="inlineStr">
        <is>
          <t>Boston Beer</t>
        </is>
      </c>
      <c r="K531" s="27" t="n">
        <v>0</v>
      </c>
      <c r="L531" s="23" t="inlineStr">
        <is>
          <t>Non-qualifying (&lt;10)</t>
        </is>
      </c>
      <c r="M531" s="24" t="n">
        <v>6</v>
      </c>
      <c r="N531" s="24" t="n">
        <v>6</v>
      </c>
      <c r="O531" s="23" t="inlineStr">
        <is>
          <t>Priority</t>
        </is>
      </c>
      <c r="P531" s="24" t="n">
        <v>0</v>
      </c>
      <c r="Q531" s="23" t="inlineStr">
        <is>
          <t>No</t>
        </is>
      </c>
      <c r="R531" s="23" t="inlineStr">
        <is>
          <t>LYTT</t>
        </is>
      </c>
      <c r="S531" s="23" t="inlineStr">
        <is>
          <t>LYTT</t>
        </is>
      </c>
      <c r="T531" s="23" t="inlineStr">
        <is>
          <t>BOSTON BEER COMPANY</t>
        </is>
      </c>
      <c r="U531" s="27" t="n">
        <v>6</v>
      </c>
      <c r="V531" s="23" t="inlineStr">
        <is>
          <t>No</t>
        </is>
      </c>
      <c r="W531" s="23" t="inlineStr">
        <is>
          <t>Boston Beer (6)</t>
        </is>
      </c>
      <c r="X531" s="23" t="inlineStr">
        <is>
          <t>—</t>
        </is>
      </c>
      <c r="Y531" s="28" t="inlineStr">
        <is>
          <t>View Photo</t>
        </is>
      </c>
    </row>
    <row r="532">
      <c r="A532" s="23" t="inlineStr">
        <is>
          <t>D0531</t>
        </is>
      </c>
      <c r="B532" s="23" t="inlineStr">
        <is>
          <t>08/27/2026</t>
        </is>
      </c>
      <c r="C532" s="23" t="inlineStr">
        <is>
          <t>08/27/2026 02:52 PM</t>
        </is>
      </c>
      <c r="D532" s="23" t="inlineStr">
        <is>
          <t>Chris Payton</t>
        </is>
      </c>
      <c r="E532" s="23" t="inlineStr">
        <is>
          <t>Sales Rep</t>
        </is>
      </c>
      <c r="F532" s="23" t="inlineStr">
        <is>
          <t>Michael Engel</t>
        </is>
      </c>
      <c r="G532" s="23" t="inlineStr">
        <is>
          <t>47011</t>
        </is>
      </c>
      <c r="H532" s="23" t="inlineStr">
        <is>
          <t>RIDGEFIELD DELI &amp; LIQ</t>
        </is>
      </c>
      <c r="I532" s="23" t="inlineStr">
        <is>
          <t>RIDGEFIELD PARK</t>
        </is>
      </c>
      <c r="J532" s="23" t="inlineStr">
        <is>
          <t>Boston Beer</t>
        </is>
      </c>
      <c r="K532" s="27" t="n">
        <v>0</v>
      </c>
      <c r="L532" s="23" t="inlineStr">
        <is>
          <t>Non-qualifying (&lt;10)</t>
        </is>
      </c>
      <c r="M532" s="24" t="n">
        <v>6</v>
      </c>
      <c r="N532" s="24" t="n">
        <v>6</v>
      </c>
      <c r="O532" s="23" t="inlineStr">
        <is>
          <t>Priority</t>
        </is>
      </c>
      <c r="P532" s="24" t="n">
        <v>0</v>
      </c>
      <c r="Q532" s="23" t="inlineStr">
        <is>
          <t>No</t>
        </is>
      </c>
      <c r="R532" s="23" t="inlineStr">
        <is>
          <t>LYTT</t>
        </is>
      </c>
      <c r="S532" s="23" t="inlineStr">
        <is>
          <t>LYTT</t>
        </is>
      </c>
      <c r="T532" s="23" t="inlineStr">
        <is>
          <t>BOSTON BEER COMPANY</t>
        </is>
      </c>
      <c r="U532" s="27" t="n">
        <v>6</v>
      </c>
      <c r="V532" s="23" t="inlineStr">
        <is>
          <t>No</t>
        </is>
      </c>
      <c r="W532" s="23" t="inlineStr">
        <is>
          <t>Boston Beer (6)</t>
        </is>
      </c>
      <c r="X532" s="23" t="inlineStr">
        <is>
          <t>—</t>
        </is>
      </c>
      <c r="Y532" s="28" t="inlineStr">
        <is>
          <t>View Photo</t>
        </is>
      </c>
    </row>
    <row r="533">
      <c r="A533" s="23" t="inlineStr">
        <is>
          <t>D0532</t>
        </is>
      </c>
      <c r="B533" s="23" t="inlineStr">
        <is>
          <t>07/20/2026</t>
        </is>
      </c>
      <c r="C533" s="23" t="inlineStr">
        <is>
          <t>07/20/2026 11:44 AM</t>
        </is>
      </c>
      <c r="D533" s="23" t="inlineStr">
        <is>
          <t>phil Ernst</t>
        </is>
      </c>
      <c r="E533" s="23" t="inlineStr">
        <is>
          <t>Sales Rep</t>
        </is>
      </c>
      <c r="F533" s="23" t="inlineStr">
        <is>
          <t>Michael Engel</t>
        </is>
      </c>
      <c r="G533" s="23" t="inlineStr">
        <is>
          <t>29004</t>
        </is>
      </c>
      <c r="H533" s="23" t="inlineStr">
        <is>
          <t>SHOP-RITE LIQ LYNDHURST</t>
        </is>
      </c>
      <c r="I533" s="23" t="inlineStr">
        <is>
          <t>LYNDHURST</t>
        </is>
      </c>
      <c r="J533" s="23" t="inlineStr">
        <is>
          <t>Constellation</t>
        </is>
      </c>
      <c r="K533" s="27" t="n">
        <v>0</v>
      </c>
      <c r="L533" s="23" t="inlineStr">
        <is>
          <t>Non-qualifying (&lt;10)</t>
        </is>
      </c>
      <c r="M533" s="24" t="n">
        <v>5</v>
      </c>
      <c r="N533" s="24" t="n">
        <v>5</v>
      </c>
      <c r="O533" s="23" t="inlineStr">
        <is>
          <t>Priority</t>
        </is>
      </c>
      <c r="P533" s="24" t="n">
        <v>0</v>
      </c>
      <c r="Q533" s="23" t="inlineStr">
        <is>
          <t>No</t>
        </is>
      </c>
      <c r="R533" s="23" t="inlineStr">
        <is>
          <t>MODELO CERVEZA</t>
        </is>
      </c>
      <c r="S533" s="23" t="inlineStr">
        <is>
          <t>MODELO CERVEZA</t>
        </is>
      </c>
      <c r="T533" s="23" t="inlineStr">
        <is>
          <t>CONSTELLATION BRANDS</t>
        </is>
      </c>
      <c r="U533" s="27" t="n">
        <v>1</v>
      </c>
      <c r="V533" s="23" t="inlineStr">
        <is>
          <t>No</t>
        </is>
      </c>
      <c r="W533" s="23" t="inlineStr">
        <is>
          <t>Constellation (5)</t>
        </is>
      </c>
      <c r="X533" s="23" t="inlineStr">
        <is>
          <t>—</t>
        </is>
      </c>
      <c r="Y533" s="28" t="inlineStr">
        <is>
          <t>View Photo</t>
        </is>
      </c>
    </row>
    <row r="534">
      <c r="A534" s="23" t="inlineStr">
        <is>
          <t>D0533</t>
        </is>
      </c>
      <c r="B534" s="23" t="inlineStr">
        <is>
          <t>07/24/2026</t>
        </is>
      </c>
      <c r="C534" s="23" t="inlineStr">
        <is>
          <t>07/24/2026 02:52 PM</t>
        </is>
      </c>
      <c r="D534" s="23" t="inlineStr">
        <is>
          <t>Javier Melo</t>
        </is>
      </c>
      <c r="E534" s="23" t="inlineStr">
        <is>
          <t>Sales Rep</t>
        </is>
      </c>
      <c r="F534" s="23" t="inlineStr">
        <is>
          <t>Denise Montes</t>
        </is>
      </c>
      <c r="G534" s="23" t="inlineStr">
        <is>
          <t>27012</t>
        </is>
      </c>
      <c r="H534" s="23" t="inlineStr">
        <is>
          <t>ESTEVEZ LIQUORS LLC</t>
        </is>
      </c>
      <c r="I534" s="23" t="inlineStr">
        <is>
          <t>PASSAIC</t>
        </is>
      </c>
      <c r="J534" s="23" t="inlineStr">
        <is>
          <t>All Other: CENTRAL BEER IMPORT &amp; EXPORT FAMOSA</t>
        </is>
      </c>
      <c r="K534" s="27" t="n">
        <v>0</v>
      </c>
      <c r="L534" s="23" t="inlineStr">
        <is>
          <t>Non-qualifying (&lt;10)</t>
        </is>
      </c>
      <c r="M534" s="24" t="n">
        <v>5</v>
      </c>
      <c r="N534" s="24" t="n">
        <v>5</v>
      </c>
      <c r="O534" s="23" t="inlineStr">
        <is>
          <t>All Other</t>
        </is>
      </c>
      <c r="P534" s="24" t="n">
        <v>0</v>
      </c>
      <c r="Q534" s="23" t="inlineStr">
        <is>
          <t>No</t>
        </is>
      </c>
      <c r="R534" s="23" t="inlineStr">
        <is>
          <t>FAMOSA</t>
        </is>
      </c>
      <c r="S534" s="23" t="inlineStr">
        <is>
          <t>FAMOSA</t>
        </is>
      </c>
      <c r="T534" s="23" t="inlineStr">
        <is>
          <t>CENTRAL BEER IMPORT &amp; EXPORT FAMOSA</t>
        </is>
      </c>
      <c r="U534" s="27" t="n">
        <v>1</v>
      </c>
      <c r="V534" s="23" t="inlineStr">
        <is>
          <t>No</t>
        </is>
      </c>
      <c r="W534" s="23" t="inlineStr">
        <is>
          <t>All Other: CENTRAL BEER IMPORT &amp; EXPORT FAMOSA (5)</t>
        </is>
      </c>
      <c r="X534" s="23" t="inlineStr">
        <is>
          <t>—</t>
        </is>
      </c>
      <c r="Y534" s="28" t="inlineStr">
        <is>
          <t>View Photo</t>
        </is>
      </c>
    </row>
    <row r="535">
      <c r="A535" s="23" t="inlineStr">
        <is>
          <t>D0534</t>
        </is>
      </c>
      <c r="B535" s="23" t="inlineStr">
        <is>
          <t>07/24/2026</t>
        </is>
      </c>
      <c r="C535" s="23" t="inlineStr">
        <is>
          <t>07/24/2026 02:53 PM</t>
        </is>
      </c>
      <c r="D535" s="23" t="inlineStr">
        <is>
          <t>Javier Melo</t>
        </is>
      </c>
      <c r="E535" s="23" t="inlineStr">
        <is>
          <t>Sales Rep</t>
        </is>
      </c>
      <c r="F535" s="23" t="inlineStr">
        <is>
          <t>Denise Montes</t>
        </is>
      </c>
      <c r="G535" s="23" t="inlineStr">
        <is>
          <t>27012</t>
        </is>
      </c>
      <c r="H535" s="23" t="inlineStr">
        <is>
          <t>ESTEVEZ LIQUORS LLC</t>
        </is>
      </c>
      <c r="I535" s="23" t="inlineStr">
        <is>
          <t>PASSAIC</t>
        </is>
      </c>
      <c r="J535" s="23" t="inlineStr">
        <is>
          <t>Constellation</t>
        </is>
      </c>
      <c r="K535" s="27" t="n">
        <v>0</v>
      </c>
      <c r="L535" s="23" t="inlineStr">
        <is>
          <t>Non-qualifying (&lt;10)</t>
        </is>
      </c>
      <c r="M535" s="24" t="n">
        <v>5</v>
      </c>
      <c r="N535" s="24" t="n">
        <v>5</v>
      </c>
      <c r="O535" s="23" t="inlineStr">
        <is>
          <t>Priority</t>
        </is>
      </c>
      <c r="P535" s="24" t="n">
        <v>0</v>
      </c>
      <c r="Q535" s="23" t="inlineStr">
        <is>
          <t>No</t>
        </is>
      </c>
      <c r="R535" s="23" t="inlineStr">
        <is>
          <t>CORONA</t>
        </is>
      </c>
      <c r="S535" s="23" t="inlineStr">
        <is>
          <t>CORONA</t>
        </is>
      </c>
      <c r="T535" s="23" t="inlineStr">
        <is>
          <t>CONSTELLATION BRANDS</t>
        </is>
      </c>
      <c r="U535" s="27" t="n">
        <v>1</v>
      </c>
      <c r="V535" s="23" t="inlineStr">
        <is>
          <t>No</t>
        </is>
      </c>
      <c r="W535" s="23" t="inlineStr">
        <is>
          <t>Constellation (5)</t>
        </is>
      </c>
      <c r="X535" s="23" t="inlineStr">
        <is>
          <t>—</t>
        </is>
      </c>
      <c r="Y535" s="28" t="inlineStr">
        <is>
          <t>View Photo</t>
        </is>
      </c>
    </row>
    <row r="536">
      <c r="A536" s="23" t="inlineStr">
        <is>
          <t>D0535</t>
        </is>
      </c>
      <c r="B536" s="23" t="inlineStr">
        <is>
          <t>07/24/2026</t>
        </is>
      </c>
      <c r="C536" s="23" t="inlineStr">
        <is>
          <t>07/24/2026 11:58 AM</t>
        </is>
      </c>
      <c r="D536" s="23" t="inlineStr">
        <is>
          <t>Javier Melo</t>
        </is>
      </c>
      <c r="E536" s="23" t="inlineStr">
        <is>
          <t>Sales Rep</t>
        </is>
      </c>
      <c r="F536" s="23" t="inlineStr">
        <is>
          <t>Denise Montes</t>
        </is>
      </c>
      <c r="G536" s="23" t="inlineStr">
        <is>
          <t>21026</t>
        </is>
      </c>
      <c r="H536" s="23" t="inlineStr">
        <is>
          <t>C TOWN SUPERMARKET(P)</t>
        </is>
      </c>
      <c r="I536" s="23" t="inlineStr">
        <is>
          <t>PATERSON</t>
        </is>
      </c>
      <c r="J536" s="23" t="inlineStr">
        <is>
          <t>All Other: CENTRAL BEER IMPORT &amp; EXPORT FAMOSA</t>
        </is>
      </c>
      <c r="K536" s="27" t="n">
        <v>0</v>
      </c>
      <c r="L536" s="23" t="inlineStr">
        <is>
          <t>Non-qualifying (&lt;10)</t>
        </is>
      </c>
      <c r="M536" s="24" t="n">
        <v>5</v>
      </c>
      <c r="N536" s="24" t="n">
        <v>5</v>
      </c>
      <c r="O536" s="23" t="inlineStr">
        <is>
          <t>All Other</t>
        </is>
      </c>
      <c r="P536" s="24" t="n">
        <v>0</v>
      </c>
      <c r="Q536" s="23" t="inlineStr">
        <is>
          <t>No</t>
        </is>
      </c>
      <c r="R536" s="23" t="inlineStr">
        <is>
          <t>FAMOSA</t>
        </is>
      </c>
      <c r="S536" s="23" t="inlineStr">
        <is>
          <t>FAMOSA</t>
        </is>
      </c>
      <c r="T536" s="23" t="inlineStr">
        <is>
          <t>CENTRAL BEER IMPORT &amp; EXPORT FAMOSA</t>
        </is>
      </c>
      <c r="U536" s="27" t="n">
        <v>1</v>
      </c>
      <c r="V536" s="23" t="inlineStr">
        <is>
          <t>No</t>
        </is>
      </c>
      <c r="W536" s="23" t="inlineStr">
        <is>
          <t>All Other: CENTRAL BEER IMPORT &amp; EXPORT FAMOSA (5)</t>
        </is>
      </c>
      <c r="X536" s="23" t="inlineStr">
        <is>
          <t>—</t>
        </is>
      </c>
      <c r="Y536" s="28" t="inlineStr">
        <is>
          <t>View Photo</t>
        </is>
      </c>
    </row>
    <row r="537">
      <c r="A537" s="23" t="inlineStr">
        <is>
          <t>D0536</t>
        </is>
      </c>
      <c r="B537" s="23" t="inlineStr">
        <is>
          <t>07/27/2026</t>
        </is>
      </c>
      <c r="C537" s="23" t="inlineStr">
        <is>
          <t>07/27/2026 01:57 PM</t>
        </is>
      </c>
      <c r="D537" s="23" t="inlineStr">
        <is>
          <t>John O’Donoghue</t>
        </is>
      </c>
      <c r="E537" s="23" t="inlineStr">
        <is>
          <t>Sales Rep</t>
        </is>
      </c>
      <c r="F537" s="23" t="inlineStr">
        <is>
          <t>Mike Kennedy</t>
        </is>
      </c>
      <c r="G537" s="23" t="inlineStr">
        <is>
          <t>190224</t>
        </is>
      </c>
      <c r="H537" s="23" t="inlineStr">
        <is>
          <t>STIRLING FINE WINES</t>
        </is>
      </c>
      <c r="I537" s="23" t="inlineStr">
        <is>
          <t>STIRLING</t>
        </is>
      </c>
      <c r="J537" s="23" t="inlineStr">
        <is>
          <t>Garage</t>
        </is>
      </c>
      <c r="K537" s="27" t="n">
        <v>0</v>
      </c>
      <c r="L537" s="23" t="inlineStr">
        <is>
          <t>Non-qualifying (&lt;10)</t>
        </is>
      </c>
      <c r="M537" s="24" t="n">
        <v>5</v>
      </c>
      <c r="N537" s="24" t="n">
        <v>5</v>
      </c>
      <c r="O537" s="23" t="inlineStr">
        <is>
          <t>Priority</t>
        </is>
      </c>
      <c r="P537" s="24" t="n">
        <v>0</v>
      </c>
      <c r="Q537" s="23" t="inlineStr">
        <is>
          <t>No</t>
        </is>
      </c>
      <c r="R537" s="23" t="inlineStr">
        <is>
          <t>GARAGE BEER - CONTRACT BREWING</t>
        </is>
      </c>
      <c r="S537" s="23" t="inlineStr">
        <is>
          <t>GARAGE BEER - CONTRACT BREWING</t>
        </is>
      </c>
      <c r="T537" s="23" t="inlineStr">
        <is>
          <t>MAHOU USA</t>
        </is>
      </c>
      <c r="U537" s="27" t="n">
        <v>1</v>
      </c>
      <c r="V537" s="23" t="inlineStr">
        <is>
          <t>No</t>
        </is>
      </c>
      <c r="W537" s="23" t="inlineStr">
        <is>
          <t>Garage (5)</t>
        </is>
      </c>
      <c r="X537" s="23" t="inlineStr">
        <is>
          <t>—</t>
        </is>
      </c>
      <c r="Y537" s="28" t="inlineStr">
        <is>
          <t>View Photo</t>
        </is>
      </c>
    </row>
    <row r="538">
      <c r="A538" s="23" t="inlineStr">
        <is>
          <t>D0537</t>
        </is>
      </c>
      <c r="B538" s="23" t="inlineStr">
        <is>
          <t>07/28/2026</t>
        </is>
      </c>
      <c r="C538" s="23" t="inlineStr">
        <is>
          <t>07/28/2026 01:26 PM</t>
        </is>
      </c>
      <c r="D538" s="23" t="inlineStr">
        <is>
          <t>Derrick laws</t>
        </is>
      </c>
      <c r="E538" s="23" t="inlineStr">
        <is>
          <t>Sales Rep</t>
        </is>
      </c>
      <c r="F538" s="23" t="inlineStr">
        <is>
          <t>Denise Montes</t>
        </is>
      </c>
      <c r="G538" s="23" t="inlineStr">
        <is>
          <t>23004</t>
        </is>
      </c>
      <c r="H538" s="23" t="inlineStr">
        <is>
          <t>SHOP RITE WINES/SPIRITS</t>
        </is>
      </c>
      <c r="I538" s="23" t="inlineStr">
        <is>
          <t>CLIFTON</t>
        </is>
      </c>
      <c r="J538" s="23" t="inlineStr">
        <is>
          <t>HUSA (Heineken USA)</t>
        </is>
      </c>
      <c r="K538" s="27" t="n">
        <v>0</v>
      </c>
      <c r="L538" s="23" t="inlineStr">
        <is>
          <t>Non-qualifying (&lt;10)</t>
        </is>
      </c>
      <c r="M538" s="24" t="n">
        <v>5</v>
      </c>
      <c r="N538" s="24" t="n">
        <v>5</v>
      </c>
      <c r="O538" s="23" t="inlineStr">
        <is>
          <t>Priority</t>
        </is>
      </c>
      <c r="P538" s="24" t="n">
        <v>0</v>
      </c>
      <c r="Q538" s="23" t="inlineStr">
        <is>
          <t>No</t>
        </is>
      </c>
      <c r="R538" s="23" t="inlineStr">
        <is>
          <t>HEINEKEN</t>
        </is>
      </c>
      <c r="S538" s="23" t="inlineStr">
        <is>
          <t>HEINEKEN</t>
        </is>
      </c>
      <c r="T538" s="23" t="inlineStr">
        <is>
          <t>HEINEKEN</t>
        </is>
      </c>
      <c r="U538" s="27" t="n">
        <v>3</v>
      </c>
      <c r="V538" s="23" t="inlineStr">
        <is>
          <t>No</t>
        </is>
      </c>
      <c r="W538" s="23" t="inlineStr">
        <is>
          <t>HUSA (Heineken USA) (5)</t>
        </is>
      </c>
      <c r="X538" s="23" t="inlineStr">
        <is>
          <t>—</t>
        </is>
      </c>
      <c r="Y538" s="28" t="inlineStr">
        <is>
          <t>View Photo</t>
        </is>
      </c>
    </row>
    <row r="539">
      <c r="A539" s="23" t="inlineStr">
        <is>
          <t>D0538</t>
        </is>
      </c>
      <c r="B539" s="23" t="inlineStr">
        <is>
          <t>07/28/2026</t>
        </is>
      </c>
      <c r="C539" s="23" t="inlineStr">
        <is>
          <t>07/28/2026 01:41 PM</t>
        </is>
      </c>
      <c r="D539" s="23" t="inlineStr">
        <is>
          <t>Dylan Rubino</t>
        </is>
      </c>
      <c r="E539" s="23" t="inlineStr">
        <is>
          <t>Sales Rep</t>
        </is>
      </c>
      <c r="F539" s="23" t="inlineStr">
        <is>
          <t>Mike Kennedy</t>
        </is>
      </c>
      <c r="G539" s="23" t="inlineStr">
        <is>
          <t>170091</t>
        </is>
      </c>
      <c r="H539" s="23" t="inlineStr">
        <is>
          <t>REFINED WINE AND SPIRITS</t>
        </is>
      </c>
      <c r="I539" s="23" t="inlineStr">
        <is>
          <t>JERSEY CITY</t>
        </is>
      </c>
      <c r="J539" s="23" t="inlineStr">
        <is>
          <t>Garage</t>
        </is>
      </c>
      <c r="K539" s="27" t="n">
        <v>0</v>
      </c>
      <c r="L539" s="23" t="inlineStr">
        <is>
          <t>Non-qualifying (&lt;10)</t>
        </is>
      </c>
      <c r="M539" s="24" t="n">
        <v>5</v>
      </c>
      <c r="N539" s="24" t="n">
        <v>5</v>
      </c>
      <c r="O539" s="23" t="inlineStr">
        <is>
          <t>Priority</t>
        </is>
      </c>
      <c r="P539" s="24" t="n">
        <v>0</v>
      </c>
      <c r="Q539" s="23" t="inlineStr">
        <is>
          <t>No</t>
        </is>
      </c>
      <c r="R539" s="23" t="inlineStr">
        <is>
          <t>GARAGE BEER - CONTRACT BREWING</t>
        </is>
      </c>
      <c r="S539" s="23" t="inlineStr">
        <is>
          <t>GARAGE BEER - CONTRACT BREWING</t>
        </is>
      </c>
      <c r="T539" s="23" t="inlineStr">
        <is>
          <t>GARAGE BEER CO.</t>
        </is>
      </c>
      <c r="U539" s="27" t="n">
        <v>1</v>
      </c>
      <c r="V539" s="23" t="inlineStr">
        <is>
          <t>No</t>
        </is>
      </c>
      <c r="W539" s="23" t="inlineStr">
        <is>
          <t>Garage (5)</t>
        </is>
      </c>
      <c r="X539" s="23" t="inlineStr">
        <is>
          <t>—</t>
        </is>
      </c>
      <c r="Y539" s="28" t="inlineStr">
        <is>
          <t>View Photo</t>
        </is>
      </c>
    </row>
    <row r="540">
      <c r="A540" s="23" t="inlineStr">
        <is>
          <t>D0539</t>
        </is>
      </c>
      <c r="B540" s="23" t="inlineStr">
        <is>
          <t>07/29/2026</t>
        </is>
      </c>
      <c r="C540" s="23" t="inlineStr">
        <is>
          <t>07/29/2026 01:56 PM</t>
        </is>
      </c>
      <c r="D540" s="23" t="inlineStr">
        <is>
          <t>Matthew Powierski</t>
        </is>
      </c>
      <c r="E540" s="23" t="inlineStr">
        <is>
          <t>Sales Rep</t>
        </is>
      </c>
      <c r="F540" s="23" t="inlineStr">
        <is>
          <t>Denise Montes</t>
        </is>
      </c>
      <c r="G540" s="23" t="inlineStr">
        <is>
          <t>31060</t>
        </is>
      </c>
      <c r="H540" s="23" t="inlineStr">
        <is>
          <t>BOTTLE REPUBLIC (RUTHERFORD)</t>
        </is>
      </c>
      <c r="I540" s="23" t="inlineStr">
        <is>
          <t>RUTHERFORD</t>
        </is>
      </c>
      <c r="J540" s="23" t="inlineStr">
        <is>
          <t>Molson Coors</t>
        </is>
      </c>
      <c r="K540" s="27" t="n">
        <v>0</v>
      </c>
      <c r="L540" s="23" t="inlineStr">
        <is>
          <t>Non-qualifying (&lt;10)</t>
        </is>
      </c>
      <c r="M540" s="24" t="n">
        <v>5</v>
      </c>
      <c r="N540" s="24" t="n">
        <v>5</v>
      </c>
      <c r="O540" s="23" t="inlineStr">
        <is>
          <t>Priority</t>
        </is>
      </c>
      <c r="P540" s="24" t="n">
        <v>0</v>
      </c>
      <c r="Q540" s="23" t="inlineStr">
        <is>
          <t>No</t>
        </is>
      </c>
      <c r="R540" s="23" t="inlineStr">
        <is>
          <t>BLUE MOON</t>
        </is>
      </c>
      <c r="S540" s="23" t="inlineStr">
        <is>
          <t>BLUE MOON</t>
        </is>
      </c>
      <c r="T540" s="23" t="inlineStr">
        <is>
          <t>MOLSON COORS BEVERAGE COMPANY</t>
        </is>
      </c>
      <c r="U540" s="27" t="n">
        <v>1</v>
      </c>
      <c r="V540" s="23" t="inlineStr">
        <is>
          <t>No</t>
        </is>
      </c>
      <c r="W540" s="23" t="inlineStr">
        <is>
          <t>Molson Coors (5)</t>
        </is>
      </c>
      <c r="X540" s="23" t="inlineStr">
        <is>
          <t>—</t>
        </is>
      </c>
      <c r="Y540" s="28" t="inlineStr">
        <is>
          <t>View Photo</t>
        </is>
      </c>
    </row>
    <row r="541">
      <c r="A541" s="23" t="inlineStr">
        <is>
          <t>D0540</t>
        </is>
      </c>
      <c r="B541" s="23" t="inlineStr">
        <is>
          <t>07/29/2026</t>
        </is>
      </c>
      <c r="C541" s="23" t="inlineStr">
        <is>
          <t>07/29/2026 12:11 PM</t>
        </is>
      </c>
      <c r="D541" s="23" t="inlineStr">
        <is>
          <t>mickey obrien</t>
        </is>
      </c>
      <c r="E541" s="23" t="inlineStr">
        <is>
          <t>Sales Associate</t>
        </is>
      </c>
      <c r="F541" s="23" t="inlineStr">
        <is>
          <t>Denise Montes</t>
        </is>
      </c>
      <c r="G541" s="23" t="inlineStr">
        <is>
          <t>31060</t>
        </is>
      </c>
      <c r="H541" s="23" t="inlineStr">
        <is>
          <t>BOTTLE REPUBLIC (RUTHERFORD)</t>
        </is>
      </c>
      <c r="I541" s="23" t="inlineStr">
        <is>
          <t>RUTHERFORD</t>
        </is>
      </c>
      <c r="J541" s="23" t="inlineStr">
        <is>
          <t>Molson Coors</t>
        </is>
      </c>
      <c r="K541" s="27" t="n">
        <v>0</v>
      </c>
      <c r="L541" s="23" t="inlineStr">
        <is>
          <t>Non-qualifying (&lt;10)</t>
        </is>
      </c>
      <c r="M541" s="24" t="n">
        <v>5</v>
      </c>
      <c r="N541" s="24" t="n">
        <v>5</v>
      </c>
      <c r="O541" s="23" t="inlineStr">
        <is>
          <t>Priority</t>
        </is>
      </c>
      <c r="P541" s="24" t="n">
        <v>0</v>
      </c>
      <c r="Q541" s="23" t="inlineStr">
        <is>
          <t>No</t>
        </is>
      </c>
      <c r="R541" s="23" t="inlineStr">
        <is>
          <t>BLUE MOON</t>
        </is>
      </c>
      <c r="S541" s="23" t="inlineStr">
        <is>
          <t>BLUE MOON</t>
        </is>
      </c>
      <c r="T541" s="23" t="inlineStr">
        <is>
          <t>MOLSON COORS BEVERAGE COMPANY</t>
        </is>
      </c>
      <c r="U541" s="27" t="n">
        <v>2</v>
      </c>
      <c r="V541" s="23" t="inlineStr">
        <is>
          <t>No</t>
        </is>
      </c>
      <c r="W541" s="23" t="inlineStr">
        <is>
          <t>Molson Coors (5)</t>
        </is>
      </c>
      <c r="X541" s="23" t="inlineStr">
        <is>
          <t>—</t>
        </is>
      </c>
      <c r="Y541" s="28" t="inlineStr">
        <is>
          <t>View Photo</t>
        </is>
      </c>
    </row>
    <row r="542">
      <c r="A542" s="23" t="inlineStr">
        <is>
          <t>D0541</t>
        </is>
      </c>
      <c r="B542" s="23" t="inlineStr">
        <is>
          <t>07/29/2026</t>
        </is>
      </c>
      <c r="C542" s="23" t="inlineStr">
        <is>
          <t>07/29/2026 12:11 PM</t>
        </is>
      </c>
      <c r="D542" s="23" t="inlineStr">
        <is>
          <t>patrick infante</t>
        </is>
      </c>
      <c r="E542" s="23" t="inlineStr">
        <is>
          <t>Sales Associate</t>
        </is>
      </c>
      <c r="F542" s="23" t="inlineStr">
        <is>
          <t>Denise Montes</t>
        </is>
      </c>
      <c r="G542" s="23" t="inlineStr">
        <is>
          <t>31060</t>
        </is>
      </c>
      <c r="H542" s="23" t="inlineStr">
        <is>
          <t>BOTTLE REPUBLIC (RUTHERFORD)</t>
        </is>
      </c>
      <c r="I542" s="23" t="inlineStr">
        <is>
          <t>RUTHERFORD</t>
        </is>
      </c>
      <c r="J542" s="23" t="inlineStr">
        <is>
          <t>Molson Coors</t>
        </is>
      </c>
      <c r="K542" s="27" t="n">
        <v>0</v>
      </c>
      <c r="L542" s="23" t="inlineStr">
        <is>
          <t>Non-qualifying (&lt;10)</t>
        </is>
      </c>
      <c r="M542" s="24" t="n">
        <v>5</v>
      </c>
      <c r="N542" s="24" t="n">
        <v>5</v>
      </c>
      <c r="O542" s="23" t="inlineStr">
        <is>
          <t>Priority</t>
        </is>
      </c>
      <c r="P542" s="24" t="n">
        <v>0</v>
      </c>
      <c r="Q542" s="23" t="inlineStr">
        <is>
          <t>No</t>
        </is>
      </c>
      <c r="R542" s="23" t="inlineStr">
        <is>
          <t>BLUE MOON</t>
        </is>
      </c>
      <c r="S542" s="23" t="inlineStr">
        <is>
          <t>BLUE MOON</t>
        </is>
      </c>
      <c r="T542" s="23" t="inlineStr">
        <is>
          <t>MOLSON COORS BEVERAGE COMPANY</t>
        </is>
      </c>
      <c r="U542" s="27" t="n">
        <v>2</v>
      </c>
      <c r="V542" s="23" t="inlineStr">
        <is>
          <t>No</t>
        </is>
      </c>
      <c r="W542" s="23" t="inlineStr">
        <is>
          <t>Molson Coors (5)</t>
        </is>
      </c>
      <c r="X542" s="23" t="inlineStr">
        <is>
          <t>—</t>
        </is>
      </c>
      <c r="Y542" s="28" t="inlineStr">
        <is>
          <t>View Photo</t>
        </is>
      </c>
    </row>
    <row r="543">
      <c r="A543" s="23" t="inlineStr">
        <is>
          <t>D0542</t>
        </is>
      </c>
      <c r="B543" s="23" t="inlineStr">
        <is>
          <t>07/30/2026</t>
        </is>
      </c>
      <c r="C543" s="23" t="inlineStr">
        <is>
          <t>07/30/2026 09:14 AM</t>
        </is>
      </c>
      <c r="D543" s="23" t="inlineStr">
        <is>
          <t>phil Ernst</t>
        </is>
      </c>
      <c r="E543" s="23" t="inlineStr">
        <is>
          <t>Sales Rep</t>
        </is>
      </c>
      <c r="F543" s="23" t="inlineStr">
        <is>
          <t>Michael Engel</t>
        </is>
      </c>
      <c r="G543" s="23" t="inlineStr">
        <is>
          <t>20106</t>
        </is>
      </c>
      <c r="H543" s="23" t="inlineStr">
        <is>
          <t>SUPER WINE WAREHSE(P)PATE</t>
        </is>
      </c>
      <c r="I543" s="23" t="inlineStr">
        <is>
          <t>PATERSON</t>
        </is>
      </c>
      <c r="J543" s="23" t="inlineStr">
        <is>
          <t>Molson Coors</t>
        </is>
      </c>
      <c r="K543" s="27" t="n">
        <v>0</v>
      </c>
      <c r="L543" s="23" t="inlineStr">
        <is>
          <t>Non-qualifying (&lt;10)</t>
        </is>
      </c>
      <c r="M543" s="24" t="n">
        <v>5</v>
      </c>
      <c r="N543" s="24" t="n">
        <v>5</v>
      </c>
      <c r="O543" s="23" t="inlineStr">
        <is>
          <t>Priority</t>
        </is>
      </c>
      <c r="P543" s="24" t="n">
        <v>0</v>
      </c>
      <c r="Q543" s="23" t="inlineStr">
        <is>
          <t>No</t>
        </is>
      </c>
      <c r="R543" s="23" t="inlineStr">
        <is>
          <t>COORS LIGHT</t>
        </is>
      </c>
      <c r="S543" s="23" t="inlineStr">
        <is>
          <t>COORS LIGHT</t>
        </is>
      </c>
      <c r="T543" s="23" t="inlineStr">
        <is>
          <t>MOLSON COORS BEVERAGE COMPANY</t>
        </is>
      </c>
      <c r="U543" s="27" t="n">
        <v>1</v>
      </c>
      <c r="V543" s="23" t="inlineStr">
        <is>
          <t>No</t>
        </is>
      </c>
      <c r="W543" s="23" t="inlineStr">
        <is>
          <t>Molson Coors (5)</t>
        </is>
      </c>
      <c r="X543" s="23" t="inlineStr">
        <is>
          <t>—</t>
        </is>
      </c>
      <c r="Y543" s="28" t="inlineStr">
        <is>
          <t>View Photo</t>
        </is>
      </c>
    </row>
    <row r="544">
      <c r="A544" s="23" t="inlineStr">
        <is>
          <t>D0543</t>
        </is>
      </c>
      <c r="B544" s="23" t="inlineStr">
        <is>
          <t>07/31/2026</t>
        </is>
      </c>
      <c r="C544" s="23" t="inlineStr">
        <is>
          <t>07/31/2026 01:01 PM</t>
        </is>
      </c>
      <c r="D544" s="23" t="inlineStr">
        <is>
          <t>Daniel La Gala</t>
        </is>
      </c>
      <c r="E544" s="23" t="inlineStr">
        <is>
          <t>Sales Rep</t>
        </is>
      </c>
      <c r="F544" s="23" t="inlineStr">
        <is>
          <t>Michael Engel</t>
        </is>
      </c>
      <c r="G544" s="23" t="inlineStr">
        <is>
          <t>44016</t>
        </is>
      </c>
      <c r="H544" s="23" t="inlineStr">
        <is>
          <t>LIQUOR CITY(A)CLIFFSIDE</t>
        </is>
      </c>
      <c r="I544" s="23" t="inlineStr">
        <is>
          <t>CLIFFSIDE PARK</t>
        </is>
      </c>
      <c r="J544" s="23" t="inlineStr">
        <is>
          <t>Molson Coors</t>
        </is>
      </c>
      <c r="K544" s="27" t="n">
        <v>0</v>
      </c>
      <c r="L544" s="23" t="inlineStr">
        <is>
          <t>Non-qualifying (&lt;10)</t>
        </is>
      </c>
      <c r="M544" s="24" t="n">
        <v>5</v>
      </c>
      <c r="N544" s="24" t="n">
        <v>5</v>
      </c>
      <c r="O544" s="23" t="inlineStr">
        <is>
          <t>Priority</t>
        </is>
      </c>
      <c r="P544" s="24" t="n">
        <v>0</v>
      </c>
      <c r="Q544" s="23" t="inlineStr">
        <is>
          <t>No</t>
        </is>
      </c>
      <c r="R544" s="23" t="inlineStr">
        <is>
          <t>BLUE MOON</t>
        </is>
      </c>
      <c r="S544" s="23" t="inlineStr">
        <is>
          <t>BLUE MOON</t>
        </is>
      </c>
      <c r="T544" s="23" t="inlineStr">
        <is>
          <t>MOLSON COORS BEVERAGE COMPANY</t>
        </is>
      </c>
      <c r="U544" s="27" t="n">
        <v>1</v>
      </c>
      <c r="V544" s="23" t="inlineStr">
        <is>
          <t>No</t>
        </is>
      </c>
      <c r="W544" s="23" t="inlineStr">
        <is>
          <t>Molson Coors (5)</t>
        </is>
      </c>
      <c r="X544" s="23" t="inlineStr">
        <is>
          <t>—</t>
        </is>
      </c>
      <c r="Y544" s="28" t="inlineStr">
        <is>
          <t>View Photo</t>
        </is>
      </c>
    </row>
    <row r="545">
      <c r="A545" s="23" t="inlineStr">
        <is>
          <t>D0544</t>
        </is>
      </c>
      <c r="B545" s="23" t="inlineStr">
        <is>
          <t>07/31/2026</t>
        </is>
      </c>
      <c r="C545" s="23" t="inlineStr">
        <is>
          <t>07/31/2026 11:17 AM</t>
        </is>
      </c>
      <c r="D545" s="23" t="inlineStr">
        <is>
          <t>Daniel La Gala</t>
        </is>
      </c>
      <c r="E545" s="23" t="inlineStr">
        <is>
          <t>Sales Rep</t>
        </is>
      </c>
      <c r="F545" s="23" t="inlineStr">
        <is>
          <t>Michael Engel</t>
        </is>
      </c>
      <c r="G545" s="23" t="inlineStr">
        <is>
          <t>49044</t>
        </is>
      </c>
      <c r="H545" s="23" t="inlineStr">
        <is>
          <t>LINWOOD WINE-HUDSON LIGHT</t>
        </is>
      </c>
      <c r="I545" s="23" t="inlineStr">
        <is>
          <t>FORT LEE</t>
        </is>
      </c>
      <c r="J545" s="23" t="inlineStr">
        <is>
          <t>Molson Coors</t>
        </is>
      </c>
      <c r="K545" s="27" t="n">
        <v>0</v>
      </c>
      <c r="L545" s="23" t="inlineStr">
        <is>
          <t>Non-qualifying (&lt;10)</t>
        </is>
      </c>
      <c r="M545" s="24" t="n">
        <v>5</v>
      </c>
      <c r="N545" s="24" t="n">
        <v>5</v>
      </c>
      <c r="O545" s="23" t="inlineStr">
        <is>
          <t>Priority</t>
        </is>
      </c>
      <c r="P545" s="24" t="n">
        <v>0</v>
      </c>
      <c r="Q545" s="23" t="inlineStr">
        <is>
          <t>No</t>
        </is>
      </c>
      <c r="R545" s="23" t="inlineStr">
        <is>
          <t>BLUE MOON</t>
        </is>
      </c>
      <c r="S545" s="23" t="inlineStr">
        <is>
          <t>BLUE MOON</t>
        </is>
      </c>
      <c r="T545" s="23" t="inlineStr">
        <is>
          <t>MOLSON COORS BEVERAGE COMPANY</t>
        </is>
      </c>
      <c r="U545" s="27" t="n">
        <v>1</v>
      </c>
      <c r="V545" s="23" t="inlineStr">
        <is>
          <t>No</t>
        </is>
      </c>
      <c r="W545" s="23" t="inlineStr">
        <is>
          <t>Molson Coors (5)</t>
        </is>
      </c>
      <c r="X545" s="23" t="inlineStr">
        <is>
          <t>—</t>
        </is>
      </c>
      <c r="Y545" s="28" t="inlineStr">
        <is>
          <t>View Photo</t>
        </is>
      </c>
    </row>
    <row r="546">
      <c r="A546" s="23" t="inlineStr">
        <is>
          <t>D0545</t>
        </is>
      </c>
      <c r="B546" s="23" t="inlineStr">
        <is>
          <t>07/31/2026</t>
        </is>
      </c>
      <c r="C546" s="23" t="inlineStr">
        <is>
          <t>07/31/2026 12:30 PM</t>
        </is>
      </c>
      <c r="D546" s="23" t="inlineStr">
        <is>
          <t>Daniel La Gala</t>
        </is>
      </c>
      <c r="E546" s="23" t="inlineStr">
        <is>
          <t>Sales Rep</t>
        </is>
      </c>
      <c r="F546" s="23" t="inlineStr">
        <is>
          <t>Michael Engel</t>
        </is>
      </c>
      <c r="G546" s="23" t="inlineStr">
        <is>
          <t>49027</t>
        </is>
      </c>
      <c r="H546" s="23" t="inlineStr">
        <is>
          <t>LINWOOD WINE-LINWOOD PLAZA</t>
        </is>
      </c>
      <c r="I546" s="23" t="inlineStr">
        <is>
          <t>FORT LEE</t>
        </is>
      </c>
      <c r="J546" s="23" t="inlineStr">
        <is>
          <t>Molson Coors</t>
        </is>
      </c>
      <c r="K546" s="27" t="n">
        <v>0</v>
      </c>
      <c r="L546" s="23" t="inlineStr">
        <is>
          <t>Non-qualifying (&lt;10)</t>
        </is>
      </c>
      <c r="M546" s="24" t="n">
        <v>5</v>
      </c>
      <c r="N546" s="24" t="n">
        <v>5</v>
      </c>
      <c r="O546" s="23" t="inlineStr">
        <is>
          <t>Priority</t>
        </is>
      </c>
      <c r="P546" s="24" t="n">
        <v>0</v>
      </c>
      <c r="Q546" s="23" t="inlineStr">
        <is>
          <t>No</t>
        </is>
      </c>
      <c r="R546" s="23" t="inlineStr">
        <is>
          <t>BLUE MOON</t>
        </is>
      </c>
      <c r="S546" s="23" t="inlineStr">
        <is>
          <t>BLUE MOON</t>
        </is>
      </c>
      <c r="T546" s="23" t="inlineStr">
        <is>
          <t>MOLSON COORS BEVERAGE COMPANY</t>
        </is>
      </c>
      <c r="U546" s="27" t="n">
        <v>1</v>
      </c>
      <c r="V546" s="23" t="inlineStr">
        <is>
          <t>No</t>
        </is>
      </c>
      <c r="W546" s="23" t="inlineStr">
        <is>
          <t>Molson Coors (5)</t>
        </is>
      </c>
      <c r="X546" s="23" t="inlineStr">
        <is>
          <t>—</t>
        </is>
      </c>
      <c r="Y546" s="28" t="inlineStr">
        <is>
          <t>View Photo</t>
        </is>
      </c>
    </row>
    <row r="547">
      <c r="A547" s="23" t="inlineStr">
        <is>
          <t>D0546</t>
        </is>
      </c>
      <c r="B547" s="23" t="inlineStr">
        <is>
          <t>07/31/2026</t>
        </is>
      </c>
      <c r="C547" s="23" t="inlineStr">
        <is>
          <t>07/31/2026 12:47 PM</t>
        </is>
      </c>
      <c r="D547" s="23" t="inlineStr">
        <is>
          <t>patrick infante</t>
        </is>
      </c>
      <c r="E547" s="23" t="inlineStr">
        <is>
          <t>Sales Associate</t>
        </is>
      </c>
      <c r="F547" s="23" t="inlineStr">
        <is>
          <t>Denise Montes</t>
        </is>
      </c>
      <c r="G547" s="23" t="inlineStr">
        <is>
          <t>27066</t>
        </is>
      </c>
      <c r="H547" s="23" t="inlineStr">
        <is>
          <t>SUNNY'S LIQS.(P)</t>
        </is>
      </c>
      <c r="I547" s="23" t="inlineStr">
        <is>
          <t>PASSAIC</t>
        </is>
      </c>
      <c r="J547" s="23" t="inlineStr">
        <is>
          <t>Constellation</t>
        </is>
      </c>
      <c r="K547" s="27" t="n">
        <v>0</v>
      </c>
      <c r="L547" s="23" t="inlineStr">
        <is>
          <t>Non-qualifying (&lt;10)</t>
        </is>
      </c>
      <c r="M547" s="24" t="n">
        <v>5</v>
      </c>
      <c r="N547" s="24" t="n">
        <v>5</v>
      </c>
      <c r="O547" s="23" t="inlineStr">
        <is>
          <t>Priority</t>
        </is>
      </c>
      <c r="P547" s="24" t="n">
        <v>0</v>
      </c>
      <c r="Q547" s="23" t="inlineStr">
        <is>
          <t>No</t>
        </is>
      </c>
      <c r="R547" s="23" t="inlineStr">
        <is>
          <t>MODELO CERVEZA</t>
        </is>
      </c>
      <c r="S547" s="23" t="inlineStr">
        <is>
          <t>MODELO CERVEZA</t>
        </is>
      </c>
      <c r="T547" s="23" t="inlineStr">
        <is>
          <t>CONSTELLATION BRANDS</t>
        </is>
      </c>
      <c r="U547" s="27" t="n">
        <v>1</v>
      </c>
      <c r="V547" s="23" t="inlineStr">
        <is>
          <t>No</t>
        </is>
      </c>
      <c r="W547" s="23" t="inlineStr">
        <is>
          <t>Constellation (5)</t>
        </is>
      </c>
      <c r="X547" s="23" t="inlineStr">
        <is>
          <t>—</t>
        </is>
      </c>
      <c r="Y547" s="28" t="inlineStr">
        <is>
          <t>View Photo</t>
        </is>
      </c>
    </row>
    <row r="548">
      <c r="A548" s="23" t="inlineStr">
        <is>
          <t>D0547</t>
        </is>
      </c>
      <c r="B548" s="23" t="inlineStr">
        <is>
          <t>08/04/2026</t>
        </is>
      </c>
      <c r="C548" s="23" t="inlineStr">
        <is>
          <t>08/04/2026 12:03 PM</t>
        </is>
      </c>
      <c r="D548" s="23" t="inlineStr">
        <is>
          <t>Michael Harboy</t>
        </is>
      </c>
      <c r="E548" s="23" t="inlineStr">
        <is>
          <t>Sales Rep</t>
        </is>
      </c>
      <c r="F548" s="23" t="inlineStr">
        <is>
          <t>Mike Kennedy</t>
        </is>
      </c>
      <c r="G548" s="23" t="inlineStr">
        <is>
          <t>150040</t>
        </is>
      </c>
      <c r="H548" s="23" t="inlineStr">
        <is>
          <t>KRAUSER'S LIQUOR LOCKER</t>
        </is>
      </c>
      <c r="I548" s="23" t="inlineStr">
        <is>
          <t>VERONA</t>
        </is>
      </c>
      <c r="J548" s="23" t="inlineStr">
        <is>
          <t>All Other: ARTISANAL BREWING VENTURES (EBI)</t>
        </is>
      </c>
      <c r="K548" s="27" t="n">
        <v>0</v>
      </c>
      <c r="L548" s="23" t="inlineStr">
        <is>
          <t>Non-qualifying (&lt;10)</t>
        </is>
      </c>
      <c r="M548" s="24" t="n">
        <v>5</v>
      </c>
      <c r="N548" s="24" t="n">
        <v>5</v>
      </c>
      <c r="O548" s="23" t="inlineStr">
        <is>
          <t>All Other</t>
        </is>
      </c>
      <c r="P548" s="24" t="n">
        <v>0</v>
      </c>
      <c r="Q548" s="23" t="inlineStr">
        <is>
          <t>No</t>
        </is>
      </c>
      <c r="R548" s="23" t="inlineStr">
        <is>
          <t>VICTORY BREWING COMPANY</t>
        </is>
      </c>
      <c r="S548" s="23" t="inlineStr">
        <is>
          <t>VICTORY BREWING COMPANY</t>
        </is>
      </c>
      <c r="T548" s="23" t="inlineStr">
        <is>
          <t>ARTISANAL BREWING VENTURES (EBI)</t>
        </is>
      </c>
      <c r="U548" s="27" t="n">
        <v>1</v>
      </c>
      <c r="V548" s="23" t="inlineStr">
        <is>
          <t>No</t>
        </is>
      </c>
      <c r="W548" s="23" t="inlineStr">
        <is>
          <t>All Other: ARTISANAL BREWING VENTURES (EBI) (5)</t>
        </is>
      </c>
      <c r="X548" s="23" t="inlineStr">
        <is>
          <t>—</t>
        </is>
      </c>
      <c r="Y548" s="28" t="inlineStr">
        <is>
          <t>View Photo</t>
        </is>
      </c>
    </row>
    <row r="549">
      <c r="A549" s="23" t="inlineStr">
        <is>
          <t>D0548</t>
        </is>
      </c>
      <c r="B549" s="23" t="inlineStr">
        <is>
          <t>08/11/2026</t>
        </is>
      </c>
      <c r="C549" s="23" t="inlineStr">
        <is>
          <t>08/11/2026 03:37 PM</t>
        </is>
      </c>
      <c r="D549" s="23" t="inlineStr">
        <is>
          <t>Nicholas Micco</t>
        </is>
      </c>
      <c r="E549" s="23" t="inlineStr">
        <is>
          <t>Sales Associate</t>
        </is>
      </c>
      <c r="F549" s="23" t="inlineStr">
        <is>
          <t>Michael Engel</t>
        </is>
      </c>
      <c r="G549" s="23" t="inlineStr">
        <is>
          <t>80005</t>
        </is>
      </c>
      <c r="H549" s="23" t="inlineStr">
        <is>
          <t>SHOP RITE LIQ (PARAMUS)</t>
        </is>
      </c>
      <c r="I549" s="23" t="inlineStr">
        <is>
          <t>PARAMUS</t>
        </is>
      </c>
      <c r="J549" s="23" t="inlineStr">
        <is>
          <t>Boston Beer</t>
        </is>
      </c>
      <c r="K549" s="27" t="n">
        <v>0</v>
      </c>
      <c r="L549" s="23" t="inlineStr">
        <is>
          <t>Non-qualifying (&lt;10)</t>
        </is>
      </c>
      <c r="M549" s="24" t="n">
        <v>5</v>
      </c>
      <c r="N549" s="24" t="n">
        <v>5</v>
      </c>
      <c r="O549" s="23" t="inlineStr">
        <is>
          <t>Priority</t>
        </is>
      </c>
      <c r="P549" s="24" t="n">
        <v>0</v>
      </c>
      <c r="Q549" s="23" t="inlineStr">
        <is>
          <t>No</t>
        </is>
      </c>
      <c r="R549" s="23" t="inlineStr">
        <is>
          <t>LYTT</t>
        </is>
      </c>
      <c r="S549" s="23" t="inlineStr">
        <is>
          <t>LYTT</t>
        </is>
      </c>
      <c r="T549" s="23" t="inlineStr">
        <is>
          <t>BOSTON BEER COMPANY</t>
        </is>
      </c>
      <c r="U549" s="27" t="n">
        <v>5</v>
      </c>
      <c r="V549" s="23" t="inlineStr">
        <is>
          <t>No</t>
        </is>
      </c>
      <c r="W549" s="23" t="inlineStr">
        <is>
          <t>Boston Beer (5)</t>
        </is>
      </c>
      <c r="X549" s="23" t="inlineStr">
        <is>
          <t>—</t>
        </is>
      </c>
      <c r="Y549" s="28" t="inlineStr">
        <is>
          <t>View Photo</t>
        </is>
      </c>
    </row>
    <row r="550">
      <c r="A550" s="23" t="inlineStr">
        <is>
          <t>D0549</t>
        </is>
      </c>
      <c r="B550" s="23" t="inlineStr">
        <is>
          <t>08/11/2026</t>
        </is>
      </c>
      <c r="C550" s="23" t="inlineStr">
        <is>
          <t>08/11/2026 04:00 PM</t>
        </is>
      </c>
      <c r="D550" s="23" t="inlineStr">
        <is>
          <t>Nicholas Micco</t>
        </is>
      </c>
      <c r="E550" s="23" t="inlineStr">
        <is>
          <t>Sales Associate</t>
        </is>
      </c>
      <c r="F550" s="23" t="inlineStr">
        <is>
          <t>Michael Engel</t>
        </is>
      </c>
      <c r="G550" s="23" t="inlineStr">
        <is>
          <t>83001</t>
        </is>
      </c>
      <c r="H550" s="23" t="inlineStr">
        <is>
          <t>FOOD UNIVERSE MARKETPLACE</t>
        </is>
      </c>
      <c r="I550" s="23" t="inlineStr">
        <is>
          <t>GLEN ROCK</t>
        </is>
      </c>
      <c r="J550" s="23" t="inlineStr">
        <is>
          <t>Boston Beer</t>
        </is>
      </c>
      <c r="K550" s="27" t="n">
        <v>0</v>
      </c>
      <c r="L550" s="23" t="inlineStr">
        <is>
          <t>Non-qualifying (&lt;10)</t>
        </is>
      </c>
      <c r="M550" s="24" t="n">
        <v>5</v>
      </c>
      <c r="N550" s="24" t="n">
        <v>5</v>
      </c>
      <c r="O550" s="23" t="inlineStr">
        <is>
          <t>Priority</t>
        </is>
      </c>
      <c r="P550" s="24" t="n">
        <v>0</v>
      </c>
      <c r="Q550" s="23" t="inlineStr">
        <is>
          <t>No</t>
        </is>
      </c>
      <c r="R550" s="23" t="inlineStr">
        <is>
          <t>LYTT</t>
        </is>
      </c>
      <c r="S550" s="23" t="inlineStr">
        <is>
          <t>LYTT</t>
        </is>
      </c>
      <c r="T550" s="23" t="inlineStr">
        <is>
          <t>BOSTON BEER COMPANY</t>
        </is>
      </c>
      <c r="U550" s="27" t="n">
        <v>5</v>
      </c>
      <c r="V550" s="23" t="inlineStr">
        <is>
          <t>No</t>
        </is>
      </c>
      <c r="W550" s="23" t="inlineStr">
        <is>
          <t>Boston Beer (5)</t>
        </is>
      </c>
      <c r="X550" s="23" t="inlineStr">
        <is>
          <t>—</t>
        </is>
      </c>
      <c r="Y550" s="28" t="inlineStr">
        <is>
          <t>View Photo</t>
        </is>
      </c>
    </row>
    <row r="551">
      <c r="A551" s="23" t="inlineStr">
        <is>
          <t>D0550</t>
        </is>
      </c>
      <c r="B551" s="23" t="inlineStr">
        <is>
          <t>08/17/2026</t>
        </is>
      </c>
      <c r="C551" s="23" t="inlineStr">
        <is>
          <t>08/17/2026 12:11 PM</t>
        </is>
      </c>
      <c r="D551" s="23" t="inlineStr">
        <is>
          <t>Dave Ehlers</t>
        </is>
      </c>
      <c r="E551" s="23" t="inlineStr">
        <is>
          <t>Sales Rep</t>
        </is>
      </c>
      <c r="F551" s="23" t="inlineStr">
        <is>
          <t>Michael Engel</t>
        </is>
      </c>
      <c r="G551" s="23" t="inlineStr">
        <is>
          <t>39012</t>
        </is>
      </c>
      <c r="H551" s="23" t="inlineStr">
        <is>
          <t>WINE AND LIQ DEPOT(A)</t>
        </is>
      </c>
      <c r="I551" s="23" t="inlineStr">
        <is>
          <t>SOUTH HACKENSAC</t>
        </is>
      </c>
      <c r="J551" s="23" t="inlineStr">
        <is>
          <t>Boston Beer</t>
        </is>
      </c>
      <c r="K551" s="27" t="n">
        <v>0</v>
      </c>
      <c r="L551" s="23" t="inlineStr">
        <is>
          <t>Non-qualifying (&lt;10)</t>
        </is>
      </c>
      <c r="M551" s="24" t="n">
        <v>5</v>
      </c>
      <c r="N551" s="24" t="n">
        <v>5</v>
      </c>
      <c r="O551" s="23" t="inlineStr">
        <is>
          <t>Priority</t>
        </is>
      </c>
      <c r="P551" s="24" t="n">
        <v>0</v>
      </c>
      <c r="Q551" s="23" t="inlineStr">
        <is>
          <t>No</t>
        </is>
      </c>
      <c r="R551" s="23" t="inlineStr">
        <is>
          <t>LYTT</t>
        </is>
      </c>
      <c r="S551" s="23" t="inlineStr">
        <is>
          <t>LYTT</t>
        </is>
      </c>
      <c r="T551" s="23" t="inlineStr">
        <is>
          <t>BOSTON BEER COMPANY</t>
        </is>
      </c>
      <c r="U551" s="27" t="n">
        <v>2</v>
      </c>
      <c r="V551" s="23" t="inlineStr">
        <is>
          <t>No</t>
        </is>
      </c>
      <c r="W551" s="23" t="inlineStr">
        <is>
          <t>Boston Beer (5)</t>
        </is>
      </c>
      <c r="X551" s="23" t="inlineStr">
        <is>
          <t>—</t>
        </is>
      </c>
      <c r="Y551" s="28" t="inlineStr">
        <is>
          <t>View Photo</t>
        </is>
      </c>
    </row>
    <row r="552">
      <c r="A552" s="23" t="inlineStr">
        <is>
          <t>D0551</t>
        </is>
      </c>
      <c r="B552" s="23" t="inlineStr">
        <is>
          <t>08/18/2026</t>
        </is>
      </c>
      <c r="C552" s="23" t="inlineStr">
        <is>
          <t>08/18/2026 09:41 AM</t>
        </is>
      </c>
      <c r="D552" s="23" t="inlineStr">
        <is>
          <t>Jay Tabasco</t>
        </is>
      </c>
      <c r="E552" s="23" t="inlineStr">
        <is>
          <t>Sales Associate</t>
        </is>
      </c>
      <c r="F552" s="23" t="inlineStr">
        <is>
          <t>Paul Deady</t>
        </is>
      </c>
      <c r="G552" s="23" t="inlineStr">
        <is>
          <t>190304</t>
        </is>
      </c>
      <c r="H552" s="23" t="inlineStr">
        <is>
          <t>SHOPPERS DISC LIQUOR</t>
        </is>
      </c>
      <c r="I552" s="23" t="inlineStr">
        <is>
          <t>LAKE HIAWATHA</t>
        </is>
      </c>
      <c r="J552" s="23" t="inlineStr">
        <is>
          <t>Boston Beer</t>
        </is>
      </c>
      <c r="K552" s="27" t="n">
        <v>0</v>
      </c>
      <c r="L552" s="23" t="inlineStr">
        <is>
          <t>Non-qualifying (&lt;10)</t>
        </is>
      </c>
      <c r="M552" s="24" t="n">
        <v>5</v>
      </c>
      <c r="N552" s="24" t="n">
        <v>5</v>
      </c>
      <c r="O552" s="23" t="inlineStr">
        <is>
          <t>Priority</t>
        </is>
      </c>
      <c r="P552" s="24" t="n">
        <v>0</v>
      </c>
      <c r="Q552" s="23" t="inlineStr">
        <is>
          <t>No</t>
        </is>
      </c>
      <c r="R552" s="23" t="inlineStr">
        <is>
          <t>LYTT</t>
        </is>
      </c>
      <c r="S552" s="23" t="inlineStr">
        <is>
          <t>LYTT</t>
        </is>
      </c>
      <c r="T552" s="23" t="inlineStr">
        <is>
          <t>BOSTON BEER COMPANY</t>
        </is>
      </c>
      <c r="U552" s="27" t="n">
        <v>1</v>
      </c>
      <c r="V552" s="23" t="inlineStr">
        <is>
          <t>No</t>
        </is>
      </c>
      <c r="W552" s="23" t="inlineStr">
        <is>
          <t>Boston Beer (5)</t>
        </is>
      </c>
      <c r="X552" s="23" t="inlineStr">
        <is>
          <t>—</t>
        </is>
      </c>
      <c r="Y552" s="28" t="inlineStr">
        <is>
          <t>View Photo</t>
        </is>
      </c>
    </row>
    <row r="553">
      <c r="A553" s="23" t="inlineStr">
        <is>
          <t>D0552</t>
        </is>
      </c>
      <c r="B553" s="23" t="inlineStr">
        <is>
          <t>08/24/2026</t>
        </is>
      </c>
      <c r="C553" s="23" t="inlineStr">
        <is>
          <t>08/24/2026 01:29 PM</t>
        </is>
      </c>
      <c r="D553" s="23" t="inlineStr">
        <is>
          <t>Nicholas Micco</t>
        </is>
      </c>
      <c r="E553" s="23" t="inlineStr">
        <is>
          <t>Sales Associate</t>
        </is>
      </c>
      <c r="F553" s="23" t="inlineStr">
        <is>
          <t>Michael Engel</t>
        </is>
      </c>
      <c r="G553" s="23" t="inlineStr">
        <is>
          <t>29004</t>
        </is>
      </c>
      <c r="H553" s="23" t="inlineStr">
        <is>
          <t>SHOP-RITE LIQ LYNDHURST</t>
        </is>
      </c>
      <c r="I553" s="23" t="inlineStr">
        <is>
          <t>LYNDHURST</t>
        </is>
      </c>
      <c r="J553" s="23" t="inlineStr">
        <is>
          <t>Boston Beer</t>
        </is>
      </c>
      <c r="K553" s="27" t="n">
        <v>0</v>
      </c>
      <c r="L553" s="23" t="inlineStr">
        <is>
          <t>Non-qualifying (&lt;10)</t>
        </is>
      </c>
      <c r="M553" s="24" t="n">
        <v>5</v>
      </c>
      <c r="N553" s="24" t="n">
        <v>5</v>
      </c>
      <c r="O553" s="23" t="inlineStr">
        <is>
          <t>Priority</t>
        </is>
      </c>
      <c r="P553" s="24" t="n">
        <v>0</v>
      </c>
      <c r="Q553" s="23" t="inlineStr">
        <is>
          <t>No</t>
        </is>
      </c>
      <c r="R553" s="23" t="inlineStr">
        <is>
          <t>LYTT</t>
        </is>
      </c>
      <c r="S553" s="23" t="inlineStr">
        <is>
          <t>LYTT</t>
        </is>
      </c>
      <c r="T553" s="23" t="inlineStr">
        <is>
          <t>BOSTON BEER COMPANY</t>
        </is>
      </c>
      <c r="U553" s="27" t="n">
        <v>5</v>
      </c>
      <c r="V553" s="23" t="inlineStr">
        <is>
          <t>No</t>
        </is>
      </c>
      <c r="W553" s="23" t="inlineStr">
        <is>
          <t>Boston Beer (5)</t>
        </is>
      </c>
      <c r="X553" s="23" t="inlineStr">
        <is>
          <t>—</t>
        </is>
      </c>
      <c r="Y553" s="28" t="inlineStr">
        <is>
          <t>View Photo</t>
        </is>
      </c>
    </row>
    <row r="554">
      <c r="A554" s="23" t="inlineStr">
        <is>
          <t>D0553</t>
        </is>
      </c>
      <c r="B554" s="23" t="inlineStr">
        <is>
          <t>08/25/2026</t>
        </is>
      </c>
      <c r="C554" s="23" t="inlineStr">
        <is>
          <t>08/25/2026 11:05 AM</t>
        </is>
      </c>
      <c r="D554" s="23" t="inlineStr">
        <is>
          <t>Jay Tabasco</t>
        </is>
      </c>
      <c r="E554" s="23" t="inlineStr">
        <is>
          <t>Sales Associate</t>
        </is>
      </c>
      <c r="F554" s="23" t="inlineStr">
        <is>
          <t>Paul Deady</t>
        </is>
      </c>
      <c r="G554" s="23" t="inlineStr">
        <is>
          <t>230441</t>
        </is>
      </c>
      <c r="H554" s="23" t="inlineStr">
        <is>
          <t>WINE COUNTRY NEWTON</t>
        </is>
      </c>
      <c r="I554" s="23" t="inlineStr">
        <is>
          <t>NEWTON</t>
        </is>
      </c>
      <c r="J554" s="23" t="inlineStr">
        <is>
          <t>Boston Beer</t>
        </is>
      </c>
      <c r="K554" s="27" t="n">
        <v>0</v>
      </c>
      <c r="L554" s="23" t="inlineStr">
        <is>
          <t>Non-qualifying (&lt;10)</t>
        </is>
      </c>
      <c r="M554" s="24" t="n">
        <v>5</v>
      </c>
      <c r="N554" s="24" t="n">
        <v>5</v>
      </c>
      <c r="O554" s="23" t="inlineStr">
        <is>
          <t>Priority</t>
        </is>
      </c>
      <c r="P554" s="24" t="n">
        <v>0</v>
      </c>
      <c r="Q554" s="23" t="inlineStr">
        <is>
          <t>No</t>
        </is>
      </c>
      <c r="R554" s="23" t="inlineStr">
        <is>
          <t>LYTT</t>
        </is>
      </c>
      <c r="S554" s="23" t="inlineStr">
        <is>
          <t>LYTT</t>
        </is>
      </c>
      <c r="T554" s="23" t="inlineStr">
        <is>
          <t>BOSTON BEER COMPANY</t>
        </is>
      </c>
      <c r="U554" s="27" t="n">
        <v>1</v>
      </c>
      <c r="V554" s="23" t="inlineStr">
        <is>
          <t>No</t>
        </is>
      </c>
      <c r="W554" s="23" t="inlineStr">
        <is>
          <t>Boston Beer (5)</t>
        </is>
      </c>
      <c r="X554" s="23" t="inlineStr">
        <is>
          <t>—</t>
        </is>
      </c>
      <c r="Y554" s="28" t="inlineStr">
        <is>
          <t>View Photo</t>
        </is>
      </c>
    </row>
    <row r="555">
      <c r="A555" s="23" t="inlineStr">
        <is>
          <t>D0554</t>
        </is>
      </c>
      <c r="B555" s="23" t="inlineStr">
        <is>
          <t>08/28/2026</t>
        </is>
      </c>
      <c r="C555" s="23" t="inlineStr">
        <is>
          <t>08/28/2026 03:09 PM</t>
        </is>
      </c>
      <c r="D555" s="23" t="inlineStr">
        <is>
          <t>Jay Tabasco</t>
        </is>
      </c>
      <c r="E555" s="23" t="inlineStr">
        <is>
          <t>Sales Associate</t>
        </is>
      </c>
      <c r="F555" s="23" t="inlineStr">
        <is>
          <t>Paul Deady</t>
        </is>
      </c>
      <c r="G555" s="23" t="inlineStr">
        <is>
          <t>60001</t>
        </is>
      </c>
      <c r="H555" s="23" t="inlineStr">
        <is>
          <t>BOTTLE KING (A) DUMONT</t>
        </is>
      </c>
      <c r="I555" s="23" t="inlineStr">
        <is>
          <t>DUMONT</t>
        </is>
      </c>
      <c r="J555" s="23" t="inlineStr">
        <is>
          <t>Boston Beer</t>
        </is>
      </c>
      <c r="K555" s="27" t="n">
        <v>0</v>
      </c>
      <c r="L555" s="23" t="inlineStr">
        <is>
          <t>Non-qualifying (&lt;10)</t>
        </is>
      </c>
      <c r="M555" s="24" t="n">
        <v>5</v>
      </c>
      <c r="N555" s="24" t="n">
        <v>5</v>
      </c>
      <c r="O555" s="23" t="inlineStr">
        <is>
          <t>Priority</t>
        </is>
      </c>
      <c r="P555" s="24" t="n">
        <v>0</v>
      </c>
      <c r="Q555" s="23" t="inlineStr">
        <is>
          <t>No</t>
        </is>
      </c>
      <c r="R555" s="23" t="inlineStr">
        <is>
          <t>LYTT</t>
        </is>
      </c>
      <c r="S555" s="23" t="inlineStr">
        <is>
          <t>LYTT</t>
        </is>
      </c>
      <c r="T555" s="23" t="inlineStr">
        <is>
          <t>BOSTON BEER COMPANY</t>
        </is>
      </c>
      <c r="U555" s="27" t="n">
        <v>1</v>
      </c>
      <c r="V555" s="23" t="inlineStr">
        <is>
          <t>No</t>
        </is>
      </c>
      <c r="W555" s="23" t="inlineStr">
        <is>
          <t>Boston Beer (5)</t>
        </is>
      </c>
      <c r="X555" s="23" t="inlineStr">
        <is>
          <t>—</t>
        </is>
      </c>
      <c r="Y555" s="28" t="inlineStr">
        <is>
          <t>View Photo</t>
        </is>
      </c>
    </row>
    <row r="556">
      <c r="A556" s="23" t="inlineStr">
        <is>
          <t>D0555</t>
        </is>
      </c>
      <c r="B556" s="23" t="inlineStr">
        <is>
          <t>07/21/2026</t>
        </is>
      </c>
      <c r="C556" s="23" t="inlineStr">
        <is>
          <t>07/21/2026 01:46 PM</t>
        </is>
      </c>
      <c r="D556" s="23" t="inlineStr">
        <is>
          <t>Pablo Lopez</t>
        </is>
      </c>
      <c r="E556" s="23" t="inlineStr">
        <is>
          <t>Sales Rep</t>
        </is>
      </c>
      <c r="F556" s="23" t="inlineStr">
        <is>
          <t>Denise Montes</t>
        </is>
      </c>
      <c r="G556" s="23" t="inlineStr">
        <is>
          <t>20014</t>
        </is>
      </c>
      <c r="H556" s="23" t="inlineStr">
        <is>
          <t>BOMBOLON LIQUOR &amp; GROCERY</t>
        </is>
      </c>
      <c r="I556" s="23" t="inlineStr">
        <is>
          <t>PATERSON</t>
        </is>
      </c>
      <c r="J556" s="23" t="inlineStr">
        <is>
          <t>Constellation</t>
        </is>
      </c>
      <c r="K556" s="27" t="n">
        <v>0</v>
      </c>
      <c r="L556" s="23" t="inlineStr">
        <is>
          <t>Non-qualifying (&lt;10)</t>
        </is>
      </c>
      <c r="M556" s="24" t="n">
        <v>4</v>
      </c>
      <c r="N556" s="24" t="n">
        <v>4</v>
      </c>
      <c r="O556" s="23" t="inlineStr">
        <is>
          <t>Priority</t>
        </is>
      </c>
      <c r="P556" s="24" t="n">
        <v>0</v>
      </c>
      <c r="Q556" s="23" t="inlineStr">
        <is>
          <t>No</t>
        </is>
      </c>
      <c r="R556" s="23" t="inlineStr">
        <is>
          <t>MODELO CERVEZA</t>
        </is>
      </c>
      <c r="S556" s="23" t="inlineStr">
        <is>
          <t>MODELO CERVEZA</t>
        </is>
      </c>
      <c r="T556" s="23" t="inlineStr">
        <is>
          <t>CONSTELLATION BRANDS</t>
        </is>
      </c>
      <c r="U556" s="27" t="n">
        <v>1</v>
      </c>
      <c r="V556" s="23" t="inlineStr">
        <is>
          <t>No</t>
        </is>
      </c>
      <c r="W556" s="23" t="inlineStr">
        <is>
          <t>Constellation (4)</t>
        </is>
      </c>
      <c r="X556" s="23" t="inlineStr">
        <is>
          <t>—</t>
        </is>
      </c>
      <c r="Y556" s="28" t="inlineStr">
        <is>
          <t>View Photo</t>
        </is>
      </c>
    </row>
    <row r="557">
      <c r="A557" s="23" t="inlineStr">
        <is>
          <t>D0556</t>
        </is>
      </c>
      <c r="B557" s="23" t="inlineStr">
        <is>
          <t>07/23/2026</t>
        </is>
      </c>
      <c r="C557" s="23" t="inlineStr">
        <is>
          <t>07/23/2026 11:33 AM</t>
        </is>
      </c>
      <c r="D557" s="23" t="inlineStr">
        <is>
          <t>patrick infante</t>
        </is>
      </c>
      <c r="E557" s="23" t="inlineStr">
        <is>
          <t>Sales Associate</t>
        </is>
      </c>
      <c r="F557" s="23" t="inlineStr">
        <is>
          <t>Denise Montes</t>
        </is>
      </c>
      <c r="G557" s="23" t="inlineStr">
        <is>
          <t>20014</t>
        </is>
      </c>
      <c r="H557" s="23" t="inlineStr">
        <is>
          <t>BOMBOLON LIQUOR &amp; GROCERY</t>
        </is>
      </c>
      <c r="I557" s="23" t="inlineStr">
        <is>
          <t>PATERSON</t>
        </is>
      </c>
      <c r="J557" s="23" t="inlineStr">
        <is>
          <t>Constellation</t>
        </is>
      </c>
      <c r="K557" s="27" t="n">
        <v>0</v>
      </c>
      <c r="L557" s="23" t="inlineStr">
        <is>
          <t>Non-qualifying (&lt;10)</t>
        </is>
      </c>
      <c r="M557" s="24" t="n">
        <v>4</v>
      </c>
      <c r="N557" s="24" t="n">
        <v>4</v>
      </c>
      <c r="O557" s="23" t="inlineStr">
        <is>
          <t>Priority</t>
        </is>
      </c>
      <c r="P557" s="24" t="n">
        <v>0</v>
      </c>
      <c r="Q557" s="23" t="inlineStr">
        <is>
          <t>No</t>
        </is>
      </c>
      <c r="R557" s="23" t="inlineStr">
        <is>
          <t>MODELO CERVEZA</t>
        </is>
      </c>
      <c r="S557" s="23" t="inlineStr">
        <is>
          <t>MODELO CERVEZA</t>
        </is>
      </c>
      <c r="T557" s="23" t="inlineStr">
        <is>
          <t>CONSTELLATION BRANDS</t>
        </is>
      </c>
      <c r="U557" s="27" t="n">
        <v>1</v>
      </c>
      <c r="V557" s="23" t="inlineStr">
        <is>
          <t>No</t>
        </is>
      </c>
      <c r="W557" s="23" t="inlineStr">
        <is>
          <t>Constellation (4)</t>
        </is>
      </c>
      <c r="X557" s="23" t="inlineStr">
        <is>
          <t>—</t>
        </is>
      </c>
      <c r="Y557" s="28" t="inlineStr">
        <is>
          <t>View Photo</t>
        </is>
      </c>
    </row>
    <row r="558">
      <c r="A558" s="23" t="inlineStr">
        <is>
          <t>D0557</t>
        </is>
      </c>
      <c r="B558" s="23" t="inlineStr">
        <is>
          <t>07/28/2026</t>
        </is>
      </c>
      <c r="C558" s="23" t="inlineStr">
        <is>
          <t>07/28/2026 12:15 PM</t>
        </is>
      </c>
      <c r="D558" s="23" t="inlineStr">
        <is>
          <t>Dylan Rubino</t>
        </is>
      </c>
      <c r="E558" s="23" t="inlineStr">
        <is>
          <t>Sales Rep</t>
        </is>
      </c>
      <c r="F558" s="23" t="inlineStr">
        <is>
          <t>Mike Kennedy</t>
        </is>
      </c>
      <c r="G558" s="23" t="inlineStr">
        <is>
          <t>170031</t>
        </is>
      </c>
      <c r="H558" s="23" t="inlineStr">
        <is>
          <t>CITY LIQUORS</t>
        </is>
      </c>
      <c r="I558" s="23" t="inlineStr">
        <is>
          <t>JERSEY CITY</t>
        </is>
      </c>
      <c r="J558" s="23" t="inlineStr">
        <is>
          <t>Sapporo</t>
        </is>
      </c>
      <c r="K558" s="27" t="n">
        <v>0</v>
      </c>
      <c r="L558" s="23" t="inlineStr">
        <is>
          <t>Non-qualifying (&lt;10)</t>
        </is>
      </c>
      <c r="M558" s="24" t="n">
        <v>4</v>
      </c>
      <c r="N558" s="24" t="n">
        <v>4</v>
      </c>
      <c r="O558" s="23" t="inlineStr">
        <is>
          <t>Priority</t>
        </is>
      </c>
      <c r="P558" s="24" t="n">
        <v>0</v>
      </c>
      <c r="Q558" s="23" t="inlineStr">
        <is>
          <t>No</t>
        </is>
      </c>
      <c r="R558" s="23" t="inlineStr">
        <is>
          <t>SAPPORO</t>
        </is>
      </c>
      <c r="S558" s="23" t="inlineStr">
        <is>
          <t>SAPPORO</t>
        </is>
      </c>
      <c r="T558" s="23" t="inlineStr">
        <is>
          <t>SAPPORO</t>
        </is>
      </c>
      <c r="U558" s="27" t="n">
        <v>1</v>
      </c>
      <c r="V558" s="23" t="inlineStr">
        <is>
          <t>No</t>
        </is>
      </c>
      <c r="W558" s="23" t="inlineStr">
        <is>
          <t>Sapporo (4)</t>
        </is>
      </c>
      <c r="X558" s="23" t="inlineStr">
        <is>
          <t>—</t>
        </is>
      </c>
      <c r="Y558" s="28" t="inlineStr">
        <is>
          <t>View Photo</t>
        </is>
      </c>
    </row>
    <row r="559">
      <c r="A559" s="23" t="inlineStr">
        <is>
          <t>D0558</t>
        </is>
      </c>
      <c r="B559" s="23" t="inlineStr">
        <is>
          <t>07/31/2026</t>
        </is>
      </c>
      <c r="C559" s="23" t="inlineStr">
        <is>
          <t>07/31/2026 01:18 PM</t>
        </is>
      </c>
      <c r="D559" s="23" t="inlineStr">
        <is>
          <t>mickey obrien</t>
        </is>
      </c>
      <c r="E559" s="23" t="inlineStr">
        <is>
          <t>Sales Associate</t>
        </is>
      </c>
      <c r="F559" s="23" t="inlineStr">
        <is>
          <t>Michael Engel</t>
        </is>
      </c>
      <c r="G559" s="23" t="inlineStr">
        <is>
          <t>25045</t>
        </is>
      </c>
      <c r="H559" s="23" t="inlineStr">
        <is>
          <t>CLIFTON DISC LIQ (A)</t>
        </is>
      </c>
      <c r="I559" s="23" t="inlineStr">
        <is>
          <t>CLIFTON</t>
        </is>
      </c>
      <c r="J559" s="23" t="inlineStr">
        <is>
          <t>HUSA (Heineken USA)</t>
        </is>
      </c>
      <c r="K559" s="27" t="n">
        <v>0</v>
      </c>
      <c r="L559" s="23" t="inlineStr">
        <is>
          <t>Non-qualifying (&lt;10)</t>
        </is>
      </c>
      <c r="M559" s="24" t="n">
        <v>4</v>
      </c>
      <c r="N559" s="24" t="n">
        <v>4</v>
      </c>
      <c r="O559" s="23" t="inlineStr">
        <is>
          <t>Priority</t>
        </is>
      </c>
      <c r="P559" s="24" t="n">
        <v>0</v>
      </c>
      <c r="Q559" s="23" t="inlineStr">
        <is>
          <t>No</t>
        </is>
      </c>
      <c r="R559" s="23" t="inlineStr">
        <is>
          <t>DOS EQUIS</t>
        </is>
      </c>
      <c r="S559" s="23" t="inlineStr">
        <is>
          <t>DOS EQUIS</t>
        </is>
      </c>
      <c r="T559" s="23" t="inlineStr">
        <is>
          <t>HEINEKEN</t>
        </is>
      </c>
      <c r="U559" s="27" t="n">
        <v>1</v>
      </c>
      <c r="V559" s="23" t="inlineStr">
        <is>
          <t>No</t>
        </is>
      </c>
      <c r="W559" s="23" t="inlineStr">
        <is>
          <t>HUSA (Heineken USA) (4)</t>
        </is>
      </c>
      <c r="X559" s="23" t="inlineStr">
        <is>
          <t>—</t>
        </is>
      </c>
      <c r="Y559" s="28" t="inlineStr">
        <is>
          <t>View Photo</t>
        </is>
      </c>
    </row>
    <row r="560">
      <c r="A560" s="23" t="inlineStr">
        <is>
          <t>D0559</t>
        </is>
      </c>
      <c r="B560" s="23" t="inlineStr">
        <is>
          <t>08/11/2026</t>
        </is>
      </c>
      <c r="C560" s="23" t="inlineStr">
        <is>
          <t>08/11/2026 03:14 PM</t>
        </is>
      </c>
      <c r="D560" s="23" t="inlineStr">
        <is>
          <t>Nicholas Micco</t>
        </is>
      </c>
      <c r="E560" s="23" t="inlineStr">
        <is>
          <t>Sales Associate</t>
        </is>
      </c>
      <c r="F560" s="23" t="inlineStr">
        <is>
          <t>Michael Engel</t>
        </is>
      </c>
      <c r="G560" s="23" t="inlineStr">
        <is>
          <t>38018</t>
        </is>
      </c>
      <c r="H560" s="23" t="inlineStr">
        <is>
          <t>THE BOTTLE SHOP</t>
        </is>
      </c>
      <c r="I560" s="23" t="inlineStr">
        <is>
          <t>LODI</t>
        </is>
      </c>
      <c r="J560" s="23" t="inlineStr">
        <is>
          <t>Boston Beer</t>
        </is>
      </c>
      <c r="K560" s="27" t="n">
        <v>0</v>
      </c>
      <c r="L560" s="23" t="inlineStr">
        <is>
          <t>Non-qualifying (&lt;10)</t>
        </is>
      </c>
      <c r="M560" s="24" t="n">
        <v>4</v>
      </c>
      <c r="N560" s="24" t="n">
        <v>4</v>
      </c>
      <c r="O560" s="23" t="inlineStr">
        <is>
          <t>Priority</t>
        </is>
      </c>
      <c r="P560" s="24" t="n">
        <v>0</v>
      </c>
      <c r="Q560" s="23" t="inlineStr">
        <is>
          <t>No</t>
        </is>
      </c>
      <c r="R560" s="23" t="inlineStr">
        <is>
          <t>LYTT</t>
        </is>
      </c>
      <c r="S560" s="23" t="inlineStr">
        <is>
          <t>LYTT</t>
        </is>
      </c>
      <c r="T560" s="23" t="inlineStr">
        <is>
          <t>BOSTON BEER COMPANY</t>
        </is>
      </c>
      <c r="U560" s="27" t="n">
        <v>4</v>
      </c>
      <c r="V560" s="23" t="inlineStr">
        <is>
          <t>No</t>
        </is>
      </c>
      <c r="W560" s="23" t="inlineStr">
        <is>
          <t>Boston Beer (4)</t>
        </is>
      </c>
      <c r="X560" s="23" t="inlineStr">
        <is>
          <t>—</t>
        </is>
      </c>
      <c r="Y560" s="28" t="inlineStr">
        <is>
          <t>View Photo</t>
        </is>
      </c>
    </row>
    <row r="561">
      <c r="A561" s="23" t="inlineStr">
        <is>
          <t>D0560</t>
        </is>
      </c>
      <c r="B561" s="23" t="inlineStr">
        <is>
          <t>08/12/2026</t>
        </is>
      </c>
      <c r="C561" s="23" t="inlineStr">
        <is>
          <t>08/12/2026 03:04 PM</t>
        </is>
      </c>
      <c r="D561" s="23" t="inlineStr">
        <is>
          <t>Dylan Rubino</t>
        </is>
      </c>
      <c r="E561" s="23" t="inlineStr">
        <is>
          <t>Sales Rep</t>
        </is>
      </c>
      <c r="F561" s="23" t="inlineStr">
        <is>
          <t>Mike Kennedy</t>
        </is>
      </c>
      <c r="G561" s="23" t="inlineStr">
        <is>
          <t>170169</t>
        </is>
      </c>
      <c r="H561" s="23" t="inlineStr">
        <is>
          <t>BUY RITE NORTH BERGEN</t>
        </is>
      </c>
      <c r="I561" s="23" t="inlineStr">
        <is>
          <t>NORTH BERGEN</t>
        </is>
      </c>
      <c r="J561" s="23" t="inlineStr">
        <is>
          <t>All Other: CENTRAL BEER IMPORT &amp; EXPORT FAMOSA</t>
        </is>
      </c>
      <c r="K561" s="27" t="n">
        <v>0</v>
      </c>
      <c r="L561" s="23" t="inlineStr">
        <is>
          <t>Non-qualifying (&lt;10)</t>
        </is>
      </c>
      <c r="M561" s="24" t="n">
        <v>4</v>
      </c>
      <c r="N561" s="24" t="n">
        <v>4</v>
      </c>
      <c r="O561" s="23" t="inlineStr">
        <is>
          <t>All Other</t>
        </is>
      </c>
      <c r="P561" s="24" t="n">
        <v>0</v>
      </c>
      <c r="Q561" s="23" t="inlineStr">
        <is>
          <t>No</t>
        </is>
      </c>
      <c r="R561" s="23" t="inlineStr">
        <is>
          <t>FAMOSA</t>
        </is>
      </c>
      <c r="S561" s="23" t="inlineStr">
        <is>
          <t>FAMOSA</t>
        </is>
      </c>
      <c r="T561" s="23" t="inlineStr">
        <is>
          <t>CENTRAL BEER IMPORT &amp; EXPORT FAMOSA</t>
        </is>
      </c>
      <c r="U561" s="27" t="n">
        <v>1</v>
      </c>
      <c r="V561" s="23" t="inlineStr">
        <is>
          <t>No</t>
        </is>
      </c>
      <c r="W561" s="23" t="inlineStr">
        <is>
          <t>All Other: CENTRAL BEER IMPORT &amp; EXPORT FAMOSA (4)</t>
        </is>
      </c>
      <c r="X561" s="23" t="inlineStr">
        <is>
          <t>—</t>
        </is>
      </c>
      <c r="Y561" s="28" t="inlineStr">
        <is>
          <t>View Photo</t>
        </is>
      </c>
    </row>
    <row r="562">
      <c r="A562" s="23" t="inlineStr">
        <is>
          <t>D0561</t>
        </is>
      </c>
      <c r="B562" s="23" t="inlineStr">
        <is>
          <t>08/18/2026</t>
        </is>
      </c>
      <c r="C562" s="23" t="inlineStr">
        <is>
          <t>08/18/2026 01:05 PM</t>
        </is>
      </c>
      <c r="D562" s="23" t="inlineStr">
        <is>
          <t>patrick infante</t>
        </is>
      </c>
      <c r="E562" s="23" t="inlineStr">
        <is>
          <t>Sales Associate</t>
        </is>
      </c>
      <c r="F562" s="23" t="inlineStr">
        <is>
          <t>Denise Montes</t>
        </is>
      </c>
      <c r="G562" s="23" t="inlineStr">
        <is>
          <t>37068</t>
        </is>
      </c>
      <c r="H562" s="23" t="inlineStr">
        <is>
          <t>WHOOPEE LIQ (A)</t>
        </is>
      </c>
      <c r="I562" s="23" t="inlineStr">
        <is>
          <t>GARFIELD</t>
        </is>
      </c>
      <c r="J562" s="23" t="inlineStr">
        <is>
          <t>Boston Beer</t>
        </is>
      </c>
      <c r="K562" s="27" t="n">
        <v>0</v>
      </c>
      <c r="L562" s="23" t="inlineStr">
        <is>
          <t>Non-qualifying (&lt;10)</t>
        </is>
      </c>
      <c r="M562" s="24" t="n">
        <v>4</v>
      </c>
      <c r="N562" s="24" t="n">
        <v>4</v>
      </c>
      <c r="O562" s="23" t="inlineStr">
        <is>
          <t>Priority</t>
        </is>
      </c>
      <c r="P562" s="24" t="n">
        <v>0</v>
      </c>
      <c r="Q562" s="23" t="inlineStr">
        <is>
          <t>No</t>
        </is>
      </c>
      <c r="R562" s="23" t="inlineStr">
        <is>
          <t>LYTT</t>
        </is>
      </c>
      <c r="S562" s="23" t="inlineStr">
        <is>
          <t>LYTT</t>
        </is>
      </c>
      <c r="T562" s="23" t="inlineStr">
        <is>
          <t>BOSTON BEER COMPANY</t>
        </is>
      </c>
      <c r="U562" s="27" t="n">
        <v>4</v>
      </c>
      <c r="V562" s="23" t="inlineStr">
        <is>
          <t>No</t>
        </is>
      </c>
      <c r="W562" s="23" t="inlineStr">
        <is>
          <t>Boston Beer (4)</t>
        </is>
      </c>
      <c r="X562" s="23" t="inlineStr">
        <is>
          <t>—</t>
        </is>
      </c>
      <c r="Y562" s="28" t="inlineStr">
        <is>
          <t>View Photo</t>
        </is>
      </c>
    </row>
    <row r="563">
      <c r="A563" s="23" t="inlineStr">
        <is>
          <t>D0562</t>
        </is>
      </c>
      <c r="B563" s="23" t="inlineStr">
        <is>
          <t>08/18/2026</t>
        </is>
      </c>
      <c r="C563" s="23" t="inlineStr">
        <is>
          <t>08/18/2026 10:30 AM</t>
        </is>
      </c>
      <c r="D563" s="23" t="inlineStr">
        <is>
          <t>patrick infante</t>
        </is>
      </c>
      <c r="E563" s="23" t="inlineStr">
        <is>
          <t>Sales Associate</t>
        </is>
      </c>
      <c r="F563" s="23" t="inlineStr">
        <is>
          <t>Denise Montes</t>
        </is>
      </c>
      <c r="G563" s="23" t="inlineStr">
        <is>
          <t>31033</t>
        </is>
      </c>
      <c r="H563" s="23" t="inlineStr">
        <is>
          <t>CAPRI DELI&amp;LIQ (P)</t>
        </is>
      </c>
      <c r="I563" s="23" t="inlineStr">
        <is>
          <t>EAST RUTHERFORD</t>
        </is>
      </c>
      <c r="J563" s="23" t="inlineStr">
        <is>
          <t>Boston Beer</t>
        </is>
      </c>
      <c r="K563" s="27" t="n">
        <v>0</v>
      </c>
      <c r="L563" s="23" t="inlineStr">
        <is>
          <t>Non-qualifying (&lt;10)</t>
        </is>
      </c>
      <c r="M563" s="24" t="n">
        <v>4</v>
      </c>
      <c r="N563" s="24" t="n">
        <v>4</v>
      </c>
      <c r="O563" s="23" t="inlineStr">
        <is>
          <t>Priority</t>
        </is>
      </c>
      <c r="P563" s="24" t="n">
        <v>0</v>
      </c>
      <c r="Q563" s="23" t="inlineStr">
        <is>
          <t>No</t>
        </is>
      </c>
      <c r="R563" s="23" t="inlineStr">
        <is>
          <t>LYTT</t>
        </is>
      </c>
      <c r="S563" s="23" t="inlineStr">
        <is>
          <t>LYTT</t>
        </is>
      </c>
      <c r="T563" s="23" t="inlineStr">
        <is>
          <t>BOSTON BEER COMPANY</t>
        </is>
      </c>
      <c r="U563" s="27" t="n">
        <v>4</v>
      </c>
      <c r="V563" s="23" t="inlineStr">
        <is>
          <t>No</t>
        </is>
      </c>
      <c r="W563" s="23" t="inlineStr">
        <is>
          <t>Boston Beer (4)</t>
        </is>
      </c>
      <c r="X563" s="23" t="inlineStr">
        <is>
          <t>—</t>
        </is>
      </c>
      <c r="Y563" s="28" t="inlineStr">
        <is>
          <t>View Photo</t>
        </is>
      </c>
    </row>
    <row r="564">
      <c r="A564" s="23" t="inlineStr">
        <is>
          <t>D0563</t>
        </is>
      </c>
      <c r="B564" s="23" t="inlineStr">
        <is>
          <t>08/25/2026</t>
        </is>
      </c>
      <c r="C564" s="23" t="inlineStr">
        <is>
          <t>08/25/2026 03:40 PM</t>
        </is>
      </c>
      <c r="D564" s="23" t="inlineStr">
        <is>
          <t>phil Ernst</t>
        </is>
      </c>
      <c r="E564" s="23" t="inlineStr">
        <is>
          <t>Sales Rep</t>
        </is>
      </c>
      <c r="F564" s="23" t="inlineStr">
        <is>
          <t>Michael Engel</t>
        </is>
      </c>
      <c r="G564" s="23" t="inlineStr">
        <is>
          <t>80005</t>
        </is>
      </c>
      <c r="H564" s="23" t="inlineStr">
        <is>
          <t>SHOP RITE LIQ (PARAMUS)</t>
        </is>
      </c>
      <c r="I564" s="23" t="inlineStr">
        <is>
          <t>PARAMUS</t>
        </is>
      </c>
      <c r="J564" s="23" t="inlineStr">
        <is>
          <t>Molson Coors</t>
        </is>
      </c>
      <c r="K564" s="27" t="n">
        <v>0</v>
      </c>
      <c r="L564" s="23" t="inlineStr">
        <is>
          <t>Non-qualifying (&lt;10)</t>
        </is>
      </c>
      <c r="M564" s="24" t="n">
        <v>4</v>
      </c>
      <c r="N564" s="24" t="n">
        <v>4</v>
      </c>
      <c r="O564" s="23" t="inlineStr">
        <is>
          <t>Priority</t>
        </is>
      </c>
      <c r="P564" s="24" t="n">
        <v>0</v>
      </c>
      <c r="Q564" s="23" t="inlineStr">
        <is>
          <t>No</t>
        </is>
      </c>
      <c r="R564" s="23" t="inlineStr">
        <is>
          <t>LEINENKUGEL'S</t>
        </is>
      </c>
      <c r="S564" s="23" t="inlineStr">
        <is>
          <t>LEINENKUGEL'S</t>
        </is>
      </c>
      <c r="T564" s="23" t="inlineStr">
        <is>
          <t>MOLSON COORS BEVERAGE COMPANY</t>
        </is>
      </c>
      <c r="U564" s="27" t="n">
        <v>1</v>
      </c>
      <c r="V564" s="23" t="inlineStr">
        <is>
          <t>No</t>
        </is>
      </c>
      <c r="W564" s="23" t="inlineStr">
        <is>
          <t>Molson Coors (4)</t>
        </is>
      </c>
      <c r="X564" s="23" t="inlineStr">
        <is>
          <t>—</t>
        </is>
      </c>
      <c r="Y564" s="28" t="inlineStr">
        <is>
          <t>View Photo</t>
        </is>
      </c>
    </row>
    <row r="565">
      <c r="A565" s="23" t="inlineStr">
        <is>
          <t>D0564</t>
        </is>
      </c>
      <c r="B565" s="23" t="inlineStr">
        <is>
          <t>08/25/2026</t>
        </is>
      </c>
      <c r="C565" s="23" t="inlineStr">
        <is>
          <t>08/25/2026 03:41 PM</t>
        </is>
      </c>
      <c r="D565" s="23" t="inlineStr">
        <is>
          <t>phil Ernst</t>
        </is>
      </c>
      <c r="E565" s="23" t="inlineStr">
        <is>
          <t>Sales Rep</t>
        </is>
      </c>
      <c r="F565" s="23" t="inlineStr">
        <is>
          <t>Michael Engel</t>
        </is>
      </c>
      <c r="G565" s="23" t="inlineStr">
        <is>
          <t>80005</t>
        </is>
      </c>
      <c r="H565" s="23" t="inlineStr">
        <is>
          <t>SHOP RITE LIQ (PARAMUS)</t>
        </is>
      </c>
      <c r="I565" s="23" t="inlineStr">
        <is>
          <t>PARAMUS</t>
        </is>
      </c>
      <c r="J565" s="23" t="inlineStr">
        <is>
          <t>Constellation</t>
        </is>
      </c>
      <c r="K565" s="27" t="n">
        <v>0</v>
      </c>
      <c r="L565" s="23" t="inlineStr">
        <is>
          <t>Non-qualifying (&lt;10)</t>
        </is>
      </c>
      <c r="M565" s="24" t="n">
        <v>4</v>
      </c>
      <c r="N565" s="24" t="n">
        <v>4</v>
      </c>
      <c r="O565" s="23" t="inlineStr">
        <is>
          <t>Priority</t>
        </is>
      </c>
      <c r="P565" s="24" t="n">
        <v>0</v>
      </c>
      <c r="Q565" s="23" t="inlineStr">
        <is>
          <t>No</t>
        </is>
      </c>
      <c r="R565" s="23" t="inlineStr">
        <is>
          <t>CORONA</t>
        </is>
      </c>
      <c r="S565" s="23" t="inlineStr">
        <is>
          <t>CORONA</t>
        </is>
      </c>
      <c r="T565" s="23" t="inlineStr">
        <is>
          <t>CONSTELLATION BRANDS</t>
        </is>
      </c>
      <c r="U565" s="27" t="n">
        <v>1</v>
      </c>
      <c r="V565" s="23" t="inlineStr">
        <is>
          <t>No</t>
        </is>
      </c>
      <c r="W565" s="23" t="inlineStr">
        <is>
          <t>Constellation (4)</t>
        </is>
      </c>
      <c r="X565" s="23" t="inlineStr">
        <is>
          <t>—</t>
        </is>
      </c>
      <c r="Y565" s="28" t="inlineStr">
        <is>
          <t>View Photo</t>
        </is>
      </c>
    </row>
    <row r="566">
      <c r="A566" s="23" t="inlineStr">
        <is>
          <t>D0565</t>
        </is>
      </c>
      <c r="B566" s="23" t="inlineStr">
        <is>
          <t>07/10/2026</t>
        </is>
      </c>
      <c r="C566" s="23" t="inlineStr">
        <is>
          <t>07/10/2026 12:04 PM</t>
        </is>
      </c>
      <c r="D566" s="23" t="inlineStr">
        <is>
          <t>phil Ernst</t>
        </is>
      </c>
      <c r="E566" s="23" t="inlineStr">
        <is>
          <t>Sales Rep</t>
        </is>
      </c>
      <c r="F566" s="23" t="inlineStr">
        <is>
          <t>Michael Engel</t>
        </is>
      </c>
      <c r="G566" s="23" t="inlineStr">
        <is>
          <t>80005</t>
        </is>
      </c>
      <c r="H566" s="23" t="inlineStr">
        <is>
          <t>SHOP RITE LIQ (PARAMUS)</t>
        </is>
      </c>
      <c r="I566" s="23" t="inlineStr">
        <is>
          <t>PARAMUS</t>
        </is>
      </c>
      <c r="J566" s="23" t="inlineStr">
        <is>
          <t>Constellation</t>
        </is>
      </c>
      <c r="K566" s="27" t="n">
        <v>0</v>
      </c>
      <c r="L566" s="23" t="inlineStr">
        <is>
          <t>Non-qualifying (&lt;10)</t>
        </is>
      </c>
      <c r="M566" s="24" t="n">
        <v>3</v>
      </c>
      <c r="N566" s="24" t="n">
        <v>3</v>
      </c>
      <c r="O566" s="23" t="inlineStr">
        <is>
          <t>Priority</t>
        </is>
      </c>
      <c r="P566" s="24" t="n">
        <v>0</v>
      </c>
      <c r="Q566" s="23" t="inlineStr">
        <is>
          <t>No</t>
        </is>
      </c>
      <c r="R566" s="23" t="inlineStr">
        <is>
          <t>CORONA</t>
        </is>
      </c>
      <c r="S566" s="23" t="inlineStr">
        <is>
          <t>CORONA</t>
        </is>
      </c>
      <c r="T566" s="23" t="inlineStr">
        <is>
          <t>CONSTELLATION BRANDS</t>
        </is>
      </c>
      <c r="U566" s="27" t="n">
        <v>1</v>
      </c>
      <c r="V566" s="23" t="inlineStr">
        <is>
          <t>No</t>
        </is>
      </c>
      <c r="W566" s="23" t="inlineStr">
        <is>
          <t>Constellation (3)</t>
        </is>
      </c>
      <c r="X566" s="23" t="inlineStr">
        <is>
          <t>—</t>
        </is>
      </c>
      <c r="Y566" s="28" t="inlineStr">
        <is>
          <t>View Photo</t>
        </is>
      </c>
    </row>
    <row r="567">
      <c r="A567" s="23" t="inlineStr">
        <is>
          <t>D0566</t>
        </is>
      </c>
      <c r="B567" s="23" t="inlineStr">
        <is>
          <t>07/13/2026</t>
        </is>
      </c>
      <c r="C567" s="23" t="inlineStr">
        <is>
          <t>07/13/2026 11:09 AM</t>
        </is>
      </c>
      <c r="D567" s="23" t="inlineStr">
        <is>
          <t>Jayson Romine</t>
        </is>
      </c>
      <c r="E567" s="23" t="inlineStr">
        <is>
          <t>Sales Rep</t>
        </is>
      </c>
      <c r="F567" s="23" t="inlineStr">
        <is>
          <t>Paul Deady</t>
        </is>
      </c>
      <c r="G567" s="23" t="inlineStr">
        <is>
          <t>231316</t>
        </is>
      </c>
      <c r="H567" s="23" t="inlineStr">
        <is>
          <t>PATRICKS WINE BARN</t>
        </is>
      </c>
      <c r="I567" s="23" t="inlineStr">
        <is>
          <t>SUSSEX</t>
        </is>
      </c>
      <c r="J567" s="23" t="inlineStr">
        <is>
          <t>All Other: ATOMIC BRANDS</t>
        </is>
      </c>
      <c r="K567" s="27" t="n">
        <v>0</v>
      </c>
      <c r="L567" s="23" t="inlineStr">
        <is>
          <t>Non-qualifying (&lt;10)</t>
        </is>
      </c>
      <c r="M567" s="24" t="n">
        <v>3</v>
      </c>
      <c r="N567" s="24" t="n">
        <v>1</v>
      </c>
      <c r="O567" s="23" t="inlineStr">
        <is>
          <t>Priority</t>
        </is>
      </c>
      <c r="P567" s="24" t="n">
        <v>0</v>
      </c>
      <c r="Q567" s="23" t="inlineStr">
        <is>
          <t>No</t>
        </is>
      </c>
      <c r="R567" s="23" t="inlineStr">
        <is>
          <t>MONACO COCKTAILS</t>
        </is>
      </c>
      <c r="S567" s="23" t="inlineStr">
        <is>
          <t>MONACO, MONACO COCKTAILS</t>
        </is>
      </c>
      <c r="T567" s="23" t="inlineStr">
        <is>
          <t>ATOMIC BRANDS, PARK STREET IMPORTS, LLC, Unspecified</t>
        </is>
      </c>
      <c r="U567" s="27" t="n">
        <v>3</v>
      </c>
      <c r="V567" s="23" t="inlineStr">
        <is>
          <t>Yes</t>
        </is>
      </c>
      <c r="W567" s="23" t="inlineStr">
        <is>
          <t>All Other: PARK STREET IMPORTS, LLC (1) + All Other: ATOMIC BRANDS (1) + All Other: Unspecified (1)</t>
        </is>
      </c>
      <c r="X567" s="23" t="inlineStr">
        <is>
          <t>—</t>
        </is>
      </c>
      <c r="Y567" s="28" t="inlineStr">
        <is>
          <t>View Photo</t>
        </is>
      </c>
    </row>
    <row r="568">
      <c r="A568" s="23" t="inlineStr">
        <is>
          <t>D0567</t>
        </is>
      </c>
      <c r="B568" s="23" t="inlineStr">
        <is>
          <t>08/11/2026</t>
        </is>
      </c>
      <c r="C568" s="23" t="inlineStr">
        <is>
          <t>08/11/2026 02:30 PM</t>
        </is>
      </c>
      <c r="D568" s="23" t="inlineStr">
        <is>
          <t>Nicholas Micco</t>
        </is>
      </c>
      <c r="E568" s="23" t="inlineStr">
        <is>
          <t>Sales Associate</t>
        </is>
      </c>
      <c r="F568" s="23" t="inlineStr">
        <is>
          <t>Michael Engel</t>
        </is>
      </c>
      <c r="G568" s="23" t="inlineStr">
        <is>
          <t>47004</t>
        </is>
      </c>
      <c r="H568" s="23" t="inlineStr">
        <is>
          <t>WIDES DELI &amp; LIQUOR</t>
        </is>
      </c>
      <c r="I568" s="23" t="inlineStr">
        <is>
          <t>RIDGEFIELD PARK</t>
        </is>
      </c>
      <c r="J568" s="23" t="inlineStr">
        <is>
          <t>Boston Beer</t>
        </is>
      </c>
      <c r="K568" s="27" t="n">
        <v>0</v>
      </c>
      <c r="L568" s="23" t="inlineStr">
        <is>
          <t>Non-qualifying (&lt;10)</t>
        </is>
      </c>
      <c r="M568" s="24" t="n">
        <v>3</v>
      </c>
      <c r="N568" s="24" t="n">
        <v>3</v>
      </c>
      <c r="O568" s="23" t="inlineStr">
        <is>
          <t>Priority</t>
        </is>
      </c>
      <c r="P568" s="24" t="n">
        <v>0</v>
      </c>
      <c r="Q568" s="23" t="inlineStr">
        <is>
          <t>No</t>
        </is>
      </c>
      <c r="R568" s="23" t="inlineStr">
        <is>
          <t>LYTT</t>
        </is>
      </c>
      <c r="S568" s="23" t="inlineStr">
        <is>
          <t>LYTT</t>
        </is>
      </c>
      <c r="T568" s="23" t="inlineStr">
        <is>
          <t>BOSTON BEER COMPANY</t>
        </is>
      </c>
      <c r="U568" s="27" t="n">
        <v>3</v>
      </c>
      <c r="V568" s="23" t="inlineStr">
        <is>
          <t>No</t>
        </is>
      </c>
      <c r="W568" s="23" t="inlineStr">
        <is>
          <t>Boston Beer (3)</t>
        </is>
      </c>
      <c r="X568" s="23" t="inlineStr">
        <is>
          <t>—</t>
        </is>
      </c>
      <c r="Y568" s="28" t="inlineStr">
        <is>
          <t>View Photo</t>
        </is>
      </c>
    </row>
    <row r="569">
      <c r="A569" s="23" t="inlineStr">
        <is>
          <t>D0568</t>
        </is>
      </c>
      <c r="B569" s="23" t="inlineStr">
        <is>
          <t>08/14/2026</t>
        </is>
      </c>
      <c r="C569" s="23" t="inlineStr">
        <is>
          <t>08/14/2026 11:41 AM</t>
        </is>
      </c>
      <c r="D569" s="23" t="inlineStr">
        <is>
          <t>Dave Ehlers</t>
        </is>
      </c>
      <c r="E569" s="23" t="inlineStr">
        <is>
          <t>Sales Rep</t>
        </is>
      </c>
      <c r="F569" s="23" t="inlineStr">
        <is>
          <t>Michael Engel</t>
        </is>
      </c>
      <c r="G569" s="23" t="inlineStr">
        <is>
          <t>58001</t>
        </is>
      </c>
      <c r="H569" s="23" t="inlineStr">
        <is>
          <t>TOTAL WINE &amp; MORE (RIVER EDGE)</t>
        </is>
      </c>
      <c r="I569" s="23" t="inlineStr">
        <is>
          <t>RIVER EDGE</t>
        </is>
      </c>
      <c r="J569" s="23" t="inlineStr">
        <is>
          <t>Boston Beer</t>
        </is>
      </c>
      <c r="K569" s="27" t="n">
        <v>0</v>
      </c>
      <c r="L569" s="23" t="inlineStr">
        <is>
          <t>Non-qualifying (&lt;10)</t>
        </is>
      </c>
      <c r="M569" s="24" t="n">
        <v>3</v>
      </c>
      <c r="N569" s="24" t="n">
        <v>3</v>
      </c>
      <c r="O569" s="23" t="inlineStr">
        <is>
          <t>Priority</t>
        </is>
      </c>
      <c r="P569" s="24" t="n">
        <v>0</v>
      </c>
      <c r="Q569" s="23" t="inlineStr">
        <is>
          <t>No</t>
        </is>
      </c>
      <c r="R569" s="23" t="inlineStr">
        <is>
          <t>LYTT</t>
        </is>
      </c>
      <c r="S569" s="23" t="inlineStr">
        <is>
          <t>LYTT</t>
        </is>
      </c>
      <c r="T569" s="23" t="inlineStr">
        <is>
          <t>BOSTON BEER COMPANY</t>
        </is>
      </c>
      <c r="U569" s="27" t="n">
        <v>1</v>
      </c>
      <c r="V569" s="23" t="inlineStr">
        <is>
          <t>No</t>
        </is>
      </c>
      <c r="W569" s="23" t="inlineStr">
        <is>
          <t>Boston Beer (3)</t>
        </is>
      </c>
      <c r="X569" s="23" t="inlineStr">
        <is>
          <t>—</t>
        </is>
      </c>
      <c r="Y569" s="28" t="inlineStr">
        <is>
          <t>View Photo</t>
        </is>
      </c>
    </row>
    <row r="570">
      <c r="A570" s="23" t="inlineStr">
        <is>
          <t>D0569</t>
        </is>
      </c>
      <c r="B570" s="23" t="inlineStr">
        <is>
          <t>08/18/2026</t>
        </is>
      </c>
      <c r="C570" s="23" t="inlineStr">
        <is>
          <t>08/18/2026 12:32 PM</t>
        </is>
      </c>
      <c r="D570" s="23" t="inlineStr">
        <is>
          <t>patrick infante</t>
        </is>
      </c>
      <c r="E570" s="23" t="inlineStr">
        <is>
          <t>Sales Associate</t>
        </is>
      </c>
      <c r="F570" s="23" t="inlineStr">
        <is>
          <t>Denise Montes</t>
        </is>
      </c>
      <c r="G570" s="23" t="inlineStr">
        <is>
          <t>36016</t>
        </is>
      </c>
      <c r="H570" s="23" t="inlineStr">
        <is>
          <t>KING LIQUORS</t>
        </is>
      </c>
      <c r="I570" s="23" t="inlineStr">
        <is>
          <t>WALLINGTON</t>
        </is>
      </c>
      <c r="J570" s="23" t="inlineStr">
        <is>
          <t>Boston Beer</t>
        </is>
      </c>
      <c r="K570" s="27" t="n">
        <v>0</v>
      </c>
      <c r="L570" s="23" t="inlineStr">
        <is>
          <t>Non-qualifying (&lt;10)</t>
        </is>
      </c>
      <c r="M570" s="24" t="n">
        <v>3</v>
      </c>
      <c r="N570" s="24" t="n">
        <v>3</v>
      </c>
      <c r="O570" s="23" t="inlineStr">
        <is>
          <t>Priority</t>
        </is>
      </c>
      <c r="P570" s="24" t="n">
        <v>0</v>
      </c>
      <c r="Q570" s="23" t="inlineStr">
        <is>
          <t>No</t>
        </is>
      </c>
      <c r="R570" s="23" t="inlineStr">
        <is>
          <t>LYTT</t>
        </is>
      </c>
      <c r="S570" s="23" t="inlineStr">
        <is>
          <t>LYTT</t>
        </is>
      </c>
      <c r="T570" s="23" t="inlineStr">
        <is>
          <t>BOSTON BEER COMPANY</t>
        </is>
      </c>
      <c r="U570" s="27" t="n">
        <v>3</v>
      </c>
      <c r="V570" s="23" t="inlineStr">
        <is>
          <t>No</t>
        </is>
      </c>
      <c r="W570" s="23" t="inlineStr">
        <is>
          <t>Boston Beer (3)</t>
        </is>
      </c>
      <c r="X570" s="23" t="inlineStr">
        <is>
          <t>—</t>
        </is>
      </c>
      <c r="Y570" s="28" t="inlineStr">
        <is>
          <t>View Photo</t>
        </is>
      </c>
    </row>
    <row r="571">
      <c r="A571" s="23" t="inlineStr">
        <is>
          <t>D0570</t>
        </is>
      </c>
      <c r="B571" s="23" t="inlineStr">
        <is>
          <t>08/19/2026</t>
        </is>
      </c>
      <c r="C571" s="23" t="inlineStr">
        <is>
          <t>08/19/2026 01:26 PM</t>
        </is>
      </c>
      <c r="D571" s="23" t="inlineStr">
        <is>
          <t>Pablo Lopez</t>
        </is>
      </c>
      <c r="E571" s="23" t="inlineStr">
        <is>
          <t>Sales Rep</t>
        </is>
      </c>
      <c r="F571" s="23" t="inlineStr">
        <is>
          <t>Denise Montes</t>
        </is>
      </c>
      <c r="G571" s="23" t="inlineStr">
        <is>
          <t>26014</t>
        </is>
      </c>
      <c r="H571" s="23" t="inlineStr">
        <is>
          <t>REGALADO LIQ</t>
        </is>
      </c>
      <c r="I571" s="23" t="inlineStr">
        <is>
          <t>PASSAIC</t>
        </is>
      </c>
      <c r="J571" s="23" t="inlineStr">
        <is>
          <t>Boston Beer</t>
        </is>
      </c>
      <c r="K571" s="27" t="n">
        <v>0</v>
      </c>
      <c r="L571" s="23" t="inlineStr">
        <is>
          <t>Non-qualifying (&lt;10)</t>
        </is>
      </c>
      <c r="M571" s="24" t="n">
        <v>3</v>
      </c>
      <c r="N571" s="24" t="n">
        <v>3</v>
      </c>
      <c r="O571" s="23" t="inlineStr">
        <is>
          <t>Priority</t>
        </is>
      </c>
      <c r="P571" s="24" t="n">
        <v>0</v>
      </c>
      <c r="Q571" s="23" t="inlineStr">
        <is>
          <t>No</t>
        </is>
      </c>
      <c r="R571" s="23" t="inlineStr">
        <is>
          <t>LYTT</t>
        </is>
      </c>
      <c r="S571" s="23" t="inlineStr">
        <is>
          <t>LYTT</t>
        </is>
      </c>
      <c r="T571" s="23" t="inlineStr">
        <is>
          <t>BOSTON BEER COMPANY</t>
        </is>
      </c>
      <c r="U571" s="27" t="n">
        <v>1</v>
      </c>
      <c r="V571" s="23" t="inlineStr">
        <is>
          <t>No</t>
        </is>
      </c>
      <c r="W571" s="23" t="inlineStr">
        <is>
          <t>Boston Beer (3)</t>
        </is>
      </c>
      <c r="X571" s="23" t="inlineStr">
        <is>
          <t>—</t>
        </is>
      </c>
      <c r="Y571" s="28" t="inlineStr">
        <is>
          <t>View Photo</t>
        </is>
      </c>
    </row>
    <row r="572">
      <c r="A572" s="23" t="inlineStr">
        <is>
          <t>D0571</t>
        </is>
      </c>
      <c r="B572" s="23" t="inlineStr">
        <is>
          <t>08/24/2026</t>
        </is>
      </c>
      <c r="C572" s="23" t="inlineStr">
        <is>
          <t>08/24/2026 01:02 PM</t>
        </is>
      </c>
      <c r="D572" s="23" t="inlineStr">
        <is>
          <t>Nicholas Micco</t>
        </is>
      </c>
      <c r="E572" s="23" t="inlineStr">
        <is>
          <t>Sales Associate</t>
        </is>
      </c>
      <c r="F572" s="23" t="inlineStr">
        <is>
          <t>Michael Engel</t>
        </is>
      </c>
      <c r="G572" s="23" t="inlineStr">
        <is>
          <t>47004</t>
        </is>
      </c>
      <c r="H572" s="23" t="inlineStr">
        <is>
          <t>WIDES DELI &amp; LIQUOR</t>
        </is>
      </c>
      <c r="I572" s="23" t="inlineStr">
        <is>
          <t>RIDGEFIELD PARK</t>
        </is>
      </c>
      <c r="J572" s="23" t="inlineStr">
        <is>
          <t>Boston Beer</t>
        </is>
      </c>
      <c r="K572" s="27" t="n">
        <v>0</v>
      </c>
      <c r="L572" s="23" t="inlineStr">
        <is>
          <t>Non-qualifying (&lt;10)</t>
        </is>
      </c>
      <c r="M572" s="24" t="n">
        <v>3</v>
      </c>
      <c r="N572" s="24" t="n">
        <v>3</v>
      </c>
      <c r="O572" s="23" t="inlineStr">
        <is>
          <t>Priority</t>
        </is>
      </c>
      <c r="P572" s="24" t="n">
        <v>0</v>
      </c>
      <c r="Q572" s="23" t="inlineStr">
        <is>
          <t>No</t>
        </is>
      </c>
      <c r="R572" s="23" t="inlineStr">
        <is>
          <t>LYTT</t>
        </is>
      </c>
      <c r="S572" s="23" t="inlineStr">
        <is>
          <t>LYTT</t>
        </is>
      </c>
      <c r="T572" s="23" t="inlineStr">
        <is>
          <t>BOSTON BEER COMPANY</t>
        </is>
      </c>
      <c r="U572" s="27" t="n">
        <v>3</v>
      </c>
      <c r="V572" s="23" t="inlineStr">
        <is>
          <t>No</t>
        </is>
      </c>
      <c r="W572" s="23" t="inlineStr">
        <is>
          <t>Boston Beer (3)</t>
        </is>
      </c>
      <c r="X572" s="23" t="inlineStr">
        <is>
          <t>—</t>
        </is>
      </c>
      <c r="Y572" s="28" t="inlineStr">
        <is>
          <t>View Photo</t>
        </is>
      </c>
    </row>
    <row r="573">
      <c r="A573" s="23" t="inlineStr">
        <is>
          <t>D0572</t>
        </is>
      </c>
      <c r="B573" s="23" t="inlineStr">
        <is>
          <t>08/24/2026</t>
        </is>
      </c>
      <c r="C573" s="23" t="inlineStr">
        <is>
          <t>08/24/2026 01:15 PM</t>
        </is>
      </c>
      <c r="D573" s="23" t="inlineStr">
        <is>
          <t>David Fletcher</t>
        </is>
      </c>
      <c r="E573" s="23" t="inlineStr">
        <is>
          <t>Sales Associate</t>
        </is>
      </c>
      <c r="F573" s="23" t="inlineStr">
        <is>
          <t>Michael Engel</t>
        </is>
      </c>
      <c r="G573" s="23" t="inlineStr">
        <is>
          <t>79002</t>
        </is>
      </c>
      <c r="H573" s="23" t="inlineStr">
        <is>
          <t>HOLLYWD LIQ&amp;DELI (A)</t>
        </is>
      </c>
      <c r="I573" s="23" t="inlineStr">
        <is>
          <t>MAYWOOD</t>
        </is>
      </c>
      <c r="J573" s="23" t="inlineStr">
        <is>
          <t>Boston Beer</t>
        </is>
      </c>
      <c r="K573" s="27" t="n">
        <v>0</v>
      </c>
      <c r="L573" s="23" t="inlineStr">
        <is>
          <t>Non-qualifying (&lt;10)</t>
        </is>
      </c>
      <c r="M573" s="24" t="n">
        <v>3</v>
      </c>
      <c r="N573" s="24" t="n">
        <v>3</v>
      </c>
      <c r="O573" s="23" t="inlineStr">
        <is>
          <t>Priority</t>
        </is>
      </c>
      <c r="P573" s="24" t="n">
        <v>0</v>
      </c>
      <c r="Q573" s="23" t="inlineStr">
        <is>
          <t>No</t>
        </is>
      </c>
      <c r="R573" s="23" t="inlineStr">
        <is>
          <t>LYTT</t>
        </is>
      </c>
      <c r="S573" s="23" t="inlineStr">
        <is>
          <t>LYTT</t>
        </is>
      </c>
      <c r="T573" s="23" t="inlineStr">
        <is>
          <t>BOSTON BEER COMPANY</t>
        </is>
      </c>
      <c r="U573" s="27" t="n">
        <v>3</v>
      </c>
      <c r="V573" s="23" t="inlineStr">
        <is>
          <t>No</t>
        </is>
      </c>
      <c r="W573" s="23" t="inlineStr">
        <is>
          <t>Boston Beer (3)</t>
        </is>
      </c>
      <c r="X573" s="23" t="inlineStr">
        <is>
          <t>—</t>
        </is>
      </c>
      <c r="Y573" s="28" t="inlineStr">
        <is>
          <t>View Photo</t>
        </is>
      </c>
    </row>
    <row r="574">
      <c r="A574" s="23" t="inlineStr">
        <is>
          <t>D0573</t>
        </is>
      </c>
      <c r="B574" s="23" t="inlineStr">
        <is>
          <t>08/24/2026</t>
        </is>
      </c>
      <c r="C574" s="23" t="inlineStr">
        <is>
          <t>08/24/2026 02:10 PM</t>
        </is>
      </c>
      <c r="D574" s="23" t="inlineStr">
        <is>
          <t>Chris Payton</t>
        </is>
      </c>
      <c r="E574" s="23" t="inlineStr">
        <is>
          <t>Sales Rep</t>
        </is>
      </c>
      <c r="F574" s="23" t="inlineStr">
        <is>
          <t>Michael Engel</t>
        </is>
      </c>
      <c r="G574" s="23" t="inlineStr">
        <is>
          <t>79002</t>
        </is>
      </c>
      <c r="H574" s="23" t="inlineStr">
        <is>
          <t>HOLLYWD LIQ&amp;DELI (A)</t>
        </is>
      </c>
      <c r="I574" s="23" t="inlineStr">
        <is>
          <t>MAYWOOD</t>
        </is>
      </c>
      <c r="J574" s="23" t="inlineStr">
        <is>
          <t>Boston Beer</t>
        </is>
      </c>
      <c r="K574" s="27" t="n">
        <v>0</v>
      </c>
      <c r="L574" s="23" t="inlineStr">
        <is>
          <t>Non-qualifying (&lt;10)</t>
        </is>
      </c>
      <c r="M574" s="24" t="n">
        <v>3</v>
      </c>
      <c r="N574" s="24" t="n">
        <v>3</v>
      </c>
      <c r="O574" s="23" t="inlineStr">
        <is>
          <t>Priority</t>
        </is>
      </c>
      <c r="P574" s="24" t="n">
        <v>0</v>
      </c>
      <c r="Q574" s="23" t="inlineStr">
        <is>
          <t>No</t>
        </is>
      </c>
      <c r="R574" s="23" t="inlineStr">
        <is>
          <t>LYTT</t>
        </is>
      </c>
      <c r="S574" s="23" t="inlineStr">
        <is>
          <t>LYTT</t>
        </is>
      </c>
      <c r="T574" s="23" t="inlineStr">
        <is>
          <t>BOSTON BEER COMPANY</t>
        </is>
      </c>
      <c r="U574" s="27" t="n">
        <v>3</v>
      </c>
      <c r="V574" s="23" t="inlineStr">
        <is>
          <t>No</t>
        </is>
      </c>
      <c r="W574" s="23" t="inlineStr">
        <is>
          <t>Boston Beer (3)</t>
        </is>
      </c>
      <c r="X574" s="23" t="inlineStr">
        <is>
          <t>—</t>
        </is>
      </c>
      <c r="Y574" s="28" t="inlineStr">
        <is>
          <t>View Photo</t>
        </is>
      </c>
    </row>
    <row r="575">
      <c r="A575" s="23" t="inlineStr">
        <is>
          <t>D0574</t>
        </is>
      </c>
      <c r="B575" s="23" t="inlineStr">
        <is>
          <t>08/24/2026</t>
        </is>
      </c>
      <c r="C575" s="23" t="inlineStr">
        <is>
          <t>08/24/2026 02:12 PM</t>
        </is>
      </c>
      <c r="D575" s="23" t="inlineStr">
        <is>
          <t>Pablo Lopez</t>
        </is>
      </c>
      <c r="E575" s="23" t="inlineStr">
        <is>
          <t>Sales Rep</t>
        </is>
      </c>
      <c r="F575" s="23" t="inlineStr">
        <is>
          <t>Denise Montes</t>
        </is>
      </c>
      <c r="G575" s="23" t="inlineStr">
        <is>
          <t>27072</t>
        </is>
      </c>
      <c r="H575" s="23" t="inlineStr">
        <is>
          <t>PASSAIC DISCOUNT LIQUORS</t>
        </is>
      </c>
      <c r="I575" s="23" t="inlineStr">
        <is>
          <t>PASSAIC</t>
        </is>
      </c>
      <c r="J575" s="23" t="inlineStr">
        <is>
          <t>Boston Beer</t>
        </is>
      </c>
      <c r="K575" s="27" t="n">
        <v>0</v>
      </c>
      <c r="L575" s="23" t="inlineStr">
        <is>
          <t>Non-qualifying (&lt;10)</t>
        </is>
      </c>
      <c r="M575" s="24" t="n">
        <v>3</v>
      </c>
      <c r="N575" s="24" t="n">
        <v>3</v>
      </c>
      <c r="O575" s="23" t="inlineStr">
        <is>
          <t>Priority</t>
        </is>
      </c>
      <c r="P575" s="24" t="n">
        <v>0</v>
      </c>
      <c r="Q575" s="23" t="inlineStr">
        <is>
          <t>No</t>
        </is>
      </c>
      <c r="R575" s="23" t="inlineStr">
        <is>
          <t>LYTT</t>
        </is>
      </c>
      <c r="S575" s="23" t="inlineStr">
        <is>
          <t>LYTT</t>
        </is>
      </c>
      <c r="T575" s="23" t="inlineStr">
        <is>
          <t>BOSTON BEER COMPANY</t>
        </is>
      </c>
      <c r="U575" s="27" t="n">
        <v>1</v>
      </c>
      <c r="V575" s="23" t="inlineStr">
        <is>
          <t>No</t>
        </is>
      </c>
      <c r="W575" s="23" t="inlineStr">
        <is>
          <t>Boston Beer (3)</t>
        </is>
      </c>
      <c r="X575" s="23" t="inlineStr">
        <is>
          <t>—</t>
        </is>
      </c>
      <c r="Y575" s="28" t="inlineStr">
        <is>
          <t>View Photo</t>
        </is>
      </c>
    </row>
    <row r="576">
      <c r="A576" s="23" t="inlineStr">
        <is>
          <t>D0575</t>
        </is>
      </c>
      <c r="B576" s="23" t="inlineStr">
        <is>
          <t>08/24/2026</t>
        </is>
      </c>
      <c r="C576" s="23" t="inlineStr">
        <is>
          <t>08/24/2026 12:47 PM</t>
        </is>
      </c>
      <c r="D576" s="23" t="inlineStr">
        <is>
          <t>Nicholas Micco</t>
        </is>
      </c>
      <c r="E576" s="23" t="inlineStr">
        <is>
          <t>Sales Associate</t>
        </is>
      </c>
      <c r="F576" s="23" t="inlineStr">
        <is>
          <t>Michael Engel</t>
        </is>
      </c>
      <c r="G576" s="23" t="inlineStr">
        <is>
          <t>47005</t>
        </is>
      </c>
      <c r="H576" s="23" t="inlineStr">
        <is>
          <t>EXQUISITE W &amp; L (A)</t>
        </is>
      </c>
      <c r="I576" s="23" t="inlineStr">
        <is>
          <t>RIDGEFIELD PARK</t>
        </is>
      </c>
      <c r="J576" s="23" t="inlineStr">
        <is>
          <t>Boston Beer</t>
        </is>
      </c>
      <c r="K576" s="27" t="n">
        <v>0</v>
      </c>
      <c r="L576" s="23" t="inlineStr">
        <is>
          <t>Non-qualifying (&lt;10)</t>
        </is>
      </c>
      <c r="M576" s="24" t="n">
        <v>3</v>
      </c>
      <c r="N576" s="24" t="n">
        <v>3</v>
      </c>
      <c r="O576" s="23" t="inlineStr">
        <is>
          <t>Priority</t>
        </is>
      </c>
      <c r="P576" s="24" t="n">
        <v>0</v>
      </c>
      <c r="Q576" s="23" t="inlineStr">
        <is>
          <t>No</t>
        </is>
      </c>
      <c r="R576" s="23" t="inlineStr">
        <is>
          <t>LYTT</t>
        </is>
      </c>
      <c r="S576" s="23" t="inlineStr">
        <is>
          <t>LYTT</t>
        </is>
      </c>
      <c r="T576" s="23" t="inlineStr">
        <is>
          <t>BOSTON BEER COMPANY</t>
        </is>
      </c>
      <c r="U576" s="27" t="n">
        <v>3</v>
      </c>
      <c r="V576" s="23" t="inlineStr">
        <is>
          <t>No</t>
        </is>
      </c>
      <c r="W576" s="23" t="inlineStr">
        <is>
          <t>Boston Beer (3)</t>
        </is>
      </c>
      <c r="X576" s="23" t="inlineStr">
        <is>
          <t>—</t>
        </is>
      </c>
      <c r="Y576" s="28" t="inlineStr">
        <is>
          <t>View Photo</t>
        </is>
      </c>
    </row>
    <row r="577">
      <c r="A577" s="23" t="inlineStr">
        <is>
          <t>D0576</t>
        </is>
      </c>
      <c r="B577" s="23" t="inlineStr">
        <is>
          <t>08/24/2026</t>
        </is>
      </c>
      <c r="C577" s="23" t="inlineStr">
        <is>
          <t>08/24/2026 12:48 PM</t>
        </is>
      </c>
      <c r="D577" s="23" t="inlineStr">
        <is>
          <t>Nicholas Micco</t>
        </is>
      </c>
      <c r="E577" s="23" t="inlineStr">
        <is>
          <t>Sales Associate</t>
        </is>
      </c>
      <c r="F577" s="23" t="inlineStr">
        <is>
          <t>Michael Engel</t>
        </is>
      </c>
      <c r="G577" s="23" t="inlineStr">
        <is>
          <t>47005</t>
        </is>
      </c>
      <c r="H577" s="23" t="inlineStr">
        <is>
          <t>EXQUISITE W &amp; L (A)</t>
        </is>
      </c>
      <c r="I577" s="23" t="inlineStr">
        <is>
          <t>RIDGEFIELD PARK</t>
        </is>
      </c>
      <c r="J577" s="23" t="inlineStr">
        <is>
          <t>Boston Beer</t>
        </is>
      </c>
      <c r="K577" s="27" t="n">
        <v>0</v>
      </c>
      <c r="L577" s="23" t="inlineStr">
        <is>
          <t>Non-qualifying (&lt;10)</t>
        </is>
      </c>
      <c r="M577" s="24" t="n">
        <v>3</v>
      </c>
      <c r="N577" s="24" t="n">
        <v>3</v>
      </c>
      <c r="O577" s="23" t="inlineStr">
        <is>
          <t>Priority</t>
        </is>
      </c>
      <c r="P577" s="24" t="n">
        <v>0</v>
      </c>
      <c r="Q577" s="23" t="inlineStr">
        <is>
          <t>No</t>
        </is>
      </c>
      <c r="R577" s="23" t="inlineStr">
        <is>
          <t>LYTT</t>
        </is>
      </c>
      <c r="S577" s="23" t="inlineStr">
        <is>
          <t>LYTT</t>
        </is>
      </c>
      <c r="T577" s="23" t="inlineStr">
        <is>
          <t>BOSTON BEER COMPANY</t>
        </is>
      </c>
      <c r="U577" s="27" t="n">
        <v>3</v>
      </c>
      <c r="V577" s="23" t="inlineStr">
        <is>
          <t>No</t>
        </is>
      </c>
      <c r="W577" s="23" t="inlineStr">
        <is>
          <t>Boston Beer (3)</t>
        </is>
      </c>
      <c r="X577" s="23" t="inlineStr">
        <is>
          <t>—</t>
        </is>
      </c>
      <c r="Y577" s="28" t="inlineStr">
        <is>
          <t>View Photo</t>
        </is>
      </c>
    </row>
    <row r="578">
      <c r="A578" s="23" t="inlineStr">
        <is>
          <t>D0577</t>
        </is>
      </c>
      <c r="B578" s="23" t="inlineStr">
        <is>
          <t>08/25/2026</t>
        </is>
      </c>
      <c r="C578" s="23" t="inlineStr">
        <is>
          <t>08/25/2026 01:04 PM</t>
        </is>
      </c>
      <c r="D578" s="23" t="inlineStr">
        <is>
          <t>Chris Payton</t>
        </is>
      </c>
      <c r="E578" s="23" t="inlineStr">
        <is>
          <t>Sales Rep</t>
        </is>
      </c>
      <c r="F578" s="23" t="inlineStr">
        <is>
          <t>Michael Engel</t>
        </is>
      </c>
      <c r="G578" s="23" t="inlineStr">
        <is>
          <t>38017</t>
        </is>
      </c>
      <c r="H578" s="23" t="inlineStr">
        <is>
          <t>QUICK STOP FOOD &amp; LIQ</t>
        </is>
      </c>
      <c r="I578" s="23" t="inlineStr">
        <is>
          <t>LODI</t>
        </is>
      </c>
      <c r="J578" s="23" t="inlineStr">
        <is>
          <t>Boston Beer</t>
        </is>
      </c>
      <c r="K578" s="27" t="n">
        <v>0</v>
      </c>
      <c r="L578" s="23" t="inlineStr">
        <is>
          <t>Non-qualifying (&lt;10)</t>
        </is>
      </c>
      <c r="M578" s="24" t="n">
        <v>3</v>
      </c>
      <c r="N578" s="24" t="n">
        <v>3</v>
      </c>
      <c r="O578" s="23" t="inlineStr">
        <is>
          <t>Priority</t>
        </is>
      </c>
      <c r="P578" s="24" t="n">
        <v>0</v>
      </c>
      <c r="Q578" s="23" t="inlineStr">
        <is>
          <t>No</t>
        </is>
      </c>
      <c r="R578" s="23" t="inlineStr">
        <is>
          <t>LYTT</t>
        </is>
      </c>
      <c r="S578" s="23" t="inlineStr">
        <is>
          <t>LYTT</t>
        </is>
      </c>
      <c r="T578" s="23" t="inlineStr">
        <is>
          <t>BOSTON BEER COMPANY</t>
        </is>
      </c>
      <c r="U578" s="27" t="n">
        <v>3</v>
      </c>
      <c r="V578" s="23" t="inlineStr">
        <is>
          <t>No</t>
        </is>
      </c>
      <c r="W578" s="23" t="inlineStr">
        <is>
          <t>Boston Beer (3)</t>
        </is>
      </c>
      <c r="X578" s="23" t="inlineStr">
        <is>
          <t>—</t>
        </is>
      </c>
      <c r="Y578" s="28" t="inlineStr">
        <is>
          <t>View Photo</t>
        </is>
      </c>
    </row>
    <row r="579">
      <c r="A579" s="23" t="inlineStr">
        <is>
          <t>D0578</t>
        </is>
      </c>
      <c r="B579" s="23" t="inlineStr">
        <is>
          <t>08/25/2026</t>
        </is>
      </c>
      <c r="C579" s="23" t="inlineStr">
        <is>
          <t>08/25/2026 11:50 AM</t>
        </is>
      </c>
      <c r="D579" s="23" t="inlineStr">
        <is>
          <t>Chris Payton</t>
        </is>
      </c>
      <c r="E579" s="23" t="inlineStr">
        <is>
          <t>Sales Rep</t>
        </is>
      </c>
      <c r="F579" s="23" t="inlineStr">
        <is>
          <t>Michael Engel</t>
        </is>
      </c>
      <c r="G579" s="23" t="inlineStr">
        <is>
          <t>35002</t>
        </is>
      </c>
      <c r="H579" s="23" t="inlineStr">
        <is>
          <t>WOODRIDGE WINES &amp; LIQ(A)</t>
        </is>
      </c>
      <c r="I579" s="23" t="inlineStr">
        <is>
          <t>WOODRIDGE</t>
        </is>
      </c>
      <c r="J579" s="23" t="inlineStr">
        <is>
          <t>Boston Beer</t>
        </is>
      </c>
      <c r="K579" s="27" t="n">
        <v>0</v>
      </c>
      <c r="L579" s="23" t="inlineStr">
        <is>
          <t>Non-qualifying (&lt;10)</t>
        </is>
      </c>
      <c r="M579" s="24" t="n">
        <v>3</v>
      </c>
      <c r="N579" s="24" t="n">
        <v>3</v>
      </c>
      <c r="O579" s="23" t="inlineStr">
        <is>
          <t>Priority</t>
        </is>
      </c>
      <c r="P579" s="24" t="n">
        <v>0</v>
      </c>
      <c r="Q579" s="23" t="inlineStr">
        <is>
          <t>No</t>
        </is>
      </c>
      <c r="R579" s="23" t="inlineStr">
        <is>
          <t>LYTT</t>
        </is>
      </c>
      <c r="S579" s="23" t="inlineStr">
        <is>
          <t>LYTT</t>
        </is>
      </c>
      <c r="T579" s="23" t="inlineStr">
        <is>
          <t>BOSTON BEER COMPANY</t>
        </is>
      </c>
      <c r="U579" s="27" t="n">
        <v>3</v>
      </c>
      <c r="V579" s="23" t="inlineStr">
        <is>
          <t>No</t>
        </is>
      </c>
      <c r="W579" s="23" t="inlineStr">
        <is>
          <t>Boston Beer (3)</t>
        </is>
      </c>
      <c r="X579" s="23" t="inlineStr">
        <is>
          <t>—</t>
        </is>
      </c>
      <c r="Y579" s="28" t="inlineStr">
        <is>
          <t>View Photo</t>
        </is>
      </c>
    </row>
    <row r="580">
      <c r="A580" s="23" t="inlineStr">
        <is>
          <t>D0579</t>
        </is>
      </c>
      <c r="B580" s="23" t="inlineStr">
        <is>
          <t>08/25/2026</t>
        </is>
      </c>
      <c r="C580" s="23" t="inlineStr">
        <is>
          <t>08/25/2026 12:08 PM</t>
        </is>
      </c>
      <c r="D580" s="23" t="inlineStr">
        <is>
          <t>David Fletcher</t>
        </is>
      </c>
      <c r="E580" s="23" t="inlineStr">
        <is>
          <t>Sales Associate</t>
        </is>
      </c>
      <c r="F580" s="23" t="inlineStr">
        <is>
          <t>Michael Engel</t>
        </is>
      </c>
      <c r="G580" s="23" t="inlineStr">
        <is>
          <t>76018</t>
        </is>
      </c>
      <c r="H580" s="23" t="inlineStr">
        <is>
          <t>KRAUSZER LIQUOR</t>
        </is>
      </c>
      <c r="I580" s="23" t="inlineStr">
        <is>
          <t>SADDLE BROOK</t>
        </is>
      </c>
      <c r="J580" s="23" t="inlineStr">
        <is>
          <t>Boston Beer</t>
        </is>
      </c>
      <c r="K580" s="27" t="n">
        <v>0</v>
      </c>
      <c r="L580" s="23" t="inlineStr">
        <is>
          <t>Non-qualifying (&lt;10)</t>
        </is>
      </c>
      <c r="M580" s="24" t="n">
        <v>3</v>
      </c>
      <c r="N580" s="24" t="n">
        <v>3</v>
      </c>
      <c r="O580" s="23" t="inlineStr">
        <is>
          <t>Priority</t>
        </is>
      </c>
      <c r="P580" s="24" t="n">
        <v>0</v>
      </c>
      <c r="Q580" s="23" t="inlineStr">
        <is>
          <t>No</t>
        </is>
      </c>
      <c r="R580" s="23" t="inlineStr">
        <is>
          <t>LYTT</t>
        </is>
      </c>
      <c r="S580" s="23" t="inlineStr">
        <is>
          <t>LYTT</t>
        </is>
      </c>
      <c r="T580" s="23" t="inlineStr">
        <is>
          <t>BOSTON BEER COMPANY</t>
        </is>
      </c>
      <c r="U580" s="27" t="n">
        <v>3</v>
      </c>
      <c r="V580" s="23" t="inlineStr">
        <is>
          <t>No</t>
        </is>
      </c>
      <c r="W580" s="23" t="inlineStr">
        <is>
          <t>Boston Beer (3)</t>
        </is>
      </c>
      <c r="X580" s="23" t="inlineStr">
        <is>
          <t>—</t>
        </is>
      </c>
      <c r="Y580" s="28" t="inlineStr">
        <is>
          <t>View Photo</t>
        </is>
      </c>
    </row>
    <row r="581">
      <c r="A581" s="23" t="inlineStr">
        <is>
          <t>D0580</t>
        </is>
      </c>
      <c r="B581" s="23" t="inlineStr">
        <is>
          <t>08/25/2026</t>
        </is>
      </c>
      <c r="C581" s="23" t="inlineStr">
        <is>
          <t>08/25/2026 12:34 PM</t>
        </is>
      </c>
      <c r="D581" s="23" t="inlineStr">
        <is>
          <t>David Fletcher</t>
        </is>
      </c>
      <c r="E581" s="23" t="inlineStr">
        <is>
          <t>Sales Associate</t>
        </is>
      </c>
      <c r="F581" s="23" t="inlineStr">
        <is>
          <t>Michael Engel</t>
        </is>
      </c>
      <c r="G581" s="23" t="inlineStr">
        <is>
          <t>47011</t>
        </is>
      </c>
      <c r="H581" s="23" t="inlineStr">
        <is>
          <t>RIDGEFIELD DELI &amp; LIQ</t>
        </is>
      </c>
      <c r="I581" s="23" t="inlineStr">
        <is>
          <t>RIDGEFIELD PARK</t>
        </is>
      </c>
      <c r="J581" s="23" t="inlineStr">
        <is>
          <t>Boston Beer</t>
        </is>
      </c>
      <c r="K581" s="27" t="n">
        <v>0</v>
      </c>
      <c r="L581" s="23" t="inlineStr">
        <is>
          <t>Non-qualifying (&lt;10)</t>
        </is>
      </c>
      <c r="M581" s="24" t="n">
        <v>3</v>
      </c>
      <c r="N581" s="24" t="n">
        <v>3</v>
      </c>
      <c r="O581" s="23" t="inlineStr">
        <is>
          <t>Priority</t>
        </is>
      </c>
      <c r="P581" s="24" t="n">
        <v>0</v>
      </c>
      <c r="Q581" s="23" t="inlineStr">
        <is>
          <t>No</t>
        </is>
      </c>
      <c r="R581" s="23" t="inlineStr">
        <is>
          <t>LYTT</t>
        </is>
      </c>
      <c r="S581" s="23" t="inlineStr">
        <is>
          <t>LYTT</t>
        </is>
      </c>
      <c r="T581" s="23" t="inlineStr">
        <is>
          <t>BOSTON BEER COMPANY</t>
        </is>
      </c>
      <c r="U581" s="27" t="n">
        <v>3</v>
      </c>
      <c r="V581" s="23" t="inlineStr">
        <is>
          <t>No</t>
        </is>
      </c>
      <c r="W581" s="23" t="inlineStr">
        <is>
          <t>Boston Beer (3)</t>
        </is>
      </c>
      <c r="X581" s="23" t="inlineStr">
        <is>
          <t>—</t>
        </is>
      </c>
      <c r="Y581" s="28" t="inlineStr">
        <is>
          <t>View Photo</t>
        </is>
      </c>
    </row>
    <row r="582">
      <c r="A582" s="23" t="inlineStr">
        <is>
          <t>D0581</t>
        </is>
      </c>
      <c r="B582" s="23" t="inlineStr">
        <is>
          <t>08/25/2026</t>
        </is>
      </c>
      <c r="C582" s="23" t="inlineStr">
        <is>
          <t>08/25/2026 12:48 PM</t>
        </is>
      </c>
      <c r="D582" s="23" t="inlineStr">
        <is>
          <t>Chris Payton</t>
        </is>
      </c>
      <c r="E582" s="23" t="inlineStr">
        <is>
          <t>Sales Rep</t>
        </is>
      </c>
      <c r="F582" s="23" t="inlineStr">
        <is>
          <t>Michael Engel</t>
        </is>
      </c>
      <c r="G582" s="23" t="inlineStr">
        <is>
          <t>76018</t>
        </is>
      </c>
      <c r="H582" s="23" t="inlineStr">
        <is>
          <t>KRAUSZER LIQUOR</t>
        </is>
      </c>
      <c r="I582" s="23" t="inlineStr">
        <is>
          <t>SADDLE BROOK</t>
        </is>
      </c>
      <c r="J582" s="23" t="inlineStr">
        <is>
          <t>Boston Beer</t>
        </is>
      </c>
      <c r="K582" s="27" t="n">
        <v>0</v>
      </c>
      <c r="L582" s="23" t="inlineStr">
        <is>
          <t>Non-qualifying (&lt;10)</t>
        </is>
      </c>
      <c r="M582" s="24" t="n">
        <v>3</v>
      </c>
      <c r="N582" s="24" t="n">
        <v>3</v>
      </c>
      <c r="O582" s="23" t="inlineStr">
        <is>
          <t>Priority</t>
        </is>
      </c>
      <c r="P582" s="24" t="n">
        <v>0</v>
      </c>
      <c r="Q582" s="23" t="inlineStr">
        <is>
          <t>No</t>
        </is>
      </c>
      <c r="R582" s="23" t="inlineStr">
        <is>
          <t>LYTT</t>
        </is>
      </c>
      <c r="S582" s="23" t="inlineStr">
        <is>
          <t>LYTT</t>
        </is>
      </c>
      <c r="T582" s="23" t="inlineStr">
        <is>
          <t>BOSTON BEER COMPANY</t>
        </is>
      </c>
      <c r="U582" s="27" t="n">
        <v>3</v>
      </c>
      <c r="V582" s="23" t="inlineStr">
        <is>
          <t>No</t>
        </is>
      </c>
      <c r="W582" s="23" t="inlineStr">
        <is>
          <t>Boston Beer (3)</t>
        </is>
      </c>
      <c r="X582" s="23" t="inlineStr">
        <is>
          <t>—</t>
        </is>
      </c>
      <c r="Y582" s="28" t="inlineStr">
        <is>
          <t>View Photo</t>
        </is>
      </c>
    </row>
    <row r="583">
      <c r="A583" s="23" t="inlineStr">
        <is>
          <t>D0582</t>
        </is>
      </c>
      <c r="B583" s="23" t="inlineStr">
        <is>
          <t>08/26/2026</t>
        </is>
      </c>
      <c r="C583" s="23" t="inlineStr">
        <is>
          <t>08/26/2026 02:39 PM</t>
        </is>
      </c>
      <c r="D583" s="23" t="inlineStr">
        <is>
          <t>Chris Payton</t>
        </is>
      </c>
      <c r="E583" s="23" t="inlineStr">
        <is>
          <t>Sales Rep</t>
        </is>
      </c>
      <c r="F583" s="23" t="inlineStr">
        <is>
          <t>Michael Engel</t>
        </is>
      </c>
      <c r="G583" s="23" t="inlineStr">
        <is>
          <t>47005</t>
        </is>
      </c>
      <c r="H583" s="23" t="inlineStr">
        <is>
          <t>EXQUISITE W &amp; L (A)</t>
        </is>
      </c>
      <c r="I583" s="23" t="inlineStr">
        <is>
          <t>RIDGEFIELD PARK</t>
        </is>
      </c>
      <c r="J583" s="23" t="inlineStr">
        <is>
          <t>Boston Beer</t>
        </is>
      </c>
      <c r="K583" s="27" t="n">
        <v>0</v>
      </c>
      <c r="L583" s="23" t="inlineStr">
        <is>
          <t>Non-qualifying (&lt;10)</t>
        </is>
      </c>
      <c r="M583" s="24" t="n">
        <v>3</v>
      </c>
      <c r="N583" s="24" t="n">
        <v>3</v>
      </c>
      <c r="O583" s="23" t="inlineStr">
        <is>
          <t>Priority</t>
        </is>
      </c>
      <c r="P583" s="24" t="n">
        <v>0</v>
      </c>
      <c r="Q583" s="23" t="inlineStr">
        <is>
          <t>No</t>
        </is>
      </c>
      <c r="R583" s="23" t="inlineStr">
        <is>
          <t>LYTT</t>
        </is>
      </c>
      <c r="S583" s="23" t="inlineStr">
        <is>
          <t>LYTT</t>
        </is>
      </c>
      <c r="T583" s="23" t="inlineStr">
        <is>
          <t>BOSTON BEER COMPANY</t>
        </is>
      </c>
      <c r="U583" s="27" t="n">
        <v>3</v>
      </c>
      <c r="V583" s="23" t="inlineStr">
        <is>
          <t>No</t>
        </is>
      </c>
      <c r="W583" s="23" t="inlineStr">
        <is>
          <t>Boston Beer (3)</t>
        </is>
      </c>
      <c r="X583" s="23" t="inlineStr">
        <is>
          <t>—</t>
        </is>
      </c>
      <c r="Y583" s="28" t="inlineStr">
        <is>
          <t>View Photo</t>
        </is>
      </c>
    </row>
    <row r="584">
      <c r="A584" s="23" t="inlineStr">
        <is>
          <t>D0583</t>
        </is>
      </c>
      <c r="B584" s="23" t="inlineStr">
        <is>
          <t>08/28/2026</t>
        </is>
      </c>
      <c r="C584" s="23" t="inlineStr">
        <is>
          <t>08/28/2026 10:42 AM</t>
        </is>
      </c>
      <c r="D584" s="23" t="inlineStr">
        <is>
          <t>Chris Payton</t>
        </is>
      </c>
      <c r="E584" s="23" t="inlineStr">
        <is>
          <t>Sales Rep</t>
        </is>
      </c>
      <c r="F584" s="23" t="inlineStr">
        <is>
          <t>Michael Engel</t>
        </is>
      </c>
      <c r="G584" s="23" t="inlineStr">
        <is>
          <t>25045</t>
        </is>
      </c>
      <c r="H584" s="23" t="inlineStr">
        <is>
          <t>CLIFTON DISC LIQ (A)</t>
        </is>
      </c>
      <c r="I584" s="23" t="inlineStr">
        <is>
          <t>CLIFTON</t>
        </is>
      </c>
      <c r="J584" s="23" t="inlineStr">
        <is>
          <t>Boston Beer</t>
        </is>
      </c>
      <c r="K584" s="27" t="n">
        <v>0</v>
      </c>
      <c r="L584" s="23" t="inlineStr">
        <is>
          <t>Non-qualifying (&lt;10)</t>
        </is>
      </c>
      <c r="M584" s="24" t="n">
        <v>3</v>
      </c>
      <c r="N584" s="24" t="n">
        <v>3</v>
      </c>
      <c r="O584" s="23" t="inlineStr">
        <is>
          <t>Priority</t>
        </is>
      </c>
      <c r="P584" s="24" t="n">
        <v>0</v>
      </c>
      <c r="Q584" s="23" t="inlineStr">
        <is>
          <t>No</t>
        </is>
      </c>
      <c r="R584" s="23" t="inlineStr">
        <is>
          <t>LYTT</t>
        </is>
      </c>
      <c r="S584" s="23" t="inlineStr">
        <is>
          <t>LYTT</t>
        </is>
      </c>
      <c r="T584" s="23" t="inlineStr">
        <is>
          <t>BOSTON BEER COMPANY</t>
        </is>
      </c>
      <c r="U584" s="27" t="n">
        <v>3</v>
      </c>
      <c r="V584" s="23" t="inlineStr">
        <is>
          <t>No</t>
        </is>
      </c>
      <c r="W584" s="23" t="inlineStr">
        <is>
          <t>Boston Beer (3)</t>
        </is>
      </c>
      <c r="X584" s="23" t="inlineStr">
        <is>
          <t>—</t>
        </is>
      </c>
      <c r="Y584" s="28" t="inlineStr">
        <is>
          <t>View Photo</t>
        </is>
      </c>
    </row>
    <row r="585">
      <c r="A585" s="23" t="inlineStr">
        <is>
          <t>D0584</t>
        </is>
      </c>
      <c r="B585" s="23" t="inlineStr">
        <is>
          <t>08/28/2026</t>
        </is>
      </c>
      <c r="C585" s="23" t="inlineStr">
        <is>
          <t>08/28/2026 11:39 AM</t>
        </is>
      </c>
      <c r="D585" s="23" t="inlineStr">
        <is>
          <t>Nicholas Micco</t>
        </is>
      </c>
      <c r="E585" s="23" t="inlineStr">
        <is>
          <t>Sales Associate</t>
        </is>
      </c>
      <c r="F585" s="23" t="inlineStr">
        <is>
          <t>Michael Engel</t>
        </is>
      </c>
      <c r="G585" s="23" t="inlineStr">
        <is>
          <t>83010</t>
        </is>
      </c>
      <c r="H585" s="23" t="inlineStr">
        <is>
          <t>BOTTLE KING (A) GLEN ROCK</t>
        </is>
      </c>
      <c r="I585" s="23" t="inlineStr">
        <is>
          <t>GLEN ROCK</t>
        </is>
      </c>
      <c r="J585" s="23" t="inlineStr">
        <is>
          <t>Boston Beer</t>
        </is>
      </c>
      <c r="K585" s="27" t="n">
        <v>0</v>
      </c>
      <c r="L585" s="23" t="inlineStr">
        <is>
          <t>Non-qualifying (&lt;10)</t>
        </is>
      </c>
      <c r="M585" s="24" t="n">
        <v>3</v>
      </c>
      <c r="N585" s="24" t="n">
        <v>3</v>
      </c>
      <c r="O585" s="23" t="inlineStr">
        <is>
          <t>Priority</t>
        </is>
      </c>
      <c r="P585" s="24" t="n">
        <v>0</v>
      </c>
      <c r="Q585" s="23" t="inlineStr">
        <is>
          <t>No</t>
        </is>
      </c>
      <c r="R585" s="23" t="inlineStr">
        <is>
          <t>LYTT</t>
        </is>
      </c>
      <c r="S585" s="23" t="inlineStr">
        <is>
          <t>LYTT</t>
        </is>
      </c>
      <c r="T585" s="23" t="inlineStr">
        <is>
          <t>BOSTON BEER COMPANY</t>
        </is>
      </c>
      <c r="U585" s="27" t="n">
        <v>3</v>
      </c>
      <c r="V585" s="23" t="inlineStr">
        <is>
          <t>No</t>
        </is>
      </c>
      <c r="W585" s="23" t="inlineStr">
        <is>
          <t>Boston Beer (3)</t>
        </is>
      </c>
      <c r="X585" s="23" t="inlineStr">
        <is>
          <t>—</t>
        </is>
      </c>
      <c r="Y585" s="28" t="inlineStr">
        <is>
          <t>View Photo</t>
        </is>
      </c>
    </row>
    <row r="586">
      <c r="A586" s="23" t="inlineStr">
        <is>
          <t>D0585</t>
        </is>
      </c>
      <c r="B586" s="23" t="inlineStr">
        <is>
          <t>08/14/2026</t>
        </is>
      </c>
      <c r="C586" s="23" t="inlineStr">
        <is>
          <t>08/14/2026 11:38 AM</t>
        </is>
      </c>
      <c r="D586" s="23" t="inlineStr">
        <is>
          <t>Dave Ehlers</t>
        </is>
      </c>
      <c r="E586" s="23" t="inlineStr">
        <is>
          <t>Sales Rep</t>
        </is>
      </c>
      <c r="F586" s="23" t="inlineStr">
        <is>
          <t>Michael Engel</t>
        </is>
      </c>
      <c r="G586" s="23" t="inlineStr">
        <is>
          <t>58001</t>
        </is>
      </c>
      <c r="H586" s="23" t="inlineStr">
        <is>
          <t>TOTAL WINE &amp; MORE (RIVER EDGE)</t>
        </is>
      </c>
      <c r="I586" s="23" t="inlineStr">
        <is>
          <t>RIVER EDGE</t>
        </is>
      </c>
      <c r="J586" s="23" t="inlineStr">
        <is>
          <t>Boston Beer</t>
        </is>
      </c>
      <c r="K586" s="27" t="n">
        <v>0</v>
      </c>
      <c r="L586" s="23" t="inlineStr">
        <is>
          <t>Non-qualifying (&lt;10)</t>
        </is>
      </c>
      <c r="M586" s="24" t="n">
        <v>2</v>
      </c>
      <c r="N586" s="24" t="n">
        <v>2</v>
      </c>
      <c r="O586" s="23" t="inlineStr">
        <is>
          <t>Priority</t>
        </is>
      </c>
      <c r="P586" s="24" t="n">
        <v>0</v>
      </c>
      <c r="Q586" s="23" t="inlineStr">
        <is>
          <t>No</t>
        </is>
      </c>
      <c r="R586" s="23" t="inlineStr">
        <is>
          <t>LYTT</t>
        </is>
      </c>
      <c r="S586" s="23" t="inlineStr">
        <is>
          <t>LYTT</t>
        </is>
      </c>
      <c r="T586" s="23" t="inlineStr">
        <is>
          <t>BOSTON BEER COMPANY</t>
        </is>
      </c>
      <c r="U586" s="27" t="n">
        <v>1</v>
      </c>
      <c r="V586" s="23" t="inlineStr">
        <is>
          <t>No</t>
        </is>
      </c>
      <c r="W586" s="23" t="inlineStr">
        <is>
          <t>Boston Beer (2)</t>
        </is>
      </c>
      <c r="X586" s="23" t="inlineStr">
        <is>
          <t>—</t>
        </is>
      </c>
      <c r="Y586" s="28" t="inlineStr">
        <is>
          <t>View Photo</t>
        </is>
      </c>
    </row>
    <row r="587">
      <c r="A587" s="23" t="inlineStr">
        <is>
          <t>D0586</t>
        </is>
      </c>
      <c r="B587" s="23" t="inlineStr">
        <is>
          <t>08/14/2026</t>
        </is>
      </c>
      <c r="C587" s="23" t="inlineStr">
        <is>
          <t>08/14/2026 12:06 PM</t>
        </is>
      </c>
      <c r="D587" s="23" t="inlineStr">
        <is>
          <t>Dave Ehlers</t>
        </is>
      </c>
      <c r="E587" s="23" t="inlineStr">
        <is>
          <t>Sales Rep</t>
        </is>
      </c>
      <c r="F587" s="23" t="inlineStr">
        <is>
          <t>Michael Engel</t>
        </is>
      </c>
      <c r="G587" s="23" t="inlineStr">
        <is>
          <t>58001</t>
        </is>
      </c>
      <c r="H587" s="23" t="inlineStr">
        <is>
          <t>TOTAL WINE &amp; MORE (RIVER EDGE)</t>
        </is>
      </c>
      <c r="I587" s="23" t="inlineStr">
        <is>
          <t>RIVER EDGE</t>
        </is>
      </c>
      <c r="J587" s="23" t="inlineStr">
        <is>
          <t>Boston Beer</t>
        </is>
      </c>
      <c r="K587" s="27" t="n">
        <v>0</v>
      </c>
      <c r="L587" s="23" t="inlineStr">
        <is>
          <t>Non-qualifying (&lt;10)</t>
        </is>
      </c>
      <c r="M587" s="24" t="n">
        <v>2</v>
      </c>
      <c r="N587" s="24" t="n">
        <v>2</v>
      </c>
      <c r="O587" s="23" t="inlineStr">
        <is>
          <t>Priority</t>
        </is>
      </c>
      <c r="P587" s="24" t="n">
        <v>0</v>
      </c>
      <c r="Q587" s="23" t="inlineStr">
        <is>
          <t>No</t>
        </is>
      </c>
      <c r="R587" s="23" t="inlineStr">
        <is>
          <t>LYTT</t>
        </is>
      </c>
      <c r="S587" s="23" t="inlineStr">
        <is>
          <t>LYTT</t>
        </is>
      </c>
      <c r="T587" s="23" t="inlineStr">
        <is>
          <t>BOSTON BEER COMPANY</t>
        </is>
      </c>
      <c r="U587" s="27" t="n">
        <v>1</v>
      </c>
      <c r="V587" s="23" t="inlineStr">
        <is>
          <t>No</t>
        </is>
      </c>
      <c r="W587" s="23" t="inlineStr">
        <is>
          <t>Boston Beer (2)</t>
        </is>
      </c>
      <c r="X587" s="23" t="inlineStr">
        <is>
          <t>—</t>
        </is>
      </c>
      <c r="Y587" s="28" t="inlineStr">
        <is>
          <t>View Photo</t>
        </is>
      </c>
    </row>
    <row r="588">
      <c r="A588" s="23" t="inlineStr">
        <is>
          <t>D0587</t>
        </is>
      </c>
      <c r="B588" s="23" t="inlineStr">
        <is>
          <t>08/18/2026</t>
        </is>
      </c>
      <c r="C588" s="23" t="inlineStr">
        <is>
          <t>08/18/2026 01:41 PM</t>
        </is>
      </c>
      <c r="D588" s="23" t="inlineStr">
        <is>
          <t>patrick infante</t>
        </is>
      </c>
      <c r="E588" s="23" t="inlineStr">
        <is>
          <t>Sales Associate</t>
        </is>
      </c>
      <c r="F588" s="23" t="inlineStr">
        <is>
          <t>Denise Montes</t>
        </is>
      </c>
      <c r="G588" s="23" t="inlineStr">
        <is>
          <t>26014</t>
        </is>
      </c>
      <c r="H588" s="23" t="inlineStr">
        <is>
          <t>REGALADO LIQ</t>
        </is>
      </c>
      <c r="I588" s="23" t="inlineStr">
        <is>
          <t>PASSAIC</t>
        </is>
      </c>
      <c r="J588" s="23" t="inlineStr">
        <is>
          <t>Boston Beer</t>
        </is>
      </c>
      <c r="K588" s="27" t="n">
        <v>0</v>
      </c>
      <c r="L588" s="23" t="inlineStr">
        <is>
          <t>Non-qualifying (&lt;10)</t>
        </is>
      </c>
      <c r="M588" s="24" t="n">
        <v>2</v>
      </c>
      <c r="N588" s="24" t="n">
        <v>2</v>
      </c>
      <c r="O588" s="23" t="inlineStr">
        <is>
          <t>Priority</t>
        </is>
      </c>
      <c r="P588" s="24" t="n">
        <v>0</v>
      </c>
      <c r="Q588" s="23" t="inlineStr">
        <is>
          <t>No</t>
        </is>
      </c>
      <c r="R588" s="23" t="inlineStr">
        <is>
          <t>LYTT</t>
        </is>
      </c>
      <c r="S588" s="23" t="inlineStr">
        <is>
          <t>LYTT</t>
        </is>
      </c>
      <c r="T588" s="23" t="inlineStr">
        <is>
          <t>BOSTON BEER COMPANY</t>
        </is>
      </c>
      <c r="U588" s="27" t="n">
        <v>2</v>
      </c>
      <c r="V588" s="23" t="inlineStr">
        <is>
          <t>No</t>
        </is>
      </c>
      <c r="W588" s="23" t="inlineStr">
        <is>
          <t>Boston Beer (2)</t>
        </is>
      </c>
      <c r="X588" s="23" t="inlineStr">
        <is>
          <t>—</t>
        </is>
      </c>
      <c r="Y588" s="28" t="inlineStr">
        <is>
          <t>View Photo</t>
        </is>
      </c>
    </row>
    <row r="589">
      <c r="A589" s="23" t="inlineStr">
        <is>
          <t>D0588</t>
        </is>
      </c>
      <c r="B589" s="23" t="inlineStr">
        <is>
          <t>08/18/2026</t>
        </is>
      </c>
      <c r="C589" s="23" t="inlineStr">
        <is>
          <t>08/18/2026 03:19 PM</t>
        </is>
      </c>
      <c r="D589" s="23" t="inlineStr">
        <is>
          <t>phil Ernst</t>
        </is>
      </c>
      <c r="E589" s="23" t="inlineStr">
        <is>
          <t>Sales Rep</t>
        </is>
      </c>
      <c r="F589" s="23" t="inlineStr">
        <is>
          <t>Michael Engel</t>
        </is>
      </c>
      <c r="G589" s="23" t="inlineStr">
        <is>
          <t>80005</t>
        </is>
      </c>
      <c r="H589" s="23" t="inlineStr">
        <is>
          <t>SHOP RITE LIQ (PARAMUS)</t>
        </is>
      </c>
      <c r="I589" s="23" t="inlineStr">
        <is>
          <t>PARAMUS</t>
        </is>
      </c>
      <c r="J589" s="23" t="inlineStr">
        <is>
          <t>Boston Beer</t>
        </is>
      </c>
      <c r="K589" s="27" t="n">
        <v>0</v>
      </c>
      <c r="L589" s="23" t="inlineStr">
        <is>
          <t>Non-qualifying (&lt;10)</t>
        </is>
      </c>
      <c r="M589" s="24" t="n">
        <v>2</v>
      </c>
      <c r="N589" s="24" t="n">
        <v>2</v>
      </c>
      <c r="O589" s="23" t="inlineStr">
        <is>
          <t>Priority</t>
        </is>
      </c>
      <c r="P589" s="24" t="n">
        <v>0</v>
      </c>
      <c r="Q589" s="23" t="inlineStr">
        <is>
          <t>No</t>
        </is>
      </c>
      <c r="R589" s="23" t="inlineStr">
        <is>
          <t>LYTT</t>
        </is>
      </c>
      <c r="S589" s="23" t="inlineStr">
        <is>
          <t>LYTT</t>
        </is>
      </c>
      <c r="T589" s="23" t="inlineStr">
        <is>
          <t>BOSTON BEER COMPANY</t>
        </is>
      </c>
      <c r="U589" s="27" t="n">
        <v>1</v>
      </c>
      <c r="V589" s="23" t="inlineStr">
        <is>
          <t>No</t>
        </is>
      </c>
      <c r="W589" s="23" t="inlineStr">
        <is>
          <t>Boston Beer (2)</t>
        </is>
      </c>
      <c r="X589" s="23" t="inlineStr">
        <is>
          <t>—</t>
        </is>
      </c>
      <c r="Y589" s="28" t="inlineStr">
        <is>
          <t>View Photo</t>
        </is>
      </c>
    </row>
    <row r="590">
      <c r="A590" s="23" t="inlineStr">
        <is>
          <t>D0589</t>
        </is>
      </c>
      <c r="B590" s="23" t="inlineStr">
        <is>
          <t>08/19/2026</t>
        </is>
      </c>
      <c r="C590" s="23" t="inlineStr">
        <is>
          <t>08/19/2026 10:26 AM</t>
        </is>
      </c>
      <c r="D590" s="23" t="inlineStr">
        <is>
          <t>David Fletcher</t>
        </is>
      </c>
      <c r="E590" s="23" t="inlineStr">
        <is>
          <t>Sales Associate</t>
        </is>
      </c>
      <c r="F590" s="23" t="inlineStr">
        <is>
          <t>Michael Engel</t>
        </is>
      </c>
      <c r="G590" s="23" t="inlineStr">
        <is>
          <t>50007</t>
        </is>
      </c>
      <c r="H590" s="23" t="inlineStr">
        <is>
          <t>WELSH FARMS</t>
        </is>
      </c>
      <c r="I590" s="23" t="inlineStr">
        <is>
          <t>BOGOTA</t>
        </is>
      </c>
      <c r="J590" s="23" t="inlineStr">
        <is>
          <t>Molson Coors</t>
        </is>
      </c>
      <c r="K590" s="27" t="n">
        <v>0</v>
      </c>
      <c r="L590" s="23" t="inlineStr">
        <is>
          <t>Non-qualifying (&lt;10)</t>
        </is>
      </c>
      <c r="M590" s="24" t="n">
        <v>2</v>
      </c>
      <c r="N590" s="24" t="n">
        <v>2</v>
      </c>
      <c r="O590" s="23" t="inlineStr">
        <is>
          <t>Priority</t>
        </is>
      </c>
      <c r="P590" s="24" t="n">
        <v>0</v>
      </c>
      <c r="Q590" s="23" t="inlineStr">
        <is>
          <t>No</t>
        </is>
      </c>
      <c r="R590" s="23" t="inlineStr">
        <is>
          <t>COORS LIGHT</t>
        </is>
      </c>
      <c r="S590" s="23" t="inlineStr">
        <is>
          <t>COORS LIGHT, MILLER LITE</t>
        </is>
      </c>
      <c r="T590" s="23" t="inlineStr">
        <is>
          <t>MOLSON COORS BEVERAGE COMPANY</t>
        </is>
      </c>
      <c r="U590" s="27" t="n">
        <v>2</v>
      </c>
      <c r="V590" s="23" t="inlineStr">
        <is>
          <t>No</t>
        </is>
      </c>
      <c r="W590" s="23" t="inlineStr">
        <is>
          <t>Molson Coors (2)</t>
        </is>
      </c>
      <c r="X590" s="23" t="inlineStr">
        <is>
          <t>—</t>
        </is>
      </c>
      <c r="Y590" s="28" t="inlineStr">
        <is>
          <t>View Photo</t>
        </is>
      </c>
    </row>
    <row r="591">
      <c r="A591" s="23" t="inlineStr">
        <is>
          <t>D0590</t>
        </is>
      </c>
      <c r="B591" s="23" t="inlineStr">
        <is>
          <t>08/24/2026</t>
        </is>
      </c>
      <c r="C591" s="23" t="inlineStr">
        <is>
          <t>08/24/2026 12:44 PM</t>
        </is>
      </c>
      <c r="D591" s="23" t="inlineStr">
        <is>
          <t>David Fletcher</t>
        </is>
      </c>
      <c r="E591" s="23" t="inlineStr">
        <is>
          <t>Sales Associate</t>
        </is>
      </c>
      <c r="F591" s="23" t="inlineStr">
        <is>
          <t>Michael Engel</t>
        </is>
      </c>
      <c r="G591" s="23" t="inlineStr">
        <is>
          <t>38017</t>
        </is>
      </c>
      <c r="H591" s="23" t="inlineStr">
        <is>
          <t>QUICK STOP FOOD &amp; LIQ</t>
        </is>
      </c>
      <c r="I591" s="23" t="inlineStr">
        <is>
          <t>LODI</t>
        </is>
      </c>
      <c r="J591" s="23" t="inlineStr">
        <is>
          <t>Boston Beer</t>
        </is>
      </c>
      <c r="K591" s="27" t="n">
        <v>0</v>
      </c>
      <c r="L591" s="23" t="inlineStr">
        <is>
          <t>Non-qualifying (&lt;10)</t>
        </is>
      </c>
      <c r="M591" s="24" t="n">
        <v>2</v>
      </c>
      <c r="N591" s="24" t="n">
        <v>2</v>
      </c>
      <c r="O591" s="23" t="inlineStr">
        <is>
          <t>Priority</t>
        </is>
      </c>
      <c r="P591" s="24" t="n">
        <v>0</v>
      </c>
      <c r="Q591" s="23" t="inlineStr">
        <is>
          <t>No</t>
        </is>
      </c>
      <c r="R591" s="23" t="inlineStr">
        <is>
          <t>LYTT</t>
        </is>
      </c>
      <c r="S591" s="23" t="inlineStr">
        <is>
          <t>LYTT</t>
        </is>
      </c>
      <c r="T591" s="23" t="inlineStr">
        <is>
          <t>BOSTON BEER COMPANY</t>
        </is>
      </c>
      <c r="U591" s="27" t="n">
        <v>2</v>
      </c>
      <c r="V591" s="23" t="inlineStr">
        <is>
          <t>No</t>
        </is>
      </c>
      <c r="W591" s="23" t="inlineStr">
        <is>
          <t>Boston Beer (2)</t>
        </is>
      </c>
      <c r="X591" s="23" t="inlineStr">
        <is>
          <t>—</t>
        </is>
      </c>
      <c r="Y591" s="28" t="inlineStr">
        <is>
          <t>View Photo</t>
        </is>
      </c>
    </row>
    <row r="592">
      <c r="A592" s="23" t="inlineStr">
        <is>
          <t>D0591</t>
        </is>
      </c>
      <c r="B592" s="23" t="inlineStr">
        <is>
          <t>08/25/2026</t>
        </is>
      </c>
      <c r="C592" s="23" t="inlineStr">
        <is>
          <t>08/25/2026 04:20 PM</t>
        </is>
      </c>
      <c r="D592" s="23" t="inlineStr">
        <is>
          <t>phil Ernst</t>
        </is>
      </c>
      <c r="E592" s="23" t="inlineStr">
        <is>
          <t>Sales Rep</t>
        </is>
      </c>
      <c r="F592" s="23" t="inlineStr">
        <is>
          <t>Michael Engel</t>
        </is>
      </c>
      <c r="G592" s="23" t="inlineStr">
        <is>
          <t>83001</t>
        </is>
      </c>
      <c r="H592" s="23" t="inlineStr">
        <is>
          <t>FOOD UNIVERSE MARKETPLACE</t>
        </is>
      </c>
      <c r="I592" s="23" t="inlineStr">
        <is>
          <t>GLEN ROCK</t>
        </is>
      </c>
      <c r="J592" s="23" t="inlineStr">
        <is>
          <t>Boston Beer</t>
        </is>
      </c>
      <c r="K592" s="27" t="n">
        <v>0</v>
      </c>
      <c r="L592" s="23" t="inlineStr">
        <is>
          <t>Non-qualifying (&lt;10)</t>
        </is>
      </c>
      <c r="M592" s="24" t="n">
        <v>2</v>
      </c>
      <c r="N592" s="24" t="n">
        <v>2</v>
      </c>
      <c r="O592" s="23" t="inlineStr">
        <is>
          <t>Priority</t>
        </is>
      </c>
      <c r="P592" s="24" t="n">
        <v>0</v>
      </c>
      <c r="Q592" s="23" t="inlineStr">
        <is>
          <t>No</t>
        </is>
      </c>
      <c r="R592" s="23" t="inlineStr">
        <is>
          <t>LYTT</t>
        </is>
      </c>
      <c r="S592" s="23" t="inlineStr">
        <is>
          <t>LYTT</t>
        </is>
      </c>
      <c r="T592" s="23" t="inlineStr">
        <is>
          <t>LYTT LLC</t>
        </is>
      </c>
      <c r="U592" s="27" t="n">
        <v>1</v>
      </c>
      <c r="V592" s="23" t="inlineStr">
        <is>
          <t>No</t>
        </is>
      </c>
      <c r="W592" s="23" t="inlineStr">
        <is>
          <t>Boston Beer (2)</t>
        </is>
      </c>
      <c r="X592" s="23" t="inlineStr">
        <is>
          <t>—</t>
        </is>
      </c>
      <c r="Y592" s="28" t="inlineStr">
        <is>
          <t>View Photo</t>
        </is>
      </c>
    </row>
    <row r="593">
      <c r="A593" s="23" t="inlineStr">
        <is>
          <t>D0592</t>
        </is>
      </c>
      <c r="B593" s="23" t="inlineStr">
        <is>
          <t>08/25/2026</t>
        </is>
      </c>
      <c r="C593" s="23" t="inlineStr">
        <is>
          <t>08/25/2026 04:33 PM</t>
        </is>
      </c>
      <c r="D593" s="23" t="inlineStr">
        <is>
          <t>phil Ernst</t>
        </is>
      </c>
      <c r="E593" s="23" t="inlineStr">
        <is>
          <t>Sales Rep</t>
        </is>
      </c>
      <c r="F593" s="23" t="inlineStr">
        <is>
          <t>Michael Engel</t>
        </is>
      </c>
      <c r="G593" s="23" t="inlineStr">
        <is>
          <t>83001</t>
        </is>
      </c>
      <c r="H593" s="23" t="inlineStr">
        <is>
          <t>FOOD UNIVERSE MARKETPLACE</t>
        </is>
      </c>
      <c r="I593" s="23" t="inlineStr">
        <is>
          <t>GLEN ROCK</t>
        </is>
      </c>
      <c r="J593" s="23" t="inlineStr">
        <is>
          <t>Boston Beer</t>
        </is>
      </c>
      <c r="K593" s="27" t="n">
        <v>0</v>
      </c>
      <c r="L593" s="23" t="inlineStr">
        <is>
          <t>Non-qualifying (&lt;10)</t>
        </is>
      </c>
      <c r="M593" s="24" t="n">
        <v>2</v>
      </c>
      <c r="N593" s="24" t="n">
        <v>2</v>
      </c>
      <c r="O593" s="23" t="inlineStr">
        <is>
          <t>Priority</t>
        </is>
      </c>
      <c r="P593" s="24" t="n">
        <v>0</v>
      </c>
      <c r="Q593" s="23" t="inlineStr">
        <is>
          <t>No</t>
        </is>
      </c>
      <c r="R593" s="23" t="inlineStr">
        <is>
          <t>LYTT</t>
        </is>
      </c>
      <c r="S593" s="23" t="inlineStr">
        <is>
          <t>LYTT</t>
        </is>
      </c>
      <c r="T593" s="23" t="inlineStr">
        <is>
          <t>LYTT LLC</t>
        </is>
      </c>
      <c r="U593" s="27" t="n">
        <v>1</v>
      </c>
      <c r="V593" s="23" t="inlineStr">
        <is>
          <t>No</t>
        </is>
      </c>
      <c r="W593" s="23" t="inlineStr">
        <is>
          <t>Boston Beer (2)</t>
        </is>
      </c>
      <c r="X593" s="23" t="inlineStr">
        <is>
          <t>—</t>
        </is>
      </c>
      <c r="Y593" s="28" t="inlineStr">
        <is>
          <t>View Photo</t>
        </is>
      </c>
    </row>
    <row r="594">
      <c r="A594" s="23" t="inlineStr">
        <is>
          <t>D0593</t>
        </is>
      </c>
      <c r="B594" s="23" t="inlineStr">
        <is>
          <t>08/25/2026</t>
        </is>
      </c>
      <c r="C594" s="23" t="inlineStr">
        <is>
          <t>08/25/2026 11:53 AM</t>
        </is>
      </c>
      <c r="D594" s="23" t="inlineStr">
        <is>
          <t>David Fletcher</t>
        </is>
      </c>
      <c r="E594" s="23" t="inlineStr">
        <is>
          <t>Sales Associate</t>
        </is>
      </c>
      <c r="F594" s="23" t="inlineStr">
        <is>
          <t>Michael Engel</t>
        </is>
      </c>
      <c r="G594" s="23" t="inlineStr">
        <is>
          <t>25045</t>
        </is>
      </c>
      <c r="H594" s="23" t="inlineStr">
        <is>
          <t>CLIFTON DISC LIQ (A)</t>
        </is>
      </c>
      <c r="I594" s="23" t="inlineStr">
        <is>
          <t>CLIFTON</t>
        </is>
      </c>
      <c r="J594" s="23" t="inlineStr">
        <is>
          <t>Boston Beer</t>
        </is>
      </c>
      <c r="K594" s="27" t="n">
        <v>0</v>
      </c>
      <c r="L594" s="23" t="inlineStr">
        <is>
          <t>Non-qualifying (&lt;10)</t>
        </is>
      </c>
      <c r="M594" s="24" t="n">
        <v>2</v>
      </c>
      <c r="N594" s="24" t="n">
        <v>2</v>
      </c>
      <c r="O594" s="23" t="inlineStr">
        <is>
          <t>Priority</t>
        </is>
      </c>
      <c r="P594" s="24" t="n">
        <v>0</v>
      </c>
      <c r="Q594" s="23" t="inlineStr">
        <is>
          <t>No</t>
        </is>
      </c>
      <c r="R594" s="23" t="inlineStr">
        <is>
          <t>LYTT</t>
        </is>
      </c>
      <c r="S594" s="23" t="inlineStr">
        <is>
          <t>LYTT</t>
        </is>
      </c>
      <c r="T594" s="23" t="inlineStr">
        <is>
          <t>BOSTON BEER COMPANY</t>
        </is>
      </c>
      <c r="U594" s="27" t="n">
        <v>2</v>
      </c>
      <c r="V594" s="23" t="inlineStr">
        <is>
          <t>No</t>
        </is>
      </c>
      <c r="W594" s="23" t="inlineStr">
        <is>
          <t>Boston Beer (2)</t>
        </is>
      </c>
      <c r="X594" s="23" t="inlineStr">
        <is>
          <t>—</t>
        </is>
      </c>
      <c r="Y594" s="28" t="inlineStr">
        <is>
          <t>View Photo</t>
        </is>
      </c>
    </row>
    <row r="595">
      <c r="A595" s="23" t="inlineStr">
        <is>
          <t>D0594</t>
        </is>
      </c>
      <c r="B595" s="23" t="inlineStr">
        <is>
          <t>08/04/2026</t>
        </is>
      </c>
      <c r="C595" s="23" t="inlineStr">
        <is>
          <t>08/04/2026 03:31 PM</t>
        </is>
      </c>
      <c r="D595" s="23" t="inlineStr">
        <is>
          <t>phil Ernst</t>
        </is>
      </c>
      <c r="E595" s="23" t="inlineStr">
        <is>
          <t>Sales Rep</t>
        </is>
      </c>
      <c r="F595" s="23" t="inlineStr">
        <is>
          <t>Michael Engel</t>
        </is>
      </c>
      <c r="G595" s="23" t="inlineStr">
        <is>
          <t>83010</t>
        </is>
      </c>
      <c r="H595" s="23" t="inlineStr">
        <is>
          <t>BOTTLE KING (A) GLEN ROCK</t>
        </is>
      </c>
      <c r="I595" s="23" t="inlineStr">
        <is>
          <t>GLEN ROCK</t>
        </is>
      </c>
      <c r="J595" s="23" t="inlineStr">
        <is>
          <t>Molson Coors</t>
        </is>
      </c>
      <c r="K595" s="27" t="n">
        <v>0</v>
      </c>
      <c r="L595" s="23" t="inlineStr">
        <is>
          <t>Non-qualifying (&lt;10)</t>
        </is>
      </c>
      <c r="M595" s="24" t="n">
        <v>1</v>
      </c>
      <c r="N595" s="24" t="n">
        <v>1</v>
      </c>
      <c r="O595" s="23" t="inlineStr">
        <is>
          <t>All Other</t>
        </is>
      </c>
      <c r="P595" s="24" t="n">
        <v>0</v>
      </c>
      <c r="Q595" s="23" t="inlineStr">
        <is>
          <t>No</t>
        </is>
      </c>
      <c r="R595" s="23" t="inlineStr">
        <is>
          <t>REDD'S</t>
        </is>
      </c>
      <c r="S595" s="23" t="inlineStr">
        <is>
          <t>REDD'S</t>
        </is>
      </c>
      <c r="T595" s="23" t="inlineStr">
        <is>
          <t>MOLSON COORS BEVERAGE COMPANY</t>
        </is>
      </c>
      <c r="U595" s="27" t="n">
        <v>1</v>
      </c>
      <c r="V595" s="23" t="inlineStr">
        <is>
          <t>No</t>
        </is>
      </c>
      <c r="W595" s="23" t="inlineStr">
        <is>
          <t>Molson Coors (1)</t>
        </is>
      </c>
      <c r="X595" s="23" t="inlineStr">
        <is>
          <t>—</t>
        </is>
      </c>
      <c r="Y595" s="28" t="inlineStr">
        <is>
          <t>View Photo</t>
        </is>
      </c>
    </row>
    <row r="596">
      <c r="A596" s="23" t="inlineStr">
        <is>
          <t>D0595</t>
        </is>
      </c>
      <c r="B596" s="23" t="inlineStr">
        <is>
          <t>08/04/2026</t>
        </is>
      </c>
      <c r="C596" s="23" t="inlineStr">
        <is>
          <t>08/04/2026 03:34 PM</t>
        </is>
      </c>
      <c r="D596" s="23" t="inlineStr">
        <is>
          <t>phil Ernst</t>
        </is>
      </c>
      <c r="E596" s="23" t="inlineStr">
        <is>
          <t>Sales Rep</t>
        </is>
      </c>
      <c r="F596" s="23" t="inlineStr">
        <is>
          <t>Michael Engel</t>
        </is>
      </c>
      <c r="G596" s="23" t="inlineStr">
        <is>
          <t>83010</t>
        </is>
      </c>
      <c r="H596" s="23" t="inlineStr">
        <is>
          <t>BOTTLE KING (A) GLEN ROCK</t>
        </is>
      </c>
      <c r="I596" s="23" t="inlineStr">
        <is>
          <t>GLEN ROCK</t>
        </is>
      </c>
      <c r="J596" s="23" t="inlineStr">
        <is>
          <t>Molson Coors</t>
        </is>
      </c>
      <c r="K596" s="27" t="n">
        <v>0</v>
      </c>
      <c r="L596" s="23" t="inlineStr">
        <is>
          <t>Non-qualifying (&lt;10)</t>
        </is>
      </c>
      <c r="M596" s="24" t="n">
        <v>1</v>
      </c>
      <c r="N596" s="24" t="n">
        <v>1</v>
      </c>
      <c r="O596" s="23" t="inlineStr">
        <is>
          <t>All Other</t>
        </is>
      </c>
      <c r="P596" s="24" t="n">
        <v>0</v>
      </c>
      <c r="Q596" s="23" t="inlineStr">
        <is>
          <t>No</t>
        </is>
      </c>
      <c r="R596" s="23" t="inlineStr">
        <is>
          <t>REDD'S</t>
        </is>
      </c>
      <c r="S596" s="23" t="inlineStr">
        <is>
          <t>REDD'S</t>
        </is>
      </c>
      <c r="T596" s="23" t="inlineStr">
        <is>
          <t>MOLSON COORS BEVERAGE COMPANY</t>
        </is>
      </c>
      <c r="U596" s="27" t="n">
        <v>1</v>
      </c>
      <c r="V596" s="23" t="inlineStr">
        <is>
          <t>No</t>
        </is>
      </c>
      <c r="W596" s="23" t="inlineStr">
        <is>
          <t>Molson Coors (1)</t>
        </is>
      </c>
      <c r="X596" s="23" t="inlineStr">
        <is>
          <t>—</t>
        </is>
      </c>
      <c r="Y596" s="28" t="inlineStr">
        <is>
          <t>View Photo</t>
        </is>
      </c>
    </row>
    <row r="597">
      <c r="A597" s="23" t="inlineStr">
        <is>
          <t>D0596</t>
        </is>
      </c>
      <c r="B597" s="23" t="inlineStr">
        <is>
          <t>08/14/2026</t>
        </is>
      </c>
      <c r="C597" s="23" t="inlineStr">
        <is>
          <t>08/14/2026 11:39 AM</t>
        </is>
      </c>
      <c r="D597" s="23" t="inlineStr">
        <is>
          <t>Dave Ehlers</t>
        </is>
      </c>
      <c r="E597" s="23" t="inlineStr">
        <is>
          <t>Sales Rep</t>
        </is>
      </c>
      <c r="F597" s="23" t="inlineStr">
        <is>
          <t>Michael Engel</t>
        </is>
      </c>
      <c r="G597" s="23" t="inlineStr">
        <is>
          <t>58001</t>
        </is>
      </c>
      <c r="H597" s="23" t="inlineStr">
        <is>
          <t>TOTAL WINE &amp; MORE (RIVER EDGE)</t>
        </is>
      </c>
      <c r="I597" s="23" t="inlineStr">
        <is>
          <t>RIVER EDGE</t>
        </is>
      </c>
      <c r="J597" s="23" t="inlineStr">
        <is>
          <t>Boston Beer</t>
        </is>
      </c>
      <c r="K597" s="27" t="n">
        <v>0</v>
      </c>
      <c r="L597" s="23" t="inlineStr">
        <is>
          <t>Non-qualifying (&lt;10)</t>
        </is>
      </c>
      <c r="M597" s="24" t="n">
        <v>1</v>
      </c>
      <c r="N597" s="24" t="n">
        <v>1</v>
      </c>
      <c r="O597" s="23" t="inlineStr">
        <is>
          <t>Priority</t>
        </is>
      </c>
      <c r="P597" s="24" t="n">
        <v>0</v>
      </c>
      <c r="Q597" s="23" t="inlineStr">
        <is>
          <t>No</t>
        </is>
      </c>
      <c r="R597" s="23" t="inlineStr">
        <is>
          <t>LYTT</t>
        </is>
      </c>
      <c r="S597" s="23" t="inlineStr">
        <is>
          <t>LYTT</t>
        </is>
      </c>
      <c r="T597" s="23" t="inlineStr">
        <is>
          <t>BOSTON BEER COMPANY</t>
        </is>
      </c>
      <c r="U597" s="27" t="n">
        <v>1</v>
      </c>
      <c r="V597" s="23" t="inlineStr">
        <is>
          <t>No</t>
        </is>
      </c>
      <c r="W597" s="23" t="inlineStr">
        <is>
          <t>Boston Beer (1)</t>
        </is>
      </c>
      <c r="X597" s="23" t="inlineStr">
        <is>
          <t>—</t>
        </is>
      </c>
      <c r="Y597" s="28" t="inlineStr">
        <is>
          <t>View Photo</t>
        </is>
      </c>
    </row>
    <row r="598">
      <c r="A598" s="23" t="inlineStr">
        <is>
          <t>D0597</t>
        </is>
      </c>
      <c r="B598" s="23" t="inlineStr">
        <is>
          <t>08/17/2026</t>
        </is>
      </c>
      <c r="C598" s="23" t="inlineStr">
        <is>
          <t>08/17/2026 10:23 AM</t>
        </is>
      </c>
      <c r="D598" s="23" t="inlineStr">
        <is>
          <t>Dave Ehlers</t>
        </is>
      </c>
      <c r="E598" s="23" t="inlineStr">
        <is>
          <t>Sales Rep</t>
        </is>
      </c>
      <c r="F598" s="23" t="inlineStr">
        <is>
          <t>Michael Engel</t>
        </is>
      </c>
      <c r="G598" s="23" t="inlineStr">
        <is>
          <t>39012</t>
        </is>
      </c>
      <c r="H598" s="23" t="inlineStr">
        <is>
          <t>WINE AND LIQ DEPOT(A)</t>
        </is>
      </c>
      <c r="I598" s="23" t="inlineStr">
        <is>
          <t>SOUTH HACKENSAC</t>
        </is>
      </c>
      <c r="J598" s="23" t="inlineStr">
        <is>
          <t>Boston Beer</t>
        </is>
      </c>
      <c r="K598" s="27" t="n">
        <v>0</v>
      </c>
      <c r="L598" s="23" t="inlineStr">
        <is>
          <t>Non-qualifying (&lt;10)</t>
        </is>
      </c>
      <c r="M598" s="24" t="n">
        <v>1</v>
      </c>
      <c r="N598" s="24" t="n">
        <v>1</v>
      </c>
      <c r="O598" s="23" t="inlineStr">
        <is>
          <t>Priority</t>
        </is>
      </c>
      <c r="P598" s="24" t="n">
        <v>0</v>
      </c>
      <c r="Q598" s="23" t="inlineStr">
        <is>
          <t>No</t>
        </is>
      </c>
      <c r="R598" s="23" t="inlineStr">
        <is>
          <t>LYTT</t>
        </is>
      </c>
      <c r="S598" s="23" t="inlineStr">
        <is>
          <t>LYTT</t>
        </is>
      </c>
      <c r="T598" s="23" t="inlineStr">
        <is>
          <t>BOSTON BEER COMPANY</t>
        </is>
      </c>
      <c r="U598" s="27" t="n">
        <v>1</v>
      </c>
      <c r="V598" s="23" t="inlineStr">
        <is>
          <t>No</t>
        </is>
      </c>
      <c r="W598" s="23" t="inlineStr">
        <is>
          <t>Boston Beer (1)</t>
        </is>
      </c>
      <c r="X598" s="23" t="inlineStr">
        <is>
          <t>—</t>
        </is>
      </c>
      <c r="Y598" s="28" t="inlineStr">
        <is>
          <t>View Photo</t>
        </is>
      </c>
    </row>
    <row r="599">
      <c r="A599" s="23" t="inlineStr">
        <is>
          <t>D0598</t>
        </is>
      </c>
      <c r="B599" s="23" t="inlineStr">
        <is>
          <t>08/19/2026</t>
        </is>
      </c>
      <c r="C599" s="23" t="inlineStr">
        <is>
          <t>08/19/2026 01:03 PM</t>
        </is>
      </c>
      <c r="D599" s="23" t="inlineStr">
        <is>
          <t>David Fletcher</t>
        </is>
      </c>
      <c r="E599" s="23" t="inlineStr">
        <is>
          <t>Sales Associate</t>
        </is>
      </c>
      <c r="F599" s="23" t="inlineStr">
        <is>
          <t>Michael Engel</t>
        </is>
      </c>
      <c r="G599" s="23" t="inlineStr">
        <is>
          <t>80041</t>
        </is>
      </c>
      <c r="H599" s="23" t="inlineStr">
        <is>
          <t>PRIME WINE CELLAR LIQUOR &amp; BEER</t>
        </is>
      </c>
      <c r="I599" s="23" t="inlineStr">
        <is>
          <t>PARAMUS</t>
        </is>
      </c>
      <c r="J599" s="23" t="inlineStr">
        <is>
          <t>Constellation</t>
        </is>
      </c>
      <c r="K599" s="27" t="n">
        <v>0</v>
      </c>
      <c r="L599" s="23" t="inlineStr">
        <is>
          <t>Non-qualifying (&lt;10)</t>
        </is>
      </c>
      <c r="M599" s="24" t="n">
        <v>1</v>
      </c>
      <c r="N599" s="24" t="n">
        <v>1</v>
      </c>
      <c r="O599" s="23" t="inlineStr">
        <is>
          <t>Priority</t>
        </is>
      </c>
      <c r="P599" s="24" t="n">
        <v>0</v>
      </c>
      <c r="Q599" s="23" t="inlineStr">
        <is>
          <t>No</t>
        </is>
      </c>
      <c r="R599" s="23" t="inlineStr">
        <is>
          <t>MODELO CERVEZA</t>
        </is>
      </c>
      <c r="S599" s="23" t="inlineStr">
        <is>
          <t>MODELO CERVEZA</t>
        </is>
      </c>
      <c r="T599" s="23" t="inlineStr">
        <is>
          <t>CONSTELLATION BRANDS</t>
        </is>
      </c>
      <c r="U599" s="27" t="n">
        <v>1</v>
      </c>
      <c r="V599" s="23" t="inlineStr">
        <is>
          <t>No</t>
        </is>
      </c>
      <c r="W599" s="23" t="inlineStr">
        <is>
          <t>Constellation (1)</t>
        </is>
      </c>
      <c r="X599" s="23" t="inlineStr">
        <is>
          <t>—</t>
        </is>
      </c>
      <c r="Y599" s="28" t="inlineStr">
        <is>
          <t>View Photo</t>
        </is>
      </c>
    </row>
    <row r="600">
      <c r="A600" s="23" t="inlineStr">
        <is>
          <t>D0599</t>
        </is>
      </c>
      <c r="B600" s="23" t="inlineStr">
        <is>
          <t>08/19/2026</t>
        </is>
      </c>
      <c r="C600" s="23" t="inlineStr">
        <is>
          <t>08/19/2026 10:28 AM</t>
        </is>
      </c>
      <c r="D600" s="23" t="inlineStr">
        <is>
          <t>David Fletcher</t>
        </is>
      </c>
      <c r="E600" s="23" t="inlineStr">
        <is>
          <t>Sales Associate</t>
        </is>
      </c>
      <c r="F600" s="23" t="inlineStr">
        <is>
          <t>Michael Engel</t>
        </is>
      </c>
      <c r="G600" s="23" t="inlineStr">
        <is>
          <t>50007</t>
        </is>
      </c>
      <c r="H600" s="23" t="inlineStr">
        <is>
          <t>WELSH FARMS</t>
        </is>
      </c>
      <c r="I600" s="23" t="inlineStr">
        <is>
          <t>BOGOTA</t>
        </is>
      </c>
      <c r="J600" s="23" t="inlineStr">
        <is>
          <t>Constellation</t>
        </is>
      </c>
      <c r="K600" s="27" t="n">
        <v>0</v>
      </c>
      <c r="L600" s="23" t="inlineStr">
        <is>
          <t>Non-qualifying (&lt;10)</t>
        </is>
      </c>
      <c r="M600" s="24" t="n">
        <v>1</v>
      </c>
      <c r="N600" s="24" t="n">
        <v>1</v>
      </c>
      <c r="O600" s="23" t="inlineStr">
        <is>
          <t>Priority</t>
        </is>
      </c>
      <c r="P600" s="24" t="n">
        <v>0</v>
      </c>
      <c r="Q600" s="23" t="inlineStr">
        <is>
          <t>No</t>
        </is>
      </c>
      <c r="R600" s="23" t="inlineStr">
        <is>
          <t>MODELO CERVEZA</t>
        </is>
      </c>
      <c r="S600" s="23" t="inlineStr">
        <is>
          <t>MODELO CERVEZA</t>
        </is>
      </c>
      <c r="T600" s="23" t="inlineStr">
        <is>
          <t>CONSTELLATION BRANDS</t>
        </is>
      </c>
      <c r="U600" s="27" t="n">
        <v>1</v>
      </c>
      <c r="V600" s="23" t="inlineStr">
        <is>
          <t>No</t>
        </is>
      </c>
      <c r="W600" s="23" t="inlineStr">
        <is>
          <t>Constellation (1)</t>
        </is>
      </c>
      <c r="X600" s="23" t="inlineStr">
        <is>
          <t>—</t>
        </is>
      </c>
      <c r="Y600" s="28" t="inlineStr">
        <is>
          <t>View Photo</t>
        </is>
      </c>
    </row>
    <row r="601">
      <c r="A601" s="23" t="inlineStr">
        <is>
          <t>D0600</t>
        </is>
      </c>
      <c r="B601" s="23" t="inlineStr">
        <is>
          <t>08/25/2026</t>
        </is>
      </c>
      <c r="C601" s="23" t="inlineStr">
        <is>
          <t>08/25/2026 01:46 PM</t>
        </is>
      </c>
      <c r="D601" s="23" t="inlineStr">
        <is>
          <t>David Fletcher</t>
        </is>
      </c>
      <c r="E601" s="23" t="inlineStr">
        <is>
          <t>Sales Associate</t>
        </is>
      </c>
      <c r="F601" s="23" t="inlineStr">
        <is>
          <t>Michael Engel</t>
        </is>
      </c>
      <c r="G601" s="23" t="inlineStr">
        <is>
          <t>79002</t>
        </is>
      </c>
      <c r="H601" s="23" t="inlineStr">
        <is>
          <t>HOLLYWD LIQ&amp;DELI (A)</t>
        </is>
      </c>
      <c r="I601" s="23" t="inlineStr">
        <is>
          <t>MAYWOOD</t>
        </is>
      </c>
      <c r="J601" s="23" t="inlineStr">
        <is>
          <t>Boston Beer</t>
        </is>
      </c>
      <c r="K601" s="27" t="n">
        <v>0</v>
      </c>
      <c r="L601" s="23" t="inlineStr">
        <is>
          <t>Non-qualifying (&lt;10)</t>
        </is>
      </c>
      <c r="M601" s="24" t="n">
        <v>1</v>
      </c>
      <c r="N601" s="24" t="n">
        <v>1</v>
      </c>
      <c r="O601" s="23" t="inlineStr">
        <is>
          <t>Priority</t>
        </is>
      </c>
      <c r="P601" s="24" t="n">
        <v>0</v>
      </c>
      <c r="Q601" s="23" t="inlineStr">
        <is>
          <t>No</t>
        </is>
      </c>
      <c r="R601" s="23" t="inlineStr">
        <is>
          <t>LYTT</t>
        </is>
      </c>
      <c r="S601" s="23" t="inlineStr">
        <is>
          <t>LYTT</t>
        </is>
      </c>
      <c r="T601" s="23" t="inlineStr">
        <is>
          <t>BOSTON BEER COMPANY</t>
        </is>
      </c>
      <c r="U601" s="27" t="n">
        <v>1</v>
      </c>
      <c r="V601" s="23" t="inlineStr">
        <is>
          <t>No</t>
        </is>
      </c>
      <c r="W601" s="23" t="inlineStr">
        <is>
          <t>Boston Beer (1)</t>
        </is>
      </c>
      <c r="X601" s="23" t="inlineStr">
        <is>
          <t>—</t>
        </is>
      </c>
      <c r="Y601" s="28" t="inlineStr">
        <is>
          <t>View Photo</t>
        </is>
      </c>
    </row>
    <row r="602">
      <c r="A602" s="23" t="inlineStr">
        <is>
          <t>D0601</t>
        </is>
      </c>
      <c r="B602" s="23" t="inlineStr">
        <is>
          <t>07/06/2026</t>
        </is>
      </c>
      <c r="C602" s="23" t="inlineStr">
        <is>
          <t>07/06/2026 03:53 PM</t>
        </is>
      </c>
      <c r="D602" s="23" t="inlineStr">
        <is>
          <t>mickey obrien</t>
        </is>
      </c>
      <c r="E602" s="23" t="inlineStr">
        <is>
          <t>Sales Associate</t>
        </is>
      </c>
      <c r="F602" s="23" t="inlineStr">
        <is>
          <t>Michael Engel</t>
        </is>
      </c>
      <c r="G602" s="23" t="inlineStr">
        <is>
          <t>51013</t>
        </is>
      </c>
      <c r="H602" s="23" t="inlineStr">
        <is>
          <t>G &amp; G LIQUORS</t>
        </is>
      </c>
      <c r="I602" s="23" t="inlineStr">
        <is>
          <t>TEANECK</t>
        </is>
      </c>
      <c r="J602" s="23" t="inlineStr">
        <is>
          <t>HUSA (Heineken USA)</t>
        </is>
      </c>
      <c r="K602" s="27" t="n">
        <v>0</v>
      </c>
      <c r="L602" s="23" t="inlineStr">
        <is>
          <t>Non-qualifying (&lt;10)</t>
        </is>
      </c>
      <c r="M602" s="24" t="n">
        <v>0</v>
      </c>
      <c r="N602" s="24" t="n">
        <v>0</v>
      </c>
      <c r="O602" s="23" t="inlineStr">
        <is>
          <t>Priority</t>
        </is>
      </c>
      <c r="P602" s="24" t="n">
        <v>0</v>
      </c>
      <c r="Q602" s="23" t="inlineStr">
        <is>
          <t>No</t>
        </is>
      </c>
      <c r="R602" s="23" t="inlineStr">
        <is>
          <t>HEINEKEN</t>
        </is>
      </c>
      <c r="S602" s="23" t="inlineStr">
        <is>
          <t>HEINEKEN</t>
        </is>
      </c>
      <c r="T602" s="23" t="inlineStr">
        <is>
          <t>HEINEKEN</t>
        </is>
      </c>
      <c r="U602" s="27" t="n">
        <v>1</v>
      </c>
      <c r="V602" s="23" t="inlineStr">
        <is>
          <t>No</t>
        </is>
      </c>
      <c r="W602" s="23" t="inlineStr">
        <is>
          <t>HUSA (Heineken USA) (0)</t>
        </is>
      </c>
      <c r="X602" s="23" t="inlineStr">
        <is>
          <t>—</t>
        </is>
      </c>
      <c r="Y602" s="28" t="inlineStr">
        <is>
          <t>View Photo</t>
        </is>
      </c>
    </row>
    <row r="603">
      <c r="A603" s="23" t="inlineStr">
        <is>
          <t>D0602</t>
        </is>
      </c>
      <c r="B603" s="23" t="inlineStr">
        <is>
          <t>07/06/2026</t>
        </is>
      </c>
      <c r="C603" s="23" t="inlineStr">
        <is>
          <t>07/06/2026 03:55 PM</t>
        </is>
      </c>
      <c r="D603" s="23" t="inlineStr">
        <is>
          <t>patrick infante</t>
        </is>
      </c>
      <c r="E603" s="23" t="inlineStr">
        <is>
          <t>Sales Associate</t>
        </is>
      </c>
      <c r="F603" s="23" t="inlineStr">
        <is>
          <t>Michael Engel</t>
        </is>
      </c>
      <c r="G603" s="23" t="inlineStr">
        <is>
          <t>51013</t>
        </is>
      </c>
      <c r="H603" s="23" t="inlineStr">
        <is>
          <t>G &amp; G LIQUORS</t>
        </is>
      </c>
      <c r="I603" s="23" t="inlineStr">
        <is>
          <t>TEANECK</t>
        </is>
      </c>
      <c r="J603" s="23" t="inlineStr">
        <is>
          <t>Yuengling</t>
        </is>
      </c>
      <c r="K603" s="27" t="n">
        <v>0</v>
      </c>
      <c r="L603" s="23" t="inlineStr">
        <is>
          <t>Non-qualifying (&lt;10)</t>
        </is>
      </c>
      <c r="M603" s="24" t="n">
        <v>0</v>
      </c>
      <c r="N603" s="24" t="n">
        <v>0</v>
      </c>
      <c r="O603" s="23" t="inlineStr">
        <is>
          <t>Priority</t>
        </is>
      </c>
      <c r="P603" s="24" t="n">
        <v>0</v>
      </c>
      <c r="Q603" s="23" t="inlineStr">
        <is>
          <t>No</t>
        </is>
      </c>
      <c r="R603" s="23" t="inlineStr">
        <is>
          <t>YUENGLING BREWERY</t>
        </is>
      </c>
      <c r="S603" s="23" t="inlineStr">
        <is>
          <t>YUENGLING BREWERY</t>
        </is>
      </c>
      <c r="T603" s="23" t="inlineStr">
        <is>
          <t>YUENGLING BREWERY</t>
        </is>
      </c>
      <c r="U603" s="27" t="n">
        <v>1</v>
      </c>
      <c r="V603" s="23" t="inlineStr">
        <is>
          <t>No</t>
        </is>
      </c>
      <c r="W603" s="23" t="inlineStr">
        <is>
          <t>Yuengling (0)</t>
        </is>
      </c>
      <c r="X603" s="23" t="inlineStr">
        <is>
          <t>—</t>
        </is>
      </c>
      <c r="Y603" s="28" t="inlineStr">
        <is>
          <t>View Photo</t>
        </is>
      </c>
    </row>
    <row r="604">
      <c r="A604" s="23" t="inlineStr">
        <is>
          <t>D0603</t>
        </is>
      </c>
      <c r="B604" s="23" t="inlineStr">
        <is>
          <t>07/27/2026</t>
        </is>
      </c>
      <c r="C604" s="23" t="inlineStr">
        <is>
          <t>07/27/2026 12:27 PM</t>
        </is>
      </c>
      <c r="D604" s="23" t="inlineStr">
        <is>
          <t>patrick infante</t>
        </is>
      </c>
      <c r="E604" s="23" t="inlineStr">
        <is>
          <t>Sales Associate</t>
        </is>
      </c>
      <c r="F604" s="23" t="inlineStr">
        <is>
          <t>Denise Montes</t>
        </is>
      </c>
      <c r="G604" s="23" t="inlineStr">
        <is>
          <t>31060</t>
        </is>
      </c>
      <c r="H604" s="23" t="inlineStr">
        <is>
          <t>BOTTLE REPUBLIC (RUTHERFORD)</t>
        </is>
      </c>
      <c r="I604" s="23" t="inlineStr">
        <is>
          <t>RUTHERFORD</t>
        </is>
      </c>
      <c r="J604" s="23" t="inlineStr">
        <is>
          <t>Constellation</t>
        </is>
      </c>
      <c r="K604" s="27" t="n">
        <v>0</v>
      </c>
      <c r="L604" s="23" t="inlineStr">
        <is>
          <t>Non-qualifying (&lt;10)</t>
        </is>
      </c>
      <c r="M604" s="24" t="n">
        <v>0</v>
      </c>
      <c r="N604" s="24" t="n">
        <v>0</v>
      </c>
      <c r="O604" s="23" t="inlineStr">
        <is>
          <t>Priority</t>
        </is>
      </c>
      <c r="P604" s="24" t="n">
        <v>0</v>
      </c>
      <c r="Q604" s="23" t="inlineStr">
        <is>
          <t>No</t>
        </is>
      </c>
      <c r="R604" s="23" t="inlineStr">
        <is>
          <t>COORS LIGHT</t>
        </is>
      </c>
      <c r="S604" s="23" t="inlineStr">
        <is>
          <t>COORS LIGHT, CORONA EXTRA, MODELO CERVEZA</t>
        </is>
      </c>
      <c r="T604" s="23" t="inlineStr">
        <is>
          <t>CONSTELLATION BRANDS, MOLSON COORS BEVERAGE COMPANY</t>
        </is>
      </c>
      <c r="U604" s="27" t="n">
        <v>3</v>
      </c>
      <c r="V604" s="23" t="inlineStr">
        <is>
          <t>Yes</t>
        </is>
      </c>
      <c r="W604" s="23" t="inlineStr">
        <is>
          <t>Molson Coors (0) + Constellation (0)</t>
        </is>
      </c>
      <c r="X604" s="23" t="inlineStr">
        <is>
          <t>—</t>
        </is>
      </c>
      <c r="Y604" s="28" t="inlineStr">
        <is>
          <t>View Photo</t>
        </is>
      </c>
    </row>
    <row r="605">
      <c r="A605" s="23" t="inlineStr">
        <is>
          <t>D0604</t>
        </is>
      </c>
      <c r="B605" s="23" t="inlineStr">
        <is>
          <t>07/27/2026</t>
        </is>
      </c>
      <c r="C605" s="23" t="inlineStr">
        <is>
          <t>07/27/2026 12:28 PM</t>
        </is>
      </c>
      <c r="D605" s="23" t="inlineStr">
        <is>
          <t>patrick infante</t>
        </is>
      </c>
      <c r="E605" s="23" t="inlineStr">
        <is>
          <t>Sales Associate</t>
        </is>
      </c>
      <c r="F605" s="23" t="inlineStr">
        <is>
          <t>Denise Montes</t>
        </is>
      </c>
      <c r="G605" s="23" t="inlineStr">
        <is>
          <t>31060</t>
        </is>
      </c>
      <c r="H605" s="23" t="inlineStr">
        <is>
          <t>BOTTLE REPUBLIC (RUTHERFORD)</t>
        </is>
      </c>
      <c r="I605" s="23" t="inlineStr">
        <is>
          <t>RUTHERFORD</t>
        </is>
      </c>
      <c r="J605" s="23" t="inlineStr">
        <is>
          <t>Constellation</t>
        </is>
      </c>
      <c r="K605" s="27" t="n">
        <v>0</v>
      </c>
      <c r="L605" s="23" t="inlineStr">
        <is>
          <t>Non-qualifying (&lt;10)</t>
        </is>
      </c>
      <c r="M605" s="24" t="n">
        <v>0</v>
      </c>
      <c r="N605" s="24" t="n">
        <v>0</v>
      </c>
      <c r="O605" s="23" t="inlineStr">
        <is>
          <t>Priority</t>
        </is>
      </c>
      <c r="P605" s="24" t="n">
        <v>0</v>
      </c>
      <c r="Q605" s="23" t="inlineStr">
        <is>
          <t>No</t>
        </is>
      </c>
      <c r="R605" s="23" t="inlineStr">
        <is>
          <t>COORS LIGHT</t>
        </is>
      </c>
      <c r="S605" s="23" t="inlineStr">
        <is>
          <t>COORS LIGHT, CORONA EXTRA, MODELO CERVEZA</t>
        </is>
      </c>
      <c r="T605" s="23" t="inlineStr">
        <is>
          <t>CONSTELLATION BRANDS, MOLSON COORS BEVERAGE COMPANY</t>
        </is>
      </c>
      <c r="U605" s="27" t="n">
        <v>3</v>
      </c>
      <c r="V605" s="23" t="inlineStr">
        <is>
          <t>Yes</t>
        </is>
      </c>
      <c r="W605" s="23" t="inlineStr">
        <is>
          <t>Constellation (0) + Molson Coors (0)</t>
        </is>
      </c>
      <c r="X605" s="23" t="inlineStr">
        <is>
          <t>—</t>
        </is>
      </c>
      <c r="Y605" s="28" t="inlineStr">
        <is>
          <t>View Photo</t>
        </is>
      </c>
    </row>
    <row r="606">
      <c r="A606" s="23" t="inlineStr">
        <is>
          <t>D0605</t>
        </is>
      </c>
      <c r="B606" s="23" t="inlineStr">
        <is>
          <t>07/27/2026</t>
        </is>
      </c>
      <c r="C606" s="23" t="inlineStr">
        <is>
          <t>07/27/2026 12:36 PM</t>
        </is>
      </c>
      <c r="D606" s="23" t="inlineStr">
        <is>
          <t>patrick infante</t>
        </is>
      </c>
      <c r="E606" s="23" t="inlineStr">
        <is>
          <t>Sales Associate</t>
        </is>
      </c>
      <c r="F606" s="23" t="inlineStr">
        <is>
          <t>Denise Montes</t>
        </is>
      </c>
      <c r="G606" s="23" t="inlineStr">
        <is>
          <t>31060</t>
        </is>
      </c>
      <c r="H606" s="23" t="inlineStr">
        <is>
          <t>BOTTLE REPUBLIC (RUTHERFORD)</t>
        </is>
      </c>
      <c r="I606" s="23" t="inlineStr">
        <is>
          <t>RUTHERFORD</t>
        </is>
      </c>
      <c r="J606" s="23" t="inlineStr">
        <is>
          <t>Constellation</t>
        </is>
      </c>
      <c r="K606" s="27" t="n">
        <v>0</v>
      </c>
      <c r="L606" s="23" t="inlineStr">
        <is>
          <t>Non-qualifying (&lt;10)</t>
        </is>
      </c>
      <c r="M606" s="24" t="n">
        <v>0</v>
      </c>
      <c r="N606" s="24" t="n">
        <v>0</v>
      </c>
      <c r="O606" s="23" t="inlineStr">
        <is>
          <t>Priority</t>
        </is>
      </c>
      <c r="P606" s="24" t="n">
        <v>0</v>
      </c>
      <c r="Q606" s="23" t="inlineStr">
        <is>
          <t>No</t>
        </is>
      </c>
      <c r="R606" s="23" t="inlineStr">
        <is>
          <t>COORS LIGHT</t>
        </is>
      </c>
      <c r="S606" s="23" t="inlineStr">
        <is>
          <t>COORS LIGHT, CORONA EXTRA</t>
        </is>
      </c>
      <c r="T606" s="23" t="inlineStr">
        <is>
          <t>CONSTELLATION BRANDS, MOLSON COORS BEVERAGE COMPANY</t>
        </is>
      </c>
      <c r="U606" s="27" t="n">
        <v>2</v>
      </c>
      <c r="V606" s="23" t="inlineStr">
        <is>
          <t>Yes</t>
        </is>
      </c>
      <c r="W606" s="23" t="inlineStr">
        <is>
          <t>Molson Coors (0) + Constellation (0)</t>
        </is>
      </c>
      <c r="X606" s="23" t="inlineStr">
        <is>
          <t>—</t>
        </is>
      </c>
      <c r="Y606" s="28" t="inlineStr">
        <is>
          <t>View Photo</t>
        </is>
      </c>
    </row>
    <row r="607">
      <c r="A607" s="23" t="inlineStr">
        <is>
          <t>D0606</t>
        </is>
      </c>
      <c r="B607" s="23" t="inlineStr">
        <is>
          <t>07/27/2026</t>
        </is>
      </c>
      <c r="C607" s="23" t="inlineStr">
        <is>
          <t>07/27/2026 12:37 PM</t>
        </is>
      </c>
      <c r="D607" s="23" t="inlineStr">
        <is>
          <t>patrick infante</t>
        </is>
      </c>
      <c r="E607" s="23" t="inlineStr">
        <is>
          <t>Sales Associate</t>
        </is>
      </c>
      <c r="F607" s="23" t="inlineStr">
        <is>
          <t>Denise Montes</t>
        </is>
      </c>
      <c r="G607" s="23" t="inlineStr">
        <is>
          <t>31060</t>
        </is>
      </c>
      <c r="H607" s="23" t="inlineStr">
        <is>
          <t>BOTTLE REPUBLIC (RUTHERFORD)</t>
        </is>
      </c>
      <c r="I607" s="23" t="inlineStr">
        <is>
          <t>RUTHERFORD</t>
        </is>
      </c>
      <c r="J607" s="23" t="inlineStr">
        <is>
          <t>Molson Coors</t>
        </is>
      </c>
      <c r="K607" s="27" t="n">
        <v>0</v>
      </c>
      <c r="L607" s="23" t="inlineStr">
        <is>
          <t>Non-qualifying (&lt;10)</t>
        </is>
      </c>
      <c r="M607" s="24" t="n">
        <v>0</v>
      </c>
      <c r="N607" s="24" t="n">
        <v>0</v>
      </c>
      <c r="O607" s="23" t="inlineStr">
        <is>
          <t>Priority</t>
        </is>
      </c>
      <c r="P607" s="24" t="n">
        <v>0</v>
      </c>
      <c r="Q607" s="23" t="inlineStr">
        <is>
          <t>No</t>
        </is>
      </c>
      <c r="R607" s="23" t="inlineStr">
        <is>
          <t>COORS LIGHT</t>
        </is>
      </c>
      <c r="S607" s="23" t="inlineStr">
        <is>
          <t>COORS LIGHT</t>
        </is>
      </c>
      <c r="T607" s="23" t="inlineStr">
        <is>
          <t>MOLSON COORS BEVERAGE COMPANY</t>
        </is>
      </c>
      <c r="U607" s="27" t="n">
        <v>1</v>
      </c>
      <c r="V607" s="23" t="inlineStr">
        <is>
          <t>No</t>
        </is>
      </c>
      <c r="W607" s="23" t="inlineStr">
        <is>
          <t>Molson Coors (0)</t>
        </is>
      </c>
      <c r="X607" s="23" t="inlineStr">
        <is>
          <t>—</t>
        </is>
      </c>
      <c r="Y607" s="28" t="inlineStr">
        <is>
          <t>View Photo</t>
        </is>
      </c>
    </row>
    <row r="608">
      <c r="A608" s="23" t="inlineStr">
        <is>
          <t>D0607</t>
        </is>
      </c>
      <c r="B608" s="23" t="inlineStr">
        <is>
          <t>07/28/2026</t>
        </is>
      </c>
      <c r="C608" s="23" t="inlineStr">
        <is>
          <t>07/28/2026 11:31 AM</t>
        </is>
      </c>
      <c r="D608" s="23" t="inlineStr">
        <is>
          <t>patrick infante</t>
        </is>
      </c>
      <c r="E608" s="23" t="inlineStr">
        <is>
          <t>Sales Associate</t>
        </is>
      </c>
      <c r="F608" s="23" t="inlineStr">
        <is>
          <t>Denise Montes</t>
        </is>
      </c>
      <c r="G608" s="23" t="inlineStr">
        <is>
          <t>36007</t>
        </is>
      </c>
      <c r="H608" s="23" t="inlineStr">
        <is>
          <t>SHOP RITE OF WALLINGTON</t>
        </is>
      </c>
      <c r="I608" s="23" t="inlineStr">
        <is>
          <t>WALLINGTON</t>
        </is>
      </c>
      <c r="J608" s="23" t="inlineStr">
        <is>
          <t>Constellation</t>
        </is>
      </c>
      <c r="K608" s="27" t="n">
        <v>0</v>
      </c>
      <c r="L608" s="23" t="inlineStr">
        <is>
          <t>Non-qualifying (&lt;10)</t>
        </is>
      </c>
      <c r="M608" s="24" t="n">
        <v>0</v>
      </c>
      <c r="N608" s="24" t="n">
        <v>0</v>
      </c>
      <c r="O608" s="23" t="inlineStr">
        <is>
          <t>Priority</t>
        </is>
      </c>
      <c r="P608" s="24" t="n">
        <v>0</v>
      </c>
      <c r="Q608" s="23" t="inlineStr">
        <is>
          <t>No</t>
        </is>
      </c>
      <c r="R608" s="23" t="inlineStr">
        <is>
          <t>CORONA EXTRA</t>
        </is>
      </c>
      <c r="S608" s="23" t="inlineStr">
        <is>
          <t>CORONA EXTRA, MODELO CERVEZA</t>
        </is>
      </c>
      <c r="T608" s="23" t="inlineStr">
        <is>
          <t>CONSTELLATION BRANDS</t>
        </is>
      </c>
      <c r="U608" s="27" t="n">
        <v>2</v>
      </c>
      <c r="V608" s="23" t="inlineStr">
        <is>
          <t>No</t>
        </is>
      </c>
      <c r="W608" s="23" t="inlineStr">
        <is>
          <t>Constellation (0)</t>
        </is>
      </c>
      <c r="X608" s="23" t="inlineStr">
        <is>
          <t>—</t>
        </is>
      </c>
      <c r="Y608" s="28" t="inlineStr">
        <is>
          <t>View Photo</t>
        </is>
      </c>
    </row>
    <row r="609">
      <c r="A609" s="23" t="inlineStr">
        <is>
          <t>D0608</t>
        </is>
      </c>
      <c r="B609" s="23" t="inlineStr">
        <is>
          <t>07/28/2026</t>
        </is>
      </c>
      <c r="C609" s="23" t="inlineStr">
        <is>
          <t>07/28/2026 11:32 AM</t>
        </is>
      </c>
      <c r="D609" s="23" t="inlineStr">
        <is>
          <t>patrick infante</t>
        </is>
      </c>
      <c r="E609" s="23" t="inlineStr">
        <is>
          <t>Sales Associate</t>
        </is>
      </c>
      <c r="F609" s="23" t="inlineStr">
        <is>
          <t>Denise Montes</t>
        </is>
      </c>
      <c r="G609" s="23" t="inlineStr">
        <is>
          <t>36007</t>
        </is>
      </c>
      <c r="H609" s="23" t="inlineStr">
        <is>
          <t>SHOP RITE OF WALLINGTON</t>
        </is>
      </c>
      <c r="I609" s="23" t="inlineStr">
        <is>
          <t>WALLINGTON</t>
        </is>
      </c>
      <c r="J609" s="23" t="inlineStr">
        <is>
          <t>Boston Beer</t>
        </is>
      </c>
      <c r="K609" s="27" t="n">
        <v>0</v>
      </c>
      <c r="L609" s="23" t="inlineStr">
        <is>
          <t>Non-qualifying (&lt;10)</t>
        </is>
      </c>
      <c r="M609" s="24" t="n">
        <v>0</v>
      </c>
      <c r="N609" s="24" t="n">
        <v>0</v>
      </c>
      <c r="O609" s="23" t="inlineStr">
        <is>
          <t>Priority</t>
        </is>
      </c>
      <c r="P609" s="24" t="n">
        <v>0</v>
      </c>
      <c r="Q609" s="23" t="inlineStr">
        <is>
          <t>No</t>
        </is>
      </c>
      <c r="R609" s="23" t="inlineStr">
        <is>
          <t>SUN CRUISER ICED TEA VODKA</t>
        </is>
      </c>
      <c r="S609" s="23" t="inlineStr">
        <is>
          <t>SUN CRUISER ICED TEA VODKA</t>
        </is>
      </c>
      <c r="T609" s="23" t="inlineStr">
        <is>
          <t>BOSTON BEER COMPANY</t>
        </is>
      </c>
      <c r="U609" s="27" t="n">
        <v>1</v>
      </c>
      <c r="V609" s="23" t="inlineStr">
        <is>
          <t>No</t>
        </is>
      </c>
      <c r="W609" s="23" t="inlineStr">
        <is>
          <t>Boston Beer (0)</t>
        </is>
      </c>
      <c r="X609" s="23" t="inlineStr">
        <is>
          <t>—</t>
        </is>
      </c>
      <c r="Y609" s="28" t="inlineStr">
        <is>
          <t>View Photo</t>
        </is>
      </c>
    </row>
    <row r="610">
      <c r="A610" s="23" t="inlineStr">
        <is>
          <t>D0609</t>
        </is>
      </c>
      <c r="B610" s="23" t="inlineStr">
        <is>
          <t>07/28/2026</t>
        </is>
      </c>
      <c r="C610" s="23" t="inlineStr">
        <is>
          <t>07/28/2026 12:53 PM</t>
        </is>
      </c>
      <c r="D610" s="23" t="inlineStr">
        <is>
          <t>patrick infante</t>
        </is>
      </c>
      <c r="E610" s="23" t="inlineStr">
        <is>
          <t>Sales Associate</t>
        </is>
      </c>
      <c r="F610" s="23" t="inlineStr">
        <is>
          <t>Denise Montes</t>
        </is>
      </c>
      <c r="G610" s="23" t="inlineStr">
        <is>
          <t>36007</t>
        </is>
      </c>
      <c r="H610" s="23" t="inlineStr">
        <is>
          <t>SHOP RITE OF WALLINGTON</t>
        </is>
      </c>
      <c r="I610" s="23" t="inlineStr">
        <is>
          <t>WALLINGTON</t>
        </is>
      </c>
      <c r="J610" s="23" t="inlineStr">
        <is>
          <t>Constellation</t>
        </is>
      </c>
      <c r="K610" s="27" t="n">
        <v>0</v>
      </c>
      <c r="L610" s="23" t="inlineStr">
        <is>
          <t>Non-qualifying (&lt;10)</t>
        </is>
      </c>
      <c r="M610" s="24" t="n">
        <v>0</v>
      </c>
      <c r="N610" s="24" t="n">
        <v>0</v>
      </c>
      <c r="O610" s="23" t="inlineStr">
        <is>
          <t>Priority</t>
        </is>
      </c>
      <c r="P610" s="24" t="n">
        <v>0</v>
      </c>
      <c r="Q610" s="23" t="inlineStr">
        <is>
          <t>No</t>
        </is>
      </c>
      <c r="R610" s="23" t="inlineStr">
        <is>
          <t>CORONA EXTRA</t>
        </is>
      </c>
      <c r="S610" s="23" t="inlineStr">
        <is>
          <t>CORONA EXTRA, MODELO CERVEZA, SUN CRUISER ICED TEA VODKA</t>
        </is>
      </c>
      <c r="T610" s="23" t="inlineStr">
        <is>
          <t>BOSTON BEER COMPANY, CONSTELLATION BRANDS</t>
        </is>
      </c>
      <c r="U610" s="27" t="n">
        <v>3</v>
      </c>
      <c r="V610" s="23" t="inlineStr">
        <is>
          <t>Yes</t>
        </is>
      </c>
      <c r="W610" s="23" t="inlineStr">
        <is>
          <t>Constellation (0) + Boston Beer (0)</t>
        </is>
      </c>
      <c r="X610" s="23" t="inlineStr">
        <is>
          <t>—</t>
        </is>
      </c>
      <c r="Y610" s="28" t="inlineStr">
        <is>
          <t>View Photo</t>
        </is>
      </c>
    </row>
    <row r="611">
      <c r="A611" s="23" t="inlineStr">
        <is>
          <t>D0610</t>
        </is>
      </c>
      <c r="B611" s="23" t="inlineStr">
        <is>
          <t>07/29/2026</t>
        </is>
      </c>
      <c r="C611" s="23" t="inlineStr">
        <is>
          <t>07/29/2026 09:36 AM</t>
        </is>
      </c>
      <c r="D611" s="23" t="inlineStr">
        <is>
          <t>Mike Ast</t>
        </is>
      </c>
      <c r="E611" s="23" t="inlineStr">
        <is>
          <t>Sales Rep</t>
        </is>
      </c>
      <c r="F611" s="23" t="inlineStr">
        <is>
          <t>Paul Deady</t>
        </is>
      </c>
      <c r="G611" s="23" t="inlineStr">
        <is>
          <t>93003</t>
        </is>
      </c>
      <c r="H611" s="23" t="inlineStr">
        <is>
          <t>MAHWAH LIQRS (P)</t>
        </is>
      </c>
      <c r="I611" s="23" t="inlineStr">
        <is>
          <t>MAHWAH</t>
        </is>
      </c>
      <c r="J611" s="23" t="inlineStr">
        <is>
          <t>Boston Beer</t>
        </is>
      </c>
      <c r="K611" s="27" t="n">
        <v>0</v>
      </c>
      <c r="L611" s="23" t="inlineStr">
        <is>
          <t>Non-qualifying (&lt;10)</t>
        </is>
      </c>
      <c r="M611" s="24" t="n">
        <v>0</v>
      </c>
      <c r="N611" s="24" t="n">
        <v>0</v>
      </c>
      <c r="O611" s="23" t="inlineStr">
        <is>
          <t>Priority</t>
        </is>
      </c>
      <c r="P611" s="24" t="n">
        <v>0</v>
      </c>
      <c r="Q611" s="23" t="inlineStr">
        <is>
          <t>No</t>
        </is>
      </c>
      <c r="R611" s="23" t="inlineStr">
        <is>
          <t>CARBLISS</t>
        </is>
      </c>
      <c r="S611" s="23" t="inlineStr">
        <is>
          <t>CARBLISS, SUN CRUISER ICED TEA VODKA</t>
        </is>
      </c>
      <c r="T611" s="23" t="inlineStr">
        <is>
          <t>BOSTON BEER COMPANY, DRINK CARBLISS</t>
        </is>
      </c>
      <c r="U611" s="27" t="n">
        <v>2</v>
      </c>
      <c r="V611" s="23" t="inlineStr">
        <is>
          <t>Yes</t>
        </is>
      </c>
      <c r="W611" s="23" t="inlineStr">
        <is>
          <t>Boston Beer (0) + Carbliss (0)</t>
        </is>
      </c>
      <c r="X611" s="23" t="inlineStr">
        <is>
          <t>—</t>
        </is>
      </c>
      <c r="Y611" s="28" t="inlineStr">
        <is>
          <t>View Photo</t>
        </is>
      </c>
    </row>
    <row r="612">
      <c r="A612" s="23" t="inlineStr">
        <is>
          <t>D0611</t>
        </is>
      </c>
      <c r="B612" s="23" t="inlineStr">
        <is>
          <t>07/29/2026</t>
        </is>
      </c>
      <c r="C612" s="23" t="inlineStr">
        <is>
          <t>07/29/2026 11:03 AM</t>
        </is>
      </c>
      <c r="D612" s="23" t="inlineStr">
        <is>
          <t>Dylan Rubino</t>
        </is>
      </c>
      <c r="E612" s="23" t="inlineStr">
        <is>
          <t>Sales Rep</t>
        </is>
      </c>
      <c r="F612" s="23" t="inlineStr">
        <is>
          <t>Mike Kennedy</t>
        </is>
      </c>
      <c r="G612" s="23" t="inlineStr">
        <is>
          <t>170169</t>
        </is>
      </c>
      <c r="H612" s="23" t="inlineStr">
        <is>
          <t>BUY RITE NORTH BERGEN</t>
        </is>
      </c>
      <c r="I612" s="23" t="inlineStr">
        <is>
          <t>NORTH BERGEN</t>
        </is>
      </c>
      <c r="J612" s="23" t="inlineStr">
        <is>
          <t>All Other: CENTRAL BEER IMPORT &amp; EXPORT FAMOSA</t>
        </is>
      </c>
      <c r="K612" s="27" t="n">
        <v>0</v>
      </c>
      <c r="L612" s="23" t="inlineStr">
        <is>
          <t>Non-qualifying (&lt;10)</t>
        </is>
      </c>
      <c r="M612" s="24" t="n">
        <v>0</v>
      </c>
      <c r="N612" s="24" t="n">
        <v>0</v>
      </c>
      <c r="O612" s="23" t="inlineStr">
        <is>
          <t>All Other</t>
        </is>
      </c>
      <c r="P612" s="24" t="n">
        <v>0</v>
      </c>
      <c r="Q612" s="23" t="inlineStr">
        <is>
          <t>No</t>
        </is>
      </c>
      <c r="R612" s="23" t="inlineStr">
        <is>
          <t>FAMOSA</t>
        </is>
      </c>
      <c r="S612" s="23" t="inlineStr">
        <is>
          <t>FAMOSA</t>
        </is>
      </c>
      <c r="T612" s="23" t="inlineStr">
        <is>
          <t>CENTRAL BEER IMPORT &amp; EXPORT FAMOSA</t>
        </is>
      </c>
      <c r="U612" s="27" t="n">
        <v>1</v>
      </c>
      <c r="V612" s="23" t="inlineStr">
        <is>
          <t>No</t>
        </is>
      </c>
      <c r="W612" s="23" t="inlineStr">
        <is>
          <t>All Other: CENTRAL BEER IMPORT &amp; EXPORT FAMOSA (0)</t>
        </is>
      </c>
      <c r="X612" s="23" t="inlineStr">
        <is>
          <t>—</t>
        </is>
      </c>
      <c r="Y612" s="28" t="inlineStr">
        <is>
          <t>View Photo</t>
        </is>
      </c>
    </row>
    <row r="613">
      <c r="A613" s="23" t="inlineStr">
        <is>
          <t>D0612</t>
        </is>
      </c>
      <c r="B613" s="23" t="inlineStr">
        <is>
          <t>07/30/2026</t>
        </is>
      </c>
      <c r="C613" s="23" t="inlineStr">
        <is>
          <t>07/30/2026 10:55 AM</t>
        </is>
      </c>
      <c r="D613" s="23" t="inlineStr">
        <is>
          <t>patrick infante</t>
        </is>
      </c>
      <c r="E613" s="23" t="inlineStr">
        <is>
          <t>Sales Associate</t>
        </is>
      </c>
      <c r="F613" s="23" t="inlineStr">
        <is>
          <t>Denise Montes</t>
        </is>
      </c>
      <c r="G613" s="23" t="inlineStr">
        <is>
          <t>31033</t>
        </is>
      </c>
      <c r="H613" s="23" t="inlineStr">
        <is>
          <t>CAPRI DELI&amp;LIQ (P)</t>
        </is>
      </c>
      <c r="I613" s="23" t="inlineStr">
        <is>
          <t>EAST RUTHERFORD</t>
        </is>
      </c>
      <c r="J613" s="23" t="inlineStr">
        <is>
          <t>Molson Coors</t>
        </is>
      </c>
      <c r="K613" s="27" t="n">
        <v>0</v>
      </c>
      <c r="L613" s="23" t="inlineStr">
        <is>
          <t>Non-qualifying (&lt;10)</t>
        </is>
      </c>
      <c r="M613" s="24" t="n">
        <v>0</v>
      </c>
      <c r="N613" s="24" t="n">
        <v>0</v>
      </c>
      <c r="O613" s="23" t="inlineStr">
        <is>
          <t>Priority</t>
        </is>
      </c>
      <c r="P613" s="24" t="n">
        <v>0</v>
      </c>
      <c r="Q613" s="23" t="inlineStr">
        <is>
          <t>No</t>
        </is>
      </c>
      <c r="R613" s="23" t="inlineStr">
        <is>
          <t>MILLER LITE</t>
        </is>
      </c>
      <c r="S613" s="23" t="inlineStr">
        <is>
          <t>MILLER LITE</t>
        </is>
      </c>
      <c r="T613" s="23" t="inlineStr">
        <is>
          <t>MOLSON COORS BEVERAGE COMPANY</t>
        </is>
      </c>
      <c r="U613" s="27" t="n">
        <v>1</v>
      </c>
      <c r="V613" s="23" t="inlineStr">
        <is>
          <t>No</t>
        </is>
      </c>
      <c r="W613" s="23" t="inlineStr">
        <is>
          <t>Molson Coors (0)</t>
        </is>
      </c>
      <c r="X613" s="23" t="inlineStr">
        <is>
          <t>—</t>
        </is>
      </c>
      <c r="Y613" s="28" t="inlineStr">
        <is>
          <t>View Photo</t>
        </is>
      </c>
    </row>
    <row r="614">
      <c r="A614" s="23" t="inlineStr">
        <is>
          <t>D0613</t>
        </is>
      </c>
      <c r="B614" s="23" t="inlineStr">
        <is>
          <t>07/30/2026</t>
        </is>
      </c>
      <c r="C614" s="23" t="inlineStr">
        <is>
          <t>07/30/2026 11:57 AM</t>
        </is>
      </c>
      <c r="D614" s="23" t="inlineStr">
        <is>
          <t>patrick infante</t>
        </is>
      </c>
      <c r="E614" s="23" t="inlineStr">
        <is>
          <t>Sales Associate</t>
        </is>
      </c>
      <c r="F614" s="23" t="inlineStr">
        <is>
          <t>Denise Montes</t>
        </is>
      </c>
      <c r="G614" s="23" t="inlineStr">
        <is>
          <t>31033</t>
        </is>
      </c>
      <c r="H614" s="23" t="inlineStr">
        <is>
          <t>CAPRI DELI&amp;LIQ (P)</t>
        </is>
      </c>
      <c r="I614" s="23" t="inlineStr">
        <is>
          <t>EAST RUTHERFORD</t>
        </is>
      </c>
      <c r="J614" s="23" t="inlineStr">
        <is>
          <t>Molson Coors</t>
        </is>
      </c>
      <c r="K614" s="27" t="n">
        <v>0</v>
      </c>
      <c r="L614" s="23" t="inlineStr">
        <is>
          <t>Non-qualifying (&lt;10)</t>
        </is>
      </c>
      <c r="M614" s="24" t="n">
        <v>0</v>
      </c>
      <c r="N614" s="24" t="n">
        <v>0</v>
      </c>
      <c r="O614" s="23" t="inlineStr">
        <is>
          <t>Priority</t>
        </is>
      </c>
      <c r="P614" s="24" t="n">
        <v>0</v>
      </c>
      <c r="Q614" s="23" t="inlineStr">
        <is>
          <t>No</t>
        </is>
      </c>
      <c r="R614" s="23" t="inlineStr">
        <is>
          <t>MILLER LITE</t>
        </is>
      </c>
      <c r="S614" s="23" t="inlineStr">
        <is>
          <t>MILLER LITE</t>
        </is>
      </c>
      <c r="T614" s="23" t="inlineStr">
        <is>
          <t>MOLSON COORS BEVERAGE COMPANY</t>
        </is>
      </c>
      <c r="U614" s="27" t="n">
        <v>1</v>
      </c>
      <c r="V614" s="23" t="inlineStr">
        <is>
          <t>No</t>
        </is>
      </c>
      <c r="W614" s="23" t="inlineStr">
        <is>
          <t>Molson Coors (0)</t>
        </is>
      </c>
      <c r="X614" s="23" t="inlineStr">
        <is>
          <t>—</t>
        </is>
      </c>
      <c r="Y614" s="28" t="inlineStr">
        <is>
          <t>View Photo</t>
        </is>
      </c>
    </row>
    <row r="615">
      <c r="A615" s="23" t="inlineStr">
        <is>
          <t>D0614</t>
        </is>
      </c>
      <c r="B615" s="23" t="inlineStr">
        <is>
          <t>08/05/2026</t>
        </is>
      </c>
      <c r="C615" s="23" t="inlineStr">
        <is>
          <t>08/05/2026 11:44 AM</t>
        </is>
      </c>
      <c r="D615" s="23" t="inlineStr">
        <is>
          <t>patrick infante</t>
        </is>
      </c>
      <c r="E615" s="23" t="inlineStr">
        <is>
          <t>Sales Associate</t>
        </is>
      </c>
      <c r="F615" s="23" t="inlineStr">
        <is>
          <t>Denise Montes</t>
        </is>
      </c>
      <c r="G615" s="23" t="inlineStr">
        <is>
          <t>36016</t>
        </is>
      </c>
      <c r="H615" s="23" t="inlineStr">
        <is>
          <t>KING LIQUORS</t>
        </is>
      </c>
      <c r="I615" s="23" t="inlineStr">
        <is>
          <t>WALLINGTON</t>
        </is>
      </c>
      <c r="J615" s="23" t="inlineStr">
        <is>
          <t>Constellation</t>
        </is>
      </c>
      <c r="K615" s="27" t="n">
        <v>0</v>
      </c>
      <c r="L615" s="23" t="inlineStr">
        <is>
          <t>Non-qualifying (&lt;10)</t>
        </is>
      </c>
      <c r="M615" s="24" t="n">
        <v>0</v>
      </c>
      <c r="N615" s="24" t="n">
        <v>0</v>
      </c>
      <c r="O615" s="23" t="inlineStr">
        <is>
          <t>Priority</t>
        </is>
      </c>
      <c r="P615" s="24" t="n">
        <v>0</v>
      </c>
      <c r="Q615" s="23" t="inlineStr">
        <is>
          <t>No</t>
        </is>
      </c>
      <c r="R615" s="23" t="inlineStr">
        <is>
          <t>MODELO CERVEZA</t>
        </is>
      </c>
      <c r="S615" s="23" t="inlineStr">
        <is>
          <t>MODELO CERVEZA</t>
        </is>
      </c>
      <c r="T615" s="23" t="inlineStr">
        <is>
          <t>CONSTELLATION BRANDS</t>
        </is>
      </c>
      <c r="U615" s="27" t="n">
        <v>1</v>
      </c>
      <c r="V615" s="23" t="inlineStr">
        <is>
          <t>No</t>
        </is>
      </c>
      <c r="W615" s="23" t="inlineStr">
        <is>
          <t>Constellation (0)</t>
        </is>
      </c>
      <c r="X615" s="23" t="inlineStr">
        <is>
          <t>—</t>
        </is>
      </c>
      <c r="Y615" s="28" t="inlineStr">
        <is>
          <t>View Photo</t>
        </is>
      </c>
    </row>
    <row r="616">
      <c r="A616" s="23" t="inlineStr">
        <is>
          <t>D0615</t>
        </is>
      </c>
      <c r="B616" s="23" t="inlineStr">
        <is>
          <t>08/05/2026</t>
        </is>
      </c>
      <c r="C616" s="23" t="inlineStr">
        <is>
          <t>08/05/2026 11:56 AM</t>
        </is>
      </c>
      <c r="D616" s="23" t="inlineStr">
        <is>
          <t>patrick infante</t>
        </is>
      </c>
      <c r="E616" s="23" t="inlineStr">
        <is>
          <t>Sales Associate</t>
        </is>
      </c>
      <c r="F616" s="23" t="inlineStr">
        <is>
          <t>Denise Montes</t>
        </is>
      </c>
      <c r="G616" s="23" t="inlineStr">
        <is>
          <t>36016</t>
        </is>
      </c>
      <c r="H616" s="23" t="inlineStr">
        <is>
          <t>KING LIQUORS</t>
        </is>
      </c>
      <c r="I616" s="23" t="inlineStr">
        <is>
          <t>WALLINGTON</t>
        </is>
      </c>
      <c r="J616" s="23" t="inlineStr">
        <is>
          <t>Constellation</t>
        </is>
      </c>
      <c r="K616" s="27" t="n">
        <v>0</v>
      </c>
      <c r="L616" s="23" t="inlineStr">
        <is>
          <t>Non-qualifying (&lt;10)</t>
        </is>
      </c>
      <c r="M616" s="24" t="n">
        <v>0</v>
      </c>
      <c r="N616" s="24" t="n">
        <v>0</v>
      </c>
      <c r="O616" s="23" t="inlineStr">
        <is>
          <t>Priority</t>
        </is>
      </c>
      <c r="P616" s="24" t="n">
        <v>0</v>
      </c>
      <c r="Q616" s="23" t="inlineStr">
        <is>
          <t>No</t>
        </is>
      </c>
      <c r="R616" s="23" t="inlineStr">
        <is>
          <t>MODELO CERVEZA</t>
        </is>
      </c>
      <c r="S616" s="23" t="inlineStr">
        <is>
          <t>MODELO CERVEZA</t>
        </is>
      </c>
      <c r="T616" s="23" t="inlineStr">
        <is>
          <t>CONSTELLATION BRANDS</t>
        </is>
      </c>
      <c r="U616" s="27" t="n">
        <v>1</v>
      </c>
      <c r="V616" s="23" t="inlineStr">
        <is>
          <t>No</t>
        </is>
      </c>
      <c r="W616" s="23" t="inlineStr">
        <is>
          <t>Constellation (0)</t>
        </is>
      </c>
      <c r="X616" s="23" t="inlineStr">
        <is>
          <t>—</t>
        </is>
      </c>
      <c r="Y616" s="28" t="inlineStr">
        <is>
          <t>View Photo</t>
        </is>
      </c>
    </row>
    <row r="617">
      <c r="A617" s="23" t="inlineStr">
        <is>
          <t>D0616</t>
        </is>
      </c>
      <c r="B617" s="23" t="inlineStr">
        <is>
          <t>08/10/2026</t>
        </is>
      </c>
      <c r="C617" s="23" t="inlineStr">
        <is>
          <t>08/10/2026 10:30 AM</t>
        </is>
      </c>
      <c r="D617" s="23" t="inlineStr">
        <is>
          <t>patrick infante</t>
        </is>
      </c>
      <c r="E617" s="23" t="inlineStr">
        <is>
          <t>Sales Associate</t>
        </is>
      </c>
      <c r="F617" s="23" t="inlineStr">
        <is>
          <t>Denise Montes</t>
        </is>
      </c>
      <c r="G617" s="23" t="inlineStr">
        <is>
          <t>27031</t>
        </is>
      </c>
      <c r="H617" s="23" t="inlineStr">
        <is>
          <t>HOME WINE LIQUOR (PASSAIC)</t>
        </is>
      </c>
      <c r="I617" s="23" t="inlineStr">
        <is>
          <t>PASSAIC</t>
        </is>
      </c>
      <c r="J617" s="23" t="inlineStr">
        <is>
          <t>Mark Anthony</t>
        </is>
      </c>
      <c r="K617" s="27" t="n">
        <v>0</v>
      </c>
      <c r="L617" s="23" t="inlineStr">
        <is>
          <t>Non-qualifying (&lt;10)</t>
        </is>
      </c>
      <c r="M617" s="24" t="n">
        <v>0</v>
      </c>
      <c r="N617" s="24" t="n">
        <v>0</v>
      </c>
      <c r="O617" s="23" t="inlineStr">
        <is>
          <t>Priority</t>
        </is>
      </c>
      <c r="P617" s="24" t="n">
        <v>0</v>
      </c>
      <c r="Q617" s="23" t="inlineStr">
        <is>
          <t>No</t>
        </is>
      </c>
      <c r="R617" s="23" t="inlineStr">
        <is>
          <t>CAYMAN JACK</t>
        </is>
      </c>
      <c r="S617" s="23" t="inlineStr">
        <is>
          <t>CAYMAN JACK</t>
        </is>
      </c>
      <c r="T617" s="23" t="inlineStr">
        <is>
          <t>MARK ANTHONY GROUP</t>
        </is>
      </c>
      <c r="U617" s="27" t="n">
        <v>1</v>
      </c>
      <c r="V617" s="23" t="inlineStr">
        <is>
          <t>No</t>
        </is>
      </c>
      <c r="W617" s="23" t="inlineStr">
        <is>
          <t>Mark Anthony (0)</t>
        </is>
      </c>
      <c r="X617" s="23" t="inlineStr">
        <is>
          <t>—</t>
        </is>
      </c>
      <c r="Y617" s="28" t="inlineStr">
        <is>
          <t>View Photo</t>
        </is>
      </c>
    </row>
    <row r="618">
      <c r="A618" s="23" t="inlineStr">
        <is>
          <t>D0617</t>
        </is>
      </c>
      <c r="B618" s="23" t="inlineStr">
        <is>
          <t>08/17/2026</t>
        </is>
      </c>
      <c r="C618" s="23" t="inlineStr">
        <is>
          <t>08/17/2026 01:13 PM</t>
        </is>
      </c>
      <c r="D618" s="23" t="inlineStr">
        <is>
          <t>patrick infante</t>
        </is>
      </c>
      <c r="E618" s="23" t="inlineStr">
        <is>
          <t>Sales Associate</t>
        </is>
      </c>
      <c r="F618" s="23" t="inlineStr">
        <is>
          <t>Denise Montes</t>
        </is>
      </c>
      <c r="G618" s="23" t="inlineStr">
        <is>
          <t>32016</t>
        </is>
      </c>
      <c r="H618" s="23" t="inlineStr">
        <is>
          <t>COBBLESTONE HILL DELI</t>
        </is>
      </c>
      <c r="I618" s="23" t="inlineStr">
        <is>
          <t>CARLSTADT</t>
        </is>
      </c>
      <c r="J618" s="23" t="inlineStr">
        <is>
          <t>Constellation</t>
        </is>
      </c>
      <c r="K618" s="27" t="n">
        <v>0</v>
      </c>
      <c r="L618" s="23" t="inlineStr">
        <is>
          <t>Non-qualifying (&lt;10)</t>
        </is>
      </c>
      <c r="M618" s="24" t="n">
        <v>0</v>
      </c>
      <c r="N618" s="24" t="n">
        <v>0</v>
      </c>
      <c r="O618" s="23" t="inlineStr">
        <is>
          <t>Priority</t>
        </is>
      </c>
      <c r="P618" s="24" t="n">
        <v>0</v>
      </c>
      <c r="Q618" s="23" t="inlineStr">
        <is>
          <t>No</t>
        </is>
      </c>
      <c r="R618" s="23" t="inlineStr">
        <is>
          <t>CORONA EXTRA</t>
        </is>
      </c>
      <c r="S618" s="23" t="inlineStr">
        <is>
          <t>CORONA EXTRA</t>
        </is>
      </c>
      <c r="T618" s="23" t="inlineStr">
        <is>
          <t>CONSTELLATION BRANDS</t>
        </is>
      </c>
      <c r="U618" s="27" t="n">
        <v>1</v>
      </c>
      <c r="V618" s="23" t="inlineStr">
        <is>
          <t>No</t>
        </is>
      </c>
      <c r="W618" s="23" t="inlineStr">
        <is>
          <t>Constellation (0)</t>
        </is>
      </c>
      <c r="X618" s="23" t="inlineStr">
        <is>
          <t>—</t>
        </is>
      </c>
      <c r="Y618" s="28" t="inlineStr">
        <is>
          <t>View Photo</t>
        </is>
      </c>
    </row>
    <row r="619">
      <c r="A619" s="23" t="inlineStr">
        <is>
          <t>D0618</t>
        </is>
      </c>
      <c r="B619" s="23" t="inlineStr">
        <is>
          <t>08/17/2026</t>
        </is>
      </c>
      <c r="C619" s="23" t="inlineStr">
        <is>
          <t>08/17/2026 01:14 PM</t>
        </is>
      </c>
      <c r="D619" s="23" t="inlineStr">
        <is>
          <t>patrick infante</t>
        </is>
      </c>
      <c r="E619" s="23" t="inlineStr">
        <is>
          <t>Sales Associate</t>
        </is>
      </c>
      <c r="F619" s="23" t="inlineStr">
        <is>
          <t>Denise Montes</t>
        </is>
      </c>
      <c r="G619" s="23" t="inlineStr">
        <is>
          <t>32016</t>
        </is>
      </c>
      <c r="H619" s="23" t="inlineStr">
        <is>
          <t>COBBLESTONE HILL DELI</t>
        </is>
      </c>
      <c r="I619" s="23" t="inlineStr">
        <is>
          <t>CARLSTADT</t>
        </is>
      </c>
      <c r="J619" s="23" t="inlineStr">
        <is>
          <t>Constellation</t>
        </is>
      </c>
      <c r="K619" s="27" t="n">
        <v>0</v>
      </c>
      <c r="L619" s="23" t="inlineStr">
        <is>
          <t>Non-qualifying (&lt;10)</t>
        </is>
      </c>
      <c r="M619" s="24" t="n">
        <v>0</v>
      </c>
      <c r="N619" s="24" t="n">
        <v>0</v>
      </c>
      <c r="O619" s="23" t="inlineStr">
        <is>
          <t>Priority</t>
        </is>
      </c>
      <c r="P619" s="24" t="n">
        <v>0</v>
      </c>
      <c r="Q619" s="23" t="inlineStr">
        <is>
          <t>No</t>
        </is>
      </c>
      <c r="R619" s="23" t="inlineStr">
        <is>
          <t>MODELO CERVEZA</t>
        </is>
      </c>
      <c r="S619" s="23" t="inlineStr">
        <is>
          <t>MODELO CERVEZA</t>
        </is>
      </c>
      <c r="T619" s="23" t="inlineStr">
        <is>
          <t>CONSTELLATION BRANDS</t>
        </is>
      </c>
      <c r="U619" s="27" t="n">
        <v>1</v>
      </c>
      <c r="V619" s="23" t="inlineStr">
        <is>
          <t>No</t>
        </is>
      </c>
      <c r="W619" s="23" t="inlineStr">
        <is>
          <t>Constellation (0)</t>
        </is>
      </c>
      <c r="X619" s="23" t="inlineStr">
        <is>
          <t>—</t>
        </is>
      </c>
      <c r="Y619" s="28" t="inlineStr">
        <is>
          <t>View Photo</t>
        </is>
      </c>
    </row>
    <row r="620">
      <c r="A620" s="23" t="inlineStr">
        <is>
          <t>D0619</t>
        </is>
      </c>
      <c r="B620" s="23" t="inlineStr">
        <is>
          <t>08/17/2026</t>
        </is>
      </c>
      <c r="C620" s="23" t="inlineStr">
        <is>
          <t>08/17/2026 11:51 AM</t>
        </is>
      </c>
      <c r="D620" s="23" t="inlineStr">
        <is>
          <t>patrick infante</t>
        </is>
      </c>
      <c r="E620" s="23" t="inlineStr">
        <is>
          <t>Sales Associate</t>
        </is>
      </c>
      <c r="F620" s="23" t="inlineStr">
        <is>
          <t>Denise Montes</t>
        </is>
      </c>
      <c r="G620" s="23" t="inlineStr">
        <is>
          <t>77002</t>
        </is>
      </c>
      <c r="H620" s="23" t="inlineStr">
        <is>
          <t>BIRCHWOOD LIQ &amp; DELI (Z)</t>
        </is>
      </c>
      <c r="I620" s="23" t="inlineStr">
        <is>
          <t>ELMWOOD PARK</t>
        </is>
      </c>
      <c r="J620" s="23" t="inlineStr">
        <is>
          <t>Constellation</t>
        </is>
      </c>
      <c r="K620" s="27" t="n">
        <v>0</v>
      </c>
      <c r="L620" s="23" t="inlineStr">
        <is>
          <t>Non-qualifying (&lt;10)</t>
        </is>
      </c>
      <c r="M620" s="24" t="n">
        <v>0</v>
      </c>
      <c r="N620" s="24" t="n">
        <v>0</v>
      </c>
      <c r="O620" s="23" t="inlineStr">
        <is>
          <t>Priority</t>
        </is>
      </c>
      <c r="P620" s="24" t="n">
        <v>0</v>
      </c>
      <c r="Q620" s="23" t="inlineStr">
        <is>
          <t>No</t>
        </is>
      </c>
      <c r="R620" s="23" t="inlineStr">
        <is>
          <t>CORONA EXTRA</t>
        </is>
      </c>
      <c r="S620" s="23" t="inlineStr">
        <is>
          <t>CORONA EXTRA</t>
        </is>
      </c>
      <c r="T620" s="23" t="inlineStr">
        <is>
          <t>CONSTELLATION BRANDS</t>
        </is>
      </c>
      <c r="U620" s="27" t="n">
        <v>1</v>
      </c>
      <c r="V620" s="23" t="inlineStr">
        <is>
          <t>No</t>
        </is>
      </c>
      <c r="W620" s="23" t="inlineStr">
        <is>
          <t>Constellation (0)</t>
        </is>
      </c>
      <c r="X620" s="23" t="inlineStr">
        <is>
          <t>—</t>
        </is>
      </c>
      <c r="Y620" s="28" t="inlineStr">
        <is>
          <t>View Photo</t>
        </is>
      </c>
    </row>
    <row r="621">
      <c r="A621" s="23" t="inlineStr">
        <is>
          <t>D0620</t>
        </is>
      </c>
      <c r="B621" s="23" t="inlineStr">
        <is>
          <t>08/17/2026</t>
        </is>
      </c>
      <c r="C621" s="23" t="inlineStr">
        <is>
          <t>08/17/2026 11:57 AM</t>
        </is>
      </c>
      <c r="D621" s="23" t="inlineStr">
        <is>
          <t>patrick infante</t>
        </is>
      </c>
      <c r="E621" s="23" t="inlineStr">
        <is>
          <t>Sales Associate</t>
        </is>
      </c>
      <c r="F621" s="23" t="inlineStr">
        <is>
          <t>Denise Montes</t>
        </is>
      </c>
      <c r="G621" s="23" t="inlineStr">
        <is>
          <t>77002</t>
        </is>
      </c>
      <c r="H621" s="23" t="inlineStr">
        <is>
          <t>BIRCHWOOD LIQ &amp; DELI (Z)</t>
        </is>
      </c>
      <c r="I621" s="23" t="inlineStr">
        <is>
          <t>ELMWOOD PARK</t>
        </is>
      </c>
      <c r="J621" s="23" t="inlineStr">
        <is>
          <t>Constellation</t>
        </is>
      </c>
      <c r="K621" s="27" t="n">
        <v>0</v>
      </c>
      <c r="L621" s="23" t="inlineStr">
        <is>
          <t>Non-qualifying (&lt;10)</t>
        </is>
      </c>
      <c r="M621" s="24" t="n">
        <v>0</v>
      </c>
      <c r="N621" s="24" t="n">
        <v>0</v>
      </c>
      <c r="O621" s="23" t="inlineStr">
        <is>
          <t>Priority</t>
        </is>
      </c>
      <c r="P621" s="24" t="n">
        <v>0</v>
      </c>
      <c r="Q621" s="23" t="inlineStr">
        <is>
          <t>No</t>
        </is>
      </c>
      <c r="R621" s="23" t="inlineStr">
        <is>
          <t>MODELO CERVEZA</t>
        </is>
      </c>
      <c r="S621" s="23" t="inlineStr">
        <is>
          <t>MODELO CERVEZA</t>
        </is>
      </c>
      <c r="T621" s="23" t="inlineStr">
        <is>
          <t>CONSTELLATION BRANDS</t>
        </is>
      </c>
      <c r="U621" s="27" t="n">
        <v>1</v>
      </c>
      <c r="V621" s="23" t="inlineStr">
        <is>
          <t>No</t>
        </is>
      </c>
      <c r="W621" s="23" t="inlineStr">
        <is>
          <t>Constellation (0)</t>
        </is>
      </c>
      <c r="X621" s="23" t="inlineStr">
        <is>
          <t>—</t>
        </is>
      </c>
      <c r="Y621" s="28" t="inlineStr">
        <is>
          <t>View Photo</t>
        </is>
      </c>
    </row>
    <row r="622">
      <c r="A622" s="23" t="inlineStr">
        <is>
          <t>D0621</t>
        </is>
      </c>
      <c r="B622" s="23" t="inlineStr">
        <is>
          <t>08/17/2026</t>
        </is>
      </c>
      <c r="C622" s="23" t="inlineStr">
        <is>
          <t>08/17/2026 12:25 PM</t>
        </is>
      </c>
      <c r="D622" s="23" t="inlineStr">
        <is>
          <t>patrick infante</t>
        </is>
      </c>
      <c r="E622" s="23" t="inlineStr">
        <is>
          <t>Sales Associate</t>
        </is>
      </c>
      <c r="F622" s="23" t="inlineStr">
        <is>
          <t>Denise Montes</t>
        </is>
      </c>
      <c r="G622" s="23" t="inlineStr">
        <is>
          <t>24009</t>
        </is>
      </c>
      <c r="H622" s="23" t="inlineStr">
        <is>
          <t>QUIK STOP CONV(Z)</t>
        </is>
      </c>
      <c r="I622" s="23" t="inlineStr">
        <is>
          <t>CLIFTON</t>
        </is>
      </c>
      <c r="J622" s="23" t="inlineStr">
        <is>
          <t>Constellation</t>
        </is>
      </c>
      <c r="K622" s="27" t="n">
        <v>0</v>
      </c>
      <c r="L622" s="23" t="inlineStr">
        <is>
          <t>Non-qualifying (&lt;10)</t>
        </is>
      </c>
      <c r="M622" s="24" t="n">
        <v>0</v>
      </c>
      <c r="N622" s="24" t="n">
        <v>0</v>
      </c>
      <c r="O622" s="23" t="inlineStr">
        <is>
          <t>Priority</t>
        </is>
      </c>
      <c r="P622" s="24" t="n">
        <v>0</v>
      </c>
      <c r="Q622" s="23" t="inlineStr">
        <is>
          <t>No</t>
        </is>
      </c>
      <c r="R622" s="23" t="inlineStr">
        <is>
          <t>COORS LIGHT</t>
        </is>
      </c>
      <c r="S622" s="23" t="inlineStr">
        <is>
          <t>COORS LIGHT, MODELO CERVEZA</t>
        </is>
      </c>
      <c r="T622" s="23" t="inlineStr">
        <is>
          <t>CONSTELLATION BRANDS, MOLSON COORS BEVERAGE COMPANY</t>
        </is>
      </c>
      <c r="U622" s="27" t="n">
        <v>2</v>
      </c>
      <c r="V622" s="23" t="inlineStr">
        <is>
          <t>Yes</t>
        </is>
      </c>
      <c r="W622" s="23" t="inlineStr">
        <is>
          <t>Constellation (0) + Molson Coors (0)</t>
        </is>
      </c>
      <c r="X622" s="23" t="inlineStr">
        <is>
          <t>—</t>
        </is>
      </c>
      <c r="Y622" s="28" t="inlineStr">
        <is>
          <t>View Photo</t>
        </is>
      </c>
    </row>
    <row r="623">
      <c r="A623" s="23" t="inlineStr">
        <is>
          <t>D0622</t>
        </is>
      </c>
      <c r="B623" s="23" t="inlineStr">
        <is>
          <t>08/18/2026</t>
        </is>
      </c>
      <c r="C623" s="23" t="inlineStr">
        <is>
          <t>08/18/2026 10:24 AM</t>
        </is>
      </c>
      <c r="D623" s="23" t="inlineStr">
        <is>
          <t>patrick infante</t>
        </is>
      </c>
      <c r="E623" s="23" t="inlineStr">
        <is>
          <t>Sales Associate</t>
        </is>
      </c>
      <c r="F623" s="23" t="inlineStr">
        <is>
          <t>Denise Montes</t>
        </is>
      </c>
      <c r="G623" s="23" t="inlineStr">
        <is>
          <t>31033</t>
        </is>
      </c>
      <c r="H623" s="23" t="inlineStr">
        <is>
          <t>CAPRI DELI&amp;LIQ (P)</t>
        </is>
      </c>
      <c r="I623" s="23" t="inlineStr">
        <is>
          <t>EAST RUTHERFORD</t>
        </is>
      </c>
      <c r="J623" s="23" t="inlineStr">
        <is>
          <t>Constellation</t>
        </is>
      </c>
      <c r="K623" s="27" t="n">
        <v>0</v>
      </c>
      <c r="L623" s="23" t="inlineStr">
        <is>
          <t>Non-qualifying (&lt;10)</t>
        </is>
      </c>
      <c r="M623" s="24" t="n">
        <v>0</v>
      </c>
      <c r="N623" s="24" t="n">
        <v>0</v>
      </c>
      <c r="O623" s="23" t="inlineStr">
        <is>
          <t>Priority</t>
        </is>
      </c>
      <c r="P623" s="24" t="n">
        <v>0</v>
      </c>
      <c r="Q623" s="23" t="inlineStr">
        <is>
          <t>No</t>
        </is>
      </c>
      <c r="R623" s="23" t="inlineStr">
        <is>
          <t>CORONA EXTRA</t>
        </is>
      </c>
      <c r="S623" s="23" t="inlineStr">
        <is>
          <t>CORONA EXTRA, MODELO CERVEZA, SUN CRUISER ICED TEA VODKA</t>
        </is>
      </c>
      <c r="T623" s="23" t="inlineStr">
        <is>
          <t>BOSTON BEER COMPANY, CONSTELLATION BRANDS</t>
        </is>
      </c>
      <c r="U623" s="27" t="n">
        <v>3</v>
      </c>
      <c r="V623" s="23" t="inlineStr">
        <is>
          <t>Yes</t>
        </is>
      </c>
      <c r="W623" s="23" t="inlineStr">
        <is>
          <t>Boston Beer (0) + Constellation (0)</t>
        </is>
      </c>
      <c r="X623" s="23" t="inlineStr">
        <is>
          <t>—</t>
        </is>
      </c>
      <c r="Y623" s="28" t="inlineStr">
        <is>
          <t>View Photo</t>
        </is>
      </c>
    </row>
    <row r="624">
      <c r="A624" s="23" t="inlineStr">
        <is>
          <t>D0623</t>
        </is>
      </c>
      <c r="B624" s="23" t="inlineStr">
        <is>
          <t>08/18/2026</t>
        </is>
      </c>
      <c r="C624" s="23" t="inlineStr">
        <is>
          <t>08/18/2026 10:39 AM</t>
        </is>
      </c>
      <c r="D624" s="23" t="inlineStr">
        <is>
          <t>patrick infante</t>
        </is>
      </c>
      <c r="E624" s="23" t="inlineStr">
        <is>
          <t>Sales Associate</t>
        </is>
      </c>
      <c r="F624" s="23" t="inlineStr">
        <is>
          <t>Denise Montes</t>
        </is>
      </c>
      <c r="G624" s="23" t="inlineStr">
        <is>
          <t>31004</t>
        </is>
      </c>
      <c r="H624" s="23" t="inlineStr">
        <is>
          <t>METRO LIQUORS (EAST RUTHERFORD)</t>
        </is>
      </c>
      <c r="I624" s="23" t="inlineStr">
        <is>
          <t>EAST RUTHERFORD</t>
        </is>
      </c>
      <c r="J624" s="23" t="inlineStr">
        <is>
          <t>Constellation</t>
        </is>
      </c>
      <c r="K624" s="27" t="n">
        <v>0</v>
      </c>
      <c r="L624" s="23" t="inlineStr">
        <is>
          <t>Non-qualifying (&lt;10)</t>
        </is>
      </c>
      <c r="M624" s="24" t="n">
        <v>0</v>
      </c>
      <c r="N624" s="24" t="n">
        <v>0</v>
      </c>
      <c r="O624" s="23" t="inlineStr">
        <is>
          <t>Priority</t>
        </is>
      </c>
      <c r="P624" s="24" t="n">
        <v>0</v>
      </c>
      <c r="Q624" s="23" t="inlineStr">
        <is>
          <t>No</t>
        </is>
      </c>
      <c r="R624" s="23" t="inlineStr">
        <is>
          <t>MODELO CERVEZA</t>
        </is>
      </c>
      <c r="S624" s="23" t="inlineStr">
        <is>
          <t>MODELO CERVEZA</t>
        </is>
      </c>
      <c r="T624" s="23" t="inlineStr">
        <is>
          <t>CONSTELLATION BRANDS</t>
        </is>
      </c>
      <c r="U624" s="27" t="n">
        <v>1</v>
      </c>
      <c r="V624" s="23" t="inlineStr">
        <is>
          <t>No</t>
        </is>
      </c>
      <c r="W624" s="23" t="inlineStr">
        <is>
          <t>Constellation (0)</t>
        </is>
      </c>
      <c r="X624" s="23" t="inlineStr">
        <is>
          <t>—</t>
        </is>
      </c>
      <c r="Y624" s="28" t="inlineStr">
        <is>
          <t>View Photo</t>
        </is>
      </c>
    </row>
    <row r="625">
      <c r="A625" s="23" t="inlineStr">
        <is>
          <t>D0624</t>
        </is>
      </c>
      <c r="B625" s="23" t="inlineStr">
        <is>
          <t>08/18/2026</t>
        </is>
      </c>
      <c r="C625" s="23" t="inlineStr">
        <is>
          <t>08/18/2026 11:55 AM</t>
        </is>
      </c>
      <c r="D625" s="23" t="inlineStr">
        <is>
          <t>patrick infante</t>
        </is>
      </c>
      <c r="E625" s="23" t="inlineStr">
        <is>
          <t>Sales Associate</t>
        </is>
      </c>
      <c r="F625" s="23" t="inlineStr">
        <is>
          <t>Denise Montes</t>
        </is>
      </c>
      <c r="G625" s="23" t="inlineStr">
        <is>
          <t>36007</t>
        </is>
      </c>
      <c r="H625" s="23" t="inlineStr">
        <is>
          <t>SHOP RITE OF WALLINGTON</t>
        </is>
      </c>
      <c r="I625" s="23" t="inlineStr">
        <is>
          <t>WALLINGTON</t>
        </is>
      </c>
      <c r="J625" s="23" t="inlineStr">
        <is>
          <t>Constellation</t>
        </is>
      </c>
      <c r="K625" s="27" t="n">
        <v>0</v>
      </c>
      <c r="L625" s="23" t="inlineStr">
        <is>
          <t>Non-qualifying (&lt;10)</t>
        </is>
      </c>
      <c r="M625" s="24" t="n">
        <v>0</v>
      </c>
      <c r="N625" s="24" t="n">
        <v>0</v>
      </c>
      <c r="O625" s="23" t="inlineStr">
        <is>
          <t>Priority</t>
        </is>
      </c>
      <c r="P625" s="24" t="n">
        <v>0</v>
      </c>
      <c r="Q625" s="23" t="inlineStr">
        <is>
          <t>No</t>
        </is>
      </c>
      <c r="R625" s="23" t="inlineStr">
        <is>
          <t>CORONA EXTRA</t>
        </is>
      </c>
      <c r="S625" s="23" t="inlineStr">
        <is>
          <t>CORONA EXTRA</t>
        </is>
      </c>
      <c r="T625" s="23" t="inlineStr">
        <is>
          <t>CONSTELLATION BRANDS</t>
        </is>
      </c>
      <c r="U625" s="27" t="n">
        <v>1</v>
      </c>
      <c r="V625" s="23" t="inlineStr">
        <is>
          <t>No</t>
        </is>
      </c>
      <c r="W625" s="23" t="inlineStr">
        <is>
          <t>Constellation (0)</t>
        </is>
      </c>
      <c r="X625" s="23" t="inlineStr">
        <is>
          <t>—</t>
        </is>
      </c>
      <c r="Y625" s="28" t="inlineStr">
        <is>
          <t>View Photo</t>
        </is>
      </c>
    </row>
    <row r="626">
      <c r="A626" s="23" t="inlineStr">
        <is>
          <t>D0625</t>
        </is>
      </c>
      <c r="B626" s="23" t="inlineStr">
        <is>
          <t>08/18/2026</t>
        </is>
      </c>
      <c r="C626" s="23" t="inlineStr">
        <is>
          <t>08/18/2026 12:24 PM</t>
        </is>
      </c>
      <c r="D626" s="23" t="inlineStr">
        <is>
          <t>patrick infante</t>
        </is>
      </c>
      <c r="E626" s="23" t="inlineStr">
        <is>
          <t>Sales Associate</t>
        </is>
      </c>
      <c r="F626" s="23" t="inlineStr">
        <is>
          <t>Denise Montes</t>
        </is>
      </c>
      <c r="G626" s="23" t="inlineStr">
        <is>
          <t>36016</t>
        </is>
      </c>
      <c r="H626" s="23" t="inlineStr">
        <is>
          <t>KING LIQUORS</t>
        </is>
      </c>
      <c r="I626" s="23" t="inlineStr">
        <is>
          <t>WALLINGTON</t>
        </is>
      </c>
      <c r="J626" s="23" t="inlineStr">
        <is>
          <t>Molson Coors</t>
        </is>
      </c>
      <c r="K626" s="27" t="n">
        <v>0</v>
      </c>
      <c r="L626" s="23" t="inlineStr">
        <is>
          <t>Non-qualifying (&lt;10)</t>
        </is>
      </c>
      <c r="M626" s="24" t="n">
        <v>0</v>
      </c>
      <c r="N626" s="24" t="n">
        <v>0</v>
      </c>
      <c r="O626" s="23" t="inlineStr">
        <is>
          <t>Priority</t>
        </is>
      </c>
      <c r="P626" s="24" t="n">
        <v>0</v>
      </c>
      <c r="Q626" s="23" t="inlineStr">
        <is>
          <t>No</t>
        </is>
      </c>
      <c r="R626" s="23" t="inlineStr">
        <is>
          <t>COORS LIGHT</t>
        </is>
      </c>
      <c r="S626" s="23" t="inlineStr">
        <is>
          <t>COORS LIGHT</t>
        </is>
      </c>
      <c r="T626" s="23" t="inlineStr">
        <is>
          <t>MOLSON COORS BEVERAGE COMPANY</t>
        </is>
      </c>
      <c r="U626" s="27" t="n">
        <v>1</v>
      </c>
      <c r="V626" s="23" t="inlineStr">
        <is>
          <t>No</t>
        </is>
      </c>
      <c r="W626" s="23" t="inlineStr">
        <is>
          <t>Molson Coors (0)</t>
        </is>
      </c>
      <c r="X626" s="23" t="inlineStr">
        <is>
          <t>—</t>
        </is>
      </c>
      <c r="Y626" s="28" t="inlineStr">
        <is>
          <t>View Photo</t>
        </is>
      </c>
    </row>
    <row r="627">
      <c r="A627" s="23" t="inlineStr">
        <is>
          <t>D0626</t>
        </is>
      </c>
      <c r="B627" s="23" t="inlineStr">
        <is>
          <t>08/18/2026</t>
        </is>
      </c>
      <c r="C627" s="23" t="inlineStr">
        <is>
          <t>08/18/2026 12:25 PM</t>
        </is>
      </c>
      <c r="D627" s="23" t="inlineStr">
        <is>
          <t>patrick infante</t>
        </is>
      </c>
      <c r="E627" s="23" t="inlineStr">
        <is>
          <t>Sales Associate</t>
        </is>
      </c>
      <c r="F627" s="23" t="inlineStr">
        <is>
          <t>Denise Montes</t>
        </is>
      </c>
      <c r="G627" s="23" t="inlineStr">
        <is>
          <t>36016</t>
        </is>
      </c>
      <c r="H627" s="23" t="inlineStr">
        <is>
          <t>KING LIQUORS</t>
        </is>
      </c>
      <c r="I627" s="23" t="inlineStr">
        <is>
          <t>WALLINGTON</t>
        </is>
      </c>
      <c r="J627" s="23" t="inlineStr">
        <is>
          <t>Constellation</t>
        </is>
      </c>
      <c r="K627" s="27" t="n">
        <v>0</v>
      </c>
      <c r="L627" s="23" t="inlineStr">
        <is>
          <t>Non-qualifying (&lt;10)</t>
        </is>
      </c>
      <c r="M627" s="24" t="n">
        <v>0</v>
      </c>
      <c r="N627" s="24" t="n">
        <v>0</v>
      </c>
      <c r="O627" s="23" t="inlineStr">
        <is>
          <t>Priority</t>
        </is>
      </c>
      <c r="P627" s="24" t="n">
        <v>0</v>
      </c>
      <c r="Q627" s="23" t="inlineStr">
        <is>
          <t>No</t>
        </is>
      </c>
      <c r="R627" s="23" t="inlineStr">
        <is>
          <t>CORONA EXTRA</t>
        </is>
      </c>
      <c r="S627" s="23" t="inlineStr">
        <is>
          <t>CORONA EXTRA, MODELO CERVEZA</t>
        </is>
      </c>
      <c r="T627" s="23" t="inlineStr">
        <is>
          <t>CONSTELLATION BRANDS</t>
        </is>
      </c>
      <c r="U627" s="27" t="n">
        <v>2</v>
      </c>
      <c r="V627" s="23" t="inlineStr">
        <is>
          <t>No</t>
        </is>
      </c>
      <c r="W627" s="23" t="inlineStr">
        <is>
          <t>Constellation (0)</t>
        </is>
      </c>
      <c r="X627" s="23" t="inlineStr">
        <is>
          <t>—</t>
        </is>
      </c>
      <c r="Y627" s="28" t="inlineStr">
        <is>
          <t>View Photo</t>
        </is>
      </c>
    </row>
    <row r="628">
      <c r="A628" s="23" t="inlineStr">
        <is>
          <t>D0627</t>
        </is>
      </c>
      <c r="B628" s="23" t="inlineStr">
        <is>
          <t>08/19/2026</t>
        </is>
      </c>
      <c r="C628" s="23" t="inlineStr">
        <is>
          <t>08/19/2026 03:12 PM</t>
        </is>
      </c>
      <c r="D628" s="23" t="inlineStr">
        <is>
          <t>David Fletcher</t>
        </is>
      </c>
      <c r="E628" s="23" t="inlineStr">
        <is>
          <t>Sales Associate</t>
        </is>
      </c>
      <c r="F628" s="23" t="inlineStr">
        <is>
          <t>Michael Engel</t>
        </is>
      </c>
      <c r="G628" s="23" t="inlineStr">
        <is>
          <t>25034</t>
        </is>
      </c>
      <c r="H628" s="23" t="inlineStr">
        <is>
          <t>FIGLAR'S (P)</t>
        </is>
      </c>
      <c r="I628" s="23" t="inlineStr">
        <is>
          <t>CLIFTON</t>
        </is>
      </c>
      <c r="J628" s="23" t="inlineStr">
        <is>
          <t>Constellation</t>
        </is>
      </c>
      <c r="K628" s="27" t="n">
        <v>0</v>
      </c>
      <c r="L628" s="23" t="inlineStr">
        <is>
          <t>Non-qualifying (&lt;10)</t>
        </is>
      </c>
      <c r="M628" s="24" t="n">
        <v>0</v>
      </c>
      <c r="N628" s="24" t="n">
        <v>0</v>
      </c>
      <c r="O628" s="23" t="inlineStr">
        <is>
          <t>Priority</t>
        </is>
      </c>
      <c r="P628" s="24" t="n">
        <v>0</v>
      </c>
      <c r="Q628" s="23" t="inlineStr">
        <is>
          <t>No</t>
        </is>
      </c>
      <c r="R628" s="23" t="inlineStr">
        <is>
          <t>CORONA EXTRA</t>
        </is>
      </c>
      <c r="S628" s="23" t="inlineStr">
        <is>
          <t>CORONA EXTRA</t>
        </is>
      </c>
      <c r="T628" s="23" t="inlineStr">
        <is>
          <t>CONSTELLATION BRANDS</t>
        </is>
      </c>
      <c r="U628" s="27" t="n">
        <v>1</v>
      </c>
      <c r="V628" s="23" t="inlineStr">
        <is>
          <t>No</t>
        </is>
      </c>
      <c r="W628" s="23" t="inlineStr">
        <is>
          <t>Constellation (0)</t>
        </is>
      </c>
      <c r="X628" s="23" t="inlineStr">
        <is>
          <t>—</t>
        </is>
      </c>
      <c r="Y628" s="28" t="inlineStr">
        <is>
          <t>View Photo</t>
        </is>
      </c>
    </row>
    <row r="629">
      <c r="A629" s="23" t="inlineStr">
        <is>
          <t>D0628</t>
        </is>
      </c>
      <c r="B629" s="23" t="inlineStr">
        <is>
          <t>08/19/2026</t>
        </is>
      </c>
      <c r="C629" s="23" t="inlineStr">
        <is>
          <t>08/19/2026 09:34 AM</t>
        </is>
      </c>
      <c r="D629" s="23" t="inlineStr">
        <is>
          <t>patrick infante</t>
        </is>
      </c>
      <c r="E629" s="23" t="inlineStr">
        <is>
          <t>Sales Associate</t>
        </is>
      </c>
      <c r="F629" s="23" t="inlineStr">
        <is>
          <t>Denise Montes</t>
        </is>
      </c>
      <c r="G629" s="23" t="inlineStr">
        <is>
          <t>28012</t>
        </is>
      </c>
      <c r="H629" s="23" t="inlineStr">
        <is>
          <t>LUCKY 7 (A)</t>
        </is>
      </c>
      <c r="I629" s="23" t="inlineStr">
        <is>
          <t>NORTH ARLINGTON</t>
        </is>
      </c>
      <c r="J629" s="23" t="inlineStr">
        <is>
          <t>Boston Beer</t>
        </is>
      </c>
      <c r="K629" s="27" t="n">
        <v>0</v>
      </c>
      <c r="L629" s="23" t="inlineStr">
        <is>
          <t>Non-qualifying (&lt;10)</t>
        </is>
      </c>
      <c r="M629" s="24" t="n">
        <v>0</v>
      </c>
      <c r="N629" s="24" t="n">
        <v>0</v>
      </c>
      <c r="O629" s="23" t="inlineStr">
        <is>
          <t>Priority</t>
        </is>
      </c>
      <c r="P629" s="24" t="n">
        <v>0</v>
      </c>
      <c r="Q629" s="23" t="inlineStr">
        <is>
          <t>No</t>
        </is>
      </c>
      <c r="R629" s="23" t="inlineStr">
        <is>
          <t>MODELO CERVEZA</t>
        </is>
      </c>
      <c r="S629" s="23" t="inlineStr">
        <is>
          <t>MODELO CERVEZA, SUN CRUISER ICED TEA VODKA</t>
        </is>
      </c>
      <c r="T629" s="23" t="inlineStr">
        <is>
          <t>BOSTON BEER COMPANY, CONSTELLATION BRANDS</t>
        </is>
      </c>
      <c r="U629" s="27" t="n">
        <v>2</v>
      </c>
      <c r="V629" s="23" t="inlineStr">
        <is>
          <t>Yes</t>
        </is>
      </c>
      <c r="W629" s="23" t="inlineStr">
        <is>
          <t>Constellation (0) + Boston Beer (0)</t>
        </is>
      </c>
      <c r="X629" s="23" t="inlineStr">
        <is>
          <t>—</t>
        </is>
      </c>
      <c r="Y629" s="28" t="inlineStr">
        <is>
          <t>View Photo</t>
        </is>
      </c>
    </row>
    <row r="630">
      <c r="A630" s="23" t="inlineStr">
        <is>
          <t>D0629</t>
        </is>
      </c>
      <c r="B630" s="23" t="inlineStr">
        <is>
          <t>08/19/2026</t>
        </is>
      </c>
      <c r="C630" s="23" t="inlineStr">
        <is>
          <t>08/19/2026 09:35 AM</t>
        </is>
      </c>
      <c r="D630" s="23" t="inlineStr">
        <is>
          <t>patrick infante</t>
        </is>
      </c>
      <c r="E630" s="23" t="inlineStr">
        <is>
          <t>Sales Associate</t>
        </is>
      </c>
      <c r="F630" s="23" t="inlineStr">
        <is>
          <t>Denise Montes</t>
        </is>
      </c>
      <c r="G630" s="23" t="inlineStr">
        <is>
          <t>28012</t>
        </is>
      </c>
      <c r="H630" s="23" t="inlineStr">
        <is>
          <t>LUCKY 7 (A)</t>
        </is>
      </c>
      <c r="I630" s="23" t="inlineStr">
        <is>
          <t>NORTH ARLINGTON</t>
        </is>
      </c>
      <c r="J630" s="23" t="inlineStr">
        <is>
          <t>Boston Beer</t>
        </is>
      </c>
      <c r="K630" s="27" t="n">
        <v>0</v>
      </c>
      <c r="L630" s="23" t="inlineStr">
        <is>
          <t>Non-qualifying (&lt;10)</t>
        </is>
      </c>
      <c r="M630" s="24" t="n">
        <v>0</v>
      </c>
      <c r="N630" s="24" t="n">
        <v>0</v>
      </c>
      <c r="O630" s="23" t="inlineStr">
        <is>
          <t>Priority</t>
        </is>
      </c>
      <c r="P630" s="24" t="n">
        <v>0</v>
      </c>
      <c r="Q630" s="23" t="inlineStr">
        <is>
          <t>No</t>
        </is>
      </c>
      <c r="R630" s="23" t="inlineStr">
        <is>
          <t>CORONA EXTRA</t>
        </is>
      </c>
      <c r="S630" s="23" t="inlineStr">
        <is>
          <t>CORONA EXTRA, SUN CRUISER ICED TEA VODKA</t>
        </is>
      </c>
      <c r="T630" s="23" t="inlineStr">
        <is>
          <t>BOSTON BEER COMPANY, CONSTELLATION BRANDS</t>
        </is>
      </c>
      <c r="U630" s="27" t="n">
        <v>2</v>
      </c>
      <c r="V630" s="23" t="inlineStr">
        <is>
          <t>Yes</t>
        </is>
      </c>
      <c r="W630" s="23" t="inlineStr">
        <is>
          <t>Constellation (0) + Boston Beer (0)</t>
        </is>
      </c>
      <c r="X630" s="23" t="inlineStr">
        <is>
          <t>—</t>
        </is>
      </c>
      <c r="Y630" s="28" t="inlineStr">
        <is>
          <t>View Photo</t>
        </is>
      </c>
    </row>
    <row r="631">
      <c r="A631" s="23" t="inlineStr">
        <is>
          <t>D0630</t>
        </is>
      </c>
      <c r="B631" s="23" t="inlineStr">
        <is>
          <t>08/19/2026</t>
        </is>
      </c>
      <c r="C631" s="23" t="inlineStr">
        <is>
          <t>08/19/2026 11:41 AM</t>
        </is>
      </c>
      <c r="D631" s="23" t="inlineStr">
        <is>
          <t>patrick infante</t>
        </is>
      </c>
      <c r="E631" s="23" t="inlineStr">
        <is>
          <t>Sales Associate</t>
        </is>
      </c>
      <c r="F631" s="23" t="inlineStr">
        <is>
          <t>Denise Montes</t>
        </is>
      </c>
      <c r="G631" s="23" t="inlineStr">
        <is>
          <t>31004</t>
        </is>
      </c>
      <c r="H631" s="23" t="inlineStr">
        <is>
          <t>METRO LIQUORS (EAST RUTHERFORD)</t>
        </is>
      </c>
      <c r="I631" s="23" t="inlineStr">
        <is>
          <t>EAST RUTHERFORD</t>
        </is>
      </c>
      <c r="J631" s="23" t="inlineStr">
        <is>
          <t>Constellation</t>
        </is>
      </c>
      <c r="K631" s="27" t="n">
        <v>0</v>
      </c>
      <c r="L631" s="23" t="inlineStr">
        <is>
          <t>Non-qualifying (&lt;10)</t>
        </is>
      </c>
      <c r="M631" s="24" t="n">
        <v>0</v>
      </c>
      <c r="N631" s="24" t="n">
        <v>0</v>
      </c>
      <c r="O631" s="23" t="inlineStr">
        <is>
          <t>Priority</t>
        </is>
      </c>
      <c r="P631" s="24" t="n">
        <v>0</v>
      </c>
      <c r="Q631" s="23" t="inlineStr">
        <is>
          <t>No</t>
        </is>
      </c>
      <c r="R631" s="23" t="inlineStr">
        <is>
          <t>CORONA EXTRA</t>
        </is>
      </c>
      <c r="S631" s="23" t="inlineStr">
        <is>
          <t>CORONA EXTRA</t>
        </is>
      </c>
      <c r="T631" s="23" t="inlineStr">
        <is>
          <t>CONSTELLATION BRANDS</t>
        </is>
      </c>
      <c r="U631" s="27" t="n">
        <v>1</v>
      </c>
      <c r="V631" s="23" t="inlineStr">
        <is>
          <t>No</t>
        </is>
      </c>
      <c r="W631" s="23" t="inlineStr">
        <is>
          <t>Constellation (0)</t>
        </is>
      </c>
      <c r="X631" s="23" t="inlineStr">
        <is>
          <t>—</t>
        </is>
      </c>
      <c r="Y631" s="28" t="inlineStr">
        <is>
          <t>View Photo</t>
        </is>
      </c>
    </row>
    <row r="632">
      <c r="A632" s="23" t="inlineStr">
        <is>
          <t>D0631</t>
        </is>
      </c>
      <c r="B632" s="23" t="inlineStr">
        <is>
          <t>08/19/2026</t>
        </is>
      </c>
      <c r="C632" s="23" t="inlineStr">
        <is>
          <t>08/19/2026 11:57 AM</t>
        </is>
      </c>
      <c r="D632" s="23" t="inlineStr">
        <is>
          <t>David Fletcher</t>
        </is>
      </c>
      <c r="E632" s="23" t="inlineStr">
        <is>
          <t>Sales Associate</t>
        </is>
      </c>
      <c r="F632" s="23" t="inlineStr">
        <is>
          <t>Michael Engel</t>
        </is>
      </c>
      <c r="G632" s="23" t="inlineStr">
        <is>
          <t>81001</t>
        </is>
      </c>
      <c r="H632" s="23" t="inlineStr">
        <is>
          <t>B &amp; B LIQUORS (FAIR LAWN)</t>
        </is>
      </c>
      <c r="I632" s="23" t="inlineStr">
        <is>
          <t>FAIR LAWN</t>
        </is>
      </c>
      <c r="J632" s="23" t="inlineStr">
        <is>
          <t>Constellation</t>
        </is>
      </c>
      <c r="K632" s="27" t="n">
        <v>0</v>
      </c>
      <c r="L632" s="23" t="inlineStr">
        <is>
          <t>Non-qualifying (&lt;10)</t>
        </is>
      </c>
      <c r="M632" s="24" t="n">
        <v>0</v>
      </c>
      <c r="N632" s="24" t="n">
        <v>0</v>
      </c>
      <c r="O632" s="23" t="inlineStr">
        <is>
          <t>Priority</t>
        </is>
      </c>
      <c r="P632" s="24" t="n">
        <v>0</v>
      </c>
      <c r="Q632" s="23" t="inlineStr">
        <is>
          <t>No</t>
        </is>
      </c>
      <c r="R632" s="23" t="inlineStr">
        <is>
          <t>MODELO CERVEZA</t>
        </is>
      </c>
      <c r="S632" s="23" t="inlineStr">
        <is>
          <t>MODELO CERVEZA</t>
        </is>
      </c>
      <c r="T632" s="23" t="inlineStr">
        <is>
          <t>CONSTELLATION BRANDS</t>
        </is>
      </c>
      <c r="U632" s="27" t="n">
        <v>1</v>
      </c>
      <c r="V632" s="23" t="inlineStr">
        <is>
          <t>No</t>
        </is>
      </c>
      <c r="W632" s="23" t="inlineStr">
        <is>
          <t>Constellation (0)</t>
        </is>
      </c>
      <c r="X632" s="23" t="inlineStr">
        <is>
          <t>—</t>
        </is>
      </c>
      <c r="Y632" s="28" t="inlineStr">
        <is>
          <t>View Photo</t>
        </is>
      </c>
    </row>
    <row r="633">
      <c r="A633" s="23" t="inlineStr">
        <is>
          <t>D0632</t>
        </is>
      </c>
      <c r="B633" s="23" t="inlineStr">
        <is>
          <t>08/20/2026</t>
        </is>
      </c>
      <c r="C633" s="23" t="inlineStr">
        <is>
          <t>08/20/2026 01:17 PM</t>
        </is>
      </c>
      <c r="D633" s="23" t="inlineStr">
        <is>
          <t>mickey obrien</t>
        </is>
      </c>
      <c r="E633" s="23" t="inlineStr">
        <is>
          <t>Sales Associate</t>
        </is>
      </c>
      <c r="F633" s="23" t="inlineStr">
        <is>
          <t>Michael Engel</t>
        </is>
      </c>
      <c r="G633" s="23" t="inlineStr">
        <is>
          <t>49044</t>
        </is>
      </c>
      <c r="H633" s="23" t="inlineStr">
        <is>
          <t>LINWOOD WINE-HUDSON LIGHT</t>
        </is>
      </c>
      <c r="I633" s="23" t="inlineStr">
        <is>
          <t>FORT LEE</t>
        </is>
      </c>
      <c r="J633" s="23" t="inlineStr">
        <is>
          <t>All Other: KIRIN BREWERY COMPANY</t>
        </is>
      </c>
      <c r="K633" s="27" t="n">
        <v>0</v>
      </c>
      <c r="L633" s="23" t="inlineStr">
        <is>
          <t>Non-qualifying (&lt;10)</t>
        </is>
      </c>
      <c r="M633" s="24" t="n">
        <v>0</v>
      </c>
      <c r="N633" s="24" t="n">
        <v>0</v>
      </c>
      <c r="O633" s="23" t="inlineStr">
        <is>
          <t>All Other</t>
        </is>
      </c>
      <c r="P633" s="24" t="n">
        <v>0</v>
      </c>
      <c r="Q633" s="23" t="inlineStr">
        <is>
          <t>No</t>
        </is>
      </c>
      <c r="R633" s="23" t="inlineStr">
        <is>
          <t>KIRIN</t>
        </is>
      </c>
      <c r="S633" s="23" t="inlineStr">
        <is>
          <t>KIRIN</t>
        </is>
      </c>
      <c r="T633" s="23" t="inlineStr">
        <is>
          <t>KIRIN BREWERY COMPANY</t>
        </is>
      </c>
      <c r="U633" s="27" t="n">
        <v>1</v>
      </c>
      <c r="V633" s="23" t="inlineStr">
        <is>
          <t>No</t>
        </is>
      </c>
      <c r="W633" s="23" t="inlineStr">
        <is>
          <t>All Other: KIRIN BREWERY COMPANY (0)</t>
        </is>
      </c>
      <c r="X633" s="23" t="inlineStr">
        <is>
          <t>—</t>
        </is>
      </c>
      <c r="Y633" s="28" t="inlineStr">
        <is>
          <t>View Photo</t>
        </is>
      </c>
    </row>
    <row r="634">
      <c r="A634" s="23" t="inlineStr">
        <is>
          <t>D0633</t>
        </is>
      </c>
      <c r="B634" s="23" t="inlineStr">
        <is>
          <t>08/20/2026</t>
        </is>
      </c>
      <c r="C634" s="23" t="inlineStr">
        <is>
          <t>08/20/2026 01:24 PM</t>
        </is>
      </c>
      <c r="D634" s="23" t="inlineStr">
        <is>
          <t>mickey obrien</t>
        </is>
      </c>
      <c r="E634" s="23" t="inlineStr">
        <is>
          <t>Sales Associate</t>
        </is>
      </c>
      <c r="F634" s="23" t="inlineStr">
        <is>
          <t>Michael Engel</t>
        </is>
      </c>
      <c r="G634" s="23" t="inlineStr">
        <is>
          <t>49044</t>
        </is>
      </c>
      <c r="H634" s="23" t="inlineStr">
        <is>
          <t>LINWOOD WINE-HUDSON LIGHT</t>
        </is>
      </c>
      <c r="I634" s="23" t="inlineStr">
        <is>
          <t>FORT LEE</t>
        </is>
      </c>
      <c r="J634" s="23" t="inlineStr">
        <is>
          <t>Molson Coors</t>
        </is>
      </c>
      <c r="K634" s="27" t="n">
        <v>0</v>
      </c>
      <c r="L634" s="23" t="inlineStr">
        <is>
          <t>Non-qualifying (&lt;10)</t>
        </is>
      </c>
      <c r="M634" s="24" t="n">
        <v>0</v>
      </c>
      <c r="N634" s="24" t="n">
        <v>0</v>
      </c>
      <c r="O634" s="23" t="inlineStr">
        <is>
          <t>Priority</t>
        </is>
      </c>
      <c r="P634" s="24" t="n">
        <v>0</v>
      </c>
      <c r="Q634" s="23" t="inlineStr">
        <is>
          <t>No</t>
        </is>
      </c>
      <c r="R634" s="23" t="inlineStr">
        <is>
          <t>COORS LIGHT</t>
        </is>
      </c>
      <c r="S634" s="23" t="inlineStr">
        <is>
          <t>COORS LIGHT</t>
        </is>
      </c>
      <c r="T634" s="23" t="inlineStr">
        <is>
          <t>MOLSON COORS BEVERAGE COMPANY</t>
        </is>
      </c>
      <c r="U634" s="27" t="n">
        <v>1</v>
      </c>
      <c r="V634" s="23" t="inlineStr">
        <is>
          <t>No</t>
        </is>
      </c>
      <c r="W634" s="23" t="inlineStr">
        <is>
          <t>Molson Coors (0)</t>
        </is>
      </c>
      <c r="X634" s="23" t="inlineStr">
        <is>
          <t>—</t>
        </is>
      </c>
      <c r="Y634" s="28" t="inlineStr">
        <is>
          <t>View Photo</t>
        </is>
      </c>
    </row>
    <row r="635">
      <c r="A635" s="23" t="inlineStr">
        <is>
          <t>D0634</t>
        </is>
      </c>
      <c r="B635" s="23" t="inlineStr">
        <is>
          <t>08/20/2026</t>
        </is>
      </c>
      <c r="C635" s="23" t="inlineStr">
        <is>
          <t>08/20/2026 09:59 AM</t>
        </is>
      </c>
      <c r="D635" s="23" t="inlineStr">
        <is>
          <t>David Fletcher</t>
        </is>
      </c>
      <c r="E635" s="23" t="inlineStr">
        <is>
          <t>Sales Associate</t>
        </is>
      </c>
      <c r="F635" s="23" t="inlineStr">
        <is>
          <t>Michael Engel</t>
        </is>
      </c>
      <c r="G635" s="23" t="inlineStr">
        <is>
          <t>78013</t>
        </is>
      </c>
      <c r="H635" s="23" t="inlineStr">
        <is>
          <t>J R W &amp; LIQ (A)</t>
        </is>
      </c>
      <c r="I635" s="23" t="inlineStr">
        <is>
          <t>ROCHELLE PARK</t>
        </is>
      </c>
      <c r="J635" s="23" t="inlineStr">
        <is>
          <t>Constellation</t>
        </is>
      </c>
      <c r="K635" s="27" t="n">
        <v>0</v>
      </c>
      <c r="L635" s="23" t="inlineStr">
        <is>
          <t>Non-qualifying (&lt;10)</t>
        </is>
      </c>
      <c r="M635" s="24" t="n">
        <v>0</v>
      </c>
      <c r="N635" s="24" t="n">
        <v>0</v>
      </c>
      <c r="O635" s="23" t="inlineStr">
        <is>
          <t>Priority</t>
        </is>
      </c>
      <c r="P635" s="24" t="n">
        <v>0</v>
      </c>
      <c r="Q635" s="23" t="inlineStr">
        <is>
          <t>No</t>
        </is>
      </c>
      <c r="R635" s="23" t="inlineStr">
        <is>
          <t>COORS LIGHT</t>
        </is>
      </c>
      <c r="S635" s="23" t="inlineStr">
        <is>
          <t>COORS LIGHT, CORONA EXTRA</t>
        </is>
      </c>
      <c r="T635" s="23" t="inlineStr">
        <is>
          <t>CONSTELLATION BRANDS, MOLSON COORS BEVERAGE COMPANY</t>
        </is>
      </c>
      <c r="U635" s="27" t="n">
        <v>2</v>
      </c>
      <c r="V635" s="23" t="inlineStr">
        <is>
          <t>Yes</t>
        </is>
      </c>
      <c r="W635" s="23" t="inlineStr">
        <is>
          <t>Molson Coors (0) + Constellation (0)</t>
        </is>
      </c>
      <c r="X635" s="23" t="inlineStr">
        <is>
          <t>—</t>
        </is>
      </c>
      <c r="Y635" s="28" t="inlineStr">
        <is>
          <t>View Photo</t>
        </is>
      </c>
    </row>
    <row r="636">
      <c r="A636" s="23" t="inlineStr">
        <is>
          <t>D0635</t>
        </is>
      </c>
      <c r="B636" s="23" t="inlineStr">
        <is>
          <t>08/20/2026</t>
        </is>
      </c>
      <c r="C636" s="23" t="inlineStr">
        <is>
          <t>08/20/2026 10:25 AM</t>
        </is>
      </c>
      <c r="D636" s="23" t="inlineStr">
        <is>
          <t>David Fletcher</t>
        </is>
      </c>
      <c r="E636" s="23" t="inlineStr">
        <is>
          <t>Sales Associate</t>
        </is>
      </c>
      <c r="F636" s="23" t="inlineStr">
        <is>
          <t>Michael Engel</t>
        </is>
      </c>
      <c r="G636" s="23" t="inlineStr">
        <is>
          <t>38019</t>
        </is>
      </c>
      <c r="H636" s="23" t="inlineStr">
        <is>
          <t>CIRCLE LIQUORS</t>
        </is>
      </c>
      <c r="I636" s="23" t="inlineStr">
        <is>
          <t>LODI</t>
        </is>
      </c>
      <c r="J636" s="23" t="inlineStr">
        <is>
          <t>Constellation</t>
        </is>
      </c>
      <c r="K636" s="27" t="n">
        <v>0</v>
      </c>
      <c r="L636" s="23" t="inlineStr">
        <is>
          <t>Non-qualifying (&lt;10)</t>
        </is>
      </c>
      <c r="M636" s="24" t="n">
        <v>0</v>
      </c>
      <c r="N636" s="24" t="n">
        <v>0</v>
      </c>
      <c r="O636" s="23" t="inlineStr">
        <is>
          <t>Priority</t>
        </is>
      </c>
      <c r="P636" s="24" t="n">
        <v>0</v>
      </c>
      <c r="Q636" s="23" t="inlineStr">
        <is>
          <t>No</t>
        </is>
      </c>
      <c r="R636" s="23" t="inlineStr">
        <is>
          <t>CORONA EXTRA</t>
        </is>
      </c>
      <c r="S636" s="23" t="inlineStr">
        <is>
          <t>CORONA EXTRA, MODELO CERVEZA</t>
        </is>
      </c>
      <c r="T636" s="23" t="inlineStr">
        <is>
          <t>CONSTELLATION BRANDS</t>
        </is>
      </c>
      <c r="U636" s="27" t="n">
        <v>2</v>
      </c>
      <c r="V636" s="23" t="inlineStr">
        <is>
          <t>No</t>
        </is>
      </c>
      <c r="W636" s="23" t="inlineStr">
        <is>
          <t>Constellation (0)</t>
        </is>
      </c>
      <c r="X636" s="23" t="inlineStr">
        <is>
          <t>—</t>
        </is>
      </c>
      <c r="Y636" s="28" t="inlineStr">
        <is>
          <t>View Photo</t>
        </is>
      </c>
    </row>
    <row r="637">
      <c r="A637" s="23" t="inlineStr">
        <is>
          <t>D0636</t>
        </is>
      </c>
      <c r="B637" s="23" t="inlineStr">
        <is>
          <t>08/20/2026</t>
        </is>
      </c>
      <c r="C637" s="23" t="inlineStr">
        <is>
          <t>08/20/2026 11:12 AM</t>
        </is>
      </c>
      <c r="D637" s="23" t="inlineStr">
        <is>
          <t>David Fletcher</t>
        </is>
      </c>
      <c r="E637" s="23" t="inlineStr">
        <is>
          <t>Sales Associate</t>
        </is>
      </c>
      <c r="F637" s="23" t="inlineStr">
        <is>
          <t>Michael Engel</t>
        </is>
      </c>
      <c r="G637" s="23" t="inlineStr">
        <is>
          <t>34009</t>
        </is>
      </c>
      <c r="H637" s="23" t="inlineStr">
        <is>
          <t>THE WINE RACK HASBROUCK HTS</t>
        </is>
      </c>
      <c r="I637" s="23" t="inlineStr">
        <is>
          <t>HASBROUCK HEIGHTS</t>
        </is>
      </c>
      <c r="J637" s="23" t="inlineStr">
        <is>
          <t>Constellation</t>
        </is>
      </c>
      <c r="K637" s="27" t="n">
        <v>0</v>
      </c>
      <c r="L637" s="23" t="inlineStr">
        <is>
          <t>Non-qualifying (&lt;10)</t>
        </is>
      </c>
      <c r="M637" s="24" t="n">
        <v>0</v>
      </c>
      <c r="N637" s="24" t="n">
        <v>0</v>
      </c>
      <c r="O637" s="23" t="inlineStr">
        <is>
          <t>Priority</t>
        </is>
      </c>
      <c r="P637" s="24" t="n">
        <v>0</v>
      </c>
      <c r="Q637" s="23" t="inlineStr">
        <is>
          <t>No</t>
        </is>
      </c>
      <c r="R637" s="23" t="inlineStr">
        <is>
          <t>CORONA EXTRA</t>
        </is>
      </c>
      <c r="S637" s="23" t="inlineStr">
        <is>
          <t>CORONA EXTRA</t>
        </is>
      </c>
      <c r="T637" s="23" t="inlineStr">
        <is>
          <t>CONSTELLATION BRANDS</t>
        </is>
      </c>
      <c r="U637" s="27" t="n">
        <v>1</v>
      </c>
      <c r="V637" s="23" t="inlineStr">
        <is>
          <t>No</t>
        </is>
      </c>
      <c r="W637" s="23" t="inlineStr">
        <is>
          <t>Constellation (0)</t>
        </is>
      </c>
      <c r="X637" s="23" t="inlineStr">
        <is>
          <t>—</t>
        </is>
      </c>
      <c r="Y637" s="28" t="inlineStr">
        <is>
          <t>View Photo</t>
        </is>
      </c>
    </row>
    <row r="638">
      <c r="A638" s="23" t="inlineStr">
        <is>
          <t>D0637</t>
        </is>
      </c>
      <c r="B638" s="23" t="inlineStr">
        <is>
          <t>08/20/2026</t>
        </is>
      </c>
      <c r="C638" s="23" t="inlineStr">
        <is>
          <t>08/20/2026 12:03 PM</t>
        </is>
      </c>
      <c r="D638" s="23" t="inlineStr">
        <is>
          <t>patrick infante</t>
        </is>
      </c>
      <c r="E638" s="23" t="inlineStr">
        <is>
          <t>Sales Associate</t>
        </is>
      </c>
      <c r="F638" s="23" t="inlineStr">
        <is>
          <t>Denise Montes</t>
        </is>
      </c>
      <c r="G638" s="23" t="inlineStr">
        <is>
          <t>77009</t>
        </is>
      </c>
      <c r="H638" s="23" t="inlineStr">
        <is>
          <t>M &amp; M WINE &amp; SPIRITS</t>
        </is>
      </c>
      <c r="I638" s="23" t="inlineStr">
        <is>
          <t>ELMWOOD PARK</t>
        </is>
      </c>
      <c r="J638" s="23" t="inlineStr">
        <is>
          <t>Constellation</t>
        </is>
      </c>
      <c r="K638" s="27" t="n">
        <v>0</v>
      </c>
      <c r="L638" s="23" t="inlineStr">
        <is>
          <t>Non-qualifying (&lt;10)</t>
        </is>
      </c>
      <c r="M638" s="24" t="n">
        <v>0</v>
      </c>
      <c r="N638" s="24" t="n">
        <v>0</v>
      </c>
      <c r="O638" s="23" t="inlineStr">
        <is>
          <t>Priority</t>
        </is>
      </c>
      <c r="P638" s="24" t="n">
        <v>0</v>
      </c>
      <c r="Q638" s="23" t="inlineStr">
        <is>
          <t>No</t>
        </is>
      </c>
      <c r="R638" s="23" t="inlineStr">
        <is>
          <t>MODELO CERVEZA</t>
        </is>
      </c>
      <c r="S638" s="23" t="inlineStr">
        <is>
          <t>MODELO CERVEZA</t>
        </is>
      </c>
      <c r="T638" s="23" t="inlineStr">
        <is>
          <t>CONSTELLATION BRANDS</t>
        </is>
      </c>
      <c r="U638" s="27" t="n">
        <v>1</v>
      </c>
      <c r="V638" s="23" t="inlineStr">
        <is>
          <t>No</t>
        </is>
      </c>
      <c r="W638" s="23" t="inlineStr">
        <is>
          <t>Constellation (0)</t>
        </is>
      </c>
      <c r="X638" s="23" t="inlineStr">
        <is>
          <t>—</t>
        </is>
      </c>
      <c r="Y638" s="28" t="inlineStr">
        <is>
          <t>View Photo</t>
        </is>
      </c>
    </row>
    <row r="639">
      <c r="A639" s="23" t="inlineStr">
        <is>
          <t>D0638</t>
        </is>
      </c>
      <c r="B639" s="23" t="inlineStr">
        <is>
          <t>08/20/2026</t>
        </is>
      </c>
      <c r="C639" s="23" t="inlineStr">
        <is>
          <t>08/20/2026 12:04 PM</t>
        </is>
      </c>
      <c r="D639" s="23" t="inlineStr">
        <is>
          <t>patrick infante</t>
        </is>
      </c>
      <c r="E639" s="23" t="inlineStr">
        <is>
          <t>Sales Associate</t>
        </is>
      </c>
      <c r="F639" s="23" t="inlineStr">
        <is>
          <t>Denise Montes</t>
        </is>
      </c>
      <c r="G639" s="23" t="inlineStr">
        <is>
          <t>77009</t>
        </is>
      </c>
      <c r="H639" s="23" t="inlineStr">
        <is>
          <t>M &amp; M WINE &amp; SPIRITS</t>
        </is>
      </c>
      <c r="I639" s="23" t="inlineStr">
        <is>
          <t>ELMWOOD PARK</t>
        </is>
      </c>
      <c r="J639" s="23" t="inlineStr">
        <is>
          <t>Boston Beer</t>
        </is>
      </c>
      <c r="K639" s="27" t="n">
        <v>0</v>
      </c>
      <c r="L639" s="23" t="inlineStr">
        <is>
          <t>Non-qualifying (&lt;10)</t>
        </is>
      </c>
      <c r="M639" s="24" t="n">
        <v>0</v>
      </c>
      <c r="N639" s="24" t="n">
        <v>0</v>
      </c>
      <c r="O639" s="23" t="inlineStr">
        <is>
          <t>Priority</t>
        </is>
      </c>
      <c r="P639" s="24" t="n">
        <v>0</v>
      </c>
      <c r="Q639" s="23" t="inlineStr">
        <is>
          <t>No</t>
        </is>
      </c>
      <c r="R639" s="23" t="inlineStr">
        <is>
          <t>CORONA EXTRA</t>
        </is>
      </c>
      <c r="S639" s="23" t="inlineStr">
        <is>
          <t>CORONA EXTRA, SUN CRUISER ICED TEA VODKA</t>
        </is>
      </c>
      <c r="T639" s="23" t="inlineStr">
        <is>
          <t>BOSTON BEER COMPANY, CONSTELLATION BRANDS</t>
        </is>
      </c>
      <c r="U639" s="27" t="n">
        <v>2</v>
      </c>
      <c r="V639" s="23" t="inlineStr">
        <is>
          <t>Yes</t>
        </is>
      </c>
      <c r="W639" s="23" t="inlineStr">
        <is>
          <t>Constellation (0) + Boston Beer (0)</t>
        </is>
      </c>
      <c r="X639" s="23" t="inlineStr">
        <is>
          <t>—</t>
        </is>
      </c>
      <c r="Y639" s="28" t="inlineStr">
        <is>
          <t>View Photo</t>
        </is>
      </c>
    </row>
    <row r="640">
      <c r="A640" s="23" t="inlineStr">
        <is>
          <t>D0639</t>
        </is>
      </c>
      <c r="B640" s="23" t="inlineStr">
        <is>
          <t>08/20/2026</t>
        </is>
      </c>
      <c r="C640" s="23" t="inlineStr">
        <is>
          <t>08/20/2026 12:18 PM</t>
        </is>
      </c>
      <c r="D640" s="23" t="inlineStr">
        <is>
          <t>patrick infante</t>
        </is>
      </c>
      <c r="E640" s="23" t="inlineStr">
        <is>
          <t>Sales Associate</t>
        </is>
      </c>
      <c r="F640" s="23" t="inlineStr">
        <is>
          <t>Denise Montes</t>
        </is>
      </c>
      <c r="G640" s="23" t="inlineStr">
        <is>
          <t>77001</t>
        </is>
      </c>
      <c r="H640" s="23" t="inlineStr">
        <is>
          <t>FOOD MART LIQUOR</t>
        </is>
      </c>
      <c r="I640" s="23" t="inlineStr">
        <is>
          <t>ELMWOOD PARK</t>
        </is>
      </c>
      <c r="J640" s="23" t="inlineStr">
        <is>
          <t>Constellation</t>
        </is>
      </c>
      <c r="K640" s="27" t="n">
        <v>0</v>
      </c>
      <c r="L640" s="23" t="inlineStr">
        <is>
          <t>Non-qualifying (&lt;10)</t>
        </is>
      </c>
      <c r="M640" s="24" t="n">
        <v>0</v>
      </c>
      <c r="N640" s="24" t="n">
        <v>0</v>
      </c>
      <c r="O640" s="23" t="inlineStr">
        <is>
          <t>Priority</t>
        </is>
      </c>
      <c r="P640" s="24" t="n">
        <v>0</v>
      </c>
      <c r="Q640" s="23" t="inlineStr">
        <is>
          <t>No</t>
        </is>
      </c>
      <c r="R640" s="23" t="inlineStr">
        <is>
          <t>CORONA EXTRA</t>
        </is>
      </c>
      <c r="S640" s="23" t="inlineStr">
        <is>
          <t>CORONA EXTRA</t>
        </is>
      </c>
      <c r="T640" s="23" t="inlineStr">
        <is>
          <t>CONSTELLATION BRANDS</t>
        </is>
      </c>
      <c r="U640" s="27" t="n">
        <v>1</v>
      </c>
      <c r="V640" s="23" t="inlineStr">
        <is>
          <t>No</t>
        </is>
      </c>
      <c r="W640" s="23" t="inlineStr">
        <is>
          <t>Constellation (0)</t>
        </is>
      </c>
      <c r="X640" s="23" t="inlineStr">
        <is>
          <t>—</t>
        </is>
      </c>
      <c r="Y640" s="28" t="inlineStr">
        <is>
          <t>View Photo</t>
        </is>
      </c>
    </row>
    <row r="641">
      <c r="A641" s="23" t="inlineStr">
        <is>
          <t>D0640</t>
        </is>
      </c>
      <c r="B641" s="23" t="inlineStr">
        <is>
          <t>08/20/2026</t>
        </is>
      </c>
      <c r="C641" s="23" t="inlineStr">
        <is>
          <t>08/20/2026 12:19 PM</t>
        </is>
      </c>
      <c r="D641" s="23" t="inlineStr">
        <is>
          <t>patrick infante</t>
        </is>
      </c>
      <c r="E641" s="23" t="inlineStr">
        <is>
          <t>Sales Associate</t>
        </is>
      </c>
      <c r="F641" s="23" t="inlineStr">
        <is>
          <t>Denise Montes</t>
        </is>
      </c>
      <c r="G641" s="23" t="inlineStr">
        <is>
          <t>77001</t>
        </is>
      </c>
      <c r="H641" s="23" t="inlineStr">
        <is>
          <t>FOOD MART LIQUOR</t>
        </is>
      </c>
      <c r="I641" s="23" t="inlineStr">
        <is>
          <t>ELMWOOD PARK</t>
        </is>
      </c>
      <c r="J641" s="23" t="inlineStr">
        <is>
          <t>Constellation</t>
        </is>
      </c>
      <c r="K641" s="27" t="n">
        <v>0</v>
      </c>
      <c r="L641" s="23" t="inlineStr">
        <is>
          <t>Non-qualifying (&lt;10)</t>
        </is>
      </c>
      <c r="M641" s="24" t="n">
        <v>0</v>
      </c>
      <c r="N641" s="24" t="n">
        <v>0</v>
      </c>
      <c r="O641" s="23" t="inlineStr">
        <is>
          <t>Priority</t>
        </is>
      </c>
      <c r="P641" s="24" t="n">
        <v>0</v>
      </c>
      <c r="Q641" s="23" t="inlineStr">
        <is>
          <t>No</t>
        </is>
      </c>
      <c r="R641" s="23" t="inlineStr">
        <is>
          <t>MODELO CERVEZA</t>
        </is>
      </c>
      <c r="S641" s="23" t="inlineStr">
        <is>
          <t>MODELO CERVEZA</t>
        </is>
      </c>
      <c r="T641" s="23" t="inlineStr">
        <is>
          <t>CONSTELLATION BRANDS</t>
        </is>
      </c>
      <c r="U641" s="27" t="n">
        <v>1</v>
      </c>
      <c r="V641" s="23" t="inlineStr">
        <is>
          <t>No</t>
        </is>
      </c>
      <c r="W641" s="23" t="inlineStr">
        <is>
          <t>Constellation (0)</t>
        </is>
      </c>
      <c r="X641" s="23" t="inlineStr">
        <is>
          <t>—</t>
        </is>
      </c>
      <c r="Y641" s="28" t="inlineStr">
        <is>
          <t>View Photo</t>
        </is>
      </c>
    </row>
    <row r="642">
      <c r="A642" s="23" t="inlineStr">
        <is>
          <t>D0641</t>
        </is>
      </c>
      <c r="B642" s="23" t="inlineStr">
        <is>
          <t>08/20/2026</t>
        </is>
      </c>
      <c r="C642" s="23" t="inlineStr">
        <is>
          <t>08/20/2026 12:40 PM</t>
        </is>
      </c>
      <c r="D642" s="23" t="inlineStr">
        <is>
          <t>patrick infante</t>
        </is>
      </c>
      <c r="E642" s="23" t="inlineStr">
        <is>
          <t>Sales Associate</t>
        </is>
      </c>
      <c r="F642" s="23" t="inlineStr">
        <is>
          <t>Denise Montes</t>
        </is>
      </c>
      <c r="G642" s="23" t="inlineStr">
        <is>
          <t>25031</t>
        </is>
      </c>
      <c r="H642" s="23" t="inlineStr">
        <is>
          <t>LEXINGTON LIQUORS (Z)</t>
        </is>
      </c>
      <c r="I642" s="23" t="inlineStr">
        <is>
          <t>CLIFTON</t>
        </is>
      </c>
      <c r="J642" s="23" t="inlineStr">
        <is>
          <t>Constellation</t>
        </is>
      </c>
      <c r="K642" s="27" t="n">
        <v>0</v>
      </c>
      <c r="L642" s="23" t="inlineStr">
        <is>
          <t>Non-qualifying (&lt;10)</t>
        </is>
      </c>
      <c r="M642" s="24" t="n">
        <v>0</v>
      </c>
      <c r="N642" s="24" t="n">
        <v>0</v>
      </c>
      <c r="O642" s="23" t="inlineStr">
        <is>
          <t>Priority</t>
        </is>
      </c>
      <c r="P642" s="24" t="n">
        <v>0</v>
      </c>
      <c r="Q642" s="23" t="inlineStr">
        <is>
          <t>No</t>
        </is>
      </c>
      <c r="R642" s="23" t="inlineStr">
        <is>
          <t>MODELO CERVEZA</t>
        </is>
      </c>
      <c r="S642" s="23" t="inlineStr">
        <is>
          <t>MODELO CERVEZA</t>
        </is>
      </c>
      <c r="T642" s="23" t="inlineStr">
        <is>
          <t>CONSTELLATION BRANDS</t>
        </is>
      </c>
      <c r="U642" s="27" t="n">
        <v>1</v>
      </c>
      <c r="V642" s="23" t="inlineStr">
        <is>
          <t>No</t>
        </is>
      </c>
      <c r="W642" s="23" t="inlineStr">
        <is>
          <t>Constellation (0)</t>
        </is>
      </c>
      <c r="X642" s="23" t="inlineStr">
        <is>
          <t>—</t>
        </is>
      </c>
      <c r="Y642" s="28" t="inlineStr">
        <is>
          <t>View Photo</t>
        </is>
      </c>
    </row>
    <row r="643">
      <c r="A643" s="23" t="inlineStr">
        <is>
          <t>D0642</t>
        </is>
      </c>
      <c r="B643" s="23" t="inlineStr">
        <is>
          <t>08/21/2026</t>
        </is>
      </c>
      <c r="C643" s="23" t="inlineStr">
        <is>
          <t>08/21/2026 11:23 AM</t>
        </is>
      </c>
      <c r="D643" s="23" t="inlineStr">
        <is>
          <t>patrick infante</t>
        </is>
      </c>
      <c r="E643" s="23" t="inlineStr">
        <is>
          <t>Sales Associate</t>
        </is>
      </c>
      <c r="F643" s="23" t="inlineStr">
        <is>
          <t>Denise Montes</t>
        </is>
      </c>
      <c r="G643" s="23" t="inlineStr">
        <is>
          <t>23004</t>
        </is>
      </c>
      <c r="H643" s="23" t="inlineStr">
        <is>
          <t>SHOP RITE WINES/SPIRITS</t>
        </is>
      </c>
      <c r="I643" s="23" t="inlineStr">
        <is>
          <t>CLIFTON</t>
        </is>
      </c>
      <c r="J643" s="23" t="inlineStr">
        <is>
          <t>All Other: 1925 SPIRITS LLC</t>
        </is>
      </c>
      <c r="K643" s="27" t="n">
        <v>0</v>
      </c>
      <c r="L643" s="23" t="inlineStr">
        <is>
          <t>Non-qualifying (&lt;10)</t>
        </is>
      </c>
      <c r="M643" s="24" t="n">
        <v>0</v>
      </c>
      <c r="N643" s="24" t="n">
        <v>0</v>
      </c>
      <c r="O643" s="23" t="inlineStr">
        <is>
          <t>All Other</t>
        </is>
      </c>
      <c r="P643" s="24" t="n">
        <v>0</v>
      </c>
      <c r="Q643" s="23" t="inlineStr">
        <is>
          <t>No</t>
        </is>
      </c>
      <c r="R643" s="23" t="inlineStr">
        <is>
          <t>LEYENDA 1925</t>
        </is>
      </c>
      <c r="S643" s="23" t="inlineStr">
        <is>
          <t>LEYENDA 1925</t>
        </is>
      </c>
      <c r="T643" s="23" t="inlineStr">
        <is>
          <t>1925 SPIRITS LLC</t>
        </is>
      </c>
      <c r="U643" s="27" t="n">
        <v>1</v>
      </c>
      <c r="V643" s="23" t="inlineStr">
        <is>
          <t>No</t>
        </is>
      </c>
      <c r="W643" s="23" t="inlineStr">
        <is>
          <t>All Other: 1925 SPIRITS LLC (0)</t>
        </is>
      </c>
      <c r="X643" s="23" t="inlineStr">
        <is>
          <t>—</t>
        </is>
      </c>
      <c r="Y643" s="28" t="inlineStr">
        <is>
          <t>View Photo</t>
        </is>
      </c>
    </row>
    <row r="644">
      <c r="A644" s="23" t="inlineStr">
        <is>
          <t>D0643</t>
        </is>
      </c>
      <c r="B644" s="23" t="inlineStr">
        <is>
          <t>08/24/2026</t>
        </is>
      </c>
      <c r="C644" s="23" t="inlineStr">
        <is>
          <t>08/24/2026 09:23 AM</t>
        </is>
      </c>
      <c r="D644" s="23" t="inlineStr">
        <is>
          <t>patrick infante</t>
        </is>
      </c>
      <c r="E644" s="23" t="inlineStr">
        <is>
          <t>Sales Associate</t>
        </is>
      </c>
      <c r="F644" s="23" t="inlineStr">
        <is>
          <t>Denise Montes</t>
        </is>
      </c>
      <c r="G644" s="23" t="inlineStr">
        <is>
          <t>42002</t>
        </is>
      </c>
      <c r="H644" s="23" t="inlineStr">
        <is>
          <t>L. F. WINE COUNTRY (P)</t>
        </is>
      </c>
      <c r="I644" s="23" t="inlineStr">
        <is>
          <t>LITTLE FERRY</t>
        </is>
      </c>
      <c r="J644" s="23" t="inlineStr">
        <is>
          <t>Constellation</t>
        </is>
      </c>
      <c r="K644" s="27" t="n">
        <v>0</v>
      </c>
      <c r="L644" s="23" t="inlineStr">
        <is>
          <t>Non-qualifying (&lt;10)</t>
        </is>
      </c>
      <c r="M644" s="24" t="n">
        <v>0</v>
      </c>
      <c r="N644" s="24" t="n">
        <v>0</v>
      </c>
      <c r="O644" s="23" t="inlineStr">
        <is>
          <t>Priority</t>
        </is>
      </c>
      <c r="P644" s="24" t="n">
        <v>0</v>
      </c>
      <c r="Q644" s="23" t="inlineStr">
        <is>
          <t>No</t>
        </is>
      </c>
      <c r="R644" s="23" t="inlineStr">
        <is>
          <t>MODELO CERVEZA</t>
        </is>
      </c>
      <c r="S644" s="23" t="inlineStr">
        <is>
          <t>MODELO CERVEZA</t>
        </is>
      </c>
      <c r="T644" s="23" t="inlineStr">
        <is>
          <t>CONSTELLATION BRANDS</t>
        </is>
      </c>
      <c r="U644" s="27" t="n">
        <v>1</v>
      </c>
      <c r="V644" s="23" t="inlineStr">
        <is>
          <t>No</t>
        </is>
      </c>
      <c r="W644" s="23" t="inlineStr">
        <is>
          <t>Constellation (0)</t>
        </is>
      </c>
      <c r="X644" s="23" t="inlineStr">
        <is>
          <t>—</t>
        </is>
      </c>
      <c r="Y644" s="28" t="inlineStr">
        <is>
          <t>View Photo</t>
        </is>
      </c>
    </row>
    <row r="645">
      <c r="A645" s="23" t="inlineStr">
        <is>
          <t>D0644</t>
        </is>
      </c>
      <c r="B645" s="23" t="inlineStr">
        <is>
          <t>08/24/2026</t>
        </is>
      </c>
      <c r="C645" s="23" t="inlineStr">
        <is>
          <t>08/24/2026 09:55 AM</t>
        </is>
      </c>
      <c r="D645" s="23" t="inlineStr">
        <is>
          <t>patrick infante</t>
        </is>
      </c>
      <c r="E645" s="23" t="inlineStr">
        <is>
          <t>Sales Associate</t>
        </is>
      </c>
      <c r="F645" s="23" t="inlineStr">
        <is>
          <t>Denise Montes</t>
        </is>
      </c>
      <c r="G645" s="23" t="inlineStr">
        <is>
          <t>36007</t>
        </is>
      </c>
      <c r="H645" s="23" t="inlineStr">
        <is>
          <t>SHOP RITE OF WALLINGTON</t>
        </is>
      </c>
      <c r="I645" s="23" t="inlineStr">
        <is>
          <t>WALLINGTON</t>
        </is>
      </c>
      <c r="J645" s="23" t="inlineStr">
        <is>
          <t>Constellation</t>
        </is>
      </c>
      <c r="K645" s="27" t="n">
        <v>0</v>
      </c>
      <c r="L645" s="23" t="inlineStr">
        <is>
          <t>Non-qualifying (&lt;10)</t>
        </is>
      </c>
      <c r="M645" s="24" t="n">
        <v>0</v>
      </c>
      <c r="N645" s="24" t="n">
        <v>0</v>
      </c>
      <c r="O645" s="23" t="inlineStr">
        <is>
          <t>Priority</t>
        </is>
      </c>
      <c r="P645" s="24" t="n">
        <v>0</v>
      </c>
      <c r="Q645" s="23" t="inlineStr">
        <is>
          <t>No</t>
        </is>
      </c>
      <c r="R645" s="23" t="inlineStr">
        <is>
          <t>MODELO CERVEZA</t>
        </is>
      </c>
      <c r="S645" s="23" t="inlineStr">
        <is>
          <t>MODELO CERVEZA</t>
        </is>
      </c>
      <c r="T645" s="23" t="inlineStr">
        <is>
          <t>CONSTELLATION BRANDS</t>
        </is>
      </c>
      <c r="U645" s="27" t="n">
        <v>1</v>
      </c>
      <c r="V645" s="23" t="inlineStr">
        <is>
          <t>No</t>
        </is>
      </c>
      <c r="W645" s="23" t="inlineStr">
        <is>
          <t>Constellation (0)</t>
        </is>
      </c>
      <c r="X645" s="23" t="inlineStr">
        <is>
          <t>—</t>
        </is>
      </c>
      <c r="Y645" s="28" t="inlineStr">
        <is>
          <t>View Photo</t>
        </is>
      </c>
    </row>
    <row r="646">
      <c r="A646" s="23" t="inlineStr">
        <is>
          <t>D0645</t>
        </is>
      </c>
      <c r="B646" s="23" t="inlineStr">
        <is>
          <t>08/24/2026</t>
        </is>
      </c>
      <c r="C646" s="23" t="inlineStr">
        <is>
          <t>08/24/2026 12:15 PM</t>
        </is>
      </c>
      <c r="D646" s="23" t="inlineStr">
        <is>
          <t>David Fletcher</t>
        </is>
      </c>
      <c r="E646" s="23" t="inlineStr">
        <is>
          <t>Sales Associate</t>
        </is>
      </c>
      <c r="F646" s="23" t="inlineStr">
        <is>
          <t>Michael Engel</t>
        </is>
      </c>
      <c r="G646" s="23" t="inlineStr">
        <is>
          <t>38008</t>
        </is>
      </c>
      <c r="H646" s="23" t="inlineStr">
        <is>
          <t>SHOP RITE LIQ.(A)LODI</t>
        </is>
      </c>
      <c r="I646" s="23" t="inlineStr">
        <is>
          <t>LODI</t>
        </is>
      </c>
      <c r="J646" s="23" t="inlineStr">
        <is>
          <t>Constellation</t>
        </is>
      </c>
      <c r="K646" s="27" t="n">
        <v>0</v>
      </c>
      <c r="L646" s="23" t="inlineStr">
        <is>
          <t>Non-qualifying (&lt;10)</t>
        </is>
      </c>
      <c r="M646" s="24" t="n">
        <v>0</v>
      </c>
      <c r="N646" s="24" t="n">
        <v>0</v>
      </c>
      <c r="O646" s="23" t="inlineStr">
        <is>
          <t>Priority</t>
        </is>
      </c>
      <c r="P646" s="24" t="n">
        <v>0</v>
      </c>
      <c r="Q646" s="23" t="inlineStr">
        <is>
          <t>No</t>
        </is>
      </c>
      <c r="R646" s="23" t="inlineStr">
        <is>
          <t>CORONA EXTRA</t>
        </is>
      </c>
      <c r="S646" s="23" t="inlineStr">
        <is>
          <t>CORONA EXTRA, MILLER LITE</t>
        </is>
      </c>
      <c r="T646" s="23" t="inlineStr">
        <is>
          <t>CONSTELLATION BRANDS, MOLSON COORS BEVERAGE COMPANY</t>
        </is>
      </c>
      <c r="U646" s="27" t="n">
        <v>2</v>
      </c>
      <c r="V646" s="23" t="inlineStr">
        <is>
          <t>Yes</t>
        </is>
      </c>
      <c r="W646" s="23" t="inlineStr">
        <is>
          <t>Constellation (0) + Molson Coors (0)</t>
        </is>
      </c>
      <c r="X646" s="23" t="inlineStr">
        <is>
          <t>—</t>
        </is>
      </c>
      <c r="Y646" s="28" t="inlineStr">
        <is>
          <t>View Photo</t>
        </is>
      </c>
    </row>
    <row r="647">
      <c r="A647" s="23" t="inlineStr">
        <is>
          <t>D0646</t>
        </is>
      </c>
      <c r="B647" s="23" t="inlineStr">
        <is>
          <t>08/25/2026</t>
        </is>
      </c>
      <c r="C647" s="23" t="inlineStr">
        <is>
          <t>08/25/2026 11:59 AM</t>
        </is>
      </c>
      <c r="D647" s="23" t="inlineStr">
        <is>
          <t>patrick infante</t>
        </is>
      </c>
      <c r="E647" s="23" t="inlineStr">
        <is>
          <t>Sales Associate</t>
        </is>
      </c>
      <c r="F647" s="23" t="inlineStr">
        <is>
          <t>Denise Montes</t>
        </is>
      </c>
      <c r="G647" s="23" t="inlineStr">
        <is>
          <t>24011</t>
        </is>
      </c>
      <c r="H647" s="23" t="inlineStr">
        <is>
          <t>SHOPPERS VINEYARD (A)</t>
        </is>
      </c>
      <c r="I647" s="23" t="inlineStr">
        <is>
          <t>CLIFTON</t>
        </is>
      </c>
      <c r="J647" s="23" t="inlineStr">
        <is>
          <t>Constellation</t>
        </is>
      </c>
      <c r="K647" s="27" t="n">
        <v>0</v>
      </c>
      <c r="L647" s="23" t="inlineStr">
        <is>
          <t>Non-qualifying (&lt;10)</t>
        </is>
      </c>
      <c r="M647" s="24" t="n">
        <v>0</v>
      </c>
      <c r="N647" s="24" t="n">
        <v>0</v>
      </c>
      <c r="O647" s="23" t="inlineStr">
        <is>
          <t>Priority</t>
        </is>
      </c>
      <c r="P647" s="24" t="n">
        <v>0</v>
      </c>
      <c r="Q647" s="23" t="inlineStr">
        <is>
          <t>No</t>
        </is>
      </c>
      <c r="R647" s="23" t="inlineStr">
        <is>
          <t>MODELO CERVEZA</t>
        </is>
      </c>
      <c r="S647" s="23" t="inlineStr">
        <is>
          <t>MODELO CERVEZA</t>
        </is>
      </c>
      <c r="T647" s="23" t="inlineStr">
        <is>
          <t>CONSTELLATION BRANDS</t>
        </is>
      </c>
      <c r="U647" s="27" t="n">
        <v>1</v>
      </c>
      <c r="V647" s="23" t="inlineStr">
        <is>
          <t>No</t>
        </is>
      </c>
      <c r="W647" s="23" t="inlineStr">
        <is>
          <t>Constellation (0)</t>
        </is>
      </c>
      <c r="X647" s="23" t="inlineStr">
        <is>
          <t>—</t>
        </is>
      </c>
      <c r="Y647" s="28" t="inlineStr">
        <is>
          <t>View Photo</t>
        </is>
      </c>
    </row>
    <row r="648">
      <c r="A648" s="23" t="inlineStr">
        <is>
          <t>D0647</t>
        </is>
      </c>
      <c r="B648" s="23" t="inlineStr">
        <is>
          <t>08/26/2026</t>
        </is>
      </c>
      <c r="C648" s="23" t="inlineStr">
        <is>
          <t>08/26/2026 01:06 PM</t>
        </is>
      </c>
      <c r="D648" s="23" t="inlineStr">
        <is>
          <t>patrick infante</t>
        </is>
      </c>
      <c r="E648" s="23" t="inlineStr">
        <is>
          <t>Sales Associate</t>
        </is>
      </c>
      <c r="F648" s="23" t="inlineStr">
        <is>
          <t>Denise Montes</t>
        </is>
      </c>
      <c r="G648" s="23" t="inlineStr">
        <is>
          <t>13008</t>
        </is>
      </c>
      <c r="H648" s="23" t="inlineStr">
        <is>
          <t>LITTLE FALLS LIQ(P)</t>
        </is>
      </c>
      <c r="I648" s="23" t="inlineStr">
        <is>
          <t>LITTLE FALLS</t>
        </is>
      </c>
      <c r="J648" s="23" t="inlineStr">
        <is>
          <t>Boston Beer</t>
        </is>
      </c>
      <c r="K648" s="27" t="n">
        <v>0</v>
      </c>
      <c r="L648" s="23" t="inlineStr">
        <is>
          <t>Non-qualifying (&lt;10)</t>
        </is>
      </c>
      <c r="M648" s="24" t="n">
        <v>0</v>
      </c>
      <c r="N648" s="24" t="n">
        <v>0</v>
      </c>
      <c r="O648" s="23" t="inlineStr">
        <is>
          <t>Priority</t>
        </is>
      </c>
      <c r="P648" s="24" t="n">
        <v>0</v>
      </c>
      <c r="Q648" s="23" t="inlineStr">
        <is>
          <t>No</t>
        </is>
      </c>
      <c r="R648" s="23" t="inlineStr">
        <is>
          <t>SUN CRUISER ICED TEA VODKA</t>
        </is>
      </c>
      <c r="S648" s="23" t="inlineStr">
        <is>
          <t>SUN CRUISER ICED TEA VODKA</t>
        </is>
      </c>
      <c r="T648" s="23" t="inlineStr">
        <is>
          <t>BOSTON BEER COMPANY</t>
        </is>
      </c>
      <c r="U648" s="27" t="n">
        <v>1</v>
      </c>
      <c r="V648" s="23" t="inlineStr">
        <is>
          <t>No</t>
        </is>
      </c>
      <c r="W648" s="23" t="inlineStr">
        <is>
          <t>Boston Beer (0)</t>
        </is>
      </c>
      <c r="X648" s="23" t="inlineStr">
        <is>
          <t>—</t>
        </is>
      </c>
      <c r="Y648" s="28" t="inlineStr">
        <is>
          <t>View Photo</t>
        </is>
      </c>
    </row>
    <row r="649">
      <c r="A649" s="23" t="inlineStr">
        <is>
          <t>D0648</t>
        </is>
      </c>
      <c r="B649" s="23" t="inlineStr">
        <is>
          <t>08/26/2026</t>
        </is>
      </c>
      <c r="C649" s="23" t="inlineStr">
        <is>
          <t>08/26/2026 01:09 PM</t>
        </is>
      </c>
      <c r="D649" s="23" t="inlineStr">
        <is>
          <t>Nicholas Micco</t>
        </is>
      </c>
      <c r="E649" s="23" t="inlineStr">
        <is>
          <t>Sales Associate</t>
        </is>
      </c>
      <c r="F649" s="23" t="inlineStr">
        <is>
          <t>Michael Engel</t>
        </is>
      </c>
      <c r="G649" s="23" t="inlineStr">
        <is>
          <t>80005</t>
        </is>
      </c>
      <c r="H649" s="23" t="inlineStr">
        <is>
          <t>SHOP RITE LIQ (PARAMUS)</t>
        </is>
      </c>
      <c r="I649" s="23" t="inlineStr">
        <is>
          <t>PARAMUS</t>
        </is>
      </c>
      <c r="J649" s="23" t="inlineStr">
        <is>
          <t>Molson Coors</t>
        </is>
      </c>
      <c r="K649" s="27" t="n">
        <v>0</v>
      </c>
      <c r="L649" s="23" t="inlineStr">
        <is>
          <t>Non-qualifying (&lt;10)</t>
        </is>
      </c>
      <c r="M649" s="24" t="n">
        <v>0</v>
      </c>
      <c r="N649" s="24" t="n">
        <v>0</v>
      </c>
      <c r="O649" s="23" t="inlineStr">
        <is>
          <t>Priority</t>
        </is>
      </c>
      <c r="P649" s="24" t="n">
        <v>0</v>
      </c>
      <c r="Q649" s="23" t="inlineStr">
        <is>
          <t>No</t>
        </is>
      </c>
      <c r="R649" s="23" t="inlineStr">
        <is>
          <t>COORS LIGHT</t>
        </is>
      </c>
      <c r="S649" s="23" t="inlineStr">
        <is>
          <t>COORS LIGHT</t>
        </is>
      </c>
      <c r="T649" s="23" t="inlineStr">
        <is>
          <t>MOLSON COORS BEVERAGE COMPANY</t>
        </is>
      </c>
      <c r="U649" s="27" t="n">
        <v>1</v>
      </c>
      <c r="V649" s="23" t="inlineStr">
        <is>
          <t>No</t>
        </is>
      </c>
      <c r="W649" s="23" t="inlineStr">
        <is>
          <t>Molson Coors (0)</t>
        </is>
      </c>
      <c r="X649" s="23" t="inlineStr">
        <is>
          <t>—</t>
        </is>
      </c>
      <c r="Y649" s="28" t="inlineStr">
        <is>
          <t>View Photo</t>
        </is>
      </c>
    </row>
    <row r="650">
      <c r="A650" s="23" t="inlineStr">
        <is>
          <t>D0649</t>
        </is>
      </c>
      <c r="B650" s="23" t="inlineStr">
        <is>
          <t>08/26/2026</t>
        </is>
      </c>
      <c r="C650" s="23" t="inlineStr">
        <is>
          <t>08/26/2026 09:57 AM</t>
        </is>
      </c>
      <c r="D650" s="23" t="inlineStr">
        <is>
          <t>patrick infante</t>
        </is>
      </c>
      <c r="E650" s="23" t="inlineStr">
        <is>
          <t>Sales Associate</t>
        </is>
      </c>
      <c r="F650" s="23" t="inlineStr">
        <is>
          <t>Denise Montes</t>
        </is>
      </c>
      <c r="G650" s="23" t="inlineStr">
        <is>
          <t>29013</t>
        </is>
      </c>
      <c r="H650" s="23" t="inlineStr">
        <is>
          <t>LYNDHURST LIQUORS (P)</t>
        </is>
      </c>
      <c r="I650" s="23" t="inlineStr">
        <is>
          <t>LYNDHURST</t>
        </is>
      </c>
      <c r="J650" s="23" t="inlineStr">
        <is>
          <t>Boston Beer</t>
        </is>
      </c>
      <c r="K650" s="27" t="n">
        <v>0</v>
      </c>
      <c r="L650" s="23" t="inlineStr">
        <is>
          <t>Non-qualifying (&lt;10)</t>
        </is>
      </c>
      <c r="M650" s="24" t="n">
        <v>0</v>
      </c>
      <c r="N650" s="24" t="n">
        <v>0</v>
      </c>
      <c r="O650" s="23" t="inlineStr">
        <is>
          <t>Priority</t>
        </is>
      </c>
      <c r="P650" s="24" t="n">
        <v>0</v>
      </c>
      <c r="Q650" s="23" t="inlineStr">
        <is>
          <t>No</t>
        </is>
      </c>
      <c r="R650" s="23" t="inlineStr">
        <is>
          <t>MODELO CERVEZA</t>
        </is>
      </c>
      <c r="S650" s="23" t="inlineStr">
        <is>
          <t>MODELO CERVEZA, SUN CRUISER ICED TEA VODKA</t>
        </is>
      </c>
      <c r="T650" s="23" t="inlineStr">
        <is>
          <t>BOSTON BEER COMPANY, CONSTELLATION BRANDS</t>
        </is>
      </c>
      <c r="U650" s="27" t="n">
        <v>2</v>
      </c>
      <c r="V650" s="23" t="inlineStr">
        <is>
          <t>Yes</t>
        </is>
      </c>
      <c r="W650" s="23" t="inlineStr">
        <is>
          <t>Boston Beer (0) + Constellation (0)</t>
        </is>
      </c>
      <c r="X650" s="23" t="inlineStr">
        <is>
          <t>—</t>
        </is>
      </c>
      <c r="Y650" s="28" t="inlineStr">
        <is>
          <t>View Photo</t>
        </is>
      </c>
    </row>
    <row r="651">
      <c r="A651" s="23" t="inlineStr">
        <is>
          <t>D0650</t>
        </is>
      </c>
      <c r="B651" s="23" t="inlineStr">
        <is>
          <t>08/26/2026</t>
        </is>
      </c>
      <c r="C651" s="23" t="inlineStr">
        <is>
          <t>08/26/2026 12:03 PM</t>
        </is>
      </c>
      <c r="D651" s="23" t="inlineStr">
        <is>
          <t>Nicholas Micco</t>
        </is>
      </c>
      <c r="E651" s="23" t="inlineStr">
        <is>
          <t>Sales Associate</t>
        </is>
      </c>
      <c r="F651" s="23" t="inlineStr">
        <is>
          <t>Michael Engel</t>
        </is>
      </c>
      <c r="G651" s="23" t="inlineStr">
        <is>
          <t>29004</t>
        </is>
      </c>
      <c r="H651" s="23" t="inlineStr">
        <is>
          <t>SHOP-RITE LIQ LYNDHURST</t>
        </is>
      </c>
      <c r="I651" s="23" t="inlineStr">
        <is>
          <t>LYNDHURST</t>
        </is>
      </c>
      <c r="J651" s="23" t="inlineStr">
        <is>
          <t>Constellation</t>
        </is>
      </c>
      <c r="K651" s="27" t="n">
        <v>0</v>
      </c>
      <c r="L651" s="23" t="inlineStr">
        <is>
          <t>Non-qualifying (&lt;10)</t>
        </is>
      </c>
      <c r="M651" s="24" t="n">
        <v>0</v>
      </c>
      <c r="N651" s="24" t="n">
        <v>0</v>
      </c>
      <c r="O651" s="23" t="inlineStr">
        <is>
          <t>Priority</t>
        </is>
      </c>
      <c r="P651" s="24" t="n">
        <v>0</v>
      </c>
      <c r="Q651" s="23" t="inlineStr">
        <is>
          <t>No</t>
        </is>
      </c>
      <c r="R651" s="23" t="inlineStr">
        <is>
          <t>CORONA EXTRA</t>
        </is>
      </c>
      <c r="S651" s="23" t="inlineStr">
        <is>
          <t>CORONA EXTRA, MODELO CERVEZA</t>
        </is>
      </c>
      <c r="T651" s="23" t="inlineStr">
        <is>
          <t>CONSTELLATION BRANDS</t>
        </is>
      </c>
      <c r="U651" s="27" t="n">
        <v>2</v>
      </c>
      <c r="V651" s="23" t="inlineStr">
        <is>
          <t>No</t>
        </is>
      </c>
      <c r="W651" s="23" t="inlineStr">
        <is>
          <t>Constellation (0)</t>
        </is>
      </c>
      <c r="X651" s="23" t="inlineStr">
        <is>
          <t>—</t>
        </is>
      </c>
      <c r="Y651" s="28" t="inlineStr">
        <is>
          <t>View Photo</t>
        </is>
      </c>
    </row>
    <row r="652">
      <c r="A652" s="23" t="inlineStr">
        <is>
          <t>D0651</t>
        </is>
      </c>
      <c r="B652" s="23" t="inlineStr">
        <is>
          <t>08/26/2026</t>
        </is>
      </c>
      <c r="C652" s="23" t="inlineStr">
        <is>
          <t>08/26/2026 12:11 PM</t>
        </is>
      </c>
      <c r="D652" s="23" t="inlineStr">
        <is>
          <t>Nicholas Micco</t>
        </is>
      </c>
      <c r="E652" s="23" t="inlineStr">
        <is>
          <t>Sales Associate</t>
        </is>
      </c>
      <c r="F652" s="23" t="inlineStr">
        <is>
          <t>Michael Engel</t>
        </is>
      </c>
      <c r="G652" s="23" t="inlineStr">
        <is>
          <t>29004</t>
        </is>
      </c>
      <c r="H652" s="23" t="inlineStr">
        <is>
          <t>SHOP-RITE LIQ LYNDHURST</t>
        </is>
      </c>
      <c r="I652" s="23" t="inlineStr">
        <is>
          <t>LYNDHURST</t>
        </is>
      </c>
      <c r="J652" s="23" t="inlineStr">
        <is>
          <t>Molson Coors</t>
        </is>
      </c>
      <c r="K652" s="27" t="n">
        <v>0</v>
      </c>
      <c r="L652" s="23" t="inlineStr">
        <is>
          <t>Non-qualifying (&lt;10)</t>
        </is>
      </c>
      <c r="M652" s="24" t="n">
        <v>0</v>
      </c>
      <c r="N652" s="24" t="n">
        <v>0</v>
      </c>
      <c r="O652" s="23" t="inlineStr">
        <is>
          <t>Priority</t>
        </is>
      </c>
      <c r="P652" s="24" t="n">
        <v>0</v>
      </c>
      <c r="Q652" s="23" t="inlineStr">
        <is>
          <t>No</t>
        </is>
      </c>
      <c r="R652" s="23" t="inlineStr">
        <is>
          <t>COORS LIGHT</t>
        </is>
      </c>
      <c r="S652" s="23" t="inlineStr">
        <is>
          <t>COORS LIGHT, YUENGLING BREWERY</t>
        </is>
      </c>
      <c r="T652" s="23" t="inlineStr">
        <is>
          <t>MOLSON COORS BEVERAGE COMPANY, YUENGLING BREWERY</t>
        </is>
      </c>
      <c r="U652" s="27" t="n">
        <v>2</v>
      </c>
      <c r="V652" s="23" t="inlineStr">
        <is>
          <t>Yes</t>
        </is>
      </c>
      <c r="W652" s="23" t="inlineStr">
        <is>
          <t>Yuengling (0) + Molson Coors (0)</t>
        </is>
      </c>
      <c r="X652" s="23" t="inlineStr">
        <is>
          <t>—</t>
        </is>
      </c>
      <c r="Y652" s="28" t="inlineStr">
        <is>
          <t>View Photo</t>
        </is>
      </c>
    </row>
    <row r="653">
      <c r="A653" s="23" t="inlineStr">
        <is>
          <t>D0652</t>
        </is>
      </c>
      <c r="B653" s="23" t="inlineStr">
        <is>
          <t>08/26/2026</t>
        </is>
      </c>
      <c r="C653" s="23" t="inlineStr">
        <is>
          <t>08/26/2026 12:12 PM</t>
        </is>
      </c>
      <c r="D653" s="23" t="inlineStr">
        <is>
          <t>Nicholas Micco</t>
        </is>
      </c>
      <c r="E653" s="23" t="inlineStr">
        <is>
          <t>Sales Associate</t>
        </is>
      </c>
      <c r="F653" s="23" t="inlineStr">
        <is>
          <t>Michael Engel</t>
        </is>
      </c>
      <c r="G653" s="23" t="inlineStr">
        <is>
          <t>29004</t>
        </is>
      </c>
      <c r="H653" s="23" t="inlineStr">
        <is>
          <t>SHOP-RITE LIQ LYNDHURST</t>
        </is>
      </c>
      <c r="I653" s="23" t="inlineStr">
        <is>
          <t>LYNDHURST</t>
        </is>
      </c>
      <c r="J653" s="23" t="inlineStr">
        <is>
          <t>Constellation</t>
        </is>
      </c>
      <c r="K653" s="27" t="n">
        <v>0</v>
      </c>
      <c r="L653" s="23" t="inlineStr">
        <is>
          <t>Non-qualifying (&lt;10)</t>
        </is>
      </c>
      <c r="M653" s="24" t="n">
        <v>0</v>
      </c>
      <c r="N653" s="24" t="n">
        <v>0</v>
      </c>
      <c r="O653" s="23" t="inlineStr">
        <is>
          <t>Priority</t>
        </is>
      </c>
      <c r="P653" s="24" t="n">
        <v>0</v>
      </c>
      <c r="Q653" s="23" t="inlineStr">
        <is>
          <t>No</t>
        </is>
      </c>
      <c r="R653" s="23" t="inlineStr">
        <is>
          <t>CORONA EXTRA</t>
        </is>
      </c>
      <c r="S653" s="23" t="inlineStr">
        <is>
          <t>CORONA EXTRA, MODELO CERVEZA</t>
        </is>
      </c>
      <c r="T653" s="23" t="inlineStr">
        <is>
          <t>CONSTELLATION BRANDS</t>
        </is>
      </c>
      <c r="U653" s="27" t="n">
        <v>2</v>
      </c>
      <c r="V653" s="23" t="inlineStr">
        <is>
          <t>No</t>
        </is>
      </c>
      <c r="W653" s="23" t="inlineStr">
        <is>
          <t>Constellation (0)</t>
        </is>
      </c>
      <c r="X653" s="23" t="inlineStr">
        <is>
          <t>—</t>
        </is>
      </c>
      <c r="Y653" s="28" t="inlineStr">
        <is>
          <t>View Photo</t>
        </is>
      </c>
    </row>
    <row r="654">
      <c r="A654" s="23" t="inlineStr">
        <is>
          <t>D0653</t>
        </is>
      </c>
      <c r="B654" s="23" t="inlineStr">
        <is>
          <t>08/27/2026</t>
        </is>
      </c>
      <c r="C654" s="23" t="inlineStr">
        <is>
          <t>08/27/2026 03:38 PM</t>
        </is>
      </c>
      <c r="D654" s="23" t="inlineStr">
        <is>
          <t>David Fletcher</t>
        </is>
      </c>
      <c r="E654" s="23" t="inlineStr">
        <is>
          <t>Sales Associate</t>
        </is>
      </c>
      <c r="F654" s="23" t="inlineStr">
        <is>
          <t>Michael Engel</t>
        </is>
      </c>
      <c r="G654" s="23" t="inlineStr">
        <is>
          <t>76010</t>
        </is>
      </c>
      <c r="H654" s="23" t="inlineStr">
        <is>
          <t>USA WINE TRADERS CLUB (SADDLE BROOK)</t>
        </is>
      </c>
      <c r="I654" s="23" t="inlineStr">
        <is>
          <t>SADDLE BROOK</t>
        </is>
      </c>
      <c r="J654" s="23" t="inlineStr">
        <is>
          <t>Constellation</t>
        </is>
      </c>
      <c r="K654" s="27" t="n">
        <v>0</v>
      </c>
      <c r="L654" s="23" t="inlineStr">
        <is>
          <t>Non-qualifying (&lt;10)</t>
        </is>
      </c>
      <c r="M654" s="24" t="n">
        <v>0</v>
      </c>
      <c r="N654" s="24" t="n">
        <v>0</v>
      </c>
      <c r="O654" s="23" t="inlineStr">
        <is>
          <t>Priority</t>
        </is>
      </c>
      <c r="P654" s="24" t="n">
        <v>0</v>
      </c>
      <c r="Q654" s="23" t="inlineStr">
        <is>
          <t>No</t>
        </is>
      </c>
      <c r="R654" s="23" t="inlineStr">
        <is>
          <t>CORONA EXTRA</t>
        </is>
      </c>
      <c r="S654" s="23" t="inlineStr">
        <is>
          <t>CORONA EXTRA, MODELO CERVEZA</t>
        </is>
      </c>
      <c r="T654" s="23" t="inlineStr">
        <is>
          <t>CONSTELLATION BRANDS</t>
        </is>
      </c>
      <c r="U654" s="27" t="n">
        <v>2</v>
      </c>
      <c r="V654" s="23" t="inlineStr">
        <is>
          <t>No</t>
        </is>
      </c>
      <c r="W654" s="23" t="inlineStr">
        <is>
          <t>Constellation (0)</t>
        </is>
      </c>
      <c r="X654" s="23" t="inlineStr">
        <is>
          <t>—</t>
        </is>
      </c>
      <c r="Y654" s="28" t="inlineStr">
        <is>
          <t>View Photo</t>
        </is>
      </c>
    </row>
    <row r="655">
      <c r="A655" s="23" t="inlineStr">
        <is>
          <t>D0654</t>
        </is>
      </c>
      <c r="B655" s="23" t="inlineStr">
        <is>
          <t>08/27/2026</t>
        </is>
      </c>
      <c r="C655" s="23" t="inlineStr">
        <is>
          <t>08/27/2026 11:05 AM</t>
        </is>
      </c>
      <c r="D655" s="23" t="inlineStr">
        <is>
          <t>patrick infante</t>
        </is>
      </c>
      <c r="E655" s="23" t="inlineStr">
        <is>
          <t>Sales Associate</t>
        </is>
      </c>
      <c r="F655" s="23" t="inlineStr">
        <is>
          <t>Denise Montes</t>
        </is>
      </c>
      <c r="G655" s="23" t="inlineStr">
        <is>
          <t>24011</t>
        </is>
      </c>
      <c r="H655" s="23" t="inlineStr">
        <is>
          <t>SHOPPERS VINEYARD (A)</t>
        </is>
      </c>
      <c r="I655" s="23" t="inlineStr">
        <is>
          <t>CLIFTON</t>
        </is>
      </c>
      <c r="J655" s="23" t="inlineStr">
        <is>
          <t>Boston Beer</t>
        </is>
      </c>
      <c r="K655" s="27" t="n">
        <v>0</v>
      </c>
      <c r="L655" s="23" t="inlineStr">
        <is>
          <t>Non-qualifying (&lt;10)</t>
        </is>
      </c>
      <c r="M655" s="24" t="n">
        <v>0</v>
      </c>
      <c r="N655" s="24" t="n">
        <v>0</v>
      </c>
      <c r="O655" s="23" t="inlineStr">
        <is>
          <t>Priority</t>
        </is>
      </c>
      <c r="P655" s="24" t="n">
        <v>0</v>
      </c>
      <c r="Q655" s="23" t="inlineStr">
        <is>
          <t>No</t>
        </is>
      </c>
      <c r="R655" s="23" t="inlineStr">
        <is>
          <t>SUN CRUISER ICED TEA VODKA</t>
        </is>
      </c>
      <c r="S655" s="23" t="inlineStr">
        <is>
          <t>SUN CRUISER ICED TEA VODKA</t>
        </is>
      </c>
      <c r="T655" s="23" t="inlineStr">
        <is>
          <t>BOSTON BEER COMPANY</t>
        </is>
      </c>
      <c r="U655" s="27" t="n">
        <v>1</v>
      </c>
      <c r="V655" s="23" t="inlineStr">
        <is>
          <t>No</t>
        </is>
      </c>
      <c r="W655" s="23" t="inlineStr">
        <is>
          <t>Boston Beer (0)</t>
        </is>
      </c>
      <c r="X655" s="23" t="inlineStr">
        <is>
          <t>—</t>
        </is>
      </c>
      <c r="Y655" s="28" t="inlineStr">
        <is>
          <t>View Photo</t>
        </is>
      </c>
    </row>
    <row r="656">
      <c r="A656" s="23" t="inlineStr">
        <is>
          <t>D0655</t>
        </is>
      </c>
      <c r="B656" s="23" t="inlineStr">
        <is>
          <t>08/28/2026</t>
        </is>
      </c>
      <c r="C656" s="23" t="inlineStr">
        <is>
          <t>08/28/2026 01:45 PM</t>
        </is>
      </c>
      <c r="D656" s="23" t="inlineStr">
        <is>
          <t>patrick infante</t>
        </is>
      </c>
      <c r="E656" s="23" t="inlineStr">
        <is>
          <t>Sales Associate</t>
        </is>
      </c>
      <c r="F656" s="23" t="inlineStr">
        <is>
          <t>Denise Montes</t>
        </is>
      </c>
      <c r="G656" s="23" t="inlineStr">
        <is>
          <t>24002</t>
        </is>
      </c>
      <c r="H656" s="23" t="inlineStr">
        <is>
          <t>SWIZZLE STICK LIQ (A)</t>
        </is>
      </c>
      <c r="I656" s="23" t="inlineStr">
        <is>
          <t>CLIFTON</t>
        </is>
      </c>
      <c r="J656" s="23" t="inlineStr">
        <is>
          <t>Constellation</t>
        </is>
      </c>
      <c r="K656" s="27" t="n">
        <v>0</v>
      </c>
      <c r="L656" s="23" t="inlineStr">
        <is>
          <t>Non-qualifying (&lt;10)</t>
        </is>
      </c>
      <c r="M656" s="24" t="n">
        <v>0</v>
      </c>
      <c r="N656" s="24" t="n">
        <v>0</v>
      </c>
      <c r="O656" s="23" t="inlineStr">
        <is>
          <t>Priority</t>
        </is>
      </c>
      <c r="P656" s="24" t="n">
        <v>0</v>
      </c>
      <c r="Q656" s="23" t="inlineStr">
        <is>
          <t>No</t>
        </is>
      </c>
      <c r="R656" s="23" t="inlineStr">
        <is>
          <t>CORONA EXTRA</t>
        </is>
      </c>
      <c r="S656" s="23" t="inlineStr">
        <is>
          <t>CORONA EXTRA, MILLER LITE, MODELO CERVEZA</t>
        </is>
      </c>
      <c r="T656" s="23" t="inlineStr">
        <is>
          <t>CONSTELLATION BRANDS, MOLSON COORS BEVERAGE COMPANY</t>
        </is>
      </c>
      <c r="U656" s="27" t="n">
        <v>3</v>
      </c>
      <c r="V656" s="23" t="inlineStr">
        <is>
          <t>Yes</t>
        </is>
      </c>
      <c r="W656" s="23" t="inlineStr">
        <is>
          <t>Constellation (0) + Molson Coors (0)</t>
        </is>
      </c>
      <c r="X656" s="23" t="inlineStr">
        <is>
          <t>—</t>
        </is>
      </c>
      <c r="Y656" s="28" t="inlineStr">
        <is>
          <t>View Photo</t>
        </is>
      </c>
    </row>
  </sheetData>
  <autoFilter ref="A1:Y656"/>
  <hyperlinks>
    <hyperlink ref="Y2" r:id="rId1"/>
    <hyperlink ref="Y3" r:id="rId2"/>
    <hyperlink ref="Y4" r:id="rId3"/>
    <hyperlink ref="Y5" r:id="rId4"/>
    <hyperlink ref="Y6" r:id="rId5"/>
    <hyperlink ref="Y7" r:id="rId6"/>
    <hyperlink ref="Y8" r:id="rId7"/>
    <hyperlink ref="Y9" r:id="rId8"/>
    <hyperlink ref="Y10" r:id="rId9"/>
    <hyperlink ref="Y11" r:id="rId10"/>
    <hyperlink ref="Y12" r:id="rId11"/>
    <hyperlink ref="Y13" r:id="rId12"/>
    <hyperlink ref="Y14" r:id="rId13"/>
    <hyperlink ref="Y15" r:id="rId14"/>
    <hyperlink ref="Y16" r:id="rId15"/>
    <hyperlink ref="Y17" r:id="rId16"/>
    <hyperlink ref="Y18" r:id="rId17"/>
    <hyperlink ref="Y19" r:id="rId18"/>
    <hyperlink ref="Y20" r:id="rId19"/>
    <hyperlink ref="Y21" r:id="rId20"/>
    <hyperlink ref="Y22" r:id="rId21"/>
    <hyperlink ref="Y23" r:id="rId22"/>
    <hyperlink ref="Y24" r:id="rId23"/>
    <hyperlink ref="Y25" r:id="rId24"/>
    <hyperlink ref="Y26" r:id="rId25"/>
    <hyperlink ref="Y27" r:id="rId26"/>
    <hyperlink ref="Y28" r:id="rId27"/>
    <hyperlink ref="Y29" r:id="rId28"/>
    <hyperlink ref="Y30" r:id="rId29"/>
    <hyperlink ref="Y31" r:id="rId30"/>
    <hyperlink ref="Y32" r:id="rId31"/>
    <hyperlink ref="Y33" r:id="rId32"/>
    <hyperlink ref="Y34" r:id="rId33"/>
    <hyperlink ref="Y35" r:id="rId34"/>
    <hyperlink ref="Y36" r:id="rId35"/>
    <hyperlink ref="Y37" r:id="rId36"/>
    <hyperlink ref="Y38" r:id="rId37"/>
    <hyperlink ref="Y39" r:id="rId38"/>
    <hyperlink ref="Y40" r:id="rId39"/>
    <hyperlink ref="Y41" r:id="rId40"/>
    <hyperlink ref="Y42" r:id="rId41"/>
    <hyperlink ref="Y43" r:id="rId42"/>
    <hyperlink ref="Y44" r:id="rId43"/>
    <hyperlink ref="Y45" r:id="rId44"/>
    <hyperlink ref="Y46" r:id="rId45"/>
    <hyperlink ref="Y47" r:id="rId46"/>
    <hyperlink ref="Y48" r:id="rId47"/>
    <hyperlink ref="Y49" r:id="rId48"/>
    <hyperlink ref="Y50" r:id="rId49"/>
    <hyperlink ref="Y51" r:id="rId50"/>
    <hyperlink ref="Y52" r:id="rId51"/>
    <hyperlink ref="Y53" r:id="rId52"/>
    <hyperlink ref="Y54" r:id="rId53"/>
    <hyperlink ref="Y55" r:id="rId54"/>
    <hyperlink ref="Y56" r:id="rId55"/>
    <hyperlink ref="Y57" r:id="rId56"/>
    <hyperlink ref="Y58" r:id="rId57"/>
    <hyperlink ref="Y59" r:id="rId58"/>
    <hyperlink ref="Y60" r:id="rId59"/>
    <hyperlink ref="Y61" r:id="rId60"/>
    <hyperlink ref="Y62" r:id="rId61"/>
    <hyperlink ref="Y63" r:id="rId62"/>
    <hyperlink ref="Y64" r:id="rId63"/>
    <hyperlink ref="Y65" r:id="rId64"/>
    <hyperlink ref="Y66" r:id="rId65"/>
    <hyperlink ref="Y67" r:id="rId66"/>
    <hyperlink ref="Y68" r:id="rId67"/>
    <hyperlink ref="Y69" r:id="rId68"/>
    <hyperlink ref="Y70" r:id="rId69"/>
    <hyperlink ref="Y71" r:id="rId70"/>
    <hyperlink ref="Y72" r:id="rId71"/>
    <hyperlink ref="Y73" r:id="rId72"/>
    <hyperlink ref="Y74" r:id="rId73"/>
    <hyperlink ref="Y75" r:id="rId74"/>
    <hyperlink ref="Y76" r:id="rId75"/>
    <hyperlink ref="Y77" r:id="rId76"/>
    <hyperlink ref="Y78" r:id="rId77"/>
    <hyperlink ref="Y79" r:id="rId78"/>
    <hyperlink ref="Y80" r:id="rId79"/>
    <hyperlink ref="Y81" r:id="rId80"/>
    <hyperlink ref="Y82" r:id="rId81"/>
    <hyperlink ref="Y83" r:id="rId82"/>
    <hyperlink ref="Y84" r:id="rId83"/>
    <hyperlink ref="Y85" r:id="rId84"/>
    <hyperlink ref="Y86" r:id="rId85"/>
    <hyperlink ref="Y87" r:id="rId86"/>
    <hyperlink ref="Y88" r:id="rId87"/>
    <hyperlink ref="Y89" r:id="rId88"/>
    <hyperlink ref="Y90" r:id="rId89"/>
    <hyperlink ref="Y91" r:id="rId90"/>
    <hyperlink ref="Y92" r:id="rId91"/>
    <hyperlink ref="Y93" r:id="rId92"/>
    <hyperlink ref="Y94" r:id="rId93"/>
    <hyperlink ref="Y95" r:id="rId94"/>
    <hyperlink ref="Y96" r:id="rId95"/>
    <hyperlink ref="Y97" r:id="rId96"/>
    <hyperlink ref="Y98" r:id="rId97"/>
    <hyperlink ref="Y99" r:id="rId98"/>
    <hyperlink ref="Y100" r:id="rId99"/>
    <hyperlink ref="Y101" r:id="rId100"/>
    <hyperlink ref="Y102" r:id="rId101"/>
    <hyperlink ref="Y103" r:id="rId102"/>
    <hyperlink ref="Y104" r:id="rId103"/>
    <hyperlink ref="Y105" r:id="rId104"/>
    <hyperlink ref="Y106" r:id="rId105"/>
    <hyperlink ref="Y107" r:id="rId106"/>
    <hyperlink ref="Y108" r:id="rId107"/>
    <hyperlink ref="Y109" r:id="rId108"/>
    <hyperlink ref="Y110" r:id="rId109"/>
    <hyperlink ref="Y111" r:id="rId110"/>
    <hyperlink ref="Y112" r:id="rId111"/>
    <hyperlink ref="Y113" r:id="rId112"/>
    <hyperlink ref="Y114" r:id="rId113"/>
    <hyperlink ref="Y115" r:id="rId114"/>
    <hyperlink ref="Y116" r:id="rId115"/>
    <hyperlink ref="Y117" r:id="rId116"/>
    <hyperlink ref="Y118" r:id="rId117"/>
    <hyperlink ref="Y119" r:id="rId118"/>
    <hyperlink ref="Y120" r:id="rId119"/>
    <hyperlink ref="Y121" r:id="rId120"/>
    <hyperlink ref="Y122" r:id="rId121"/>
    <hyperlink ref="Y123" r:id="rId122"/>
    <hyperlink ref="Y124" r:id="rId123"/>
    <hyperlink ref="Y125" r:id="rId124"/>
    <hyperlink ref="Y126" r:id="rId125"/>
    <hyperlink ref="Y127" r:id="rId126"/>
    <hyperlink ref="Y128" r:id="rId127"/>
    <hyperlink ref="Y129" r:id="rId128"/>
    <hyperlink ref="Y130" r:id="rId129"/>
    <hyperlink ref="Y131" r:id="rId130"/>
    <hyperlink ref="Y132" r:id="rId131"/>
    <hyperlink ref="Y133" r:id="rId132"/>
    <hyperlink ref="Y134" r:id="rId133"/>
    <hyperlink ref="Y135" r:id="rId134"/>
    <hyperlink ref="Y136" r:id="rId135"/>
    <hyperlink ref="Y137" r:id="rId136"/>
    <hyperlink ref="Y138" r:id="rId137"/>
    <hyperlink ref="Y139" r:id="rId138"/>
    <hyperlink ref="Y140" r:id="rId139"/>
    <hyperlink ref="Y141" r:id="rId140"/>
    <hyperlink ref="Y142" r:id="rId141"/>
    <hyperlink ref="Y143" r:id="rId142"/>
    <hyperlink ref="Y144" r:id="rId143"/>
    <hyperlink ref="Y145" r:id="rId144"/>
    <hyperlink ref="Y146" r:id="rId145"/>
    <hyperlink ref="Y147" r:id="rId146"/>
    <hyperlink ref="Y148" r:id="rId147"/>
    <hyperlink ref="Y149" r:id="rId148"/>
    <hyperlink ref="Y150" r:id="rId149"/>
    <hyperlink ref="Y151" r:id="rId150"/>
    <hyperlink ref="Y152" r:id="rId151"/>
    <hyperlink ref="Y153" r:id="rId152"/>
    <hyperlink ref="Y154" r:id="rId153"/>
    <hyperlink ref="Y155" r:id="rId154"/>
    <hyperlink ref="Y156" r:id="rId155"/>
    <hyperlink ref="Y157" r:id="rId156"/>
    <hyperlink ref="Y158" r:id="rId157"/>
    <hyperlink ref="Y159" r:id="rId158"/>
    <hyperlink ref="Y160" r:id="rId159"/>
    <hyperlink ref="Y161" r:id="rId160"/>
    <hyperlink ref="Y162" r:id="rId161"/>
    <hyperlink ref="Y163" r:id="rId162"/>
    <hyperlink ref="Y164" r:id="rId163"/>
    <hyperlink ref="Y165" r:id="rId164"/>
    <hyperlink ref="Y166" r:id="rId165"/>
    <hyperlink ref="Y167" r:id="rId166"/>
    <hyperlink ref="Y168" r:id="rId167"/>
    <hyperlink ref="Y169" r:id="rId168"/>
    <hyperlink ref="Y170" r:id="rId169"/>
    <hyperlink ref="Y171" r:id="rId170"/>
    <hyperlink ref="Y172" r:id="rId171"/>
    <hyperlink ref="Y173" r:id="rId172"/>
    <hyperlink ref="Y174" r:id="rId173"/>
    <hyperlink ref="Y175" r:id="rId174"/>
    <hyperlink ref="Y176" r:id="rId175"/>
    <hyperlink ref="Y177" r:id="rId176"/>
    <hyperlink ref="Y178" r:id="rId177"/>
    <hyperlink ref="Y179" r:id="rId178"/>
    <hyperlink ref="Y180" r:id="rId179"/>
    <hyperlink ref="Y181" r:id="rId180"/>
    <hyperlink ref="Y182" r:id="rId181"/>
    <hyperlink ref="Y183" r:id="rId182"/>
    <hyperlink ref="Y184" r:id="rId183"/>
    <hyperlink ref="Y185" r:id="rId184"/>
    <hyperlink ref="Y186" r:id="rId185"/>
    <hyperlink ref="Y187" r:id="rId186"/>
    <hyperlink ref="Y188" r:id="rId187"/>
    <hyperlink ref="Y189" r:id="rId188"/>
    <hyperlink ref="Y190" r:id="rId189"/>
    <hyperlink ref="Y191" r:id="rId190"/>
    <hyperlink ref="Y192" r:id="rId191"/>
    <hyperlink ref="Y193" r:id="rId192"/>
    <hyperlink ref="Y194" r:id="rId193"/>
    <hyperlink ref="Y195" r:id="rId194"/>
    <hyperlink ref="Y196" r:id="rId195"/>
    <hyperlink ref="Y197" r:id="rId196"/>
    <hyperlink ref="Y198" r:id="rId197"/>
    <hyperlink ref="Y199" r:id="rId198"/>
    <hyperlink ref="Y200" r:id="rId199"/>
    <hyperlink ref="Y201" r:id="rId200"/>
    <hyperlink ref="Y202" r:id="rId201"/>
    <hyperlink ref="Y203" r:id="rId202"/>
    <hyperlink ref="Y204" r:id="rId203"/>
    <hyperlink ref="Y205" r:id="rId204"/>
    <hyperlink ref="Y206" r:id="rId205"/>
    <hyperlink ref="Y207" r:id="rId206"/>
    <hyperlink ref="Y208" r:id="rId207"/>
    <hyperlink ref="Y209" r:id="rId208"/>
    <hyperlink ref="Y210" r:id="rId209"/>
    <hyperlink ref="Y211" r:id="rId210"/>
    <hyperlink ref="Y212" r:id="rId211"/>
    <hyperlink ref="Y213" r:id="rId212"/>
    <hyperlink ref="Y214" r:id="rId213"/>
    <hyperlink ref="Y215" r:id="rId214"/>
    <hyperlink ref="Y216" r:id="rId215"/>
    <hyperlink ref="Y217" r:id="rId216"/>
    <hyperlink ref="Y218" r:id="rId217"/>
    <hyperlink ref="Y219" r:id="rId218"/>
    <hyperlink ref="Y220" r:id="rId219"/>
    <hyperlink ref="Y221" r:id="rId220"/>
    <hyperlink ref="Y222" r:id="rId221"/>
    <hyperlink ref="Y223" r:id="rId222"/>
    <hyperlink ref="Y224" r:id="rId223"/>
    <hyperlink ref="Y225" r:id="rId224"/>
    <hyperlink ref="Y226" r:id="rId225"/>
    <hyperlink ref="Y227" r:id="rId226"/>
    <hyperlink ref="Y228" r:id="rId227"/>
    <hyperlink ref="Y229" r:id="rId228"/>
    <hyperlink ref="Y230" r:id="rId229"/>
    <hyperlink ref="Y231" r:id="rId230"/>
    <hyperlink ref="Y232" r:id="rId231"/>
    <hyperlink ref="Y233" r:id="rId232"/>
    <hyperlink ref="Y234" r:id="rId233"/>
    <hyperlink ref="Y235" r:id="rId234"/>
    <hyperlink ref="Y236" r:id="rId235"/>
    <hyperlink ref="Y237" r:id="rId236"/>
    <hyperlink ref="Y238" r:id="rId237"/>
    <hyperlink ref="Y239" r:id="rId238"/>
    <hyperlink ref="Y240" r:id="rId239"/>
    <hyperlink ref="Y241" r:id="rId240"/>
    <hyperlink ref="Y242" r:id="rId241"/>
    <hyperlink ref="Y243" r:id="rId242"/>
    <hyperlink ref="Y244" r:id="rId243"/>
    <hyperlink ref="Y245" r:id="rId244"/>
    <hyperlink ref="Y246" r:id="rId245"/>
    <hyperlink ref="Y247" r:id="rId246"/>
    <hyperlink ref="Y248" r:id="rId247"/>
    <hyperlink ref="Y249" r:id="rId248"/>
    <hyperlink ref="Y250" r:id="rId249"/>
    <hyperlink ref="Y251" r:id="rId250"/>
    <hyperlink ref="Y252" r:id="rId251"/>
    <hyperlink ref="Y253" r:id="rId252"/>
    <hyperlink ref="Y254" r:id="rId253"/>
    <hyperlink ref="Y255" r:id="rId254"/>
    <hyperlink ref="Y256" r:id="rId255"/>
    <hyperlink ref="Y257" r:id="rId256"/>
    <hyperlink ref="Y258" r:id="rId257"/>
    <hyperlink ref="Y259" r:id="rId258"/>
    <hyperlink ref="Y260" r:id="rId259"/>
    <hyperlink ref="Y261" r:id="rId260"/>
    <hyperlink ref="Y262" r:id="rId261"/>
    <hyperlink ref="Y263" r:id="rId262"/>
    <hyperlink ref="Y264" r:id="rId263"/>
    <hyperlink ref="Y265" r:id="rId264"/>
    <hyperlink ref="Y266" r:id="rId265"/>
    <hyperlink ref="Y267" r:id="rId266"/>
    <hyperlink ref="Y268" r:id="rId267"/>
    <hyperlink ref="Y269" r:id="rId268"/>
    <hyperlink ref="Y270" r:id="rId269"/>
    <hyperlink ref="Y271" r:id="rId270"/>
    <hyperlink ref="Y272" r:id="rId271"/>
    <hyperlink ref="Y273" r:id="rId272"/>
    <hyperlink ref="Y274" r:id="rId273"/>
    <hyperlink ref="Y275" r:id="rId274"/>
    <hyperlink ref="Y276" r:id="rId275"/>
    <hyperlink ref="Y277" r:id="rId276"/>
    <hyperlink ref="Y278" r:id="rId277"/>
    <hyperlink ref="Y279" r:id="rId278"/>
    <hyperlink ref="Y280" r:id="rId279"/>
    <hyperlink ref="Y281" r:id="rId280"/>
    <hyperlink ref="Y282" r:id="rId281"/>
    <hyperlink ref="Y283" r:id="rId282"/>
    <hyperlink ref="Y284" r:id="rId283"/>
    <hyperlink ref="Y285" r:id="rId284"/>
    <hyperlink ref="Y286" r:id="rId285"/>
    <hyperlink ref="Y287" r:id="rId286"/>
    <hyperlink ref="Y288" r:id="rId287"/>
    <hyperlink ref="Y289" r:id="rId288"/>
    <hyperlink ref="Y290" r:id="rId289"/>
    <hyperlink ref="Y291" r:id="rId290"/>
    <hyperlink ref="Y292" r:id="rId291"/>
    <hyperlink ref="Y293" r:id="rId292"/>
    <hyperlink ref="Y294" r:id="rId293"/>
    <hyperlink ref="Y295" r:id="rId294"/>
    <hyperlink ref="Y296" r:id="rId295"/>
    <hyperlink ref="Y297" r:id="rId296"/>
    <hyperlink ref="Y298" r:id="rId297"/>
    <hyperlink ref="Y299" r:id="rId298"/>
    <hyperlink ref="Y300" r:id="rId299"/>
    <hyperlink ref="Y301" r:id="rId300"/>
    <hyperlink ref="Y302" r:id="rId301"/>
    <hyperlink ref="Y303" r:id="rId302"/>
    <hyperlink ref="Y304" r:id="rId303"/>
    <hyperlink ref="Y305" r:id="rId304"/>
    <hyperlink ref="Y306" r:id="rId305"/>
    <hyperlink ref="Y307" r:id="rId306"/>
    <hyperlink ref="Y308" r:id="rId307"/>
    <hyperlink ref="Y309" r:id="rId308"/>
    <hyperlink ref="Y310" r:id="rId309"/>
    <hyperlink ref="Y311" r:id="rId310"/>
    <hyperlink ref="Y312" r:id="rId311"/>
    <hyperlink ref="Y313" r:id="rId312"/>
    <hyperlink ref="Y314" r:id="rId313"/>
    <hyperlink ref="Y315" r:id="rId314"/>
    <hyperlink ref="Y316" r:id="rId315"/>
    <hyperlink ref="Y317" r:id="rId316"/>
    <hyperlink ref="Y318" r:id="rId317"/>
    <hyperlink ref="Y319" r:id="rId318"/>
    <hyperlink ref="Y320" r:id="rId319"/>
    <hyperlink ref="Y321" r:id="rId320"/>
    <hyperlink ref="Y322" r:id="rId321"/>
    <hyperlink ref="Y323" r:id="rId322"/>
    <hyperlink ref="Y324" r:id="rId323"/>
    <hyperlink ref="Y325" r:id="rId324"/>
    <hyperlink ref="Y326" r:id="rId325"/>
    <hyperlink ref="Y327" r:id="rId326"/>
    <hyperlink ref="Y328" r:id="rId327"/>
    <hyperlink ref="Y329" r:id="rId328"/>
    <hyperlink ref="Y330" r:id="rId329"/>
    <hyperlink ref="Y331" r:id="rId330"/>
    <hyperlink ref="Y332" r:id="rId331"/>
    <hyperlink ref="Y333" r:id="rId332"/>
    <hyperlink ref="Y334" r:id="rId333"/>
    <hyperlink ref="Y335" r:id="rId334"/>
    <hyperlink ref="Y336" r:id="rId335"/>
    <hyperlink ref="Y337" r:id="rId336"/>
    <hyperlink ref="Y338" r:id="rId337"/>
    <hyperlink ref="Y339" r:id="rId338"/>
    <hyperlink ref="Y340" r:id="rId339"/>
    <hyperlink ref="Y341" r:id="rId340"/>
    <hyperlink ref="Y342" r:id="rId341"/>
    <hyperlink ref="Y343" r:id="rId342"/>
    <hyperlink ref="Y344" r:id="rId343"/>
    <hyperlink ref="Y345" r:id="rId344"/>
    <hyperlink ref="Y346" r:id="rId345"/>
    <hyperlink ref="Y347" r:id="rId346"/>
    <hyperlink ref="Y348" r:id="rId347"/>
    <hyperlink ref="Y349" r:id="rId348"/>
    <hyperlink ref="Y350" r:id="rId349"/>
    <hyperlink ref="Y351" r:id="rId350"/>
    <hyperlink ref="Y352" r:id="rId351"/>
    <hyperlink ref="Y353" r:id="rId352"/>
    <hyperlink ref="Y354" r:id="rId353"/>
    <hyperlink ref="Y355" r:id="rId354"/>
    <hyperlink ref="Y356" r:id="rId355"/>
    <hyperlink ref="Y357" r:id="rId356"/>
    <hyperlink ref="Y358" r:id="rId357"/>
    <hyperlink ref="Y359" r:id="rId358"/>
    <hyperlink ref="Y360" r:id="rId359"/>
    <hyperlink ref="Y361" r:id="rId360"/>
    <hyperlink ref="Y362" r:id="rId361"/>
    <hyperlink ref="Y363" r:id="rId362"/>
    <hyperlink ref="Y364" r:id="rId363"/>
    <hyperlink ref="Y365" r:id="rId364"/>
    <hyperlink ref="Y366" r:id="rId365"/>
    <hyperlink ref="Y367" r:id="rId366"/>
    <hyperlink ref="Y368" r:id="rId367"/>
    <hyperlink ref="Y369" r:id="rId368"/>
    <hyperlink ref="Y370" r:id="rId369"/>
    <hyperlink ref="Y371" r:id="rId370"/>
    <hyperlink ref="Y372" r:id="rId371"/>
    <hyperlink ref="Y373" r:id="rId372"/>
    <hyperlink ref="Y374" r:id="rId373"/>
    <hyperlink ref="Y375" r:id="rId374"/>
    <hyperlink ref="Y376" r:id="rId375"/>
    <hyperlink ref="Y377" r:id="rId376"/>
    <hyperlink ref="Y378" r:id="rId377"/>
    <hyperlink ref="Y379" r:id="rId378"/>
    <hyperlink ref="Y380" r:id="rId379"/>
    <hyperlink ref="Y381" r:id="rId380"/>
    <hyperlink ref="Y382" r:id="rId381"/>
    <hyperlink ref="Y383" r:id="rId382"/>
    <hyperlink ref="Y384" r:id="rId383"/>
    <hyperlink ref="Y385" r:id="rId384"/>
    <hyperlink ref="Y386" r:id="rId385"/>
    <hyperlink ref="Y387" r:id="rId386"/>
    <hyperlink ref="Y388" r:id="rId387"/>
    <hyperlink ref="Y389" r:id="rId388"/>
    <hyperlink ref="Y390" r:id="rId389"/>
    <hyperlink ref="Y391" r:id="rId390"/>
    <hyperlink ref="Y392" r:id="rId391"/>
    <hyperlink ref="Y393" r:id="rId392"/>
    <hyperlink ref="Y394" r:id="rId393"/>
    <hyperlink ref="Y395" r:id="rId394"/>
    <hyperlink ref="Y396" r:id="rId395"/>
    <hyperlink ref="Y397" r:id="rId396"/>
    <hyperlink ref="Y398" r:id="rId397"/>
    <hyperlink ref="Y399" r:id="rId398"/>
    <hyperlink ref="Y400" r:id="rId399"/>
    <hyperlink ref="Y401" r:id="rId400"/>
    <hyperlink ref="Y402" r:id="rId401"/>
    <hyperlink ref="Y403" r:id="rId402"/>
    <hyperlink ref="Y404" r:id="rId403"/>
    <hyperlink ref="Y405" r:id="rId404"/>
    <hyperlink ref="Y406" r:id="rId405"/>
    <hyperlink ref="Y407" r:id="rId406"/>
    <hyperlink ref="Y408" r:id="rId407"/>
    <hyperlink ref="Y409" r:id="rId408"/>
    <hyperlink ref="Y410" r:id="rId409"/>
    <hyperlink ref="Y411" r:id="rId410"/>
    <hyperlink ref="Y412" r:id="rId411"/>
    <hyperlink ref="Y413" r:id="rId412"/>
    <hyperlink ref="Y414" r:id="rId413"/>
    <hyperlink ref="Y415" r:id="rId414"/>
    <hyperlink ref="Y416" r:id="rId415"/>
    <hyperlink ref="Y417" r:id="rId416"/>
    <hyperlink ref="Y418" r:id="rId417"/>
    <hyperlink ref="Y419" r:id="rId418"/>
    <hyperlink ref="Y420" r:id="rId419"/>
    <hyperlink ref="Y421" r:id="rId420"/>
    <hyperlink ref="Y422" r:id="rId421"/>
    <hyperlink ref="Y423" r:id="rId422"/>
    <hyperlink ref="Y424" r:id="rId423"/>
    <hyperlink ref="Y425" r:id="rId424"/>
    <hyperlink ref="Y426" r:id="rId425"/>
    <hyperlink ref="Y427" r:id="rId426"/>
    <hyperlink ref="Y428" r:id="rId427"/>
    <hyperlink ref="Y429" r:id="rId428"/>
    <hyperlink ref="Y430" r:id="rId429"/>
    <hyperlink ref="Y431" r:id="rId430"/>
    <hyperlink ref="Y432" r:id="rId431"/>
    <hyperlink ref="Y433" r:id="rId432"/>
    <hyperlink ref="Y434" r:id="rId433"/>
    <hyperlink ref="Y435" r:id="rId434"/>
    <hyperlink ref="Y436" r:id="rId435"/>
    <hyperlink ref="Y437" r:id="rId436"/>
    <hyperlink ref="Y438" r:id="rId437"/>
    <hyperlink ref="Y439" r:id="rId438"/>
    <hyperlink ref="Y440" r:id="rId439"/>
    <hyperlink ref="Y441" r:id="rId440"/>
    <hyperlink ref="Y442" r:id="rId441"/>
    <hyperlink ref="Y443" r:id="rId442"/>
    <hyperlink ref="Y444" r:id="rId443"/>
    <hyperlink ref="Y445" r:id="rId444"/>
    <hyperlink ref="Y446" r:id="rId445"/>
    <hyperlink ref="Y447" r:id="rId446"/>
    <hyperlink ref="Y448" r:id="rId447"/>
    <hyperlink ref="Y449" r:id="rId448"/>
    <hyperlink ref="Y450" r:id="rId449"/>
    <hyperlink ref="Y451" r:id="rId450"/>
    <hyperlink ref="Y452" r:id="rId451"/>
    <hyperlink ref="Y453" r:id="rId452"/>
    <hyperlink ref="Y454" r:id="rId453"/>
    <hyperlink ref="Y455" r:id="rId454"/>
    <hyperlink ref="Y456" r:id="rId455"/>
    <hyperlink ref="Y457" r:id="rId456"/>
    <hyperlink ref="Y458" r:id="rId457"/>
    <hyperlink ref="Y459" r:id="rId458"/>
    <hyperlink ref="Y460" r:id="rId459"/>
    <hyperlink ref="Y461" r:id="rId460"/>
    <hyperlink ref="Y462" r:id="rId461"/>
    <hyperlink ref="Y463" r:id="rId462"/>
    <hyperlink ref="Y464" r:id="rId463"/>
    <hyperlink ref="Y465" r:id="rId464"/>
    <hyperlink ref="Y466" r:id="rId465"/>
    <hyperlink ref="Y467" r:id="rId466"/>
    <hyperlink ref="Y468" r:id="rId467"/>
    <hyperlink ref="Y469" r:id="rId468"/>
    <hyperlink ref="Y470" r:id="rId469"/>
    <hyperlink ref="Y471" r:id="rId470"/>
    <hyperlink ref="Y472" r:id="rId471"/>
    <hyperlink ref="Y473" r:id="rId472"/>
    <hyperlink ref="Y474" r:id="rId473"/>
    <hyperlink ref="Y475" r:id="rId474"/>
    <hyperlink ref="Y476" r:id="rId475"/>
    <hyperlink ref="Y477" r:id="rId476"/>
    <hyperlink ref="Y478" r:id="rId477"/>
    <hyperlink ref="Y479" r:id="rId478"/>
    <hyperlink ref="Y480" r:id="rId479"/>
    <hyperlink ref="Y481" r:id="rId480"/>
    <hyperlink ref="Y482" r:id="rId481"/>
    <hyperlink ref="Y483" r:id="rId482"/>
    <hyperlink ref="Y484" r:id="rId483"/>
    <hyperlink ref="Y485" r:id="rId484"/>
    <hyperlink ref="Y486" r:id="rId485"/>
    <hyperlink ref="Y487" r:id="rId486"/>
    <hyperlink ref="Y488" r:id="rId487"/>
    <hyperlink ref="Y489" r:id="rId488"/>
    <hyperlink ref="Y490" r:id="rId489"/>
    <hyperlink ref="Y491" r:id="rId490"/>
    <hyperlink ref="Y492" r:id="rId491"/>
    <hyperlink ref="Y493" r:id="rId492"/>
    <hyperlink ref="Y494" r:id="rId493"/>
    <hyperlink ref="Y495" r:id="rId494"/>
    <hyperlink ref="Y496" r:id="rId495"/>
    <hyperlink ref="Y497" r:id="rId496"/>
    <hyperlink ref="Y498" r:id="rId497"/>
    <hyperlink ref="Y499" r:id="rId498"/>
    <hyperlink ref="Y500" r:id="rId499"/>
    <hyperlink ref="Y501" r:id="rId500"/>
    <hyperlink ref="Y502" r:id="rId501"/>
    <hyperlink ref="Y503" r:id="rId502"/>
    <hyperlink ref="Y504" r:id="rId503"/>
    <hyperlink ref="Y505" r:id="rId504"/>
    <hyperlink ref="Y506" r:id="rId505"/>
    <hyperlink ref="Y507" r:id="rId506"/>
    <hyperlink ref="Y508" r:id="rId507"/>
    <hyperlink ref="Y509" r:id="rId508"/>
    <hyperlink ref="Y510" r:id="rId509"/>
    <hyperlink ref="Y511" r:id="rId510"/>
    <hyperlink ref="Y512" r:id="rId511"/>
    <hyperlink ref="Y513" r:id="rId512"/>
    <hyperlink ref="Y514" r:id="rId513"/>
    <hyperlink ref="Y515" r:id="rId514"/>
    <hyperlink ref="Y516" r:id="rId515"/>
    <hyperlink ref="Y517" r:id="rId516"/>
    <hyperlink ref="Y518" r:id="rId517"/>
    <hyperlink ref="Y519" r:id="rId518"/>
    <hyperlink ref="Y520" r:id="rId519"/>
    <hyperlink ref="Y521" r:id="rId520"/>
    <hyperlink ref="Y522" r:id="rId521"/>
    <hyperlink ref="Y523" r:id="rId522"/>
    <hyperlink ref="Y524" r:id="rId523"/>
    <hyperlink ref="Y525" r:id="rId524"/>
    <hyperlink ref="Y526" r:id="rId525"/>
    <hyperlink ref="Y527" r:id="rId526"/>
    <hyperlink ref="Y528" r:id="rId527"/>
    <hyperlink ref="Y529" r:id="rId528"/>
    <hyperlink ref="Y530" r:id="rId529"/>
    <hyperlink ref="Y531" r:id="rId530"/>
    <hyperlink ref="Y532" r:id="rId531"/>
    <hyperlink ref="Y533" r:id="rId532"/>
    <hyperlink ref="Y534" r:id="rId533"/>
    <hyperlink ref="Y535" r:id="rId534"/>
    <hyperlink ref="Y536" r:id="rId535"/>
    <hyperlink ref="Y537" r:id="rId536"/>
    <hyperlink ref="Y538" r:id="rId537"/>
    <hyperlink ref="Y539" r:id="rId538"/>
    <hyperlink ref="Y540" r:id="rId539"/>
    <hyperlink ref="Y541" r:id="rId540"/>
    <hyperlink ref="Y542" r:id="rId541"/>
    <hyperlink ref="Y543" r:id="rId542"/>
    <hyperlink ref="Y544" r:id="rId543"/>
    <hyperlink ref="Y545" r:id="rId544"/>
    <hyperlink ref="Y546" r:id="rId545"/>
    <hyperlink ref="Y547" r:id="rId546"/>
    <hyperlink ref="Y548" r:id="rId547"/>
    <hyperlink ref="Y549" r:id="rId548"/>
    <hyperlink ref="Y550" r:id="rId549"/>
    <hyperlink ref="Y551" r:id="rId550"/>
    <hyperlink ref="Y552" r:id="rId551"/>
    <hyperlink ref="Y553" r:id="rId552"/>
    <hyperlink ref="Y554" r:id="rId553"/>
    <hyperlink ref="Y555" r:id="rId554"/>
    <hyperlink ref="Y556" r:id="rId555"/>
    <hyperlink ref="Y557" r:id="rId556"/>
    <hyperlink ref="Y558" r:id="rId557"/>
    <hyperlink ref="Y559" r:id="rId558"/>
    <hyperlink ref="Y560" r:id="rId559"/>
    <hyperlink ref="Y561" r:id="rId560"/>
    <hyperlink ref="Y562" r:id="rId561"/>
    <hyperlink ref="Y563" r:id="rId562"/>
    <hyperlink ref="Y564" r:id="rId563"/>
    <hyperlink ref="Y565" r:id="rId564"/>
    <hyperlink ref="Y566" r:id="rId565"/>
    <hyperlink ref="Y567" r:id="rId566"/>
    <hyperlink ref="Y568" r:id="rId567"/>
    <hyperlink ref="Y569" r:id="rId568"/>
    <hyperlink ref="Y570" r:id="rId569"/>
    <hyperlink ref="Y571" r:id="rId570"/>
    <hyperlink ref="Y572" r:id="rId571"/>
    <hyperlink ref="Y573" r:id="rId572"/>
    <hyperlink ref="Y574" r:id="rId573"/>
    <hyperlink ref="Y575" r:id="rId574"/>
    <hyperlink ref="Y576" r:id="rId575"/>
    <hyperlink ref="Y577" r:id="rId576"/>
    <hyperlink ref="Y578" r:id="rId577"/>
    <hyperlink ref="Y579" r:id="rId578"/>
    <hyperlink ref="Y580" r:id="rId579"/>
    <hyperlink ref="Y581" r:id="rId580"/>
    <hyperlink ref="Y582" r:id="rId581"/>
    <hyperlink ref="Y583" r:id="rId582"/>
    <hyperlink ref="Y584" r:id="rId583"/>
    <hyperlink ref="Y585" r:id="rId584"/>
    <hyperlink ref="Y586" r:id="rId585"/>
    <hyperlink ref="Y587" r:id="rId586"/>
    <hyperlink ref="Y588" r:id="rId587"/>
    <hyperlink ref="Y589" r:id="rId588"/>
    <hyperlink ref="Y590" r:id="rId589"/>
    <hyperlink ref="Y591" r:id="rId590"/>
    <hyperlink ref="Y592" r:id="rId591"/>
    <hyperlink ref="Y593" r:id="rId592"/>
    <hyperlink ref="Y594" r:id="rId593"/>
    <hyperlink ref="Y595" r:id="rId594"/>
    <hyperlink ref="Y596" r:id="rId595"/>
    <hyperlink ref="Y597" r:id="rId596"/>
    <hyperlink ref="Y598" r:id="rId597"/>
    <hyperlink ref="Y599" r:id="rId598"/>
    <hyperlink ref="Y600" r:id="rId599"/>
    <hyperlink ref="Y601" r:id="rId600"/>
    <hyperlink ref="Y602" r:id="rId601"/>
    <hyperlink ref="Y603" r:id="rId602"/>
    <hyperlink ref="Y604" r:id="rId603"/>
    <hyperlink ref="Y605" r:id="rId604"/>
    <hyperlink ref="Y606" r:id="rId605"/>
    <hyperlink ref="Y607" r:id="rId606"/>
    <hyperlink ref="Y608" r:id="rId607"/>
    <hyperlink ref="Y609" r:id="rId608"/>
    <hyperlink ref="Y610" r:id="rId609"/>
    <hyperlink ref="Y611" r:id="rId610"/>
    <hyperlink ref="Y612" r:id="rId611"/>
    <hyperlink ref="Y613" r:id="rId612"/>
    <hyperlink ref="Y614" r:id="rId613"/>
    <hyperlink ref="Y615" r:id="rId614"/>
    <hyperlink ref="Y616" r:id="rId615"/>
    <hyperlink ref="Y617" r:id="rId616"/>
    <hyperlink ref="Y618" r:id="rId617"/>
    <hyperlink ref="Y619" r:id="rId618"/>
    <hyperlink ref="Y620" r:id="rId619"/>
    <hyperlink ref="Y621" r:id="rId620"/>
    <hyperlink ref="Y622" r:id="rId621"/>
    <hyperlink ref="Y623" r:id="rId622"/>
    <hyperlink ref="Y624" r:id="rId623"/>
    <hyperlink ref="Y625" r:id="rId624"/>
    <hyperlink ref="Y626" r:id="rId625"/>
    <hyperlink ref="Y627" r:id="rId626"/>
    <hyperlink ref="Y628" r:id="rId627"/>
    <hyperlink ref="Y629" r:id="rId628"/>
    <hyperlink ref="Y630" r:id="rId629"/>
    <hyperlink ref="Y631" r:id="rId630"/>
    <hyperlink ref="Y632" r:id="rId631"/>
    <hyperlink ref="Y633" r:id="rId632"/>
    <hyperlink ref="Y634" r:id="rId633"/>
    <hyperlink ref="Y635" r:id="rId634"/>
    <hyperlink ref="Y636" r:id="rId635"/>
    <hyperlink ref="Y637" r:id="rId636"/>
    <hyperlink ref="Y638" r:id="rId637"/>
    <hyperlink ref="Y639" r:id="rId638"/>
    <hyperlink ref="Y640" r:id="rId639"/>
    <hyperlink ref="Y641" r:id="rId640"/>
    <hyperlink ref="Y642" r:id="rId641"/>
    <hyperlink ref="Y643" r:id="rId642"/>
    <hyperlink ref="Y644" r:id="rId643"/>
    <hyperlink ref="Y645" r:id="rId644"/>
    <hyperlink ref="Y646" r:id="rId645"/>
    <hyperlink ref="Y647" r:id="rId646"/>
    <hyperlink ref="Y648" r:id="rId647"/>
    <hyperlink ref="Y649" r:id="rId648"/>
    <hyperlink ref="Y650" r:id="rId649"/>
    <hyperlink ref="Y651" r:id="rId650"/>
    <hyperlink ref="Y652" r:id="rId651"/>
    <hyperlink ref="Y653" r:id="rId652"/>
    <hyperlink ref="Y654" r:id="rId653"/>
    <hyperlink ref="Y655" r:id="rId654"/>
    <hyperlink ref="Y656" r:id="rId65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12" customWidth="1" min="2" max="2"/>
  </cols>
  <sheetData>
    <row r="1" ht="30" customHeight="1">
      <c r="A1" s="1" t="inlineStr">
        <is>
          <t>Notes &amp; Method</t>
        </is>
      </c>
    </row>
    <row r="2" ht="18" customHeight="1">
      <c r="A2" s="2" t="inlineStr">
        <is>
          <t>How every number in this workbook was derived, and what to watch for.</t>
        </is>
      </c>
    </row>
    <row r="4" ht="20" customHeight="1">
      <c r="A4" s="29" t="inlineStr">
        <is>
          <t>Scope</t>
        </is>
      </c>
    </row>
    <row r="5" ht="26" customHeight="1">
      <c r="A5" s="30" t="inlineStr">
        <is>
          <t>Program</t>
        </is>
      </c>
      <c r="B5" s="31" t="inlineStr">
        <is>
          <t>Kohler iSell Beer Summer Display Auction (Sales Reps) and Summer Display Rewards (Sales Associates), July/August 2026.</t>
        </is>
      </c>
    </row>
    <row r="6" ht="26" customHeight="1">
      <c r="A6" s="30" t="inlineStr">
        <is>
          <t>Source data</t>
        </is>
      </c>
      <c r="B6" s="31" t="inlineStr">
        <is>
          <t>iSellBeer display photo export, one row per SKU per photo. Loaded from DisplayPhotoReport.csv in the display-auction-tracker folder of the dashboards repo — the same file that drives the live leaderboard.</t>
        </is>
      </c>
    </row>
    <row r="7" ht="15" customHeight="1">
      <c r="A7" s="30" t="inlineStr">
        <is>
          <t>Window</t>
        </is>
      </c>
      <c r="B7" s="31" t="inlineStr">
        <is>
          <t>07/01/2026 through 08/31/2026 — the complete program period.</t>
        </is>
      </c>
    </row>
    <row r="8" ht="15" customHeight="1">
      <c r="A8" s="30" t="inlineStr">
        <is>
          <t>Last pull</t>
        </is>
      </c>
      <c r="B8" s="31" t="inlineStr">
        <is>
          <t>Report_59, pulled 08/31/2026.</t>
        </is>
      </c>
    </row>
    <row r="9" ht="20" customHeight="1">
      <c r="A9" s="29" t="inlineStr">
        <is>
          <t>What counts as one display</t>
        </is>
      </c>
    </row>
    <row r="10" ht="39" customHeight="1">
      <c r="A10" s="30" t="inlineStr">
        <is>
          <t>Display definition</t>
        </is>
      </c>
      <c r="B10" s="31" t="inlineStr">
        <is>
          <t>One display = one photo submission = all export rows sharing the same Photo Taker + Account # + Date/Time. Multiple SKU rows under one photo are summed into that display's case count. This matches how the live tracker scores the board.</t>
        </is>
      </c>
    </row>
    <row r="11" ht="15" customHeight="1">
      <c r="A11" s="30" t="inlineStr">
        <is>
          <t>Case count</t>
        </is>
      </c>
      <c r="B11" s="31" t="inlineStr">
        <is>
          <t>The display's TOTAL cases across every SKU in the photo. This is the number the tier is scored on.</t>
        </is>
      </c>
    </row>
    <row r="12" ht="26" customHeight="1">
      <c r="A12" s="30" t="inlineStr">
        <is>
          <t>Tier</t>
        </is>
      </c>
      <c r="B12" s="31" t="inlineStr">
        <is>
          <t>Gold 70+ · Silver 40-69 · Bronze 20-39 · Other 10-19 · under 10 cases does not qualify. A display appears in exactly one tier.</t>
        </is>
      </c>
    </row>
    <row r="13" ht="20" customHeight="1">
      <c r="A13" s="29" t="inlineStr">
        <is>
          <t>Supplier attribution</t>
        </is>
      </c>
    </row>
    <row r="14" ht="39" customHeight="1">
      <c r="A14" s="30" t="inlineStr">
        <is>
          <t>Rule</t>
        </is>
      </c>
      <c r="B14" s="31" t="inlineStr">
        <is>
          <t>Each display is credited to the single supplier group holding the most cases in that photo, so no display is counted twice. 29 of 655 submissions (13 of the 494 qualifying) carry more than one supplier — all are listed on the Multi-Supplier Audit tab with their full case split.</t>
        </is>
      </c>
    </row>
    <row r="15" ht="52" customHeight="1">
      <c r="A15" s="30" t="inlineStr">
        <is>
          <t>Why brand, not the Supplier column</t>
        </is>
      </c>
      <c r="B15" s="31" t="inlineStr">
        <is>
          <t>Supplier is mapped from the brand rather than read off the export's Supplier column, because three groups do not line up with it: Garage Beer appears under both GARAGE BEER CO. and MAHOU USA (its contract brewer), Lytt under both BOSTON BEER COMPANY and LYTT LLC, and Montauk sits under TILRAY BRANDS next to the unrelated Popsicle FMB.</t>
        </is>
      </c>
    </row>
    <row r="16" ht="15" customHeight="1">
      <c r="A16" s="30" t="inlineStr">
        <is>
          <t>Pabst</t>
        </is>
      </c>
      <c r="B16" s="31" t="inlineStr">
        <is>
          <t>Named on the program slide, but no Pabst display was submitted in July or August — the row reads zero.</t>
        </is>
      </c>
    </row>
    <row r="17" ht="20" customHeight="1">
      <c r="A17" s="29" t="inlineStr">
        <is>
          <t>Points</t>
        </is>
      </c>
    </row>
    <row r="18" ht="39" customHeight="1">
      <c r="A18" s="30" t="inlineStr">
        <is>
          <t>Scale used</t>
        </is>
      </c>
      <c r="B18" s="31" t="inlineStr">
        <is>
          <t>Points are the live tracker's published scale: Priority 200 / 300 / 500 / 1000 for Other / Bronze / Silver / Gold, All Other 100 / 200 / 300 / 600. Workbook total 302,200 points reconciles exactly to the published leaderboard.</t>
        </is>
      </c>
    </row>
    <row r="19" ht="78" customHeight="1">
      <c r="A19" s="32" t="inlineStr">
        <is>
          <t>ATTENTION — differs from the slide</t>
        </is>
      </c>
      <c r="B19" s="33" t="inlineStr">
        <is>
          <t>The program slide shows a 10x-smaller scale (Priority 100 Gold / 50 Silver / 30 Bronze, All Other 60 / 30 / 10, plus 10 points for any 10+ case display). Scaled up, that is Priority 1000/500/300/100 and All Other 600/300/100/100 — which agrees with the tracker at Gold and Silver but not at the two smallest tiers (tracker Priority-Other 200 vs slide 100; tracker All-Other-Bronze 200 vs slide 100). The tracker's values were confirmed directly by Kohler when each tier first appeared, so they are what the board pays. Worth a quick confirmation before the September auction if points are being redeemed off the slide.</t>
        </is>
      </c>
    </row>
    <row r="20" ht="52" customHeight="1">
      <c r="A20" s="30" t="inlineStr">
        <is>
          <t>Priority vs All Other</t>
        </is>
      </c>
      <c r="B20" s="31" t="inlineStr">
        <is>
          <t>Assigned per brand from the tracker's own confirmed brand lists, not from the supplier grouping. Two consequences worth knowing: Molson Coors covers both Priority brands (Coors, Miller Lite, Blue Moon) and an All Other one (Redd's); and Monaco and Fever-Tree score as Priority on the tracker although neither appears on the program slide's supplier list.</t>
        </is>
      </c>
    </row>
    <row r="21" ht="26" customHeight="1">
      <c r="A21" s="30" t="inlineStr">
        <is>
          <t>Mixed-class displays</t>
        </is>
      </c>
      <c r="B21" s="31" t="inlineStr">
        <is>
          <t>A display carrying both Priority and All Other brands is classed by whichever side holds more cases, then scored on the display's total cases — the rule Kohler confirmed when this first appeared.</t>
        </is>
      </c>
    </row>
    <row r="22" ht="20" customHeight="1">
      <c r="A22" s="29" t="inlineStr">
        <is>
          <t>Data quality</t>
        </is>
      </c>
    </row>
    <row r="23" ht="39" customHeight="1">
      <c r="A23" s="30" t="inlineStr">
        <is>
          <t>Complete fields</t>
        </is>
      </c>
      <c r="B23" s="31" t="inlineStr">
        <is>
          <t>Photo Taker, Role, District Manager, Account #, DBA, City, Brand, SKU, Quantity, Date/Time and the photo link are populated on every one of the 1,479 source rows. Nothing needed to identify a display, its cases, or its rep is missing.</t>
        </is>
      </c>
    </row>
    <row r="24" ht="26" customHeight="1">
      <c r="A24" s="30" t="inlineStr">
        <is>
          <t>Blank Brand Family</t>
        </is>
      </c>
      <c r="B24" s="31" t="inlineStr">
        <is>
          <t>94 rows carry no Brand Family and fall back to the raw Brand column (Carbliss, Monaco, Sinless, Sun Cruisers). Handled, no data lost.</t>
        </is>
      </c>
    </row>
    <row r="25" ht="26" customHeight="1">
      <c r="A25" s="30" t="inlineStr">
        <is>
          <t>Blank Supplier</t>
        </is>
      </c>
      <c r="B25" s="31" t="inlineStr">
        <is>
          <t>1 row (a Monaco line) has no Supplier value. It is resolved by brand, so it lands in All Other rather than Unspecified.</t>
        </is>
      </c>
    </row>
    <row r="26" ht="26" customHeight="1">
      <c r="A26" s="30" t="inlineStr">
        <is>
          <t>Zero-quantity rows</t>
        </is>
      </c>
      <c r="B26" s="31" t="inlineStr">
        <is>
          <t>97 rows carry Quantity 0. They are real SKU lines on real photos and are kept, but contribute no cases — a display made up entirely of them scores as non-qualifying.</t>
        </is>
      </c>
    </row>
    <row r="27" ht="26" customHeight="1">
      <c r="A27" s="30" t="inlineStr">
        <is>
          <t>Non-qualifying displays</t>
        </is>
      </c>
      <c r="B27" s="31" t="inlineStr">
        <is>
          <t>161 of the 655 submissions came in under 10 cases. They are kept in the detail (greyed out, Qualifying? = No) so the tabs reconcile to the full submission count, but they are excluded from every qualifying total.</t>
        </is>
      </c>
    </row>
    <row r="28" ht="20" customHeight="1">
      <c r="A28" s="29" t="inlineStr">
        <is>
          <t>Duplicates</t>
        </is>
      </c>
    </row>
    <row r="29" ht="39" customHeight="1">
      <c r="A29" s="30" t="inlineStr">
        <is>
          <t>What was checked</t>
        </is>
      </c>
      <c r="B29" s="31" t="inlineStr">
        <is>
          <t>Every qualifying display was compared against the others on the same account and the same day. Three patterns are flagged on the Duplicate Check tab, and the Display Detail tab carries a matching Duplicate Flag column you can filter on.</t>
        </is>
      </c>
    </row>
    <row r="30" ht="39" customHeight="1">
      <c r="A30" s="30" t="inlineStr">
        <is>
          <t>Same person — exact repeat</t>
        </is>
      </c>
      <c r="B30" s="31" t="inlineStr">
        <is>
          <t>2 displays. One person logged the identical account, day, case count and brand twice, minutes apart (Klejdi Lamo, Shop Rite Stanhope, 70 cases of Sun Cruisers, 12:09 and 12:10 PM; mickey obrien, Buy Rite of Fairview, 65 cases of Modelo, 12:19 and 12:26 PM). These look like straightforward double submissions.</t>
        </is>
      </c>
    </row>
    <row r="31" ht="39" customHeight="1">
      <c r="A31" s="30" t="inlineStr">
        <is>
          <t>Cross-person — exact match</t>
        </is>
      </c>
      <c r="B31" s="31" t="inlineStr">
        <is>
          <t>35 displays. Two or more people logged the same account, day, cases and brands. Most pair a Sales Rep with the Sales Associate working the same store — whether that is double counting depends on whether both programs are meant to pay on the same physical display.</t>
        </is>
      </c>
    </row>
    <row r="32" ht="26" customHeight="1">
      <c r="A32" s="30" t="inlineStr">
        <is>
          <t>Cross-person — same brands, different cases</t>
        </is>
      </c>
      <c r="B32" s="31" t="inlineStr">
        <is>
          <t>28 displays. Same account, day and brands, but each person recorded a different case count (e.g. Buy Rite of Hackensack 07/15: Dave Ehlers logged 77 cases of Modelo, mickey obrien logged 82).</t>
        </is>
      </c>
    </row>
    <row r="33" ht="39" customHeight="1">
      <c r="A33" s="30" t="inlineStr">
        <is>
          <t>Nothing was removed</t>
        </is>
      </c>
      <c r="B33" s="31" t="inlineStr">
        <is>
          <t>Every summary figure in this workbook includes all 494 qualifying displays and matches the published leaderboard. The 65 flagged displays carry 43,800 points (14.5% of the board) — decide the treatment first, then rerun if any are to be excluded.</t>
        </is>
      </c>
    </row>
    <row r="34" ht="39" customHeight="1">
      <c r="A34" s="30" t="inlineStr">
        <is>
          <t>Not duplicates</t>
        </is>
      </c>
      <c r="B34" s="31" t="inlineStr">
        <is>
          <t>No photo URL appears on more than one display, so nothing is double-counted at the photo level. Repeat visits to the same account on DIFFERENT days, and different brands photographed separately on the same visit, are normal program activity and are not flagged.</t>
        </is>
      </c>
    </row>
    <row r="35" ht="20" customHeight="1">
      <c r="A35" s="29" t="inlineStr">
        <is>
          <t>Reconciliation</t>
        </is>
      </c>
    </row>
    <row r="36" ht="26" customHeight="1">
      <c r="A36" s="30" t="inlineStr">
        <is>
          <t>Check</t>
        </is>
      </c>
      <c r="B36" s="31" t="inlineStr">
        <is>
          <t>655 total submissions · 494 qualifying · 302,200 points. All three tie exactly to the live tracker at gavinsharkey5.github.io/Kohler-Dist-Master-Dashboard/isellbeer/display-auction-tracker/.</t>
        </is>
      </c>
    </row>
  </sheetData>
  <mergeCells count="9">
    <mergeCell ref="A4:B4"/>
    <mergeCell ref="A2:B2"/>
    <mergeCell ref="A28:B28"/>
    <mergeCell ref="A13:B13"/>
    <mergeCell ref="A1:B1"/>
    <mergeCell ref="A17:B17"/>
    <mergeCell ref="A9:B9"/>
    <mergeCell ref="A22:B22"/>
    <mergeCell ref="A35:B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2026-08-31T15:22:34Z</dcterms:created>
  <dcterms:modified xsi:type="dcterms:W3CDTF">2026-08-31T15:22:35Z</dcterms:modified>
</cp:coreProperties>
</file>