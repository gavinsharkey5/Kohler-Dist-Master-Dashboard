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ap" sheetId="1" state="visible" r:id="rId1"/>
    <sheet name="Program Setup" sheetId="2" state="visible" r:id="rId2"/>
    <sheet name="Amplify Detail" sheetId="3" state="visible" r:id="rId3"/>
    <sheet name="Rep Totals" sheetId="4" state="visible" r:id="rId4"/>
  </sheets>
  <definedNames>
    <definedName name="_xlnm._FilterDatabase" localSheetId="0" hidden="1">'Recap'!$A$4:$O$233</definedName>
    <definedName name="_xlnm._FilterDatabase" localSheetId="2" hidden="1">'Amplify Detail'!$A$4:$J$496</definedName>
    <definedName name="_xlnm._FilterDatabase" localSheetId="3" hidden="1">'Rep Totals'!$A$4:$I$32</definedName>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0;($#,##0.00);-"/>
  </numFmts>
  <fonts count="9">
    <font>
      <name val="Calibri"/>
      <family val="2"/>
      <color theme="1"/>
      <sz val="11"/>
      <scheme val="minor"/>
    </font>
    <font>
      <name val="Arial"/>
      <b val="1"/>
      <color rgb="001F3864"/>
      <sz val="16"/>
    </font>
    <font>
      <name val="Arial"/>
      <color rgb="00595959"/>
      <sz val="9"/>
    </font>
    <font>
      <name val="Arial"/>
      <b val="1"/>
      <color rgb="00FFFFFF"/>
      <sz val="10"/>
    </font>
    <font>
      <name val="Arial"/>
      <sz val="10"/>
    </font>
    <font>
      <name val="Arial"/>
      <color rgb="000000FF"/>
      <sz val="10"/>
    </font>
    <font>
      <name val="Arial"/>
      <b val="1"/>
      <sz val="10"/>
    </font>
    <font>
      <name val="Arial"/>
      <b val="1"/>
      <color rgb="001F3864"/>
      <sz val="15"/>
    </font>
    <font>
      <name val="Arial"/>
      <b val="1"/>
      <color rgb="00C00000"/>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164" fontId="5" fillId="0" borderId="0" pivotButton="0" quotePrefix="0" xfId="0"/>
    <xf numFmtId="165" fontId="4" fillId="0" borderId="0" pivotButton="0" quotePrefix="0" xfId="0"/>
    <xf numFmtId="166" fontId="4" fillId="0" borderId="0" pivotButton="0" quotePrefix="0" xfId="0"/>
    <xf numFmtId="164" fontId="4" fillId="0" borderId="0" pivotButton="0" quotePrefix="0" xfId="0"/>
    <xf numFmtId="9" fontId="4" fillId="0" borderId="0" pivotButton="0" quotePrefix="0" xfId="0"/>
    <xf numFmtId="0" fontId="6" fillId="0" borderId="0" pivotButton="0" quotePrefix="0" xfId="0"/>
    <xf numFmtId="166" fontId="6" fillId="0" borderId="0" pivotButton="0" quotePrefix="0" xfId="0"/>
    <xf numFmtId="164" fontId="6" fillId="0" borderId="0" pivotButton="0" quotePrefix="0" xfId="0"/>
    <xf numFmtId="0" fontId="7" fillId="0" borderId="0" pivotButton="0" quotePrefix="0" xfId="0"/>
    <xf numFmtId="0" fontId="5" fillId="0" borderId="0" pivotButton="0" quotePrefix="0" xfId="0"/>
    <xf numFmtId="166" fontId="5" fillId="0" borderId="0" pivotButton="0" quotePrefix="0" xfId="0"/>
    <xf numFmtId="9" fontId="5" fillId="0" borderId="0" pivotButton="0" quotePrefix="0" xfId="0"/>
    <xf numFmtId="0" fontId="8" fillId="0" borderId="0" pivotButton="0" quotePrefix="0" xfId="0"/>
    <xf numFmtId="167"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4"/>
  <sheetViews>
    <sheetView workbookViewId="0">
      <pane ySplit="4" topLeftCell="A5" activePane="bottomLeft" state="frozen"/>
      <selection pane="bottomLeft" activeCell="A1" sqref="A1"/>
    </sheetView>
  </sheetViews>
  <sheetFormatPr baseColWidth="8" defaultRowHeight="15"/>
  <cols>
    <col width="20" customWidth="1" min="1" max="1"/>
    <col width="16" customWidth="1" min="2" max="2"/>
    <col width="30" customWidth="1" min="3" max="3"/>
    <col width="14" customWidth="1" min="4" max="4"/>
    <col width="13" customWidth="1" min="5" max="5"/>
    <col width="11" customWidth="1" min="6" max="6"/>
    <col width="21" customWidth="1" min="7" max="7"/>
    <col width="11" customWidth="1" min="8" max="8"/>
    <col width="13" customWidth="1" min="9" max="9"/>
    <col width="15" customWidth="1" min="10" max="10"/>
    <col width="15" customWidth="1" min="11" max="11"/>
    <col width="16" customWidth="1" min="12" max="12"/>
    <col width="14" customWidth="1" min="13" max="13"/>
    <col width="14" customWidth="1" min="14" max="14"/>
    <col width="13" customWidth="1" min="15" max="15"/>
    <col width="34" customWidth="1" min="16" max="16"/>
  </cols>
  <sheetData>
    <row r="1">
      <c r="A1" s="1" t="inlineStr">
        <is>
          <t>Summer of Success 2026 — Recap by rep and supplier</t>
        </is>
      </c>
    </row>
    <row r="2">
      <c r="A2" s="2" t="inlineStr">
        <is>
          <t>Filter any column from row 4. Status drives everything: Qualified = tier payout + full Amplify rate · 90% Partial = half Amplify rate, no tier · Not Qualified = nothing.</t>
        </is>
      </c>
    </row>
    <row r="4">
      <c r="A4" s="3" t="inlineStr">
        <is>
          <t>Rep</t>
        </is>
      </c>
      <c r="B4" s="3" t="inlineStr">
        <is>
          <t>Manager</t>
        </is>
      </c>
      <c r="C4" s="3" t="inlineStr">
        <is>
          <t>Supplier</t>
        </is>
      </c>
      <c r="D4" s="3" t="inlineStr">
        <is>
          <t>Qualifier goal</t>
        </is>
      </c>
      <c r="E4" s="3" t="inlineStr">
        <is>
          <t>Actual CE</t>
        </is>
      </c>
      <c r="F4" s="3" t="inlineStr">
        <is>
          <t>% to goal</t>
        </is>
      </c>
      <c r="G4" s="3" t="inlineStr">
        <is>
          <t>Status</t>
        </is>
      </c>
      <c r="H4" s="3" t="inlineStr">
        <is>
          <t>Tier earned</t>
        </is>
      </c>
      <c r="I4" s="3" t="inlineStr">
        <is>
          <t>Tier payout</t>
        </is>
      </c>
      <c r="J4" s="3" t="inlineStr">
        <is>
          <t>Amplify actual CE</t>
        </is>
      </c>
      <c r="K4" s="3" t="inlineStr">
        <is>
          <t>Amplify goal CE</t>
        </is>
      </c>
      <c r="L4" s="3" t="inlineStr">
        <is>
          <t>Eligible amplify CE</t>
        </is>
      </c>
      <c r="M4" s="3" t="inlineStr">
        <is>
          <t>Amplify payout</t>
        </is>
      </c>
      <c r="N4" s="3" t="inlineStr">
        <is>
          <t>Total payout</t>
        </is>
      </c>
      <c r="O4" s="3" t="inlineStr">
        <is>
          <t>Rate multiplier</t>
        </is>
      </c>
      <c r="P4" s="3" t="inlineStr">
        <is>
          <t>Key</t>
        </is>
      </c>
    </row>
    <row r="5">
      <c r="A5" s="4" t="inlineStr">
        <is>
          <t>Alex Rodriguez</t>
        </is>
      </c>
      <c r="B5" s="4" t="inlineStr">
        <is>
          <t>Mike Kennedy</t>
        </is>
      </c>
      <c r="C5" s="4" t="inlineStr">
        <is>
          <t>Sapporo</t>
        </is>
      </c>
      <c r="D5" s="5" t="n"/>
      <c r="E5" s="5" t="n"/>
      <c r="F5" s="6">
        <f>IF($D5&gt;0,$E5/$D5,"")</f>
        <v/>
      </c>
      <c r="G5" s="4">
        <f>IF($D5&gt;0,IF($F5&gt;=1,"Qualified",IF($F5&gt;=0.9,"90% Partial Amplify","Not Qualified")),"No qualifier - Amplify open")</f>
        <v/>
      </c>
      <c r="H5" s="4">
        <f>IF($G5&lt;&gt;"Qualified","-",IFERROR(IF($E5&gt;=INDEX('Program Setup'!$C$18:$C$23,MATCH($C5,'Program Setup'!$B$18:$B$23,0)),1,IF($E5&gt;=INDEX('Program Setup'!$D$18:$D$23,MATCH($C5,'Program Setup'!$B$18:$B$23,0)),2,IF($E5&gt;=INDEX('Program Setup'!$E$18:$E$23,MATCH($C5,'Program Setup'!$B$18:$B$23,0)),3,"-"))),"-"))</f>
        <v/>
      </c>
      <c r="I5" s="7">
        <f>IF(ISNUMBER($H5),INDEX('Program Setup'!$B$6:$B$8,MATCH($H5,'Program Setup'!$A$6:$A$8,0)),0)</f>
        <v/>
      </c>
      <c r="J5" s="8">
        <f>SUMIFS('Amplify Detail'!$E$5:$E$496,'Amplify Detail'!$A$5:$A$496,$A5,'Amplify Detail'!$C$5:$C$496,$C5)</f>
        <v/>
      </c>
      <c r="K5" s="8">
        <f>SUMIFS('Amplify Detail'!$F$5:$F$496,'Amplify Detail'!$A$5:$A$496,$A5,'Amplify Detail'!$C$5:$C$496,$C5)</f>
        <v/>
      </c>
      <c r="L5" s="8">
        <f>SUMIFS('Amplify Detail'!$G$5:$G$496,'Amplify Detail'!$A$5:$A$496,$A5,'Amplify Detail'!$C$5:$C$496,$C5)</f>
        <v/>
      </c>
      <c r="M5" s="7">
        <f>SUMIFS('Amplify Detail'!$J$5:$J$496,'Amplify Detail'!$A$5:$A$496,$A5,'Amplify Detail'!$C$5:$C$496,$C5)</f>
        <v/>
      </c>
      <c r="N5" s="7">
        <f>$I5+$M5</f>
        <v/>
      </c>
      <c r="O5" s="9">
        <f>IF($G5="No qualifier - Amplify open",1,IFERROR(INDEX('Program Setup'!$B$12:$B$14,MATCH($G5,'Program Setup'!$A$12:$A$14,0)),0))</f>
        <v/>
      </c>
      <c r="P5" s="4">
        <f>$A5&amp;"|"&amp;$C5</f>
        <v/>
      </c>
    </row>
    <row r="6">
      <c r="A6" s="4" t="inlineStr">
        <is>
          <t>Alisa Acciardi</t>
        </is>
      </c>
      <c r="B6" s="4" t="inlineStr">
        <is>
          <t>Mike Kennedy</t>
        </is>
      </c>
      <c r="C6" s="4" t="inlineStr">
        <is>
          <t>Boston Beer Company</t>
        </is>
      </c>
      <c r="D6" s="5" t="n"/>
      <c r="E6" s="5" t="n">
        <v>24</v>
      </c>
      <c r="F6" s="6">
        <f>IF($D6&gt;0,$E6/$D6,"")</f>
        <v/>
      </c>
      <c r="G6" s="4">
        <f>IF($D6&gt;0,IF($F6&gt;=1,"Qualified",IF($F6&gt;=0.9,"90% Partial Amplify","Not Qualified")),"No qualifier - Amplify open")</f>
        <v/>
      </c>
      <c r="H6" s="4">
        <f>IF($G6&lt;&gt;"Qualified","-",IFERROR(IF($E6&gt;=INDEX('Program Setup'!$C$18:$C$23,MATCH($C6,'Program Setup'!$B$18:$B$23,0)),1,IF($E6&gt;=INDEX('Program Setup'!$D$18:$D$23,MATCH($C6,'Program Setup'!$B$18:$B$23,0)),2,IF($E6&gt;=INDEX('Program Setup'!$E$18:$E$23,MATCH($C6,'Program Setup'!$B$18:$B$23,0)),3,"-"))),"-"))</f>
        <v/>
      </c>
      <c r="I6" s="7">
        <f>IF(ISNUMBER($H6),INDEX('Program Setup'!$B$6:$B$8,MATCH($H6,'Program Setup'!$A$6:$A$8,0)),0)</f>
        <v/>
      </c>
      <c r="J6" s="8">
        <f>SUMIFS('Amplify Detail'!$E$5:$E$496,'Amplify Detail'!$A$5:$A$496,$A6,'Amplify Detail'!$C$5:$C$496,$C6)</f>
        <v/>
      </c>
      <c r="K6" s="8">
        <f>SUMIFS('Amplify Detail'!$F$5:$F$496,'Amplify Detail'!$A$5:$A$496,$A6,'Amplify Detail'!$C$5:$C$496,$C6)</f>
        <v/>
      </c>
      <c r="L6" s="8">
        <f>SUMIFS('Amplify Detail'!$G$5:$G$496,'Amplify Detail'!$A$5:$A$496,$A6,'Amplify Detail'!$C$5:$C$496,$C6)</f>
        <v/>
      </c>
      <c r="M6" s="7">
        <f>SUMIFS('Amplify Detail'!$J$5:$J$496,'Amplify Detail'!$A$5:$A$496,$A6,'Amplify Detail'!$C$5:$C$496,$C6)</f>
        <v/>
      </c>
      <c r="N6" s="7">
        <f>$I6+$M6</f>
        <v/>
      </c>
      <c r="O6" s="9">
        <f>IF($G6="No qualifier - Amplify open",1,IFERROR(INDEX('Program Setup'!$B$12:$B$14,MATCH($G6,'Program Setup'!$A$12:$A$14,0)),0))</f>
        <v/>
      </c>
      <c r="P6" s="4">
        <f>$A6&amp;"|"&amp;$C6</f>
        <v/>
      </c>
    </row>
    <row r="7">
      <c r="A7" s="4" t="inlineStr">
        <is>
          <t>Alisa Acciardi</t>
        </is>
      </c>
      <c r="B7" s="4" t="inlineStr">
        <is>
          <t>Mike Kennedy</t>
        </is>
      </c>
      <c r="C7" s="4" t="inlineStr">
        <is>
          <t>Cape May</t>
        </is>
      </c>
      <c r="D7" s="5" t="n"/>
      <c r="E7" s="5" t="n"/>
      <c r="F7" s="6">
        <f>IF($D7&gt;0,$E7/$D7,"")</f>
        <v/>
      </c>
      <c r="G7" s="4">
        <f>IF($D7&gt;0,IF($F7&gt;=1,"Qualified",IF($F7&gt;=0.9,"90% Partial Amplify","Not Qualified")),"No qualifier - Amplify open")</f>
        <v/>
      </c>
      <c r="H7" s="4">
        <f>IF($G7&lt;&gt;"Qualified","-",IFERROR(IF($E7&gt;=INDEX('Program Setup'!$C$18:$C$23,MATCH($C7,'Program Setup'!$B$18:$B$23,0)),1,IF($E7&gt;=INDEX('Program Setup'!$D$18:$D$23,MATCH($C7,'Program Setup'!$B$18:$B$23,0)),2,IF($E7&gt;=INDEX('Program Setup'!$E$18:$E$23,MATCH($C7,'Program Setup'!$B$18:$B$23,0)),3,"-"))),"-"))</f>
        <v/>
      </c>
      <c r="I7" s="7">
        <f>IF(ISNUMBER($H7),INDEX('Program Setup'!$B$6:$B$8,MATCH($H7,'Program Setup'!$A$6:$A$8,0)),0)</f>
        <v/>
      </c>
      <c r="J7" s="8">
        <f>SUMIFS('Amplify Detail'!$E$5:$E$496,'Amplify Detail'!$A$5:$A$496,$A7,'Amplify Detail'!$C$5:$C$496,$C7)</f>
        <v/>
      </c>
      <c r="K7" s="8">
        <f>SUMIFS('Amplify Detail'!$F$5:$F$496,'Amplify Detail'!$A$5:$A$496,$A7,'Amplify Detail'!$C$5:$C$496,$C7)</f>
        <v/>
      </c>
      <c r="L7" s="8">
        <f>SUMIFS('Amplify Detail'!$G$5:$G$496,'Amplify Detail'!$A$5:$A$496,$A7,'Amplify Detail'!$C$5:$C$496,$C7)</f>
        <v/>
      </c>
      <c r="M7" s="7">
        <f>SUMIFS('Amplify Detail'!$J$5:$J$496,'Amplify Detail'!$A$5:$A$496,$A7,'Amplify Detail'!$C$5:$C$496,$C7)</f>
        <v/>
      </c>
      <c r="N7" s="7">
        <f>$I7+$M7</f>
        <v/>
      </c>
      <c r="O7" s="9">
        <f>IF($G7="No qualifier - Amplify open",1,IFERROR(INDEX('Program Setup'!$B$12:$B$14,MATCH($G7,'Program Setup'!$A$12:$A$14,0)),0))</f>
        <v/>
      </c>
      <c r="P7" s="4">
        <f>$A7&amp;"|"&amp;$C7</f>
        <v/>
      </c>
    </row>
    <row r="8">
      <c r="A8" s="4" t="inlineStr">
        <is>
          <t>Alisa Acciardi</t>
        </is>
      </c>
      <c r="B8" s="4" t="inlineStr">
        <is>
          <t>Mike Kennedy</t>
        </is>
      </c>
      <c r="C8" s="4" t="inlineStr">
        <is>
          <t>Constellation Brands</t>
        </is>
      </c>
      <c r="D8" s="5" t="n">
        <v>453</v>
      </c>
      <c r="E8" s="5" t="n">
        <v>430</v>
      </c>
      <c r="F8" s="6">
        <f>IF($D8&gt;0,$E8/$D8,"")</f>
        <v/>
      </c>
      <c r="G8" s="4">
        <f>IF($D8&gt;0,IF($F8&gt;=1,"Qualified",IF($F8&gt;=0.9,"90% Partial Amplify","Not Qualified")),"No qualifier - Amplify open")</f>
        <v/>
      </c>
      <c r="H8" s="4">
        <f>IF($G8&lt;&gt;"Qualified","-",IFERROR(IF($E8&gt;=INDEX('Program Setup'!$C$18:$C$23,MATCH($C8,'Program Setup'!$B$18:$B$23,0)),1,IF($E8&gt;=INDEX('Program Setup'!$D$18:$D$23,MATCH($C8,'Program Setup'!$B$18:$B$23,0)),2,IF($E8&gt;=INDEX('Program Setup'!$E$18:$E$23,MATCH($C8,'Program Setup'!$B$18:$B$23,0)),3,"-"))),"-"))</f>
        <v/>
      </c>
      <c r="I8" s="7">
        <f>IF(ISNUMBER($H8),INDEX('Program Setup'!$B$6:$B$8,MATCH($H8,'Program Setup'!$A$6:$A$8,0)),0)</f>
        <v/>
      </c>
      <c r="J8" s="8">
        <f>SUMIFS('Amplify Detail'!$E$5:$E$496,'Amplify Detail'!$A$5:$A$496,$A8,'Amplify Detail'!$C$5:$C$496,$C8)</f>
        <v/>
      </c>
      <c r="K8" s="8">
        <f>SUMIFS('Amplify Detail'!$F$5:$F$496,'Amplify Detail'!$A$5:$A$496,$A8,'Amplify Detail'!$C$5:$C$496,$C8)</f>
        <v/>
      </c>
      <c r="L8" s="8">
        <f>SUMIFS('Amplify Detail'!$G$5:$G$496,'Amplify Detail'!$A$5:$A$496,$A8,'Amplify Detail'!$C$5:$C$496,$C8)</f>
        <v/>
      </c>
      <c r="M8" s="7">
        <f>SUMIFS('Amplify Detail'!$J$5:$J$496,'Amplify Detail'!$A$5:$A$496,$A8,'Amplify Detail'!$C$5:$C$496,$C8)</f>
        <v/>
      </c>
      <c r="N8" s="7">
        <f>$I8+$M8</f>
        <v/>
      </c>
      <c r="O8" s="9">
        <f>IF($G8="No qualifier - Amplify open",1,IFERROR(INDEX('Program Setup'!$B$12:$B$14,MATCH($G8,'Program Setup'!$A$12:$A$14,0)),0))</f>
        <v/>
      </c>
      <c r="P8" s="4">
        <f>$A8&amp;"|"&amp;$C8</f>
        <v/>
      </c>
    </row>
    <row r="9">
      <c r="A9" s="4" t="inlineStr">
        <is>
          <t>Alisa Acciardi</t>
        </is>
      </c>
      <c r="B9" s="4" t="inlineStr">
        <is>
          <t>Mike Kennedy</t>
        </is>
      </c>
      <c r="C9" s="4" t="inlineStr">
        <is>
          <t>DG Yuengling Inc</t>
        </is>
      </c>
      <c r="D9" s="5" t="n">
        <v>19</v>
      </c>
      <c r="E9" s="5" t="n">
        <v>22</v>
      </c>
      <c r="F9" s="6">
        <f>IF($D9&gt;0,$E9/$D9,"")</f>
        <v/>
      </c>
      <c r="G9" s="4">
        <f>IF($D9&gt;0,IF($F9&gt;=1,"Qualified",IF($F9&gt;=0.9,"90% Partial Amplify","Not Qualified")),"No qualifier - Amplify open")</f>
        <v/>
      </c>
      <c r="H9" s="4">
        <f>IF($G9&lt;&gt;"Qualified","-",IFERROR(IF($E9&gt;=INDEX('Program Setup'!$C$18:$C$23,MATCH($C9,'Program Setup'!$B$18:$B$23,0)),1,IF($E9&gt;=INDEX('Program Setup'!$D$18:$D$23,MATCH($C9,'Program Setup'!$B$18:$B$23,0)),2,IF($E9&gt;=INDEX('Program Setup'!$E$18:$E$23,MATCH($C9,'Program Setup'!$B$18:$B$23,0)),3,"-"))),"-"))</f>
        <v/>
      </c>
      <c r="I9" s="7">
        <f>IF(ISNUMBER($H9),INDEX('Program Setup'!$B$6:$B$8,MATCH($H9,'Program Setup'!$A$6:$A$8,0)),0)</f>
        <v/>
      </c>
      <c r="J9" s="8">
        <f>SUMIFS('Amplify Detail'!$E$5:$E$496,'Amplify Detail'!$A$5:$A$496,$A9,'Amplify Detail'!$C$5:$C$496,$C9)</f>
        <v/>
      </c>
      <c r="K9" s="8">
        <f>SUMIFS('Amplify Detail'!$F$5:$F$496,'Amplify Detail'!$A$5:$A$496,$A9,'Amplify Detail'!$C$5:$C$496,$C9)</f>
        <v/>
      </c>
      <c r="L9" s="8">
        <f>SUMIFS('Amplify Detail'!$G$5:$G$496,'Amplify Detail'!$A$5:$A$496,$A9,'Amplify Detail'!$C$5:$C$496,$C9)</f>
        <v/>
      </c>
      <c r="M9" s="7">
        <f>SUMIFS('Amplify Detail'!$J$5:$J$496,'Amplify Detail'!$A$5:$A$496,$A9,'Amplify Detail'!$C$5:$C$496,$C9)</f>
        <v/>
      </c>
      <c r="N9" s="7">
        <f>$I9+$M9</f>
        <v/>
      </c>
      <c r="O9" s="9">
        <f>IF($G9="No qualifier - Amplify open",1,IFERROR(INDEX('Program Setup'!$B$12:$B$14,MATCH($G9,'Program Setup'!$A$12:$A$14,0)),0))</f>
        <v/>
      </c>
      <c r="P9" s="4">
        <f>$A9&amp;"|"&amp;$C9</f>
        <v/>
      </c>
    </row>
    <row r="10">
      <c r="A10" s="4" t="inlineStr">
        <is>
          <t>Alisa Acciardi</t>
        </is>
      </c>
      <c r="B10" s="4" t="inlineStr">
        <is>
          <t>Mike Kennedy</t>
        </is>
      </c>
      <c r="C10" s="4" t="inlineStr">
        <is>
          <t>Heineken USA</t>
        </is>
      </c>
      <c r="D10" s="5" t="n">
        <v>149</v>
      </c>
      <c r="E10" s="5" t="n">
        <v>76</v>
      </c>
      <c r="F10" s="6">
        <f>IF($D10&gt;0,$E10/$D10,"")</f>
        <v/>
      </c>
      <c r="G10" s="4">
        <f>IF($D10&gt;0,IF($F10&gt;=1,"Qualified",IF($F10&gt;=0.9,"90% Partial Amplify","Not Qualified")),"No qualifier - Amplify open")</f>
        <v/>
      </c>
      <c r="H10" s="4">
        <f>IF($G10&lt;&gt;"Qualified","-",IFERROR(IF($E10&gt;=INDEX('Program Setup'!$C$18:$C$23,MATCH($C10,'Program Setup'!$B$18:$B$23,0)),1,IF($E10&gt;=INDEX('Program Setup'!$D$18:$D$23,MATCH($C10,'Program Setup'!$B$18:$B$23,0)),2,IF($E10&gt;=INDEX('Program Setup'!$E$18:$E$23,MATCH($C10,'Program Setup'!$B$18:$B$23,0)),3,"-"))),"-"))</f>
        <v/>
      </c>
      <c r="I10" s="7">
        <f>IF(ISNUMBER($H10),INDEX('Program Setup'!$B$6:$B$8,MATCH($H10,'Program Setup'!$A$6:$A$8,0)),0)</f>
        <v/>
      </c>
      <c r="J10" s="8">
        <f>SUMIFS('Amplify Detail'!$E$5:$E$496,'Amplify Detail'!$A$5:$A$496,$A10,'Amplify Detail'!$C$5:$C$496,$C10)</f>
        <v/>
      </c>
      <c r="K10" s="8">
        <f>SUMIFS('Amplify Detail'!$F$5:$F$496,'Amplify Detail'!$A$5:$A$496,$A10,'Amplify Detail'!$C$5:$C$496,$C10)</f>
        <v/>
      </c>
      <c r="L10" s="8">
        <f>SUMIFS('Amplify Detail'!$G$5:$G$496,'Amplify Detail'!$A$5:$A$496,$A10,'Amplify Detail'!$C$5:$C$496,$C10)</f>
        <v/>
      </c>
      <c r="M10" s="7">
        <f>SUMIFS('Amplify Detail'!$J$5:$J$496,'Amplify Detail'!$A$5:$A$496,$A10,'Amplify Detail'!$C$5:$C$496,$C10)</f>
        <v/>
      </c>
      <c r="N10" s="7">
        <f>$I10+$M10</f>
        <v/>
      </c>
      <c r="O10" s="9">
        <f>IF($G10="No qualifier - Amplify open",1,IFERROR(INDEX('Program Setup'!$B$12:$B$14,MATCH($G10,'Program Setup'!$A$12:$A$14,0)),0))</f>
        <v/>
      </c>
      <c r="P10" s="4">
        <f>$A10&amp;"|"&amp;$C10</f>
        <v/>
      </c>
    </row>
    <row r="11">
      <c r="A11" s="4" t="inlineStr">
        <is>
          <t>Alisa Acciardi</t>
        </is>
      </c>
      <c r="B11" s="4" t="inlineStr">
        <is>
          <t>Mike Kennedy</t>
        </is>
      </c>
      <c r="C11" s="4" t="inlineStr">
        <is>
          <t>Mark Anthony</t>
        </is>
      </c>
      <c r="D11" s="5" t="n">
        <v>80</v>
      </c>
      <c r="E11" s="5" t="n">
        <v>83</v>
      </c>
      <c r="F11" s="6">
        <f>IF($D11&gt;0,$E11/$D11,"")</f>
        <v/>
      </c>
      <c r="G11" s="4">
        <f>IF($D11&gt;0,IF($F11&gt;=1,"Qualified",IF($F11&gt;=0.9,"90% Partial Amplify","Not Qualified")),"No qualifier - Amplify open")</f>
        <v/>
      </c>
      <c r="H11" s="4">
        <f>IF($G11&lt;&gt;"Qualified","-",IFERROR(IF($E11&gt;=INDEX('Program Setup'!$C$18:$C$23,MATCH($C11,'Program Setup'!$B$18:$B$23,0)),1,IF($E11&gt;=INDEX('Program Setup'!$D$18:$D$23,MATCH($C11,'Program Setup'!$B$18:$B$23,0)),2,IF($E11&gt;=INDEX('Program Setup'!$E$18:$E$23,MATCH($C11,'Program Setup'!$B$18:$B$23,0)),3,"-"))),"-"))</f>
        <v/>
      </c>
      <c r="I11" s="7">
        <f>IF(ISNUMBER($H11),INDEX('Program Setup'!$B$6:$B$8,MATCH($H11,'Program Setup'!$A$6:$A$8,0)),0)</f>
        <v/>
      </c>
      <c r="J11" s="8">
        <f>SUMIFS('Amplify Detail'!$E$5:$E$496,'Amplify Detail'!$A$5:$A$496,$A11,'Amplify Detail'!$C$5:$C$496,$C11)</f>
        <v/>
      </c>
      <c r="K11" s="8">
        <f>SUMIFS('Amplify Detail'!$F$5:$F$496,'Amplify Detail'!$A$5:$A$496,$A11,'Amplify Detail'!$C$5:$C$496,$C11)</f>
        <v/>
      </c>
      <c r="L11" s="8">
        <f>SUMIFS('Amplify Detail'!$G$5:$G$496,'Amplify Detail'!$A$5:$A$496,$A11,'Amplify Detail'!$C$5:$C$496,$C11)</f>
        <v/>
      </c>
      <c r="M11" s="7">
        <f>SUMIFS('Amplify Detail'!$J$5:$J$496,'Amplify Detail'!$A$5:$A$496,$A11,'Amplify Detail'!$C$5:$C$496,$C11)</f>
        <v/>
      </c>
      <c r="N11" s="7">
        <f>$I11+$M11</f>
        <v/>
      </c>
      <c r="O11" s="9">
        <f>IF($G11="No qualifier - Amplify open",1,IFERROR(INDEX('Program Setup'!$B$12:$B$14,MATCH($G11,'Program Setup'!$A$12:$A$14,0)),0))</f>
        <v/>
      </c>
      <c r="P11" s="4">
        <f>$A11&amp;"|"&amp;$C11</f>
        <v/>
      </c>
    </row>
    <row r="12">
      <c r="A12" s="4" t="inlineStr">
        <is>
          <t>Alisa Acciardi</t>
        </is>
      </c>
      <c r="B12" s="4" t="inlineStr">
        <is>
          <t>Mike Kennedy</t>
        </is>
      </c>
      <c r="C12" s="4" t="inlineStr">
        <is>
          <t>MolsonCoors Beverage Company</t>
        </is>
      </c>
      <c r="D12" s="5" t="n">
        <v>491</v>
      </c>
      <c r="E12" s="5" t="n">
        <v>348</v>
      </c>
      <c r="F12" s="6">
        <f>IF($D12&gt;0,$E12/$D12,"")</f>
        <v/>
      </c>
      <c r="G12" s="4">
        <f>IF($D12&gt;0,IF($F12&gt;=1,"Qualified",IF($F12&gt;=0.9,"90% Partial Amplify","Not Qualified")),"No qualifier - Amplify open")</f>
        <v/>
      </c>
      <c r="H12" s="4">
        <f>IF($G12&lt;&gt;"Qualified","-",IFERROR(IF($E12&gt;=INDEX('Program Setup'!$C$18:$C$23,MATCH($C12,'Program Setup'!$B$18:$B$23,0)),1,IF($E12&gt;=INDEX('Program Setup'!$D$18:$D$23,MATCH($C12,'Program Setup'!$B$18:$B$23,0)),2,IF($E12&gt;=INDEX('Program Setup'!$E$18:$E$23,MATCH($C12,'Program Setup'!$B$18:$B$23,0)),3,"-"))),"-"))</f>
        <v/>
      </c>
      <c r="I12" s="7">
        <f>IF(ISNUMBER($H12),INDEX('Program Setup'!$B$6:$B$8,MATCH($H12,'Program Setup'!$A$6:$A$8,0)),0)</f>
        <v/>
      </c>
      <c r="J12" s="8">
        <f>SUMIFS('Amplify Detail'!$E$5:$E$496,'Amplify Detail'!$A$5:$A$496,$A12,'Amplify Detail'!$C$5:$C$496,$C12)</f>
        <v/>
      </c>
      <c r="K12" s="8">
        <f>SUMIFS('Amplify Detail'!$F$5:$F$496,'Amplify Detail'!$A$5:$A$496,$A12,'Amplify Detail'!$C$5:$C$496,$C12)</f>
        <v/>
      </c>
      <c r="L12" s="8">
        <f>SUMIFS('Amplify Detail'!$G$5:$G$496,'Amplify Detail'!$A$5:$A$496,$A12,'Amplify Detail'!$C$5:$C$496,$C12)</f>
        <v/>
      </c>
      <c r="M12" s="7">
        <f>SUMIFS('Amplify Detail'!$J$5:$J$496,'Amplify Detail'!$A$5:$A$496,$A12,'Amplify Detail'!$C$5:$C$496,$C12)</f>
        <v/>
      </c>
      <c r="N12" s="7">
        <f>$I12+$M12</f>
        <v/>
      </c>
      <c r="O12" s="9">
        <f>IF($G12="No qualifier - Amplify open",1,IFERROR(INDEX('Program Setup'!$B$12:$B$14,MATCH($G12,'Program Setup'!$A$12:$A$14,0)),0))</f>
        <v/>
      </c>
      <c r="P12" s="4">
        <f>$A12&amp;"|"&amp;$C12</f>
        <v/>
      </c>
    </row>
    <row r="13">
      <c r="A13" s="4" t="inlineStr">
        <is>
          <t>Alisa Acciardi</t>
        </is>
      </c>
      <c r="B13" s="4" t="inlineStr">
        <is>
          <t>Mike Kennedy</t>
        </is>
      </c>
      <c r="C13" s="4" t="inlineStr">
        <is>
          <t>New Belgium Brewing Company</t>
        </is>
      </c>
      <c r="D13" s="5" t="n"/>
      <c r="E13" s="5" t="n"/>
      <c r="F13" s="6">
        <f>IF($D13&gt;0,$E13/$D13,"")</f>
        <v/>
      </c>
      <c r="G13" s="4">
        <f>IF($D13&gt;0,IF($F13&gt;=1,"Qualified",IF($F13&gt;=0.9,"90% Partial Amplify","Not Qualified")),"No qualifier - Amplify open")</f>
        <v/>
      </c>
      <c r="H13" s="4">
        <f>IF($G13&lt;&gt;"Qualified","-",IFERROR(IF($E13&gt;=INDEX('Program Setup'!$C$18:$C$23,MATCH($C13,'Program Setup'!$B$18:$B$23,0)),1,IF($E13&gt;=INDEX('Program Setup'!$D$18:$D$23,MATCH($C13,'Program Setup'!$B$18:$B$23,0)),2,IF($E13&gt;=INDEX('Program Setup'!$E$18:$E$23,MATCH($C13,'Program Setup'!$B$18:$B$23,0)),3,"-"))),"-"))</f>
        <v/>
      </c>
      <c r="I13" s="7">
        <f>IF(ISNUMBER($H13),INDEX('Program Setup'!$B$6:$B$8,MATCH($H13,'Program Setup'!$A$6:$A$8,0)),0)</f>
        <v/>
      </c>
      <c r="J13" s="8">
        <f>SUMIFS('Amplify Detail'!$E$5:$E$496,'Amplify Detail'!$A$5:$A$496,$A13,'Amplify Detail'!$C$5:$C$496,$C13)</f>
        <v/>
      </c>
      <c r="K13" s="8">
        <f>SUMIFS('Amplify Detail'!$F$5:$F$496,'Amplify Detail'!$A$5:$A$496,$A13,'Amplify Detail'!$C$5:$C$496,$C13)</f>
        <v/>
      </c>
      <c r="L13" s="8">
        <f>SUMIFS('Amplify Detail'!$G$5:$G$496,'Amplify Detail'!$A$5:$A$496,$A13,'Amplify Detail'!$C$5:$C$496,$C13)</f>
        <v/>
      </c>
      <c r="M13" s="7">
        <f>SUMIFS('Amplify Detail'!$J$5:$J$496,'Amplify Detail'!$A$5:$A$496,$A13,'Amplify Detail'!$C$5:$C$496,$C13)</f>
        <v/>
      </c>
      <c r="N13" s="7">
        <f>$I13+$M13</f>
        <v/>
      </c>
      <c r="O13" s="9">
        <f>IF($G13="No qualifier - Amplify open",1,IFERROR(INDEX('Program Setup'!$B$12:$B$14,MATCH($G13,'Program Setup'!$A$12:$A$14,0)),0))</f>
        <v/>
      </c>
      <c r="P13" s="4">
        <f>$A13&amp;"|"&amp;$C13</f>
        <v/>
      </c>
    </row>
    <row r="14">
      <c r="A14" s="4" t="inlineStr">
        <is>
          <t>Alisa Acciardi</t>
        </is>
      </c>
      <c r="B14" s="4" t="inlineStr">
        <is>
          <t>Mike Kennedy</t>
        </is>
      </c>
      <c r="C14" s="4" t="inlineStr">
        <is>
          <t>Sapporo</t>
        </is>
      </c>
      <c r="D14" s="5" t="n"/>
      <c r="E14" s="5" t="n"/>
      <c r="F14" s="6">
        <f>IF($D14&gt;0,$E14/$D14,"")</f>
        <v/>
      </c>
      <c r="G14" s="4">
        <f>IF($D14&gt;0,IF($F14&gt;=1,"Qualified",IF($F14&gt;=0.9,"90% Partial Amplify","Not Qualified")),"No qualifier - Amplify open")</f>
        <v/>
      </c>
      <c r="H14" s="4">
        <f>IF($G14&lt;&gt;"Qualified","-",IFERROR(IF($E14&gt;=INDEX('Program Setup'!$C$18:$C$23,MATCH($C14,'Program Setup'!$B$18:$B$23,0)),1,IF($E14&gt;=INDEX('Program Setup'!$D$18:$D$23,MATCH($C14,'Program Setup'!$B$18:$B$23,0)),2,IF($E14&gt;=INDEX('Program Setup'!$E$18:$E$23,MATCH($C14,'Program Setup'!$B$18:$B$23,0)),3,"-"))),"-"))</f>
        <v/>
      </c>
      <c r="I14" s="7">
        <f>IF(ISNUMBER($H14),INDEX('Program Setup'!$B$6:$B$8,MATCH($H14,'Program Setup'!$A$6:$A$8,0)),0)</f>
        <v/>
      </c>
      <c r="J14" s="8">
        <f>SUMIFS('Amplify Detail'!$E$5:$E$496,'Amplify Detail'!$A$5:$A$496,$A14,'Amplify Detail'!$C$5:$C$496,$C14)</f>
        <v/>
      </c>
      <c r="K14" s="8">
        <f>SUMIFS('Amplify Detail'!$F$5:$F$496,'Amplify Detail'!$A$5:$A$496,$A14,'Amplify Detail'!$C$5:$C$496,$C14)</f>
        <v/>
      </c>
      <c r="L14" s="8">
        <f>SUMIFS('Amplify Detail'!$G$5:$G$496,'Amplify Detail'!$A$5:$A$496,$A14,'Amplify Detail'!$C$5:$C$496,$C14)</f>
        <v/>
      </c>
      <c r="M14" s="7">
        <f>SUMIFS('Amplify Detail'!$J$5:$J$496,'Amplify Detail'!$A$5:$A$496,$A14,'Amplify Detail'!$C$5:$C$496,$C14)</f>
        <v/>
      </c>
      <c r="N14" s="7">
        <f>$I14+$M14</f>
        <v/>
      </c>
      <c r="O14" s="9">
        <f>IF($G14="No qualifier - Amplify open",1,IFERROR(INDEX('Program Setup'!$B$12:$B$14,MATCH($G14,'Program Setup'!$A$12:$A$14,0)),0))</f>
        <v/>
      </c>
      <c r="P14" s="4">
        <f>$A14&amp;"|"&amp;$C14</f>
        <v/>
      </c>
    </row>
    <row r="15">
      <c r="A15" s="4" t="inlineStr">
        <is>
          <t>Allison Scott</t>
        </is>
      </c>
      <c r="B15" s="4" t="inlineStr">
        <is>
          <t>Chris McCrohan</t>
        </is>
      </c>
      <c r="C15" s="4" t="inlineStr">
        <is>
          <t>Boston Beer Company</t>
        </is>
      </c>
      <c r="D15" s="5" t="n">
        <v>265</v>
      </c>
      <c r="E15" s="5" t="n">
        <v>279</v>
      </c>
      <c r="F15" s="6">
        <f>IF($D15&gt;0,$E15/$D15,"")</f>
        <v/>
      </c>
      <c r="G15" s="4">
        <f>IF($D15&gt;0,IF($F15&gt;=1,"Qualified",IF($F15&gt;=0.9,"90% Partial Amplify","Not Qualified")),"No qualifier - Amplify open")</f>
        <v/>
      </c>
      <c r="H15" s="4">
        <f>IF($G15&lt;&gt;"Qualified","-",IFERROR(IF($E15&gt;=INDEX('Program Setup'!$C$18:$C$23,MATCH($C15,'Program Setup'!$B$18:$B$23,0)),1,IF($E15&gt;=INDEX('Program Setup'!$D$18:$D$23,MATCH($C15,'Program Setup'!$B$18:$B$23,0)),2,IF($E15&gt;=INDEX('Program Setup'!$E$18:$E$23,MATCH($C15,'Program Setup'!$B$18:$B$23,0)),3,"-"))),"-"))</f>
        <v/>
      </c>
      <c r="I15" s="7">
        <f>IF(ISNUMBER($H15),INDEX('Program Setup'!$B$6:$B$8,MATCH($H15,'Program Setup'!$A$6:$A$8,0)),0)</f>
        <v/>
      </c>
      <c r="J15" s="8">
        <f>SUMIFS('Amplify Detail'!$E$5:$E$496,'Amplify Detail'!$A$5:$A$496,$A15,'Amplify Detail'!$C$5:$C$496,$C15)</f>
        <v/>
      </c>
      <c r="K15" s="8">
        <f>SUMIFS('Amplify Detail'!$F$5:$F$496,'Amplify Detail'!$A$5:$A$496,$A15,'Amplify Detail'!$C$5:$C$496,$C15)</f>
        <v/>
      </c>
      <c r="L15" s="8">
        <f>SUMIFS('Amplify Detail'!$G$5:$G$496,'Amplify Detail'!$A$5:$A$496,$A15,'Amplify Detail'!$C$5:$C$496,$C15)</f>
        <v/>
      </c>
      <c r="M15" s="7">
        <f>SUMIFS('Amplify Detail'!$J$5:$J$496,'Amplify Detail'!$A$5:$A$496,$A15,'Amplify Detail'!$C$5:$C$496,$C15)</f>
        <v/>
      </c>
      <c r="N15" s="7">
        <f>$I15+$M15</f>
        <v/>
      </c>
      <c r="O15" s="9">
        <f>IF($G15="No qualifier - Amplify open",1,IFERROR(INDEX('Program Setup'!$B$12:$B$14,MATCH($G15,'Program Setup'!$A$12:$A$14,0)),0))</f>
        <v/>
      </c>
      <c r="P15" s="4">
        <f>$A15&amp;"|"&amp;$C15</f>
        <v/>
      </c>
    </row>
    <row r="16">
      <c r="A16" s="4" t="inlineStr">
        <is>
          <t>Allison Scott</t>
        </is>
      </c>
      <c r="B16" s="4" t="inlineStr">
        <is>
          <t>Chris McCrohan</t>
        </is>
      </c>
      <c r="C16" s="4" t="inlineStr">
        <is>
          <t>Cape May</t>
        </is>
      </c>
      <c r="D16" s="5" t="n"/>
      <c r="E16" s="5" t="n"/>
      <c r="F16" s="6">
        <f>IF($D16&gt;0,$E16/$D16,"")</f>
        <v/>
      </c>
      <c r="G16" s="4">
        <f>IF($D16&gt;0,IF($F16&gt;=1,"Qualified",IF($F16&gt;=0.9,"90% Partial Amplify","Not Qualified")),"No qualifier - Amplify open")</f>
        <v/>
      </c>
      <c r="H16" s="4">
        <f>IF($G16&lt;&gt;"Qualified","-",IFERROR(IF($E16&gt;=INDEX('Program Setup'!$C$18:$C$23,MATCH($C16,'Program Setup'!$B$18:$B$23,0)),1,IF($E16&gt;=INDEX('Program Setup'!$D$18:$D$23,MATCH($C16,'Program Setup'!$B$18:$B$23,0)),2,IF($E16&gt;=INDEX('Program Setup'!$E$18:$E$23,MATCH($C16,'Program Setup'!$B$18:$B$23,0)),3,"-"))),"-"))</f>
        <v/>
      </c>
      <c r="I16" s="7">
        <f>IF(ISNUMBER($H16),INDEX('Program Setup'!$B$6:$B$8,MATCH($H16,'Program Setup'!$A$6:$A$8,0)),0)</f>
        <v/>
      </c>
      <c r="J16" s="8">
        <f>SUMIFS('Amplify Detail'!$E$5:$E$496,'Amplify Detail'!$A$5:$A$496,$A16,'Amplify Detail'!$C$5:$C$496,$C16)</f>
        <v/>
      </c>
      <c r="K16" s="8">
        <f>SUMIFS('Amplify Detail'!$F$5:$F$496,'Amplify Detail'!$A$5:$A$496,$A16,'Amplify Detail'!$C$5:$C$496,$C16)</f>
        <v/>
      </c>
      <c r="L16" s="8">
        <f>SUMIFS('Amplify Detail'!$G$5:$G$496,'Amplify Detail'!$A$5:$A$496,$A16,'Amplify Detail'!$C$5:$C$496,$C16)</f>
        <v/>
      </c>
      <c r="M16" s="7">
        <f>SUMIFS('Amplify Detail'!$J$5:$J$496,'Amplify Detail'!$A$5:$A$496,$A16,'Amplify Detail'!$C$5:$C$496,$C16)</f>
        <v/>
      </c>
      <c r="N16" s="7">
        <f>$I16+$M16</f>
        <v/>
      </c>
      <c r="O16" s="9">
        <f>IF($G16="No qualifier - Amplify open",1,IFERROR(INDEX('Program Setup'!$B$12:$B$14,MATCH($G16,'Program Setup'!$A$12:$A$14,0)),0))</f>
        <v/>
      </c>
      <c r="P16" s="4">
        <f>$A16&amp;"|"&amp;$C16</f>
        <v/>
      </c>
    </row>
    <row r="17">
      <c r="A17" s="4" t="inlineStr">
        <is>
          <t>Allison Scott</t>
        </is>
      </c>
      <c r="B17" s="4" t="inlineStr">
        <is>
          <t>Chris McCrohan</t>
        </is>
      </c>
      <c r="C17" s="4" t="inlineStr">
        <is>
          <t>Constellation Brands</t>
        </is>
      </c>
      <c r="D17" s="5" t="n">
        <v>7193</v>
      </c>
      <c r="E17" s="5" t="n">
        <v>7676</v>
      </c>
      <c r="F17" s="6">
        <f>IF($D17&gt;0,$E17/$D17,"")</f>
        <v/>
      </c>
      <c r="G17" s="4">
        <f>IF($D17&gt;0,IF($F17&gt;=1,"Qualified",IF($F17&gt;=0.9,"90% Partial Amplify","Not Qualified")),"No qualifier - Amplify open")</f>
        <v/>
      </c>
      <c r="H17" s="4">
        <f>IF($G17&lt;&gt;"Qualified","-",IFERROR(IF($E17&gt;=INDEX('Program Setup'!$C$18:$C$23,MATCH($C17,'Program Setup'!$B$18:$B$23,0)),1,IF($E17&gt;=INDEX('Program Setup'!$D$18:$D$23,MATCH($C17,'Program Setup'!$B$18:$B$23,0)),2,IF($E17&gt;=INDEX('Program Setup'!$E$18:$E$23,MATCH($C17,'Program Setup'!$B$18:$B$23,0)),3,"-"))),"-"))</f>
        <v/>
      </c>
      <c r="I17" s="7">
        <f>IF(ISNUMBER($H17),INDEX('Program Setup'!$B$6:$B$8,MATCH($H17,'Program Setup'!$A$6:$A$8,0)),0)</f>
        <v/>
      </c>
      <c r="J17" s="8">
        <f>SUMIFS('Amplify Detail'!$E$5:$E$496,'Amplify Detail'!$A$5:$A$496,$A17,'Amplify Detail'!$C$5:$C$496,$C17)</f>
        <v/>
      </c>
      <c r="K17" s="8">
        <f>SUMIFS('Amplify Detail'!$F$5:$F$496,'Amplify Detail'!$A$5:$A$496,$A17,'Amplify Detail'!$C$5:$C$496,$C17)</f>
        <v/>
      </c>
      <c r="L17" s="8">
        <f>SUMIFS('Amplify Detail'!$G$5:$G$496,'Amplify Detail'!$A$5:$A$496,$A17,'Amplify Detail'!$C$5:$C$496,$C17)</f>
        <v/>
      </c>
      <c r="M17" s="7">
        <f>SUMIFS('Amplify Detail'!$J$5:$J$496,'Amplify Detail'!$A$5:$A$496,$A17,'Amplify Detail'!$C$5:$C$496,$C17)</f>
        <v/>
      </c>
      <c r="N17" s="7">
        <f>$I17+$M17</f>
        <v/>
      </c>
      <c r="O17" s="9">
        <f>IF($G17="No qualifier - Amplify open",1,IFERROR(INDEX('Program Setup'!$B$12:$B$14,MATCH($G17,'Program Setup'!$A$12:$A$14,0)),0))</f>
        <v/>
      </c>
      <c r="P17" s="4">
        <f>$A17&amp;"|"&amp;$C17</f>
        <v/>
      </c>
    </row>
    <row r="18">
      <c r="A18" s="4" t="inlineStr">
        <is>
          <t>Allison Scott</t>
        </is>
      </c>
      <c r="B18" s="4" t="inlineStr">
        <is>
          <t>Chris McCrohan</t>
        </is>
      </c>
      <c r="C18" s="4" t="inlineStr">
        <is>
          <t>DG Yuengling Inc</t>
        </is>
      </c>
      <c r="D18" s="5" t="n">
        <v>2762</v>
      </c>
      <c r="E18" s="5" t="n">
        <v>2943</v>
      </c>
      <c r="F18" s="6">
        <f>IF($D18&gt;0,$E18/$D18,"")</f>
        <v/>
      </c>
      <c r="G18" s="4">
        <f>IF($D18&gt;0,IF($F18&gt;=1,"Qualified",IF($F18&gt;=0.9,"90% Partial Amplify","Not Qualified")),"No qualifier - Amplify open")</f>
        <v/>
      </c>
      <c r="H18" s="4">
        <f>IF($G18&lt;&gt;"Qualified","-",IFERROR(IF($E18&gt;=INDEX('Program Setup'!$C$18:$C$23,MATCH($C18,'Program Setup'!$B$18:$B$23,0)),1,IF($E18&gt;=INDEX('Program Setup'!$D$18:$D$23,MATCH($C18,'Program Setup'!$B$18:$B$23,0)),2,IF($E18&gt;=INDEX('Program Setup'!$E$18:$E$23,MATCH($C18,'Program Setup'!$B$18:$B$23,0)),3,"-"))),"-"))</f>
        <v/>
      </c>
      <c r="I18" s="7">
        <f>IF(ISNUMBER($H18),INDEX('Program Setup'!$B$6:$B$8,MATCH($H18,'Program Setup'!$A$6:$A$8,0)),0)</f>
        <v/>
      </c>
      <c r="J18" s="8">
        <f>SUMIFS('Amplify Detail'!$E$5:$E$496,'Amplify Detail'!$A$5:$A$496,$A18,'Amplify Detail'!$C$5:$C$496,$C18)</f>
        <v/>
      </c>
      <c r="K18" s="8">
        <f>SUMIFS('Amplify Detail'!$F$5:$F$496,'Amplify Detail'!$A$5:$A$496,$A18,'Amplify Detail'!$C$5:$C$496,$C18)</f>
        <v/>
      </c>
      <c r="L18" s="8">
        <f>SUMIFS('Amplify Detail'!$G$5:$G$496,'Amplify Detail'!$A$5:$A$496,$A18,'Amplify Detail'!$C$5:$C$496,$C18)</f>
        <v/>
      </c>
      <c r="M18" s="7">
        <f>SUMIFS('Amplify Detail'!$J$5:$J$496,'Amplify Detail'!$A$5:$A$496,$A18,'Amplify Detail'!$C$5:$C$496,$C18)</f>
        <v/>
      </c>
      <c r="N18" s="7">
        <f>$I18+$M18</f>
        <v/>
      </c>
      <c r="O18" s="9">
        <f>IF($G18="No qualifier - Amplify open",1,IFERROR(INDEX('Program Setup'!$B$12:$B$14,MATCH($G18,'Program Setup'!$A$12:$A$14,0)),0))</f>
        <v/>
      </c>
      <c r="P18" s="4">
        <f>$A18&amp;"|"&amp;$C18</f>
        <v/>
      </c>
    </row>
    <row r="19">
      <c r="A19" s="4" t="inlineStr">
        <is>
          <t>Allison Scott</t>
        </is>
      </c>
      <c r="B19" s="4" t="inlineStr">
        <is>
          <t>Chris McCrohan</t>
        </is>
      </c>
      <c r="C19" s="4" t="inlineStr">
        <is>
          <t>Heineken USA</t>
        </is>
      </c>
      <c r="D19" s="5" t="n">
        <v>1846</v>
      </c>
      <c r="E19" s="5" t="n">
        <v>1813</v>
      </c>
      <c r="F19" s="6">
        <f>IF($D19&gt;0,$E19/$D19,"")</f>
        <v/>
      </c>
      <c r="G19" s="4">
        <f>IF($D19&gt;0,IF($F19&gt;=1,"Qualified",IF($F19&gt;=0.9,"90% Partial Amplify","Not Qualified")),"No qualifier - Amplify open")</f>
        <v/>
      </c>
      <c r="H19" s="4">
        <f>IF($G19&lt;&gt;"Qualified","-",IFERROR(IF($E19&gt;=INDEX('Program Setup'!$C$18:$C$23,MATCH($C19,'Program Setup'!$B$18:$B$23,0)),1,IF($E19&gt;=INDEX('Program Setup'!$D$18:$D$23,MATCH($C19,'Program Setup'!$B$18:$B$23,0)),2,IF($E19&gt;=INDEX('Program Setup'!$E$18:$E$23,MATCH($C19,'Program Setup'!$B$18:$B$23,0)),3,"-"))),"-"))</f>
        <v/>
      </c>
      <c r="I19" s="7">
        <f>IF(ISNUMBER($H19),INDEX('Program Setup'!$B$6:$B$8,MATCH($H19,'Program Setup'!$A$6:$A$8,0)),0)</f>
        <v/>
      </c>
      <c r="J19" s="8">
        <f>SUMIFS('Amplify Detail'!$E$5:$E$496,'Amplify Detail'!$A$5:$A$496,$A19,'Amplify Detail'!$C$5:$C$496,$C19)</f>
        <v/>
      </c>
      <c r="K19" s="8">
        <f>SUMIFS('Amplify Detail'!$F$5:$F$496,'Amplify Detail'!$A$5:$A$496,$A19,'Amplify Detail'!$C$5:$C$496,$C19)</f>
        <v/>
      </c>
      <c r="L19" s="8">
        <f>SUMIFS('Amplify Detail'!$G$5:$G$496,'Amplify Detail'!$A$5:$A$496,$A19,'Amplify Detail'!$C$5:$C$496,$C19)</f>
        <v/>
      </c>
      <c r="M19" s="7">
        <f>SUMIFS('Amplify Detail'!$J$5:$J$496,'Amplify Detail'!$A$5:$A$496,$A19,'Amplify Detail'!$C$5:$C$496,$C19)</f>
        <v/>
      </c>
      <c r="N19" s="7">
        <f>$I19+$M19</f>
        <v/>
      </c>
      <c r="O19" s="9">
        <f>IF($G19="No qualifier - Amplify open",1,IFERROR(INDEX('Program Setup'!$B$12:$B$14,MATCH($G19,'Program Setup'!$A$12:$A$14,0)),0))</f>
        <v/>
      </c>
      <c r="P19" s="4">
        <f>$A19&amp;"|"&amp;$C19</f>
        <v/>
      </c>
    </row>
    <row r="20">
      <c r="A20" s="4" t="inlineStr">
        <is>
          <t>Allison Scott</t>
        </is>
      </c>
      <c r="B20" s="4" t="inlineStr">
        <is>
          <t>Chris McCrohan</t>
        </is>
      </c>
      <c r="C20" s="4" t="inlineStr">
        <is>
          <t>Mark Anthony</t>
        </is>
      </c>
      <c r="D20" s="5" t="n">
        <v>940</v>
      </c>
      <c r="E20" s="5" t="n">
        <v>879</v>
      </c>
      <c r="F20" s="6">
        <f>IF($D20&gt;0,$E20/$D20,"")</f>
        <v/>
      </c>
      <c r="G20" s="4">
        <f>IF($D20&gt;0,IF($F20&gt;=1,"Qualified",IF($F20&gt;=0.9,"90% Partial Amplify","Not Qualified")),"No qualifier - Amplify open")</f>
        <v/>
      </c>
      <c r="H20" s="4">
        <f>IF($G20&lt;&gt;"Qualified","-",IFERROR(IF($E20&gt;=INDEX('Program Setup'!$C$18:$C$23,MATCH($C20,'Program Setup'!$B$18:$B$23,0)),1,IF($E20&gt;=INDEX('Program Setup'!$D$18:$D$23,MATCH($C20,'Program Setup'!$B$18:$B$23,0)),2,IF($E20&gt;=INDEX('Program Setup'!$E$18:$E$23,MATCH($C20,'Program Setup'!$B$18:$B$23,0)),3,"-"))),"-"))</f>
        <v/>
      </c>
      <c r="I20" s="7">
        <f>IF(ISNUMBER($H20),INDEX('Program Setup'!$B$6:$B$8,MATCH($H20,'Program Setup'!$A$6:$A$8,0)),0)</f>
        <v/>
      </c>
      <c r="J20" s="8">
        <f>SUMIFS('Amplify Detail'!$E$5:$E$496,'Amplify Detail'!$A$5:$A$496,$A20,'Amplify Detail'!$C$5:$C$496,$C20)</f>
        <v/>
      </c>
      <c r="K20" s="8">
        <f>SUMIFS('Amplify Detail'!$F$5:$F$496,'Amplify Detail'!$A$5:$A$496,$A20,'Amplify Detail'!$C$5:$C$496,$C20)</f>
        <v/>
      </c>
      <c r="L20" s="8">
        <f>SUMIFS('Amplify Detail'!$G$5:$G$496,'Amplify Detail'!$A$5:$A$496,$A20,'Amplify Detail'!$C$5:$C$496,$C20)</f>
        <v/>
      </c>
      <c r="M20" s="7">
        <f>SUMIFS('Amplify Detail'!$J$5:$J$496,'Amplify Detail'!$A$5:$A$496,$A20,'Amplify Detail'!$C$5:$C$496,$C20)</f>
        <v/>
      </c>
      <c r="N20" s="7">
        <f>$I20+$M20</f>
        <v/>
      </c>
      <c r="O20" s="9">
        <f>IF($G20="No qualifier - Amplify open",1,IFERROR(INDEX('Program Setup'!$B$12:$B$14,MATCH($G20,'Program Setup'!$A$12:$A$14,0)),0))</f>
        <v/>
      </c>
      <c r="P20" s="4">
        <f>$A20&amp;"|"&amp;$C20</f>
        <v/>
      </c>
    </row>
    <row r="21">
      <c r="A21" s="4" t="inlineStr">
        <is>
          <t>Allison Scott</t>
        </is>
      </c>
      <c r="B21" s="4" t="inlineStr">
        <is>
          <t>Chris McCrohan</t>
        </is>
      </c>
      <c r="C21" s="4" t="inlineStr">
        <is>
          <t>MolsonCoors Beverage Company</t>
        </is>
      </c>
      <c r="D21" s="5" t="n">
        <v>12865</v>
      </c>
      <c r="E21" s="5" t="n">
        <v>13278</v>
      </c>
      <c r="F21" s="6">
        <f>IF($D21&gt;0,$E21/$D21,"")</f>
        <v/>
      </c>
      <c r="G21" s="4">
        <f>IF($D21&gt;0,IF($F21&gt;=1,"Qualified",IF($F21&gt;=0.9,"90% Partial Amplify","Not Qualified")),"No qualifier - Amplify open")</f>
        <v/>
      </c>
      <c r="H21" s="4">
        <f>IF($G21&lt;&gt;"Qualified","-",IFERROR(IF($E21&gt;=INDEX('Program Setup'!$C$18:$C$23,MATCH($C21,'Program Setup'!$B$18:$B$23,0)),1,IF($E21&gt;=INDEX('Program Setup'!$D$18:$D$23,MATCH($C21,'Program Setup'!$B$18:$B$23,0)),2,IF($E21&gt;=INDEX('Program Setup'!$E$18:$E$23,MATCH($C21,'Program Setup'!$B$18:$B$23,0)),3,"-"))),"-"))</f>
        <v/>
      </c>
      <c r="I21" s="7">
        <f>IF(ISNUMBER($H21),INDEX('Program Setup'!$B$6:$B$8,MATCH($H21,'Program Setup'!$A$6:$A$8,0)),0)</f>
        <v/>
      </c>
      <c r="J21" s="8">
        <f>SUMIFS('Amplify Detail'!$E$5:$E$496,'Amplify Detail'!$A$5:$A$496,$A21,'Amplify Detail'!$C$5:$C$496,$C21)</f>
        <v/>
      </c>
      <c r="K21" s="8">
        <f>SUMIFS('Amplify Detail'!$F$5:$F$496,'Amplify Detail'!$A$5:$A$496,$A21,'Amplify Detail'!$C$5:$C$496,$C21)</f>
        <v/>
      </c>
      <c r="L21" s="8">
        <f>SUMIFS('Amplify Detail'!$G$5:$G$496,'Amplify Detail'!$A$5:$A$496,$A21,'Amplify Detail'!$C$5:$C$496,$C21)</f>
        <v/>
      </c>
      <c r="M21" s="7">
        <f>SUMIFS('Amplify Detail'!$J$5:$J$496,'Amplify Detail'!$A$5:$A$496,$A21,'Amplify Detail'!$C$5:$C$496,$C21)</f>
        <v/>
      </c>
      <c r="N21" s="7">
        <f>$I21+$M21</f>
        <v/>
      </c>
      <c r="O21" s="9">
        <f>IF($G21="No qualifier - Amplify open",1,IFERROR(INDEX('Program Setup'!$B$12:$B$14,MATCH($G21,'Program Setup'!$A$12:$A$14,0)),0))</f>
        <v/>
      </c>
      <c r="P21" s="4">
        <f>$A21&amp;"|"&amp;$C21</f>
        <v/>
      </c>
    </row>
    <row r="22">
      <c r="A22" s="4" t="inlineStr">
        <is>
          <t>Allison Scott</t>
        </is>
      </c>
      <c r="B22" s="4" t="inlineStr">
        <is>
          <t>Chris McCrohan</t>
        </is>
      </c>
      <c r="C22" s="4" t="inlineStr">
        <is>
          <t>New Belgium Brewing Company</t>
        </is>
      </c>
      <c r="D22" s="5" t="n"/>
      <c r="E22" s="5" t="n"/>
      <c r="F22" s="6">
        <f>IF($D22&gt;0,$E22/$D22,"")</f>
        <v/>
      </c>
      <c r="G22" s="4">
        <f>IF($D22&gt;0,IF($F22&gt;=1,"Qualified",IF($F22&gt;=0.9,"90% Partial Amplify","Not Qualified")),"No qualifier - Amplify open")</f>
        <v/>
      </c>
      <c r="H22" s="4">
        <f>IF($G22&lt;&gt;"Qualified","-",IFERROR(IF($E22&gt;=INDEX('Program Setup'!$C$18:$C$23,MATCH($C22,'Program Setup'!$B$18:$B$23,0)),1,IF($E22&gt;=INDEX('Program Setup'!$D$18:$D$23,MATCH($C22,'Program Setup'!$B$18:$B$23,0)),2,IF($E22&gt;=INDEX('Program Setup'!$E$18:$E$23,MATCH($C22,'Program Setup'!$B$18:$B$23,0)),3,"-"))),"-"))</f>
        <v/>
      </c>
      <c r="I22" s="7">
        <f>IF(ISNUMBER($H22),INDEX('Program Setup'!$B$6:$B$8,MATCH($H22,'Program Setup'!$A$6:$A$8,0)),0)</f>
        <v/>
      </c>
      <c r="J22" s="8">
        <f>SUMIFS('Amplify Detail'!$E$5:$E$496,'Amplify Detail'!$A$5:$A$496,$A22,'Amplify Detail'!$C$5:$C$496,$C22)</f>
        <v/>
      </c>
      <c r="K22" s="8">
        <f>SUMIFS('Amplify Detail'!$F$5:$F$496,'Amplify Detail'!$A$5:$A$496,$A22,'Amplify Detail'!$C$5:$C$496,$C22)</f>
        <v/>
      </c>
      <c r="L22" s="8">
        <f>SUMIFS('Amplify Detail'!$G$5:$G$496,'Amplify Detail'!$A$5:$A$496,$A22,'Amplify Detail'!$C$5:$C$496,$C22)</f>
        <v/>
      </c>
      <c r="M22" s="7">
        <f>SUMIFS('Amplify Detail'!$J$5:$J$496,'Amplify Detail'!$A$5:$A$496,$A22,'Amplify Detail'!$C$5:$C$496,$C22)</f>
        <v/>
      </c>
      <c r="N22" s="7">
        <f>$I22+$M22</f>
        <v/>
      </c>
      <c r="O22" s="9">
        <f>IF($G22="No qualifier - Amplify open",1,IFERROR(INDEX('Program Setup'!$B$12:$B$14,MATCH($G22,'Program Setup'!$A$12:$A$14,0)),0))</f>
        <v/>
      </c>
      <c r="P22" s="4">
        <f>$A22&amp;"|"&amp;$C22</f>
        <v/>
      </c>
    </row>
    <row r="23">
      <c r="A23" s="4" t="inlineStr">
        <is>
          <t>Allison Scott</t>
        </is>
      </c>
      <c r="B23" s="4" t="inlineStr">
        <is>
          <t>Chris McCrohan</t>
        </is>
      </c>
      <c r="C23" s="4" t="inlineStr">
        <is>
          <t>Sapporo</t>
        </is>
      </c>
      <c r="D23" s="5" t="n"/>
      <c r="E23" s="5" t="n"/>
      <c r="F23" s="6">
        <f>IF($D23&gt;0,$E23/$D23,"")</f>
        <v/>
      </c>
      <c r="G23" s="4">
        <f>IF($D23&gt;0,IF($F23&gt;=1,"Qualified",IF($F23&gt;=0.9,"90% Partial Amplify","Not Qualified")),"No qualifier - Amplify open")</f>
        <v/>
      </c>
      <c r="H23" s="4">
        <f>IF($G23&lt;&gt;"Qualified","-",IFERROR(IF($E23&gt;=INDEX('Program Setup'!$C$18:$C$23,MATCH($C23,'Program Setup'!$B$18:$B$23,0)),1,IF($E23&gt;=INDEX('Program Setup'!$D$18:$D$23,MATCH($C23,'Program Setup'!$B$18:$B$23,0)),2,IF($E23&gt;=INDEX('Program Setup'!$E$18:$E$23,MATCH($C23,'Program Setup'!$B$18:$B$23,0)),3,"-"))),"-"))</f>
        <v/>
      </c>
      <c r="I23" s="7">
        <f>IF(ISNUMBER($H23),INDEX('Program Setup'!$B$6:$B$8,MATCH($H23,'Program Setup'!$A$6:$A$8,0)),0)</f>
        <v/>
      </c>
      <c r="J23" s="8">
        <f>SUMIFS('Amplify Detail'!$E$5:$E$496,'Amplify Detail'!$A$5:$A$496,$A23,'Amplify Detail'!$C$5:$C$496,$C23)</f>
        <v/>
      </c>
      <c r="K23" s="8">
        <f>SUMIFS('Amplify Detail'!$F$5:$F$496,'Amplify Detail'!$A$5:$A$496,$A23,'Amplify Detail'!$C$5:$C$496,$C23)</f>
        <v/>
      </c>
      <c r="L23" s="8">
        <f>SUMIFS('Amplify Detail'!$G$5:$G$496,'Amplify Detail'!$A$5:$A$496,$A23,'Amplify Detail'!$C$5:$C$496,$C23)</f>
        <v/>
      </c>
      <c r="M23" s="7">
        <f>SUMIFS('Amplify Detail'!$J$5:$J$496,'Amplify Detail'!$A$5:$A$496,$A23,'Amplify Detail'!$C$5:$C$496,$C23)</f>
        <v/>
      </c>
      <c r="N23" s="7">
        <f>$I23+$M23</f>
        <v/>
      </c>
      <c r="O23" s="9">
        <f>IF($G23="No qualifier - Amplify open",1,IFERROR(INDEX('Program Setup'!$B$12:$B$14,MATCH($G23,'Program Setup'!$A$12:$A$14,0)),0))</f>
        <v/>
      </c>
      <c r="P23" s="4">
        <f>$A23&amp;"|"&amp;$C23</f>
        <v/>
      </c>
    </row>
    <row r="24">
      <c r="A24" s="4" t="inlineStr">
        <is>
          <t>Andrew Lundy</t>
        </is>
      </c>
      <c r="B24" s="4" t="inlineStr">
        <is>
          <t>Mike Kennedy</t>
        </is>
      </c>
      <c r="C24" s="4" t="inlineStr">
        <is>
          <t>MolsonCoors Beverage Company</t>
        </is>
      </c>
      <c r="D24" s="5" t="n"/>
      <c r="E24" s="5" t="n"/>
      <c r="F24" s="6">
        <f>IF($D24&gt;0,$E24/$D24,"")</f>
        <v/>
      </c>
      <c r="G24" s="4">
        <f>IF($D24&gt;0,IF($F24&gt;=1,"Qualified",IF($F24&gt;=0.9,"90% Partial Amplify","Not Qualified")),"No qualifier - Amplify open")</f>
        <v/>
      </c>
      <c r="H24" s="4">
        <f>IF($G24&lt;&gt;"Qualified","-",IFERROR(IF($E24&gt;=INDEX('Program Setup'!$C$18:$C$23,MATCH($C24,'Program Setup'!$B$18:$B$23,0)),1,IF($E24&gt;=INDEX('Program Setup'!$D$18:$D$23,MATCH($C24,'Program Setup'!$B$18:$B$23,0)),2,IF($E24&gt;=INDEX('Program Setup'!$E$18:$E$23,MATCH($C24,'Program Setup'!$B$18:$B$23,0)),3,"-"))),"-"))</f>
        <v/>
      </c>
      <c r="I24" s="7">
        <f>IF(ISNUMBER($H24),INDEX('Program Setup'!$B$6:$B$8,MATCH($H24,'Program Setup'!$A$6:$A$8,0)),0)</f>
        <v/>
      </c>
      <c r="J24" s="8">
        <f>SUMIFS('Amplify Detail'!$E$5:$E$496,'Amplify Detail'!$A$5:$A$496,$A24,'Amplify Detail'!$C$5:$C$496,$C24)</f>
        <v/>
      </c>
      <c r="K24" s="8">
        <f>SUMIFS('Amplify Detail'!$F$5:$F$496,'Amplify Detail'!$A$5:$A$496,$A24,'Amplify Detail'!$C$5:$C$496,$C24)</f>
        <v/>
      </c>
      <c r="L24" s="8">
        <f>SUMIFS('Amplify Detail'!$G$5:$G$496,'Amplify Detail'!$A$5:$A$496,$A24,'Amplify Detail'!$C$5:$C$496,$C24)</f>
        <v/>
      </c>
      <c r="M24" s="7">
        <f>SUMIFS('Amplify Detail'!$J$5:$J$496,'Amplify Detail'!$A$5:$A$496,$A24,'Amplify Detail'!$C$5:$C$496,$C24)</f>
        <v/>
      </c>
      <c r="N24" s="7">
        <f>$I24+$M24</f>
        <v/>
      </c>
      <c r="O24" s="9">
        <f>IF($G24="No qualifier - Amplify open",1,IFERROR(INDEX('Program Setup'!$B$12:$B$14,MATCH($G24,'Program Setup'!$A$12:$A$14,0)),0))</f>
        <v/>
      </c>
      <c r="P24" s="4">
        <f>$A24&amp;"|"&amp;$C24</f>
        <v/>
      </c>
    </row>
    <row r="25">
      <c r="A25" s="4" t="inlineStr">
        <is>
          <t>Andrew Lundy</t>
        </is>
      </c>
      <c r="B25" s="4" t="inlineStr">
        <is>
          <t>Mike Kennedy</t>
        </is>
      </c>
      <c r="C25" s="4" t="inlineStr">
        <is>
          <t>Sapporo</t>
        </is>
      </c>
      <c r="D25" s="5" t="n"/>
      <c r="E25" s="5" t="n"/>
      <c r="F25" s="6">
        <f>IF($D25&gt;0,$E25/$D25,"")</f>
        <v/>
      </c>
      <c r="G25" s="4">
        <f>IF($D25&gt;0,IF($F25&gt;=1,"Qualified",IF($F25&gt;=0.9,"90% Partial Amplify","Not Qualified")),"No qualifier - Amplify open")</f>
        <v/>
      </c>
      <c r="H25" s="4">
        <f>IF($G25&lt;&gt;"Qualified","-",IFERROR(IF($E25&gt;=INDEX('Program Setup'!$C$18:$C$23,MATCH($C25,'Program Setup'!$B$18:$B$23,0)),1,IF($E25&gt;=INDEX('Program Setup'!$D$18:$D$23,MATCH($C25,'Program Setup'!$B$18:$B$23,0)),2,IF($E25&gt;=INDEX('Program Setup'!$E$18:$E$23,MATCH($C25,'Program Setup'!$B$18:$B$23,0)),3,"-"))),"-"))</f>
        <v/>
      </c>
      <c r="I25" s="7">
        <f>IF(ISNUMBER($H25),INDEX('Program Setup'!$B$6:$B$8,MATCH($H25,'Program Setup'!$A$6:$A$8,0)),0)</f>
        <v/>
      </c>
      <c r="J25" s="8">
        <f>SUMIFS('Amplify Detail'!$E$5:$E$496,'Amplify Detail'!$A$5:$A$496,$A25,'Amplify Detail'!$C$5:$C$496,$C25)</f>
        <v/>
      </c>
      <c r="K25" s="8">
        <f>SUMIFS('Amplify Detail'!$F$5:$F$496,'Amplify Detail'!$A$5:$A$496,$A25,'Amplify Detail'!$C$5:$C$496,$C25)</f>
        <v/>
      </c>
      <c r="L25" s="8">
        <f>SUMIFS('Amplify Detail'!$G$5:$G$496,'Amplify Detail'!$A$5:$A$496,$A25,'Amplify Detail'!$C$5:$C$496,$C25)</f>
        <v/>
      </c>
      <c r="M25" s="7">
        <f>SUMIFS('Amplify Detail'!$J$5:$J$496,'Amplify Detail'!$A$5:$A$496,$A25,'Amplify Detail'!$C$5:$C$496,$C25)</f>
        <v/>
      </c>
      <c r="N25" s="7">
        <f>$I25+$M25</f>
        <v/>
      </c>
      <c r="O25" s="9">
        <f>IF($G25="No qualifier - Amplify open",1,IFERROR(INDEX('Program Setup'!$B$12:$B$14,MATCH($G25,'Program Setup'!$A$12:$A$14,0)),0))</f>
        <v/>
      </c>
      <c r="P25" s="4">
        <f>$A25&amp;"|"&amp;$C25</f>
        <v/>
      </c>
    </row>
    <row r="26">
      <c r="A26" s="4" t="inlineStr">
        <is>
          <t>Anthony Palmisano</t>
        </is>
      </c>
      <c r="B26" s="4" t="inlineStr">
        <is>
          <t>Chris McCrohan</t>
        </is>
      </c>
      <c r="C26" s="4" t="inlineStr">
        <is>
          <t>Boston Beer Company</t>
        </is>
      </c>
      <c r="D26" s="5" t="n">
        <v>4450</v>
      </c>
      <c r="E26" s="5" t="n">
        <v>3671</v>
      </c>
      <c r="F26" s="6">
        <f>IF($D26&gt;0,$E26/$D26,"")</f>
        <v/>
      </c>
      <c r="G26" s="4">
        <f>IF($D26&gt;0,IF($F26&gt;=1,"Qualified",IF($F26&gt;=0.9,"90% Partial Amplify","Not Qualified")),"No qualifier - Amplify open")</f>
        <v/>
      </c>
      <c r="H26" s="4">
        <f>IF($G26&lt;&gt;"Qualified","-",IFERROR(IF($E26&gt;=INDEX('Program Setup'!$C$18:$C$23,MATCH($C26,'Program Setup'!$B$18:$B$23,0)),1,IF($E26&gt;=INDEX('Program Setup'!$D$18:$D$23,MATCH($C26,'Program Setup'!$B$18:$B$23,0)),2,IF($E26&gt;=INDEX('Program Setup'!$E$18:$E$23,MATCH($C26,'Program Setup'!$B$18:$B$23,0)),3,"-"))),"-"))</f>
        <v/>
      </c>
      <c r="I26" s="7">
        <f>IF(ISNUMBER($H26),INDEX('Program Setup'!$B$6:$B$8,MATCH($H26,'Program Setup'!$A$6:$A$8,0)),0)</f>
        <v/>
      </c>
      <c r="J26" s="8">
        <f>SUMIFS('Amplify Detail'!$E$5:$E$496,'Amplify Detail'!$A$5:$A$496,$A26,'Amplify Detail'!$C$5:$C$496,$C26)</f>
        <v/>
      </c>
      <c r="K26" s="8">
        <f>SUMIFS('Amplify Detail'!$F$5:$F$496,'Amplify Detail'!$A$5:$A$496,$A26,'Amplify Detail'!$C$5:$C$496,$C26)</f>
        <v/>
      </c>
      <c r="L26" s="8">
        <f>SUMIFS('Amplify Detail'!$G$5:$G$496,'Amplify Detail'!$A$5:$A$496,$A26,'Amplify Detail'!$C$5:$C$496,$C26)</f>
        <v/>
      </c>
      <c r="M26" s="7">
        <f>SUMIFS('Amplify Detail'!$J$5:$J$496,'Amplify Detail'!$A$5:$A$496,$A26,'Amplify Detail'!$C$5:$C$496,$C26)</f>
        <v/>
      </c>
      <c r="N26" s="7">
        <f>$I26+$M26</f>
        <v/>
      </c>
      <c r="O26" s="9">
        <f>IF($G26="No qualifier - Amplify open",1,IFERROR(INDEX('Program Setup'!$B$12:$B$14,MATCH($G26,'Program Setup'!$A$12:$A$14,0)),0))</f>
        <v/>
      </c>
      <c r="P26" s="4">
        <f>$A26&amp;"|"&amp;$C26</f>
        <v/>
      </c>
    </row>
    <row r="27">
      <c r="A27" s="4" t="inlineStr">
        <is>
          <t>Anthony Palmisano</t>
        </is>
      </c>
      <c r="B27" s="4" t="inlineStr">
        <is>
          <t>Chris McCrohan</t>
        </is>
      </c>
      <c r="C27" s="4" t="inlineStr">
        <is>
          <t>Cape May</t>
        </is>
      </c>
      <c r="D27" s="5" t="n"/>
      <c r="E27" s="5" t="n"/>
      <c r="F27" s="6">
        <f>IF($D27&gt;0,$E27/$D27,"")</f>
        <v/>
      </c>
      <c r="G27" s="4">
        <f>IF($D27&gt;0,IF($F27&gt;=1,"Qualified",IF($F27&gt;=0.9,"90% Partial Amplify","Not Qualified")),"No qualifier - Amplify open")</f>
        <v/>
      </c>
      <c r="H27" s="4">
        <f>IF($G27&lt;&gt;"Qualified","-",IFERROR(IF($E27&gt;=INDEX('Program Setup'!$C$18:$C$23,MATCH($C27,'Program Setup'!$B$18:$B$23,0)),1,IF($E27&gt;=INDEX('Program Setup'!$D$18:$D$23,MATCH($C27,'Program Setup'!$B$18:$B$23,0)),2,IF($E27&gt;=INDEX('Program Setup'!$E$18:$E$23,MATCH($C27,'Program Setup'!$B$18:$B$23,0)),3,"-"))),"-"))</f>
        <v/>
      </c>
      <c r="I27" s="7">
        <f>IF(ISNUMBER($H27),INDEX('Program Setup'!$B$6:$B$8,MATCH($H27,'Program Setup'!$A$6:$A$8,0)),0)</f>
        <v/>
      </c>
      <c r="J27" s="8">
        <f>SUMIFS('Amplify Detail'!$E$5:$E$496,'Amplify Detail'!$A$5:$A$496,$A27,'Amplify Detail'!$C$5:$C$496,$C27)</f>
        <v/>
      </c>
      <c r="K27" s="8">
        <f>SUMIFS('Amplify Detail'!$F$5:$F$496,'Amplify Detail'!$A$5:$A$496,$A27,'Amplify Detail'!$C$5:$C$496,$C27)</f>
        <v/>
      </c>
      <c r="L27" s="8">
        <f>SUMIFS('Amplify Detail'!$G$5:$G$496,'Amplify Detail'!$A$5:$A$496,$A27,'Amplify Detail'!$C$5:$C$496,$C27)</f>
        <v/>
      </c>
      <c r="M27" s="7">
        <f>SUMIFS('Amplify Detail'!$J$5:$J$496,'Amplify Detail'!$A$5:$A$496,$A27,'Amplify Detail'!$C$5:$C$496,$C27)</f>
        <v/>
      </c>
      <c r="N27" s="7">
        <f>$I27+$M27</f>
        <v/>
      </c>
      <c r="O27" s="9">
        <f>IF($G27="No qualifier - Amplify open",1,IFERROR(INDEX('Program Setup'!$B$12:$B$14,MATCH($G27,'Program Setup'!$A$12:$A$14,0)),0))</f>
        <v/>
      </c>
      <c r="P27" s="4">
        <f>$A27&amp;"|"&amp;$C27</f>
        <v/>
      </c>
    </row>
    <row r="28">
      <c r="A28" s="4" t="inlineStr">
        <is>
          <t>Anthony Palmisano</t>
        </is>
      </c>
      <c r="B28" s="4" t="inlineStr">
        <is>
          <t>Chris McCrohan</t>
        </is>
      </c>
      <c r="C28" s="4" t="inlineStr">
        <is>
          <t>Constellation Brands</t>
        </is>
      </c>
      <c r="D28" s="5" t="n">
        <v>18078</v>
      </c>
      <c r="E28" s="5" t="n">
        <v>18611</v>
      </c>
      <c r="F28" s="6">
        <f>IF($D28&gt;0,$E28/$D28,"")</f>
        <v/>
      </c>
      <c r="G28" s="4">
        <f>IF($D28&gt;0,IF($F28&gt;=1,"Qualified",IF($F28&gt;=0.9,"90% Partial Amplify","Not Qualified")),"No qualifier - Amplify open")</f>
        <v/>
      </c>
      <c r="H28" s="4">
        <f>IF($G28&lt;&gt;"Qualified","-",IFERROR(IF($E28&gt;=INDEX('Program Setup'!$C$18:$C$23,MATCH($C28,'Program Setup'!$B$18:$B$23,0)),1,IF($E28&gt;=INDEX('Program Setup'!$D$18:$D$23,MATCH($C28,'Program Setup'!$B$18:$B$23,0)),2,IF($E28&gt;=INDEX('Program Setup'!$E$18:$E$23,MATCH($C28,'Program Setup'!$B$18:$B$23,0)),3,"-"))),"-"))</f>
        <v/>
      </c>
      <c r="I28" s="7">
        <f>IF(ISNUMBER($H28),INDEX('Program Setup'!$B$6:$B$8,MATCH($H28,'Program Setup'!$A$6:$A$8,0)),0)</f>
        <v/>
      </c>
      <c r="J28" s="8">
        <f>SUMIFS('Amplify Detail'!$E$5:$E$496,'Amplify Detail'!$A$5:$A$496,$A28,'Amplify Detail'!$C$5:$C$496,$C28)</f>
        <v/>
      </c>
      <c r="K28" s="8">
        <f>SUMIFS('Amplify Detail'!$F$5:$F$496,'Amplify Detail'!$A$5:$A$496,$A28,'Amplify Detail'!$C$5:$C$496,$C28)</f>
        <v/>
      </c>
      <c r="L28" s="8">
        <f>SUMIFS('Amplify Detail'!$G$5:$G$496,'Amplify Detail'!$A$5:$A$496,$A28,'Amplify Detail'!$C$5:$C$496,$C28)</f>
        <v/>
      </c>
      <c r="M28" s="7">
        <f>SUMIFS('Amplify Detail'!$J$5:$J$496,'Amplify Detail'!$A$5:$A$496,$A28,'Amplify Detail'!$C$5:$C$496,$C28)</f>
        <v/>
      </c>
      <c r="N28" s="7">
        <f>$I28+$M28</f>
        <v/>
      </c>
      <c r="O28" s="9">
        <f>IF($G28="No qualifier - Amplify open",1,IFERROR(INDEX('Program Setup'!$B$12:$B$14,MATCH($G28,'Program Setup'!$A$12:$A$14,0)),0))</f>
        <v/>
      </c>
      <c r="P28" s="4">
        <f>$A28&amp;"|"&amp;$C28</f>
        <v/>
      </c>
    </row>
    <row r="29">
      <c r="A29" s="4" t="inlineStr">
        <is>
          <t>Anthony Palmisano</t>
        </is>
      </c>
      <c r="B29" s="4" t="inlineStr">
        <is>
          <t>Chris McCrohan</t>
        </is>
      </c>
      <c r="C29" s="4" t="inlineStr">
        <is>
          <t>DG Yuengling Inc</t>
        </is>
      </c>
      <c r="D29" s="5" t="n">
        <v>4331</v>
      </c>
      <c r="E29" s="5" t="n">
        <v>4275</v>
      </c>
      <c r="F29" s="6">
        <f>IF($D29&gt;0,$E29/$D29,"")</f>
        <v/>
      </c>
      <c r="G29" s="4">
        <f>IF($D29&gt;0,IF($F29&gt;=1,"Qualified",IF($F29&gt;=0.9,"90% Partial Amplify","Not Qualified")),"No qualifier - Amplify open")</f>
        <v/>
      </c>
      <c r="H29" s="4">
        <f>IF($G29&lt;&gt;"Qualified","-",IFERROR(IF($E29&gt;=INDEX('Program Setup'!$C$18:$C$23,MATCH($C29,'Program Setup'!$B$18:$B$23,0)),1,IF($E29&gt;=INDEX('Program Setup'!$D$18:$D$23,MATCH($C29,'Program Setup'!$B$18:$B$23,0)),2,IF($E29&gt;=INDEX('Program Setup'!$E$18:$E$23,MATCH($C29,'Program Setup'!$B$18:$B$23,0)),3,"-"))),"-"))</f>
        <v/>
      </c>
      <c r="I29" s="7">
        <f>IF(ISNUMBER($H29),INDEX('Program Setup'!$B$6:$B$8,MATCH($H29,'Program Setup'!$A$6:$A$8,0)),0)</f>
        <v/>
      </c>
      <c r="J29" s="8">
        <f>SUMIFS('Amplify Detail'!$E$5:$E$496,'Amplify Detail'!$A$5:$A$496,$A29,'Amplify Detail'!$C$5:$C$496,$C29)</f>
        <v/>
      </c>
      <c r="K29" s="8">
        <f>SUMIFS('Amplify Detail'!$F$5:$F$496,'Amplify Detail'!$A$5:$A$496,$A29,'Amplify Detail'!$C$5:$C$496,$C29)</f>
        <v/>
      </c>
      <c r="L29" s="8">
        <f>SUMIFS('Amplify Detail'!$G$5:$G$496,'Amplify Detail'!$A$5:$A$496,$A29,'Amplify Detail'!$C$5:$C$496,$C29)</f>
        <v/>
      </c>
      <c r="M29" s="7">
        <f>SUMIFS('Amplify Detail'!$J$5:$J$496,'Amplify Detail'!$A$5:$A$496,$A29,'Amplify Detail'!$C$5:$C$496,$C29)</f>
        <v/>
      </c>
      <c r="N29" s="7">
        <f>$I29+$M29</f>
        <v/>
      </c>
      <c r="O29" s="9">
        <f>IF($G29="No qualifier - Amplify open",1,IFERROR(INDEX('Program Setup'!$B$12:$B$14,MATCH($G29,'Program Setup'!$A$12:$A$14,0)),0))</f>
        <v/>
      </c>
      <c r="P29" s="4">
        <f>$A29&amp;"|"&amp;$C29</f>
        <v/>
      </c>
    </row>
    <row r="30">
      <c r="A30" s="4" t="inlineStr">
        <is>
          <t>Anthony Palmisano</t>
        </is>
      </c>
      <c r="B30" s="4" t="inlineStr">
        <is>
          <t>Chris McCrohan</t>
        </is>
      </c>
      <c r="C30" s="4" t="inlineStr">
        <is>
          <t>Heineken USA</t>
        </is>
      </c>
      <c r="D30" s="5" t="n">
        <v>2985</v>
      </c>
      <c r="E30" s="5" t="n">
        <v>2640</v>
      </c>
      <c r="F30" s="6">
        <f>IF($D30&gt;0,$E30/$D30,"")</f>
        <v/>
      </c>
      <c r="G30" s="4">
        <f>IF($D30&gt;0,IF($F30&gt;=1,"Qualified",IF($F30&gt;=0.9,"90% Partial Amplify","Not Qualified")),"No qualifier - Amplify open")</f>
        <v/>
      </c>
      <c r="H30" s="4">
        <f>IF($G30&lt;&gt;"Qualified","-",IFERROR(IF($E30&gt;=INDEX('Program Setup'!$C$18:$C$23,MATCH($C30,'Program Setup'!$B$18:$B$23,0)),1,IF($E30&gt;=INDEX('Program Setup'!$D$18:$D$23,MATCH($C30,'Program Setup'!$B$18:$B$23,0)),2,IF($E30&gt;=INDEX('Program Setup'!$E$18:$E$23,MATCH($C30,'Program Setup'!$B$18:$B$23,0)),3,"-"))),"-"))</f>
        <v/>
      </c>
      <c r="I30" s="7">
        <f>IF(ISNUMBER($H30),INDEX('Program Setup'!$B$6:$B$8,MATCH($H30,'Program Setup'!$A$6:$A$8,0)),0)</f>
        <v/>
      </c>
      <c r="J30" s="8">
        <f>SUMIFS('Amplify Detail'!$E$5:$E$496,'Amplify Detail'!$A$5:$A$496,$A30,'Amplify Detail'!$C$5:$C$496,$C30)</f>
        <v/>
      </c>
      <c r="K30" s="8">
        <f>SUMIFS('Amplify Detail'!$F$5:$F$496,'Amplify Detail'!$A$5:$A$496,$A30,'Amplify Detail'!$C$5:$C$496,$C30)</f>
        <v/>
      </c>
      <c r="L30" s="8">
        <f>SUMIFS('Amplify Detail'!$G$5:$G$496,'Amplify Detail'!$A$5:$A$496,$A30,'Amplify Detail'!$C$5:$C$496,$C30)</f>
        <v/>
      </c>
      <c r="M30" s="7">
        <f>SUMIFS('Amplify Detail'!$J$5:$J$496,'Amplify Detail'!$A$5:$A$496,$A30,'Amplify Detail'!$C$5:$C$496,$C30)</f>
        <v/>
      </c>
      <c r="N30" s="7">
        <f>$I30+$M30</f>
        <v/>
      </c>
      <c r="O30" s="9">
        <f>IF($G30="No qualifier - Amplify open",1,IFERROR(INDEX('Program Setup'!$B$12:$B$14,MATCH($G30,'Program Setup'!$A$12:$A$14,0)),0))</f>
        <v/>
      </c>
      <c r="P30" s="4">
        <f>$A30&amp;"|"&amp;$C30</f>
        <v/>
      </c>
    </row>
    <row r="31">
      <c r="A31" s="4" t="inlineStr">
        <is>
          <t>Anthony Palmisano</t>
        </is>
      </c>
      <c r="B31" s="4" t="inlineStr">
        <is>
          <t>Chris McCrohan</t>
        </is>
      </c>
      <c r="C31" s="4" t="inlineStr">
        <is>
          <t>Mark Anthony</t>
        </is>
      </c>
      <c r="D31" s="5" t="n">
        <v>6666</v>
      </c>
      <c r="E31" s="5" t="n">
        <v>7386</v>
      </c>
      <c r="F31" s="6">
        <f>IF($D31&gt;0,$E31/$D31,"")</f>
        <v/>
      </c>
      <c r="G31" s="4">
        <f>IF($D31&gt;0,IF($F31&gt;=1,"Qualified",IF($F31&gt;=0.9,"90% Partial Amplify","Not Qualified")),"No qualifier - Amplify open")</f>
        <v/>
      </c>
      <c r="H31" s="4">
        <f>IF($G31&lt;&gt;"Qualified","-",IFERROR(IF($E31&gt;=INDEX('Program Setup'!$C$18:$C$23,MATCH($C31,'Program Setup'!$B$18:$B$23,0)),1,IF($E31&gt;=INDEX('Program Setup'!$D$18:$D$23,MATCH($C31,'Program Setup'!$B$18:$B$23,0)),2,IF($E31&gt;=INDEX('Program Setup'!$E$18:$E$23,MATCH($C31,'Program Setup'!$B$18:$B$23,0)),3,"-"))),"-"))</f>
        <v/>
      </c>
      <c r="I31" s="7">
        <f>IF(ISNUMBER($H31),INDEX('Program Setup'!$B$6:$B$8,MATCH($H31,'Program Setup'!$A$6:$A$8,0)),0)</f>
        <v/>
      </c>
      <c r="J31" s="8">
        <f>SUMIFS('Amplify Detail'!$E$5:$E$496,'Amplify Detail'!$A$5:$A$496,$A31,'Amplify Detail'!$C$5:$C$496,$C31)</f>
        <v/>
      </c>
      <c r="K31" s="8">
        <f>SUMIFS('Amplify Detail'!$F$5:$F$496,'Amplify Detail'!$A$5:$A$496,$A31,'Amplify Detail'!$C$5:$C$496,$C31)</f>
        <v/>
      </c>
      <c r="L31" s="8">
        <f>SUMIFS('Amplify Detail'!$G$5:$G$496,'Amplify Detail'!$A$5:$A$496,$A31,'Amplify Detail'!$C$5:$C$496,$C31)</f>
        <v/>
      </c>
      <c r="M31" s="7">
        <f>SUMIFS('Amplify Detail'!$J$5:$J$496,'Amplify Detail'!$A$5:$A$496,$A31,'Amplify Detail'!$C$5:$C$496,$C31)</f>
        <v/>
      </c>
      <c r="N31" s="7">
        <f>$I31+$M31</f>
        <v/>
      </c>
      <c r="O31" s="9">
        <f>IF($G31="No qualifier - Amplify open",1,IFERROR(INDEX('Program Setup'!$B$12:$B$14,MATCH($G31,'Program Setup'!$A$12:$A$14,0)),0))</f>
        <v/>
      </c>
      <c r="P31" s="4">
        <f>$A31&amp;"|"&amp;$C31</f>
        <v/>
      </c>
    </row>
    <row r="32">
      <c r="A32" s="4" t="inlineStr">
        <is>
          <t>Anthony Palmisano</t>
        </is>
      </c>
      <c r="B32" s="4" t="inlineStr">
        <is>
          <t>Chris McCrohan</t>
        </is>
      </c>
      <c r="C32" s="4" t="inlineStr">
        <is>
          <t>MolsonCoors Beverage Company</t>
        </is>
      </c>
      <c r="D32" s="5" t="n">
        <v>29338</v>
      </c>
      <c r="E32" s="5" t="n">
        <v>27917</v>
      </c>
      <c r="F32" s="6">
        <f>IF($D32&gt;0,$E32/$D32,"")</f>
        <v/>
      </c>
      <c r="G32" s="4">
        <f>IF($D32&gt;0,IF($F32&gt;=1,"Qualified",IF($F32&gt;=0.9,"90% Partial Amplify","Not Qualified")),"No qualifier - Amplify open")</f>
        <v/>
      </c>
      <c r="H32" s="4">
        <f>IF($G32&lt;&gt;"Qualified","-",IFERROR(IF($E32&gt;=INDEX('Program Setup'!$C$18:$C$23,MATCH($C32,'Program Setup'!$B$18:$B$23,0)),1,IF($E32&gt;=INDEX('Program Setup'!$D$18:$D$23,MATCH($C32,'Program Setup'!$B$18:$B$23,0)),2,IF($E32&gt;=INDEX('Program Setup'!$E$18:$E$23,MATCH($C32,'Program Setup'!$B$18:$B$23,0)),3,"-"))),"-"))</f>
        <v/>
      </c>
      <c r="I32" s="7">
        <f>IF(ISNUMBER($H32),INDEX('Program Setup'!$B$6:$B$8,MATCH($H32,'Program Setup'!$A$6:$A$8,0)),0)</f>
        <v/>
      </c>
      <c r="J32" s="8">
        <f>SUMIFS('Amplify Detail'!$E$5:$E$496,'Amplify Detail'!$A$5:$A$496,$A32,'Amplify Detail'!$C$5:$C$496,$C32)</f>
        <v/>
      </c>
      <c r="K32" s="8">
        <f>SUMIFS('Amplify Detail'!$F$5:$F$496,'Amplify Detail'!$A$5:$A$496,$A32,'Amplify Detail'!$C$5:$C$496,$C32)</f>
        <v/>
      </c>
      <c r="L32" s="8">
        <f>SUMIFS('Amplify Detail'!$G$5:$G$496,'Amplify Detail'!$A$5:$A$496,$A32,'Amplify Detail'!$C$5:$C$496,$C32)</f>
        <v/>
      </c>
      <c r="M32" s="7">
        <f>SUMIFS('Amplify Detail'!$J$5:$J$496,'Amplify Detail'!$A$5:$A$496,$A32,'Amplify Detail'!$C$5:$C$496,$C32)</f>
        <v/>
      </c>
      <c r="N32" s="7">
        <f>$I32+$M32</f>
        <v/>
      </c>
      <c r="O32" s="9">
        <f>IF($G32="No qualifier - Amplify open",1,IFERROR(INDEX('Program Setup'!$B$12:$B$14,MATCH($G32,'Program Setup'!$A$12:$A$14,0)),0))</f>
        <v/>
      </c>
      <c r="P32" s="4">
        <f>$A32&amp;"|"&amp;$C32</f>
        <v/>
      </c>
    </row>
    <row r="33">
      <c r="A33" s="4" t="inlineStr">
        <is>
          <t>Anthony Palmisano</t>
        </is>
      </c>
      <c r="B33" s="4" t="inlineStr">
        <is>
          <t>Chris McCrohan</t>
        </is>
      </c>
      <c r="C33" s="4" t="inlineStr">
        <is>
          <t>New Belgium Brewing Company</t>
        </is>
      </c>
      <c r="D33" s="5" t="n"/>
      <c r="E33" s="5" t="n"/>
      <c r="F33" s="6">
        <f>IF($D33&gt;0,$E33/$D33,"")</f>
        <v/>
      </c>
      <c r="G33" s="4">
        <f>IF($D33&gt;0,IF($F33&gt;=1,"Qualified",IF($F33&gt;=0.9,"90% Partial Amplify","Not Qualified")),"No qualifier - Amplify open")</f>
        <v/>
      </c>
      <c r="H33" s="4">
        <f>IF($G33&lt;&gt;"Qualified","-",IFERROR(IF($E33&gt;=INDEX('Program Setup'!$C$18:$C$23,MATCH($C33,'Program Setup'!$B$18:$B$23,0)),1,IF($E33&gt;=INDEX('Program Setup'!$D$18:$D$23,MATCH($C33,'Program Setup'!$B$18:$B$23,0)),2,IF($E33&gt;=INDEX('Program Setup'!$E$18:$E$23,MATCH($C33,'Program Setup'!$B$18:$B$23,0)),3,"-"))),"-"))</f>
        <v/>
      </c>
      <c r="I33" s="7">
        <f>IF(ISNUMBER($H33),INDEX('Program Setup'!$B$6:$B$8,MATCH($H33,'Program Setup'!$A$6:$A$8,0)),0)</f>
        <v/>
      </c>
      <c r="J33" s="8">
        <f>SUMIFS('Amplify Detail'!$E$5:$E$496,'Amplify Detail'!$A$5:$A$496,$A33,'Amplify Detail'!$C$5:$C$496,$C33)</f>
        <v/>
      </c>
      <c r="K33" s="8">
        <f>SUMIFS('Amplify Detail'!$F$5:$F$496,'Amplify Detail'!$A$5:$A$496,$A33,'Amplify Detail'!$C$5:$C$496,$C33)</f>
        <v/>
      </c>
      <c r="L33" s="8">
        <f>SUMIFS('Amplify Detail'!$G$5:$G$496,'Amplify Detail'!$A$5:$A$496,$A33,'Amplify Detail'!$C$5:$C$496,$C33)</f>
        <v/>
      </c>
      <c r="M33" s="7">
        <f>SUMIFS('Amplify Detail'!$J$5:$J$496,'Amplify Detail'!$A$5:$A$496,$A33,'Amplify Detail'!$C$5:$C$496,$C33)</f>
        <v/>
      </c>
      <c r="N33" s="7">
        <f>$I33+$M33</f>
        <v/>
      </c>
      <c r="O33" s="9">
        <f>IF($G33="No qualifier - Amplify open",1,IFERROR(INDEX('Program Setup'!$B$12:$B$14,MATCH($G33,'Program Setup'!$A$12:$A$14,0)),0))</f>
        <v/>
      </c>
      <c r="P33" s="4">
        <f>$A33&amp;"|"&amp;$C33</f>
        <v/>
      </c>
    </row>
    <row r="34">
      <c r="A34" s="4" t="inlineStr">
        <is>
          <t>Anthony Palmisano</t>
        </is>
      </c>
      <c r="B34" s="4" t="inlineStr">
        <is>
          <t>Chris McCrohan</t>
        </is>
      </c>
      <c r="C34" s="4" t="inlineStr">
        <is>
          <t>Sapporo</t>
        </is>
      </c>
      <c r="D34" s="5" t="n"/>
      <c r="E34" s="5" t="n"/>
      <c r="F34" s="6">
        <f>IF($D34&gt;0,$E34/$D34,"")</f>
        <v/>
      </c>
      <c r="G34" s="4">
        <f>IF($D34&gt;0,IF($F34&gt;=1,"Qualified",IF($F34&gt;=0.9,"90% Partial Amplify","Not Qualified")),"No qualifier - Amplify open")</f>
        <v/>
      </c>
      <c r="H34" s="4">
        <f>IF($G34&lt;&gt;"Qualified","-",IFERROR(IF($E34&gt;=INDEX('Program Setup'!$C$18:$C$23,MATCH($C34,'Program Setup'!$B$18:$B$23,0)),1,IF($E34&gt;=INDEX('Program Setup'!$D$18:$D$23,MATCH($C34,'Program Setup'!$B$18:$B$23,0)),2,IF($E34&gt;=INDEX('Program Setup'!$E$18:$E$23,MATCH($C34,'Program Setup'!$B$18:$B$23,0)),3,"-"))),"-"))</f>
        <v/>
      </c>
      <c r="I34" s="7">
        <f>IF(ISNUMBER($H34),INDEX('Program Setup'!$B$6:$B$8,MATCH($H34,'Program Setup'!$A$6:$A$8,0)),0)</f>
        <v/>
      </c>
      <c r="J34" s="8">
        <f>SUMIFS('Amplify Detail'!$E$5:$E$496,'Amplify Detail'!$A$5:$A$496,$A34,'Amplify Detail'!$C$5:$C$496,$C34)</f>
        <v/>
      </c>
      <c r="K34" s="8">
        <f>SUMIFS('Amplify Detail'!$F$5:$F$496,'Amplify Detail'!$A$5:$A$496,$A34,'Amplify Detail'!$C$5:$C$496,$C34)</f>
        <v/>
      </c>
      <c r="L34" s="8">
        <f>SUMIFS('Amplify Detail'!$G$5:$G$496,'Amplify Detail'!$A$5:$A$496,$A34,'Amplify Detail'!$C$5:$C$496,$C34)</f>
        <v/>
      </c>
      <c r="M34" s="7">
        <f>SUMIFS('Amplify Detail'!$J$5:$J$496,'Amplify Detail'!$A$5:$A$496,$A34,'Amplify Detail'!$C$5:$C$496,$C34)</f>
        <v/>
      </c>
      <c r="N34" s="7">
        <f>$I34+$M34</f>
        <v/>
      </c>
      <c r="O34" s="9">
        <f>IF($G34="No qualifier - Amplify open",1,IFERROR(INDEX('Program Setup'!$B$12:$B$14,MATCH($G34,'Program Setup'!$A$12:$A$14,0)),0))</f>
        <v/>
      </c>
      <c r="P34" s="4">
        <f>$A34&amp;"|"&amp;$C34</f>
        <v/>
      </c>
    </row>
    <row r="35">
      <c r="A35" s="4" t="inlineStr">
        <is>
          <t>Brian Sengebush</t>
        </is>
      </c>
      <c r="B35" s="4" t="inlineStr">
        <is>
          <t>Chris McCrohan</t>
        </is>
      </c>
      <c r="C35" s="4" t="inlineStr">
        <is>
          <t>Boston Beer Company</t>
        </is>
      </c>
      <c r="D35" s="5" t="n">
        <v>1575</v>
      </c>
      <c r="E35" s="5" t="n">
        <v>1075</v>
      </c>
      <c r="F35" s="6">
        <f>IF($D35&gt;0,$E35/$D35,"")</f>
        <v/>
      </c>
      <c r="G35" s="4">
        <f>IF($D35&gt;0,IF($F35&gt;=1,"Qualified",IF($F35&gt;=0.9,"90% Partial Amplify","Not Qualified")),"No qualifier - Amplify open")</f>
        <v/>
      </c>
      <c r="H35" s="4">
        <f>IF($G35&lt;&gt;"Qualified","-",IFERROR(IF($E35&gt;=INDEX('Program Setup'!$C$18:$C$23,MATCH($C35,'Program Setup'!$B$18:$B$23,0)),1,IF($E35&gt;=INDEX('Program Setup'!$D$18:$D$23,MATCH($C35,'Program Setup'!$B$18:$B$23,0)),2,IF($E35&gt;=INDEX('Program Setup'!$E$18:$E$23,MATCH($C35,'Program Setup'!$B$18:$B$23,0)),3,"-"))),"-"))</f>
        <v/>
      </c>
      <c r="I35" s="7">
        <f>IF(ISNUMBER($H35),INDEX('Program Setup'!$B$6:$B$8,MATCH($H35,'Program Setup'!$A$6:$A$8,0)),0)</f>
        <v/>
      </c>
      <c r="J35" s="8">
        <f>SUMIFS('Amplify Detail'!$E$5:$E$496,'Amplify Detail'!$A$5:$A$496,$A35,'Amplify Detail'!$C$5:$C$496,$C35)</f>
        <v/>
      </c>
      <c r="K35" s="8">
        <f>SUMIFS('Amplify Detail'!$F$5:$F$496,'Amplify Detail'!$A$5:$A$496,$A35,'Amplify Detail'!$C$5:$C$496,$C35)</f>
        <v/>
      </c>
      <c r="L35" s="8">
        <f>SUMIFS('Amplify Detail'!$G$5:$G$496,'Amplify Detail'!$A$5:$A$496,$A35,'Amplify Detail'!$C$5:$C$496,$C35)</f>
        <v/>
      </c>
      <c r="M35" s="7">
        <f>SUMIFS('Amplify Detail'!$J$5:$J$496,'Amplify Detail'!$A$5:$A$496,$A35,'Amplify Detail'!$C$5:$C$496,$C35)</f>
        <v/>
      </c>
      <c r="N35" s="7">
        <f>$I35+$M35</f>
        <v/>
      </c>
      <c r="O35" s="9">
        <f>IF($G35="No qualifier - Amplify open",1,IFERROR(INDEX('Program Setup'!$B$12:$B$14,MATCH($G35,'Program Setup'!$A$12:$A$14,0)),0))</f>
        <v/>
      </c>
      <c r="P35" s="4">
        <f>$A35&amp;"|"&amp;$C35</f>
        <v/>
      </c>
    </row>
    <row r="36">
      <c r="A36" s="4" t="inlineStr">
        <is>
          <t>Brian Sengebush</t>
        </is>
      </c>
      <c r="B36" s="4" t="inlineStr">
        <is>
          <t>Chris McCrohan</t>
        </is>
      </c>
      <c r="C36" s="4" t="inlineStr">
        <is>
          <t>Cape May</t>
        </is>
      </c>
      <c r="D36" s="5" t="n"/>
      <c r="E36" s="5" t="n"/>
      <c r="F36" s="6">
        <f>IF($D36&gt;0,$E36/$D36,"")</f>
        <v/>
      </c>
      <c r="G36" s="4">
        <f>IF($D36&gt;0,IF($F36&gt;=1,"Qualified",IF($F36&gt;=0.9,"90% Partial Amplify","Not Qualified")),"No qualifier - Amplify open")</f>
        <v/>
      </c>
      <c r="H36" s="4">
        <f>IF($G36&lt;&gt;"Qualified","-",IFERROR(IF($E36&gt;=INDEX('Program Setup'!$C$18:$C$23,MATCH($C36,'Program Setup'!$B$18:$B$23,0)),1,IF($E36&gt;=INDEX('Program Setup'!$D$18:$D$23,MATCH($C36,'Program Setup'!$B$18:$B$23,0)),2,IF($E36&gt;=INDEX('Program Setup'!$E$18:$E$23,MATCH($C36,'Program Setup'!$B$18:$B$23,0)),3,"-"))),"-"))</f>
        <v/>
      </c>
      <c r="I36" s="7">
        <f>IF(ISNUMBER($H36),INDEX('Program Setup'!$B$6:$B$8,MATCH($H36,'Program Setup'!$A$6:$A$8,0)),0)</f>
        <v/>
      </c>
      <c r="J36" s="8">
        <f>SUMIFS('Amplify Detail'!$E$5:$E$496,'Amplify Detail'!$A$5:$A$496,$A36,'Amplify Detail'!$C$5:$C$496,$C36)</f>
        <v/>
      </c>
      <c r="K36" s="8">
        <f>SUMIFS('Amplify Detail'!$F$5:$F$496,'Amplify Detail'!$A$5:$A$496,$A36,'Amplify Detail'!$C$5:$C$496,$C36)</f>
        <v/>
      </c>
      <c r="L36" s="8">
        <f>SUMIFS('Amplify Detail'!$G$5:$G$496,'Amplify Detail'!$A$5:$A$496,$A36,'Amplify Detail'!$C$5:$C$496,$C36)</f>
        <v/>
      </c>
      <c r="M36" s="7">
        <f>SUMIFS('Amplify Detail'!$J$5:$J$496,'Amplify Detail'!$A$5:$A$496,$A36,'Amplify Detail'!$C$5:$C$496,$C36)</f>
        <v/>
      </c>
      <c r="N36" s="7">
        <f>$I36+$M36</f>
        <v/>
      </c>
      <c r="O36" s="9">
        <f>IF($G36="No qualifier - Amplify open",1,IFERROR(INDEX('Program Setup'!$B$12:$B$14,MATCH($G36,'Program Setup'!$A$12:$A$14,0)),0))</f>
        <v/>
      </c>
      <c r="P36" s="4">
        <f>$A36&amp;"|"&amp;$C36</f>
        <v/>
      </c>
    </row>
    <row r="37">
      <c r="A37" s="4" t="inlineStr">
        <is>
          <t>Brian Sengebush</t>
        </is>
      </c>
      <c r="B37" s="4" t="inlineStr">
        <is>
          <t>Chris McCrohan</t>
        </is>
      </c>
      <c r="C37" s="4" t="inlineStr">
        <is>
          <t>Constellation Brands</t>
        </is>
      </c>
      <c r="D37" s="5" t="n">
        <v>5395</v>
      </c>
      <c r="E37" s="5" t="n">
        <v>5033</v>
      </c>
      <c r="F37" s="6">
        <f>IF($D37&gt;0,$E37/$D37,"")</f>
        <v/>
      </c>
      <c r="G37" s="4">
        <f>IF($D37&gt;0,IF($F37&gt;=1,"Qualified",IF($F37&gt;=0.9,"90% Partial Amplify","Not Qualified")),"No qualifier - Amplify open")</f>
        <v/>
      </c>
      <c r="H37" s="4">
        <f>IF($G37&lt;&gt;"Qualified","-",IFERROR(IF($E37&gt;=INDEX('Program Setup'!$C$18:$C$23,MATCH($C37,'Program Setup'!$B$18:$B$23,0)),1,IF($E37&gt;=INDEX('Program Setup'!$D$18:$D$23,MATCH($C37,'Program Setup'!$B$18:$B$23,0)),2,IF($E37&gt;=INDEX('Program Setup'!$E$18:$E$23,MATCH($C37,'Program Setup'!$B$18:$B$23,0)),3,"-"))),"-"))</f>
        <v/>
      </c>
      <c r="I37" s="7">
        <f>IF(ISNUMBER($H37),INDEX('Program Setup'!$B$6:$B$8,MATCH($H37,'Program Setup'!$A$6:$A$8,0)),0)</f>
        <v/>
      </c>
      <c r="J37" s="8">
        <f>SUMIFS('Amplify Detail'!$E$5:$E$496,'Amplify Detail'!$A$5:$A$496,$A37,'Amplify Detail'!$C$5:$C$496,$C37)</f>
        <v/>
      </c>
      <c r="K37" s="8">
        <f>SUMIFS('Amplify Detail'!$F$5:$F$496,'Amplify Detail'!$A$5:$A$496,$A37,'Amplify Detail'!$C$5:$C$496,$C37)</f>
        <v/>
      </c>
      <c r="L37" s="8">
        <f>SUMIFS('Amplify Detail'!$G$5:$G$496,'Amplify Detail'!$A$5:$A$496,$A37,'Amplify Detail'!$C$5:$C$496,$C37)</f>
        <v/>
      </c>
      <c r="M37" s="7">
        <f>SUMIFS('Amplify Detail'!$J$5:$J$496,'Amplify Detail'!$A$5:$A$496,$A37,'Amplify Detail'!$C$5:$C$496,$C37)</f>
        <v/>
      </c>
      <c r="N37" s="7">
        <f>$I37+$M37</f>
        <v/>
      </c>
      <c r="O37" s="9">
        <f>IF($G37="No qualifier - Amplify open",1,IFERROR(INDEX('Program Setup'!$B$12:$B$14,MATCH($G37,'Program Setup'!$A$12:$A$14,0)),0))</f>
        <v/>
      </c>
      <c r="P37" s="4">
        <f>$A37&amp;"|"&amp;$C37</f>
        <v/>
      </c>
    </row>
    <row r="38">
      <c r="A38" s="4" t="inlineStr">
        <is>
          <t>Brian Sengebush</t>
        </is>
      </c>
      <c r="B38" s="4" t="inlineStr">
        <is>
          <t>Chris McCrohan</t>
        </is>
      </c>
      <c r="C38" s="4" t="inlineStr">
        <is>
          <t>DG Yuengling Inc</t>
        </is>
      </c>
      <c r="D38" s="5" t="n">
        <v>4861</v>
      </c>
      <c r="E38" s="5" t="n">
        <v>4375</v>
      </c>
      <c r="F38" s="6">
        <f>IF($D38&gt;0,$E38/$D38,"")</f>
        <v/>
      </c>
      <c r="G38" s="4">
        <f>IF($D38&gt;0,IF($F38&gt;=1,"Qualified",IF($F38&gt;=0.9,"90% Partial Amplify","Not Qualified")),"No qualifier - Amplify open")</f>
        <v/>
      </c>
      <c r="H38" s="4">
        <f>IF($G38&lt;&gt;"Qualified","-",IFERROR(IF($E38&gt;=INDEX('Program Setup'!$C$18:$C$23,MATCH($C38,'Program Setup'!$B$18:$B$23,0)),1,IF($E38&gt;=INDEX('Program Setup'!$D$18:$D$23,MATCH($C38,'Program Setup'!$B$18:$B$23,0)),2,IF($E38&gt;=INDEX('Program Setup'!$E$18:$E$23,MATCH($C38,'Program Setup'!$B$18:$B$23,0)),3,"-"))),"-"))</f>
        <v/>
      </c>
      <c r="I38" s="7">
        <f>IF(ISNUMBER($H38),INDEX('Program Setup'!$B$6:$B$8,MATCH($H38,'Program Setup'!$A$6:$A$8,0)),0)</f>
        <v/>
      </c>
      <c r="J38" s="8">
        <f>SUMIFS('Amplify Detail'!$E$5:$E$496,'Amplify Detail'!$A$5:$A$496,$A38,'Amplify Detail'!$C$5:$C$496,$C38)</f>
        <v/>
      </c>
      <c r="K38" s="8">
        <f>SUMIFS('Amplify Detail'!$F$5:$F$496,'Amplify Detail'!$A$5:$A$496,$A38,'Amplify Detail'!$C$5:$C$496,$C38)</f>
        <v/>
      </c>
      <c r="L38" s="8">
        <f>SUMIFS('Amplify Detail'!$G$5:$G$496,'Amplify Detail'!$A$5:$A$496,$A38,'Amplify Detail'!$C$5:$C$496,$C38)</f>
        <v/>
      </c>
      <c r="M38" s="7">
        <f>SUMIFS('Amplify Detail'!$J$5:$J$496,'Amplify Detail'!$A$5:$A$496,$A38,'Amplify Detail'!$C$5:$C$496,$C38)</f>
        <v/>
      </c>
      <c r="N38" s="7">
        <f>$I38+$M38</f>
        <v/>
      </c>
      <c r="O38" s="9">
        <f>IF($G38="No qualifier - Amplify open",1,IFERROR(INDEX('Program Setup'!$B$12:$B$14,MATCH($G38,'Program Setup'!$A$12:$A$14,0)),0))</f>
        <v/>
      </c>
      <c r="P38" s="4">
        <f>$A38&amp;"|"&amp;$C38</f>
        <v/>
      </c>
    </row>
    <row r="39">
      <c r="A39" s="4" t="inlineStr">
        <is>
          <t>Brian Sengebush</t>
        </is>
      </c>
      <c r="B39" s="4" t="inlineStr">
        <is>
          <t>Chris McCrohan</t>
        </is>
      </c>
      <c r="C39" s="4" t="inlineStr">
        <is>
          <t>Mark Anthony</t>
        </is>
      </c>
      <c r="D39" s="5" t="n">
        <v>1470</v>
      </c>
      <c r="E39" s="5" t="n">
        <v>1156</v>
      </c>
      <c r="F39" s="6">
        <f>IF($D39&gt;0,$E39/$D39,"")</f>
        <v/>
      </c>
      <c r="G39" s="4">
        <f>IF($D39&gt;0,IF($F39&gt;=1,"Qualified",IF($F39&gt;=0.9,"90% Partial Amplify","Not Qualified")),"No qualifier - Amplify open")</f>
        <v/>
      </c>
      <c r="H39" s="4">
        <f>IF($G39&lt;&gt;"Qualified","-",IFERROR(IF($E39&gt;=INDEX('Program Setup'!$C$18:$C$23,MATCH($C39,'Program Setup'!$B$18:$B$23,0)),1,IF($E39&gt;=INDEX('Program Setup'!$D$18:$D$23,MATCH($C39,'Program Setup'!$B$18:$B$23,0)),2,IF($E39&gt;=INDEX('Program Setup'!$E$18:$E$23,MATCH($C39,'Program Setup'!$B$18:$B$23,0)),3,"-"))),"-"))</f>
        <v/>
      </c>
      <c r="I39" s="7">
        <f>IF(ISNUMBER($H39),INDEX('Program Setup'!$B$6:$B$8,MATCH($H39,'Program Setup'!$A$6:$A$8,0)),0)</f>
        <v/>
      </c>
      <c r="J39" s="8">
        <f>SUMIFS('Amplify Detail'!$E$5:$E$496,'Amplify Detail'!$A$5:$A$496,$A39,'Amplify Detail'!$C$5:$C$496,$C39)</f>
        <v/>
      </c>
      <c r="K39" s="8">
        <f>SUMIFS('Amplify Detail'!$F$5:$F$496,'Amplify Detail'!$A$5:$A$496,$A39,'Amplify Detail'!$C$5:$C$496,$C39)</f>
        <v/>
      </c>
      <c r="L39" s="8">
        <f>SUMIFS('Amplify Detail'!$G$5:$G$496,'Amplify Detail'!$A$5:$A$496,$A39,'Amplify Detail'!$C$5:$C$496,$C39)</f>
        <v/>
      </c>
      <c r="M39" s="7">
        <f>SUMIFS('Amplify Detail'!$J$5:$J$496,'Amplify Detail'!$A$5:$A$496,$A39,'Amplify Detail'!$C$5:$C$496,$C39)</f>
        <v/>
      </c>
      <c r="N39" s="7">
        <f>$I39+$M39</f>
        <v/>
      </c>
      <c r="O39" s="9">
        <f>IF($G39="No qualifier - Amplify open",1,IFERROR(INDEX('Program Setup'!$B$12:$B$14,MATCH($G39,'Program Setup'!$A$12:$A$14,0)),0))</f>
        <v/>
      </c>
      <c r="P39" s="4">
        <f>$A39&amp;"|"&amp;$C39</f>
        <v/>
      </c>
    </row>
    <row r="40">
      <c r="A40" s="4" t="inlineStr">
        <is>
          <t>Brian Sengebush</t>
        </is>
      </c>
      <c r="B40" s="4" t="inlineStr">
        <is>
          <t>Chris McCrohan</t>
        </is>
      </c>
      <c r="C40" s="4" t="inlineStr">
        <is>
          <t>MolsonCoors Beverage Company</t>
        </is>
      </c>
      <c r="D40" s="5" t="n">
        <v>16115</v>
      </c>
      <c r="E40" s="5" t="n">
        <v>14813</v>
      </c>
      <c r="F40" s="6">
        <f>IF($D40&gt;0,$E40/$D40,"")</f>
        <v/>
      </c>
      <c r="G40" s="4">
        <f>IF($D40&gt;0,IF($F40&gt;=1,"Qualified",IF($F40&gt;=0.9,"90% Partial Amplify","Not Qualified")),"No qualifier - Amplify open")</f>
        <v/>
      </c>
      <c r="H40" s="4">
        <f>IF($G40&lt;&gt;"Qualified","-",IFERROR(IF($E40&gt;=INDEX('Program Setup'!$C$18:$C$23,MATCH($C40,'Program Setup'!$B$18:$B$23,0)),1,IF($E40&gt;=INDEX('Program Setup'!$D$18:$D$23,MATCH($C40,'Program Setup'!$B$18:$B$23,0)),2,IF($E40&gt;=INDEX('Program Setup'!$E$18:$E$23,MATCH($C40,'Program Setup'!$B$18:$B$23,0)),3,"-"))),"-"))</f>
        <v/>
      </c>
      <c r="I40" s="7">
        <f>IF(ISNUMBER($H40),INDEX('Program Setup'!$B$6:$B$8,MATCH($H40,'Program Setup'!$A$6:$A$8,0)),0)</f>
        <v/>
      </c>
      <c r="J40" s="8">
        <f>SUMIFS('Amplify Detail'!$E$5:$E$496,'Amplify Detail'!$A$5:$A$496,$A40,'Amplify Detail'!$C$5:$C$496,$C40)</f>
        <v/>
      </c>
      <c r="K40" s="8">
        <f>SUMIFS('Amplify Detail'!$F$5:$F$496,'Amplify Detail'!$A$5:$A$496,$A40,'Amplify Detail'!$C$5:$C$496,$C40)</f>
        <v/>
      </c>
      <c r="L40" s="8">
        <f>SUMIFS('Amplify Detail'!$G$5:$G$496,'Amplify Detail'!$A$5:$A$496,$A40,'Amplify Detail'!$C$5:$C$496,$C40)</f>
        <v/>
      </c>
      <c r="M40" s="7">
        <f>SUMIFS('Amplify Detail'!$J$5:$J$496,'Amplify Detail'!$A$5:$A$496,$A40,'Amplify Detail'!$C$5:$C$496,$C40)</f>
        <v/>
      </c>
      <c r="N40" s="7">
        <f>$I40+$M40</f>
        <v/>
      </c>
      <c r="O40" s="9">
        <f>IF($G40="No qualifier - Amplify open",1,IFERROR(INDEX('Program Setup'!$B$12:$B$14,MATCH($G40,'Program Setup'!$A$12:$A$14,0)),0))</f>
        <v/>
      </c>
      <c r="P40" s="4">
        <f>$A40&amp;"|"&amp;$C40</f>
        <v/>
      </c>
    </row>
    <row r="41">
      <c r="A41" s="4" t="inlineStr">
        <is>
          <t>Brian Sengebush</t>
        </is>
      </c>
      <c r="B41" s="4" t="inlineStr">
        <is>
          <t>Chris McCrohan</t>
        </is>
      </c>
      <c r="C41" s="4" t="inlineStr">
        <is>
          <t>New Belgium Brewing Company</t>
        </is>
      </c>
      <c r="D41" s="5" t="n"/>
      <c r="E41" s="5" t="n"/>
      <c r="F41" s="6">
        <f>IF($D41&gt;0,$E41/$D41,"")</f>
        <v/>
      </c>
      <c r="G41" s="4">
        <f>IF($D41&gt;0,IF($F41&gt;=1,"Qualified",IF($F41&gt;=0.9,"90% Partial Amplify","Not Qualified")),"No qualifier - Amplify open")</f>
        <v/>
      </c>
      <c r="H41" s="4">
        <f>IF($G41&lt;&gt;"Qualified","-",IFERROR(IF($E41&gt;=INDEX('Program Setup'!$C$18:$C$23,MATCH($C41,'Program Setup'!$B$18:$B$23,0)),1,IF($E41&gt;=INDEX('Program Setup'!$D$18:$D$23,MATCH($C41,'Program Setup'!$B$18:$B$23,0)),2,IF($E41&gt;=INDEX('Program Setup'!$E$18:$E$23,MATCH($C41,'Program Setup'!$B$18:$B$23,0)),3,"-"))),"-"))</f>
        <v/>
      </c>
      <c r="I41" s="7">
        <f>IF(ISNUMBER($H41),INDEX('Program Setup'!$B$6:$B$8,MATCH($H41,'Program Setup'!$A$6:$A$8,0)),0)</f>
        <v/>
      </c>
      <c r="J41" s="8">
        <f>SUMIFS('Amplify Detail'!$E$5:$E$496,'Amplify Detail'!$A$5:$A$496,$A41,'Amplify Detail'!$C$5:$C$496,$C41)</f>
        <v/>
      </c>
      <c r="K41" s="8">
        <f>SUMIFS('Amplify Detail'!$F$5:$F$496,'Amplify Detail'!$A$5:$A$496,$A41,'Amplify Detail'!$C$5:$C$496,$C41)</f>
        <v/>
      </c>
      <c r="L41" s="8">
        <f>SUMIFS('Amplify Detail'!$G$5:$G$496,'Amplify Detail'!$A$5:$A$496,$A41,'Amplify Detail'!$C$5:$C$496,$C41)</f>
        <v/>
      </c>
      <c r="M41" s="7">
        <f>SUMIFS('Amplify Detail'!$J$5:$J$496,'Amplify Detail'!$A$5:$A$496,$A41,'Amplify Detail'!$C$5:$C$496,$C41)</f>
        <v/>
      </c>
      <c r="N41" s="7">
        <f>$I41+$M41</f>
        <v/>
      </c>
      <c r="O41" s="9">
        <f>IF($G41="No qualifier - Amplify open",1,IFERROR(INDEX('Program Setup'!$B$12:$B$14,MATCH($G41,'Program Setup'!$A$12:$A$14,0)),0))</f>
        <v/>
      </c>
      <c r="P41" s="4">
        <f>$A41&amp;"|"&amp;$C41</f>
        <v/>
      </c>
    </row>
    <row r="42">
      <c r="A42" s="4" t="inlineStr">
        <is>
          <t>Brian Sengebush</t>
        </is>
      </c>
      <c r="B42" s="4" t="inlineStr">
        <is>
          <t>Chris McCrohan</t>
        </is>
      </c>
      <c r="C42" s="4" t="inlineStr">
        <is>
          <t>Sapporo</t>
        </is>
      </c>
      <c r="D42" s="5" t="n"/>
      <c r="E42" s="5" t="n"/>
      <c r="F42" s="6">
        <f>IF($D42&gt;0,$E42/$D42,"")</f>
        <v/>
      </c>
      <c r="G42" s="4">
        <f>IF($D42&gt;0,IF($F42&gt;=1,"Qualified",IF($F42&gt;=0.9,"90% Partial Amplify","Not Qualified")),"No qualifier - Amplify open")</f>
        <v/>
      </c>
      <c r="H42" s="4">
        <f>IF($G42&lt;&gt;"Qualified","-",IFERROR(IF($E42&gt;=INDEX('Program Setup'!$C$18:$C$23,MATCH($C42,'Program Setup'!$B$18:$B$23,0)),1,IF($E42&gt;=INDEX('Program Setup'!$D$18:$D$23,MATCH($C42,'Program Setup'!$B$18:$B$23,0)),2,IF($E42&gt;=INDEX('Program Setup'!$E$18:$E$23,MATCH($C42,'Program Setup'!$B$18:$B$23,0)),3,"-"))),"-"))</f>
        <v/>
      </c>
      <c r="I42" s="7">
        <f>IF(ISNUMBER($H42),INDEX('Program Setup'!$B$6:$B$8,MATCH($H42,'Program Setup'!$A$6:$A$8,0)),0)</f>
        <v/>
      </c>
      <c r="J42" s="8">
        <f>SUMIFS('Amplify Detail'!$E$5:$E$496,'Amplify Detail'!$A$5:$A$496,$A42,'Amplify Detail'!$C$5:$C$496,$C42)</f>
        <v/>
      </c>
      <c r="K42" s="8">
        <f>SUMIFS('Amplify Detail'!$F$5:$F$496,'Amplify Detail'!$A$5:$A$496,$A42,'Amplify Detail'!$C$5:$C$496,$C42)</f>
        <v/>
      </c>
      <c r="L42" s="8">
        <f>SUMIFS('Amplify Detail'!$G$5:$G$496,'Amplify Detail'!$A$5:$A$496,$A42,'Amplify Detail'!$C$5:$C$496,$C42)</f>
        <v/>
      </c>
      <c r="M42" s="7">
        <f>SUMIFS('Amplify Detail'!$J$5:$J$496,'Amplify Detail'!$A$5:$A$496,$A42,'Amplify Detail'!$C$5:$C$496,$C42)</f>
        <v/>
      </c>
      <c r="N42" s="7">
        <f>$I42+$M42</f>
        <v/>
      </c>
      <c r="O42" s="9">
        <f>IF($G42="No qualifier - Amplify open",1,IFERROR(INDEX('Program Setup'!$B$12:$B$14,MATCH($G42,'Program Setup'!$A$12:$A$14,0)),0))</f>
        <v/>
      </c>
      <c r="P42" s="4">
        <f>$A42&amp;"|"&amp;$C42</f>
        <v/>
      </c>
    </row>
    <row r="43">
      <c r="A43" s="4" t="inlineStr">
        <is>
          <t>Chris Payton</t>
        </is>
      </c>
      <c r="B43" s="4" t="inlineStr">
        <is>
          <t>Mike Engel</t>
        </is>
      </c>
      <c r="C43" s="4" t="inlineStr">
        <is>
          <t>Boston Beer Company</t>
        </is>
      </c>
      <c r="D43" s="5" t="n">
        <v>2300</v>
      </c>
      <c r="E43" s="5" t="n">
        <v>2045</v>
      </c>
      <c r="F43" s="6">
        <f>IF($D43&gt;0,$E43/$D43,"")</f>
        <v/>
      </c>
      <c r="G43" s="4">
        <f>IF($D43&gt;0,IF($F43&gt;=1,"Qualified",IF($F43&gt;=0.9,"90% Partial Amplify","Not Qualified")),"No qualifier - Amplify open")</f>
        <v/>
      </c>
      <c r="H43" s="4">
        <f>IF($G43&lt;&gt;"Qualified","-",IFERROR(IF($E43&gt;=INDEX('Program Setup'!$C$18:$C$23,MATCH($C43,'Program Setup'!$B$18:$B$23,0)),1,IF($E43&gt;=INDEX('Program Setup'!$D$18:$D$23,MATCH($C43,'Program Setup'!$B$18:$B$23,0)),2,IF($E43&gt;=INDEX('Program Setup'!$E$18:$E$23,MATCH($C43,'Program Setup'!$B$18:$B$23,0)),3,"-"))),"-"))</f>
        <v/>
      </c>
      <c r="I43" s="7">
        <f>IF(ISNUMBER($H43),INDEX('Program Setup'!$B$6:$B$8,MATCH($H43,'Program Setup'!$A$6:$A$8,0)),0)</f>
        <v/>
      </c>
      <c r="J43" s="8">
        <f>SUMIFS('Amplify Detail'!$E$5:$E$496,'Amplify Detail'!$A$5:$A$496,$A43,'Amplify Detail'!$C$5:$C$496,$C43)</f>
        <v/>
      </c>
      <c r="K43" s="8">
        <f>SUMIFS('Amplify Detail'!$F$5:$F$496,'Amplify Detail'!$A$5:$A$496,$A43,'Amplify Detail'!$C$5:$C$496,$C43)</f>
        <v/>
      </c>
      <c r="L43" s="8">
        <f>SUMIFS('Amplify Detail'!$G$5:$G$496,'Amplify Detail'!$A$5:$A$496,$A43,'Amplify Detail'!$C$5:$C$496,$C43)</f>
        <v/>
      </c>
      <c r="M43" s="7">
        <f>SUMIFS('Amplify Detail'!$J$5:$J$496,'Amplify Detail'!$A$5:$A$496,$A43,'Amplify Detail'!$C$5:$C$496,$C43)</f>
        <v/>
      </c>
      <c r="N43" s="7">
        <f>$I43+$M43</f>
        <v/>
      </c>
      <c r="O43" s="9">
        <f>IF($G43="No qualifier - Amplify open",1,IFERROR(INDEX('Program Setup'!$B$12:$B$14,MATCH($G43,'Program Setup'!$A$12:$A$14,0)),0))</f>
        <v/>
      </c>
      <c r="P43" s="4">
        <f>$A43&amp;"|"&amp;$C43</f>
        <v/>
      </c>
    </row>
    <row r="44">
      <c r="A44" s="4" t="inlineStr">
        <is>
          <t>Chris Payton</t>
        </is>
      </c>
      <c r="B44" s="4" t="inlineStr">
        <is>
          <t>Mike Engel</t>
        </is>
      </c>
      <c r="C44" s="4" t="inlineStr">
        <is>
          <t>Cape May</t>
        </is>
      </c>
      <c r="D44" s="5" t="n"/>
      <c r="E44" s="5" t="n"/>
      <c r="F44" s="6">
        <f>IF($D44&gt;0,$E44/$D44,"")</f>
        <v/>
      </c>
      <c r="G44" s="4">
        <f>IF($D44&gt;0,IF($F44&gt;=1,"Qualified",IF($F44&gt;=0.9,"90% Partial Amplify","Not Qualified")),"No qualifier - Amplify open")</f>
        <v/>
      </c>
      <c r="H44" s="4">
        <f>IF($G44&lt;&gt;"Qualified","-",IFERROR(IF($E44&gt;=INDEX('Program Setup'!$C$18:$C$23,MATCH($C44,'Program Setup'!$B$18:$B$23,0)),1,IF($E44&gt;=INDEX('Program Setup'!$D$18:$D$23,MATCH($C44,'Program Setup'!$B$18:$B$23,0)),2,IF($E44&gt;=INDEX('Program Setup'!$E$18:$E$23,MATCH($C44,'Program Setup'!$B$18:$B$23,0)),3,"-"))),"-"))</f>
        <v/>
      </c>
      <c r="I44" s="7">
        <f>IF(ISNUMBER($H44),INDEX('Program Setup'!$B$6:$B$8,MATCH($H44,'Program Setup'!$A$6:$A$8,0)),0)</f>
        <v/>
      </c>
      <c r="J44" s="8">
        <f>SUMIFS('Amplify Detail'!$E$5:$E$496,'Amplify Detail'!$A$5:$A$496,$A44,'Amplify Detail'!$C$5:$C$496,$C44)</f>
        <v/>
      </c>
      <c r="K44" s="8">
        <f>SUMIFS('Amplify Detail'!$F$5:$F$496,'Amplify Detail'!$A$5:$A$496,$A44,'Amplify Detail'!$C$5:$C$496,$C44)</f>
        <v/>
      </c>
      <c r="L44" s="8">
        <f>SUMIFS('Amplify Detail'!$G$5:$G$496,'Amplify Detail'!$A$5:$A$496,$A44,'Amplify Detail'!$C$5:$C$496,$C44)</f>
        <v/>
      </c>
      <c r="M44" s="7">
        <f>SUMIFS('Amplify Detail'!$J$5:$J$496,'Amplify Detail'!$A$5:$A$496,$A44,'Amplify Detail'!$C$5:$C$496,$C44)</f>
        <v/>
      </c>
      <c r="N44" s="7">
        <f>$I44+$M44</f>
        <v/>
      </c>
      <c r="O44" s="9">
        <f>IF($G44="No qualifier - Amplify open",1,IFERROR(INDEX('Program Setup'!$B$12:$B$14,MATCH($G44,'Program Setup'!$A$12:$A$14,0)),0))</f>
        <v/>
      </c>
      <c r="P44" s="4">
        <f>$A44&amp;"|"&amp;$C44</f>
        <v/>
      </c>
    </row>
    <row r="45">
      <c r="A45" s="4" t="inlineStr">
        <is>
          <t>Chris Payton</t>
        </is>
      </c>
      <c r="B45" s="4" t="inlineStr">
        <is>
          <t>Mike Engel</t>
        </is>
      </c>
      <c r="C45" s="4" t="inlineStr">
        <is>
          <t>Constellation Brands</t>
        </is>
      </c>
      <c r="D45" s="5" t="n">
        <v>44931</v>
      </c>
      <c r="E45" s="5" t="n">
        <v>44790</v>
      </c>
      <c r="F45" s="6">
        <f>IF($D45&gt;0,$E45/$D45,"")</f>
        <v/>
      </c>
      <c r="G45" s="4">
        <f>IF($D45&gt;0,IF($F45&gt;=1,"Qualified",IF($F45&gt;=0.9,"90% Partial Amplify","Not Qualified")),"No qualifier - Amplify open")</f>
        <v/>
      </c>
      <c r="H45" s="4">
        <f>IF($G45&lt;&gt;"Qualified","-",IFERROR(IF($E45&gt;=INDEX('Program Setup'!$C$18:$C$23,MATCH($C45,'Program Setup'!$B$18:$B$23,0)),1,IF($E45&gt;=INDEX('Program Setup'!$D$18:$D$23,MATCH($C45,'Program Setup'!$B$18:$B$23,0)),2,IF($E45&gt;=INDEX('Program Setup'!$E$18:$E$23,MATCH($C45,'Program Setup'!$B$18:$B$23,0)),3,"-"))),"-"))</f>
        <v/>
      </c>
      <c r="I45" s="7">
        <f>IF(ISNUMBER($H45),INDEX('Program Setup'!$B$6:$B$8,MATCH($H45,'Program Setup'!$A$6:$A$8,0)),0)</f>
        <v/>
      </c>
      <c r="J45" s="8">
        <f>SUMIFS('Amplify Detail'!$E$5:$E$496,'Amplify Detail'!$A$5:$A$496,$A45,'Amplify Detail'!$C$5:$C$496,$C45)</f>
        <v/>
      </c>
      <c r="K45" s="8">
        <f>SUMIFS('Amplify Detail'!$F$5:$F$496,'Amplify Detail'!$A$5:$A$496,$A45,'Amplify Detail'!$C$5:$C$496,$C45)</f>
        <v/>
      </c>
      <c r="L45" s="8">
        <f>SUMIFS('Amplify Detail'!$G$5:$G$496,'Amplify Detail'!$A$5:$A$496,$A45,'Amplify Detail'!$C$5:$C$496,$C45)</f>
        <v/>
      </c>
      <c r="M45" s="7">
        <f>SUMIFS('Amplify Detail'!$J$5:$J$496,'Amplify Detail'!$A$5:$A$496,$A45,'Amplify Detail'!$C$5:$C$496,$C45)</f>
        <v/>
      </c>
      <c r="N45" s="7">
        <f>$I45+$M45</f>
        <v/>
      </c>
      <c r="O45" s="9">
        <f>IF($G45="No qualifier - Amplify open",1,IFERROR(INDEX('Program Setup'!$B$12:$B$14,MATCH($G45,'Program Setup'!$A$12:$A$14,0)),0))</f>
        <v/>
      </c>
      <c r="P45" s="4">
        <f>$A45&amp;"|"&amp;$C45</f>
        <v/>
      </c>
    </row>
    <row r="46">
      <c r="A46" s="4" t="inlineStr">
        <is>
          <t>Chris Payton</t>
        </is>
      </c>
      <c r="B46" s="4" t="inlineStr">
        <is>
          <t>Mike Engel</t>
        </is>
      </c>
      <c r="C46" s="4" t="inlineStr">
        <is>
          <t>DG Yuengling Inc</t>
        </is>
      </c>
      <c r="D46" s="5" t="n">
        <v>1748</v>
      </c>
      <c r="E46" s="5" t="n">
        <v>1894</v>
      </c>
      <c r="F46" s="6">
        <f>IF($D46&gt;0,$E46/$D46,"")</f>
        <v/>
      </c>
      <c r="G46" s="4">
        <f>IF($D46&gt;0,IF($F46&gt;=1,"Qualified",IF($F46&gt;=0.9,"90% Partial Amplify","Not Qualified")),"No qualifier - Amplify open")</f>
        <v/>
      </c>
      <c r="H46" s="4">
        <f>IF($G46&lt;&gt;"Qualified","-",IFERROR(IF($E46&gt;=INDEX('Program Setup'!$C$18:$C$23,MATCH($C46,'Program Setup'!$B$18:$B$23,0)),1,IF($E46&gt;=INDEX('Program Setup'!$D$18:$D$23,MATCH($C46,'Program Setup'!$B$18:$B$23,0)),2,IF($E46&gt;=INDEX('Program Setup'!$E$18:$E$23,MATCH($C46,'Program Setup'!$B$18:$B$23,0)),3,"-"))),"-"))</f>
        <v/>
      </c>
      <c r="I46" s="7">
        <f>IF(ISNUMBER($H46),INDEX('Program Setup'!$B$6:$B$8,MATCH($H46,'Program Setup'!$A$6:$A$8,0)),0)</f>
        <v/>
      </c>
      <c r="J46" s="8">
        <f>SUMIFS('Amplify Detail'!$E$5:$E$496,'Amplify Detail'!$A$5:$A$496,$A46,'Amplify Detail'!$C$5:$C$496,$C46)</f>
        <v/>
      </c>
      <c r="K46" s="8">
        <f>SUMIFS('Amplify Detail'!$F$5:$F$496,'Amplify Detail'!$A$5:$A$496,$A46,'Amplify Detail'!$C$5:$C$496,$C46)</f>
        <v/>
      </c>
      <c r="L46" s="8">
        <f>SUMIFS('Amplify Detail'!$G$5:$G$496,'Amplify Detail'!$A$5:$A$496,$A46,'Amplify Detail'!$C$5:$C$496,$C46)</f>
        <v/>
      </c>
      <c r="M46" s="7">
        <f>SUMIFS('Amplify Detail'!$J$5:$J$496,'Amplify Detail'!$A$5:$A$496,$A46,'Amplify Detail'!$C$5:$C$496,$C46)</f>
        <v/>
      </c>
      <c r="N46" s="7">
        <f>$I46+$M46</f>
        <v/>
      </c>
      <c r="O46" s="9">
        <f>IF($G46="No qualifier - Amplify open",1,IFERROR(INDEX('Program Setup'!$B$12:$B$14,MATCH($G46,'Program Setup'!$A$12:$A$14,0)),0))</f>
        <v/>
      </c>
      <c r="P46" s="4">
        <f>$A46&amp;"|"&amp;$C46</f>
        <v/>
      </c>
    </row>
    <row r="47">
      <c r="A47" s="4" t="inlineStr">
        <is>
          <t>Chris Payton</t>
        </is>
      </c>
      <c r="B47" s="4" t="inlineStr">
        <is>
          <t>Mike Engel</t>
        </is>
      </c>
      <c r="C47" s="4" t="inlineStr">
        <is>
          <t>Heineken USA</t>
        </is>
      </c>
      <c r="D47" s="5" t="n">
        <v>8733</v>
      </c>
      <c r="E47" s="5" t="n">
        <v>8869</v>
      </c>
      <c r="F47" s="6">
        <f>IF($D47&gt;0,$E47/$D47,"")</f>
        <v/>
      </c>
      <c r="G47" s="4">
        <f>IF($D47&gt;0,IF($F47&gt;=1,"Qualified",IF($F47&gt;=0.9,"90% Partial Amplify","Not Qualified")),"No qualifier - Amplify open")</f>
        <v/>
      </c>
      <c r="H47" s="4">
        <f>IF($G47&lt;&gt;"Qualified","-",IFERROR(IF($E47&gt;=INDEX('Program Setup'!$C$18:$C$23,MATCH($C47,'Program Setup'!$B$18:$B$23,0)),1,IF($E47&gt;=INDEX('Program Setup'!$D$18:$D$23,MATCH($C47,'Program Setup'!$B$18:$B$23,0)),2,IF($E47&gt;=INDEX('Program Setup'!$E$18:$E$23,MATCH($C47,'Program Setup'!$B$18:$B$23,0)),3,"-"))),"-"))</f>
        <v/>
      </c>
      <c r="I47" s="7">
        <f>IF(ISNUMBER($H47),INDEX('Program Setup'!$B$6:$B$8,MATCH($H47,'Program Setup'!$A$6:$A$8,0)),0)</f>
        <v/>
      </c>
      <c r="J47" s="8">
        <f>SUMIFS('Amplify Detail'!$E$5:$E$496,'Amplify Detail'!$A$5:$A$496,$A47,'Amplify Detail'!$C$5:$C$496,$C47)</f>
        <v/>
      </c>
      <c r="K47" s="8">
        <f>SUMIFS('Amplify Detail'!$F$5:$F$496,'Amplify Detail'!$A$5:$A$496,$A47,'Amplify Detail'!$C$5:$C$496,$C47)</f>
        <v/>
      </c>
      <c r="L47" s="8">
        <f>SUMIFS('Amplify Detail'!$G$5:$G$496,'Amplify Detail'!$A$5:$A$496,$A47,'Amplify Detail'!$C$5:$C$496,$C47)</f>
        <v/>
      </c>
      <c r="M47" s="7">
        <f>SUMIFS('Amplify Detail'!$J$5:$J$496,'Amplify Detail'!$A$5:$A$496,$A47,'Amplify Detail'!$C$5:$C$496,$C47)</f>
        <v/>
      </c>
      <c r="N47" s="7">
        <f>$I47+$M47</f>
        <v/>
      </c>
      <c r="O47" s="9">
        <f>IF($G47="No qualifier - Amplify open",1,IFERROR(INDEX('Program Setup'!$B$12:$B$14,MATCH($G47,'Program Setup'!$A$12:$A$14,0)),0))</f>
        <v/>
      </c>
      <c r="P47" s="4">
        <f>$A47&amp;"|"&amp;$C47</f>
        <v/>
      </c>
    </row>
    <row r="48">
      <c r="A48" s="4" t="inlineStr">
        <is>
          <t>Chris Payton</t>
        </is>
      </c>
      <c r="B48" s="4" t="inlineStr">
        <is>
          <t>Mike Engel</t>
        </is>
      </c>
      <c r="C48" s="4" t="inlineStr">
        <is>
          <t>Mark Anthony</t>
        </is>
      </c>
      <c r="D48" s="5" t="n">
        <v>4306</v>
      </c>
      <c r="E48" s="5" t="n">
        <v>4200</v>
      </c>
      <c r="F48" s="6">
        <f>IF($D48&gt;0,$E48/$D48,"")</f>
        <v/>
      </c>
      <c r="G48" s="4">
        <f>IF($D48&gt;0,IF($F48&gt;=1,"Qualified",IF($F48&gt;=0.9,"90% Partial Amplify","Not Qualified")),"No qualifier - Amplify open")</f>
        <v/>
      </c>
      <c r="H48" s="4">
        <f>IF($G48&lt;&gt;"Qualified","-",IFERROR(IF($E48&gt;=INDEX('Program Setup'!$C$18:$C$23,MATCH($C48,'Program Setup'!$B$18:$B$23,0)),1,IF($E48&gt;=INDEX('Program Setup'!$D$18:$D$23,MATCH($C48,'Program Setup'!$B$18:$B$23,0)),2,IF($E48&gt;=INDEX('Program Setup'!$E$18:$E$23,MATCH($C48,'Program Setup'!$B$18:$B$23,0)),3,"-"))),"-"))</f>
        <v/>
      </c>
      <c r="I48" s="7">
        <f>IF(ISNUMBER($H48),INDEX('Program Setup'!$B$6:$B$8,MATCH($H48,'Program Setup'!$A$6:$A$8,0)),0)</f>
        <v/>
      </c>
      <c r="J48" s="8">
        <f>SUMIFS('Amplify Detail'!$E$5:$E$496,'Amplify Detail'!$A$5:$A$496,$A48,'Amplify Detail'!$C$5:$C$496,$C48)</f>
        <v/>
      </c>
      <c r="K48" s="8">
        <f>SUMIFS('Amplify Detail'!$F$5:$F$496,'Amplify Detail'!$A$5:$A$496,$A48,'Amplify Detail'!$C$5:$C$496,$C48)</f>
        <v/>
      </c>
      <c r="L48" s="8">
        <f>SUMIFS('Amplify Detail'!$G$5:$G$496,'Amplify Detail'!$A$5:$A$496,$A48,'Amplify Detail'!$C$5:$C$496,$C48)</f>
        <v/>
      </c>
      <c r="M48" s="7">
        <f>SUMIFS('Amplify Detail'!$J$5:$J$496,'Amplify Detail'!$A$5:$A$496,$A48,'Amplify Detail'!$C$5:$C$496,$C48)</f>
        <v/>
      </c>
      <c r="N48" s="7">
        <f>$I48+$M48</f>
        <v/>
      </c>
      <c r="O48" s="9">
        <f>IF($G48="No qualifier - Amplify open",1,IFERROR(INDEX('Program Setup'!$B$12:$B$14,MATCH($G48,'Program Setup'!$A$12:$A$14,0)),0))</f>
        <v/>
      </c>
      <c r="P48" s="4">
        <f>$A48&amp;"|"&amp;$C48</f>
        <v/>
      </c>
    </row>
    <row r="49">
      <c r="A49" s="4" t="inlineStr">
        <is>
          <t>Chris Payton</t>
        </is>
      </c>
      <c r="B49" s="4" t="inlineStr">
        <is>
          <t>Mike Engel</t>
        </is>
      </c>
      <c r="C49" s="4" t="inlineStr">
        <is>
          <t>MolsonCoors Beverage Company</t>
        </is>
      </c>
      <c r="D49" s="5" t="n">
        <v>18935</v>
      </c>
      <c r="E49" s="5" t="n">
        <v>16751</v>
      </c>
      <c r="F49" s="6">
        <f>IF($D49&gt;0,$E49/$D49,"")</f>
        <v/>
      </c>
      <c r="G49" s="4">
        <f>IF($D49&gt;0,IF($F49&gt;=1,"Qualified",IF($F49&gt;=0.9,"90% Partial Amplify","Not Qualified")),"No qualifier - Amplify open")</f>
        <v/>
      </c>
      <c r="H49" s="4">
        <f>IF($G49&lt;&gt;"Qualified","-",IFERROR(IF($E49&gt;=INDEX('Program Setup'!$C$18:$C$23,MATCH($C49,'Program Setup'!$B$18:$B$23,0)),1,IF($E49&gt;=INDEX('Program Setup'!$D$18:$D$23,MATCH($C49,'Program Setup'!$B$18:$B$23,0)),2,IF($E49&gt;=INDEX('Program Setup'!$E$18:$E$23,MATCH($C49,'Program Setup'!$B$18:$B$23,0)),3,"-"))),"-"))</f>
        <v/>
      </c>
      <c r="I49" s="7">
        <f>IF(ISNUMBER($H49),INDEX('Program Setup'!$B$6:$B$8,MATCH($H49,'Program Setup'!$A$6:$A$8,0)),0)</f>
        <v/>
      </c>
      <c r="J49" s="8">
        <f>SUMIFS('Amplify Detail'!$E$5:$E$496,'Amplify Detail'!$A$5:$A$496,$A49,'Amplify Detail'!$C$5:$C$496,$C49)</f>
        <v/>
      </c>
      <c r="K49" s="8">
        <f>SUMIFS('Amplify Detail'!$F$5:$F$496,'Amplify Detail'!$A$5:$A$496,$A49,'Amplify Detail'!$C$5:$C$496,$C49)</f>
        <v/>
      </c>
      <c r="L49" s="8">
        <f>SUMIFS('Amplify Detail'!$G$5:$G$496,'Amplify Detail'!$A$5:$A$496,$A49,'Amplify Detail'!$C$5:$C$496,$C49)</f>
        <v/>
      </c>
      <c r="M49" s="7">
        <f>SUMIFS('Amplify Detail'!$J$5:$J$496,'Amplify Detail'!$A$5:$A$496,$A49,'Amplify Detail'!$C$5:$C$496,$C49)</f>
        <v/>
      </c>
      <c r="N49" s="7">
        <f>$I49+$M49</f>
        <v/>
      </c>
      <c r="O49" s="9">
        <f>IF($G49="No qualifier - Amplify open",1,IFERROR(INDEX('Program Setup'!$B$12:$B$14,MATCH($G49,'Program Setup'!$A$12:$A$14,0)),0))</f>
        <v/>
      </c>
      <c r="P49" s="4">
        <f>$A49&amp;"|"&amp;$C49</f>
        <v/>
      </c>
    </row>
    <row r="50">
      <c r="A50" s="4" t="inlineStr">
        <is>
          <t>Chris Payton</t>
        </is>
      </c>
      <c r="B50" s="4" t="inlineStr">
        <is>
          <t>Mike Engel</t>
        </is>
      </c>
      <c r="C50" s="4" t="inlineStr">
        <is>
          <t>New Belgium Brewing Company</t>
        </is>
      </c>
      <c r="D50" s="5" t="n"/>
      <c r="E50" s="5" t="n"/>
      <c r="F50" s="6">
        <f>IF($D50&gt;0,$E50/$D50,"")</f>
        <v/>
      </c>
      <c r="G50" s="4">
        <f>IF($D50&gt;0,IF($F50&gt;=1,"Qualified",IF($F50&gt;=0.9,"90% Partial Amplify","Not Qualified")),"No qualifier - Amplify open")</f>
        <v/>
      </c>
      <c r="H50" s="4">
        <f>IF($G50&lt;&gt;"Qualified","-",IFERROR(IF($E50&gt;=INDEX('Program Setup'!$C$18:$C$23,MATCH($C50,'Program Setup'!$B$18:$B$23,0)),1,IF($E50&gt;=INDEX('Program Setup'!$D$18:$D$23,MATCH($C50,'Program Setup'!$B$18:$B$23,0)),2,IF($E50&gt;=INDEX('Program Setup'!$E$18:$E$23,MATCH($C50,'Program Setup'!$B$18:$B$23,0)),3,"-"))),"-"))</f>
        <v/>
      </c>
      <c r="I50" s="7">
        <f>IF(ISNUMBER($H50),INDEX('Program Setup'!$B$6:$B$8,MATCH($H50,'Program Setup'!$A$6:$A$8,0)),0)</f>
        <v/>
      </c>
      <c r="J50" s="8">
        <f>SUMIFS('Amplify Detail'!$E$5:$E$496,'Amplify Detail'!$A$5:$A$496,$A50,'Amplify Detail'!$C$5:$C$496,$C50)</f>
        <v/>
      </c>
      <c r="K50" s="8">
        <f>SUMIFS('Amplify Detail'!$F$5:$F$496,'Amplify Detail'!$A$5:$A$496,$A50,'Amplify Detail'!$C$5:$C$496,$C50)</f>
        <v/>
      </c>
      <c r="L50" s="8">
        <f>SUMIFS('Amplify Detail'!$G$5:$G$496,'Amplify Detail'!$A$5:$A$496,$A50,'Amplify Detail'!$C$5:$C$496,$C50)</f>
        <v/>
      </c>
      <c r="M50" s="7">
        <f>SUMIFS('Amplify Detail'!$J$5:$J$496,'Amplify Detail'!$A$5:$A$496,$A50,'Amplify Detail'!$C$5:$C$496,$C50)</f>
        <v/>
      </c>
      <c r="N50" s="7">
        <f>$I50+$M50</f>
        <v/>
      </c>
      <c r="O50" s="9">
        <f>IF($G50="No qualifier - Amplify open",1,IFERROR(INDEX('Program Setup'!$B$12:$B$14,MATCH($G50,'Program Setup'!$A$12:$A$14,0)),0))</f>
        <v/>
      </c>
      <c r="P50" s="4">
        <f>$A50&amp;"|"&amp;$C50</f>
        <v/>
      </c>
    </row>
    <row r="51">
      <c r="A51" s="4" t="inlineStr">
        <is>
          <t>Chris Payton</t>
        </is>
      </c>
      <c r="B51" s="4" t="inlineStr">
        <is>
          <t>Mike Engel</t>
        </is>
      </c>
      <c r="C51" s="4" t="inlineStr">
        <is>
          <t>Sapporo</t>
        </is>
      </c>
      <c r="D51" s="5" t="n"/>
      <c r="E51" s="5" t="n"/>
      <c r="F51" s="6">
        <f>IF($D51&gt;0,$E51/$D51,"")</f>
        <v/>
      </c>
      <c r="G51" s="4">
        <f>IF($D51&gt;0,IF($F51&gt;=1,"Qualified",IF($F51&gt;=0.9,"90% Partial Amplify","Not Qualified")),"No qualifier - Amplify open")</f>
        <v/>
      </c>
      <c r="H51" s="4">
        <f>IF($G51&lt;&gt;"Qualified","-",IFERROR(IF($E51&gt;=INDEX('Program Setup'!$C$18:$C$23,MATCH($C51,'Program Setup'!$B$18:$B$23,0)),1,IF($E51&gt;=INDEX('Program Setup'!$D$18:$D$23,MATCH($C51,'Program Setup'!$B$18:$B$23,0)),2,IF($E51&gt;=INDEX('Program Setup'!$E$18:$E$23,MATCH($C51,'Program Setup'!$B$18:$B$23,0)),3,"-"))),"-"))</f>
        <v/>
      </c>
      <c r="I51" s="7">
        <f>IF(ISNUMBER($H51),INDEX('Program Setup'!$B$6:$B$8,MATCH($H51,'Program Setup'!$A$6:$A$8,0)),0)</f>
        <v/>
      </c>
      <c r="J51" s="8">
        <f>SUMIFS('Amplify Detail'!$E$5:$E$496,'Amplify Detail'!$A$5:$A$496,$A51,'Amplify Detail'!$C$5:$C$496,$C51)</f>
        <v/>
      </c>
      <c r="K51" s="8">
        <f>SUMIFS('Amplify Detail'!$F$5:$F$496,'Amplify Detail'!$A$5:$A$496,$A51,'Amplify Detail'!$C$5:$C$496,$C51)</f>
        <v/>
      </c>
      <c r="L51" s="8">
        <f>SUMIFS('Amplify Detail'!$G$5:$G$496,'Amplify Detail'!$A$5:$A$496,$A51,'Amplify Detail'!$C$5:$C$496,$C51)</f>
        <v/>
      </c>
      <c r="M51" s="7">
        <f>SUMIFS('Amplify Detail'!$J$5:$J$496,'Amplify Detail'!$A$5:$A$496,$A51,'Amplify Detail'!$C$5:$C$496,$C51)</f>
        <v/>
      </c>
      <c r="N51" s="7">
        <f>$I51+$M51</f>
        <v/>
      </c>
      <c r="O51" s="9">
        <f>IF($G51="No qualifier - Amplify open",1,IFERROR(INDEX('Program Setup'!$B$12:$B$14,MATCH($G51,'Program Setup'!$A$12:$A$14,0)),0))</f>
        <v/>
      </c>
      <c r="P51" s="4">
        <f>$A51&amp;"|"&amp;$C51</f>
        <v/>
      </c>
    </row>
    <row r="52">
      <c r="A52" s="4" t="inlineStr">
        <is>
          <t>Dan Lagala</t>
        </is>
      </c>
      <c r="B52" s="4" t="inlineStr">
        <is>
          <t>Mike Engel</t>
        </is>
      </c>
      <c r="C52" s="4" t="inlineStr">
        <is>
          <t>Boston Beer Company</t>
        </is>
      </c>
      <c r="D52" s="5" t="n">
        <v>825</v>
      </c>
      <c r="E52" s="5" t="n">
        <v>619</v>
      </c>
      <c r="F52" s="6">
        <f>IF($D52&gt;0,$E52/$D52,"")</f>
        <v/>
      </c>
      <c r="G52" s="4">
        <f>IF($D52&gt;0,IF($F52&gt;=1,"Qualified",IF($F52&gt;=0.9,"90% Partial Amplify","Not Qualified")),"No qualifier - Amplify open")</f>
        <v/>
      </c>
      <c r="H52" s="4">
        <f>IF($G52&lt;&gt;"Qualified","-",IFERROR(IF($E52&gt;=INDEX('Program Setup'!$C$18:$C$23,MATCH($C52,'Program Setup'!$B$18:$B$23,0)),1,IF($E52&gt;=INDEX('Program Setup'!$D$18:$D$23,MATCH($C52,'Program Setup'!$B$18:$B$23,0)),2,IF($E52&gt;=INDEX('Program Setup'!$E$18:$E$23,MATCH($C52,'Program Setup'!$B$18:$B$23,0)),3,"-"))),"-"))</f>
        <v/>
      </c>
      <c r="I52" s="7">
        <f>IF(ISNUMBER($H52),INDEX('Program Setup'!$B$6:$B$8,MATCH($H52,'Program Setup'!$A$6:$A$8,0)),0)</f>
        <v/>
      </c>
      <c r="J52" s="8">
        <f>SUMIFS('Amplify Detail'!$E$5:$E$496,'Amplify Detail'!$A$5:$A$496,$A52,'Amplify Detail'!$C$5:$C$496,$C52)</f>
        <v/>
      </c>
      <c r="K52" s="8">
        <f>SUMIFS('Amplify Detail'!$F$5:$F$496,'Amplify Detail'!$A$5:$A$496,$A52,'Amplify Detail'!$C$5:$C$496,$C52)</f>
        <v/>
      </c>
      <c r="L52" s="8">
        <f>SUMIFS('Amplify Detail'!$G$5:$G$496,'Amplify Detail'!$A$5:$A$496,$A52,'Amplify Detail'!$C$5:$C$496,$C52)</f>
        <v/>
      </c>
      <c r="M52" s="7">
        <f>SUMIFS('Amplify Detail'!$J$5:$J$496,'Amplify Detail'!$A$5:$A$496,$A52,'Amplify Detail'!$C$5:$C$496,$C52)</f>
        <v/>
      </c>
      <c r="N52" s="7">
        <f>$I52+$M52</f>
        <v/>
      </c>
      <c r="O52" s="9">
        <f>IF($G52="No qualifier - Amplify open",1,IFERROR(INDEX('Program Setup'!$B$12:$B$14,MATCH($G52,'Program Setup'!$A$12:$A$14,0)),0))</f>
        <v/>
      </c>
      <c r="P52" s="4">
        <f>$A52&amp;"|"&amp;$C52</f>
        <v/>
      </c>
    </row>
    <row r="53">
      <c r="A53" s="4" t="inlineStr">
        <is>
          <t>Dan Lagala</t>
        </is>
      </c>
      <c r="B53" s="4" t="inlineStr">
        <is>
          <t>Mike Engel</t>
        </is>
      </c>
      <c r="C53" s="4" t="inlineStr">
        <is>
          <t>Cape May</t>
        </is>
      </c>
      <c r="D53" s="5" t="n"/>
      <c r="E53" s="5" t="n"/>
      <c r="F53" s="6">
        <f>IF($D53&gt;0,$E53/$D53,"")</f>
        <v/>
      </c>
      <c r="G53" s="4">
        <f>IF($D53&gt;0,IF($F53&gt;=1,"Qualified",IF($F53&gt;=0.9,"90% Partial Amplify","Not Qualified")),"No qualifier - Amplify open")</f>
        <v/>
      </c>
      <c r="H53" s="4">
        <f>IF($G53&lt;&gt;"Qualified","-",IFERROR(IF($E53&gt;=INDEX('Program Setup'!$C$18:$C$23,MATCH($C53,'Program Setup'!$B$18:$B$23,0)),1,IF($E53&gt;=INDEX('Program Setup'!$D$18:$D$23,MATCH($C53,'Program Setup'!$B$18:$B$23,0)),2,IF($E53&gt;=INDEX('Program Setup'!$E$18:$E$23,MATCH($C53,'Program Setup'!$B$18:$B$23,0)),3,"-"))),"-"))</f>
        <v/>
      </c>
      <c r="I53" s="7">
        <f>IF(ISNUMBER($H53),INDEX('Program Setup'!$B$6:$B$8,MATCH($H53,'Program Setup'!$A$6:$A$8,0)),0)</f>
        <v/>
      </c>
      <c r="J53" s="8">
        <f>SUMIFS('Amplify Detail'!$E$5:$E$496,'Amplify Detail'!$A$5:$A$496,$A53,'Amplify Detail'!$C$5:$C$496,$C53)</f>
        <v/>
      </c>
      <c r="K53" s="8">
        <f>SUMIFS('Amplify Detail'!$F$5:$F$496,'Amplify Detail'!$A$5:$A$496,$A53,'Amplify Detail'!$C$5:$C$496,$C53)</f>
        <v/>
      </c>
      <c r="L53" s="8">
        <f>SUMIFS('Amplify Detail'!$G$5:$G$496,'Amplify Detail'!$A$5:$A$496,$A53,'Amplify Detail'!$C$5:$C$496,$C53)</f>
        <v/>
      </c>
      <c r="M53" s="7">
        <f>SUMIFS('Amplify Detail'!$J$5:$J$496,'Amplify Detail'!$A$5:$A$496,$A53,'Amplify Detail'!$C$5:$C$496,$C53)</f>
        <v/>
      </c>
      <c r="N53" s="7">
        <f>$I53+$M53</f>
        <v/>
      </c>
      <c r="O53" s="9">
        <f>IF($G53="No qualifier - Amplify open",1,IFERROR(INDEX('Program Setup'!$B$12:$B$14,MATCH($G53,'Program Setup'!$A$12:$A$14,0)),0))</f>
        <v/>
      </c>
      <c r="P53" s="4">
        <f>$A53&amp;"|"&amp;$C53</f>
        <v/>
      </c>
    </row>
    <row r="54">
      <c r="A54" s="4" t="inlineStr">
        <is>
          <t>Dan Lagala</t>
        </is>
      </c>
      <c r="B54" s="4" t="inlineStr">
        <is>
          <t>Mike Engel</t>
        </is>
      </c>
      <c r="C54" s="4" t="inlineStr">
        <is>
          <t>Constellation Brands</t>
        </is>
      </c>
      <c r="D54" s="5" t="n">
        <v>46527</v>
      </c>
      <c r="E54" s="5" t="n">
        <v>44726</v>
      </c>
      <c r="F54" s="6">
        <f>IF($D54&gt;0,$E54/$D54,"")</f>
        <v/>
      </c>
      <c r="G54" s="4">
        <f>IF($D54&gt;0,IF($F54&gt;=1,"Qualified",IF($F54&gt;=0.9,"90% Partial Amplify","Not Qualified")),"No qualifier - Amplify open")</f>
        <v/>
      </c>
      <c r="H54" s="4">
        <f>IF($G54&lt;&gt;"Qualified","-",IFERROR(IF($E54&gt;=INDEX('Program Setup'!$C$18:$C$23,MATCH($C54,'Program Setup'!$B$18:$B$23,0)),1,IF($E54&gt;=INDEX('Program Setup'!$D$18:$D$23,MATCH($C54,'Program Setup'!$B$18:$B$23,0)),2,IF($E54&gt;=INDEX('Program Setup'!$E$18:$E$23,MATCH($C54,'Program Setup'!$B$18:$B$23,0)),3,"-"))),"-"))</f>
        <v/>
      </c>
      <c r="I54" s="7">
        <f>IF(ISNUMBER($H54),INDEX('Program Setup'!$B$6:$B$8,MATCH($H54,'Program Setup'!$A$6:$A$8,0)),0)</f>
        <v/>
      </c>
      <c r="J54" s="8">
        <f>SUMIFS('Amplify Detail'!$E$5:$E$496,'Amplify Detail'!$A$5:$A$496,$A54,'Amplify Detail'!$C$5:$C$496,$C54)</f>
        <v/>
      </c>
      <c r="K54" s="8">
        <f>SUMIFS('Amplify Detail'!$F$5:$F$496,'Amplify Detail'!$A$5:$A$496,$A54,'Amplify Detail'!$C$5:$C$496,$C54)</f>
        <v/>
      </c>
      <c r="L54" s="8">
        <f>SUMIFS('Amplify Detail'!$G$5:$G$496,'Amplify Detail'!$A$5:$A$496,$A54,'Amplify Detail'!$C$5:$C$496,$C54)</f>
        <v/>
      </c>
      <c r="M54" s="7">
        <f>SUMIFS('Amplify Detail'!$J$5:$J$496,'Amplify Detail'!$A$5:$A$496,$A54,'Amplify Detail'!$C$5:$C$496,$C54)</f>
        <v/>
      </c>
      <c r="N54" s="7">
        <f>$I54+$M54</f>
        <v/>
      </c>
      <c r="O54" s="9">
        <f>IF($G54="No qualifier - Amplify open",1,IFERROR(INDEX('Program Setup'!$B$12:$B$14,MATCH($G54,'Program Setup'!$A$12:$A$14,0)),0))</f>
        <v/>
      </c>
      <c r="P54" s="4">
        <f>$A54&amp;"|"&amp;$C54</f>
        <v/>
      </c>
    </row>
    <row r="55">
      <c r="A55" s="4" t="inlineStr">
        <is>
          <t>Dan Lagala</t>
        </is>
      </c>
      <c r="B55" s="4" t="inlineStr">
        <is>
          <t>Mike Engel</t>
        </is>
      </c>
      <c r="C55" s="4" t="inlineStr">
        <is>
          <t>DG Yuengling Inc</t>
        </is>
      </c>
      <c r="D55" s="5" t="n">
        <v>1196</v>
      </c>
      <c r="E55" s="5" t="n">
        <v>1082</v>
      </c>
      <c r="F55" s="6">
        <f>IF($D55&gt;0,$E55/$D55,"")</f>
        <v/>
      </c>
      <c r="G55" s="4">
        <f>IF($D55&gt;0,IF($F55&gt;=1,"Qualified",IF($F55&gt;=0.9,"90% Partial Amplify","Not Qualified")),"No qualifier - Amplify open")</f>
        <v/>
      </c>
      <c r="H55" s="4">
        <f>IF($G55&lt;&gt;"Qualified","-",IFERROR(IF($E55&gt;=INDEX('Program Setup'!$C$18:$C$23,MATCH($C55,'Program Setup'!$B$18:$B$23,0)),1,IF($E55&gt;=INDEX('Program Setup'!$D$18:$D$23,MATCH($C55,'Program Setup'!$B$18:$B$23,0)),2,IF($E55&gt;=INDEX('Program Setup'!$E$18:$E$23,MATCH($C55,'Program Setup'!$B$18:$B$23,0)),3,"-"))),"-"))</f>
        <v/>
      </c>
      <c r="I55" s="7">
        <f>IF(ISNUMBER($H55),INDEX('Program Setup'!$B$6:$B$8,MATCH($H55,'Program Setup'!$A$6:$A$8,0)),0)</f>
        <v/>
      </c>
      <c r="J55" s="8">
        <f>SUMIFS('Amplify Detail'!$E$5:$E$496,'Amplify Detail'!$A$5:$A$496,$A55,'Amplify Detail'!$C$5:$C$496,$C55)</f>
        <v/>
      </c>
      <c r="K55" s="8">
        <f>SUMIFS('Amplify Detail'!$F$5:$F$496,'Amplify Detail'!$A$5:$A$496,$A55,'Amplify Detail'!$C$5:$C$496,$C55)</f>
        <v/>
      </c>
      <c r="L55" s="8">
        <f>SUMIFS('Amplify Detail'!$G$5:$G$496,'Amplify Detail'!$A$5:$A$496,$A55,'Amplify Detail'!$C$5:$C$496,$C55)</f>
        <v/>
      </c>
      <c r="M55" s="7">
        <f>SUMIFS('Amplify Detail'!$J$5:$J$496,'Amplify Detail'!$A$5:$A$496,$A55,'Amplify Detail'!$C$5:$C$496,$C55)</f>
        <v/>
      </c>
      <c r="N55" s="7">
        <f>$I55+$M55</f>
        <v/>
      </c>
      <c r="O55" s="9">
        <f>IF($G55="No qualifier - Amplify open",1,IFERROR(INDEX('Program Setup'!$B$12:$B$14,MATCH($G55,'Program Setup'!$A$12:$A$14,0)),0))</f>
        <v/>
      </c>
      <c r="P55" s="4">
        <f>$A55&amp;"|"&amp;$C55</f>
        <v/>
      </c>
    </row>
    <row r="56">
      <c r="A56" s="4" t="inlineStr">
        <is>
          <t>Dan Lagala</t>
        </is>
      </c>
      <c r="B56" s="4" t="inlineStr">
        <is>
          <t>Mike Engel</t>
        </is>
      </c>
      <c r="C56" s="4" t="inlineStr">
        <is>
          <t>Heineken USA</t>
        </is>
      </c>
      <c r="D56" s="5" t="n">
        <v>10378</v>
      </c>
      <c r="E56" s="5" t="n">
        <v>9092</v>
      </c>
      <c r="F56" s="6">
        <f>IF($D56&gt;0,$E56/$D56,"")</f>
        <v/>
      </c>
      <c r="G56" s="4">
        <f>IF($D56&gt;0,IF($F56&gt;=1,"Qualified",IF($F56&gt;=0.9,"90% Partial Amplify","Not Qualified")),"No qualifier - Amplify open")</f>
        <v/>
      </c>
      <c r="H56" s="4">
        <f>IF($G56&lt;&gt;"Qualified","-",IFERROR(IF($E56&gt;=INDEX('Program Setup'!$C$18:$C$23,MATCH($C56,'Program Setup'!$B$18:$B$23,0)),1,IF($E56&gt;=INDEX('Program Setup'!$D$18:$D$23,MATCH($C56,'Program Setup'!$B$18:$B$23,0)),2,IF($E56&gt;=INDEX('Program Setup'!$E$18:$E$23,MATCH($C56,'Program Setup'!$B$18:$B$23,0)),3,"-"))),"-"))</f>
        <v/>
      </c>
      <c r="I56" s="7">
        <f>IF(ISNUMBER($H56),INDEX('Program Setup'!$B$6:$B$8,MATCH($H56,'Program Setup'!$A$6:$A$8,0)),0)</f>
        <v/>
      </c>
      <c r="J56" s="8">
        <f>SUMIFS('Amplify Detail'!$E$5:$E$496,'Amplify Detail'!$A$5:$A$496,$A56,'Amplify Detail'!$C$5:$C$496,$C56)</f>
        <v/>
      </c>
      <c r="K56" s="8">
        <f>SUMIFS('Amplify Detail'!$F$5:$F$496,'Amplify Detail'!$A$5:$A$496,$A56,'Amplify Detail'!$C$5:$C$496,$C56)</f>
        <v/>
      </c>
      <c r="L56" s="8">
        <f>SUMIFS('Amplify Detail'!$G$5:$G$496,'Amplify Detail'!$A$5:$A$496,$A56,'Amplify Detail'!$C$5:$C$496,$C56)</f>
        <v/>
      </c>
      <c r="M56" s="7">
        <f>SUMIFS('Amplify Detail'!$J$5:$J$496,'Amplify Detail'!$A$5:$A$496,$A56,'Amplify Detail'!$C$5:$C$496,$C56)</f>
        <v/>
      </c>
      <c r="N56" s="7">
        <f>$I56+$M56</f>
        <v/>
      </c>
      <c r="O56" s="9">
        <f>IF($G56="No qualifier - Amplify open",1,IFERROR(INDEX('Program Setup'!$B$12:$B$14,MATCH($G56,'Program Setup'!$A$12:$A$14,0)),0))</f>
        <v/>
      </c>
      <c r="P56" s="4">
        <f>$A56&amp;"|"&amp;$C56</f>
        <v/>
      </c>
    </row>
    <row r="57">
      <c r="A57" s="4" t="inlineStr">
        <is>
          <t>Dan Lagala</t>
        </is>
      </c>
      <c r="B57" s="4" t="inlineStr">
        <is>
          <t>Mike Engel</t>
        </is>
      </c>
      <c r="C57" s="4" t="inlineStr">
        <is>
          <t>Mark Anthony</t>
        </is>
      </c>
      <c r="D57" s="5" t="n">
        <v>2655</v>
      </c>
      <c r="E57" s="5" t="n">
        <v>2718</v>
      </c>
      <c r="F57" s="6">
        <f>IF($D57&gt;0,$E57/$D57,"")</f>
        <v/>
      </c>
      <c r="G57" s="4">
        <f>IF($D57&gt;0,IF($F57&gt;=1,"Qualified",IF($F57&gt;=0.9,"90% Partial Amplify","Not Qualified")),"No qualifier - Amplify open")</f>
        <v/>
      </c>
      <c r="H57" s="4">
        <f>IF($G57&lt;&gt;"Qualified","-",IFERROR(IF($E57&gt;=INDEX('Program Setup'!$C$18:$C$23,MATCH($C57,'Program Setup'!$B$18:$B$23,0)),1,IF($E57&gt;=INDEX('Program Setup'!$D$18:$D$23,MATCH($C57,'Program Setup'!$B$18:$B$23,0)),2,IF($E57&gt;=INDEX('Program Setup'!$E$18:$E$23,MATCH($C57,'Program Setup'!$B$18:$B$23,0)),3,"-"))),"-"))</f>
        <v/>
      </c>
      <c r="I57" s="7">
        <f>IF(ISNUMBER($H57),INDEX('Program Setup'!$B$6:$B$8,MATCH($H57,'Program Setup'!$A$6:$A$8,0)),0)</f>
        <v/>
      </c>
      <c r="J57" s="8">
        <f>SUMIFS('Amplify Detail'!$E$5:$E$496,'Amplify Detail'!$A$5:$A$496,$A57,'Amplify Detail'!$C$5:$C$496,$C57)</f>
        <v/>
      </c>
      <c r="K57" s="8">
        <f>SUMIFS('Amplify Detail'!$F$5:$F$496,'Amplify Detail'!$A$5:$A$496,$A57,'Amplify Detail'!$C$5:$C$496,$C57)</f>
        <v/>
      </c>
      <c r="L57" s="8">
        <f>SUMIFS('Amplify Detail'!$G$5:$G$496,'Amplify Detail'!$A$5:$A$496,$A57,'Amplify Detail'!$C$5:$C$496,$C57)</f>
        <v/>
      </c>
      <c r="M57" s="7">
        <f>SUMIFS('Amplify Detail'!$J$5:$J$496,'Amplify Detail'!$A$5:$A$496,$A57,'Amplify Detail'!$C$5:$C$496,$C57)</f>
        <v/>
      </c>
      <c r="N57" s="7">
        <f>$I57+$M57</f>
        <v/>
      </c>
      <c r="O57" s="9">
        <f>IF($G57="No qualifier - Amplify open",1,IFERROR(INDEX('Program Setup'!$B$12:$B$14,MATCH($G57,'Program Setup'!$A$12:$A$14,0)),0))</f>
        <v/>
      </c>
      <c r="P57" s="4">
        <f>$A57&amp;"|"&amp;$C57</f>
        <v/>
      </c>
    </row>
    <row r="58">
      <c r="A58" s="4" t="inlineStr">
        <is>
          <t>Dan Lagala</t>
        </is>
      </c>
      <c r="B58" s="4" t="inlineStr">
        <is>
          <t>Mike Engel</t>
        </is>
      </c>
      <c r="C58" s="4" t="inlineStr">
        <is>
          <t>MolsonCoors Beverage Company</t>
        </is>
      </c>
      <c r="D58" s="5" t="n">
        <v>16335</v>
      </c>
      <c r="E58" s="5" t="n">
        <v>16657</v>
      </c>
      <c r="F58" s="6">
        <f>IF($D58&gt;0,$E58/$D58,"")</f>
        <v/>
      </c>
      <c r="G58" s="4">
        <f>IF($D58&gt;0,IF($F58&gt;=1,"Qualified",IF($F58&gt;=0.9,"90% Partial Amplify","Not Qualified")),"No qualifier - Amplify open")</f>
        <v/>
      </c>
      <c r="H58" s="4">
        <f>IF($G58&lt;&gt;"Qualified","-",IFERROR(IF($E58&gt;=INDEX('Program Setup'!$C$18:$C$23,MATCH($C58,'Program Setup'!$B$18:$B$23,0)),1,IF($E58&gt;=INDEX('Program Setup'!$D$18:$D$23,MATCH($C58,'Program Setup'!$B$18:$B$23,0)),2,IF($E58&gt;=INDEX('Program Setup'!$E$18:$E$23,MATCH($C58,'Program Setup'!$B$18:$B$23,0)),3,"-"))),"-"))</f>
        <v/>
      </c>
      <c r="I58" s="7">
        <f>IF(ISNUMBER($H58),INDEX('Program Setup'!$B$6:$B$8,MATCH($H58,'Program Setup'!$A$6:$A$8,0)),0)</f>
        <v/>
      </c>
      <c r="J58" s="8">
        <f>SUMIFS('Amplify Detail'!$E$5:$E$496,'Amplify Detail'!$A$5:$A$496,$A58,'Amplify Detail'!$C$5:$C$496,$C58)</f>
        <v/>
      </c>
      <c r="K58" s="8">
        <f>SUMIFS('Amplify Detail'!$F$5:$F$496,'Amplify Detail'!$A$5:$A$496,$A58,'Amplify Detail'!$C$5:$C$496,$C58)</f>
        <v/>
      </c>
      <c r="L58" s="8">
        <f>SUMIFS('Amplify Detail'!$G$5:$G$496,'Amplify Detail'!$A$5:$A$496,$A58,'Amplify Detail'!$C$5:$C$496,$C58)</f>
        <v/>
      </c>
      <c r="M58" s="7">
        <f>SUMIFS('Amplify Detail'!$J$5:$J$496,'Amplify Detail'!$A$5:$A$496,$A58,'Amplify Detail'!$C$5:$C$496,$C58)</f>
        <v/>
      </c>
      <c r="N58" s="7">
        <f>$I58+$M58</f>
        <v/>
      </c>
      <c r="O58" s="9">
        <f>IF($G58="No qualifier - Amplify open",1,IFERROR(INDEX('Program Setup'!$B$12:$B$14,MATCH($G58,'Program Setup'!$A$12:$A$14,0)),0))</f>
        <v/>
      </c>
      <c r="P58" s="4">
        <f>$A58&amp;"|"&amp;$C58</f>
        <v/>
      </c>
    </row>
    <row r="59">
      <c r="A59" s="4" t="inlineStr">
        <is>
          <t>Dan Lagala</t>
        </is>
      </c>
      <c r="B59" s="4" t="inlineStr">
        <is>
          <t>Mike Engel</t>
        </is>
      </c>
      <c r="C59" s="4" t="inlineStr">
        <is>
          <t>New Belgium Brewing Company</t>
        </is>
      </c>
      <c r="D59" s="5" t="n"/>
      <c r="E59" s="5" t="n"/>
      <c r="F59" s="6">
        <f>IF($D59&gt;0,$E59/$D59,"")</f>
        <v/>
      </c>
      <c r="G59" s="4">
        <f>IF($D59&gt;0,IF($F59&gt;=1,"Qualified",IF($F59&gt;=0.9,"90% Partial Amplify","Not Qualified")),"No qualifier - Amplify open")</f>
        <v/>
      </c>
      <c r="H59" s="4">
        <f>IF($G59&lt;&gt;"Qualified","-",IFERROR(IF($E59&gt;=INDEX('Program Setup'!$C$18:$C$23,MATCH($C59,'Program Setup'!$B$18:$B$23,0)),1,IF($E59&gt;=INDEX('Program Setup'!$D$18:$D$23,MATCH($C59,'Program Setup'!$B$18:$B$23,0)),2,IF($E59&gt;=INDEX('Program Setup'!$E$18:$E$23,MATCH($C59,'Program Setup'!$B$18:$B$23,0)),3,"-"))),"-"))</f>
        <v/>
      </c>
      <c r="I59" s="7">
        <f>IF(ISNUMBER($H59),INDEX('Program Setup'!$B$6:$B$8,MATCH($H59,'Program Setup'!$A$6:$A$8,0)),0)</f>
        <v/>
      </c>
      <c r="J59" s="8">
        <f>SUMIFS('Amplify Detail'!$E$5:$E$496,'Amplify Detail'!$A$5:$A$496,$A59,'Amplify Detail'!$C$5:$C$496,$C59)</f>
        <v/>
      </c>
      <c r="K59" s="8">
        <f>SUMIFS('Amplify Detail'!$F$5:$F$496,'Amplify Detail'!$A$5:$A$496,$A59,'Amplify Detail'!$C$5:$C$496,$C59)</f>
        <v/>
      </c>
      <c r="L59" s="8">
        <f>SUMIFS('Amplify Detail'!$G$5:$G$496,'Amplify Detail'!$A$5:$A$496,$A59,'Amplify Detail'!$C$5:$C$496,$C59)</f>
        <v/>
      </c>
      <c r="M59" s="7">
        <f>SUMIFS('Amplify Detail'!$J$5:$J$496,'Amplify Detail'!$A$5:$A$496,$A59,'Amplify Detail'!$C$5:$C$496,$C59)</f>
        <v/>
      </c>
      <c r="N59" s="7">
        <f>$I59+$M59</f>
        <v/>
      </c>
      <c r="O59" s="9">
        <f>IF($G59="No qualifier - Amplify open",1,IFERROR(INDEX('Program Setup'!$B$12:$B$14,MATCH($G59,'Program Setup'!$A$12:$A$14,0)),0))</f>
        <v/>
      </c>
      <c r="P59" s="4">
        <f>$A59&amp;"|"&amp;$C59</f>
        <v/>
      </c>
    </row>
    <row r="60">
      <c r="A60" s="4" t="inlineStr">
        <is>
          <t>Dan Lagala</t>
        </is>
      </c>
      <c r="B60" s="4" t="inlineStr">
        <is>
          <t>Mike Engel</t>
        </is>
      </c>
      <c r="C60" s="4" t="inlineStr">
        <is>
          <t>Sapporo</t>
        </is>
      </c>
      <c r="D60" s="5" t="n"/>
      <c r="E60" s="5" t="n"/>
      <c r="F60" s="6">
        <f>IF($D60&gt;0,$E60/$D60,"")</f>
        <v/>
      </c>
      <c r="G60" s="4">
        <f>IF($D60&gt;0,IF($F60&gt;=1,"Qualified",IF($F60&gt;=0.9,"90% Partial Amplify","Not Qualified")),"No qualifier - Amplify open")</f>
        <v/>
      </c>
      <c r="H60" s="4">
        <f>IF($G60&lt;&gt;"Qualified","-",IFERROR(IF($E60&gt;=INDEX('Program Setup'!$C$18:$C$23,MATCH($C60,'Program Setup'!$B$18:$B$23,0)),1,IF($E60&gt;=INDEX('Program Setup'!$D$18:$D$23,MATCH($C60,'Program Setup'!$B$18:$B$23,0)),2,IF($E60&gt;=INDEX('Program Setup'!$E$18:$E$23,MATCH($C60,'Program Setup'!$B$18:$B$23,0)),3,"-"))),"-"))</f>
        <v/>
      </c>
      <c r="I60" s="7">
        <f>IF(ISNUMBER($H60),INDEX('Program Setup'!$B$6:$B$8,MATCH($H60,'Program Setup'!$A$6:$A$8,0)),0)</f>
        <v/>
      </c>
      <c r="J60" s="8">
        <f>SUMIFS('Amplify Detail'!$E$5:$E$496,'Amplify Detail'!$A$5:$A$496,$A60,'Amplify Detail'!$C$5:$C$496,$C60)</f>
        <v/>
      </c>
      <c r="K60" s="8">
        <f>SUMIFS('Amplify Detail'!$F$5:$F$496,'Amplify Detail'!$A$5:$A$496,$A60,'Amplify Detail'!$C$5:$C$496,$C60)</f>
        <v/>
      </c>
      <c r="L60" s="8">
        <f>SUMIFS('Amplify Detail'!$G$5:$G$496,'Amplify Detail'!$A$5:$A$496,$A60,'Amplify Detail'!$C$5:$C$496,$C60)</f>
        <v/>
      </c>
      <c r="M60" s="7">
        <f>SUMIFS('Amplify Detail'!$J$5:$J$496,'Amplify Detail'!$A$5:$A$496,$A60,'Amplify Detail'!$C$5:$C$496,$C60)</f>
        <v/>
      </c>
      <c r="N60" s="7">
        <f>$I60+$M60</f>
        <v/>
      </c>
      <c r="O60" s="9">
        <f>IF($G60="No qualifier - Amplify open",1,IFERROR(INDEX('Program Setup'!$B$12:$B$14,MATCH($G60,'Program Setup'!$A$12:$A$14,0)),0))</f>
        <v/>
      </c>
      <c r="P60" s="4">
        <f>$A60&amp;"|"&amp;$C60</f>
        <v/>
      </c>
    </row>
    <row r="61">
      <c r="A61" s="4" t="inlineStr">
        <is>
          <t>Dave Ehlers</t>
        </is>
      </c>
      <c r="B61" s="4" t="inlineStr">
        <is>
          <t>Mike Engel</t>
        </is>
      </c>
      <c r="C61" s="4" t="inlineStr">
        <is>
          <t>Boston Beer Company</t>
        </is>
      </c>
      <c r="D61" s="5" t="n">
        <v>3250</v>
      </c>
      <c r="E61" s="5" t="n">
        <v>3361</v>
      </c>
      <c r="F61" s="6">
        <f>IF($D61&gt;0,$E61/$D61,"")</f>
        <v/>
      </c>
      <c r="G61" s="4">
        <f>IF($D61&gt;0,IF($F61&gt;=1,"Qualified",IF($F61&gt;=0.9,"90% Partial Amplify","Not Qualified")),"No qualifier - Amplify open")</f>
        <v/>
      </c>
      <c r="H61" s="4">
        <f>IF($G61&lt;&gt;"Qualified","-",IFERROR(IF($E61&gt;=INDEX('Program Setup'!$C$18:$C$23,MATCH($C61,'Program Setup'!$B$18:$B$23,0)),1,IF($E61&gt;=INDEX('Program Setup'!$D$18:$D$23,MATCH($C61,'Program Setup'!$B$18:$B$23,0)),2,IF($E61&gt;=INDEX('Program Setup'!$E$18:$E$23,MATCH($C61,'Program Setup'!$B$18:$B$23,0)),3,"-"))),"-"))</f>
        <v/>
      </c>
      <c r="I61" s="7">
        <f>IF(ISNUMBER($H61),INDEX('Program Setup'!$B$6:$B$8,MATCH($H61,'Program Setup'!$A$6:$A$8,0)),0)</f>
        <v/>
      </c>
      <c r="J61" s="8">
        <f>SUMIFS('Amplify Detail'!$E$5:$E$496,'Amplify Detail'!$A$5:$A$496,$A61,'Amplify Detail'!$C$5:$C$496,$C61)</f>
        <v/>
      </c>
      <c r="K61" s="8">
        <f>SUMIFS('Amplify Detail'!$F$5:$F$496,'Amplify Detail'!$A$5:$A$496,$A61,'Amplify Detail'!$C$5:$C$496,$C61)</f>
        <v/>
      </c>
      <c r="L61" s="8">
        <f>SUMIFS('Amplify Detail'!$G$5:$G$496,'Amplify Detail'!$A$5:$A$496,$A61,'Amplify Detail'!$C$5:$C$496,$C61)</f>
        <v/>
      </c>
      <c r="M61" s="7">
        <f>SUMIFS('Amplify Detail'!$J$5:$J$496,'Amplify Detail'!$A$5:$A$496,$A61,'Amplify Detail'!$C$5:$C$496,$C61)</f>
        <v/>
      </c>
      <c r="N61" s="7">
        <f>$I61+$M61</f>
        <v/>
      </c>
      <c r="O61" s="9">
        <f>IF($G61="No qualifier - Amplify open",1,IFERROR(INDEX('Program Setup'!$B$12:$B$14,MATCH($G61,'Program Setup'!$A$12:$A$14,0)),0))</f>
        <v/>
      </c>
      <c r="P61" s="4">
        <f>$A61&amp;"|"&amp;$C61</f>
        <v/>
      </c>
    </row>
    <row r="62">
      <c r="A62" s="4" t="inlineStr">
        <is>
          <t>Dave Ehlers</t>
        </is>
      </c>
      <c r="B62" s="4" t="inlineStr">
        <is>
          <t>Mike Engel</t>
        </is>
      </c>
      <c r="C62" s="4" t="inlineStr">
        <is>
          <t>Cape May</t>
        </is>
      </c>
      <c r="D62" s="5" t="n"/>
      <c r="E62" s="5" t="n"/>
      <c r="F62" s="6">
        <f>IF($D62&gt;0,$E62/$D62,"")</f>
        <v/>
      </c>
      <c r="G62" s="4">
        <f>IF($D62&gt;0,IF($F62&gt;=1,"Qualified",IF($F62&gt;=0.9,"90% Partial Amplify","Not Qualified")),"No qualifier - Amplify open")</f>
        <v/>
      </c>
      <c r="H62" s="4">
        <f>IF($G62&lt;&gt;"Qualified","-",IFERROR(IF($E62&gt;=INDEX('Program Setup'!$C$18:$C$23,MATCH($C62,'Program Setup'!$B$18:$B$23,0)),1,IF($E62&gt;=INDEX('Program Setup'!$D$18:$D$23,MATCH($C62,'Program Setup'!$B$18:$B$23,0)),2,IF($E62&gt;=INDEX('Program Setup'!$E$18:$E$23,MATCH($C62,'Program Setup'!$B$18:$B$23,0)),3,"-"))),"-"))</f>
        <v/>
      </c>
      <c r="I62" s="7">
        <f>IF(ISNUMBER($H62),INDEX('Program Setup'!$B$6:$B$8,MATCH($H62,'Program Setup'!$A$6:$A$8,0)),0)</f>
        <v/>
      </c>
      <c r="J62" s="8">
        <f>SUMIFS('Amplify Detail'!$E$5:$E$496,'Amplify Detail'!$A$5:$A$496,$A62,'Amplify Detail'!$C$5:$C$496,$C62)</f>
        <v/>
      </c>
      <c r="K62" s="8">
        <f>SUMIFS('Amplify Detail'!$F$5:$F$496,'Amplify Detail'!$A$5:$A$496,$A62,'Amplify Detail'!$C$5:$C$496,$C62)</f>
        <v/>
      </c>
      <c r="L62" s="8">
        <f>SUMIFS('Amplify Detail'!$G$5:$G$496,'Amplify Detail'!$A$5:$A$496,$A62,'Amplify Detail'!$C$5:$C$496,$C62)</f>
        <v/>
      </c>
      <c r="M62" s="7">
        <f>SUMIFS('Amplify Detail'!$J$5:$J$496,'Amplify Detail'!$A$5:$A$496,$A62,'Amplify Detail'!$C$5:$C$496,$C62)</f>
        <v/>
      </c>
      <c r="N62" s="7">
        <f>$I62+$M62</f>
        <v/>
      </c>
      <c r="O62" s="9">
        <f>IF($G62="No qualifier - Amplify open",1,IFERROR(INDEX('Program Setup'!$B$12:$B$14,MATCH($G62,'Program Setup'!$A$12:$A$14,0)),0))</f>
        <v/>
      </c>
      <c r="P62" s="4">
        <f>$A62&amp;"|"&amp;$C62</f>
        <v/>
      </c>
    </row>
    <row r="63">
      <c r="A63" s="4" t="inlineStr">
        <is>
          <t>Dave Ehlers</t>
        </is>
      </c>
      <c r="B63" s="4" t="inlineStr">
        <is>
          <t>Mike Engel</t>
        </is>
      </c>
      <c r="C63" s="4" t="inlineStr">
        <is>
          <t>Constellation Brands</t>
        </is>
      </c>
      <c r="D63" s="5" t="n">
        <v>57375</v>
      </c>
      <c r="E63" s="5" t="n">
        <v>59363</v>
      </c>
      <c r="F63" s="6">
        <f>IF($D63&gt;0,$E63/$D63,"")</f>
        <v/>
      </c>
      <c r="G63" s="4">
        <f>IF($D63&gt;0,IF($F63&gt;=1,"Qualified",IF($F63&gt;=0.9,"90% Partial Amplify","Not Qualified")),"No qualifier - Amplify open")</f>
        <v/>
      </c>
      <c r="H63" s="4">
        <f>IF($G63&lt;&gt;"Qualified","-",IFERROR(IF($E63&gt;=INDEX('Program Setup'!$C$18:$C$23,MATCH($C63,'Program Setup'!$B$18:$B$23,0)),1,IF($E63&gt;=INDEX('Program Setup'!$D$18:$D$23,MATCH($C63,'Program Setup'!$B$18:$B$23,0)),2,IF($E63&gt;=INDEX('Program Setup'!$E$18:$E$23,MATCH($C63,'Program Setup'!$B$18:$B$23,0)),3,"-"))),"-"))</f>
        <v/>
      </c>
      <c r="I63" s="7">
        <f>IF(ISNUMBER($H63),INDEX('Program Setup'!$B$6:$B$8,MATCH($H63,'Program Setup'!$A$6:$A$8,0)),0)</f>
        <v/>
      </c>
      <c r="J63" s="8">
        <f>SUMIFS('Amplify Detail'!$E$5:$E$496,'Amplify Detail'!$A$5:$A$496,$A63,'Amplify Detail'!$C$5:$C$496,$C63)</f>
        <v/>
      </c>
      <c r="K63" s="8">
        <f>SUMIFS('Amplify Detail'!$F$5:$F$496,'Amplify Detail'!$A$5:$A$496,$A63,'Amplify Detail'!$C$5:$C$496,$C63)</f>
        <v/>
      </c>
      <c r="L63" s="8">
        <f>SUMIFS('Amplify Detail'!$G$5:$G$496,'Amplify Detail'!$A$5:$A$496,$A63,'Amplify Detail'!$C$5:$C$496,$C63)</f>
        <v/>
      </c>
      <c r="M63" s="7">
        <f>SUMIFS('Amplify Detail'!$J$5:$J$496,'Amplify Detail'!$A$5:$A$496,$A63,'Amplify Detail'!$C$5:$C$496,$C63)</f>
        <v/>
      </c>
      <c r="N63" s="7">
        <f>$I63+$M63</f>
        <v/>
      </c>
      <c r="O63" s="9">
        <f>IF($G63="No qualifier - Amplify open",1,IFERROR(INDEX('Program Setup'!$B$12:$B$14,MATCH($G63,'Program Setup'!$A$12:$A$14,0)),0))</f>
        <v/>
      </c>
      <c r="P63" s="4">
        <f>$A63&amp;"|"&amp;$C63</f>
        <v/>
      </c>
    </row>
    <row r="64">
      <c r="A64" s="4" t="inlineStr">
        <is>
          <t>Dave Ehlers</t>
        </is>
      </c>
      <c r="B64" s="4" t="inlineStr">
        <is>
          <t>Mike Engel</t>
        </is>
      </c>
      <c r="C64" s="4" t="inlineStr">
        <is>
          <t>DG Yuengling Inc</t>
        </is>
      </c>
      <c r="D64" s="5" t="n">
        <v>2363</v>
      </c>
      <c r="E64" s="5" t="n">
        <v>2743</v>
      </c>
      <c r="F64" s="6">
        <f>IF($D64&gt;0,$E64/$D64,"")</f>
        <v/>
      </c>
      <c r="G64" s="4">
        <f>IF($D64&gt;0,IF($F64&gt;=1,"Qualified",IF($F64&gt;=0.9,"90% Partial Amplify","Not Qualified")),"No qualifier - Amplify open")</f>
        <v/>
      </c>
      <c r="H64" s="4">
        <f>IF($G64&lt;&gt;"Qualified","-",IFERROR(IF($E64&gt;=INDEX('Program Setup'!$C$18:$C$23,MATCH($C64,'Program Setup'!$B$18:$B$23,0)),1,IF($E64&gt;=INDEX('Program Setup'!$D$18:$D$23,MATCH($C64,'Program Setup'!$B$18:$B$23,0)),2,IF($E64&gt;=INDEX('Program Setup'!$E$18:$E$23,MATCH($C64,'Program Setup'!$B$18:$B$23,0)),3,"-"))),"-"))</f>
        <v/>
      </c>
      <c r="I64" s="7">
        <f>IF(ISNUMBER($H64),INDEX('Program Setup'!$B$6:$B$8,MATCH($H64,'Program Setup'!$A$6:$A$8,0)),0)</f>
        <v/>
      </c>
      <c r="J64" s="8">
        <f>SUMIFS('Amplify Detail'!$E$5:$E$496,'Amplify Detail'!$A$5:$A$496,$A64,'Amplify Detail'!$C$5:$C$496,$C64)</f>
        <v/>
      </c>
      <c r="K64" s="8">
        <f>SUMIFS('Amplify Detail'!$F$5:$F$496,'Amplify Detail'!$A$5:$A$496,$A64,'Amplify Detail'!$C$5:$C$496,$C64)</f>
        <v/>
      </c>
      <c r="L64" s="8">
        <f>SUMIFS('Amplify Detail'!$G$5:$G$496,'Amplify Detail'!$A$5:$A$496,$A64,'Amplify Detail'!$C$5:$C$496,$C64)</f>
        <v/>
      </c>
      <c r="M64" s="7">
        <f>SUMIFS('Amplify Detail'!$J$5:$J$496,'Amplify Detail'!$A$5:$A$496,$A64,'Amplify Detail'!$C$5:$C$496,$C64)</f>
        <v/>
      </c>
      <c r="N64" s="7">
        <f>$I64+$M64</f>
        <v/>
      </c>
      <c r="O64" s="9">
        <f>IF($G64="No qualifier - Amplify open",1,IFERROR(INDEX('Program Setup'!$B$12:$B$14,MATCH($G64,'Program Setup'!$A$12:$A$14,0)),0))</f>
        <v/>
      </c>
      <c r="P64" s="4">
        <f>$A64&amp;"|"&amp;$C64</f>
        <v/>
      </c>
    </row>
    <row r="65">
      <c r="A65" s="4" t="inlineStr">
        <is>
          <t>Dave Ehlers</t>
        </is>
      </c>
      <c r="B65" s="4" t="inlineStr">
        <is>
          <t>Mike Engel</t>
        </is>
      </c>
      <c r="C65" s="4" t="inlineStr">
        <is>
          <t>Heineken USA</t>
        </is>
      </c>
      <c r="D65" s="5" t="n">
        <v>11641</v>
      </c>
      <c r="E65" s="5" t="n">
        <v>12044</v>
      </c>
      <c r="F65" s="6">
        <f>IF($D65&gt;0,$E65/$D65,"")</f>
        <v/>
      </c>
      <c r="G65" s="4">
        <f>IF($D65&gt;0,IF($F65&gt;=1,"Qualified",IF($F65&gt;=0.9,"90% Partial Amplify","Not Qualified")),"No qualifier - Amplify open")</f>
        <v/>
      </c>
      <c r="H65" s="4">
        <f>IF($G65&lt;&gt;"Qualified","-",IFERROR(IF($E65&gt;=INDEX('Program Setup'!$C$18:$C$23,MATCH($C65,'Program Setup'!$B$18:$B$23,0)),1,IF($E65&gt;=INDEX('Program Setup'!$D$18:$D$23,MATCH($C65,'Program Setup'!$B$18:$B$23,0)),2,IF($E65&gt;=INDEX('Program Setup'!$E$18:$E$23,MATCH($C65,'Program Setup'!$B$18:$B$23,0)),3,"-"))),"-"))</f>
        <v/>
      </c>
      <c r="I65" s="7">
        <f>IF(ISNUMBER($H65),INDEX('Program Setup'!$B$6:$B$8,MATCH($H65,'Program Setup'!$A$6:$A$8,0)),0)</f>
        <v/>
      </c>
      <c r="J65" s="8">
        <f>SUMIFS('Amplify Detail'!$E$5:$E$496,'Amplify Detail'!$A$5:$A$496,$A65,'Amplify Detail'!$C$5:$C$496,$C65)</f>
        <v/>
      </c>
      <c r="K65" s="8">
        <f>SUMIFS('Amplify Detail'!$F$5:$F$496,'Amplify Detail'!$A$5:$A$496,$A65,'Amplify Detail'!$C$5:$C$496,$C65)</f>
        <v/>
      </c>
      <c r="L65" s="8">
        <f>SUMIFS('Amplify Detail'!$G$5:$G$496,'Amplify Detail'!$A$5:$A$496,$A65,'Amplify Detail'!$C$5:$C$496,$C65)</f>
        <v/>
      </c>
      <c r="M65" s="7">
        <f>SUMIFS('Amplify Detail'!$J$5:$J$496,'Amplify Detail'!$A$5:$A$496,$A65,'Amplify Detail'!$C$5:$C$496,$C65)</f>
        <v/>
      </c>
      <c r="N65" s="7">
        <f>$I65+$M65</f>
        <v/>
      </c>
      <c r="O65" s="9">
        <f>IF($G65="No qualifier - Amplify open",1,IFERROR(INDEX('Program Setup'!$B$12:$B$14,MATCH($G65,'Program Setup'!$A$12:$A$14,0)),0))</f>
        <v/>
      </c>
      <c r="P65" s="4">
        <f>$A65&amp;"|"&amp;$C65</f>
        <v/>
      </c>
    </row>
    <row r="66">
      <c r="A66" s="4" t="inlineStr">
        <is>
          <t>Dave Ehlers</t>
        </is>
      </c>
      <c r="B66" s="4" t="inlineStr">
        <is>
          <t>Mike Engel</t>
        </is>
      </c>
      <c r="C66" s="4" t="inlineStr">
        <is>
          <t>Mark Anthony</t>
        </is>
      </c>
      <c r="D66" s="5" t="n">
        <v>5755</v>
      </c>
      <c r="E66" s="5" t="n">
        <v>7117</v>
      </c>
      <c r="F66" s="6">
        <f>IF($D66&gt;0,$E66/$D66,"")</f>
        <v/>
      </c>
      <c r="G66" s="4">
        <f>IF($D66&gt;0,IF($F66&gt;=1,"Qualified",IF($F66&gt;=0.9,"90% Partial Amplify","Not Qualified")),"No qualifier - Amplify open")</f>
        <v/>
      </c>
      <c r="H66" s="4">
        <f>IF($G66&lt;&gt;"Qualified","-",IFERROR(IF($E66&gt;=INDEX('Program Setup'!$C$18:$C$23,MATCH($C66,'Program Setup'!$B$18:$B$23,0)),1,IF($E66&gt;=INDEX('Program Setup'!$D$18:$D$23,MATCH($C66,'Program Setup'!$B$18:$B$23,0)),2,IF($E66&gt;=INDEX('Program Setup'!$E$18:$E$23,MATCH($C66,'Program Setup'!$B$18:$B$23,0)),3,"-"))),"-"))</f>
        <v/>
      </c>
      <c r="I66" s="7">
        <f>IF(ISNUMBER($H66),INDEX('Program Setup'!$B$6:$B$8,MATCH($H66,'Program Setup'!$A$6:$A$8,0)),0)</f>
        <v/>
      </c>
      <c r="J66" s="8">
        <f>SUMIFS('Amplify Detail'!$E$5:$E$496,'Amplify Detail'!$A$5:$A$496,$A66,'Amplify Detail'!$C$5:$C$496,$C66)</f>
        <v/>
      </c>
      <c r="K66" s="8">
        <f>SUMIFS('Amplify Detail'!$F$5:$F$496,'Amplify Detail'!$A$5:$A$496,$A66,'Amplify Detail'!$C$5:$C$496,$C66)</f>
        <v/>
      </c>
      <c r="L66" s="8">
        <f>SUMIFS('Amplify Detail'!$G$5:$G$496,'Amplify Detail'!$A$5:$A$496,$A66,'Amplify Detail'!$C$5:$C$496,$C66)</f>
        <v/>
      </c>
      <c r="M66" s="7">
        <f>SUMIFS('Amplify Detail'!$J$5:$J$496,'Amplify Detail'!$A$5:$A$496,$A66,'Amplify Detail'!$C$5:$C$496,$C66)</f>
        <v/>
      </c>
      <c r="N66" s="7">
        <f>$I66+$M66</f>
        <v/>
      </c>
      <c r="O66" s="9">
        <f>IF($G66="No qualifier - Amplify open",1,IFERROR(INDEX('Program Setup'!$B$12:$B$14,MATCH($G66,'Program Setup'!$A$12:$A$14,0)),0))</f>
        <v/>
      </c>
      <c r="P66" s="4">
        <f>$A66&amp;"|"&amp;$C66</f>
        <v/>
      </c>
    </row>
    <row r="67">
      <c r="A67" s="4" t="inlineStr">
        <is>
          <t>Dave Ehlers</t>
        </is>
      </c>
      <c r="B67" s="4" t="inlineStr">
        <is>
          <t>Mike Engel</t>
        </is>
      </c>
      <c r="C67" s="4" t="inlineStr">
        <is>
          <t>MolsonCoors Beverage Company</t>
        </is>
      </c>
      <c r="D67" s="5" t="n">
        <v>22919</v>
      </c>
      <c r="E67" s="5" t="n">
        <v>23326</v>
      </c>
      <c r="F67" s="6">
        <f>IF($D67&gt;0,$E67/$D67,"")</f>
        <v/>
      </c>
      <c r="G67" s="4">
        <f>IF($D67&gt;0,IF($F67&gt;=1,"Qualified",IF($F67&gt;=0.9,"90% Partial Amplify","Not Qualified")),"No qualifier - Amplify open")</f>
        <v/>
      </c>
      <c r="H67" s="4">
        <f>IF($G67&lt;&gt;"Qualified","-",IFERROR(IF($E67&gt;=INDEX('Program Setup'!$C$18:$C$23,MATCH($C67,'Program Setup'!$B$18:$B$23,0)),1,IF($E67&gt;=INDEX('Program Setup'!$D$18:$D$23,MATCH($C67,'Program Setup'!$B$18:$B$23,0)),2,IF($E67&gt;=INDEX('Program Setup'!$E$18:$E$23,MATCH($C67,'Program Setup'!$B$18:$B$23,0)),3,"-"))),"-"))</f>
        <v/>
      </c>
      <c r="I67" s="7">
        <f>IF(ISNUMBER($H67),INDEX('Program Setup'!$B$6:$B$8,MATCH($H67,'Program Setup'!$A$6:$A$8,0)),0)</f>
        <v/>
      </c>
      <c r="J67" s="8">
        <f>SUMIFS('Amplify Detail'!$E$5:$E$496,'Amplify Detail'!$A$5:$A$496,$A67,'Amplify Detail'!$C$5:$C$496,$C67)</f>
        <v/>
      </c>
      <c r="K67" s="8">
        <f>SUMIFS('Amplify Detail'!$F$5:$F$496,'Amplify Detail'!$A$5:$A$496,$A67,'Amplify Detail'!$C$5:$C$496,$C67)</f>
        <v/>
      </c>
      <c r="L67" s="8">
        <f>SUMIFS('Amplify Detail'!$G$5:$G$496,'Amplify Detail'!$A$5:$A$496,$A67,'Amplify Detail'!$C$5:$C$496,$C67)</f>
        <v/>
      </c>
      <c r="M67" s="7">
        <f>SUMIFS('Amplify Detail'!$J$5:$J$496,'Amplify Detail'!$A$5:$A$496,$A67,'Amplify Detail'!$C$5:$C$496,$C67)</f>
        <v/>
      </c>
      <c r="N67" s="7">
        <f>$I67+$M67</f>
        <v/>
      </c>
      <c r="O67" s="9">
        <f>IF($G67="No qualifier - Amplify open",1,IFERROR(INDEX('Program Setup'!$B$12:$B$14,MATCH($G67,'Program Setup'!$A$12:$A$14,0)),0))</f>
        <v/>
      </c>
      <c r="P67" s="4">
        <f>$A67&amp;"|"&amp;$C67</f>
        <v/>
      </c>
    </row>
    <row r="68">
      <c r="A68" s="4" t="inlineStr">
        <is>
          <t>Dave Ehlers</t>
        </is>
      </c>
      <c r="B68" s="4" t="inlineStr">
        <is>
          <t>Mike Engel</t>
        </is>
      </c>
      <c r="C68" s="4" t="inlineStr">
        <is>
          <t>New Belgium Brewing Company</t>
        </is>
      </c>
      <c r="D68" s="5" t="n"/>
      <c r="E68" s="5" t="n"/>
      <c r="F68" s="6">
        <f>IF($D68&gt;0,$E68/$D68,"")</f>
        <v/>
      </c>
      <c r="G68" s="4">
        <f>IF($D68&gt;0,IF($F68&gt;=1,"Qualified",IF($F68&gt;=0.9,"90% Partial Amplify","Not Qualified")),"No qualifier - Amplify open")</f>
        <v/>
      </c>
      <c r="H68" s="4">
        <f>IF($G68&lt;&gt;"Qualified","-",IFERROR(IF($E68&gt;=INDEX('Program Setup'!$C$18:$C$23,MATCH($C68,'Program Setup'!$B$18:$B$23,0)),1,IF($E68&gt;=INDEX('Program Setup'!$D$18:$D$23,MATCH($C68,'Program Setup'!$B$18:$B$23,0)),2,IF($E68&gt;=INDEX('Program Setup'!$E$18:$E$23,MATCH($C68,'Program Setup'!$B$18:$B$23,0)),3,"-"))),"-"))</f>
        <v/>
      </c>
      <c r="I68" s="7">
        <f>IF(ISNUMBER($H68),INDEX('Program Setup'!$B$6:$B$8,MATCH($H68,'Program Setup'!$A$6:$A$8,0)),0)</f>
        <v/>
      </c>
      <c r="J68" s="8">
        <f>SUMIFS('Amplify Detail'!$E$5:$E$496,'Amplify Detail'!$A$5:$A$496,$A68,'Amplify Detail'!$C$5:$C$496,$C68)</f>
        <v/>
      </c>
      <c r="K68" s="8">
        <f>SUMIFS('Amplify Detail'!$F$5:$F$496,'Amplify Detail'!$A$5:$A$496,$A68,'Amplify Detail'!$C$5:$C$496,$C68)</f>
        <v/>
      </c>
      <c r="L68" s="8">
        <f>SUMIFS('Amplify Detail'!$G$5:$G$496,'Amplify Detail'!$A$5:$A$496,$A68,'Amplify Detail'!$C$5:$C$496,$C68)</f>
        <v/>
      </c>
      <c r="M68" s="7">
        <f>SUMIFS('Amplify Detail'!$J$5:$J$496,'Amplify Detail'!$A$5:$A$496,$A68,'Amplify Detail'!$C$5:$C$496,$C68)</f>
        <v/>
      </c>
      <c r="N68" s="7">
        <f>$I68+$M68</f>
        <v/>
      </c>
      <c r="O68" s="9">
        <f>IF($G68="No qualifier - Amplify open",1,IFERROR(INDEX('Program Setup'!$B$12:$B$14,MATCH($G68,'Program Setup'!$A$12:$A$14,0)),0))</f>
        <v/>
      </c>
      <c r="P68" s="4">
        <f>$A68&amp;"|"&amp;$C68</f>
        <v/>
      </c>
    </row>
    <row r="69">
      <c r="A69" s="4" t="inlineStr">
        <is>
          <t>Dave Ehlers</t>
        </is>
      </c>
      <c r="B69" s="4" t="inlineStr">
        <is>
          <t>Mike Engel</t>
        </is>
      </c>
      <c r="C69" s="4" t="inlineStr">
        <is>
          <t>Sapporo</t>
        </is>
      </c>
      <c r="D69" s="5" t="n"/>
      <c r="E69" s="5" t="n"/>
      <c r="F69" s="6">
        <f>IF($D69&gt;0,$E69/$D69,"")</f>
        <v/>
      </c>
      <c r="G69" s="4">
        <f>IF($D69&gt;0,IF($F69&gt;=1,"Qualified",IF($F69&gt;=0.9,"90% Partial Amplify","Not Qualified")),"No qualifier - Amplify open")</f>
        <v/>
      </c>
      <c r="H69" s="4">
        <f>IF($G69&lt;&gt;"Qualified","-",IFERROR(IF($E69&gt;=INDEX('Program Setup'!$C$18:$C$23,MATCH($C69,'Program Setup'!$B$18:$B$23,0)),1,IF($E69&gt;=INDEX('Program Setup'!$D$18:$D$23,MATCH($C69,'Program Setup'!$B$18:$B$23,0)),2,IF($E69&gt;=INDEX('Program Setup'!$E$18:$E$23,MATCH($C69,'Program Setup'!$B$18:$B$23,0)),3,"-"))),"-"))</f>
        <v/>
      </c>
      <c r="I69" s="7">
        <f>IF(ISNUMBER($H69),INDEX('Program Setup'!$B$6:$B$8,MATCH($H69,'Program Setup'!$A$6:$A$8,0)),0)</f>
        <v/>
      </c>
      <c r="J69" s="8">
        <f>SUMIFS('Amplify Detail'!$E$5:$E$496,'Amplify Detail'!$A$5:$A$496,$A69,'Amplify Detail'!$C$5:$C$496,$C69)</f>
        <v/>
      </c>
      <c r="K69" s="8">
        <f>SUMIFS('Amplify Detail'!$F$5:$F$496,'Amplify Detail'!$A$5:$A$496,$A69,'Amplify Detail'!$C$5:$C$496,$C69)</f>
        <v/>
      </c>
      <c r="L69" s="8">
        <f>SUMIFS('Amplify Detail'!$G$5:$G$496,'Amplify Detail'!$A$5:$A$496,$A69,'Amplify Detail'!$C$5:$C$496,$C69)</f>
        <v/>
      </c>
      <c r="M69" s="7">
        <f>SUMIFS('Amplify Detail'!$J$5:$J$496,'Amplify Detail'!$A$5:$A$496,$A69,'Amplify Detail'!$C$5:$C$496,$C69)</f>
        <v/>
      </c>
      <c r="N69" s="7">
        <f>$I69+$M69</f>
        <v/>
      </c>
      <c r="O69" s="9">
        <f>IF($G69="No qualifier - Amplify open",1,IFERROR(INDEX('Program Setup'!$B$12:$B$14,MATCH($G69,'Program Setup'!$A$12:$A$14,0)),0))</f>
        <v/>
      </c>
      <c r="P69" s="4">
        <f>$A69&amp;"|"&amp;$C69</f>
        <v/>
      </c>
    </row>
    <row r="70">
      <c r="A70" s="4" t="inlineStr">
        <is>
          <t>Derrick Laws</t>
        </is>
      </c>
      <c r="B70" s="4" t="inlineStr">
        <is>
          <t>Denise Montes</t>
        </is>
      </c>
      <c r="C70" s="4" t="inlineStr">
        <is>
          <t>Boston Beer Company</t>
        </is>
      </c>
      <c r="D70" s="5" t="n">
        <v>875</v>
      </c>
      <c r="E70" s="5" t="n">
        <v>820</v>
      </c>
      <c r="F70" s="6">
        <f>IF($D70&gt;0,$E70/$D70,"")</f>
        <v/>
      </c>
      <c r="G70" s="4">
        <f>IF($D70&gt;0,IF($F70&gt;=1,"Qualified",IF($F70&gt;=0.9,"90% Partial Amplify","Not Qualified")),"No qualifier - Amplify open")</f>
        <v/>
      </c>
      <c r="H70" s="4">
        <f>IF($G70&lt;&gt;"Qualified","-",IFERROR(IF($E70&gt;=INDEX('Program Setup'!$C$18:$C$23,MATCH($C70,'Program Setup'!$B$18:$B$23,0)),1,IF($E70&gt;=INDEX('Program Setup'!$D$18:$D$23,MATCH($C70,'Program Setup'!$B$18:$B$23,0)),2,IF($E70&gt;=INDEX('Program Setup'!$E$18:$E$23,MATCH($C70,'Program Setup'!$B$18:$B$23,0)),3,"-"))),"-"))</f>
        <v/>
      </c>
      <c r="I70" s="7">
        <f>IF(ISNUMBER($H70),INDEX('Program Setup'!$B$6:$B$8,MATCH($H70,'Program Setup'!$A$6:$A$8,0)),0)</f>
        <v/>
      </c>
      <c r="J70" s="8">
        <f>SUMIFS('Amplify Detail'!$E$5:$E$496,'Amplify Detail'!$A$5:$A$496,$A70,'Amplify Detail'!$C$5:$C$496,$C70)</f>
        <v/>
      </c>
      <c r="K70" s="8">
        <f>SUMIFS('Amplify Detail'!$F$5:$F$496,'Amplify Detail'!$A$5:$A$496,$A70,'Amplify Detail'!$C$5:$C$496,$C70)</f>
        <v/>
      </c>
      <c r="L70" s="8">
        <f>SUMIFS('Amplify Detail'!$G$5:$G$496,'Amplify Detail'!$A$5:$A$496,$A70,'Amplify Detail'!$C$5:$C$496,$C70)</f>
        <v/>
      </c>
      <c r="M70" s="7">
        <f>SUMIFS('Amplify Detail'!$J$5:$J$496,'Amplify Detail'!$A$5:$A$496,$A70,'Amplify Detail'!$C$5:$C$496,$C70)</f>
        <v/>
      </c>
      <c r="N70" s="7">
        <f>$I70+$M70</f>
        <v/>
      </c>
      <c r="O70" s="9">
        <f>IF($G70="No qualifier - Amplify open",1,IFERROR(INDEX('Program Setup'!$B$12:$B$14,MATCH($G70,'Program Setup'!$A$12:$A$14,0)),0))</f>
        <v/>
      </c>
      <c r="P70" s="4">
        <f>$A70&amp;"|"&amp;$C70</f>
        <v/>
      </c>
    </row>
    <row r="71">
      <c r="A71" s="4" t="inlineStr">
        <is>
          <t>Derrick Laws</t>
        </is>
      </c>
      <c r="B71" s="4" t="inlineStr">
        <is>
          <t>Denise Montes</t>
        </is>
      </c>
      <c r="C71" s="4" t="inlineStr">
        <is>
          <t>Cape May</t>
        </is>
      </c>
      <c r="D71" s="5" t="n"/>
      <c r="E71" s="5" t="n"/>
      <c r="F71" s="6">
        <f>IF($D71&gt;0,$E71/$D71,"")</f>
        <v/>
      </c>
      <c r="G71" s="4">
        <f>IF($D71&gt;0,IF($F71&gt;=1,"Qualified",IF($F71&gt;=0.9,"90% Partial Amplify","Not Qualified")),"No qualifier - Amplify open")</f>
        <v/>
      </c>
      <c r="H71" s="4">
        <f>IF($G71&lt;&gt;"Qualified","-",IFERROR(IF($E71&gt;=INDEX('Program Setup'!$C$18:$C$23,MATCH($C71,'Program Setup'!$B$18:$B$23,0)),1,IF($E71&gt;=INDEX('Program Setup'!$D$18:$D$23,MATCH($C71,'Program Setup'!$B$18:$B$23,0)),2,IF($E71&gt;=INDEX('Program Setup'!$E$18:$E$23,MATCH($C71,'Program Setup'!$B$18:$B$23,0)),3,"-"))),"-"))</f>
        <v/>
      </c>
      <c r="I71" s="7">
        <f>IF(ISNUMBER($H71),INDEX('Program Setup'!$B$6:$B$8,MATCH($H71,'Program Setup'!$A$6:$A$8,0)),0)</f>
        <v/>
      </c>
      <c r="J71" s="8">
        <f>SUMIFS('Amplify Detail'!$E$5:$E$496,'Amplify Detail'!$A$5:$A$496,$A71,'Amplify Detail'!$C$5:$C$496,$C71)</f>
        <v/>
      </c>
      <c r="K71" s="8">
        <f>SUMIFS('Amplify Detail'!$F$5:$F$496,'Amplify Detail'!$A$5:$A$496,$A71,'Amplify Detail'!$C$5:$C$496,$C71)</f>
        <v/>
      </c>
      <c r="L71" s="8">
        <f>SUMIFS('Amplify Detail'!$G$5:$G$496,'Amplify Detail'!$A$5:$A$496,$A71,'Amplify Detail'!$C$5:$C$496,$C71)</f>
        <v/>
      </c>
      <c r="M71" s="7">
        <f>SUMIFS('Amplify Detail'!$J$5:$J$496,'Amplify Detail'!$A$5:$A$496,$A71,'Amplify Detail'!$C$5:$C$496,$C71)</f>
        <v/>
      </c>
      <c r="N71" s="7">
        <f>$I71+$M71</f>
        <v/>
      </c>
      <c r="O71" s="9">
        <f>IF($G71="No qualifier - Amplify open",1,IFERROR(INDEX('Program Setup'!$B$12:$B$14,MATCH($G71,'Program Setup'!$A$12:$A$14,0)),0))</f>
        <v/>
      </c>
      <c r="P71" s="4">
        <f>$A71&amp;"|"&amp;$C71</f>
        <v/>
      </c>
    </row>
    <row r="72">
      <c r="A72" s="4" t="inlineStr">
        <is>
          <t>Derrick Laws</t>
        </is>
      </c>
      <c r="B72" s="4" t="inlineStr">
        <is>
          <t>Denise Montes</t>
        </is>
      </c>
      <c r="C72" s="4" t="inlineStr">
        <is>
          <t>Constellation Brands</t>
        </is>
      </c>
      <c r="D72" s="5" t="n">
        <v>69253</v>
      </c>
      <c r="E72" s="5" t="n">
        <v>66360</v>
      </c>
      <c r="F72" s="6">
        <f>IF($D72&gt;0,$E72/$D72,"")</f>
        <v/>
      </c>
      <c r="G72" s="4">
        <f>IF($D72&gt;0,IF($F72&gt;=1,"Qualified",IF($F72&gt;=0.9,"90% Partial Amplify","Not Qualified")),"No qualifier - Amplify open")</f>
        <v/>
      </c>
      <c r="H72" s="4">
        <f>IF($G72&lt;&gt;"Qualified","-",IFERROR(IF($E72&gt;=INDEX('Program Setup'!$C$18:$C$23,MATCH($C72,'Program Setup'!$B$18:$B$23,0)),1,IF($E72&gt;=INDEX('Program Setup'!$D$18:$D$23,MATCH($C72,'Program Setup'!$B$18:$B$23,0)),2,IF($E72&gt;=INDEX('Program Setup'!$E$18:$E$23,MATCH($C72,'Program Setup'!$B$18:$B$23,0)),3,"-"))),"-"))</f>
        <v/>
      </c>
      <c r="I72" s="7">
        <f>IF(ISNUMBER($H72),INDEX('Program Setup'!$B$6:$B$8,MATCH($H72,'Program Setup'!$A$6:$A$8,0)),0)</f>
        <v/>
      </c>
      <c r="J72" s="8">
        <f>SUMIFS('Amplify Detail'!$E$5:$E$496,'Amplify Detail'!$A$5:$A$496,$A72,'Amplify Detail'!$C$5:$C$496,$C72)</f>
        <v/>
      </c>
      <c r="K72" s="8">
        <f>SUMIFS('Amplify Detail'!$F$5:$F$496,'Amplify Detail'!$A$5:$A$496,$A72,'Amplify Detail'!$C$5:$C$496,$C72)</f>
        <v/>
      </c>
      <c r="L72" s="8">
        <f>SUMIFS('Amplify Detail'!$G$5:$G$496,'Amplify Detail'!$A$5:$A$496,$A72,'Amplify Detail'!$C$5:$C$496,$C72)</f>
        <v/>
      </c>
      <c r="M72" s="7">
        <f>SUMIFS('Amplify Detail'!$J$5:$J$496,'Amplify Detail'!$A$5:$A$496,$A72,'Amplify Detail'!$C$5:$C$496,$C72)</f>
        <v/>
      </c>
      <c r="N72" s="7">
        <f>$I72+$M72</f>
        <v/>
      </c>
      <c r="O72" s="9">
        <f>IF($G72="No qualifier - Amplify open",1,IFERROR(INDEX('Program Setup'!$B$12:$B$14,MATCH($G72,'Program Setup'!$A$12:$A$14,0)),0))</f>
        <v/>
      </c>
      <c r="P72" s="4">
        <f>$A72&amp;"|"&amp;$C72</f>
        <v/>
      </c>
    </row>
    <row r="73">
      <c r="A73" s="4" t="inlineStr">
        <is>
          <t>Derrick Laws</t>
        </is>
      </c>
      <c r="B73" s="4" t="inlineStr">
        <is>
          <t>Denise Montes</t>
        </is>
      </c>
      <c r="C73" s="4" t="inlineStr">
        <is>
          <t>DG Yuengling Inc</t>
        </is>
      </c>
      <c r="D73" s="5" t="n">
        <v>645</v>
      </c>
      <c r="E73" s="5" t="n">
        <v>575</v>
      </c>
      <c r="F73" s="6">
        <f>IF($D73&gt;0,$E73/$D73,"")</f>
        <v/>
      </c>
      <c r="G73" s="4">
        <f>IF($D73&gt;0,IF($F73&gt;=1,"Qualified",IF($F73&gt;=0.9,"90% Partial Amplify","Not Qualified")),"No qualifier - Amplify open")</f>
        <v/>
      </c>
      <c r="H73" s="4">
        <f>IF($G73&lt;&gt;"Qualified","-",IFERROR(IF($E73&gt;=INDEX('Program Setup'!$C$18:$C$23,MATCH($C73,'Program Setup'!$B$18:$B$23,0)),1,IF($E73&gt;=INDEX('Program Setup'!$D$18:$D$23,MATCH($C73,'Program Setup'!$B$18:$B$23,0)),2,IF($E73&gt;=INDEX('Program Setup'!$E$18:$E$23,MATCH($C73,'Program Setup'!$B$18:$B$23,0)),3,"-"))),"-"))</f>
        <v/>
      </c>
      <c r="I73" s="7">
        <f>IF(ISNUMBER($H73),INDEX('Program Setup'!$B$6:$B$8,MATCH($H73,'Program Setup'!$A$6:$A$8,0)),0)</f>
        <v/>
      </c>
      <c r="J73" s="8">
        <f>SUMIFS('Amplify Detail'!$E$5:$E$496,'Amplify Detail'!$A$5:$A$496,$A73,'Amplify Detail'!$C$5:$C$496,$C73)</f>
        <v/>
      </c>
      <c r="K73" s="8">
        <f>SUMIFS('Amplify Detail'!$F$5:$F$496,'Amplify Detail'!$A$5:$A$496,$A73,'Amplify Detail'!$C$5:$C$496,$C73)</f>
        <v/>
      </c>
      <c r="L73" s="8">
        <f>SUMIFS('Amplify Detail'!$G$5:$G$496,'Amplify Detail'!$A$5:$A$496,$A73,'Amplify Detail'!$C$5:$C$496,$C73)</f>
        <v/>
      </c>
      <c r="M73" s="7">
        <f>SUMIFS('Amplify Detail'!$J$5:$J$496,'Amplify Detail'!$A$5:$A$496,$A73,'Amplify Detail'!$C$5:$C$496,$C73)</f>
        <v/>
      </c>
      <c r="N73" s="7">
        <f>$I73+$M73</f>
        <v/>
      </c>
      <c r="O73" s="9">
        <f>IF($G73="No qualifier - Amplify open",1,IFERROR(INDEX('Program Setup'!$B$12:$B$14,MATCH($G73,'Program Setup'!$A$12:$A$14,0)),0))</f>
        <v/>
      </c>
      <c r="P73" s="4">
        <f>$A73&amp;"|"&amp;$C73</f>
        <v/>
      </c>
    </row>
    <row r="74">
      <c r="A74" s="4" t="inlineStr">
        <is>
          <t>Derrick Laws</t>
        </is>
      </c>
      <c r="B74" s="4" t="inlineStr">
        <is>
          <t>Denise Montes</t>
        </is>
      </c>
      <c r="C74" s="4" t="inlineStr">
        <is>
          <t>Heineken USA</t>
        </is>
      </c>
      <c r="D74" s="5" t="n">
        <v>12364</v>
      </c>
      <c r="E74" s="5" t="n">
        <v>11131</v>
      </c>
      <c r="F74" s="6">
        <f>IF($D74&gt;0,$E74/$D74,"")</f>
        <v/>
      </c>
      <c r="G74" s="4">
        <f>IF($D74&gt;0,IF($F74&gt;=1,"Qualified",IF($F74&gt;=0.9,"90% Partial Amplify","Not Qualified")),"No qualifier - Amplify open")</f>
        <v/>
      </c>
      <c r="H74" s="4">
        <f>IF($G74&lt;&gt;"Qualified","-",IFERROR(IF($E74&gt;=INDEX('Program Setup'!$C$18:$C$23,MATCH($C74,'Program Setup'!$B$18:$B$23,0)),1,IF($E74&gt;=INDEX('Program Setup'!$D$18:$D$23,MATCH($C74,'Program Setup'!$B$18:$B$23,0)),2,IF($E74&gt;=INDEX('Program Setup'!$E$18:$E$23,MATCH($C74,'Program Setup'!$B$18:$B$23,0)),3,"-"))),"-"))</f>
        <v/>
      </c>
      <c r="I74" s="7">
        <f>IF(ISNUMBER($H74),INDEX('Program Setup'!$B$6:$B$8,MATCH($H74,'Program Setup'!$A$6:$A$8,0)),0)</f>
        <v/>
      </c>
      <c r="J74" s="8">
        <f>SUMIFS('Amplify Detail'!$E$5:$E$496,'Amplify Detail'!$A$5:$A$496,$A74,'Amplify Detail'!$C$5:$C$496,$C74)</f>
        <v/>
      </c>
      <c r="K74" s="8">
        <f>SUMIFS('Amplify Detail'!$F$5:$F$496,'Amplify Detail'!$A$5:$A$496,$A74,'Amplify Detail'!$C$5:$C$496,$C74)</f>
        <v/>
      </c>
      <c r="L74" s="8">
        <f>SUMIFS('Amplify Detail'!$G$5:$G$496,'Amplify Detail'!$A$5:$A$496,$A74,'Amplify Detail'!$C$5:$C$496,$C74)</f>
        <v/>
      </c>
      <c r="M74" s="7">
        <f>SUMIFS('Amplify Detail'!$J$5:$J$496,'Amplify Detail'!$A$5:$A$496,$A74,'Amplify Detail'!$C$5:$C$496,$C74)</f>
        <v/>
      </c>
      <c r="N74" s="7">
        <f>$I74+$M74</f>
        <v/>
      </c>
      <c r="O74" s="9">
        <f>IF($G74="No qualifier - Amplify open",1,IFERROR(INDEX('Program Setup'!$B$12:$B$14,MATCH($G74,'Program Setup'!$A$12:$A$14,0)),0))</f>
        <v/>
      </c>
      <c r="P74" s="4">
        <f>$A74&amp;"|"&amp;$C74</f>
        <v/>
      </c>
    </row>
    <row r="75">
      <c r="A75" s="4" t="inlineStr">
        <is>
          <t>Derrick Laws</t>
        </is>
      </c>
      <c r="B75" s="4" t="inlineStr">
        <is>
          <t>Denise Montes</t>
        </is>
      </c>
      <c r="C75" s="4" t="inlineStr">
        <is>
          <t>Mark Anthony</t>
        </is>
      </c>
      <c r="D75" s="5" t="n">
        <v>1621</v>
      </c>
      <c r="E75" s="5" t="n">
        <v>1932</v>
      </c>
      <c r="F75" s="6">
        <f>IF($D75&gt;0,$E75/$D75,"")</f>
        <v/>
      </c>
      <c r="G75" s="4">
        <f>IF($D75&gt;0,IF($F75&gt;=1,"Qualified",IF($F75&gt;=0.9,"90% Partial Amplify","Not Qualified")),"No qualifier - Amplify open")</f>
        <v/>
      </c>
      <c r="H75" s="4">
        <f>IF($G75&lt;&gt;"Qualified","-",IFERROR(IF($E75&gt;=INDEX('Program Setup'!$C$18:$C$23,MATCH($C75,'Program Setup'!$B$18:$B$23,0)),1,IF($E75&gt;=INDEX('Program Setup'!$D$18:$D$23,MATCH($C75,'Program Setup'!$B$18:$B$23,0)),2,IF($E75&gt;=INDEX('Program Setup'!$E$18:$E$23,MATCH($C75,'Program Setup'!$B$18:$B$23,0)),3,"-"))),"-"))</f>
        <v/>
      </c>
      <c r="I75" s="7">
        <f>IF(ISNUMBER($H75),INDEX('Program Setup'!$B$6:$B$8,MATCH($H75,'Program Setup'!$A$6:$A$8,0)),0)</f>
        <v/>
      </c>
      <c r="J75" s="8">
        <f>SUMIFS('Amplify Detail'!$E$5:$E$496,'Amplify Detail'!$A$5:$A$496,$A75,'Amplify Detail'!$C$5:$C$496,$C75)</f>
        <v/>
      </c>
      <c r="K75" s="8">
        <f>SUMIFS('Amplify Detail'!$F$5:$F$496,'Amplify Detail'!$A$5:$A$496,$A75,'Amplify Detail'!$C$5:$C$496,$C75)</f>
        <v/>
      </c>
      <c r="L75" s="8">
        <f>SUMIFS('Amplify Detail'!$G$5:$G$496,'Amplify Detail'!$A$5:$A$496,$A75,'Amplify Detail'!$C$5:$C$496,$C75)</f>
        <v/>
      </c>
      <c r="M75" s="7">
        <f>SUMIFS('Amplify Detail'!$J$5:$J$496,'Amplify Detail'!$A$5:$A$496,$A75,'Amplify Detail'!$C$5:$C$496,$C75)</f>
        <v/>
      </c>
      <c r="N75" s="7">
        <f>$I75+$M75</f>
        <v/>
      </c>
      <c r="O75" s="9">
        <f>IF($G75="No qualifier - Amplify open",1,IFERROR(INDEX('Program Setup'!$B$12:$B$14,MATCH($G75,'Program Setup'!$A$12:$A$14,0)),0))</f>
        <v/>
      </c>
      <c r="P75" s="4">
        <f>$A75&amp;"|"&amp;$C75</f>
        <v/>
      </c>
    </row>
    <row r="76">
      <c r="A76" s="4" t="inlineStr">
        <is>
          <t>Derrick Laws</t>
        </is>
      </c>
      <c r="B76" s="4" t="inlineStr">
        <is>
          <t>Denise Montes</t>
        </is>
      </c>
      <c r="C76" s="4" t="inlineStr">
        <is>
          <t>MolsonCoors Beverage Company</t>
        </is>
      </c>
      <c r="D76" s="5" t="n">
        <v>19010</v>
      </c>
      <c r="E76" s="5" t="n">
        <v>17909</v>
      </c>
      <c r="F76" s="6">
        <f>IF($D76&gt;0,$E76/$D76,"")</f>
        <v/>
      </c>
      <c r="G76" s="4">
        <f>IF($D76&gt;0,IF($F76&gt;=1,"Qualified",IF($F76&gt;=0.9,"90% Partial Amplify","Not Qualified")),"No qualifier - Amplify open")</f>
        <v/>
      </c>
      <c r="H76" s="4">
        <f>IF($G76&lt;&gt;"Qualified","-",IFERROR(IF($E76&gt;=INDEX('Program Setup'!$C$18:$C$23,MATCH($C76,'Program Setup'!$B$18:$B$23,0)),1,IF($E76&gt;=INDEX('Program Setup'!$D$18:$D$23,MATCH($C76,'Program Setup'!$B$18:$B$23,0)),2,IF($E76&gt;=INDEX('Program Setup'!$E$18:$E$23,MATCH($C76,'Program Setup'!$B$18:$B$23,0)),3,"-"))),"-"))</f>
        <v/>
      </c>
      <c r="I76" s="7">
        <f>IF(ISNUMBER($H76),INDEX('Program Setup'!$B$6:$B$8,MATCH($H76,'Program Setup'!$A$6:$A$8,0)),0)</f>
        <v/>
      </c>
      <c r="J76" s="8">
        <f>SUMIFS('Amplify Detail'!$E$5:$E$496,'Amplify Detail'!$A$5:$A$496,$A76,'Amplify Detail'!$C$5:$C$496,$C76)</f>
        <v/>
      </c>
      <c r="K76" s="8">
        <f>SUMIFS('Amplify Detail'!$F$5:$F$496,'Amplify Detail'!$A$5:$A$496,$A76,'Amplify Detail'!$C$5:$C$496,$C76)</f>
        <v/>
      </c>
      <c r="L76" s="8">
        <f>SUMIFS('Amplify Detail'!$G$5:$G$496,'Amplify Detail'!$A$5:$A$496,$A76,'Amplify Detail'!$C$5:$C$496,$C76)</f>
        <v/>
      </c>
      <c r="M76" s="7">
        <f>SUMIFS('Amplify Detail'!$J$5:$J$496,'Amplify Detail'!$A$5:$A$496,$A76,'Amplify Detail'!$C$5:$C$496,$C76)</f>
        <v/>
      </c>
      <c r="N76" s="7">
        <f>$I76+$M76</f>
        <v/>
      </c>
      <c r="O76" s="9">
        <f>IF($G76="No qualifier - Amplify open",1,IFERROR(INDEX('Program Setup'!$B$12:$B$14,MATCH($G76,'Program Setup'!$A$12:$A$14,0)),0))</f>
        <v/>
      </c>
      <c r="P76" s="4">
        <f>$A76&amp;"|"&amp;$C76</f>
        <v/>
      </c>
    </row>
    <row r="77">
      <c r="A77" s="4" t="inlineStr">
        <is>
          <t>Derrick Laws</t>
        </is>
      </c>
      <c r="B77" s="4" t="inlineStr">
        <is>
          <t>Denise Montes</t>
        </is>
      </c>
      <c r="C77" s="4" t="inlineStr">
        <is>
          <t>New Belgium Brewing Company</t>
        </is>
      </c>
      <c r="D77" s="5" t="n"/>
      <c r="E77" s="5" t="n"/>
      <c r="F77" s="6">
        <f>IF($D77&gt;0,$E77/$D77,"")</f>
        <v/>
      </c>
      <c r="G77" s="4">
        <f>IF($D77&gt;0,IF($F77&gt;=1,"Qualified",IF($F77&gt;=0.9,"90% Partial Amplify","Not Qualified")),"No qualifier - Amplify open")</f>
        <v/>
      </c>
      <c r="H77" s="4">
        <f>IF($G77&lt;&gt;"Qualified","-",IFERROR(IF($E77&gt;=INDEX('Program Setup'!$C$18:$C$23,MATCH($C77,'Program Setup'!$B$18:$B$23,0)),1,IF($E77&gt;=INDEX('Program Setup'!$D$18:$D$23,MATCH($C77,'Program Setup'!$B$18:$B$23,0)),2,IF($E77&gt;=INDEX('Program Setup'!$E$18:$E$23,MATCH($C77,'Program Setup'!$B$18:$B$23,0)),3,"-"))),"-"))</f>
        <v/>
      </c>
      <c r="I77" s="7">
        <f>IF(ISNUMBER($H77),INDEX('Program Setup'!$B$6:$B$8,MATCH($H77,'Program Setup'!$A$6:$A$8,0)),0)</f>
        <v/>
      </c>
      <c r="J77" s="8">
        <f>SUMIFS('Amplify Detail'!$E$5:$E$496,'Amplify Detail'!$A$5:$A$496,$A77,'Amplify Detail'!$C$5:$C$496,$C77)</f>
        <v/>
      </c>
      <c r="K77" s="8">
        <f>SUMIFS('Amplify Detail'!$F$5:$F$496,'Amplify Detail'!$A$5:$A$496,$A77,'Amplify Detail'!$C$5:$C$496,$C77)</f>
        <v/>
      </c>
      <c r="L77" s="8">
        <f>SUMIFS('Amplify Detail'!$G$5:$G$496,'Amplify Detail'!$A$5:$A$496,$A77,'Amplify Detail'!$C$5:$C$496,$C77)</f>
        <v/>
      </c>
      <c r="M77" s="7">
        <f>SUMIFS('Amplify Detail'!$J$5:$J$496,'Amplify Detail'!$A$5:$A$496,$A77,'Amplify Detail'!$C$5:$C$496,$C77)</f>
        <v/>
      </c>
      <c r="N77" s="7">
        <f>$I77+$M77</f>
        <v/>
      </c>
      <c r="O77" s="9">
        <f>IF($G77="No qualifier - Amplify open",1,IFERROR(INDEX('Program Setup'!$B$12:$B$14,MATCH($G77,'Program Setup'!$A$12:$A$14,0)),0))</f>
        <v/>
      </c>
      <c r="P77" s="4">
        <f>$A77&amp;"|"&amp;$C77</f>
        <v/>
      </c>
    </row>
    <row r="78">
      <c r="A78" s="4" t="inlineStr">
        <is>
          <t>Derrick Laws</t>
        </is>
      </c>
      <c r="B78" s="4" t="inlineStr">
        <is>
          <t>Denise Montes</t>
        </is>
      </c>
      <c r="C78" s="4" t="inlineStr">
        <is>
          <t>Sapporo</t>
        </is>
      </c>
      <c r="D78" s="5" t="n"/>
      <c r="E78" s="5" t="n"/>
      <c r="F78" s="6">
        <f>IF($D78&gt;0,$E78/$D78,"")</f>
        <v/>
      </c>
      <c r="G78" s="4">
        <f>IF($D78&gt;0,IF($F78&gt;=1,"Qualified",IF($F78&gt;=0.9,"90% Partial Amplify","Not Qualified")),"No qualifier - Amplify open")</f>
        <v/>
      </c>
      <c r="H78" s="4">
        <f>IF($G78&lt;&gt;"Qualified","-",IFERROR(IF($E78&gt;=INDEX('Program Setup'!$C$18:$C$23,MATCH($C78,'Program Setup'!$B$18:$B$23,0)),1,IF($E78&gt;=INDEX('Program Setup'!$D$18:$D$23,MATCH($C78,'Program Setup'!$B$18:$B$23,0)),2,IF($E78&gt;=INDEX('Program Setup'!$E$18:$E$23,MATCH($C78,'Program Setup'!$B$18:$B$23,0)),3,"-"))),"-"))</f>
        <v/>
      </c>
      <c r="I78" s="7">
        <f>IF(ISNUMBER($H78),INDEX('Program Setup'!$B$6:$B$8,MATCH($H78,'Program Setup'!$A$6:$A$8,0)),0)</f>
        <v/>
      </c>
      <c r="J78" s="8">
        <f>SUMIFS('Amplify Detail'!$E$5:$E$496,'Amplify Detail'!$A$5:$A$496,$A78,'Amplify Detail'!$C$5:$C$496,$C78)</f>
        <v/>
      </c>
      <c r="K78" s="8">
        <f>SUMIFS('Amplify Detail'!$F$5:$F$496,'Amplify Detail'!$A$5:$A$496,$A78,'Amplify Detail'!$C$5:$C$496,$C78)</f>
        <v/>
      </c>
      <c r="L78" s="8">
        <f>SUMIFS('Amplify Detail'!$G$5:$G$496,'Amplify Detail'!$A$5:$A$496,$A78,'Amplify Detail'!$C$5:$C$496,$C78)</f>
        <v/>
      </c>
      <c r="M78" s="7">
        <f>SUMIFS('Amplify Detail'!$J$5:$J$496,'Amplify Detail'!$A$5:$A$496,$A78,'Amplify Detail'!$C$5:$C$496,$C78)</f>
        <v/>
      </c>
      <c r="N78" s="7">
        <f>$I78+$M78</f>
        <v/>
      </c>
      <c r="O78" s="9">
        <f>IF($G78="No qualifier - Amplify open",1,IFERROR(INDEX('Program Setup'!$B$12:$B$14,MATCH($G78,'Program Setup'!$A$12:$A$14,0)),0))</f>
        <v/>
      </c>
      <c r="P78" s="4">
        <f>$A78&amp;"|"&amp;$C78</f>
        <v/>
      </c>
    </row>
    <row r="79">
      <c r="A79" s="4" t="inlineStr">
        <is>
          <t>Dylan Rubino</t>
        </is>
      </c>
      <c r="B79" s="4" t="inlineStr">
        <is>
          <t>Mike Kennedy</t>
        </is>
      </c>
      <c r="C79" s="4" t="inlineStr">
        <is>
          <t>Boston Beer Company</t>
        </is>
      </c>
      <c r="D79" s="5" t="n">
        <v>30</v>
      </c>
      <c r="E79" s="5" t="n">
        <v>13</v>
      </c>
      <c r="F79" s="6">
        <f>IF($D79&gt;0,$E79/$D79,"")</f>
        <v/>
      </c>
      <c r="G79" s="4">
        <f>IF($D79&gt;0,IF($F79&gt;=1,"Qualified",IF($F79&gt;=0.9,"90% Partial Amplify","Not Qualified")),"No qualifier - Amplify open")</f>
        <v/>
      </c>
      <c r="H79" s="4">
        <f>IF($G79&lt;&gt;"Qualified","-",IFERROR(IF($E79&gt;=INDEX('Program Setup'!$C$18:$C$23,MATCH($C79,'Program Setup'!$B$18:$B$23,0)),1,IF($E79&gt;=INDEX('Program Setup'!$D$18:$D$23,MATCH($C79,'Program Setup'!$B$18:$B$23,0)),2,IF($E79&gt;=INDEX('Program Setup'!$E$18:$E$23,MATCH($C79,'Program Setup'!$B$18:$B$23,0)),3,"-"))),"-"))</f>
        <v/>
      </c>
      <c r="I79" s="7">
        <f>IF(ISNUMBER($H79),INDEX('Program Setup'!$B$6:$B$8,MATCH($H79,'Program Setup'!$A$6:$A$8,0)),0)</f>
        <v/>
      </c>
      <c r="J79" s="8">
        <f>SUMIFS('Amplify Detail'!$E$5:$E$496,'Amplify Detail'!$A$5:$A$496,$A79,'Amplify Detail'!$C$5:$C$496,$C79)</f>
        <v/>
      </c>
      <c r="K79" s="8">
        <f>SUMIFS('Amplify Detail'!$F$5:$F$496,'Amplify Detail'!$A$5:$A$496,$A79,'Amplify Detail'!$C$5:$C$496,$C79)</f>
        <v/>
      </c>
      <c r="L79" s="8">
        <f>SUMIFS('Amplify Detail'!$G$5:$G$496,'Amplify Detail'!$A$5:$A$496,$A79,'Amplify Detail'!$C$5:$C$496,$C79)</f>
        <v/>
      </c>
      <c r="M79" s="7">
        <f>SUMIFS('Amplify Detail'!$J$5:$J$496,'Amplify Detail'!$A$5:$A$496,$A79,'Amplify Detail'!$C$5:$C$496,$C79)</f>
        <v/>
      </c>
      <c r="N79" s="7">
        <f>$I79+$M79</f>
        <v/>
      </c>
      <c r="O79" s="9">
        <f>IF($G79="No qualifier - Amplify open",1,IFERROR(INDEX('Program Setup'!$B$12:$B$14,MATCH($G79,'Program Setup'!$A$12:$A$14,0)),0))</f>
        <v/>
      </c>
      <c r="P79" s="4">
        <f>$A79&amp;"|"&amp;$C79</f>
        <v/>
      </c>
    </row>
    <row r="80">
      <c r="A80" s="4" t="inlineStr">
        <is>
          <t>Dylan Rubino</t>
        </is>
      </c>
      <c r="B80" s="4" t="inlineStr">
        <is>
          <t>Mike Kennedy</t>
        </is>
      </c>
      <c r="C80" s="4" t="inlineStr">
        <is>
          <t>Cape May</t>
        </is>
      </c>
      <c r="D80" s="5" t="n"/>
      <c r="E80" s="5" t="n"/>
      <c r="F80" s="6">
        <f>IF($D80&gt;0,$E80/$D80,"")</f>
        <v/>
      </c>
      <c r="G80" s="4">
        <f>IF($D80&gt;0,IF($F80&gt;=1,"Qualified",IF($F80&gt;=0.9,"90% Partial Amplify","Not Qualified")),"No qualifier - Amplify open")</f>
        <v/>
      </c>
      <c r="H80" s="4">
        <f>IF($G80&lt;&gt;"Qualified","-",IFERROR(IF($E80&gt;=INDEX('Program Setup'!$C$18:$C$23,MATCH($C80,'Program Setup'!$B$18:$B$23,0)),1,IF($E80&gt;=INDEX('Program Setup'!$D$18:$D$23,MATCH($C80,'Program Setup'!$B$18:$B$23,0)),2,IF($E80&gt;=INDEX('Program Setup'!$E$18:$E$23,MATCH($C80,'Program Setup'!$B$18:$B$23,0)),3,"-"))),"-"))</f>
        <v/>
      </c>
      <c r="I80" s="7">
        <f>IF(ISNUMBER($H80),INDEX('Program Setup'!$B$6:$B$8,MATCH($H80,'Program Setup'!$A$6:$A$8,0)),0)</f>
        <v/>
      </c>
      <c r="J80" s="8">
        <f>SUMIFS('Amplify Detail'!$E$5:$E$496,'Amplify Detail'!$A$5:$A$496,$A80,'Amplify Detail'!$C$5:$C$496,$C80)</f>
        <v/>
      </c>
      <c r="K80" s="8">
        <f>SUMIFS('Amplify Detail'!$F$5:$F$496,'Amplify Detail'!$A$5:$A$496,$A80,'Amplify Detail'!$C$5:$C$496,$C80)</f>
        <v/>
      </c>
      <c r="L80" s="8">
        <f>SUMIFS('Amplify Detail'!$G$5:$G$496,'Amplify Detail'!$A$5:$A$496,$A80,'Amplify Detail'!$C$5:$C$496,$C80)</f>
        <v/>
      </c>
      <c r="M80" s="7">
        <f>SUMIFS('Amplify Detail'!$J$5:$J$496,'Amplify Detail'!$A$5:$A$496,$A80,'Amplify Detail'!$C$5:$C$496,$C80)</f>
        <v/>
      </c>
      <c r="N80" s="7">
        <f>$I80+$M80</f>
        <v/>
      </c>
      <c r="O80" s="9">
        <f>IF($G80="No qualifier - Amplify open",1,IFERROR(INDEX('Program Setup'!$B$12:$B$14,MATCH($G80,'Program Setup'!$A$12:$A$14,0)),0))</f>
        <v/>
      </c>
      <c r="P80" s="4">
        <f>$A80&amp;"|"&amp;$C80</f>
        <v/>
      </c>
    </row>
    <row r="81">
      <c r="A81" s="4" t="inlineStr">
        <is>
          <t>Dylan Rubino</t>
        </is>
      </c>
      <c r="B81" s="4" t="inlineStr">
        <is>
          <t>Mike Kennedy</t>
        </is>
      </c>
      <c r="C81" s="4" t="inlineStr">
        <is>
          <t>Constellation Brands</t>
        </is>
      </c>
      <c r="D81" s="5" t="n">
        <v>227</v>
      </c>
      <c r="E81" s="5" t="n">
        <v>240</v>
      </c>
      <c r="F81" s="6">
        <f>IF($D81&gt;0,$E81/$D81,"")</f>
        <v/>
      </c>
      <c r="G81" s="4">
        <f>IF($D81&gt;0,IF($F81&gt;=1,"Qualified",IF($F81&gt;=0.9,"90% Partial Amplify","Not Qualified")),"No qualifier - Amplify open")</f>
        <v/>
      </c>
      <c r="H81" s="4">
        <f>IF($G81&lt;&gt;"Qualified","-",IFERROR(IF($E81&gt;=INDEX('Program Setup'!$C$18:$C$23,MATCH($C81,'Program Setup'!$B$18:$B$23,0)),1,IF($E81&gt;=INDEX('Program Setup'!$D$18:$D$23,MATCH($C81,'Program Setup'!$B$18:$B$23,0)),2,IF($E81&gt;=INDEX('Program Setup'!$E$18:$E$23,MATCH($C81,'Program Setup'!$B$18:$B$23,0)),3,"-"))),"-"))</f>
        <v/>
      </c>
      <c r="I81" s="7">
        <f>IF(ISNUMBER($H81),INDEX('Program Setup'!$B$6:$B$8,MATCH($H81,'Program Setup'!$A$6:$A$8,0)),0)</f>
        <v/>
      </c>
      <c r="J81" s="8">
        <f>SUMIFS('Amplify Detail'!$E$5:$E$496,'Amplify Detail'!$A$5:$A$496,$A81,'Amplify Detail'!$C$5:$C$496,$C81)</f>
        <v/>
      </c>
      <c r="K81" s="8">
        <f>SUMIFS('Amplify Detail'!$F$5:$F$496,'Amplify Detail'!$A$5:$A$496,$A81,'Amplify Detail'!$C$5:$C$496,$C81)</f>
        <v/>
      </c>
      <c r="L81" s="8">
        <f>SUMIFS('Amplify Detail'!$G$5:$G$496,'Amplify Detail'!$A$5:$A$496,$A81,'Amplify Detail'!$C$5:$C$496,$C81)</f>
        <v/>
      </c>
      <c r="M81" s="7">
        <f>SUMIFS('Amplify Detail'!$J$5:$J$496,'Amplify Detail'!$A$5:$A$496,$A81,'Amplify Detail'!$C$5:$C$496,$C81)</f>
        <v/>
      </c>
      <c r="N81" s="7">
        <f>$I81+$M81</f>
        <v/>
      </c>
      <c r="O81" s="9">
        <f>IF($G81="No qualifier - Amplify open",1,IFERROR(INDEX('Program Setup'!$B$12:$B$14,MATCH($G81,'Program Setup'!$A$12:$A$14,0)),0))</f>
        <v/>
      </c>
      <c r="P81" s="4">
        <f>$A81&amp;"|"&amp;$C81</f>
        <v/>
      </c>
    </row>
    <row r="82">
      <c r="A82" s="4" t="inlineStr">
        <is>
          <t>Dylan Rubino</t>
        </is>
      </c>
      <c r="B82" s="4" t="inlineStr">
        <is>
          <t>Mike Kennedy</t>
        </is>
      </c>
      <c r="C82" s="4" t="inlineStr">
        <is>
          <t>DG Yuengling Inc</t>
        </is>
      </c>
      <c r="D82" s="5" t="n"/>
      <c r="E82" s="5" t="n">
        <v>6</v>
      </c>
      <c r="F82" s="6">
        <f>IF($D82&gt;0,$E82/$D82,"")</f>
        <v/>
      </c>
      <c r="G82" s="4">
        <f>IF($D82&gt;0,IF($F82&gt;=1,"Qualified",IF($F82&gt;=0.9,"90% Partial Amplify","Not Qualified")),"No qualifier - Amplify open")</f>
        <v/>
      </c>
      <c r="H82" s="4">
        <f>IF($G82&lt;&gt;"Qualified","-",IFERROR(IF($E82&gt;=INDEX('Program Setup'!$C$18:$C$23,MATCH($C82,'Program Setup'!$B$18:$B$23,0)),1,IF($E82&gt;=INDEX('Program Setup'!$D$18:$D$23,MATCH($C82,'Program Setup'!$B$18:$B$23,0)),2,IF($E82&gt;=INDEX('Program Setup'!$E$18:$E$23,MATCH($C82,'Program Setup'!$B$18:$B$23,0)),3,"-"))),"-"))</f>
        <v/>
      </c>
      <c r="I82" s="7">
        <f>IF(ISNUMBER($H82),INDEX('Program Setup'!$B$6:$B$8,MATCH($H82,'Program Setup'!$A$6:$A$8,0)),0)</f>
        <v/>
      </c>
      <c r="J82" s="8">
        <f>SUMIFS('Amplify Detail'!$E$5:$E$496,'Amplify Detail'!$A$5:$A$496,$A82,'Amplify Detail'!$C$5:$C$496,$C82)</f>
        <v/>
      </c>
      <c r="K82" s="8">
        <f>SUMIFS('Amplify Detail'!$F$5:$F$496,'Amplify Detail'!$A$5:$A$496,$A82,'Amplify Detail'!$C$5:$C$496,$C82)</f>
        <v/>
      </c>
      <c r="L82" s="8">
        <f>SUMIFS('Amplify Detail'!$G$5:$G$496,'Amplify Detail'!$A$5:$A$496,$A82,'Amplify Detail'!$C$5:$C$496,$C82)</f>
        <v/>
      </c>
      <c r="M82" s="7">
        <f>SUMIFS('Amplify Detail'!$J$5:$J$496,'Amplify Detail'!$A$5:$A$496,$A82,'Amplify Detail'!$C$5:$C$496,$C82)</f>
        <v/>
      </c>
      <c r="N82" s="7">
        <f>$I82+$M82</f>
        <v/>
      </c>
      <c r="O82" s="9">
        <f>IF($G82="No qualifier - Amplify open",1,IFERROR(INDEX('Program Setup'!$B$12:$B$14,MATCH($G82,'Program Setup'!$A$12:$A$14,0)),0))</f>
        <v/>
      </c>
      <c r="P82" s="4">
        <f>$A82&amp;"|"&amp;$C82</f>
        <v/>
      </c>
    </row>
    <row r="83">
      <c r="A83" s="4" t="inlineStr">
        <is>
          <t>Dylan Rubino</t>
        </is>
      </c>
      <c r="B83" s="4" t="inlineStr">
        <is>
          <t>Mike Kennedy</t>
        </is>
      </c>
      <c r="C83" s="4" t="inlineStr">
        <is>
          <t>Heineken USA</t>
        </is>
      </c>
      <c r="D83" s="5" t="n"/>
      <c r="E83" s="5" t="n">
        <v>49</v>
      </c>
      <c r="F83" s="6">
        <f>IF($D83&gt;0,$E83/$D83,"")</f>
        <v/>
      </c>
      <c r="G83" s="4">
        <f>IF($D83&gt;0,IF($F83&gt;=1,"Qualified",IF($F83&gt;=0.9,"90% Partial Amplify","Not Qualified")),"No qualifier - Amplify open")</f>
        <v/>
      </c>
      <c r="H83" s="4">
        <f>IF($G83&lt;&gt;"Qualified","-",IFERROR(IF($E83&gt;=INDEX('Program Setup'!$C$18:$C$23,MATCH($C83,'Program Setup'!$B$18:$B$23,0)),1,IF($E83&gt;=INDEX('Program Setup'!$D$18:$D$23,MATCH($C83,'Program Setup'!$B$18:$B$23,0)),2,IF($E83&gt;=INDEX('Program Setup'!$E$18:$E$23,MATCH($C83,'Program Setup'!$B$18:$B$23,0)),3,"-"))),"-"))</f>
        <v/>
      </c>
      <c r="I83" s="7">
        <f>IF(ISNUMBER($H83),INDEX('Program Setup'!$B$6:$B$8,MATCH($H83,'Program Setup'!$A$6:$A$8,0)),0)</f>
        <v/>
      </c>
      <c r="J83" s="8">
        <f>SUMIFS('Amplify Detail'!$E$5:$E$496,'Amplify Detail'!$A$5:$A$496,$A83,'Amplify Detail'!$C$5:$C$496,$C83)</f>
        <v/>
      </c>
      <c r="K83" s="8">
        <f>SUMIFS('Amplify Detail'!$F$5:$F$496,'Amplify Detail'!$A$5:$A$496,$A83,'Amplify Detail'!$C$5:$C$496,$C83)</f>
        <v/>
      </c>
      <c r="L83" s="8">
        <f>SUMIFS('Amplify Detail'!$G$5:$G$496,'Amplify Detail'!$A$5:$A$496,$A83,'Amplify Detail'!$C$5:$C$496,$C83)</f>
        <v/>
      </c>
      <c r="M83" s="7">
        <f>SUMIFS('Amplify Detail'!$J$5:$J$496,'Amplify Detail'!$A$5:$A$496,$A83,'Amplify Detail'!$C$5:$C$496,$C83)</f>
        <v/>
      </c>
      <c r="N83" s="7">
        <f>$I83+$M83</f>
        <v/>
      </c>
      <c r="O83" s="9">
        <f>IF($G83="No qualifier - Amplify open",1,IFERROR(INDEX('Program Setup'!$B$12:$B$14,MATCH($G83,'Program Setup'!$A$12:$A$14,0)),0))</f>
        <v/>
      </c>
      <c r="P83" s="4">
        <f>$A83&amp;"|"&amp;$C83</f>
        <v/>
      </c>
    </row>
    <row r="84">
      <c r="A84" s="4" t="inlineStr">
        <is>
          <t>Dylan Rubino</t>
        </is>
      </c>
      <c r="B84" s="4" t="inlineStr">
        <is>
          <t>Mike Kennedy</t>
        </is>
      </c>
      <c r="C84" s="4" t="inlineStr">
        <is>
          <t>Mark Anthony</t>
        </is>
      </c>
      <c r="D84" s="5" t="n">
        <v>23</v>
      </c>
      <c r="E84" s="5" t="n">
        <v>22</v>
      </c>
      <c r="F84" s="6">
        <f>IF($D84&gt;0,$E84/$D84,"")</f>
        <v/>
      </c>
      <c r="G84" s="4">
        <f>IF($D84&gt;0,IF($F84&gt;=1,"Qualified",IF($F84&gt;=0.9,"90% Partial Amplify","Not Qualified")),"No qualifier - Amplify open")</f>
        <v/>
      </c>
      <c r="H84" s="4">
        <f>IF($G84&lt;&gt;"Qualified","-",IFERROR(IF($E84&gt;=INDEX('Program Setup'!$C$18:$C$23,MATCH($C84,'Program Setup'!$B$18:$B$23,0)),1,IF($E84&gt;=INDEX('Program Setup'!$D$18:$D$23,MATCH($C84,'Program Setup'!$B$18:$B$23,0)),2,IF($E84&gt;=INDEX('Program Setup'!$E$18:$E$23,MATCH($C84,'Program Setup'!$B$18:$B$23,0)),3,"-"))),"-"))</f>
        <v/>
      </c>
      <c r="I84" s="7">
        <f>IF(ISNUMBER($H84),INDEX('Program Setup'!$B$6:$B$8,MATCH($H84,'Program Setup'!$A$6:$A$8,0)),0)</f>
        <v/>
      </c>
      <c r="J84" s="8">
        <f>SUMIFS('Amplify Detail'!$E$5:$E$496,'Amplify Detail'!$A$5:$A$496,$A84,'Amplify Detail'!$C$5:$C$496,$C84)</f>
        <v/>
      </c>
      <c r="K84" s="8">
        <f>SUMIFS('Amplify Detail'!$F$5:$F$496,'Amplify Detail'!$A$5:$A$496,$A84,'Amplify Detail'!$C$5:$C$496,$C84)</f>
        <v/>
      </c>
      <c r="L84" s="8">
        <f>SUMIFS('Amplify Detail'!$G$5:$G$496,'Amplify Detail'!$A$5:$A$496,$A84,'Amplify Detail'!$C$5:$C$496,$C84)</f>
        <v/>
      </c>
      <c r="M84" s="7">
        <f>SUMIFS('Amplify Detail'!$J$5:$J$496,'Amplify Detail'!$A$5:$A$496,$A84,'Amplify Detail'!$C$5:$C$496,$C84)</f>
        <v/>
      </c>
      <c r="N84" s="7">
        <f>$I84+$M84</f>
        <v/>
      </c>
      <c r="O84" s="9">
        <f>IF($G84="No qualifier - Amplify open",1,IFERROR(INDEX('Program Setup'!$B$12:$B$14,MATCH($G84,'Program Setup'!$A$12:$A$14,0)),0))</f>
        <v/>
      </c>
      <c r="P84" s="4">
        <f>$A84&amp;"|"&amp;$C84</f>
        <v/>
      </c>
    </row>
    <row r="85">
      <c r="A85" s="4" t="inlineStr">
        <is>
          <t>Dylan Rubino</t>
        </is>
      </c>
      <c r="B85" s="4" t="inlineStr">
        <is>
          <t>Mike Kennedy</t>
        </is>
      </c>
      <c r="C85" s="4" t="inlineStr">
        <is>
          <t>MolsonCoors Beverage Company</t>
        </is>
      </c>
      <c r="D85" s="5" t="n"/>
      <c r="E85" s="5" t="n">
        <v>149</v>
      </c>
      <c r="F85" s="6">
        <f>IF($D85&gt;0,$E85/$D85,"")</f>
        <v/>
      </c>
      <c r="G85" s="4">
        <f>IF($D85&gt;0,IF($F85&gt;=1,"Qualified",IF($F85&gt;=0.9,"90% Partial Amplify","Not Qualified")),"No qualifier - Amplify open")</f>
        <v/>
      </c>
      <c r="H85" s="4">
        <f>IF($G85&lt;&gt;"Qualified","-",IFERROR(IF($E85&gt;=INDEX('Program Setup'!$C$18:$C$23,MATCH($C85,'Program Setup'!$B$18:$B$23,0)),1,IF($E85&gt;=INDEX('Program Setup'!$D$18:$D$23,MATCH($C85,'Program Setup'!$B$18:$B$23,0)),2,IF($E85&gt;=INDEX('Program Setup'!$E$18:$E$23,MATCH($C85,'Program Setup'!$B$18:$B$23,0)),3,"-"))),"-"))</f>
        <v/>
      </c>
      <c r="I85" s="7">
        <f>IF(ISNUMBER($H85),INDEX('Program Setup'!$B$6:$B$8,MATCH($H85,'Program Setup'!$A$6:$A$8,0)),0)</f>
        <v/>
      </c>
      <c r="J85" s="8">
        <f>SUMIFS('Amplify Detail'!$E$5:$E$496,'Amplify Detail'!$A$5:$A$496,$A85,'Amplify Detail'!$C$5:$C$496,$C85)</f>
        <v/>
      </c>
      <c r="K85" s="8">
        <f>SUMIFS('Amplify Detail'!$F$5:$F$496,'Amplify Detail'!$A$5:$A$496,$A85,'Amplify Detail'!$C$5:$C$496,$C85)</f>
        <v/>
      </c>
      <c r="L85" s="8">
        <f>SUMIFS('Amplify Detail'!$G$5:$G$496,'Amplify Detail'!$A$5:$A$496,$A85,'Amplify Detail'!$C$5:$C$496,$C85)</f>
        <v/>
      </c>
      <c r="M85" s="7">
        <f>SUMIFS('Amplify Detail'!$J$5:$J$496,'Amplify Detail'!$A$5:$A$496,$A85,'Amplify Detail'!$C$5:$C$496,$C85)</f>
        <v/>
      </c>
      <c r="N85" s="7">
        <f>$I85+$M85</f>
        <v/>
      </c>
      <c r="O85" s="9">
        <f>IF($G85="No qualifier - Amplify open",1,IFERROR(INDEX('Program Setup'!$B$12:$B$14,MATCH($G85,'Program Setup'!$A$12:$A$14,0)),0))</f>
        <v/>
      </c>
      <c r="P85" s="4">
        <f>$A85&amp;"|"&amp;$C85</f>
        <v/>
      </c>
    </row>
    <row r="86">
      <c r="A86" s="4" t="inlineStr">
        <is>
          <t>Dylan Rubino</t>
        </is>
      </c>
      <c r="B86" s="4" t="inlineStr">
        <is>
          <t>Mike Kennedy</t>
        </is>
      </c>
      <c r="C86" s="4" t="inlineStr">
        <is>
          <t>New Belgium Brewing Company</t>
        </is>
      </c>
      <c r="D86" s="5" t="n"/>
      <c r="E86" s="5" t="n"/>
      <c r="F86" s="6">
        <f>IF($D86&gt;0,$E86/$D86,"")</f>
        <v/>
      </c>
      <c r="G86" s="4">
        <f>IF($D86&gt;0,IF($F86&gt;=1,"Qualified",IF($F86&gt;=0.9,"90% Partial Amplify","Not Qualified")),"No qualifier - Amplify open")</f>
        <v/>
      </c>
      <c r="H86" s="4">
        <f>IF($G86&lt;&gt;"Qualified","-",IFERROR(IF($E86&gt;=INDEX('Program Setup'!$C$18:$C$23,MATCH($C86,'Program Setup'!$B$18:$B$23,0)),1,IF($E86&gt;=INDEX('Program Setup'!$D$18:$D$23,MATCH($C86,'Program Setup'!$B$18:$B$23,0)),2,IF($E86&gt;=INDEX('Program Setup'!$E$18:$E$23,MATCH($C86,'Program Setup'!$B$18:$B$23,0)),3,"-"))),"-"))</f>
        <v/>
      </c>
      <c r="I86" s="7">
        <f>IF(ISNUMBER($H86),INDEX('Program Setup'!$B$6:$B$8,MATCH($H86,'Program Setup'!$A$6:$A$8,0)),0)</f>
        <v/>
      </c>
      <c r="J86" s="8">
        <f>SUMIFS('Amplify Detail'!$E$5:$E$496,'Amplify Detail'!$A$5:$A$496,$A86,'Amplify Detail'!$C$5:$C$496,$C86)</f>
        <v/>
      </c>
      <c r="K86" s="8">
        <f>SUMIFS('Amplify Detail'!$F$5:$F$496,'Amplify Detail'!$A$5:$A$496,$A86,'Amplify Detail'!$C$5:$C$496,$C86)</f>
        <v/>
      </c>
      <c r="L86" s="8">
        <f>SUMIFS('Amplify Detail'!$G$5:$G$496,'Amplify Detail'!$A$5:$A$496,$A86,'Amplify Detail'!$C$5:$C$496,$C86)</f>
        <v/>
      </c>
      <c r="M86" s="7">
        <f>SUMIFS('Amplify Detail'!$J$5:$J$496,'Amplify Detail'!$A$5:$A$496,$A86,'Amplify Detail'!$C$5:$C$496,$C86)</f>
        <v/>
      </c>
      <c r="N86" s="7">
        <f>$I86+$M86</f>
        <v/>
      </c>
      <c r="O86" s="9">
        <f>IF($G86="No qualifier - Amplify open",1,IFERROR(INDEX('Program Setup'!$B$12:$B$14,MATCH($G86,'Program Setup'!$A$12:$A$14,0)),0))</f>
        <v/>
      </c>
      <c r="P86" s="4">
        <f>$A86&amp;"|"&amp;$C86</f>
        <v/>
      </c>
    </row>
    <row r="87">
      <c r="A87" s="4" t="inlineStr">
        <is>
          <t>Dylan Rubino</t>
        </is>
      </c>
      <c r="B87" s="4" t="inlineStr">
        <is>
          <t>Mike Kennedy</t>
        </is>
      </c>
      <c r="C87" s="4" t="inlineStr">
        <is>
          <t>Sapporo</t>
        </is>
      </c>
      <c r="D87" s="5" t="n"/>
      <c r="E87" s="5" t="n"/>
      <c r="F87" s="6">
        <f>IF($D87&gt;0,$E87/$D87,"")</f>
        <v/>
      </c>
      <c r="G87" s="4">
        <f>IF($D87&gt;0,IF($F87&gt;=1,"Qualified",IF($F87&gt;=0.9,"90% Partial Amplify","Not Qualified")),"No qualifier - Amplify open")</f>
        <v/>
      </c>
      <c r="H87" s="4">
        <f>IF($G87&lt;&gt;"Qualified","-",IFERROR(IF($E87&gt;=INDEX('Program Setup'!$C$18:$C$23,MATCH($C87,'Program Setup'!$B$18:$B$23,0)),1,IF($E87&gt;=INDEX('Program Setup'!$D$18:$D$23,MATCH($C87,'Program Setup'!$B$18:$B$23,0)),2,IF($E87&gt;=INDEX('Program Setup'!$E$18:$E$23,MATCH($C87,'Program Setup'!$B$18:$B$23,0)),3,"-"))),"-"))</f>
        <v/>
      </c>
      <c r="I87" s="7">
        <f>IF(ISNUMBER($H87),INDEX('Program Setup'!$B$6:$B$8,MATCH($H87,'Program Setup'!$A$6:$A$8,0)),0)</f>
        <v/>
      </c>
      <c r="J87" s="8">
        <f>SUMIFS('Amplify Detail'!$E$5:$E$496,'Amplify Detail'!$A$5:$A$496,$A87,'Amplify Detail'!$C$5:$C$496,$C87)</f>
        <v/>
      </c>
      <c r="K87" s="8">
        <f>SUMIFS('Amplify Detail'!$F$5:$F$496,'Amplify Detail'!$A$5:$A$496,$A87,'Amplify Detail'!$C$5:$C$496,$C87)</f>
        <v/>
      </c>
      <c r="L87" s="8">
        <f>SUMIFS('Amplify Detail'!$G$5:$G$496,'Amplify Detail'!$A$5:$A$496,$A87,'Amplify Detail'!$C$5:$C$496,$C87)</f>
        <v/>
      </c>
      <c r="M87" s="7">
        <f>SUMIFS('Amplify Detail'!$J$5:$J$496,'Amplify Detail'!$A$5:$A$496,$A87,'Amplify Detail'!$C$5:$C$496,$C87)</f>
        <v/>
      </c>
      <c r="N87" s="7">
        <f>$I87+$M87</f>
        <v/>
      </c>
      <c r="O87" s="9">
        <f>IF($G87="No qualifier - Amplify open",1,IFERROR(INDEX('Program Setup'!$B$12:$B$14,MATCH($G87,'Program Setup'!$A$12:$A$14,0)),0))</f>
        <v/>
      </c>
      <c r="P87" s="4">
        <f>$A87&amp;"|"&amp;$C87</f>
        <v/>
      </c>
    </row>
    <row r="88">
      <c r="A88" s="4" t="inlineStr">
        <is>
          <t>Hakan Sadik</t>
        </is>
      </c>
      <c r="B88" s="4" t="inlineStr">
        <is>
          <t>Mike Kennedy</t>
        </is>
      </c>
      <c r="C88" s="4" t="inlineStr">
        <is>
          <t>Boston Beer Company</t>
        </is>
      </c>
      <c r="D88" s="5" t="n"/>
      <c r="E88" s="5" t="n"/>
      <c r="F88" s="6">
        <f>IF($D88&gt;0,$E88/$D88,"")</f>
        <v/>
      </c>
      <c r="G88" s="4">
        <f>IF($D88&gt;0,IF($F88&gt;=1,"Qualified",IF($F88&gt;=0.9,"90% Partial Amplify","Not Qualified")),"No qualifier - Amplify open")</f>
        <v/>
      </c>
      <c r="H88" s="4">
        <f>IF($G88&lt;&gt;"Qualified","-",IFERROR(IF($E88&gt;=INDEX('Program Setup'!$C$18:$C$23,MATCH($C88,'Program Setup'!$B$18:$B$23,0)),1,IF($E88&gt;=INDEX('Program Setup'!$D$18:$D$23,MATCH($C88,'Program Setup'!$B$18:$B$23,0)),2,IF($E88&gt;=INDEX('Program Setup'!$E$18:$E$23,MATCH($C88,'Program Setup'!$B$18:$B$23,0)),3,"-"))),"-"))</f>
        <v/>
      </c>
      <c r="I88" s="7">
        <f>IF(ISNUMBER($H88),INDEX('Program Setup'!$B$6:$B$8,MATCH($H88,'Program Setup'!$A$6:$A$8,0)),0)</f>
        <v/>
      </c>
      <c r="J88" s="8">
        <f>SUMIFS('Amplify Detail'!$E$5:$E$496,'Amplify Detail'!$A$5:$A$496,$A88,'Amplify Detail'!$C$5:$C$496,$C88)</f>
        <v/>
      </c>
      <c r="K88" s="8">
        <f>SUMIFS('Amplify Detail'!$F$5:$F$496,'Amplify Detail'!$A$5:$A$496,$A88,'Amplify Detail'!$C$5:$C$496,$C88)</f>
        <v/>
      </c>
      <c r="L88" s="8">
        <f>SUMIFS('Amplify Detail'!$G$5:$G$496,'Amplify Detail'!$A$5:$A$496,$A88,'Amplify Detail'!$C$5:$C$496,$C88)</f>
        <v/>
      </c>
      <c r="M88" s="7">
        <f>SUMIFS('Amplify Detail'!$J$5:$J$496,'Amplify Detail'!$A$5:$A$496,$A88,'Amplify Detail'!$C$5:$C$496,$C88)</f>
        <v/>
      </c>
      <c r="N88" s="7">
        <f>$I88+$M88</f>
        <v/>
      </c>
      <c r="O88" s="9">
        <f>IF($G88="No qualifier - Amplify open",1,IFERROR(INDEX('Program Setup'!$B$12:$B$14,MATCH($G88,'Program Setup'!$A$12:$A$14,0)),0))</f>
        <v/>
      </c>
      <c r="P88" s="4">
        <f>$A88&amp;"|"&amp;$C88</f>
        <v/>
      </c>
    </row>
    <row r="89">
      <c r="A89" s="4" t="inlineStr">
        <is>
          <t>Hakan Sadik</t>
        </is>
      </c>
      <c r="B89" s="4" t="inlineStr">
        <is>
          <t>Mike Kennedy</t>
        </is>
      </c>
      <c r="C89" s="4" t="inlineStr">
        <is>
          <t>DG Yuengling Inc</t>
        </is>
      </c>
      <c r="D89" s="5" t="n"/>
      <c r="E89" s="5" t="n">
        <v>0</v>
      </c>
      <c r="F89" s="6">
        <f>IF($D89&gt;0,$E89/$D89,"")</f>
        <v/>
      </c>
      <c r="G89" s="4">
        <f>IF($D89&gt;0,IF($F89&gt;=1,"Qualified",IF($F89&gt;=0.9,"90% Partial Amplify","Not Qualified")),"No qualifier - Amplify open")</f>
        <v/>
      </c>
      <c r="H89" s="4">
        <f>IF($G89&lt;&gt;"Qualified","-",IFERROR(IF($E89&gt;=INDEX('Program Setup'!$C$18:$C$23,MATCH($C89,'Program Setup'!$B$18:$B$23,0)),1,IF($E89&gt;=INDEX('Program Setup'!$D$18:$D$23,MATCH($C89,'Program Setup'!$B$18:$B$23,0)),2,IF($E89&gt;=INDEX('Program Setup'!$E$18:$E$23,MATCH($C89,'Program Setup'!$B$18:$B$23,0)),3,"-"))),"-"))</f>
        <v/>
      </c>
      <c r="I89" s="7">
        <f>IF(ISNUMBER($H89),INDEX('Program Setup'!$B$6:$B$8,MATCH($H89,'Program Setup'!$A$6:$A$8,0)),0)</f>
        <v/>
      </c>
      <c r="J89" s="8">
        <f>SUMIFS('Amplify Detail'!$E$5:$E$496,'Amplify Detail'!$A$5:$A$496,$A89,'Amplify Detail'!$C$5:$C$496,$C89)</f>
        <v/>
      </c>
      <c r="K89" s="8">
        <f>SUMIFS('Amplify Detail'!$F$5:$F$496,'Amplify Detail'!$A$5:$A$496,$A89,'Amplify Detail'!$C$5:$C$496,$C89)</f>
        <v/>
      </c>
      <c r="L89" s="8">
        <f>SUMIFS('Amplify Detail'!$G$5:$G$496,'Amplify Detail'!$A$5:$A$496,$A89,'Amplify Detail'!$C$5:$C$496,$C89)</f>
        <v/>
      </c>
      <c r="M89" s="7">
        <f>SUMIFS('Amplify Detail'!$J$5:$J$496,'Amplify Detail'!$A$5:$A$496,$A89,'Amplify Detail'!$C$5:$C$496,$C89)</f>
        <v/>
      </c>
      <c r="N89" s="7">
        <f>$I89+$M89</f>
        <v/>
      </c>
      <c r="O89" s="9">
        <f>IF($G89="No qualifier - Amplify open",1,IFERROR(INDEX('Program Setup'!$B$12:$B$14,MATCH($G89,'Program Setup'!$A$12:$A$14,0)),0))</f>
        <v/>
      </c>
      <c r="P89" s="4">
        <f>$A89&amp;"|"&amp;$C89</f>
        <v/>
      </c>
    </row>
    <row r="90">
      <c r="A90" s="4" t="inlineStr">
        <is>
          <t>Hakan Sadik</t>
        </is>
      </c>
      <c r="B90" s="4" t="inlineStr">
        <is>
          <t>Mike Kennedy</t>
        </is>
      </c>
      <c r="C90" s="4" t="inlineStr">
        <is>
          <t>MolsonCoors Beverage Company</t>
        </is>
      </c>
      <c r="D90" s="5" t="n"/>
      <c r="E90" s="5" t="n"/>
      <c r="F90" s="6">
        <f>IF($D90&gt;0,$E90/$D90,"")</f>
        <v/>
      </c>
      <c r="G90" s="4">
        <f>IF($D90&gt;0,IF($F90&gt;=1,"Qualified",IF($F90&gt;=0.9,"90% Partial Amplify","Not Qualified")),"No qualifier - Amplify open")</f>
        <v/>
      </c>
      <c r="H90" s="4">
        <f>IF($G90&lt;&gt;"Qualified","-",IFERROR(IF($E90&gt;=INDEX('Program Setup'!$C$18:$C$23,MATCH($C90,'Program Setup'!$B$18:$B$23,0)),1,IF($E90&gt;=INDEX('Program Setup'!$D$18:$D$23,MATCH($C90,'Program Setup'!$B$18:$B$23,0)),2,IF($E90&gt;=INDEX('Program Setup'!$E$18:$E$23,MATCH($C90,'Program Setup'!$B$18:$B$23,0)),3,"-"))),"-"))</f>
        <v/>
      </c>
      <c r="I90" s="7">
        <f>IF(ISNUMBER($H90),INDEX('Program Setup'!$B$6:$B$8,MATCH($H90,'Program Setup'!$A$6:$A$8,0)),0)</f>
        <v/>
      </c>
      <c r="J90" s="8">
        <f>SUMIFS('Amplify Detail'!$E$5:$E$496,'Amplify Detail'!$A$5:$A$496,$A90,'Amplify Detail'!$C$5:$C$496,$C90)</f>
        <v/>
      </c>
      <c r="K90" s="8">
        <f>SUMIFS('Amplify Detail'!$F$5:$F$496,'Amplify Detail'!$A$5:$A$496,$A90,'Amplify Detail'!$C$5:$C$496,$C90)</f>
        <v/>
      </c>
      <c r="L90" s="8">
        <f>SUMIFS('Amplify Detail'!$G$5:$G$496,'Amplify Detail'!$A$5:$A$496,$A90,'Amplify Detail'!$C$5:$C$496,$C90)</f>
        <v/>
      </c>
      <c r="M90" s="7">
        <f>SUMIFS('Amplify Detail'!$J$5:$J$496,'Amplify Detail'!$A$5:$A$496,$A90,'Amplify Detail'!$C$5:$C$496,$C90)</f>
        <v/>
      </c>
      <c r="N90" s="7">
        <f>$I90+$M90</f>
        <v/>
      </c>
      <c r="O90" s="9">
        <f>IF($G90="No qualifier - Amplify open",1,IFERROR(INDEX('Program Setup'!$B$12:$B$14,MATCH($G90,'Program Setup'!$A$12:$A$14,0)),0))</f>
        <v/>
      </c>
      <c r="P90" s="4">
        <f>$A90&amp;"|"&amp;$C90</f>
        <v/>
      </c>
    </row>
    <row r="91">
      <c r="A91" s="4" t="inlineStr">
        <is>
          <t>Hakan Sadik</t>
        </is>
      </c>
      <c r="B91" s="4" t="inlineStr">
        <is>
          <t>Mike Kennedy</t>
        </is>
      </c>
      <c r="C91" s="4" t="inlineStr">
        <is>
          <t>New Belgium Brewing Company</t>
        </is>
      </c>
      <c r="D91" s="5" t="n"/>
      <c r="E91" s="5" t="n"/>
      <c r="F91" s="6">
        <f>IF($D91&gt;0,$E91/$D91,"")</f>
        <v/>
      </c>
      <c r="G91" s="4">
        <f>IF($D91&gt;0,IF($F91&gt;=1,"Qualified",IF($F91&gt;=0.9,"90% Partial Amplify","Not Qualified")),"No qualifier - Amplify open")</f>
        <v/>
      </c>
      <c r="H91" s="4">
        <f>IF($G91&lt;&gt;"Qualified","-",IFERROR(IF($E91&gt;=INDEX('Program Setup'!$C$18:$C$23,MATCH($C91,'Program Setup'!$B$18:$B$23,0)),1,IF($E91&gt;=INDEX('Program Setup'!$D$18:$D$23,MATCH($C91,'Program Setup'!$B$18:$B$23,0)),2,IF($E91&gt;=INDEX('Program Setup'!$E$18:$E$23,MATCH($C91,'Program Setup'!$B$18:$B$23,0)),3,"-"))),"-"))</f>
        <v/>
      </c>
      <c r="I91" s="7">
        <f>IF(ISNUMBER($H91),INDEX('Program Setup'!$B$6:$B$8,MATCH($H91,'Program Setup'!$A$6:$A$8,0)),0)</f>
        <v/>
      </c>
      <c r="J91" s="8">
        <f>SUMIFS('Amplify Detail'!$E$5:$E$496,'Amplify Detail'!$A$5:$A$496,$A91,'Amplify Detail'!$C$5:$C$496,$C91)</f>
        <v/>
      </c>
      <c r="K91" s="8">
        <f>SUMIFS('Amplify Detail'!$F$5:$F$496,'Amplify Detail'!$A$5:$A$496,$A91,'Amplify Detail'!$C$5:$C$496,$C91)</f>
        <v/>
      </c>
      <c r="L91" s="8">
        <f>SUMIFS('Amplify Detail'!$G$5:$G$496,'Amplify Detail'!$A$5:$A$496,$A91,'Amplify Detail'!$C$5:$C$496,$C91)</f>
        <v/>
      </c>
      <c r="M91" s="7">
        <f>SUMIFS('Amplify Detail'!$J$5:$J$496,'Amplify Detail'!$A$5:$A$496,$A91,'Amplify Detail'!$C$5:$C$496,$C91)</f>
        <v/>
      </c>
      <c r="N91" s="7">
        <f>$I91+$M91</f>
        <v/>
      </c>
      <c r="O91" s="9">
        <f>IF($G91="No qualifier - Amplify open",1,IFERROR(INDEX('Program Setup'!$B$12:$B$14,MATCH($G91,'Program Setup'!$A$12:$A$14,0)),0))</f>
        <v/>
      </c>
      <c r="P91" s="4">
        <f>$A91&amp;"|"&amp;$C91</f>
        <v/>
      </c>
    </row>
    <row r="92">
      <c r="A92" s="4" t="inlineStr">
        <is>
          <t>Hakan Sadik</t>
        </is>
      </c>
      <c r="B92" s="4" t="inlineStr">
        <is>
          <t>Mike Kennedy</t>
        </is>
      </c>
      <c r="C92" s="4" t="inlineStr">
        <is>
          <t>Sapporo</t>
        </is>
      </c>
      <c r="D92" s="5" t="n"/>
      <c r="E92" s="5" t="n"/>
      <c r="F92" s="6">
        <f>IF($D92&gt;0,$E92/$D92,"")</f>
        <v/>
      </c>
      <c r="G92" s="4">
        <f>IF($D92&gt;0,IF($F92&gt;=1,"Qualified",IF($F92&gt;=0.9,"90% Partial Amplify","Not Qualified")),"No qualifier - Amplify open")</f>
        <v/>
      </c>
      <c r="H92" s="4">
        <f>IF($G92&lt;&gt;"Qualified","-",IFERROR(IF($E92&gt;=INDEX('Program Setup'!$C$18:$C$23,MATCH($C92,'Program Setup'!$B$18:$B$23,0)),1,IF($E92&gt;=INDEX('Program Setup'!$D$18:$D$23,MATCH($C92,'Program Setup'!$B$18:$B$23,0)),2,IF($E92&gt;=INDEX('Program Setup'!$E$18:$E$23,MATCH($C92,'Program Setup'!$B$18:$B$23,0)),3,"-"))),"-"))</f>
        <v/>
      </c>
      <c r="I92" s="7">
        <f>IF(ISNUMBER($H92),INDEX('Program Setup'!$B$6:$B$8,MATCH($H92,'Program Setup'!$A$6:$A$8,0)),0)</f>
        <v/>
      </c>
      <c r="J92" s="8">
        <f>SUMIFS('Amplify Detail'!$E$5:$E$496,'Amplify Detail'!$A$5:$A$496,$A92,'Amplify Detail'!$C$5:$C$496,$C92)</f>
        <v/>
      </c>
      <c r="K92" s="8">
        <f>SUMIFS('Amplify Detail'!$F$5:$F$496,'Amplify Detail'!$A$5:$A$496,$A92,'Amplify Detail'!$C$5:$C$496,$C92)</f>
        <v/>
      </c>
      <c r="L92" s="8">
        <f>SUMIFS('Amplify Detail'!$G$5:$G$496,'Amplify Detail'!$A$5:$A$496,$A92,'Amplify Detail'!$C$5:$C$496,$C92)</f>
        <v/>
      </c>
      <c r="M92" s="7">
        <f>SUMIFS('Amplify Detail'!$J$5:$J$496,'Amplify Detail'!$A$5:$A$496,$A92,'Amplify Detail'!$C$5:$C$496,$C92)</f>
        <v/>
      </c>
      <c r="N92" s="7">
        <f>$I92+$M92</f>
        <v/>
      </c>
      <c r="O92" s="9">
        <f>IF($G92="No qualifier - Amplify open",1,IFERROR(INDEX('Program Setup'!$B$12:$B$14,MATCH($G92,'Program Setup'!$A$12:$A$14,0)),0))</f>
        <v/>
      </c>
      <c r="P92" s="4">
        <f>$A92&amp;"|"&amp;$C92</f>
        <v/>
      </c>
    </row>
    <row r="93">
      <c r="A93" s="4" t="inlineStr">
        <is>
          <t>Jaime Colonna</t>
        </is>
      </c>
      <c r="B93" s="4" t="inlineStr">
        <is>
          <t>Mike Kennedy</t>
        </is>
      </c>
      <c r="C93" s="4" t="inlineStr">
        <is>
          <t>Boston Beer Company</t>
        </is>
      </c>
      <c r="D93" s="5" t="n"/>
      <c r="E93" s="5" t="n">
        <v>21</v>
      </c>
      <c r="F93" s="6">
        <f>IF($D93&gt;0,$E93/$D93,"")</f>
        <v/>
      </c>
      <c r="G93" s="4">
        <f>IF($D93&gt;0,IF($F93&gt;=1,"Qualified",IF($F93&gt;=0.9,"90% Partial Amplify","Not Qualified")),"No qualifier - Amplify open")</f>
        <v/>
      </c>
      <c r="H93" s="4">
        <f>IF($G93&lt;&gt;"Qualified","-",IFERROR(IF($E93&gt;=INDEX('Program Setup'!$C$18:$C$23,MATCH($C93,'Program Setup'!$B$18:$B$23,0)),1,IF($E93&gt;=INDEX('Program Setup'!$D$18:$D$23,MATCH($C93,'Program Setup'!$B$18:$B$23,0)),2,IF($E93&gt;=INDEX('Program Setup'!$E$18:$E$23,MATCH($C93,'Program Setup'!$B$18:$B$23,0)),3,"-"))),"-"))</f>
        <v/>
      </c>
      <c r="I93" s="7">
        <f>IF(ISNUMBER($H93),INDEX('Program Setup'!$B$6:$B$8,MATCH($H93,'Program Setup'!$A$6:$A$8,0)),0)</f>
        <v/>
      </c>
      <c r="J93" s="8">
        <f>SUMIFS('Amplify Detail'!$E$5:$E$496,'Amplify Detail'!$A$5:$A$496,$A93,'Amplify Detail'!$C$5:$C$496,$C93)</f>
        <v/>
      </c>
      <c r="K93" s="8">
        <f>SUMIFS('Amplify Detail'!$F$5:$F$496,'Amplify Detail'!$A$5:$A$496,$A93,'Amplify Detail'!$C$5:$C$496,$C93)</f>
        <v/>
      </c>
      <c r="L93" s="8">
        <f>SUMIFS('Amplify Detail'!$G$5:$G$496,'Amplify Detail'!$A$5:$A$496,$A93,'Amplify Detail'!$C$5:$C$496,$C93)</f>
        <v/>
      </c>
      <c r="M93" s="7">
        <f>SUMIFS('Amplify Detail'!$J$5:$J$496,'Amplify Detail'!$A$5:$A$496,$A93,'Amplify Detail'!$C$5:$C$496,$C93)</f>
        <v/>
      </c>
      <c r="N93" s="7">
        <f>$I93+$M93</f>
        <v/>
      </c>
      <c r="O93" s="9">
        <f>IF($G93="No qualifier - Amplify open",1,IFERROR(INDEX('Program Setup'!$B$12:$B$14,MATCH($G93,'Program Setup'!$A$12:$A$14,0)),0))</f>
        <v/>
      </c>
      <c r="P93" s="4">
        <f>$A93&amp;"|"&amp;$C93</f>
        <v/>
      </c>
    </row>
    <row r="94">
      <c r="A94" s="4" t="inlineStr">
        <is>
          <t>Jaime Colonna</t>
        </is>
      </c>
      <c r="B94" s="4" t="inlineStr">
        <is>
          <t>Mike Kennedy</t>
        </is>
      </c>
      <c r="C94" s="4" t="inlineStr">
        <is>
          <t>Cape May</t>
        </is>
      </c>
      <c r="D94" s="5" t="n"/>
      <c r="E94" s="5" t="n"/>
      <c r="F94" s="6">
        <f>IF($D94&gt;0,$E94/$D94,"")</f>
        <v/>
      </c>
      <c r="G94" s="4">
        <f>IF($D94&gt;0,IF($F94&gt;=1,"Qualified",IF($F94&gt;=0.9,"90% Partial Amplify","Not Qualified")),"No qualifier - Amplify open")</f>
        <v/>
      </c>
      <c r="H94" s="4">
        <f>IF($G94&lt;&gt;"Qualified","-",IFERROR(IF($E94&gt;=INDEX('Program Setup'!$C$18:$C$23,MATCH($C94,'Program Setup'!$B$18:$B$23,0)),1,IF($E94&gt;=INDEX('Program Setup'!$D$18:$D$23,MATCH($C94,'Program Setup'!$B$18:$B$23,0)),2,IF($E94&gt;=INDEX('Program Setup'!$E$18:$E$23,MATCH($C94,'Program Setup'!$B$18:$B$23,0)),3,"-"))),"-"))</f>
        <v/>
      </c>
      <c r="I94" s="7">
        <f>IF(ISNUMBER($H94),INDEX('Program Setup'!$B$6:$B$8,MATCH($H94,'Program Setup'!$A$6:$A$8,0)),0)</f>
        <v/>
      </c>
      <c r="J94" s="8">
        <f>SUMIFS('Amplify Detail'!$E$5:$E$496,'Amplify Detail'!$A$5:$A$496,$A94,'Amplify Detail'!$C$5:$C$496,$C94)</f>
        <v/>
      </c>
      <c r="K94" s="8">
        <f>SUMIFS('Amplify Detail'!$F$5:$F$496,'Amplify Detail'!$A$5:$A$496,$A94,'Amplify Detail'!$C$5:$C$496,$C94)</f>
        <v/>
      </c>
      <c r="L94" s="8">
        <f>SUMIFS('Amplify Detail'!$G$5:$G$496,'Amplify Detail'!$A$5:$A$496,$A94,'Amplify Detail'!$C$5:$C$496,$C94)</f>
        <v/>
      </c>
      <c r="M94" s="7">
        <f>SUMIFS('Amplify Detail'!$J$5:$J$496,'Amplify Detail'!$A$5:$A$496,$A94,'Amplify Detail'!$C$5:$C$496,$C94)</f>
        <v/>
      </c>
      <c r="N94" s="7">
        <f>$I94+$M94</f>
        <v/>
      </c>
      <c r="O94" s="9">
        <f>IF($G94="No qualifier - Amplify open",1,IFERROR(INDEX('Program Setup'!$B$12:$B$14,MATCH($G94,'Program Setup'!$A$12:$A$14,0)),0))</f>
        <v/>
      </c>
      <c r="P94" s="4">
        <f>$A94&amp;"|"&amp;$C94</f>
        <v/>
      </c>
    </row>
    <row r="95">
      <c r="A95" s="4" t="inlineStr">
        <is>
          <t>Jaime Colonna</t>
        </is>
      </c>
      <c r="B95" s="4" t="inlineStr">
        <is>
          <t>Mike Kennedy</t>
        </is>
      </c>
      <c r="C95" s="4" t="inlineStr">
        <is>
          <t>Constellation Brands</t>
        </is>
      </c>
      <c r="D95" s="5" t="n">
        <v>433</v>
      </c>
      <c r="E95" s="5" t="n">
        <v>478</v>
      </c>
      <c r="F95" s="6">
        <f>IF($D95&gt;0,$E95/$D95,"")</f>
        <v/>
      </c>
      <c r="G95" s="4">
        <f>IF($D95&gt;0,IF($F95&gt;=1,"Qualified",IF($F95&gt;=0.9,"90% Partial Amplify","Not Qualified")),"No qualifier - Amplify open")</f>
        <v/>
      </c>
      <c r="H95" s="4">
        <f>IF($G95&lt;&gt;"Qualified","-",IFERROR(IF($E95&gt;=INDEX('Program Setup'!$C$18:$C$23,MATCH($C95,'Program Setup'!$B$18:$B$23,0)),1,IF($E95&gt;=INDEX('Program Setup'!$D$18:$D$23,MATCH($C95,'Program Setup'!$B$18:$B$23,0)),2,IF($E95&gt;=INDEX('Program Setup'!$E$18:$E$23,MATCH($C95,'Program Setup'!$B$18:$B$23,0)),3,"-"))),"-"))</f>
        <v/>
      </c>
      <c r="I95" s="7">
        <f>IF(ISNUMBER($H95),INDEX('Program Setup'!$B$6:$B$8,MATCH($H95,'Program Setup'!$A$6:$A$8,0)),0)</f>
        <v/>
      </c>
      <c r="J95" s="8">
        <f>SUMIFS('Amplify Detail'!$E$5:$E$496,'Amplify Detail'!$A$5:$A$496,$A95,'Amplify Detail'!$C$5:$C$496,$C95)</f>
        <v/>
      </c>
      <c r="K95" s="8">
        <f>SUMIFS('Amplify Detail'!$F$5:$F$496,'Amplify Detail'!$A$5:$A$496,$A95,'Amplify Detail'!$C$5:$C$496,$C95)</f>
        <v/>
      </c>
      <c r="L95" s="8">
        <f>SUMIFS('Amplify Detail'!$G$5:$G$496,'Amplify Detail'!$A$5:$A$496,$A95,'Amplify Detail'!$C$5:$C$496,$C95)</f>
        <v/>
      </c>
      <c r="M95" s="7">
        <f>SUMIFS('Amplify Detail'!$J$5:$J$496,'Amplify Detail'!$A$5:$A$496,$A95,'Amplify Detail'!$C$5:$C$496,$C95)</f>
        <v/>
      </c>
      <c r="N95" s="7">
        <f>$I95+$M95</f>
        <v/>
      </c>
      <c r="O95" s="9">
        <f>IF($G95="No qualifier - Amplify open",1,IFERROR(INDEX('Program Setup'!$B$12:$B$14,MATCH($G95,'Program Setup'!$A$12:$A$14,0)),0))</f>
        <v/>
      </c>
      <c r="P95" s="4">
        <f>$A95&amp;"|"&amp;$C95</f>
        <v/>
      </c>
    </row>
    <row r="96">
      <c r="A96" s="4" t="inlineStr">
        <is>
          <t>Jaime Colonna</t>
        </is>
      </c>
      <c r="B96" s="4" t="inlineStr">
        <is>
          <t>Mike Kennedy</t>
        </is>
      </c>
      <c r="C96" s="4" t="inlineStr">
        <is>
          <t>DG Yuengling Inc</t>
        </is>
      </c>
      <c r="D96" s="5" t="n">
        <v>63</v>
      </c>
      <c r="E96" s="5" t="n">
        <v>8</v>
      </c>
      <c r="F96" s="6">
        <f>IF($D96&gt;0,$E96/$D96,"")</f>
        <v/>
      </c>
      <c r="G96" s="4">
        <f>IF($D96&gt;0,IF($F96&gt;=1,"Qualified",IF($F96&gt;=0.9,"90% Partial Amplify","Not Qualified")),"No qualifier - Amplify open")</f>
        <v/>
      </c>
      <c r="H96" s="4">
        <f>IF($G96&lt;&gt;"Qualified","-",IFERROR(IF($E96&gt;=INDEX('Program Setup'!$C$18:$C$23,MATCH($C96,'Program Setup'!$B$18:$B$23,0)),1,IF($E96&gt;=INDEX('Program Setup'!$D$18:$D$23,MATCH($C96,'Program Setup'!$B$18:$B$23,0)),2,IF($E96&gt;=INDEX('Program Setup'!$E$18:$E$23,MATCH($C96,'Program Setup'!$B$18:$B$23,0)),3,"-"))),"-"))</f>
        <v/>
      </c>
      <c r="I96" s="7">
        <f>IF(ISNUMBER($H96),INDEX('Program Setup'!$B$6:$B$8,MATCH($H96,'Program Setup'!$A$6:$A$8,0)),0)</f>
        <v/>
      </c>
      <c r="J96" s="8">
        <f>SUMIFS('Amplify Detail'!$E$5:$E$496,'Amplify Detail'!$A$5:$A$496,$A96,'Amplify Detail'!$C$5:$C$496,$C96)</f>
        <v/>
      </c>
      <c r="K96" s="8">
        <f>SUMIFS('Amplify Detail'!$F$5:$F$496,'Amplify Detail'!$A$5:$A$496,$A96,'Amplify Detail'!$C$5:$C$496,$C96)</f>
        <v/>
      </c>
      <c r="L96" s="8">
        <f>SUMIFS('Amplify Detail'!$G$5:$G$496,'Amplify Detail'!$A$5:$A$496,$A96,'Amplify Detail'!$C$5:$C$496,$C96)</f>
        <v/>
      </c>
      <c r="M96" s="7">
        <f>SUMIFS('Amplify Detail'!$J$5:$J$496,'Amplify Detail'!$A$5:$A$496,$A96,'Amplify Detail'!$C$5:$C$496,$C96)</f>
        <v/>
      </c>
      <c r="N96" s="7">
        <f>$I96+$M96</f>
        <v/>
      </c>
      <c r="O96" s="9">
        <f>IF($G96="No qualifier - Amplify open",1,IFERROR(INDEX('Program Setup'!$B$12:$B$14,MATCH($G96,'Program Setup'!$A$12:$A$14,0)),0))</f>
        <v/>
      </c>
      <c r="P96" s="4">
        <f>$A96&amp;"|"&amp;$C96</f>
        <v/>
      </c>
    </row>
    <row r="97">
      <c r="A97" s="4" t="inlineStr">
        <is>
          <t>Jaime Colonna</t>
        </is>
      </c>
      <c r="B97" s="4" t="inlineStr">
        <is>
          <t>Mike Kennedy</t>
        </is>
      </c>
      <c r="C97" s="4" t="inlineStr">
        <is>
          <t>Heineken USA</t>
        </is>
      </c>
      <c r="D97" s="5" t="n">
        <v>109</v>
      </c>
      <c r="E97" s="5" t="n">
        <v>85</v>
      </c>
      <c r="F97" s="6">
        <f>IF($D97&gt;0,$E97/$D97,"")</f>
        <v/>
      </c>
      <c r="G97" s="4">
        <f>IF($D97&gt;0,IF($F97&gt;=1,"Qualified",IF($F97&gt;=0.9,"90% Partial Amplify","Not Qualified")),"No qualifier - Amplify open")</f>
        <v/>
      </c>
      <c r="H97" s="4">
        <f>IF($G97&lt;&gt;"Qualified","-",IFERROR(IF($E97&gt;=INDEX('Program Setup'!$C$18:$C$23,MATCH($C97,'Program Setup'!$B$18:$B$23,0)),1,IF($E97&gt;=INDEX('Program Setup'!$D$18:$D$23,MATCH($C97,'Program Setup'!$B$18:$B$23,0)),2,IF($E97&gt;=INDEX('Program Setup'!$E$18:$E$23,MATCH($C97,'Program Setup'!$B$18:$B$23,0)),3,"-"))),"-"))</f>
        <v/>
      </c>
      <c r="I97" s="7">
        <f>IF(ISNUMBER($H97),INDEX('Program Setup'!$B$6:$B$8,MATCH($H97,'Program Setup'!$A$6:$A$8,0)),0)</f>
        <v/>
      </c>
      <c r="J97" s="8">
        <f>SUMIFS('Amplify Detail'!$E$5:$E$496,'Amplify Detail'!$A$5:$A$496,$A97,'Amplify Detail'!$C$5:$C$496,$C97)</f>
        <v/>
      </c>
      <c r="K97" s="8">
        <f>SUMIFS('Amplify Detail'!$F$5:$F$496,'Amplify Detail'!$A$5:$A$496,$A97,'Amplify Detail'!$C$5:$C$496,$C97)</f>
        <v/>
      </c>
      <c r="L97" s="8">
        <f>SUMIFS('Amplify Detail'!$G$5:$G$496,'Amplify Detail'!$A$5:$A$496,$A97,'Amplify Detail'!$C$5:$C$496,$C97)</f>
        <v/>
      </c>
      <c r="M97" s="7">
        <f>SUMIFS('Amplify Detail'!$J$5:$J$496,'Amplify Detail'!$A$5:$A$496,$A97,'Amplify Detail'!$C$5:$C$496,$C97)</f>
        <v/>
      </c>
      <c r="N97" s="7">
        <f>$I97+$M97</f>
        <v/>
      </c>
      <c r="O97" s="9">
        <f>IF($G97="No qualifier - Amplify open",1,IFERROR(INDEX('Program Setup'!$B$12:$B$14,MATCH($G97,'Program Setup'!$A$12:$A$14,0)),0))</f>
        <v/>
      </c>
      <c r="P97" s="4">
        <f>$A97&amp;"|"&amp;$C97</f>
        <v/>
      </c>
    </row>
    <row r="98">
      <c r="A98" s="4" t="inlineStr">
        <is>
          <t>Jaime Colonna</t>
        </is>
      </c>
      <c r="B98" s="4" t="inlineStr">
        <is>
          <t>Mike Kennedy</t>
        </is>
      </c>
      <c r="C98" s="4" t="inlineStr">
        <is>
          <t>Mark Anthony</t>
        </is>
      </c>
      <c r="D98" s="5" t="n">
        <v>81</v>
      </c>
      <c r="E98" s="5" t="n">
        <v>67</v>
      </c>
      <c r="F98" s="6">
        <f>IF($D98&gt;0,$E98/$D98,"")</f>
        <v/>
      </c>
      <c r="G98" s="4">
        <f>IF($D98&gt;0,IF($F98&gt;=1,"Qualified",IF($F98&gt;=0.9,"90% Partial Amplify","Not Qualified")),"No qualifier - Amplify open")</f>
        <v/>
      </c>
      <c r="H98" s="4">
        <f>IF($G98&lt;&gt;"Qualified","-",IFERROR(IF($E98&gt;=INDEX('Program Setup'!$C$18:$C$23,MATCH($C98,'Program Setup'!$B$18:$B$23,0)),1,IF($E98&gt;=INDEX('Program Setup'!$D$18:$D$23,MATCH($C98,'Program Setup'!$B$18:$B$23,0)),2,IF($E98&gt;=INDEX('Program Setup'!$E$18:$E$23,MATCH($C98,'Program Setup'!$B$18:$B$23,0)),3,"-"))),"-"))</f>
        <v/>
      </c>
      <c r="I98" s="7">
        <f>IF(ISNUMBER($H98),INDEX('Program Setup'!$B$6:$B$8,MATCH($H98,'Program Setup'!$A$6:$A$8,0)),0)</f>
        <v/>
      </c>
      <c r="J98" s="8">
        <f>SUMIFS('Amplify Detail'!$E$5:$E$496,'Amplify Detail'!$A$5:$A$496,$A98,'Amplify Detail'!$C$5:$C$496,$C98)</f>
        <v/>
      </c>
      <c r="K98" s="8">
        <f>SUMIFS('Amplify Detail'!$F$5:$F$496,'Amplify Detail'!$A$5:$A$496,$A98,'Amplify Detail'!$C$5:$C$496,$C98)</f>
        <v/>
      </c>
      <c r="L98" s="8">
        <f>SUMIFS('Amplify Detail'!$G$5:$G$496,'Amplify Detail'!$A$5:$A$496,$A98,'Amplify Detail'!$C$5:$C$496,$C98)</f>
        <v/>
      </c>
      <c r="M98" s="7">
        <f>SUMIFS('Amplify Detail'!$J$5:$J$496,'Amplify Detail'!$A$5:$A$496,$A98,'Amplify Detail'!$C$5:$C$496,$C98)</f>
        <v/>
      </c>
      <c r="N98" s="7">
        <f>$I98+$M98</f>
        <v/>
      </c>
      <c r="O98" s="9">
        <f>IF($G98="No qualifier - Amplify open",1,IFERROR(INDEX('Program Setup'!$B$12:$B$14,MATCH($G98,'Program Setup'!$A$12:$A$14,0)),0))</f>
        <v/>
      </c>
      <c r="P98" s="4">
        <f>$A98&amp;"|"&amp;$C98</f>
        <v/>
      </c>
    </row>
    <row r="99">
      <c r="A99" s="4" t="inlineStr">
        <is>
          <t>Jaime Colonna</t>
        </is>
      </c>
      <c r="B99" s="4" t="inlineStr">
        <is>
          <t>Mike Kennedy</t>
        </is>
      </c>
      <c r="C99" s="4" t="inlineStr">
        <is>
          <t>MolsonCoors Beverage Company</t>
        </is>
      </c>
      <c r="D99" s="5" t="n"/>
      <c r="E99" s="5" t="n">
        <v>154</v>
      </c>
      <c r="F99" s="6">
        <f>IF($D99&gt;0,$E99/$D99,"")</f>
        <v/>
      </c>
      <c r="G99" s="4">
        <f>IF($D99&gt;0,IF($F99&gt;=1,"Qualified",IF($F99&gt;=0.9,"90% Partial Amplify","Not Qualified")),"No qualifier - Amplify open")</f>
        <v/>
      </c>
      <c r="H99" s="4">
        <f>IF($G99&lt;&gt;"Qualified","-",IFERROR(IF($E99&gt;=INDEX('Program Setup'!$C$18:$C$23,MATCH($C99,'Program Setup'!$B$18:$B$23,0)),1,IF($E99&gt;=INDEX('Program Setup'!$D$18:$D$23,MATCH($C99,'Program Setup'!$B$18:$B$23,0)),2,IF($E99&gt;=INDEX('Program Setup'!$E$18:$E$23,MATCH($C99,'Program Setup'!$B$18:$B$23,0)),3,"-"))),"-"))</f>
        <v/>
      </c>
      <c r="I99" s="7">
        <f>IF(ISNUMBER($H99),INDEX('Program Setup'!$B$6:$B$8,MATCH($H99,'Program Setup'!$A$6:$A$8,0)),0)</f>
        <v/>
      </c>
      <c r="J99" s="8">
        <f>SUMIFS('Amplify Detail'!$E$5:$E$496,'Amplify Detail'!$A$5:$A$496,$A99,'Amplify Detail'!$C$5:$C$496,$C99)</f>
        <v/>
      </c>
      <c r="K99" s="8">
        <f>SUMIFS('Amplify Detail'!$F$5:$F$496,'Amplify Detail'!$A$5:$A$496,$A99,'Amplify Detail'!$C$5:$C$496,$C99)</f>
        <v/>
      </c>
      <c r="L99" s="8">
        <f>SUMIFS('Amplify Detail'!$G$5:$G$496,'Amplify Detail'!$A$5:$A$496,$A99,'Amplify Detail'!$C$5:$C$496,$C99)</f>
        <v/>
      </c>
      <c r="M99" s="7">
        <f>SUMIFS('Amplify Detail'!$J$5:$J$496,'Amplify Detail'!$A$5:$A$496,$A99,'Amplify Detail'!$C$5:$C$496,$C99)</f>
        <v/>
      </c>
      <c r="N99" s="7">
        <f>$I99+$M99</f>
        <v/>
      </c>
      <c r="O99" s="9">
        <f>IF($G99="No qualifier - Amplify open",1,IFERROR(INDEX('Program Setup'!$B$12:$B$14,MATCH($G99,'Program Setup'!$A$12:$A$14,0)),0))</f>
        <v/>
      </c>
      <c r="P99" s="4">
        <f>$A99&amp;"|"&amp;$C99</f>
        <v/>
      </c>
    </row>
    <row r="100">
      <c r="A100" s="4" t="inlineStr">
        <is>
          <t>Jaime Colonna</t>
        </is>
      </c>
      <c r="B100" s="4" t="inlineStr">
        <is>
          <t>Mike Kennedy</t>
        </is>
      </c>
      <c r="C100" s="4" t="inlineStr">
        <is>
          <t>New Belgium Brewing Company</t>
        </is>
      </c>
      <c r="D100" s="5" t="n"/>
      <c r="E100" s="5" t="n"/>
      <c r="F100" s="6">
        <f>IF($D100&gt;0,$E100/$D100,"")</f>
        <v/>
      </c>
      <c r="G100" s="4">
        <f>IF($D100&gt;0,IF($F100&gt;=1,"Qualified",IF($F100&gt;=0.9,"90% Partial Amplify","Not Qualified")),"No qualifier - Amplify open")</f>
        <v/>
      </c>
      <c r="H100" s="4">
        <f>IF($G100&lt;&gt;"Qualified","-",IFERROR(IF($E100&gt;=INDEX('Program Setup'!$C$18:$C$23,MATCH($C100,'Program Setup'!$B$18:$B$23,0)),1,IF($E100&gt;=INDEX('Program Setup'!$D$18:$D$23,MATCH($C100,'Program Setup'!$B$18:$B$23,0)),2,IF($E100&gt;=INDEX('Program Setup'!$E$18:$E$23,MATCH($C100,'Program Setup'!$B$18:$B$23,0)),3,"-"))),"-"))</f>
        <v/>
      </c>
      <c r="I100" s="7">
        <f>IF(ISNUMBER($H100),INDEX('Program Setup'!$B$6:$B$8,MATCH($H100,'Program Setup'!$A$6:$A$8,0)),0)</f>
        <v/>
      </c>
      <c r="J100" s="8">
        <f>SUMIFS('Amplify Detail'!$E$5:$E$496,'Amplify Detail'!$A$5:$A$496,$A100,'Amplify Detail'!$C$5:$C$496,$C100)</f>
        <v/>
      </c>
      <c r="K100" s="8">
        <f>SUMIFS('Amplify Detail'!$F$5:$F$496,'Amplify Detail'!$A$5:$A$496,$A100,'Amplify Detail'!$C$5:$C$496,$C100)</f>
        <v/>
      </c>
      <c r="L100" s="8">
        <f>SUMIFS('Amplify Detail'!$G$5:$G$496,'Amplify Detail'!$A$5:$A$496,$A100,'Amplify Detail'!$C$5:$C$496,$C100)</f>
        <v/>
      </c>
      <c r="M100" s="7">
        <f>SUMIFS('Amplify Detail'!$J$5:$J$496,'Amplify Detail'!$A$5:$A$496,$A100,'Amplify Detail'!$C$5:$C$496,$C100)</f>
        <v/>
      </c>
      <c r="N100" s="7">
        <f>$I100+$M100</f>
        <v/>
      </c>
      <c r="O100" s="9">
        <f>IF($G100="No qualifier - Amplify open",1,IFERROR(INDEX('Program Setup'!$B$12:$B$14,MATCH($G100,'Program Setup'!$A$12:$A$14,0)),0))</f>
        <v/>
      </c>
      <c r="P100" s="4">
        <f>$A100&amp;"|"&amp;$C100</f>
        <v/>
      </c>
    </row>
    <row r="101">
      <c r="A101" s="4" t="inlineStr">
        <is>
          <t>Jaime Colonna</t>
        </is>
      </c>
      <c r="B101" s="4" t="inlineStr">
        <is>
          <t>Mike Kennedy</t>
        </is>
      </c>
      <c r="C101" s="4" t="inlineStr">
        <is>
          <t>Sapporo</t>
        </is>
      </c>
      <c r="D101" s="5" t="n"/>
      <c r="E101" s="5" t="n"/>
      <c r="F101" s="6">
        <f>IF($D101&gt;0,$E101/$D101,"")</f>
        <v/>
      </c>
      <c r="G101" s="4">
        <f>IF($D101&gt;0,IF($F101&gt;=1,"Qualified",IF($F101&gt;=0.9,"90% Partial Amplify","Not Qualified")),"No qualifier - Amplify open")</f>
        <v/>
      </c>
      <c r="H101" s="4">
        <f>IF($G101&lt;&gt;"Qualified","-",IFERROR(IF($E101&gt;=INDEX('Program Setup'!$C$18:$C$23,MATCH($C101,'Program Setup'!$B$18:$B$23,0)),1,IF($E101&gt;=INDEX('Program Setup'!$D$18:$D$23,MATCH($C101,'Program Setup'!$B$18:$B$23,0)),2,IF($E101&gt;=INDEX('Program Setup'!$E$18:$E$23,MATCH($C101,'Program Setup'!$B$18:$B$23,0)),3,"-"))),"-"))</f>
        <v/>
      </c>
      <c r="I101" s="7">
        <f>IF(ISNUMBER($H101),INDEX('Program Setup'!$B$6:$B$8,MATCH($H101,'Program Setup'!$A$6:$A$8,0)),0)</f>
        <v/>
      </c>
      <c r="J101" s="8">
        <f>SUMIFS('Amplify Detail'!$E$5:$E$496,'Amplify Detail'!$A$5:$A$496,$A101,'Amplify Detail'!$C$5:$C$496,$C101)</f>
        <v/>
      </c>
      <c r="K101" s="8">
        <f>SUMIFS('Amplify Detail'!$F$5:$F$496,'Amplify Detail'!$A$5:$A$496,$A101,'Amplify Detail'!$C$5:$C$496,$C101)</f>
        <v/>
      </c>
      <c r="L101" s="8">
        <f>SUMIFS('Amplify Detail'!$G$5:$G$496,'Amplify Detail'!$A$5:$A$496,$A101,'Amplify Detail'!$C$5:$C$496,$C101)</f>
        <v/>
      </c>
      <c r="M101" s="7">
        <f>SUMIFS('Amplify Detail'!$J$5:$J$496,'Amplify Detail'!$A$5:$A$496,$A101,'Amplify Detail'!$C$5:$C$496,$C101)</f>
        <v/>
      </c>
      <c r="N101" s="7">
        <f>$I101+$M101</f>
        <v/>
      </c>
      <c r="O101" s="9">
        <f>IF($G101="No qualifier - Amplify open",1,IFERROR(INDEX('Program Setup'!$B$12:$B$14,MATCH($G101,'Program Setup'!$A$12:$A$14,0)),0))</f>
        <v/>
      </c>
      <c r="P101" s="4">
        <f>$A101&amp;"|"&amp;$C101</f>
        <v/>
      </c>
    </row>
    <row r="102">
      <c r="A102" s="4" t="inlineStr">
        <is>
          <t>Javier Melo</t>
        </is>
      </c>
      <c r="B102" s="4" t="inlineStr">
        <is>
          <t>Denise Montes</t>
        </is>
      </c>
      <c r="C102" s="4" t="inlineStr">
        <is>
          <t>Boston Beer Company</t>
        </is>
      </c>
      <c r="D102" s="5" t="n">
        <v>425</v>
      </c>
      <c r="E102" s="5" t="n">
        <v>532</v>
      </c>
      <c r="F102" s="6">
        <f>IF($D102&gt;0,$E102/$D102,"")</f>
        <v/>
      </c>
      <c r="G102" s="4">
        <f>IF($D102&gt;0,IF($F102&gt;=1,"Qualified",IF($F102&gt;=0.9,"90% Partial Amplify","Not Qualified")),"No qualifier - Amplify open")</f>
        <v/>
      </c>
      <c r="H102" s="4">
        <f>IF($G102&lt;&gt;"Qualified","-",IFERROR(IF($E102&gt;=INDEX('Program Setup'!$C$18:$C$23,MATCH($C102,'Program Setup'!$B$18:$B$23,0)),1,IF($E102&gt;=INDEX('Program Setup'!$D$18:$D$23,MATCH($C102,'Program Setup'!$B$18:$B$23,0)),2,IF($E102&gt;=INDEX('Program Setup'!$E$18:$E$23,MATCH($C102,'Program Setup'!$B$18:$B$23,0)),3,"-"))),"-"))</f>
        <v/>
      </c>
      <c r="I102" s="7">
        <f>IF(ISNUMBER($H102),INDEX('Program Setup'!$B$6:$B$8,MATCH($H102,'Program Setup'!$A$6:$A$8,0)),0)</f>
        <v/>
      </c>
      <c r="J102" s="8">
        <f>SUMIFS('Amplify Detail'!$E$5:$E$496,'Amplify Detail'!$A$5:$A$496,$A102,'Amplify Detail'!$C$5:$C$496,$C102)</f>
        <v/>
      </c>
      <c r="K102" s="8">
        <f>SUMIFS('Amplify Detail'!$F$5:$F$496,'Amplify Detail'!$A$5:$A$496,$A102,'Amplify Detail'!$C$5:$C$496,$C102)</f>
        <v/>
      </c>
      <c r="L102" s="8">
        <f>SUMIFS('Amplify Detail'!$G$5:$G$496,'Amplify Detail'!$A$5:$A$496,$A102,'Amplify Detail'!$C$5:$C$496,$C102)</f>
        <v/>
      </c>
      <c r="M102" s="7">
        <f>SUMIFS('Amplify Detail'!$J$5:$J$496,'Amplify Detail'!$A$5:$A$496,$A102,'Amplify Detail'!$C$5:$C$496,$C102)</f>
        <v/>
      </c>
      <c r="N102" s="7">
        <f>$I102+$M102</f>
        <v/>
      </c>
      <c r="O102" s="9">
        <f>IF($G102="No qualifier - Amplify open",1,IFERROR(INDEX('Program Setup'!$B$12:$B$14,MATCH($G102,'Program Setup'!$A$12:$A$14,0)),0))</f>
        <v/>
      </c>
      <c r="P102" s="4">
        <f>$A102&amp;"|"&amp;$C102</f>
        <v/>
      </c>
    </row>
    <row r="103">
      <c r="A103" s="4" t="inlineStr">
        <is>
          <t>Javier Melo</t>
        </is>
      </c>
      <c r="B103" s="4" t="inlineStr">
        <is>
          <t>Denise Montes</t>
        </is>
      </c>
      <c r="C103" s="4" t="inlineStr">
        <is>
          <t>Constellation Brands</t>
        </is>
      </c>
      <c r="D103" s="5" t="n">
        <v>71156</v>
      </c>
      <c r="E103" s="5" t="n">
        <v>71979</v>
      </c>
      <c r="F103" s="6">
        <f>IF($D103&gt;0,$E103/$D103,"")</f>
        <v/>
      </c>
      <c r="G103" s="4">
        <f>IF($D103&gt;0,IF($F103&gt;=1,"Qualified",IF($F103&gt;=0.9,"90% Partial Amplify","Not Qualified")),"No qualifier - Amplify open")</f>
        <v/>
      </c>
      <c r="H103" s="4">
        <f>IF($G103&lt;&gt;"Qualified","-",IFERROR(IF($E103&gt;=INDEX('Program Setup'!$C$18:$C$23,MATCH($C103,'Program Setup'!$B$18:$B$23,0)),1,IF($E103&gt;=INDEX('Program Setup'!$D$18:$D$23,MATCH($C103,'Program Setup'!$B$18:$B$23,0)),2,IF($E103&gt;=INDEX('Program Setup'!$E$18:$E$23,MATCH($C103,'Program Setup'!$B$18:$B$23,0)),3,"-"))),"-"))</f>
        <v/>
      </c>
      <c r="I103" s="7">
        <f>IF(ISNUMBER($H103),INDEX('Program Setup'!$B$6:$B$8,MATCH($H103,'Program Setup'!$A$6:$A$8,0)),0)</f>
        <v/>
      </c>
      <c r="J103" s="8">
        <f>SUMIFS('Amplify Detail'!$E$5:$E$496,'Amplify Detail'!$A$5:$A$496,$A103,'Amplify Detail'!$C$5:$C$496,$C103)</f>
        <v/>
      </c>
      <c r="K103" s="8">
        <f>SUMIFS('Amplify Detail'!$F$5:$F$496,'Amplify Detail'!$A$5:$A$496,$A103,'Amplify Detail'!$C$5:$C$496,$C103)</f>
        <v/>
      </c>
      <c r="L103" s="8">
        <f>SUMIFS('Amplify Detail'!$G$5:$G$496,'Amplify Detail'!$A$5:$A$496,$A103,'Amplify Detail'!$C$5:$C$496,$C103)</f>
        <v/>
      </c>
      <c r="M103" s="7">
        <f>SUMIFS('Amplify Detail'!$J$5:$J$496,'Amplify Detail'!$A$5:$A$496,$A103,'Amplify Detail'!$C$5:$C$496,$C103)</f>
        <v/>
      </c>
      <c r="N103" s="7">
        <f>$I103+$M103</f>
        <v/>
      </c>
      <c r="O103" s="9">
        <f>IF($G103="No qualifier - Amplify open",1,IFERROR(INDEX('Program Setup'!$B$12:$B$14,MATCH($G103,'Program Setup'!$A$12:$A$14,0)),0))</f>
        <v/>
      </c>
      <c r="P103" s="4">
        <f>$A103&amp;"|"&amp;$C103</f>
        <v/>
      </c>
    </row>
    <row r="104">
      <c r="A104" s="4" t="inlineStr">
        <is>
          <t>Javier Melo</t>
        </is>
      </c>
      <c r="B104" s="4" t="inlineStr">
        <is>
          <t>Denise Montes</t>
        </is>
      </c>
      <c r="C104" s="4" t="inlineStr">
        <is>
          <t>DG Yuengling Inc</t>
        </is>
      </c>
      <c r="D104" s="5" t="n">
        <v>146</v>
      </c>
      <c r="E104" s="5" t="n">
        <v>169</v>
      </c>
      <c r="F104" s="6">
        <f>IF($D104&gt;0,$E104/$D104,"")</f>
        <v/>
      </c>
      <c r="G104" s="4">
        <f>IF($D104&gt;0,IF($F104&gt;=1,"Qualified",IF($F104&gt;=0.9,"90% Partial Amplify","Not Qualified")),"No qualifier - Amplify open")</f>
        <v/>
      </c>
      <c r="H104" s="4">
        <f>IF($G104&lt;&gt;"Qualified","-",IFERROR(IF($E104&gt;=INDEX('Program Setup'!$C$18:$C$23,MATCH($C104,'Program Setup'!$B$18:$B$23,0)),1,IF($E104&gt;=INDEX('Program Setup'!$D$18:$D$23,MATCH($C104,'Program Setup'!$B$18:$B$23,0)),2,IF($E104&gt;=INDEX('Program Setup'!$E$18:$E$23,MATCH($C104,'Program Setup'!$B$18:$B$23,0)),3,"-"))),"-"))</f>
        <v/>
      </c>
      <c r="I104" s="7">
        <f>IF(ISNUMBER($H104),INDEX('Program Setup'!$B$6:$B$8,MATCH($H104,'Program Setup'!$A$6:$A$8,0)),0)</f>
        <v/>
      </c>
      <c r="J104" s="8">
        <f>SUMIFS('Amplify Detail'!$E$5:$E$496,'Amplify Detail'!$A$5:$A$496,$A104,'Amplify Detail'!$C$5:$C$496,$C104)</f>
        <v/>
      </c>
      <c r="K104" s="8">
        <f>SUMIFS('Amplify Detail'!$F$5:$F$496,'Amplify Detail'!$A$5:$A$496,$A104,'Amplify Detail'!$C$5:$C$496,$C104)</f>
        <v/>
      </c>
      <c r="L104" s="8">
        <f>SUMIFS('Amplify Detail'!$G$5:$G$496,'Amplify Detail'!$A$5:$A$496,$A104,'Amplify Detail'!$C$5:$C$496,$C104)</f>
        <v/>
      </c>
      <c r="M104" s="7">
        <f>SUMIFS('Amplify Detail'!$J$5:$J$496,'Amplify Detail'!$A$5:$A$496,$A104,'Amplify Detail'!$C$5:$C$496,$C104)</f>
        <v/>
      </c>
      <c r="N104" s="7">
        <f>$I104+$M104</f>
        <v/>
      </c>
      <c r="O104" s="9">
        <f>IF($G104="No qualifier - Amplify open",1,IFERROR(INDEX('Program Setup'!$B$12:$B$14,MATCH($G104,'Program Setup'!$A$12:$A$14,0)),0))</f>
        <v/>
      </c>
      <c r="P104" s="4">
        <f>$A104&amp;"|"&amp;$C104</f>
        <v/>
      </c>
    </row>
    <row r="105">
      <c r="A105" s="4" t="inlineStr">
        <is>
          <t>Javier Melo</t>
        </is>
      </c>
      <c r="B105" s="4" t="inlineStr">
        <is>
          <t>Denise Montes</t>
        </is>
      </c>
      <c r="C105" s="4" t="inlineStr">
        <is>
          <t>Heineken USA</t>
        </is>
      </c>
      <c r="D105" s="5" t="n">
        <v>9939</v>
      </c>
      <c r="E105" s="5" t="n">
        <v>10004</v>
      </c>
      <c r="F105" s="6">
        <f>IF($D105&gt;0,$E105/$D105,"")</f>
        <v/>
      </c>
      <c r="G105" s="4">
        <f>IF($D105&gt;0,IF($F105&gt;=1,"Qualified",IF($F105&gt;=0.9,"90% Partial Amplify","Not Qualified")),"No qualifier - Amplify open")</f>
        <v/>
      </c>
      <c r="H105" s="4">
        <f>IF($G105&lt;&gt;"Qualified","-",IFERROR(IF($E105&gt;=INDEX('Program Setup'!$C$18:$C$23,MATCH($C105,'Program Setup'!$B$18:$B$23,0)),1,IF($E105&gt;=INDEX('Program Setup'!$D$18:$D$23,MATCH($C105,'Program Setup'!$B$18:$B$23,0)),2,IF($E105&gt;=INDEX('Program Setup'!$E$18:$E$23,MATCH($C105,'Program Setup'!$B$18:$B$23,0)),3,"-"))),"-"))</f>
        <v/>
      </c>
      <c r="I105" s="7">
        <f>IF(ISNUMBER($H105),INDEX('Program Setup'!$B$6:$B$8,MATCH($H105,'Program Setup'!$A$6:$A$8,0)),0)</f>
        <v/>
      </c>
      <c r="J105" s="8">
        <f>SUMIFS('Amplify Detail'!$E$5:$E$496,'Amplify Detail'!$A$5:$A$496,$A105,'Amplify Detail'!$C$5:$C$496,$C105)</f>
        <v/>
      </c>
      <c r="K105" s="8">
        <f>SUMIFS('Amplify Detail'!$F$5:$F$496,'Amplify Detail'!$A$5:$A$496,$A105,'Amplify Detail'!$C$5:$C$496,$C105)</f>
        <v/>
      </c>
      <c r="L105" s="8">
        <f>SUMIFS('Amplify Detail'!$G$5:$G$496,'Amplify Detail'!$A$5:$A$496,$A105,'Amplify Detail'!$C$5:$C$496,$C105)</f>
        <v/>
      </c>
      <c r="M105" s="7">
        <f>SUMIFS('Amplify Detail'!$J$5:$J$496,'Amplify Detail'!$A$5:$A$496,$A105,'Amplify Detail'!$C$5:$C$496,$C105)</f>
        <v/>
      </c>
      <c r="N105" s="7">
        <f>$I105+$M105</f>
        <v/>
      </c>
      <c r="O105" s="9">
        <f>IF($G105="No qualifier - Amplify open",1,IFERROR(INDEX('Program Setup'!$B$12:$B$14,MATCH($G105,'Program Setup'!$A$12:$A$14,0)),0))</f>
        <v/>
      </c>
      <c r="P105" s="4">
        <f>$A105&amp;"|"&amp;$C105</f>
        <v/>
      </c>
    </row>
    <row r="106">
      <c r="A106" s="4" t="inlineStr">
        <is>
          <t>Javier Melo</t>
        </is>
      </c>
      <c r="B106" s="4" t="inlineStr">
        <is>
          <t>Denise Montes</t>
        </is>
      </c>
      <c r="C106" s="4" t="inlineStr">
        <is>
          <t>Mark Anthony</t>
        </is>
      </c>
      <c r="D106" s="5" t="n">
        <v>1005</v>
      </c>
      <c r="E106" s="5" t="n">
        <v>1392</v>
      </c>
      <c r="F106" s="6">
        <f>IF($D106&gt;0,$E106/$D106,"")</f>
        <v/>
      </c>
      <c r="G106" s="4">
        <f>IF($D106&gt;0,IF($F106&gt;=1,"Qualified",IF($F106&gt;=0.9,"90% Partial Amplify","Not Qualified")),"No qualifier - Amplify open")</f>
        <v/>
      </c>
      <c r="H106" s="4">
        <f>IF($G106&lt;&gt;"Qualified","-",IFERROR(IF($E106&gt;=INDEX('Program Setup'!$C$18:$C$23,MATCH($C106,'Program Setup'!$B$18:$B$23,0)),1,IF($E106&gt;=INDEX('Program Setup'!$D$18:$D$23,MATCH($C106,'Program Setup'!$B$18:$B$23,0)),2,IF($E106&gt;=INDEX('Program Setup'!$E$18:$E$23,MATCH($C106,'Program Setup'!$B$18:$B$23,0)),3,"-"))),"-"))</f>
        <v/>
      </c>
      <c r="I106" s="7">
        <f>IF(ISNUMBER($H106),INDEX('Program Setup'!$B$6:$B$8,MATCH($H106,'Program Setup'!$A$6:$A$8,0)),0)</f>
        <v/>
      </c>
      <c r="J106" s="8">
        <f>SUMIFS('Amplify Detail'!$E$5:$E$496,'Amplify Detail'!$A$5:$A$496,$A106,'Amplify Detail'!$C$5:$C$496,$C106)</f>
        <v/>
      </c>
      <c r="K106" s="8">
        <f>SUMIFS('Amplify Detail'!$F$5:$F$496,'Amplify Detail'!$A$5:$A$496,$A106,'Amplify Detail'!$C$5:$C$496,$C106)</f>
        <v/>
      </c>
      <c r="L106" s="8">
        <f>SUMIFS('Amplify Detail'!$G$5:$G$496,'Amplify Detail'!$A$5:$A$496,$A106,'Amplify Detail'!$C$5:$C$496,$C106)</f>
        <v/>
      </c>
      <c r="M106" s="7">
        <f>SUMIFS('Amplify Detail'!$J$5:$J$496,'Amplify Detail'!$A$5:$A$496,$A106,'Amplify Detail'!$C$5:$C$496,$C106)</f>
        <v/>
      </c>
      <c r="N106" s="7">
        <f>$I106+$M106</f>
        <v/>
      </c>
      <c r="O106" s="9">
        <f>IF($G106="No qualifier - Amplify open",1,IFERROR(INDEX('Program Setup'!$B$12:$B$14,MATCH($G106,'Program Setup'!$A$12:$A$14,0)),0))</f>
        <v/>
      </c>
      <c r="P106" s="4">
        <f>$A106&amp;"|"&amp;$C106</f>
        <v/>
      </c>
    </row>
    <row r="107">
      <c r="A107" s="4" t="inlineStr">
        <is>
          <t>Javier Melo</t>
        </is>
      </c>
      <c r="B107" s="4" t="inlineStr">
        <is>
          <t>Denise Montes</t>
        </is>
      </c>
      <c r="C107" s="4" t="inlineStr">
        <is>
          <t>MolsonCoors Beverage Company</t>
        </is>
      </c>
      <c r="D107" s="5" t="n">
        <v>15551</v>
      </c>
      <c r="E107" s="5" t="n">
        <v>14758</v>
      </c>
      <c r="F107" s="6">
        <f>IF($D107&gt;0,$E107/$D107,"")</f>
        <v/>
      </c>
      <c r="G107" s="4">
        <f>IF($D107&gt;0,IF($F107&gt;=1,"Qualified",IF($F107&gt;=0.9,"90% Partial Amplify","Not Qualified")),"No qualifier - Amplify open")</f>
        <v/>
      </c>
      <c r="H107" s="4">
        <f>IF($G107&lt;&gt;"Qualified","-",IFERROR(IF($E107&gt;=INDEX('Program Setup'!$C$18:$C$23,MATCH($C107,'Program Setup'!$B$18:$B$23,0)),1,IF($E107&gt;=INDEX('Program Setup'!$D$18:$D$23,MATCH($C107,'Program Setup'!$B$18:$B$23,0)),2,IF($E107&gt;=INDEX('Program Setup'!$E$18:$E$23,MATCH($C107,'Program Setup'!$B$18:$B$23,0)),3,"-"))),"-"))</f>
        <v/>
      </c>
      <c r="I107" s="7">
        <f>IF(ISNUMBER($H107),INDEX('Program Setup'!$B$6:$B$8,MATCH($H107,'Program Setup'!$A$6:$A$8,0)),0)</f>
        <v/>
      </c>
      <c r="J107" s="8">
        <f>SUMIFS('Amplify Detail'!$E$5:$E$496,'Amplify Detail'!$A$5:$A$496,$A107,'Amplify Detail'!$C$5:$C$496,$C107)</f>
        <v/>
      </c>
      <c r="K107" s="8">
        <f>SUMIFS('Amplify Detail'!$F$5:$F$496,'Amplify Detail'!$A$5:$A$496,$A107,'Amplify Detail'!$C$5:$C$496,$C107)</f>
        <v/>
      </c>
      <c r="L107" s="8">
        <f>SUMIFS('Amplify Detail'!$G$5:$G$496,'Amplify Detail'!$A$5:$A$496,$A107,'Amplify Detail'!$C$5:$C$496,$C107)</f>
        <v/>
      </c>
      <c r="M107" s="7">
        <f>SUMIFS('Amplify Detail'!$J$5:$J$496,'Amplify Detail'!$A$5:$A$496,$A107,'Amplify Detail'!$C$5:$C$496,$C107)</f>
        <v/>
      </c>
      <c r="N107" s="7">
        <f>$I107+$M107</f>
        <v/>
      </c>
      <c r="O107" s="9">
        <f>IF($G107="No qualifier - Amplify open",1,IFERROR(INDEX('Program Setup'!$B$12:$B$14,MATCH($G107,'Program Setup'!$A$12:$A$14,0)),0))</f>
        <v/>
      </c>
      <c r="P107" s="4">
        <f>$A107&amp;"|"&amp;$C107</f>
        <v/>
      </c>
    </row>
    <row r="108">
      <c r="A108" s="4" t="inlineStr">
        <is>
          <t>Javier Melo</t>
        </is>
      </c>
      <c r="B108" s="4" t="inlineStr">
        <is>
          <t>Denise Montes</t>
        </is>
      </c>
      <c r="C108" s="4" t="inlineStr">
        <is>
          <t>New Belgium Brewing Company</t>
        </is>
      </c>
      <c r="D108" s="5" t="n"/>
      <c r="E108" s="5" t="n"/>
      <c r="F108" s="6">
        <f>IF($D108&gt;0,$E108/$D108,"")</f>
        <v/>
      </c>
      <c r="G108" s="4">
        <f>IF($D108&gt;0,IF($F108&gt;=1,"Qualified",IF($F108&gt;=0.9,"90% Partial Amplify","Not Qualified")),"No qualifier - Amplify open")</f>
        <v/>
      </c>
      <c r="H108" s="4">
        <f>IF($G108&lt;&gt;"Qualified","-",IFERROR(IF($E108&gt;=INDEX('Program Setup'!$C$18:$C$23,MATCH($C108,'Program Setup'!$B$18:$B$23,0)),1,IF($E108&gt;=INDEX('Program Setup'!$D$18:$D$23,MATCH($C108,'Program Setup'!$B$18:$B$23,0)),2,IF($E108&gt;=INDEX('Program Setup'!$E$18:$E$23,MATCH($C108,'Program Setup'!$B$18:$B$23,0)),3,"-"))),"-"))</f>
        <v/>
      </c>
      <c r="I108" s="7">
        <f>IF(ISNUMBER($H108),INDEX('Program Setup'!$B$6:$B$8,MATCH($H108,'Program Setup'!$A$6:$A$8,0)),0)</f>
        <v/>
      </c>
      <c r="J108" s="8">
        <f>SUMIFS('Amplify Detail'!$E$5:$E$496,'Amplify Detail'!$A$5:$A$496,$A108,'Amplify Detail'!$C$5:$C$496,$C108)</f>
        <v/>
      </c>
      <c r="K108" s="8">
        <f>SUMIFS('Amplify Detail'!$F$5:$F$496,'Amplify Detail'!$A$5:$A$496,$A108,'Amplify Detail'!$C$5:$C$496,$C108)</f>
        <v/>
      </c>
      <c r="L108" s="8">
        <f>SUMIFS('Amplify Detail'!$G$5:$G$496,'Amplify Detail'!$A$5:$A$496,$A108,'Amplify Detail'!$C$5:$C$496,$C108)</f>
        <v/>
      </c>
      <c r="M108" s="7">
        <f>SUMIFS('Amplify Detail'!$J$5:$J$496,'Amplify Detail'!$A$5:$A$496,$A108,'Amplify Detail'!$C$5:$C$496,$C108)</f>
        <v/>
      </c>
      <c r="N108" s="7">
        <f>$I108+$M108</f>
        <v/>
      </c>
      <c r="O108" s="9">
        <f>IF($G108="No qualifier - Amplify open",1,IFERROR(INDEX('Program Setup'!$B$12:$B$14,MATCH($G108,'Program Setup'!$A$12:$A$14,0)),0))</f>
        <v/>
      </c>
      <c r="P108" s="4">
        <f>$A108&amp;"|"&amp;$C108</f>
        <v/>
      </c>
    </row>
    <row r="109">
      <c r="A109" s="4" t="inlineStr">
        <is>
          <t>Javier Melo</t>
        </is>
      </c>
      <c r="B109" s="4" t="inlineStr">
        <is>
          <t>Denise Montes</t>
        </is>
      </c>
      <c r="C109" s="4" t="inlineStr">
        <is>
          <t>Sapporo</t>
        </is>
      </c>
      <c r="D109" s="5" t="n"/>
      <c r="E109" s="5" t="n"/>
      <c r="F109" s="6">
        <f>IF($D109&gt;0,$E109/$D109,"")</f>
        <v/>
      </c>
      <c r="G109" s="4">
        <f>IF($D109&gt;0,IF($F109&gt;=1,"Qualified",IF($F109&gt;=0.9,"90% Partial Amplify","Not Qualified")),"No qualifier - Amplify open")</f>
        <v/>
      </c>
      <c r="H109" s="4">
        <f>IF($G109&lt;&gt;"Qualified","-",IFERROR(IF($E109&gt;=INDEX('Program Setup'!$C$18:$C$23,MATCH($C109,'Program Setup'!$B$18:$B$23,0)),1,IF($E109&gt;=INDEX('Program Setup'!$D$18:$D$23,MATCH($C109,'Program Setup'!$B$18:$B$23,0)),2,IF($E109&gt;=INDEX('Program Setup'!$E$18:$E$23,MATCH($C109,'Program Setup'!$B$18:$B$23,0)),3,"-"))),"-"))</f>
        <v/>
      </c>
      <c r="I109" s="7">
        <f>IF(ISNUMBER($H109),INDEX('Program Setup'!$B$6:$B$8,MATCH($H109,'Program Setup'!$A$6:$A$8,0)),0)</f>
        <v/>
      </c>
      <c r="J109" s="8">
        <f>SUMIFS('Amplify Detail'!$E$5:$E$496,'Amplify Detail'!$A$5:$A$496,$A109,'Amplify Detail'!$C$5:$C$496,$C109)</f>
        <v/>
      </c>
      <c r="K109" s="8">
        <f>SUMIFS('Amplify Detail'!$F$5:$F$496,'Amplify Detail'!$A$5:$A$496,$A109,'Amplify Detail'!$C$5:$C$496,$C109)</f>
        <v/>
      </c>
      <c r="L109" s="8">
        <f>SUMIFS('Amplify Detail'!$G$5:$G$496,'Amplify Detail'!$A$5:$A$496,$A109,'Amplify Detail'!$C$5:$C$496,$C109)</f>
        <v/>
      </c>
      <c r="M109" s="7">
        <f>SUMIFS('Amplify Detail'!$J$5:$J$496,'Amplify Detail'!$A$5:$A$496,$A109,'Amplify Detail'!$C$5:$C$496,$C109)</f>
        <v/>
      </c>
      <c r="N109" s="7">
        <f>$I109+$M109</f>
        <v/>
      </c>
      <c r="O109" s="9">
        <f>IF($G109="No qualifier - Amplify open",1,IFERROR(INDEX('Program Setup'!$B$12:$B$14,MATCH($G109,'Program Setup'!$A$12:$A$14,0)),0))</f>
        <v/>
      </c>
      <c r="P109" s="4">
        <f>$A109&amp;"|"&amp;$C109</f>
        <v/>
      </c>
    </row>
    <row r="110">
      <c r="A110" s="4" t="inlineStr">
        <is>
          <t>Jayson Romine</t>
        </is>
      </c>
      <c r="B110" s="4" t="inlineStr">
        <is>
          <t>Paul Deady</t>
        </is>
      </c>
      <c r="C110" s="4" t="inlineStr">
        <is>
          <t>Boston Beer Company</t>
        </is>
      </c>
      <c r="D110" s="5" t="n">
        <v>7200</v>
      </c>
      <c r="E110" s="5" t="n">
        <v>6145</v>
      </c>
      <c r="F110" s="6">
        <f>IF($D110&gt;0,$E110/$D110,"")</f>
        <v/>
      </c>
      <c r="G110" s="4">
        <f>IF($D110&gt;0,IF($F110&gt;=1,"Qualified",IF($F110&gt;=0.9,"90% Partial Amplify","Not Qualified")),"No qualifier - Amplify open")</f>
        <v/>
      </c>
      <c r="H110" s="4">
        <f>IF($G110&lt;&gt;"Qualified","-",IFERROR(IF($E110&gt;=INDEX('Program Setup'!$C$18:$C$23,MATCH($C110,'Program Setup'!$B$18:$B$23,0)),1,IF($E110&gt;=INDEX('Program Setup'!$D$18:$D$23,MATCH($C110,'Program Setup'!$B$18:$B$23,0)),2,IF($E110&gt;=INDEX('Program Setup'!$E$18:$E$23,MATCH($C110,'Program Setup'!$B$18:$B$23,0)),3,"-"))),"-"))</f>
        <v/>
      </c>
      <c r="I110" s="7">
        <f>IF(ISNUMBER($H110),INDEX('Program Setup'!$B$6:$B$8,MATCH($H110,'Program Setup'!$A$6:$A$8,0)),0)</f>
        <v/>
      </c>
      <c r="J110" s="8">
        <f>SUMIFS('Amplify Detail'!$E$5:$E$496,'Amplify Detail'!$A$5:$A$496,$A110,'Amplify Detail'!$C$5:$C$496,$C110)</f>
        <v/>
      </c>
      <c r="K110" s="8">
        <f>SUMIFS('Amplify Detail'!$F$5:$F$496,'Amplify Detail'!$A$5:$A$496,$A110,'Amplify Detail'!$C$5:$C$496,$C110)</f>
        <v/>
      </c>
      <c r="L110" s="8">
        <f>SUMIFS('Amplify Detail'!$G$5:$G$496,'Amplify Detail'!$A$5:$A$496,$A110,'Amplify Detail'!$C$5:$C$496,$C110)</f>
        <v/>
      </c>
      <c r="M110" s="7">
        <f>SUMIFS('Amplify Detail'!$J$5:$J$496,'Amplify Detail'!$A$5:$A$496,$A110,'Amplify Detail'!$C$5:$C$496,$C110)</f>
        <v/>
      </c>
      <c r="N110" s="7">
        <f>$I110+$M110</f>
        <v/>
      </c>
      <c r="O110" s="9">
        <f>IF($G110="No qualifier - Amplify open",1,IFERROR(INDEX('Program Setup'!$B$12:$B$14,MATCH($G110,'Program Setup'!$A$12:$A$14,0)),0))</f>
        <v/>
      </c>
      <c r="P110" s="4">
        <f>$A110&amp;"|"&amp;$C110</f>
        <v/>
      </c>
    </row>
    <row r="111">
      <c r="A111" s="4" t="inlineStr">
        <is>
          <t>Jayson Romine</t>
        </is>
      </c>
      <c r="B111" s="4" t="inlineStr">
        <is>
          <t>Paul Deady</t>
        </is>
      </c>
      <c r="C111" s="4" t="inlineStr">
        <is>
          <t>Cape May</t>
        </is>
      </c>
      <c r="D111" s="5" t="n"/>
      <c r="E111" s="5" t="n"/>
      <c r="F111" s="6">
        <f>IF($D111&gt;0,$E111/$D111,"")</f>
        <v/>
      </c>
      <c r="G111" s="4">
        <f>IF($D111&gt;0,IF($F111&gt;=1,"Qualified",IF($F111&gt;=0.9,"90% Partial Amplify","Not Qualified")),"No qualifier - Amplify open")</f>
        <v/>
      </c>
      <c r="H111" s="4">
        <f>IF($G111&lt;&gt;"Qualified","-",IFERROR(IF($E111&gt;=INDEX('Program Setup'!$C$18:$C$23,MATCH($C111,'Program Setup'!$B$18:$B$23,0)),1,IF($E111&gt;=INDEX('Program Setup'!$D$18:$D$23,MATCH($C111,'Program Setup'!$B$18:$B$23,0)),2,IF($E111&gt;=INDEX('Program Setup'!$E$18:$E$23,MATCH($C111,'Program Setup'!$B$18:$B$23,0)),3,"-"))),"-"))</f>
        <v/>
      </c>
      <c r="I111" s="7">
        <f>IF(ISNUMBER($H111),INDEX('Program Setup'!$B$6:$B$8,MATCH($H111,'Program Setup'!$A$6:$A$8,0)),0)</f>
        <v/>
      </c>
      <c r="J111" s="8">
        <f>SUMIFS('Amplify Detail'!$E$5:$E$496,'Amplify Detail'!$A$5:$A$496,$A111,'Amplify Detail'!$C$5:$C$496,$C111)</f>
        <v/>
      </c>
      <c r="K111" s="8">
        <f>SUMIFS('Amplify Detail'!$F$5:$F$496,'Amplify Detail'!$A$5:$A$496,$A111,'Amplify Detail'!$C$5:$C$496,$C111)</f>
        <v/>
      </c>
      <c r="L111" s="8">
        <f>SUMIFS('Amplify Detail'!$G$5:$G$496,'Amplify Detail'!$A$5:$A$496,$A111,'Amplify Detail'!$C$5:$C$496,$C111)</f>
        <v/>
      </c>
      <c r="M111" s="7">
        <f>SUMIFS('Amplify Detail'!$J$5:$J$496,'Amplify Detail'!$A$5:$A$496,$A111,'Amplify Detail'!$C$5:$C$496,$C111)</f>
        <v/>
      </c>
      <c r="N111" s="7">
        <f>$I111+$M111</f>
        <v/>
      </c>
      <c r="O111" s="9">
        <f>IF($G111="No qualifier - Amplify open",1,IFERROR(INDEX('Program Setup'!$B$12:$B$14,MATCH($G111,'Program Setup'!$A$12:$A$14,0)),0))</f>
        <v/>
      </c>
      <c r="P111" s="4">
        <f>$A111&amp;"|"&amp;$C111</f>
        <v/>
      </c>
    </row>
    <row r="112">
      <c r="A112" s="4" t="inlineStr">
        <is>
          <t>Jayson Romine</t>
        </is>
      </c>
      <c r="B112" s="4" t="inlineStr">
        <is>
          <t>Paul Deady</t>
        </is>
      </c>
      <c r="C112" s="4" t="inlineStr">
        <is>
          <t>Constellation Brands</t>
        </is>
      </c>
      <c r="D112" s="5" t="n">
        <v>18660</v>
      </c>
      <c r="E112" s="5" t="n">
        <v>19197</v>
      </c>
      <c r="F112" s="6">
        <f>IF($D112&gt;0,$E112/$D112,"")</f>
        <v/>
      </c>
      <c r="G112" s="4">
        <f>IF($D112&gt;0,IF($F112&gt;=1,"Qualified",IF($F112&gt;=0.9,"90% Partial Amplify","Not Qualified")),"No qualifier - Amplify open")</f>
        <v/>
      </c>
      <c r="H112" s="4">
        <f>IF($G112&lt;&gt;"Qualified","-",IFERROR(IF($E112&gt;=INDEX('Program Setup'!$C$18:$C$23,MATCH($C112,'Program Setup'!$B$18:$B$23,0)),1,IF($E112&gt;=INDEX('Program Setup'!$D$18:$D$23,MATCH($C112,'Program Setup'!$B$18:$B$23,0)),2,IF($E112&gt;=INDEX('Program Setup'!$E$18:$E$23,MATCH($C112,'Program Setup'!$B$18:$B$23,0)),3,"-"))),"-"))</f>
        <v/>
      </c>
      <c r="I112" s="7">
        <f>IF(ISNUMBER($H112),INDEX('Program Setup'!$B$6:$B$8,MATCH($H112,'Program Setup'!$A$6:$A$8,0)),0)</f>
        <v/>
      </c>
      <c r="J112" s="8">
        <f>SUMIFS('Amplify Detail'!$E$5:$E$496,'Amplify Detail'!$A$5:$A$496,$A112,'Amplify Detail'!$C$5:$C$496,$C112)</f>
        <v/>
      </c>
      <c r="K112" s="8">
        <f>SUMIFS('Amplify Detail'!$F$5:$F$496,'Amplify Detail'!$A$5:$A$496,$A112,'Amplify Detail'!$C$5:$C$496,$C112)</f>
        <v/>
      </c>
      <c r="L112" s="8">
        <f>SUMIFS('Amplify Detail'!$G$5:$G$496,'Amplify Detail'!$A$5:$A$496,$A112,'Amplify Detail'!$C$5:$C$496,$C112)</f>
        <v/>
      </c>
      <c r="M112" s="7">
        <f>SUMIFS('Amplify Detail'!$J$5:$J$496,'Amplify Detail'!$A$5:$A$496,$A112,'Amplify Detail'!$C$5:$C$496,$C112)</f>
        <v/>
      </c>
      <c r="N112" s="7">
        <f>$I112+$M112</f>
        <v/>
      </c>
      <c r="O112" s="9">
        <f>IF($G112="No qualifier - Amplify open",1,IFERROR(INDEX('Program Setup'!$B$12:$B$14,MATCH($G112,'Program Setup'!$A$12:$A$14,0)),0))</f>
        <v/>
      </c>
      <c r="P112" s="4">
        <f>$A112&amp;"|"&amp;$C112</f>
        <v/>
      </c>
    </row>
    <row r="113">
      <c r="A113" s="4" t="inlineStr">
        <is>
          <t>Jayson Romine</t>
        </is>
      </c>
      <c r="B113" s="4" t="inlineStr">
        <is>
          <t>Paul Deady</t>
        </is>
      </c>
      <c r="C113" s="4" t="inlineStr">
        <is>
          <t>DG Yuengling Inc</t>
        </is>
      </c>
      <c r="D113" s="5" t="n">
        <v>7208</v>
      </c>
      <c r="E113" s="5" t="n">
        <v>6619</v>
      </c>
      <c r="F113" s="6">
        <f>IF($D113&gt;0,$E113/$D113,"")</f>
        <v/>
      </c>
      <c r="G113" s="4">
        <f>IF($D113&gt;0,IF($F113&gt;=1,"Qualified",IF($F113&gt;=0.9,"90% Partial Amplify","Not Qualified")),"No qualifier - Amplify open")</f>
        <v/>
      </c>
      <c r="H113" s="4">
        <f>IF($G113&lt;&gt;"Qualified","-",IFERROR(IF($E113&gt;=INDEX('Program Setup'!$C$18:$C$23,MATCH($C113,'Program Setup'!$B$18:$B$23,0)),1,IF($E113&gt;=INDEX('Program Setup'!$D$18:$D$23,MATCH($C113,'Program Setup'!$B$18:$B$23,0)),2,IF($E113&gt;=INDEX('Program Setup'!$E$18:$E$23,MATCH($C113,'Program Setup'!$B$18:$B$23,0)),3,"-"))),"-"))</f>
        <v/>
      </c>
      <c r="I113" s="7">
        <f>IF(ISNUMBER($H113),INDEX('Program Setup'!$B$6:$B$8,MATCH($H113,'Program Setup'!$A$6:$A$8,0)),0)</f>
        <v/>
      </c>
      <c r="J113" s="8">
        <f>SUMIFS('Amplify Detail'!$E$5:$E$496,'Amplify Detail'!$A$5:$A$496,$A113,'Amplify Detail'!$C$5:$C$496,$C113)</f>
        <v/>
      </c>
      <c r="K113" s="8">
        <f>SUMIFS('Amplify Detail'!$F$5:$F$496,'Amplify Detail'!$A$5:$A$496,$A113,'Amplify Detail'!$C$5:$C$496,$C113)</f>
        <v/>
      </c>
      <c r="L113" s="8">
        <f>SUMIFS('Amplify Detail'!$G$5:$G$496,'Amplify Detail'!$A$5:$A$496,$A113,'Amplify Detail'!$C$5:$C$496,$C113)</f>
        <v/>
      </c>
      <c r="M113" s="7">
        <f>SUMIFS('Amplify Detail'!$J$5:$J$496,'Amplify Detail'!$A$5:$A$496,$A113,'Amplify Detail'!$C$5:$C$496,$C113)</f>
        <v/>
      </c>
      <c r="N113" s="7">
        <f>$I113+$M113</f>
        <v/>
      </c>
      <c r="O113" s="9">
        <f>IF($G113="No qualifier - Amplify open",1,IFERROR(INDEX('Program Setup'!$B$12:$B$14,MATCH($G113,'Program Setup'!$A$12:$A$14,0)),0))</f>
        <v/>
      </c>
      <c r="P113" s="4">
        <f>$A113&amp;"|"&amp;$C113</f>
        <v/>
      </c>
    </row>
    <row r="114">
      <c r="A114" s="4" t="inlineStr">
        <is>
          <t>Jayson Romine</t>
        </is>
      </c>
      <c r="B114" s="4" t="inlineStr">
        <is>
          <t>Paul Deady</t>
        </is>
      </c>
      <c r="C114" s="4" t="inlineStr">
        <is>
          <t>Mark Anthony</t>
        </is>
      </c>
      <c r="D114" s="5" t="n">
        <v>10616</v>
      </c>
      <c r="E114" s="5" t="n">
        <v>10001</v>
      </c>
      <c r="F114" s="6">
        <f>IF($D114&gt;0,$E114/$D114,"")</f>
        <v/>
      </c>
      <c r="G114" s="4">
        <f>IF($D114&gt;0,IF($F114&gt;=1,"Qualified",IF($F114&gt;=0.9,"90% Partial Amplify","Not Qualified")),"No qualifier - Amplify open")</f>
        <v/>
      </c>
      <c r="H114" s="4">
        <f>IF($G114&lt;&gt;"Qualified","-",IFERROR(IF($E114&gt;=INDEX('Program Setup'!$C$18:$C$23,MATCH($C114,'Program Setup'!$B$18:$B$23,0)),1,IF($E114&gt;=INDEX('Program Setup'!$D$18:$D$23,MATCH($C114,'Program Setup'!$B$18:$B$23,0)),2,IF($E114&gt;=INDEX('Program Setup'!$E$18:$E$23,MATCH($C114,'Program Setup'!$B$18:$B$23,0)),3,"-"))),"-"))</f>
        <v/>
      </c>
      <c r="I114" s="7">
        <f>IF(ISNUMBER($H114),INDEX('Program Setup'!$B$6:$B$8,MATCH($H114,'Program Setup'!$A$6:$A$8,0)),0)</f>
        <v/>
      </c>
      <c r="J114" s="8">
        <f>SUMIFS('Amplify Detail'!$E$5:$E$496,'Amplify Detail'!$A$5:$A$496,$A114,'Amplify Detail'!$C$5:$C$496,$C114)</f>
        <v/>
      </c>
      <c r="K114" s="8">
        <f>SUMIFS('Amplify Detail'!$F$5:$F$496,'Amplify Detail'!$A$5:$A$496,$A114,'Amplify Detail'!$C$5:$C$496,$C114)</f>
        <v/>
      </c>
      <c r="L114" s="8">
        <f>SUMIFS('Amplify Detail'!$G$5:$G$496,'Amplify Detail'!$A$5:$A$496,$A114,'Amplify Detail'!$C$5:$C$496,$C114)</f>
        <v/>
      </c>
      <c r="M114" s="7">
        <f>SUMIFS('Amplify Detail'!$J$5:$J$496,'Amplify Detail'!$A$5:$A$496,$A114,'Amplify Detail'!$C$5:$C$496,$C114)</f>
        <v/>
      </c>
      <c r="N114" s="7">
        <f>$I114+$M114</f>
        <v/>
      </c>
      <c r="O114" s="9">
        <f>IF($G114="No qualifier - Amplify open",1,IFERROR(INDEX('Program Setup'!$B$12:$B$14,MATCH($G114,'Program Setup'!$A$12:$A$14,0)),0))</f>
        <v/>
      </c>
      <c r="P114" s="4">
        <f>$A114&amp;"|"&amp;$C114</f>
        <v/>
      </c>
    </row>
    <row r="115">
      <c r="A115" s="4" t="inlineStr">
        <is>
          <t>Jayson Romine</t>
        </is>
      </c>
      <c r="B115" s="4" t="inlineStr">
        <is>
          <t>Paul Deady</t>
        </is>
      </c>
      <c r="C115" s="4" t="inlineStr">
        <is>
          <t>MolsonCoors Beverage Company</t>
        </is>
      </c>
      <c r="D115" s="5" t="n">
        <v>37942</v>
      </c>
      <c r="E115" s="5" t="n">
        <v>36012</v>
      </c>
      <c r="F115" s="6">
        <f>IF($D115&gt;0,$E115/$D115,"")</f>
        <v/>
      </c>
      <c r="G115" s="4">
        <f>IF($D115&gt;0,IF($F115&gt;=1,"Qualified",IF($F115&gt;=0.9,"90% Partial Amplify","Not Qualified")),"No qualifier - Amplify open")</f>
        <v/>
      </c>
      <c r="H115" s="4">
        <f>IF($G115&lt;&gt;"Qualified","-",IFERROR(IF($E115&gt;=INDEX('Program Setup'!$C$18:$C$23,MATCH($C115,'Program Setup'!$B$18:$B$23,0)),1,IF($E115&gt;=INDEX('Program Setup'!$D$18:$D$23,MATCH($C115,'Program Setup'!$B$18:$B$23,0)),2,IF($E115&gt;=INDEX('Program Setup'!$E$18:$E$23,MATCH($C115,'Program Setup'!$B$18:$B$23,0)),3,"-"))),"-"))</f>
        <v/>
      </c>
      <c r="I115" s="7">
        <f>IF(ISNUMBER($H115),INDEX('Program Setup'!$B$6:$B$8,MATCH($H115,'Program Setup'!$A$6:$A$8,0)),0)</f>
        <v/>
      </c>
      <c r="J115" s="8">
        <f>SUMIFS('Amplify Detail'!$E$5:$E$496,'Amplify Detail'!$A$5:$A$496,$A115,'Amplify Detail'!$C$5:$C$496,$C115)</f>
        <v/>
      </c>
      <c r="K115" s="8">
        <f>SUMIFS('Amplify Detail'!$F$5:$F$496,'Amplify Detail'!$A$5:$A$496,$A115,'Amplify Detail'!$C$5:$C$496,$C115)</f>
        <v/>
      </c>
      <c r="L115" s="8">
        <f>SUMIFS('Amplify Detail'!$G$5:$G$496,'Amplify Detail'!$A$5:$A$496,$A115,'Amplify Detail'!$C$5:$C$496,$C115)</f>
        <v/>
      </c>
      <c r="M115" s="7">
        <f>SUMIFS('Amplify Detail'!$J$5:$J$496,'Amplify Detail'!$A$5:$A$496,$A115,'Amplify Detail'!$C$5:$C$496,$C115)</f>
        <v/>
      </c>
      <c r="N115" s="7">
        <f>$I115+$M115</f>
        <v/>
      </c>
      <c r="O115" s="9">
        <f>IF($G115="No qualifier - Amplify open",1,IFERROR(INDEX('Program Setup'!$B$12:$B$14,MATCH($G115,'Program Setup'!$A$12:$A$14,0)),0))</f>
        <v/>
      </c>
      <c r="P115" s="4">
        <f>$A115&amp;"|"&amp;$C115</f>
        <v/>
      </c>
    </row>
    <row r="116">
      <c r="A116" s="4" t="inlineStr">
        <is>
          <t>Jayson Romine</t>
        </is>
      </c>
      <c r="B116" s="4" t="inlineStr">
        <is>
          <t>Paul Deady</t>
        </is>
      </c>
      <c r="C116" s="4" t="inlineStr">
        <is>
          <t>New Belgium Brewing Company</t>
        </is>
      </c>
      <c r="D116" s="5" t="n"/>
      <c r="E116" s="5" t="n"/>
      <c r="F116" s="6">
        <f>IF($D116&gt;0,$E116/$D116,"")</f>
        <v/>
      </c>
      <c r="G116" s="4">
        <f>IF($D116&gt;0,IF($F116&gt;=1,"Qualified",IF($F116&gt;=0.9,"90% Partial Amplify","Not Qualified")),"No qualifier - Amplify open")</f>
        <v/>
      </c>
      <c r="H116" s="4">
        <f>IF($G116&lt;&gt;"Qualified","-",IFERROR(IF($E116&gt;=INDEX('Program Setup'!$C$18:$C$23,MATCH($C116,'Program Setup'!$B$18:$B$23,0)),1,IF($E116&gt;=INDEX('Program Setup'!$D$18:$D$23,MATCH($C116,'Program Setup'!$B$18:$B$23,0)),2,IF($E116&gt;=INDEX('Program Setup'!$E$18:$E$23,MATCH($C116,'Program Setup'!$B$18:$B$23,0)),3,"-"))),"-"))</f>
        <v/>
      </c>
      <c r="I116" s="7">
        <f>IF(ISNUMBER($H116),INDEX('Program Setup'!$B$6:$B$8,MATCH($H116,'Program Setup'!$A$6:$A$8,0)),0)</f>
        <v/>
      </c>
      <c r="J116" s="8">
        <f>SUMIFS('Amplify Detail'!$E$5:$E$496,'Amplify Detail'!$A$5:$A$496,$A116,'Amplify Detail'!$C$5:$C$496,$C116)</f>
        <v/>
      </c>
      <c r="K116" s="8">
        <f>SUMIFS('Amplify Detail'!$F$5:$F$496,'Amplify Detail'!$A$5:$A$496,$A116,'Amplify Detail'!$C$5:$C$496,$C116)</f>
        <v/>
      </c>
      <c r="L116" s="8">
        <f>SUMIFS('Amplify Detail'!$G$5:$G$496,'Amplify Detail'!$A$5:$A$496,$A116,'Amplify Detail'!$C$5:$C$496,$C116)</f>
        <v/>
      </c>
      <c r="M116" s="7">
        <f>SUMIFS('Amplify Detail'!$J$5:$J$496,'Amplify Detail'!$A$5:$A$496,$A116,'Amplify Detail'!$C$5:$C$496,$C116)</f>
        <v/>
      </c>
      <c r="N116" s="7">
        <f>$I116+$M116</f>
        <v/>
      </c>
      <c r="O116" s="9">
        <f>IF($G116="No qualifier - Amplify open",1,IFERROR(INDEX('Program Setup'!$B$12:$B$14,MATCH($G116,'Program Setup'!$A$12:$A$14,0)),0))</f>
        <v/>
      </c>
      <c r="P116" s="4">
        <f>$A116&amp;"|"&amp;$C116</f>
        <v/>
      </c>
    </row>
    <row r="117">
      <c r="A117" s="4" t="inlineStr">
        <is>
          <t>Jayson Romine</t>
        </is>
      </c>
      <c r="B117" s="4" t="inlineStr">
        <is>
          <t>Paul Deady</t>
        </is>
      </c>
      <c r="C117" s="4" t="inlineStr">
        <is>
          <t>Sapporo</t>
        </is>
      </c>
      <c r="D117" s="5" t="n"/>
      <c r="E117" s="5" t="n"/>
      <c r="F117" s="6">
        <f>IF($D117&gt;0,$E117/$D117,"")</f>
        <v/>
      </c>
      <c r="G117" s="4">
        <f>IF($D117&gt;0,IF($F117&gt;=1,"Qualified",IF($F117&gt;=0.9,"90% Partial Amplify","Not Qualified")),"No qualifier - Amplify open")</f>
        <v/>
      </c>
      <c r="H117" s="4">
        <f>IF($G117&lt;&gt;"Qualified","-",IFERROR(IF($E117&gt;=INDEX('Program Setup'!$C$18:$C$23,MATCH($C117,'Program Setup'!$B$18:$B$23,0)),1,IF($E117&gt;=INDEX('Program Setup'!$D$18:$D$23,MATCH($C117,'Program Setup'!$B$18:$B$23,0)),2,IF($E117&gt;=INDEX('Program Setup'!$E$18:$E$23,MATCH($C117,'Program Setup'!$B$18:$B$23,0)),3,"-"))),"-"))</f>
        <v/>
      </c>
      <c r="I117" s="7">
        <f>IF(ISNUMBER($H117),INDEX('Program Setup'!$B$6:$B$8,MATCH($H117,'Program Setup'!$A$6:$A$8,0)),0)</f>
        <v/>
      </c>
      <c r="J117" s="8">
        <f>SUMIFS('Amplify Detail'!$E$5:$E$496,'Amplify Detail'!$A$5:$A$496,$A117,'Amplify Detail'!$C$5:$C$496,$C117)</f>
        <v/>
      </c>
      <c r="K117" s="8">
        <f>SUMIFS('Amplify Detail'!$F$5:$F$496,'Amplify Detail'!$A$5:$A$496,$A117,'Amplify Detail'!$C$5:$C$496,$C117)</f>
        <v/>
      </c>
      <c r="L117" s="8">
        <f>SUMIFS('Amplify Detail'!$G$5:$G$496,'Amplify Detail'!$A$5:$A$496,$A117,'Amplify Detail'!$C$5:$C$496,$C117)</f>
        <v/>
      </c>
      <c r="M117" s="7">
        <f>SUMIFS('Amplify Detail'!$J$5:$J$496,'Amplify Detail'!$A$5:$A$496,$A117,'Amplify Detail'!$C$5:$C$496,$C117)</f>
        <v/>
      </c>
      <c r="N117" s="7">
        <f>$I117+$M117</f>
        <v/>
      </c>
      <c r="O117" s="9">
        <f>IF($G117="No qualifier - Amplify open",1,IFERROR(INDEX('Program Setup'!$B$12:$B$14,MATCH($G117,'Program Setup'!$A$12:$A$14,0)),0))</f>
        <v/>
      </c>
      <c r="P117" s="4">
        <f>$A117&amp;"|"&amp;$C117</f>
        <v/>
      </c>
    </row>
    <row r="118">
      <c r="A118" s="4" t="inlineStr">
        <is>
          <t>Jim Heaney</t>
        </is>
      </c>
      <c r="B118" s="4" t="inlineStr">
        <is>
          <t>Denise Montes</t>
        </is>
      </c>
      <c r="C118" s="4" t="inlineStr">
        <is>
          <t>Boston Beer Company</t>
        </is>
      </c>
      <c r="D118" s="5" t="n">
        <v>2870</v>
      </c>
      <c r="E118" s="5" t="n">
        <v>2376</v>
      </c>
      <c r="F118" s="6">
        <f>IF($D118&gt;0,$E118/$D118,"")</f>
        <v/>
      </c>
      <c r="G118" s="4">
        <f>IF($D118&gt;0,IF($F118&gt;=1,"Qualified",IF($F118&gt;=0.9,"90% Partial Amplify","Not Qualified")),"No qualifier - Amplify open")</f>
        <v/>
      </c>
      <c r="H118" s="4">
        <f>IF($G118&lt;&gt;"Qualified","-",IFERROR(IF($E118&gt;=INDEX('Program Setup'!$C$18:$C$23,MATCH($C118,'Program Setup'!$B$18:$B$23,0)),1,IF($E118&gt;=INDEX('Program Setup'!$D$18:$D$23,MATCH($C118,'Program Setup'!$B$18:$B$23,0)),2,IF($E118&gt;=INDEX('Program Setup'!$E$18:$E$23,MATCH($C118,'Program Setup'!$B$18:$B$23,0)),3,"-"))),"-"))</f>
        <v/>
      </c>
      <c r="I118" s="7">
        <f>IF(ISNUMBER($H118),INDEX('Program Setup'!$B$6:$B$8,MATCH($H118,'Program Setup'!$A$6:$A$8,0)),0)</f>
        <v/>
      </c>
      <c r="J118" s="8">
        <f>SUMIFS('Amplify Detail'!$E$5:$E$496,'Amplify Detail'!$A$5:$A$496,$A118,'Amplify Detail'!$C$5:$C$496,$C118)</f>
        <v/>
      </c>
      <c r="K118" s="8">
        <f>SUMIFS('Amplify Detail'!$F$5:$F$496,'Amplify Detail'!$A$5:$A$496,$A118,'Amplify Detail'!$C$5:$C$496,$C118)</f>
        <v/>
      </c>
      <c r="L118" s="8">
        <f>SUMIFS('Amplify Detail'!$G$5:$G$496,'Amplify Detail'!$A$5:$A$496,$A118,'Amplify Detail'!$C$5:$C$496,$C118)</f>
        <v/>
      </c>
      <c r="M118" s="7">
        <f>SUMIFS('Amplify Detail'!$J$5:$J$496,'Amplify Detail'!$A$5:$A$496,$A118,'Amplify Detail'!$C$5:$C$496,$C118)</f>
        <v/>
      </c>
      <c r="N118" s="7">
        <f>$I118+$M118</f>
        <v/>
      </c>
      <c r="O118" s="9">
        <f>IF($G118="No qualifier - Amplify open",1,IFERROR(INDEX('Program Setup'!$B$12:$B$14,MATCH($G118,'Program Setup'!$A$12:$A$14,0)),0))</f>
        <v/>
      </c>
      <c r="P118" s="4">
        <f>$A118&amp;"|"&amp;$C118</f>
        <v/>
      </c>
    </row>
    <row r="119">
      <c r="A119" s="4" t="inlineStr">
        <is>
          <t>Jim Heaney</t>
        </is>
      </c>
      <c r="B119" s="4" t="inlineStr">
        <is>
          <t>Denise Montes</t>
        </is>
      </c>
      <c r="C119" s="4" t="inlineStr">
        <is>
          <t>Cape May</t>
        </is>
      </c>
      <c r="D119" s="5" t="n"/>
      <c r="E119" s="5" t="n"/>
      <c r="F119" s="6">
        <f>IF($D119&gt;0,$E119/$D119,"")</f>
        <v/>
      </c>
      <c r="G119" s="4">
        <f>IF($D119&gt;0,IF($F119&gt;=1,"Qualified",IF($F119&gt;=0.9,"90% Partial Amplify","Not Qualified")),"No qualifier - Amplify open")</f>
        <v/>
      </c>
      <c r="H119" s="4">
        <f>IF($G119&lt;&gt;"Qualified","-",IFERROR(IF($E119&gt;=INDEX('Program Setup'!$C$18:$C$23,MATCH($C119,'Program Setup'!$B$18:$B$23,0)),1,IF($E119&gt;=INDEX('Program Setup'!$D$18:$D$23,MATCH($C119,'Program Setup'!$B$18:$B$23,0)),2,IF($E119&gt;=INDEX('Program Setup'!$E$18:$E$23,MATCH($C119,'Program Setup'!$B$18:$B$23,0)),3,"-"))),"-"))</f>
        <v/>
      </c>
      <c r="I119" s="7">
        <f>IF(ISNUMBER($H119),INDEX('Program Setup'!$B$6:$B$8,MATCH($H119,'Program Setup'!$A$6:$A$8,0)),0)</f>
        <v/>
      </c>
      <c r="J119" s="8">
        <f>SUMIFS('Amplify Detail'!$E$5:$E$496,'Amplify Detail'!$A$5:$A$496,$A119,'Amplify Detail'!$C$5:$C$496,$C119)</f>
        <v/>
      </c>
      <c r="K119" s="8">
        <f>SUMIFS('Amplify Detail'!$F$5:$F$496,'Amplify Detail'!$A$5:$A$496,$A119,'Amplify Detail'!$C$5:$C$496,$C119)</f>
        <v/>
      </c>
      <c r="L119" s="8">
        <f>SUMIFS('Amplify Detail'!$G$5:$G$496,'Amplify Detail'!$A$5:$A$496,$A119,'Amplify Detail'!$C$5:$C$496,$C119)</f>
        <v/>
      </c>
      <c r="M119" s="7">
        <f>SUMIFS('Amplify Detail'!$J$5:$J$496,'Amplify Detail'!$A$5:$A$496,$A119,'Amplify Detail'!$C$5:$C$496,$C119)</f>
        <v/>
      </c>
      <c r="N119" s="7">
        <f>$I119+$M119</f>
        <v/>
      </c>
      <c r="O119" s="9">
        <f>IF($G119="No qualifier - Amplify open",1,IFERROR(INDEX('Program Setup'!$B$12:$B$14,MATCH($G119,'Program Setup'!$A$12:$A$14,0)),0))</f>
        <v/>
      </c>
      <c r="P119" s="4">
        <f>$A119&amp;"|"&amp;$C119</f>
        <v/>
      </c>
    </row>
    <row r="120">
      <c r="A120" s="4" t="inlineStr">
        <is>
          <t>Jim Heaney</t>
        </is>
      </c>
      <c r="B120" s="4" t="inlineStr">
        <is>
          <t>Denise Montes</t>
        </is>
      </c>
      <c r="C120" s="4" t="inlineStr">
        <is>
          <t>Constellation Brands</t>
        </is>
      </c>
      <c r="D120" s="5" t="n">
        <v>38968</v>
      </c>
      <c r="E120" s="5" t="n">
        <v>37967</v>
      </c>
      <c r="F120" s="6">
        <f>IF($D120&gt;0,$E120/$D120,"")</f>
        <v/>
      </c>
      <c r="G120" s="4">
        <f>IF($D120&gt;0,IF($F120&gt;=1,"Qualified",IF($F120&gt;=0.9,"90% Partial Amplify","Not Qualified")),"No qualifier - Amplify open")</f>
        <v/>
      </c>
      <c r="H120" s="4">
        <f>IF($G120&lt;&gt;"Qualified","-",IFERROR(IF($E120&gt;=INDEX('Program Setup'!$C$18:$C$23,MATCH($C120,'Program Setup'!$B$18:$B$23,0)),1,IF($E120&gt;=INDEX('Program Setup'!$D$18:$D$23,MATCH($C120,'Program Setup'!$B$18:$B$23,0)),2,IF($E120&gt;=INDEX('Program Setup'!$E$18:$E$23,MATCH($C120,'Program Setup'!$B$18:$B$23,0)),3,"-"))),"-"))</f>
        <v/>
      </c>
      <c r="I120" s="7">
        <f>IF(ISNUMBER($H120),INDEX('Program Setup'!$B$6:$B$8,MATCH($H120,'Program Setup'!$A$6:$A$8,0)),0)</f>
        <v/>
      </c>
      <c r="J120" s="8">
        <f>SUMIFS('Amplify Detail'!$E$5:$E$496,'Amplify Detail'!$A$5:$A$496,$A120,'Amplify Detail'!$C$5:$C$496,$C120)</f>
        <v/>
      </c>
      <c r="K120" s="8">
        <f>SUMIFS('Amplify Detail'!$F$5:$F$496,'Amplify Detail'!$A$5:$A$496,$A120,'Amplify Detail'!$C$5:$C$496,$C120)</f>
        <v/>
      </c>
      <c r="L120" s="8">
        <f>SUMIFS('Amplify Detail'!$G$5:$G$496,'Amplify Detail'!$A$5:$A$496,$A120,'Amplify Detail'!$C$5:$C$496,$C120)</f>
        <v/>
      </c>
      <c r="M120" s="7">
        <f>SUMIFS('Amplify Detail'!$J$5:$J$496,'Amplify Detail'!$A$5:$A$496,$A120,'Amplify Detail'!$C$5:$C$496,$C120)</f>
        <v/>
      </c>
      <c r="N120" s="7">
        <f>$I120+$M120</f>
        <v/>
      </c>
      <c r="O120" s="9">
        <f>IF($G120="No qualifier - Amplify open",1,IFERROR(INDEX('Program Setup'!$B$12:$B$14,MATCH($G120,'Program Setup'!$A$12:$A$14,0)),0))</f>
        <v/>
      </c>
      <c r="P120" s="4">
        <f>$A120&amp;"|"&amp;$C120</f>
        <v/>
      </c>
    </row>
    <row r="121">
      <c r="A121" s="4" t="inlineStr">
        <is>
          <t>Jim Heaney</t>
        </is>
      </c>
      <c r="B121" s="4" t="inlineStr">
        <is>
          <t>Denise Montes</t>
        </is>
      </c>
      <c r="C121" s="4" t="inlineStr">
        <is>
          <t>DG Yuengling Inc</t>
        </is>
      </c>
      <c r="D121" s="5" t="n">
        <v>2036</v>
      </c>
      <c r="E121" s="5" t="n">
        <v>1773</v>
      </c>
      <c r="F121" s="6">
        <f>IF($D121&gt;0,$E121/$D121,"")</f>
        <v/>
      </c>
      <c r="G121" s="4">
        <f>IF($D121&gt;0,IF($F121&gt;=1,"Qualified",IF($F121&gt;=0.9,"90% Partial Amplify","Not Qualified")),"No qualifier - Amplify open")</f>
        <v/>
      </c>
      <c r="H121" s="4">
        <f>IF($G121&lt;&gt;"Qualified","-",IFERROR(IF($E121&gt;=INDEX('Program Setup'!$C$18:$C$23,MATCH($C121,'Program Setup'!$B$18:$B$23,0)),1,IF($E121&gt;=INDEX('Program Setup'!$D$18:$D$23,MATCH($C121,'Program Setup'!$B$18:$B$23,0)),2,IF($E121&gt;=INDEX('Program Setup'!$E$18:$E$23,MATCH($C121,'Program Setup'!$B$18:$B$23,0)),3,"-"))),"-"))</f>
        <v/>
      </c>
      <c r="I121" s="7">
        <f>IF(ISNUMBER($H121),INDEX('Program Setup'!$B$6:$B$8,MATCH($H121,'Program Setup'!$A$6:$A$8,0)),0)</f>
        <v/>
      </c>
      <c r="J121" s="8">
        <f>SUMIFS('Amplify Detail'!$E$5:$E$496,'Amplify Detail'!$A$5:$A$496,$A121,'Amplify Detail'!$C$5:$C$496,$C121)</f>
        <v/>
      </c>
      <c r="K121" s="8">
        <f>SUMIFS('Amplify Detail'!$F$5:$F$496,'Amplify Detail'!$A$5:$A$496,$A121,'Amplify Detail'!$C$5:$C$496,$C121)</f>
        <v/>
      </c>
      <c r="L121" s="8">
        <f>SUMIFS('Amplify Detail'!$G$5:$G$496,'Amplify Detail'!$A$5:$A$496,$A121,'Amplify Detail'!$C$5:$C$496,$C121)</f>
        <v/>
      </c>
      <c r="M121" s="7">
        <f>SUMIFS('Amplify Detail'!$J$5:$J$496,'Amplify Detail'!$A$5:$A$496,$A121,'Amplify Detail'!$C$5:$C$496,$C121)</f>
        <v/>
      </c>
      <c r="N121" s="7">
        <f>$I121+$M121</f>
        <v/>
      </c>
      <c r="O121" s="9">
        <f>IF($G121="No qualifier - Amplify open",1,IFERROR(INDEX('Program Setup'!$B$12:$B$14,MATCH($G121,'Program Setup'!$A$12:$A$14,0)),0))</f>
        <v/>
      </c>
      <c r="P121" s="4">
        <f>$A121&amp;"|"&amp;$C121</f>
        <v/>
      </c>
    </row>
    <row r="122">
      <c r="A122" s="4" t="inlineStr">
        <is>
          <t>Jim Heaney</t>
        </is>
      </c>
      <c r="B122" s="4" t="inlineStr">
        <is>
          <t>Denise Montes</t>
        </is>
      </c>
      <c r="C122" s="4" t="inlineStr">
        <is>
          <t>Heineken USA</t>
        </is>
      </c>
      <c r="D122" s="5" t="n">
        <v>7749</v>
      </c>
      <c r="E122" s="5" t="n">
        <v>7020</v>
      </c>
      <c r="F122" s="6">
        <f>IF($D122&gt;0,$E122/$D122,"")</f>
        <v/>
      </c>
      <c r="G122" s="4">
        <f>IF($D122&gt;0,IF($F122&gt;=1,"Qualified",IF($F122&gt;=0.9,"90% Partial Amplify","Not Qualified")),"No qualifier - Amplify open")</f>
        <v/>
      </c>
      <c r="H122" s="4">
        <f>IF($G122&lt;&gt;"Qualified","-",IFERROR(IF($E122&gt;=INDEX('Program Setup'!$C$18:$C$23,MATCH($C122,'Program Setup'!$B$18:$B$23,0)),1,IF($E122&gt;=INDEX('Program Setup'!$D$18:$D$23,MATCH($C122,'Program Setup'!$B$18:$B$23,0)),2,IF($E122&gt;=INDEX('Program Setup'!$E$18:$E$23,MATCH($C122,'Program Setup'!$B$18:$B$23,0)),3,"-"))),"-"))</f>
        <v/>
      </c>
      <c r="I122" s="7">
        <f>IF(ISNUMBER($H122),INDEX('Program Setup'!$B$6:$B$8,MATCH($H122,'Program Setup'!$A$6:$A$8,0)),0)</f>
        <v/>
      </c>
      <c r="J122" s="8">
        <f>SUMIFS('Amplify Detail'!$E$5:$E$496,'Amplify Detail'!$A$5:$A$496,$A122,'Amplify Detail'!$C$5:$C$496,$C122)</f>
        <v/>
      </c>
      <c r="K122" s="8">
        <f>SUMIFS('Amplify Detail'!$F$5:$F$496,'Amplify Detail'!$A$5:$A$496,$A122,'Amplify Detail'!$C$5:$C$496,$C122)</f>
        <v/>
      </c>
      <c r="L122" s="8">
        <f>SUMIFS('Amplify Detail'!$G$5:$G$496,'Amplify Detail'!$A$5:$A$496,$A122,'Amplify Detail'!$C$5:$C$496,$C122)</f>
        <v/>
      </c>
      <c r="M122" s="7">
        <f>SUMIFS('Amplify Detail'!$J$5:$J$496,'Amplify Detail'!$A$5:$A$496,$A122,'Amplify Detail'!$C$5:$C$496,$C122)</f>
        <v/>
      </c>
      <c r="N122" s="7">
        <f>$I122+$M122</f>
        <v/>
      </c>
      <c r="O122" s="9">
        <f>IF($G122="No qualifier - Amplify open",1,IFERROR(INDEX('Program Setup'!$B$12:$B$14,MATCH($G122,'Program Setup'!$A$12:$A$14,0)),0))</f>
        <v/>
      </c>
      <c r="P122" s="4">
        <f>$A122&amp;"|"&amp;$C122</f>
        <v/>
      </c>
    </row>
    <row r="123">
      <c r="A123" s="4" t="inlineStr">
        <is>
          <t>Jim Heaney</t>
        </is>
      </c>
      <c r="B123" s="4" t="inlineStr">
        <is>
          <t>Denise Montes</t>
        </is>
      </c>
      <c r="C123" s="4" t="inlineStr">
        <is>
          <t>Mark Anthony</t>
        </is>
      </c>
      <c r="D123" s="5" t="n">
        <v>4675</v>
      </c>
      <c r="E123" s="5" t="n">
        <v>4667</v>
      </c>
      <c r="F123" s="6">
        <f>IF($D123&gt;0,$E123/$D123,"")</f>
        <v/>
      </c>
      <c r="G123" s="4">
        <f>IF($D123&gt;0,IF($F123&gt;=1,"Qualified",IF($F123&gt;=0.9,"90% Partial Amplify","Not Qualified")),"No qualifier - Amplify open")</f>
        <v/>
      </c>
      <c r="H123" s="4">
        <f>IF($G123&lt;&gt;"Qualified","-",IFERROR(IF($E123&gt;=INDEX('Program Setup'!$C$18:$C$23,MATCH($C123,'Program Setup'!$B$18:$B$23,0)),1,IF($E123&gt;=INDEX('Program Setup'!$D$18:$D$23,MATCH($C123,'Program Setup'!$B$18:$B$23,0)),2,IF($E123&gt;=INDEX('Program Setup'!$E$18:$E$23,MATCH($C123,'Program Setup'!$B$18:$B$23,0)),3,"-"))),"-"))</f>
        <v/>
      </c>
      <c r="I123" s="7">
        <f>IF(ISNUMBER($H123),INDEX('Program Setup'!$B$6:$B$8,MATCH($H123,'Program Setup'!$A$6:$A$8,0)),0)</f>
        <v/>
      </c>
      <c r="J123" s="8">
        <f>SUMIFS('Amplify Detail'!$E$5:$E$496,'Amplify Detail'!$A$5:$A$496,$A123,'Amplify Detail'!$C$5:$C$496,$C123)</f>
        <v/>
      </c>
      <c r="K123" s="8">
        <f>SUMIFS('Amplify Detail'!$F$5:$F$496,'Amplify Detail'!$A$5:$A$496,$A123,'Amplify Detail'!$C$5:$C$496,$C123)</f>
        <v/>
      </c>
      <c r="L123" s="8">
        <f>SUMIFS('Amplify Detail'!$G$5:$G$496,'Amplify Detail'!$A$5:$A$496,$A123,'Amplify Detail'!$C$5:$C$496,$C123)</f>
        <v/>
      </c>
      <c r="M123" s="7">
        <f>SUMIFS('Amplify Detail'!$J$5:$J$496,'Amplify Detail'!$A$5:$A$496,$A123,'Amplify Detail'!$C$5:$C$496,$C123)</f>
        <v/>
      </c>
      <c r="N123" s="7">
        <f>$I123+$M123</f>
        <v/>
      </c>
      <c r="O123" s="9">
        <f>IF($G123="No qualifier - Amplify open",1,IFERROR(INDEX('Program Setup'!$B$12:$B$14,MATCH($G123,'Program Setup'!$A$12:$A$14,0)),0))</f>
        <v/>
      </c>
      <c r="P123" s="4">
        <f>$A123&amp;"|"&amp;$C123</f>
        <v/>
      </c>
    </row>
    <row r="124">
      <c r="A124" s="4" t="inlineStr">
        <is>
          <t>Jim Heaney</t>
        </is>
      </c>
      <c r="B124" s="4" t="inlineStr">
        <is>
          <t>Denise Montes</t>
        </is>
      </c>
      <c r="C124" s="4" t="inlineStr">
        <is>
          <t>MolsonCoors Beverage Company</t>
        </is>
      </c>
      <c r="D124" s="5" t="n">
        <v>21984</v>
      </c>
      <c r="E124" s="5" t="n">
        <v>18065</v>
      </c>
      <c r="F124" s="6">
        <f>IF($D124&gt;0,$E124/$D124,"")</f>
        <v/>
      </c>
      <c r="G124" s="4">
        <f>IF($D124&gt;0,IF($F124&gt;=1,"Qualified",IF($F124&gt;=0.9,"90% Partial Amplify","Not Qualified")),"No qualifier - Amplify open")</f>
        <v/>
      </c>
      <c r="H124" s="4">
        <f>IF($G124&lt;&gt;"Qualified","-",IFERROR(IF($E124&gt;=INDEX('Program Setup'!$C$18:$C$23,MATCH($C124,'Program Setup'!$B$18:$B$23,0)),1,IF($E124&gt;=INDEX('Program Setup'!$D$18:$D$23,MATCH($C124,'Program Setup'!$B$18:$B$23,0)),2,IF($E124&gt;=INDEX('Program Setup'!$E$18:$E$23,MATCH($C124,'Program Setup'!$B$18:$B$23,0)),3,"-"))),"-"))</f>
        <v/>
      </c>
      <c r="I124" s="7">
        <f>IF(ISNUMBER($H124),INDEX('Program Setup'!$B$6:$B$8,MATCH($H124,'Program Setup'!$A$6:$A$8,0)),0)</f>
        <v/>
      </c>
      <c r="J124" s="8">
        <f>SUMIFS('Amplify Detail'!$E$5:$E$496,'Amplify Detail'!$A$5:$A$496,$A124,'Amplify Detail'!$C$5:$C$496,$C124)</f>
        <v/>
      </c>
      <c r="K124" s="8">
        <f>SUMIFS('Amplify Detail'!$F$5:$F$496,'Amplify Detail'!$A$5:$A$496,$A124,'Amplify Detail'!$C$5:$C$496,$C124)</f>
        <v/>
      </c>
      <c r="L124" s="8">
        <f>SUMIFS('Amplify Detail'!$G$5:$G$496,'Amplify Detail'!$A$5:$A$496,$A124,'Amplify Detail'!$C$5:$C$496,$C124)</f>
        <v/>
      </c>
      <c r="M124" s="7">
        <f>SUMIFS('Amplify Detail'!$J$5:$J$496,'Amplify Detail'!$A$5:$A$496,$A124,'Amplify Detail'!$C$5:$C$496,$C124)</f>
        <v/>
      </c>
      <c r="N124" s="7">
        <f>$I124+$M124</f>
        <v/>
      </c>
      <c r="O124" s="9">
        <f>IF($G124="No qualifier - Amplify open",1,IFERROR(INDEX('Program Setup'!$B$12:$B$14,MATCH($G124,'Program Setup'!$A$12:$A$14,0)),0))</f>
        <v/>
      </c>
      <c r="P124" s="4">
        <f>$A124&amp;"|"&amp;$C124</f>
        <v/>
      </c>
    </row>
    <row r="125">
      <c r="A125" s="4" t="inlineStr">
        <is>
          <t>Jim Heaney</t>
        </is>
      </c>
      <c r="B125" s="4" t="inlineStr">
        <is>
          <t>Denise Montes</t>
        </is>
      </c>
      <c r="C125" s="4" t="inlineStr">
        <is>
          <t>New Belgium Brewing Company</t>
        </is>
      </c>
      <c r="D125" s="5" t="n"/>
      <c r="E125" s="5" t="n"/>
      <c r="F125" s="6">
        <f>IF($D125&gt;0,$E125/$D125,"")</f>
        <v/>
      </c>
      <c r="G125" s="4">
        <f>IF($D125&gt;0,IF($F125&gt;=1,"Qualified",IF($F125&gt;=0.9,"90% Partial Amplify","Not Qualified")),"No qualifier - Amplify open")</f>
        <v/>
      </c>
      <c r="H125" s="4">
        <f>IF($G125&lt;&gt;"Qualified","-",IFERROR(IF($E125&gt;=INDEX('Program Setup'!$C$18:$C$23,MATCH($C125,'Program Setup'!$B$18:$B$23,0)),1,IF($E125&gt;=INDEX('Program Setup'!$D$18:$D$23,MATCH($C125,'Program Setup'!$B$18:$B$23,0)),2,IF($E125&gt;=INDEX('Program Setup'!$E$18:$E$23,MATCH($C125,'Program Setup'!$B$18:$B$23,0)),3,"-"))),"-"))</f>
        <v/>
      </c>
      <c r="I125" s="7">
        <f>IF(ISNUMBER($H125),INDEX('Program Setup'!$B$6:$B$8,MATCH($H125,'Program Setup'!$A$6:$A$8,0)),0)</f>
        <v/>
      </c>
      <c r="J125" s="8">
        <f>SUMIFS('Amplify Detail'!$E$5:$E$496,'Amplify Detail'!$A$5:$A$496,$A125,'Amplify Detail'!$C$5:$C$496,$C125)</f>
        <v/>
      </c>
      <c r="K125" s="8">
        <f>SUMIFS('Amplify Detail'!$F$5:$F$496,'Amplify Detail'!$A$5:$A$496,$A125,'Amplify Detail'!$C$5:$C$496,$C125)</f>
        <v/>
      </c>
      <c r="L125" s="8">
        <f>SUMIFS('Amplify Detail'!$G$5:$G$496,'Amplify Detail'!$A$5:$A$496,$A125,'Amplify Detail'!$C$5:$C$496,$C125)</f>
        <v/>
      </c>
      <c r="M125" s="7">
        <f>SUMIFS('Amplify Detail'!$J$5:$J$496,'Amplify Detail'!$A$5:$A$496,$A125,'Amplify Detail'!$C$5:$C$496,$C125)</f>
        <v/>
      </c>
      <c r="N125" s="7">
        <f>$I125+$M125</f>
        <v/>
      </c>
      <c r="O125" s="9">
        <f>IF($G125="No qualifier - Amplify open",1,IFERROR(INDEX('Program Setup'!$B$12:$B$14,MATCH($G125,'Program Setup'!$A$12:$A$14,0)),0))</f>
        <v/>
      </c>
      <c r="P125" s="4">
        <f>$A125&amp;"|"&amp;$C125</f>
        <v/>
      </c>
    </row>
    <row r="126">
      <c r="A126" s="4" t="inlineStr">
        <is>
          <t>Jim Heaney</t>
        </is>
      </c>
      <c r="B126" s="4" t="inlineStr">
        <is>
          <t>Denise Montes</t>
        </is>
      </c>
      <c r="C126" s="4" t="inlineStr">
        <is>
          <t>Sapporo</t>
        </is>
      </c>
      <c r="D126" s="5" t="n"/>
      <c r="E126" s="5" t="n"/>
      <c r="F126" s="6">
        <f>IF($D126&gt;0,$E126/$D126,"")</f>
        <v/>
      </c>
      <c r="G126" s="4">
        <f>IF($D126&gt;0,IF($F126&gt;=1,"Qualified",IF($F126&gt;=0.9,"90% Partial Amplify","Not Qualified")),"No qualifier - Amplify open")</f>
        <v/>
      </c>
      <c r="H126" s="4">
        <f>IF($G126&lt;&gt;"Qualified","-",IFERROR(IF($E126&gt;=INDEX('Program Setup'!$C$18:$C$23,MATCH($C126,'Program Setup'!$B$18:$B$23,0)),1,IF($E126&gt;=INDEX('Program Setup'!$D$18:$D$23,MATCH($C126,'Program Setup'!$B$18:$B$23,0)),2,IF($E126&gt;=INDEX('Program Setup'!$E$18:$E$23,MATCH($C126,'Program Setup'!$B$18:$B$23,0)),3,"-"))),"-"))</f>
        <v/>
      </c>
      <c r="I126" s="7">
        <f>IF(ISNUMBER($H126),INDEX('Program Setup'!$B$6:$B$8,MATCH($H126,'Program Setup'!$A$6:$A$8,0)),0)</f>
        <v/>
      </c>
      <c r="J126" s="8">
        <f>SUMIFS('Amplify Detail'!$E$5:$E$496,'Amplify Detail'!$A$5:$A$496,$A126,'Amplify Detail'!$C$5:$C$496,$C126)</f>
        <v/>
      </c>
      <c r="K126" s="8">
        <f>SUMIFS('Amplify Detail'!$F$5:$F$496,'Amplify Detail'!$A$5:$A$496,$A126,'Amplify Detail'!$C$5:$C$496,$C126)</f>
        <v/>
      </c>
      <c r="L126" s="8">
        <f>SUMIFS('Amplify Detail'!$G$5:$G$496,'Amplify Detail'!$A$5:$A$496,$A126,'Amplify Detail'!$C$5:$C$496,$C126)</f>
        <v/>
      </c>
      <c r="M126" s="7">
        <f>SUMIFS('Amplify Detail'!$J$5:$J$496,'Amplify Detail'!$A$5:$A$496,$A126,'Amplify Detail'!$C$5:$C$496,$C126)</f>
        <v/>
      </c>
      <c r="N126" s="7">
        <f>$I126+$M126</f>
        <v/>
      </c>
      <c r="O126" s="9">
        <f>IF($G126="No qualifier - Amplify open",1,IFERROR(INDEX('Program Setup'!$B$12:$B$14,MATCH($G126,'Program Setup'!$A$12:$A$14,0)),0))</f>
        <v/>
      </c>
      <c r="P126" s="4">
        <f>$A126&amp;"|"&amp;$C126</f>
        <v/>
      </c>
    </row>
    <row r="127">
      <c r="A127" s="4" t="inlineStr">
        <is>
          <t>John Neukum</t>
        </is>
      </c>
      <c r="B127" s="4" t="inlineStr"/>
      <c r="C127" s="4" t="inlineStr">
        <is>
          <t>Boston Beer Company</t>
        </is>
      </c>
      <c r="D127" s="5" t="n">
        <v>1220</v>
      </c>
      <c r="E127" s="5" t="n">
        <v>781</v>
      </c>
      <c r="F127" s="6">
        <f>IF($D127&gt;0,$E127/$D127,"")</f>
        <v/>
      </c>
      <c r="G127" s="4">
        <f>IF($D127&gt;0,IF($F127&gt;=1,"Qualified",IF($F127&gt;=0.9,"90% Partial Amplify","Not Qualified")),"No qualifier - Amplify open")</f>
        <v/>
      </c>
      <c r="H127" s="4">
        <f>IF($G127&lt;&gt;"Qualified","-",IFERROR(IF($E127&gt;=INDEX('Program Setup'!$C$18:$C$23,MATCH($C127,'Program Setup'!$B$18:$B$23,0)),1,IF($E127&gt;=INDEX('Program Setup'!$D$18:$D$23,MATCH($C127,'Program Setup'!$B$18:$B$23,0)),2,IF($E127&gt;=INDEX('Program Setup'!$E$18:$E$23,MATCH($C127,'Program Setup'!$B$18:$B$23,0)),3,"-"))),"-"))</f>
        <v/>
      </c>
      <c r="I127" s="7">
        <f>IF(ISNUMBER($H127),INDEX('Program Setup'!$B$6:$B$8,MATCH($H127,'Program Setup'!$A$6:$A$8,0)),0)</f>
        <v/>
      </c>
      <c r="J127" s="8">
        <f>SUMIFS('Amplify Detail'!$E$5:$E$496,'Amplify Detail'!$A$5:$A$496,$A127,'Amplify Detail'!$C$5:$C$496,$C127)</f>
        <v/>
      </c>
      <c r="K127" s="8">
        <f>SUMIFS('Amplify Detail'!$F$5:$F$496,'Amplify Detail'!$A$5:$A$496,$A127,'Amplify Detail'!$C$5:$C$496,$C127)</f>
        <v/>
      </c>
      <c r="L127" s="8">
        <f>SUMIFS('Amplify Detail'!$G$5:$G$496,'Amplify Detail'!$A$5:$A$496,$A127,'Amplify Detail'!$C$5:$C$496,$C127)</f>
        <v/>
      </c>
      <c r="M127" s="7">
        <f>SUMIFS('Amplify Detail'!$J$5:$J$496,'Amplify Detail'!$A$5:$A$496,$A127,'Amplify Detail'!$C$5:$C$496,$C127)</f>
        <v/>
      </c>
      <c r="N127" s="7">
        <f>$I127+$M127</f>
        <v/>
      </c>
      <c r="O127" s="9">
        <f>IF($G127="No qualifier - Amplify open",1,IFERROR(INDEX('Program Setup'!$B$12:$B$14,MATCH($G127,'Program Setup'!$A$12:$A$14,0)),0))</f>
        <v/>
      </c>
      <c r="P127" s="4">
        <f>$A127&amp;"|"&amp;$C127</f>
        <v/>
      </c>
    </row>
    <row r="128">
      <c r="A128" s="4" t="inlineStr">
        <is>
          <t>John Neukum</t>
        </is>
      </c>
      <c r="B128" s="4" t="inlineStr"/>
      <c r="C128" s="4" t="inlineStr">
        <is>
          <t>Constellation Brands</t>
        </is>
      </c>
      <c r="D128" s="5" t="n">
        <v>115716</v>
      </c>
      <c r="E128" s="5" t="n">
        <v>108341</v>
      </c>
      <c r="F128" s="6">
        <f>IF($D128&gt;0,$E128/$D128,"")</f>
        <v/>
      </c>
      <c r="G128" s="4">
        <f>IF($D128&gt;0,IF($F128&gt;=1,"Qualified",IF($F128&gt;=0.9,"90% Partial Amplify","Not Qualified")),"No qualifier - Amplify open")</f>
        <v/>
      </c>
      <c r="H128" s="4">
        <f>IF($G128&lt;&gt;"Qualified","-",IFERROR(IF($E128&gt;=INDEX('Program Setup'!$C$18:$C$23,MATCH($C128,'Program Setup'!$B$18:$B$23,0)),1,IF($E128&gt;=INDEX('Program Setup'!$D$18:$D$23,MATCH($C128,'Program Setup'!$B$18:$B$23,0)),2,IF($E128&gt;=INDEX('Program Setup'!$E$18:$E$23,MATCH($C128,'Program Setup'!$B$18:$B$23,0)),3,"-"))),"-"))</f>
        <v/>
      </c>
      <c r="I128" s="7">
        <f>IF(ISNUMBER($H128),INDEX('Program Setup'!$B$6:$B$8,MATCH($H128,'Program Setup'!$A$6:$A$8,0)),0)</f>
        <v/>
      </c>
      <c r="J128" s="8">
        <f>SUMIFS('Amplify Detail'!$E$5:$E$496,'Amplify Detail'!$A$5:$A$496,$A128,'Amplify Detail'!$C$5:$C$496,$C128)</f>
        <v/>
      </c>
      <c r="K128" s="8">
        <f>SUMIFS('Amplify Detail'!$F$5:$F$496,'Amplify Detail'!$A$5:$A$496,$A128,'Amplify Detail'!$C$5:$C$496,$C128)</f>
        <v/>
      </c>
      <c r="L128" s="8">
        <f>SUMIFS('Amplify Detail'!$G$5:$G$496,'Amplify Detail'!$A$5:$A$496,$A128,'Amplify Detail'!$C$5:$C$496,$C128)</f>
        <v/>
      </c>
      <c r="M128" s="7">
        <f>SUMIFS('Amplify Detail'!$J$5:$J$496,'Amplify Detail'!$A$5:$A$496,$A128,'Amplify Detail'!$C$5:$C$496,$C128)</f>
        <v/>
      </c>
      <c r="N128" s="7">
        <f>$I128+$M128</f>
        <v/>
      </c>
      <c r="O128" s="9">
        <f>IF($G128="No qualifier - Amplify open",1,IFERROR(INDEX('Program Setup'!$B$12:$B$14,MATCH($G128,'Program Setup'!$A$12:$A$14,0)),0))</f>
        <v/>
      </c>
      <c r="P128" s="4">
        <f>$A128&amp;"|"&amp;$C128</f>
        <v/>
      </c>
    </row>
    <row r="129">
      <c r="A129" s="4" t="inlineStr">
        <is>
          <t>John Neukum</t>
        </is>
      </c>
      <c r="B129" s="4" t="inlineStr"/>
      <c r="C129" s="4" t="inlineStr">
        <is>
          <t>DG Yuengling Inc</t>
        </is>
      </c>
      <c r="D129" s="5" t="n">
        <v>3930</v>
      </c>
      <c r="E129" s="5" t="n">
        <v>3552</v>
      </c>
      <c r="F129" s="6">
        <f>IF($D129&gt;0,$E129/$D129,"")</f>
        <v/>
      </c>
      <c r="G129" s="4">
        <f>IF($D129&gt;0,IF($F129&gt;=1,"Qualified",IF($F129&gt;=0.9,"90% Partial Amplify","Not Qualified")),"No qualifier - Amplify open")</f>
        <v/>
      </c>
      <c r="H129" s="4">
        <f>IF($G129&lt;&gt;"Qualified","-",IFERROR(IF($E129&gt;=INDEX('Program Setup'!$C$18:$C$23,MATCH($C129,'Program Setup'!$B$18:$B$23,0)),1,IF($E129&gt;=INDEX('Program Setup'!$D$18:$D$23,MATCH($C129,'Program Setup'!$B$18:$B$23,0)),2,IF($E129&gt;=INDEX('Program Setup'!$E$18:$E$23,MATCH($C129,'Program Setup'!$B$18:$B$23,0)),3,"-"))),"-"))</f>
        <v/>
      </c>
      <c r="I129" s="7">
        <f>IF(ISNUMBER($H129),INDEX('Program Setup'!$B$6:$B$8,MATCH($H129,'Program Setup'!$A$6:$A$8,0)),0)</f>
        <v/>
      </c>
      <c r="J129" s="8">
        <f>SUMIFS('Amplify Detail'!$E$5:$E$496,'Amplify Detail'!$A$5:$A$496,$A129,'Amplify Detail'!$C$5:$C$496,$C129)</f>
        <v/>
      </c>
      <c r="K129" s="8">
        <f>SUMIFS('Amplify Detail'!$F$5:$F$496,'Amplify Detail'!$A$5:$A$496,$A129,'Amplify Detail'!$C$5:$C$496,$C129)</f>
        <v/>
      </c>
      <c r="L129" s="8">
        <f>SUMIFS('Amplify Detail'!$G$5:$G$496,'Amplify Detail'!$A$5:$A$496,$A129,'Amplify Detail'!$C$5:$C$496,$C129)</f>
        <v/>
      </c>
      <c r="M129" s="7">
        <f>SUMIFS('Amplify Detail'!$J$5:$J$496,'Amplify Detail'!$A$5:$A$496,$A129,'Amplify Detail'!$C$5:$C$496,$C129)</f>
        <v/>
      </c>
      <c r="N129" s="7">
        <f>$I129+$M129</f>
        <v/>
      </c>
      <c r="O129" s="9">
        <f>IF($G129="No qualifier - Amplify open",1,IFERROR(INDEX('Program Setup'!$B$12:$B$14,MATCH($G129,'Program Setup'!$A$12:$A$14,0)),0))</f>
        <v/>
      </c>
      <c r="P129" s="4">
        <f>$A129&amp;"|"&amp;$C129</f>
        <v/>
      </c>
    </row>
    <row r="130">
      <c r="A130" s="4" t="inlineStr">
        <is>
          <t>John Neukum</t>
        </is>
      </c>
      <c r="B130" s="4" t="inlineStr"/>
      <c r="C130" s="4" t="inlineStr">
        <is>
          <t>Heineken USA</t>
        </is>
      </c>
      <c r="D130" s="5" t="n">
        <v>15101</v>
      </c>
      <c r="E130" s="5" t="n">
        <v>13057</v>
      </c>
      <c r="F130" s="6">
        <f>IF($D130&gt;0,$E130/$D130,"")</f>
        <v/>
      </c>
      <c r="G130" s="4">
        <f>IF($D130&gt;0,IF($F130&gt;=1,"Qualified",IF($F130&gt;=0.9,"90% Partial Amplify","Not Qualified")),"No qualifier - Amplify open")</f>
        <v/>
      </c>
      <c r="H130" s="4">
        <f>IF($G130&lt;&gt;"Qualified","-",IFERROR(IF($E130&gt;=INDEX('Program Setup'!$C$18:$C$23,MATCH($C130,'Program Setup'!$B$18:$B$23,0)),1,IF($E130&gt;=INDEX('Program Setup'!$D$18:$D$23,MATCH($C130,'Program Setup'!$B$18:$B$23,0)),2,IF($E130&gt;=INDEX('Program Setup'!$E$18:$E$23,MATCH($C130,'Program Setup'!$B$18:$B$23,0)),3,"-"))),"-"))</f>
        <v/>
      </c>
      <c r="I130" s="7">
        <f>IF(ISNUMBER($H130),INDEX('Program Setup'!$B$6:$B$8,MATCH($H130,'Program Setup'!$A$6:$A$8,0)),0)</f>
        <v/>
      </c>
      <c r="J130" s="8">
        <f>SUMIFS('Amplify Detail'!$E$5:$E$496,'Amplify Detail'!$A$5:$A$496,$A130,'Amplify Detail'!$C$5:$C$496,$C130)</f>
        <v/>
      </c>
      <c r="K130" s="8">
        <f>SUMIFS('Amplify Detail'!$F$5:$F$496,'Amplify Detail'!$A$5:$A$496,$A130,'Amplify Detail'!$C$5:$C$496,$C130)</f>
        <v/>
      </c>
      <c r="L130" s="8">
        <f>SUMIFS('Amplify Detail'!$G$5:$G$496,'Amplify Detail'!$A$5:$A$496,$A130,'Amplify Detail'!$C$5:$C$496,$C130)</f>
        <v/>
      </c>
      <c r="M130" s="7">
        <f>SUMIFS('Amplify Detail'!$J$5:$J$496,'Amplify Detail'!$A$5:$A$496,$A130,'Amplify Detail'!$C$5:$C$496,$C130)</f>
        <v/>
      </c>
      <c r="N130" s="7">
        <f>$I130+$M130</f>
        <v/>
      </c>
      <c r="O130" s="9">
        <f>IF($G130="No qualifier - Amplify open",1,IFERROR(INDEX('Program Setup'!$B$12:$B$14,MATCH($G130,'Program Setup'!$A$12:$A$14,0)),0))</f>
        <v/>
      </c>
      <c r="P130" s="4">
        <f>$A130&amp;"|"&amp;$C130</f>
        <v/>
      </c>
    </row>
    <row r="131">
      <c r="A131" s="4" t="inlineStr">
        <is>
          <t>John Neukum</t>
        </is>
      </c>
      <c r="B131" s="4" t="inlineStr"/>
      <c r="C131" s="4" t="inlineStr">
        <is>
          <t>Mark Anthony</t>
        </is>
      </c>
      <c r="D131" s="5" t="n">
        <v>4633</v>
      </c>
      <c r="E131" s="5" t="n">
        <v>3042</v>
      </c>
      <c r="F131" s="6">
        <f>IF($D131&gt;0,$E131/$D131,"")</f>
        <v/>
      </c>
      <c r="G131" s="4">
        <f>IF($D131&gt;0,IF($F131&gt;=1,"Qualified",IF($F131&gt;=0.9,"90% Partial Amplify","Not Qualified")),"No qualifier - Amplify open")</f>
        <v/>
      </c>
      <c r="H131" s="4">
        <f>IF($G131&lt;&gt;"Qualified","-",IFERROR(IF($E131&gt;=INDEX('Program Setup'!$C$18:$C$23,MATCH($C131,'Program Setup'!$B$18:$B$23,0)),1,IF($E131&gt;=INDEX('Program Setup'!$D$18:$D$23,MATCH($C131,'Program Setup'!$B$18:$B$23,0)),2,IF($E131&gt;=INDEX('Program Setup'!$E$18:$E$23,MATCH($C131,'Program Setup'!$B$18:$B$23,0)),3,"-"))),"-"))</f>
        <v/>
      </c>
      <c r="I131" s="7">
        <f>IF(ISNUMBER($H131),INDEX('Program Setup'!$B$6:$B$8,MATCH($H131,'Program Setup'!$A$6:$A$8,0)),0)</f>
        <v/>
      </c>
      <c r="J131" s="8">
        <f>SUMIFS('Amplify Detail'!$E$5:$E$496,'Amplify Detail'!$A$5:$A$496,$A131,'Amplify Detail'!$C$5:$C$496,$C131)</f>
        <v/>
      </c>
      <c r="K131" s="8">
        <f>SUMIFS('Amplify Detail'!$F$5:$F$496,'Amplify Detail'!$A$5:$A$496,$A131,'Amplify Detail'!$C$5:$C$496,$C131)</f>
        <v/>
      </c>
      <c r="L131" s="8">
        <f>SUMIFS('Amplify Detail'!$G$5:$G$496,'Amplify Detail'!$A$5:$A$496,$A131,'Amplify Detail'!$C$5:$C$496,$C131)</f>
        <v/>
      </c>
      <c r="M131" s="7">
        <f>SUMIFS('Amplify Detail'!$J$5:$J$496,'Amplify Detail'!$A$5:$A$496,$A131,'Amplify Detail'!$C$5:$C$496,$C131)</f>
        <v/>
      </c>
      <c r="N131" s="7">
        <f>$I131+$M131</f>
        <v/>
      </c>
      <c r="O131" s="9">
        <f>IF($G131="No qualifier - Amplify open",1,IFERROR(INDEX('Program Setup'!$B$12:$B$14,MATCH($G131,'Program Setup'!$A$12:$A$14,0)),0))</f>
        <v/>
      </c>
      <c r="P131" s="4">
        <f>$A131&amp;"|"&amp;$C131</f>
        <v/>
      </c>
    </row>
    <row r="132">
      <c r="A132" s="4" t="inlineStr">
        <is>
          <t>John Neukum</t>
        </is>
      </c>
      <c r="B132" s="4" t="inlineStr"/>
      <c r="C132" s="4" t="inlineStr">
        <is>
          <t>MolsonCoors Beverage Company</t>
        </is>
      </c>
      <c r="D132" s="5" t="n">
        <v>20735</v>
      </c>
      <c r="E132" s="5" t="n">
        <v>17552</v>
      </c>
      <c r="F132" s="6">
        <f>IF($D132&gt;0,$E132/$D132,"")</f>
        <v/>
      </c>
      <c r="G132" s="4">
        <f>IF($D132&gt;0,IF($F132&gt;=1,"Qualified",IF($F132&gt;=0.9,"90% Partial Amplify","Not Qualified")),"No qualifier - Amplify open")</f>
        <v/>
      </c>
      <c r="H132" s="4">
        <f>IF($G132&lt;&gt;"Qualified","-",IFERROR(IF($E132&gt;=INDEX('Program Setup'!$C$18:$C$23,MATCH($C132,'Program Setup'!$B$18:$B$23,0)),1,IF($E132&gt;=INDEX('Program Setup'!$D$18:$D$23,MATCH($C132,'Program Setup'!$B$18:$B$23,0)),2,IF($E132&gt;=INDEX('Program Setup'!$E$18:$E$23,MATCH($C132,'Program Setup'!$B$18:$B$23,0)),3,"-"))),"-"))</f>
        <v/>
      </c>
      <c r="I132" s="7">
        <f>IF(ISNUMBER($H132),INDEX('Program Setup'!$B$6:$B$8,MATCH($H132,'Program Setup'!$A$6:$A$8,0)),0)</f>
        <v/>
      </c>
      <c r="J132" s="8">
        <f>SUMIFS('Amplify Detail'!$E$5:$E$496,'Amplify Detail'!$A$5:$A$496,$A132,'Amplify Detail'!$C$5:$C$496,$C132)</f>
        <v/>
      </c>
      <c r="K132" s="8">
        <f>SUMIFS('Amplify Detail'!$F$5:$F$496,'Amplify Detail'!$A$5:$A$496,$A132,'Amplify Detail'!$C$5:$C$496,$C132)</f>
        <v/>
      </c>
      <c r="L132" s="8">
        <f>SUMIFS('Amplify Detail'!$G$5:$G$496,'Amplify Detail'!$A$5:$A$496,$A132,'Amplify Detail'!$C$5:$C$496,$C132)</f>
        <v/>
      </c>
      <c r="M132" s="7">
        <f>SUMIFS('Amplify Detail'!$J$5:$J$496,'Amplify Detail'!$A$5:$A$496,$A132,'Amplify Detail'!$C$5:$C$496,$C132)</f>
        <v/>
      </c>
      <c r="N132" s="7">
        <f>$I132+$M132</f>
        <v/>
      </c>
      <c r="O132" s="9">
        <f>IF($G132="No qualifier - Amplify open",1,IFERROR(INDEX('Program Setup'!$B$12:$B$14,MATCH($G132,'Program Setup'!$A$12:$A$14,0)),0))</f>
        <v/>
      </c>
      <c r="P132" s="4">
        <f>$A132&amp;"|"&amp;$C132</f>
        <v/>
      </c>
    </row>
    <row r="133">
      <c r="A133" s="4" t="inlineStr">
        <is>
          <t>John Neukum</t>
        </is>
      </c>
      <c r="B133" s="4" t="inlineStr"/>
      <c r="C133" s="4" t="inlineStr">
        <is>
          <t>New Belgium Brewing Company</t>
        </is>
      </c>
      <c r="D133" s="5" t="n"/>
      <c r="E133" s="5" t="n"/>
      <c r="F133" s="6">
        <f>IF($D133&gt;0,$E133/$D133,"")</f>
        <v/>
      </c>
      <c r="G133" s="4">
        <f>IF($D133&gt;0,IF($F133&gt;=1,"Qualified",IF($F133&gt;=0.9,"90% Partial Amplify","Not Qualified")),"No qualifier - Amplify open")</f>
        <v/>
      </c>
      <c r="H133" s="4">
        <f>IF($G133&lt;&gt;"Qualified","-",IFERROR(IF($E133&gt;=INDEX('Program Setup'!$C$18:$C$23,MATCH($C133,'Program Setup'!$B$18:$B$23,0)),1,IF($E133&gt;=INDEX('Program Setup'!$D$18:$D$23,MATCH($C133,'Program Setup'!$B$18:$B$23,0)),2,IF($E133&gt;=INDEX('Program Setup'!$E$18:$E$23,MATCH($C133,'Program Setup'!$B$18:$B$23,0)),3,"-"))),"-"))</f>
        <v/>
      </c>
      <c r="I133" s="7">
        <f>IF(ISNUMBER($H133),INDEX('Program Setup'!$B$6:$B$8,MATCH($H133,'Program Setup'!$A$6:$A$8,0)),0)</f>
        <v/>
      </c>
      <c r="J133" s="8">
        <f>SUMIFS('Amplify Detail'!$E$5:$E$496,'Amplify Detail'!$A$5:$A$496,$A133,'Amplify Detail'!$C$5:$C$496,$C133)</f>
        <v/>
      </c>
      <c r="K133" s="8">
        <f>SUMIFS('Amplify Detail'!$F$5:$F$496,'Amplify Detail'!$A$5:$A$496,$A133,'Amplify Detail'!$C$5:$C$496,$C133)</f>
        <v/>
      </c>
      <c r="L133" s="8">
        <f>SUMIFS('Amplify Detail'!$G$5:$G$496,'Amplify Detail'!$A$5:$A$496,$A133,'Amplify Detail'!$C$5:$C$496,$C133)</f>
        <v/>
      </c>
      <c r="M133" s="7">
        <f>SUMIFS('Amplify Detail'!$J$5:$J$496,'Amplify Detail'!$A$5:$A$496,$A133,'Amplify Detail'!$C$5:$C$496,$C133)</f>
        <v/>
      </c>
      <c r="N133" s="7">
        <f>$I133+$M133</f>
        <v/>
      </c>
      <c r="O133" s="9">
        <f>IF($G133="No qualifier - Amplify open",1,IFERROR(INDEX('Program Setup'!$B$12:$B$14,MATCH($G133,'Program Setup'!$A$12:$A$14,0)),0))</f>
        <v/>
      </c>
      <c r="P133" s="4">
        <f>$A133&amp;"|"&amp;$C133</f>
        <v/>
      </c>
    </row>
    <row r="134">
      <c r="A134" s="4" t="inlineStr">
        <is>
          <t>John Neukum</t>
        </is>
      </c>
      <c r="B134" s="4" t="inlineStr"/>
      <c r="C134" s="4" t="inlineStr">
        <is>
          <t>Sapporo</t>
        </is>
      </c>
      <c r="D134" s="5" t="n"/>
      <c r="E134" s="5" t="n"/>
      <c r="F134" s="6">
        <f>IF($D134&gt;0,$E134/$D134,"")</f>
        <v/>
      </c>
      <c r="G134" s="4">
        <f>IF($D134&gt;0,IF($F134&gt;=1,"Qualified",IF($F134&gt;=0.9,"90% Partial Amplify","Not Qualified")),"No qualifier - Amplify open")</f>
        <v/>
      </c>
      <c r="H134" s="4">
        <f>IF($G134&lt;&gt;"Qualified","-",IFERROR(IF($E134&gt;=INDEX('Program Setup'!$C$18:$C$23,MATCH($C134,'Program Setup'!$B$18:$B$23,0)),1,IF($E134&gt;=INDEX('Program Setup'!$D$18:$D$23,MATCH($C134,'Program Setup'!$B$18:$B$23,0)),2,IF($E134&gt;=INDEX('Program Setup'!$E$18:$E$23,MATCH($C134,'Program Setup'!$B$18:$B$23,0)),3,"-"))),"-"))</f>
        <v/>
      </c>
      <c r="I134" s="7">
        <f>IF(ISNUMBER($H134),INDEX('Program Setup'!$B$6:$B$8,MATCH($H134,'Program Setup'!$A$6:$A$8,0)),0)</f>
        <v/>
      </c>
      <c r="J134" s="8">
        <f>SUMIFS('Amplify Detail'!$E$5:$E$496,'Amplify Detail'!$A$5:$A$496,$A134,'Amplify Detail'!$C$5:$C$496,$C134)</f>
        <v/>
      </c>
      <c r="K134" s="8">
        <f>SUMIFS('Amplify Detail'!$F$5:$F$496,'Amplify Detail'!$A$5:$A$496,$A134,'Amplify Detail'!$C$5:$C$496,$C134)</f>
        <v/>
      </c>
      <c r="L134" s="8">
        <f>SUMIFS('Amplify Detail'!$G$5:$G$496,'Amplify Detail'!$A$5:$A$496,$A134,'Amplify Detail'!$C$5:$C$496,$C134)</f>
        <v/>
      </c>
      <c r="M134" s="7">
        <f>SUMIFS('Amplify Detail'!$J$5:$J$496,'Amplify Detail'!$A$5:$A$496,$A134,'Amplify Detail'!$C$5:$C$496,$C134)</f>
        <v/>
      </c>
      <c r="N134" s="7">
        <f>$I134+$M134</f>
        <v/>
      </c>
      <c r="O134" s="9">
        <f>IF($G134="No qualifier - Amplify open",1,IFERROR(INDEX('Program Setup'!$B$12:$B$14,MATCH($G134,'Program Setup'!$A$12:$A$14,0)),0))</f>
        <v/>
      </c>
      <c r="P134" s="4">
        <f>$A134&amp;"|"&amp;$C134</f>
        <v/>
      </c>
    </row>
    <row r="135">
      <c r="A135" s="4" t="inlineStr">
        <is>
          <t>John O'Donoghue</t>
        </is>
      </c>
      <c r="B135" s="4" t="inlineStr">
        <is>
          <t>Mike Kennedy</t>
        </is>
      </c>
      <c r="C135" s="4" t="inlineStr">
        <is>
          <t>Boston Beer Company</t>
        </is>
      </c>
      <c r="D135" s="5" t="n"/>
      <c r="E135" s="5" t="n">
        <v>17</v>
      </c>
      <c r="F135" s="6">
        <f>IF($D135&gt;0,$E135/$D135,"")</f>
        <v/>
      </c>
      <c r="G135" s="4">
        <f>IF($D135&gt;0,IF($F135&gt;=1,"Qualified",IF($F135&gt;=0.9,"90% Partial Amplify","Not Qualified")),"No qualifier - Amplify open")</f>
        <v/>
      </c>
      <c r="H135" s="4">
        <f>IF($G135&lt;&gt;"Qualified","-",IFERROR(IF($E135&gt;=INDEX('Program Setup'!$C$18:$C$23,MATCH($C135,'Program Setup'!$B$18:$B$23,0)),1,IF($E135&gt;=INDEX('Program Setup'!$D$18:$D$23,MATCH($C135,'Program Setup'!$B$18:$B$23,0)),2,IF($E135&gt;=INDEX('Program Setup'!$E$18:$E$23,MATCH($C135,'Program Setup'!$B$18:$B$23,0)),3,"-"))),"-"))</f>
        <v/>
      </c>
      <c r="I135" s="7">
        <f>IF(ISNUMBER($H135),INDEX('Program Setup'!$B$6:$B$8,MATCH($H135,'Program Setup'!$A$6:$A$8,0)),0)</f>
        <v/>
      </c>
      <c r="J135" s="8">
        <f>SUMIFS('Amplify Detail'!$E$5:$E$496,'Amplify Detail'!$A$5:$A$496,$A135,'Amplify Detail'!$C$5:$C$496,$C135)</f>
        <v/>
      </c>
      <c r="K135" s="8">
        <f>SUMIFS('Amplify Detail'!$F$5:$F$496,'Amplify Detail'!$A$5:$A$496,$A135,'Amplify Detail'!$C$5:$C$496,$C135)</f>
        <v/>
      </c>
      <c r="L135" s="8">
        <f>SUMIFS('Amplify Detail'!$G$5:$G$496,'Amplify Detail'!$A$5:$A$496,$A135,'Amplify Detail'!$C$5:$C$496,$C135)</f>
        <v/>
      </c>
      <c r="M135" s="7">
        <f>SUMIFS('Amplify Detail'!$J$5:$J$496,'Amplify Detail'!$A$5:$A$496,$A135,'Amplify Detail'!$C$5:$C$496,$C135)</f>
        <v/>
      </c>
      <c r="N135" s="7">
        <f>$I135+$M135</f>
        <v/>
      </c>
      <c r="O135" s="9">
        <f>IF($G135="No qualifier - Amplify open",1,IFERROR(INDEX('Program Setup'!$B$12:$B$14,MATCH($G135,'Program Setup'!$A$12:$A$14,0)),0))</f>
        <v/>
      </c>
      <c r="P135" s="4">
        <f>$A135&amp;"|"&amp;$C135</f>
        <v/>
      </c>
    </row>
    <row r="136">
      <c r="A136" s="4" t="inlineStr">
        <is>
          <t>John O'Donoghue</t>
        </is>
      </c>
      <c r="B136" s="4" t="inlineStr">
        <is>
          <t>Mike Kennedy</t>
        </is>
      </c>
      <c r="C136" s="4" t="inlineStr">
        <is>
          <t>Cape May</t>
        </is>
      </c>
      <c r="D136" s="5" t="n"/>
      <c r="E136" s="5" t="n"/>
      <c r="F136" s="6">
        <f>IF($D136&gt;0,$E136/$D136,"")</f>
        <v/>
      </c>
      <c r="G136" s="4">
        <f>IF($D136&gt;0,IF($F136&gt;=1,"Qualified",IF($F136&gt;=0.9,"90% Partial Amplify","Not Qualified")),"No qualifier - Amplify open")</f>
        <v/>
      </c>
      <c r="H136" s="4">
        <f>IF($G136&lt;&gt;"Qualified","-",IFERROR(IF($E136&gt;=INDEX('Program Setup'!$C$18:$C$23,MATCH($C136,'Program Setup'!$B$18:$B$23,0)),1,IF($E136&gt;=INDEX('Program Setup'!$D$18:$D$23,MATCH($C136,'Program Setup'!$B$18:$B$23,0)),2,IF($E136&gt;=INDEX('Program Setup'!$E$18:$E$23,MATCH($C136,'Program Setup'!$B$18:$B$23,0)),3,"-"))),"-"))</f>
        <v/>
      </c>
      <c r="I136" s="7">
        <f>IF(ISNUMBER($H136),INDEX('Program Setup'!$B$6:$B$8,MATCH($H136,'Program Setup'!$A$6:$A$8,0)),0)</f>
        <v/>
      </c>
      <c r="J136" s="8">
        <f>SUMIFS('Amplify Detail'!$E$5:$E$496,'Amplify Detail'!$A$5:$A$496,$A136,'Amplify Detail'!$C$5:$C$496,$C136)</f>
        <v/>
      </c>
      <c r="K136" s="8">
        <f>SUMIFS('Amplify Detail'!$F$5:$F$496,'Amplify Detail'!$A$5:$A$496,$A136,'Amplify Detail'!$C$5:$C$496,$C136)</f>
        <v/>
      </c>
      <c r="L136" s="8">
        <f>SUMIFS('Amplify Detail'!$G$5:$G$496,'Amplify Detail'!$A$5:$A$496,$A136,'Amplify Detail'!$C$5:$C$496,$C136)</f>
        <v/>
      </c>
      <c r="M136" s="7">
        <f>SUMIFS('Amplify Detail'!$J$5:$J$496,'Amplify Detail'!$A$5:$A$496,$A136,'Amplify Detail'!$C$5:$C$496,$C136)</f>
        <v/>
      </c>
      <c r="N136" s="7">
        <f>$I136+$M136</f>
        <v/>
      </c>
      <c r="O136" s="9">
        <f>IF($G136="No qualifier - Amplify open",1,IFERROR(INDEX('Program Setup'!$B$12:$B$14,MATCH($G136,'Program Setup'!$A$12:$A$14,0)),0))</f>
        <v/>
      </c>
      <c r="P136" s="4">
        <f>$A136&amp;"|"&amp;$C136</f>
        <v/>
      </c>
    </row>
    <row r="137">
      <c r="A137" s="4" t="inlineStr">
        <is>
          <t>John O'Donoghue</t>
        </is>
      </c>
      <c r="B137" s="4" t="inlineStr">
        <is>
          <t>Mike Kennedy</t>
        </is>
      </c>
      <c r="C137" s="4" t="inlineStr">
        <is>
          <t>Constellation Brands</t>
        </is>
      </c>
      <c r="D137" s="5" t="n">
        <v>233</v>
      </c>
      <c r="E137" s="5" t="n">
        <v>358</v>
      </c>
      <c r="F137" s="6">
        <f>IF($D137&gt;0,$E137/$D137,"")</f>
        <v/>
      </c>
      <c r="G137" s="4">
        <f>IF($D137&gt;0,IF($F137&gt;=1,"Qualified",IF($F137&gt;=0.9,"90% Partial Amplify","Not Qualified")),"No qualifier - Amplify open")</f>
        <v/>
      </c>
      <c r="H137" s="4">
        <f>IF($G137&lt;&gt;"Qualified","-",IFERROR(IF($E137&gt;=INDEX('Program Setup'!$C$18:$C$23,MATCH($C137,'Program Setup'!$B$18:$B$23,0)),1,IF($E137&gt;=INDEX('Program Setup'!$D$18:$D$23,MATCH($C137,'Program Setup'!$B$18:$B$23,0)),2,IF($E137&gt;=INDEX('Program Setup'!$E$18:$E$23,MATCH($C137,'Program Setup'!$B$18:$B$23,0)),3,"-"))),"-"))</f>
        <v/>
      </c>
      <c r="I137" s="7">
        <f>IF(ISNUMBER($H137),INDEX('Program Setup'!$B$6:$B$8,MATCH($H137,'Program Setup'!$A$6:$A$8,0)),0)</f>
        <v/>
      </c>
      <c r="J137" s="8">
        <f>SUMIFS('Amplify Detail'!$E$5:$E$496,'Amplify Detail'!$A$5:$A$496,$A137,'Amplify Detail'!$C$5:$C$496,$C137)</f>
        <v/>
      </c>
      <c r="K137" s="8">
        <f>SUMIFS('Amplify Detail'!$F$5:$F$496,'Amplify Detail'!$A$5:$A$496,$A137,'Amplify Detail'!$C$5:$C$496,$C137)</f>
        <v/>
      </c>
      <c r="L137" s="8">
        <f>SUMIFS('Amplify Detail'!$G$5:$G$496,'Amplify Detail'!$A$5:$A$496,$A137,'Amplify Detail'!$C$5:$C$496,$C137)</f>
        <v/>
      </c>
      <c r="M137" s="7">
        <f>SUMIFS('Amplify Detail'!$J$5:$J$496,'Amplify Detail'!$A$5:$A$496,$A137,'Amplify Detail'!$C$5:$C$496,$C137)</f>
        <v/>
      </c>
      <c r="N137" s="7">
        <f>$I137+$M137</f>
        <v/>
      </c>
      <c r="O137" s="9">
        <f>IF($G137="No qualifier - Amplify open",1,IFERROR(INDEX('Program Setup'!$B$12:$B$14,MATCH($G137,'Program Setup'!$A$12:$A$14,0)),0))</f>
        <v/>
      </c>
      <c r="P137" s="4">
        <f>$A137&amp;"|"&amp;$C137</f>
        <v/>
      </c>
    </row>
    <row r="138">
      <c r="A138" s="4" t="inlineStr">
        <is>
          <t>John O'Donoghue</t>
        </is>
      </c>
      <c r="B138" s="4" t="inlineStr">
        <is>
          <t>Mike Kennedy</t>
        </is>
      </c>
      <c r="C138" s="4" t="inlineStr">
        <is>
          <t>DG Yuengling Inc</t>
        </is>
      </c>
      <c r="D138" s="5" t="n"/>
      <c r="E138" s="5" t="n">
        <v>4</v>
      </c>
      <c r="F138" s="6">
        <f>IF($D138&gt;0,$E138/$D138,"")</f>
        <v/>
      </c>
      <c r="G138" s="4">
        <f>IF($D138&gt;0,IF($F138&gt;=1,"Qualified",IF($F138&gt;=0.9,"90% Partial Amplify","Not Qualified")),"No qualifier - Amplify open")</f>
        <v/>
      </c>
      <c r="H138" s="4">
        <f>IF($G138&lt;&gt;"Qualified","-",IFERROR(IF($E138&gt;=INDEX('Program Setup'!$C$18:$C$23,MATCH($C138,'Program Setup'!$B$18:$B$23,0)),1,IF($E138&gt;=INDEX('Program Setup'!$D$18:$D$23,MATCH($C138,'Program Setup'!$B$18:$B$23,0)),2,IF($E138&gt;=INDEX('Program Setup'!$E$18:$E$23,MATCH($C138,'Program Setup'!$B$18:$B$23,0)),3,"-"))),"-"))</f>
        <v/>
      </c>
      <c r="I138" s="7">
        <f>IF(ISNUMBER($H138),INDEX('Program Setup'!$B$6:$B$8,MATCH($H138,'Program Setup'!$A$6:$A$8,0)),0)</f>
        <v/>
      </c>
      <c r="J138" s="8">
        <f>SUMIFS('Amplify Detail'!$E$5:$E$496,'Amplify Detail'!$A$5:$A$496,$A138,'Amplify Detail'!$C$5:$C$496,$C138)</f>
        <v/>
      </c>
      <c r="K138" s="8">
        <f>SUMIFS('Amplify Detail'!$F$5:$F$496,'Amplify Detail'!$A$5:$A$496,$A138,'Amplify Detail'!$C$5:$C$496,$C138)</f>
        <v/>
      </c>
      <c r="L138" s="8">
        <f>SUMIFS('Amplify Detail'!$G$5:$G$496,'Amplify Detail'!$A$5:$A$496,$A138,'Amplify Detail'!$C$5:$C$496,$C138)</f>
        <v/>
      </c>
      <c r="M138" s="7">
        <f>SUMIFS('Amplify Detail'!$J$5:$J$496,'Amplify Detail'!$A$5:$A$496,$A138,'Amplify Detail'!$C$5:$C$496,$C138)</f>
        <v/>
      </c>
      <c r="N138" s="7">
        <f>$I138+$M138</f>
        <v/>
      </c>
      <c r="O138" s="9">
        <f>IF($G138="No qualifier - Amplify open",1,IFERROR(INDEX('Program Setup'!$B$12:$B$14,MATCH($G138,'Program Setup'!$A$12:$A$14,0)),0))</f>
        <v/>
      </c>
      <c r="P138" s="4">
        <f>$A138&amp;"|"&amp;$C138</f>
        <v/>
      </c>
    </row>
    <row r="139">
      <c r="A139" s="4" t="inlineStr">
        <is>
          <t>John O'Donoghue</t>
        </is>
      </c>
      <c r="B139" s="4" t="inlineStr">
        <is>
          <t>Mike Kennedy</t>
        </is>
      </c>
      <c r="C139" s="4" t="inlineStr">
        <is>
          <t>Heineken USA</t>
        </is>
      </c>
      <c r="D139" s="5" t="n"/>
      <c r="E139" s="5" t="n">
        <v>73</v>
      </c>
      <c r="F139" s="6">
        <f>IF($D139&gt;0,$E139/$D139,"")</f>
        <v/>
      </c>
      <c r="G139" s="4">
        <f>IF($D139&gt;0,IF($F139&gt;=1,"Qualified",IF($F139&gt;=0.9,"90% Partial Amplify","Not Qualified")),"No qualifier - Amplify open")</f>
        <v/>
      </c>
      <c r="H139" s="4">
        <f>IF($G139&lt;&gt;"Qualified","-",IFERROR(IF($E139&gt;=INDEX('Program Setup'!$C$18:$C$23,MATCH($C139,'Program Setup'!$B$18:$B$23,0)),1,IF($E139&gt;=INDEX('Program Setup'!$D$18:$D$23,MATCH($C139,'Program Setup'!$B$18:$B$23,0)),2,IF($E139&gt;=INDEX('Program Setup'!$E$18:$E$23,MATCH($C139,'Program Setup'!$B$18:$B$23,0)),3,"-"))),"-"))</f>
        <v/>
      </c>
      <c r="I139" s="7">
        <f>IF(ISNUMBER($H139),INDEX('Program Setup'!$B$6:$B$8,MATCH($H139,'Program Setup'!$A$6:$A$8,0)),0)</f>
        <v/>
      </c>
      <c r="J139" s="8">
        <f>SUMIFS('Amplify Detail'!$E$5:$E$496,'Amplify Detail'!$A$5:$A$496,$A139,'Amplify Detail'!$C$5:$C$496,$C139)</f>
        <v/>
      </c>
      <c r="K139" s="8">
        <f>SUMIFS('Amplify Detail'!$F$5:$F$496,'Amplify Detail'!$A$5:$A$496,$A139,'Amplify Detail'!$C$5:$C$496,$C139)</f>
        <v/>
      </c>
      <c r="L139" s="8">
        <f>SUMIFS('Amplify Detail'!$G$5:$G$496,'Amplify Detail'!$A$5:$A$496,$A139,'Amplify Detail'!$C$5:$C$496,$C139)</f>
        <v/>
      </c>
      <c r="M139" s="7">
        <f>SUMIFS('Amplify Detail'!$J$5:$J$496,'Amplify Detail'!$A$5:$A$496,$A139,'Amplify Detail'!$C$5:$C$496,$C139)</f>
        <v/>
      </c>
      <c r="N139" s="7">
        <f>$I139+$M139</f>
        <v/>
      </c>
      <c r="O139" s="9">
        <f>IF($G139="No qualifier - Amplify open",1,IFERROR(INDEX('Program Setup'!$B$12:$B$14,MATCH($G139,'Program Setup'!$A$12:$A$14,0)),0))</f>
        <v/>
      </c>
      <c r="P139" s="4">
        <f>$A139&amp;"|"&amp;$C139</f>
        <v/>
      </c>
    </row>
    <row r="140">
      <c r="A140" s="4" t="inlineStr">
        <is>
          <t>John O'Donoghue</t>
        </is>
      </c>
      <c r="B140" s="4" t="inlineStr">
        <is>
          <t>Mike Kennedy</t>
        </is>
      </c>
      <c r="C140" s="4" t="inlineStr">
        <is>
          <t>Mark Anthony</t>
        </is>
      </c>
      <c r="D140" s="5" t="n">
        <v>14</v>
      </c>
      <c r="E140" s="5" t="n">
        <v>26</v>
      </c>
      <c r="F140" s="6">
        <f>IF($D140&gt;0,$E140/$D140,"")</f>
        <v/>
      </c>
      <c r="G140" s="4">
        <f>IF($D140&gt;0,IF($F140&gt;=1,"Qualified",IF($F140&gt;=0.9,"90% Partial Amplify","Not Qualified")),"No qualifier - Amplify open")</f>
        <v/>
      </c>
      <c r="H140" s="4">
        <f>IF($G140&lt;&gt;"Qualified","-",IFERROR(IF($E140&gt;=INDEX('Program Setup'!$C$18:$C$23,MATCH($C140,'Program Setup'!$B$18:$B$23,0)),1,IF($E140&gt;=INDEX('Program Setup'!$D$18:$D$23,MATCH($C140,'Program Setup'!$B$18:$B$23,0)),2,IF($E140&gt;=INDEX('Program Setup'!$E$18:$E$23,MATCH($C140,'Program Setup'!$B$18:$B$23,0)),3,"-"))),"-"))</f>
        <v/>
      </c>
      <c r="I140" s="7">
        <f>IF(ISNUMBER($H140),INDEX('Program Setup'!$B$6:$B$8,MATCH($H140,'Program Setup'!$A$6:$A$8,0)),0)</f>
        <v/>
      </c>
      <c r="J140" s="8">
        <f>SUMIFS('Amplify Detail'!$E$5:$E$496,'Amplify Detail'!$A$5:$A$496,$A140,'Amplify Detail'!$C$5:$C$496,$C140)</f>
        <v/>
      </c>
      <c r="K140" s="8">
        <f>SUMIFS('Amplify Detail'!$F$5:$F$496,'Amplify Detail'!$A$5:$A$496,$A140,'Amplify Detail'!$C$5:$C$496,$C140)</f>
        <v/>
      </c>
      <c r="L140" s="8">
        <f>SUMIFS('Amplify Detail'!$G$5:$G$496,'Amplify Detail'!$A$5:$A$496,$A140,'Amplify Detail'!$C$5:$C$496,$C140)</f>
        <v/>
      </c>
      <c r="M140" s="7">
        <f>SUMIFS('Amplify Detail'!$J$5:$J$496,'Amplify Detail'!$A$5:$A$496,$A140,'Amplify Detail'!$C$5:$C$496,$C140)</f>
        <v/>
      </c>
      <c r="N140" s="7">
        <f>$I140+$M140</f>
        <v/>
      </c>
      <c r="O140" s="9">
        <f>IF($G140="No qualifier - Amplify open",1,IFERROR(INDEX('Program Setup'!$B$12:$B$14,MATCH($G140,'Program Setup'!$A$12:$A$14,0)),0))</f>
        <v/>
      </c>
      <c r="P140" s="4">
        <f>$A140&amp;"|"&amp;$C140</f>
        <v/>
      </c>
    </row>
    <row r="141">
      <c r="A141" s="4" t="inlineStr">
        <is>
          <t>John O'Donoghue</t>
        </is>
      </c>
      <c r="B141" s="4" t="inlineStr">
        <is>
          <t>Mike Kennedy</t>
        </is>
      </c>
      <c r="C141" s="4" t="inlineStr">
        <is>
          <t>MolsonCoors Beverage Company</t>
        </is>
      </c>
      <c r="D141" s="5" t="n"/>
      <c r="E141" s="5" t="n">
        <v>112</v>
      </c>
      <c r="F141" s="6">
        <f>IF($D141&gt;0,$E141/$D141,"")</f>
        <v/>
      </c>
      <c r="G141" s="4">
        <f>IF($D141&gt;0,IF($F141&gt;=1,"Qualified",IF($F141&gt;=0.9,"90% Partial Amplify","Not Qualified")),"No qualifier - Amplify open")</f>
        <v/>
      </c>
      <c r="H141" s="4">
        <f>IF($G141&lt;&gt;"Qualified","-",IFERROR(IF($E141&gt;=INDEX('Program Setup'!$C$18:$C$23,MATCH($C141,'Program Setup'!$B$18:$B$23,0)),1,IF($E141&gt;=INDEX('Program Setup'!$D$18:$D$23,MATCH($C141,'Program Setup'!$B$18:$B$23,0)),2,IF($E141&gt;=INDEX('Program Setup'!$E$18:$E$23,MATCH($C141,'Program Setup'!$B$18:$B$23,0)),3,"-"))),"-"))</f>
        <v/>
      </c>
      <c r="I141" s="7">
        <f>IF(ISNUMBER($H141),INDEX('Program Setup'!$B$6:$B$8,MATCH($H141,'Program Setup'!$A$6:$A$8,0)),0)</f>
        <v/>
      </c>
      <c r="J141" s="8">
        <f>SUMIFS('Amplify Detail'!$E$5:$E$496,'Amplify Detail'!$A$5:$A$496,$A141,'Amplify Detail'!$C$5:$C$496,$C141)</f>
        <v/>
      </c>
      <c r="K141" s="8">
        <f>SUMIFS('Amplify Detail'!$F$5:$F$496,'Amplify Detail'!$A$5:$A$496,$A141,'Amplify Detail'!$C$5:$C$496,$C141)</f>
        <v/>
      </c>
      <c r="L141" s="8">
        <f>SUMIFS('Amplify Detail'!$G$5:$G$496,'Amplify Detail'!$A$5:$A$496,$A141,'Amplify Detail'!$C$5:$C$496,$C141)</f>
        <v/>
      </c>
      <c r="M141" s="7">
        <f>SUMIFS('Amplify Detail'!$J$5:$J$496,'Amplify Detail'!$A$5:$A$496,$A141,'Amplify Detail'!$C$5:$C$496,$C141)</f>
        <v/>
      </c>
      <c r="N141" s="7">
        <f>$I141+$M141</f>
        <v/>
      </c>
      <c r="O141" s="9">
        <f>IF($G141="No qualifier - Amplify open",1,IFERROR(INDEX('Program Setup'!$B$12:$B$14,MATCH($G141,'Program Setup'!$A$12:$A$14,0)),0))</f>
        <v/>
      </c>
      <c r="P141" s="4">
        <f>$A141&amp;"|"&amp;$C141</f>
        <v/>
      </c>
    </row>
    <row r="142">
      <c r="A142" s="4" t="inlineStr">
        <is>
          <t>John O'Donoghue</t>
        </is>
      </c>
      <c r="B142" s="4" t="inlineStr">
        <is>
          <t>Mike Kennedy</t>
        </is>
      </c>
      <c r="C142" s="4" t="inlineStr">
        <is>
          <t>New Belgium Brewing Company</t>
        </is>
      </c>
      <c r="D142" s="5" t="n"/>
      <c r="E142" s="5" t="n"/>
      <c r="F142" s="6">
        <f>IF($D142&gt;0,$E142/$D142,"")</f>
        <v/>
      </c>
      <c r="G142" s="4">
        <f>IF($D142&gt;0,IF($F142&gt;=1,"Qualified",IF($F142&gt;=0.9,"90% Partial Amplify","Not Qualified")),"No qualifier - Amplify open")</f>
        <v/>
      </c>
      <c r="H142" s="4">
        <f>IF($G142&lt;&gt;"Qualified","-",IFERROR(IF($E142&gt;=INDEX('Program Setup'!$C$18:$C$23,MATCH($C142,'Program Setup'!$B$18:$B$23,0)),1,IF($E142&gt;=INDEX('Program Setup'!$D$18:$D$23,MATCH($C142,'Program Setup'!$B$18:$B$23,0)),2,IF($E142&gt;=INDEX('Program Setup'!$E$18:$E$23,MATCH($C142,'Program Setup'!$B$18:$B$23,0)),3,"-"))),"-"))</f>
        <v/>
      </c>
      <c r="I142" s="7">
        <f>IF(ISNUMBER($H142),INDEX('Program Setup'!$B$6:$B$8,MATCH($H142,'Program Setup'!$A$6:$A$8,0)),0)</f>
        <v/>
      </c>
      <c r="J142" s="8">
        <f>SUMIFS('Amplify Detail'!$E$5:$E$496,'Amplify Detail'!$A$5:$A$496,$A142,'Amplify Detail'!$C$5:$C$496,$C142)</f>
        <v/>
      </c>
      <c r="K142" s="8">
        <f>SUMIFS('Amplify Detail'!$F$5:$F$496,'Amplify Detail'!$A$5:$A$496,$A142,'Amplify Detail'!$C$5:$C$496,$C142)</f>
        <v/>
      </c>
      <c r="L142" s="8">
        <f>SUMIFS('Amplify Detail'!$G$5:$G$496,'Amplify Detail'!$A$5:$A$496,$A142,'Amplify Detail'!$C$5:$C$496,$C142)</f>
        <v/>
      </c>
      <c r="M142" s="7">
        <f>SUMIFS('Amplify Detail'!$J$5:$J$496,'Amplify Detail'!$A$5:$A$496,$A142,'Amplify Detail'!$C$5:$C$496,$C142)</f>
        <v/>
      </c>
      <c r="N142" s="7">
        <f>$I142+$M142</f>
        <v/>
      </c>
      <c r="O142" s="9">
        <f>IF($G142="No qualifier - Amplify open",1,IFERROR(INDEX('Program Setup'!$B$12:$B$14,MATCH($G142,'Program Setup'!$A$12:$A$14,0)),0))</f>
        <v/>
      </c>
      <c r="P142" s="4">
        <f>$A142&amp;"|"&amp;$C142</f>
        <v/>
      </c>
    </row>
    <row r="143">
      <c r="A143" s="4" t="inlineStr">
        <is>
          <t>John O'Donoghue</t>
        </is>
      </c>
      <c r="B143" s="4" t="inlineStr">
        <is>
          <t>Mike Kennedy</t>
        </is>
      </c>
      <c r="C143" s="4" t="inlineStr">
        <is>
          <t>Sapporo</t>
        </is>
      </c>
      <c r="D143" s="5" t="n"/>
      <c r="E143" s="5" t="n"/>
      <c r="F143" s="6">
        <f>IF($D143&gt;0,$E143/$D143,"")</f>
        <v/>
      </c>
      <c r="G143" s="4">
        <f>IF($D143&gt;0,IF($F143&gt;=1,"Qualified",IF($F143&gt;=0.9,"90% Partial Amplify","Not Qualified")),"No qualifier - Amplify open")</f>
        <v/>
      </c>
      <c r="H143" s="4">
        <f>IF($G143&lt;&gt;"Qualified","-",IFERROR(IF($E143&gt;=INDEX('Program Setup'!$C$18:$C$23,MATCH($C143,'Program Setup'!$B$18:$B$23,0)),1,IF($E143&gt;=INDEX('Program Setup'!$D$18:$D$23,MATCH($C143,'Program Setup'!$B$18:$B$23,0)),2,IF($E143&gt;=INDEX('Program Setup'!$E$18:$E$23,MATCH($C143,'Program Setup'!$B$18:$B$23,0)),3,"-"))),"-"))</f>
        <v/>
      </c>
      <c r="I143" s="7">
        <f>IF(ISNUMBER($H143),INDEX('Program Setup'!$B$6:$B$8,MATCH($H143,'Program Setup'!$A$6:$A$8,0)),0)</f>
        <v/>
      </c>
      <c r="J143" s="8">
        <f>SUMIFS('Amplify Detail'!$E$5:$E$496,'Amplify Detail'!$A$5:$A$496,$A143,'Amplify Detail'!$C$5:$C$496,$C143)</f>
        <v/>
      </c>
      <c r="K143" s="8">
        <f>SUMIFS('Amplify Detail'!$F$5:$F$496,'Amplify Detail'!$A$5:$A$496,$A143,'Amplify Detail'!$C$5:$C$496,$C143)</f>
        <v/>
      </c>
      <c r="L143" s="8">
        <f>SUMIFS('Amplify Detail'!$G$5:$G$496,'Amplify Detail'!$A$5:$A$496,$A143,'Amplify Detail'!$C$5:$C$496,$C143)</f>
        <v/>
      </c>
      <c r="M143" s="7">
        <f>SUMIFS('Amplify Detail'!$J$5:$J$496,'Amplify Detail'!$A$5:$A$496,$A143,'Amplify Detail'!$C$5:$C$496,$C143)</f>
        <v/>
      </c>
      <c r="N143" s="7">
        <f>$I143+$M143</f>
        <v/>
      </c>
      <c r="O143" s="9">
        <f>IF($G143="No qualifier - Amplify open",1,IFERROR(INDEX('Program Setup'!$B$12:$B$14,MATCH($G143,'Program Setup'!$A$12:$A$14,0)),0))</f>
        <v/>
      </c>
      <c r="P143" s="4">
        <f>$A143&amp;"|"&amp;$C143</f>
        <v/>
      </c>
    </row>
    <row r="144">
      <c r="A144" s="4" t="inlineStr">
        <is>
          <t>Klejdi Lamo</t>
        </is>
      </c>
      <c r="B144" s="4" t="inlineStr">
        <is>
          <t>Paul Deady</t>
        </is>
      </c>
      <c r="C144" s="4" t="inlineStr">
        <is>
          <t>Boston Beer Company</t>
        </is>
      </c>
      <c r="D144" s="5" t="n">
        <v>4900</v>
      </c>
      <c r="E144" s="5" t="n">
        <v>3764</v>
      </c>
      <c r="F144" s="6">
        <f>IF($D144&gt;0,$E144/$D144,"")</f>
        <v/>
      </c>
      <c r="G144" s="4">
        <f>IF($D144&gt;0,IF($F144&gt;=1,"Qualified",IF($F144&gt;=0.9,"90% Partial Amplify","Not Qualified")),"No qualifier - Amplify open")</f>
        <v/>
      </c>
      <c r="H144" s="4">
        <f>IF($G144&lt;&gt;"Qualified","-",IFERROR(IF($E144&gt;=INDEX('Program Setup'!$C$18:$C$23,MATCH($C144,'Program Setup'!$B$18:$B$23,0)),1,IF($E144&gt;=INDEX('Program Setup'!$D$18:$D$23,MATCH($C144,'Program Setup'!$B$18:$B$23,0)),2,IF($E144&gt;=INDEX('Program Setup'!$E$18:$E$23,MATCH($C144,'Program Setup'!$B$18:$B$23,0)),3,"-"))),"-"))</f>
        <v/>
      </c>
      <c r="I144" s="7">
        <f>IF(ISNUMBER($H144),INDEX('Program Setup'!$B$6:$B$8,MATCH($H144,'Program Setup'!$A$6:$A$8,0)),0)</f>
        <v/>
      </c>
      <c r="J144" s="8">
        <f>SUMIFS('Amplify Detail'!$E$5:$E$496,'Amplify Detail'!$A$5:$A$496,$A144,'Amplify Detail'!$C$5:$C$496,$C144)</f>
        <v/>
      </c>
      <c r="K144" s="8">
        <f>SUMIFS('Amplify Detail'!$F$5:$F$496,'Amplify Detail'!$A$5:$A$496,$A144,'Amplify Detail'!$C$5:$C$496,$C144)</f>
        <v/>
      </c>
      <c r="L144" s="8">
        <f>SUMIFS('Amplify Detail'!$G$5:$G$496,'Amplify Detail'!$A$5:$A$496,$A144,'Amplify Detail'!$C$5:$C$496,$C144)</f>
        <v/>
      </c>
      <c r="M144" s="7">
        <f>SUMIFS('Amplify Detail'!$J$5:$J$496,'Amplify Detail'!$A$5:$A$496,$A144,'Amplify Detail'!$C$5:$C$496,$C144)</f>
        <v/>
      </c>
      <c r="N144" s="7">
        <f>$I144+$M144</f>
        <v/>
      </c>
      <c r="O144" s="9">
        <f>IF($G144="No qualifier - Amplify open",1,IFERROR(INDEX('Program Setup'!$B$12:$B$14,MATCH($G144,'Program Setup'!$A$12:$A$14,0)),0))</f>
        <v/>
      </c>
      <c r="P144" s="4">
        <f>$A144&amp;"|"&amp;$C144</f>
        <v/>
      </c>
    </row>
    <row r="145">
      <c r="A145" s="4" t="inlineStr">
        <is>
          <t>Klejdi Lamo</t>
        </is>
      </c>
      <c r="B145" s="4" t="inlineStr">
        <is>
          <t>Paul Deady</t>
        </is>
      </c>
      <c r="C145" s="4" t="inlineStr">
        <is>
          <t>Cape May</t>
        </is>
      </c>
      <c r="D145" s="5" t="n"/>
      <c r="E145" s="5" t="n"/>
      <c r="F145" s="6">
        <f>IF($D145&gt;0,$E145/$D145,"")</f>
        <v/>
      </c>
      <c r="G145" s="4">
        <f>IF($D145&gt;0,IF($F145&gt;=1,"Qualified",IF($F145&gt;=0.9,"90% Partial Amplify","Not Qualified")),"No qualifier - Amplify open")</f>
        <v/>
      </c>
      <c r="H145" s="4">
        <f>IF($G145&lt;&gt;"Qualified","-",IFERROR(IF($E145&gt;=INDEX('Program Setup'!$C$18:$C$23,MATCH($C145,'Program Setup'!$B$18:$B$23,0)),1,IF($E145&gt;=INDEX('Program Setup'!$D$18:$D$23,MATCH($C145,'Program Setup'!$B$18:$B$23,0)),2,IF($E145&gt;=INDEX('Program Setup'!$E$18:$E$23,MATCH($C145,'Program Setup'!$B$18:$B$23,0)),3,"-"))),"-"))</f>
        <v/>
      </c>
      <c r="I145" s="7">
        <f>IF(ISNUMBER($H145),INDEX('Program Setup'!$B$6:$B$8,MATCH($H145,'Program Setup'!$A$6:$A$8,0)),0)</f>
        <v/>
      </c>
      <c r="J145" s="8">
        <f>SUMIFS('Amplify Detail'!$E$5:$E$496,'Amplify Detail'!$A$5:$A$496,$A145,'Amplify Detail'!$C$5:$C$496,$C145)</f>
        <v/>
      </c>
      <c r="K145" s="8">
        <f>SUMIFS('Amplify Detail'!$F$5:$F$496,'Amplify Detail'!$A$5:$A$496,$A145,'Amplify Detail'!$C$5:$C$496,$C145)</f>
        <v/>
      </c>
      <c r="L145" s="8">
        <f>SUMIFS('Amplify Detail'!$G$5:$G$496,'Amplify Detail'!$A$5:$A$496,$A145,'Amplify Detail'!$C$5:$C$496,$C145)</f>
        <v/>
      </c>
      <c r="M145" s="7">
        <f>SUMIFS('Amplify Detail'!$J$5:$J$496,'Amplify Detail'!$A$5:$A$496,$A145,'Amplify Detail'!$C$5:$C$496,$C145)</f>
        <v/>
      </c>
      <c r="N145" s="7">
        <f>$I145+$M145</f>
        <v/>
      </c>
      <c r="O145" s="9">
        <f>IF($G145="No qualifier - Amplify open",1,IFERROR(INDEX('Program Setup'!$B$12:$B$14,MATCH($G145,'Program Setup'!$A$12:$A$14,0)),0))</f>
        <v/>
      </c>
      <c r="P145" s="4">
        <f>$A145&amp;"|"&amp;$C145</f>
        <v/>
      </c>
    </row>
    <row r="146">
      <c r="A146" s="4" t="inlineStr">
        <is>
          <t>Klejdi Lamo</t>
        </is>
      </c>
      <c r="B146" s="4" t="inlineStr">
        <is>
          <t>Paul Deady</t>
        </is>
      </c>
      <c r="C146" s="4" t="inlineStr">
        <is>
          <t>Constellation Brands</t>
        </is>
      </c>
      <c r="D146" s="5" t="n">
        <v>25364</v>
      </c>
      <c r="E146" s="5" t="n">
        <v>24733</v>
      </c>
      <c r="F146" s="6">
        <f>IF($D146&gt;0,$E146/$D146,"")</f>
        <v/>
      </c>
      <c r="G146" s="4">
        <f>IF($D146&gt;0,IF($F146&gt;=1,"Qualified",IF($F146&gt;=0.9,"90% Partial Amplify","Not Qualified")),"No qualifier - Amplify open")</f>
        <v/>
      </c>
      <c r="H146" s="4">
        <f>IF($G146&lt;&gt;"Qualified","-",IFERROR(IF($E146&gt;=INDEX('Program Setup'!$C$18:$C$23,MATCH($C146,'Program Setup'!$B$18:$B$23,0)),1,IF($E146&gt;=INDEX('Program Setup'!$D$18:$D$23,MATCH($C146,'Program Setup'!$B$18:$B$23,0)),2,IF($E146&gt;=INDEX('Program Setup'!$E$18:$E$23,MATCH($C146,'Program Setup'!$B$18:$B$23,0)),3,"-"))),"-"))</f>
        <v/>
      </c>
      <c r="I146" s="7">
        <f>IF(ISNUMBER($H146),INDEX('Program Setup'!$B$6:$B$8,MATCH($H146,'Program Setup'!$A$6:$A$8,0)),0)</f>
        <v/>
      </c>
      <c r="J146" s="8">
        <f>SUMIFS('Amplify Detail'!$E$5:$E$496,'Amplify Detail'!$A$5:$A$496,$A146,'Amplify Detail'!$C$5:$C$496,$C146)</f>
        <v/>
      </c>
      <c r="K146" s="8">
        <f>SUMIFS('Amplify Detail'!$F$5:$F$496,'Amplify Detail'!$A$5:$A$496,$A146,'Amplify Detail'!$C$5:$C$496,$C146)</f>
        <v/>
      </c>
      <c r="L146" s="8">
        <f>SUMIFS('Amplify Detail'!$G$5:$G$496,'Amplify Detail'!$A$5:$A$496,$A146,'Amplify Detail'!$C$5:$C$496,$C146)</f>
        <v/>
      </c>
      <c r="M146" s="7">
        <f>SUMIFS('Amplify Detail'!$J$5:$J$496,'Amplify Detail'!$A$5:$A$496,$A146,'Amplify Detail'!$C$5:$C$496,$C146)</f>
        <v/>
      </c>
      <c r="N146" s="7">
        <f>$I146+$M146</f>
        <v/>
      </c>
      <c r="O146" s="9">
        <f>IF($G146="No qualifier - Amplify open",1,IFERROR(INDEX('Program Setup'!$B$12:$B$14,MATCH($G146,'Program Setup'!$A$12:$A$14,0)),0))</f>
        <v/>
      </c>
      <c r="P146" s="4">
        <f>$A146&amp;"|"&amp;$C146</f>
        <v/>
      </c>
    </row>
    <row r="147">
      <c r="A147" s="4" t="inlineStr">
        <is>
          <t>Klejdi Lamo</t>
        </is>
      </c>
      <c r="B147" s="4" t="inlineStr">
        <is>
          <t>Paul Deady</t>
        </is>
      </c>
      <c r="C147" s="4" t="inlineStr">
        <is>
          <t>DG Yuengling Inc</t>
        </is>
      </c>
      <c r="D147" s="5" t="n">
        <v>4063</v>
      </c>
      <c r="E147" s="5" t="n">
        <v>4029</v>
      </c>
      <c r="F147" s="6">
        <f>IF($D147&gt;0,$E147/$D147,"")</f>
        <v/>
      </c>
      <c r="G147" s="4">
        <f>IF($D147&gt;0,IF($F147&gt;=1,"Qualified",IF($F147&gt;=0.9,"90% Partial Amplify","Not Qualified")),"No qualifier - Amplify open")</f>
        <v/>
      </c>
      <c r="H147" s="4">
        <f>IF($G147&lt;&gt;"Qualified","-",IFERROR(IF($E147&gt;=INDEX('Program Setup'!$C$18:$C$23,MATCH($C147,'Program Setup'!$B$18:$B$23,0)),1,IF($E147&gt;=INDEX('Program Setup'!$D$18:$D$23,MATCH($C147,'Program Setup'!$B$18:$B$23,0)),2,IF($E147&gt;=INDEX('Program Setup'!$E$18:$E$23,MATCH($C147,'Program Setup'!$B$18:$B$23,0)),3,"-"))),"-"))</f>
        <v/>
      </c>
      <c r="I147" s="7">
        <f>IF(ISNUMBER($H147),INDEX('Program Setup'!$B$6:$B$8,MATCH($H147,'Program Setup'!$A$6:$A$8,0)),0)</f>
        <v/>
      </c>
      <c r="J147" s="8">
        <f>SUMIFS('Amplify Detail'!$E$5:$E$496,'Amplify Detail'!$A$5:$A$496,$A147,'Amplify Detail'!$C$5:$C$496,$C147)</f>
        <v/>
      </c>
      <c r="K147" s="8">
        <f>SUMIFS('Amplify Detail'!$F$5:$F$496,'Amplify Detail'!$A$5:$A$496,$A147,'Amplify Detail'!$C$5:$C$496,$C147)</f>
        <v/>
      </c>
      <c r="L147" s="8">
        <f>SUMIFS('Amplify Detail'!$G$5:$G$496,'Amplify Detail'!$A$5:$A$496,$A147,'Amplify Detail'!$C$5:$C$496,$C147)</f>
        <v/>
      </c>
      <c r="M147" s="7">
        <f>SUMIFS('Amplify Detail'!$J$5:$J$496,'Amplify Detail'!$A$5:$A$496,$A147,'Amplify Detail'!$C$5:$C$496,$C147)</f>
        <v/>
      </c>
      <c r="N147" s="7">
        <f>$I147+$M147</f>
        <v/>
      </c>
      <c r="O147" s="9">
        <f>IF($G147="No qualifier - Amplify open",1,IFERROR(INDEX('Program Setup'!$B$12:$B$14,MATCH($G147,'Program Setup'!$A$12:$A$14,0)),0))</f>
        <v/>
      </c>
      <c r="P147" s="4">
        <f>$A147&amp;"|"&amp;$C147</f>
        <v/>
      </c>
    </row>
    <row r="148">
      <c r="A148" s="4" t="inlineStr">
        <is>
          <t>Klejdi Lamo</t>
        </is>
      </c>
      <c r="B148" s="4" t="inlineStr">
        <is>
          <t>Paul Deady</t>
        </is>
      </c>
      <c r="C148" s="4" t="inlineStr">
        <is>
          <t>Heineken USA</t>
        </is>
      </c>
      <c r="D148" s="5" t="n">
        <v>190</v>
      </c>
      <c r="E148" s="5" t="n">
        <v>101</v>
      </c>
      <c r="F148" s="6">
        <f>IF($D148&gt;0,$E148/$D148,"")</f>
        <v/>
      </c>
      <c r="G148" s="4">
        <f>IF($D148&gt;0,IF($F148&gt;=1,"Qualified",IF($F148&gt;=0.9,"90% Partial Amplify","Not Qualified")),"No qualifier - Amplify open")</f>
        <v/>
      </c>
      <c r="H148" s="4">
        <f>IF($G148&lt;&gt;"Qualified","-",IFERROR(IF($E148&gt;=INDEX('Program Setup'!$C$18:$C$23,MATCH($C148,'Program Setup'!$B$18:$B$23,0)),1,IF($E148&gt;=INDEX('Program Setup'!$D$18:$D$23,MATCH($C148,'Program Setup'!$B$18:$B$23,0)),2,IF($E148&gt;=INDEX('Program Setup'!$E$18:$E$23,MATCH($C148,'Program Setup'!$B$18:$B$23,0)),3,"-"))),"-"))</f>
        <v/>
      </c>
      <c r="I148" s="7">
        <f>IF(ISNUMBER($H148),INDEX('Program Setup'!$B$6:$B$8,MATCH($H148,'Program Setup'!$A$6:$A$8,0)),0)</f>
        <v/>
      </c>
      <c r="J148" s="8">
        <f>SUMIFS('Amplify Detail'!$E$5:$E$496,'Amplify Detail'!$A$5:$A$496,$A148,'Amplify Detail'!$C$5:$C$496,$C148)</f>
        <v/>
      </c>
      <c r="K148" s="8">
        <f>SUMIFS('Amplify Detail'!$F$5:$F$496,'Amplify Detail'!$A$5:$A$496,$A148,'Amplify Detail'!$C$5:$C$496,$C148)</f>
        <v/>
      </c>
      <c r="L148" s="8">
        <f>SUMIFS('Amplify Detail'!$G$5:$G$496,'Amplify Detail'!$A$5:$A$496,$A148,'Amplify Detail'!$C$5:$C$496,$C148)</f>
        <v/>
      </c>
      <c r="M148" s="7">
        <f>SUMIFS('Amplify Detail'!$J$5:$J$496,'Amplify Detail'!$A$5:$A$496,$A148,'Amplify Detail'!$C$5:$C$496,$C148)</f>
        <v/>
      </c>
      <c r="N148" s="7">
        <f>$I148+$M148</f>
        <v/>
      </c>
      <c r="O148" s="9">
        <f>IF($G148="No qualifier - Amplify open",1,IFERROR(INDEX('Program Setup'!$B$12:$B$14,MATCH($G148,'Program Setup'!$A$12:$A$14,0)),0))</f>
        <v/>
      </c>
      <c r="P148" s="4">
        <f>$A148&amp;"|"&amp;$C148</f>
        <v/>
      </c>
    </row>
    <row r="149">
      <c r="A149" s="4" t="inlineStr">
        <is>
          <t>Klejdi Lamo</t>
        </is>
      </c>
      <c r="B149" s="4" t="inlineStr">
        <is>
          <t>Paul Deady</t>
        </is>
      </c>
      <c r="C149" s="4" t="inlineStr">
        <is>
          <t>Mark Anthony</t>
        </is>
      </c>
      <c r="D149" s="5" t="n">
        <v>8451</v>
      </c>
      <c r="E149" s="5" t="n">
        <v>8879</v>
      </c>
      <c r="F149" s="6">
        <f>IF($D149&gt;0,$E149/$D149,"")</f>
        <v/>
      </c>
      <c r="G149" s="4">
        <f>IF($D149&gt;0,IF($F149&gt;=1,"Qualified",IF($F149&gt;=0.9,"90% Partial Amplify","Not Qualified")),"No qualifier - Amplify open")</f>
        <v/>
      </c>
      <c r="H149" s="4">
        <f>IF($G149&lt;&gt;"Qualified","-",IFERROR(IF($E149&gt;=INDEX('Program Setup'!$C$18:$C$23,MATCH($C149,'Program Setup'!$B$18:$B$23,0)),1,IF($E149&gt;=INDEX('Program Setup'!$D$18:$D$23,MATCH($C149,'Program Setup'!$B$18:$B$23,0)),2,IF($E149&gt;=INDEX('Program Setup'!$E$18:$E$23,MATCH($C149,'Program Setup'!$B$18:$B$23,0)),3,"-"))),"-"))</f>
        <v/>
      </c>
      <c r="I149" s="7">
        <f>IF(ISNUMBER($H149),INDEX('Program Setup'!$B$6:$B$8,MATCH($H149,'Program Setup'!$A$6:$A$8,0)),0)</f>
        <v/>
      </c>
      <c r="J149" s="8">
        <f>SUMIFS('Amplify Detail'!$E$5:$E$496,'Amplify Detail'!$A$5:$A$496,$A149,'Amplify Detail'!$C$5:$C$496,$C149)</f>
        <v/>
      </c>
      <c r="K149" s="8">
        <f>SUMIFS('Amplify Detail'!$F$5:$F$496,'Amplify Detail'!$A$5:$A$496,$A149,'Amplify Detail'!$C$5:$C$496,$C149)</f>
        <v/>
      </c>
      <c r="L149" s="8">
        <f>SUMIFS('Amplify Detail'!$G$5:$G$496,'Amplify Detail'!$A$5:$A$496,$A149,'Amplify Detail'!$C$5:$C$496,$C149)</f>
        <v/>
      </c>
      <c r="M149" s="7">
        <f>SUMIFS('Amplify Detail'!$J$5:$J$496,'Amplify Detail'!$A$5:$A$496,$A149,'Amplify Detail'!$C$5:$C$496,$C149)</f>
        <v/>
      </c>
      <c r="N149" s="7">
        <f>$I149+$M149</f>
        <v/>
      </c>
      <c r="O149" s="9">
        <f>IF($G149="No qualifier - Amplify open",1,IFERROR(INDEX('Program Setup'!$B$12:$B$14,MATCH($G149,'Program Setup'!$A$12:$A$14,0)),0))</f>
        <v/>
      </c>
      <c r="P149" s="4">
        <f>$A149&amp;"|"&amp;$C149</f>
        <v/>
      </c>
    </row>
    <row r="150">
      <c r="A150" s="4" t="inlineStr">
        <is>
          <t>Klejdi Lamo</t>
        </is>
      </c>
      <c r="B150" s="4" t="inlineStr">
        <is>
          <t>Paul Deady</t>
        </is>
      </c>
      <c r="C150" s="4" t="inlineStr">
        <is>
          <t>MolsonCoors Beverage Company</t>
        </is>
      </c>
      <c r="D150" s="5" t="n">
        <v>27752</v>
      </c>
      <c r="E150" s="5" t="n">
        <v>28187</v>
      </c>
      <c r="F150" s="6">
        <f>IF($D150&gt;0,$E150/$D150,"")</f>
        <v/>
      </c>
      <c r="G150" s="4">
        <f>IF($D150&gt;0,IF($F150&gt;=1,"Qualified",IF($F150&gt;=0.9,"90% Partial Amplify","Not Qualified")),"No qualifier - Amplify open")</f>
        <v/>
      </c>
      <c r="H150" s="4">
        <f>IF($G150&lt;&gt;"Qualified","-",IFERROR(IF($E150&gt;=INDEX('Program Setup'!$C$18:$C$23,MATCH($C150,'Program Setup'!$B$18:$B$23,0)),1,IF($E150&gt;=INDEX('Program Setup'!$D$18:$D$23,MATCH($C150,'Program Setup'!$B$18:$B$23,0)),2,IF($E150&gt;=INDEX('Program Setup'!$E$18:$E$23,MATCH($C150,'Program Setup'!$B$18:$B$23,0)),3,"-"))),"-"))</f>
        <v/>
      </c>
      <c r="I150" s="7">
        <f>IF(ISNUMBER($H150),INDEX('Program Setup'!$B$6:$B$8,MATCH($H150,'Program Setup'!$A$6:$A$8,0)),0)</f>
        <v/>
      </c>
      <c r="J150" s="8">
        <f>SUMIFS('Amplify Detail'!$E$5:$E$496,'Amplify Detail'!$A$5:$A$496,$A150,'Amplify Detail'!$C$5:$C$496,$C150)</f>
        <v/>
      </c>
      <c r="K150" s="8">
        <f>SUMIFS('Amplify Detail'!$F$5:$F$496,'Amplify Detail'!$A$5:$A$496,$A150,'Amplify Detail'!$C$5:$C$496,$C150)</f>
        <v/>
      </c>
      <c r="L150" s="8">
        <f>SUMIFS('Amplify Detail'!$G$5:$G$496,'Amplify Detail'!$A$5:$A$496,$A150,'Amplify Detail'!$C$5:$C$496,$C150)</f>
        <v/>
      </c>
      <c r="M150" s="7">
        <f>SUMIFS('Amplify Detail'!$J$5:$J$496,'Amplify Detail'!$A$5:$A$496,$A150,'Amplify Detail'!$C$5:$C$496,$C150)</f>
        <v/>
      </c>
      <c r="N150" s="7">
        <f>$I150+$M150</f>
        <v/>
      </c>
      <c r="O150" s="9">
        <f>IF($G150="No qualifier - Amplify open",1,IFERROR(INDEX('Program Setup'!$B$12:$B$14,MATCH($G150,'Program Setup'!$A$12:$A$14,0)),0))</f>
        <v/>
      </c>
      <c r="P150" s="4">
        <f>$A150&amp;"|"&amp;$C150</f>
        <v/>
      </c>
    </row>
    <row r="151">
      <c r="A151" s="4" t="inlineStr">
        <is>
          <t>Klejdi Lamo</t>
        </is>
      </c>
      <c r="B151" s="4" t="inlineStr">
        <is>
          <t>Paul Deady</t>
        </is>
      </c>
      <c r="C151" s="4" t="inlineStr">
        <is>
          <t>New Belgium Brewing Company</t>
        </is>
      </c>
      <c r="D151" s="5" t="n"/>
      <c r="E151" s="5" t="n"/>
      <c r="F151" s="6">
        <f>IF($D151&gt;0,$E151/$D151,"")</f>
        <v/>
      </c>
      <c r="G151" s="4">
        <f>IF($D151&gt;0,IF($F151&gt;=1,"Qualified",IF($F151&gt;=0.9,"90% Partial Amplify","Not Qualified")),"No qualifier - Amplify open")</f>
        <v/>
      </c>
      <c r="H151" s="4">
        <f>IF($G151&lt;&gt;"Qualified","-",IFERROR(IF($E151&gt;=INDEX('Program Setup'!$C$18:$C$23,MATCH($C151,'Program Setup'!$B$18:$B$23,0)),1,IF($E151&gt;=INDEX('Program Setup'!$D$18:$D$23,MATCH($C151,'Program Setup'!$B$18:$B$23,0)),2,IF($E151&gt;=INDEX('Program Setup'!$E$18:$E$23,MATCH($C151,'Program Setup'!$B$18:$B$23,0)),3,"-"))),"-"))</f>
        <v/>
      </c>
      <c r="I151" s="7">
        <f>IF(ISNUMBER($H151),INDEX('Program Setup'!$B$6:$B$8,MATCH($H151,'Program Setup'!$A$6:$A$8,0)),0)</f>
        <v/>
      </c>
      <c r="J151" s="8">
        <f>SUMIFS('Amplify Detail'!$E$5:$E$496,'Amplify Detail'!$A$5:$A$496,$A151,'Amplify Detail'!$C$5:$C$496,$C151)</f>
        <v/>
      </c>
      <c r="K151" s="8">
        <f>SUMIFS('Amplify Detail'!$F$5:$F$496,'Amplify Detail'!$A$5:$A$496,$A151,'Amplify Detail'!$C$5:$C$496,$C151)</f>
        <v/>
      </c>
      <c r="L151" s="8">
        <f>SUMIFS('Amplify Detail'!$G$5:$G$496,'Amplify Detail'!$A$5:$A$496,$A151,'Amplify Detail'!$C$5:$C$496,$C151)</f>
        <v/>
      </c>
      <c r="M151" s="7">
        <f>SUMIFS('Amplify Detail'!$J$5:$J$496,'Amplify Detail'!$A$5:$A$496,$A151,'Amplify Detail'!$C$5:$C$496,$C151)</f>
        <v/>
      </c>
      <c r="N151" s="7">
        <f>$I151+$M151</f>
        <v/>
      </c>
      <c r="O151" s="9">
        <f>IF($G151="No qualifier - Amplify open",1,IFERROR(INDEX('Program Setup'!$B$12:$B$14,MATCH($G151,'Program Setup'!$A$12:$A$14,0)),0))</f>
        <v/>
      </c>
      <c r="P151" s="4">
        <f>$A151&amp;"|"&amp;$C151</f>
        <v/>
      </c>
    </row>
    <row r="152">
      <c r="A152" s="4" t="inlineStr">
        <is>
          <t>Klejdi Lamo</t>
        </is>
      </c>
      <c r="B152" s="4" t="inlineStr">
        <is>
          <t>Paul Deady</t>
        </is>
      </c>
      <c r="C152" s="4" t="inlineStr">
        <is>
          <t>Sapporo</t>
        </is>
      </c>
      <c r="D152" s="5" t="n"/>
      <c r="E152" s="5" t="n"/>
      <c r="F152" s="6">
        <f>IF($D152&gt;0,$E152/$D152,"")</f>
        <v/>
      </c>
      <c r="G152" s="4">
        <f>IF($D152&gt;0,IF($F152&gt;=1,"Qualified",IF($F152&gt;=0.9,"90% Partial Amplify","Not Qualified")),"No qualifier - Amplify open")</f>
        <v/>
      </c>
      <c r="H152" s="4">
        <f>IF($G152&lt;&gt;"Qualified","-",IFERROR(IF($E152&gt;=INDEX('Program Setup'!$C$18:$C$23,MATCH($C152,'Program Setup'!$B$18:$B$23,0)),1,IF($E152&gt;=INDEX('Program Setup'!$D$18:$D$23,MATCH($C152,'Program Setup'!$B$18:$B$23,0)),2,IF($E152&gt;=INDEX('Program Setup'!$E$18:$E$23,MATCH($C152,'Program Setup'!$B$18:$B$23,0)),3,"-"))),"-"))</f>
        <v/>
      </c>
      <c r="I152" s="7">
        <f>IF(ISNUMBER($H152),INDEX('Program Setup'!$B$6:$B$8,MATCH($H152,'Program Setup'!$A$6:$A$8,0)),0)</f>
        <v/>
      </c>
      <c r="J152" s="8">
        <f>SUMIFS('Amplify Detail'!$E$5:$E$496,'Amplify Detail'!$A$5:$A$496,$A152,'Amplify Detail'!$C$5:$C$496,$C152)</f>
        <v/>
      </c>
      <c r="K152" s="8">
        <f>SUMIFS('Amplify Detail'!$F$5:$F$496,'Amplify Detail'!$A$5:$A$496,$A152,'Amplify Detail'!$C$5:$C$496,$C152)</f>
        <v/>
      </c>
      <c r="L152" s="8">
        <f>SUMIFS('Amplify Detail'!$G$5:$G$496,'Amplify Detail'!$A$5:$A$496,$A152,'Amplify Detail'!$C$5:$C$496,$C152)</f>
        <v/>
      </c>
      <c r="M152" s="7">
        <f>SUMIFS('Amplify Detail'!$J$5:$J$496,'Amplify Detail'!$A$5:$A$496,$A152,'Amplify Detail'!$C$5:$C$496,$C152)</f>
        <v/>
      </c>
      <c r="N152" s="7">
        <f>$I152+$M152</f>
        <v/>
      </c>
      <c r="O152" s="9">
        <f>IF($G152="No qualifier - Amplify open",1,IFERROR(INDEX('Program Setup'!$B$12:$B$14,MATCH($G152,'Program Setup'!$A$12:$A$14,0)),0))</f>
        <v/>
      </c>
      <c r="P152" s="4">
        <f>$A152&amp;"|"&amp;$C152</f>
        <v/>
      </c>
    </row>
    <row r="153">
      <c r="A153" s="4" t="inlineStr">
        <is>
          <t>Matt Powierski</t>
        </is>
      </c>
      <c r="B153" s="4" t="inlineStr">
        <is>
          <t>Denise Montes</t>
        </is>
      </c>
      <c r="C153" s="4" t="inlineStr">
        <is>
          <t>Boston Beer Company</t>
        </is>
      </c>
      <c r="D153" s="5" t="n">
        <v>2250</v>
      </c>
      <c r="E153" s="5" t="n">
        <v>2006</v>
      </c>
      <c r="F153" s="6">
        <f>IF($D153&gt;0,$E153/$D153,"")</f>
        <v/>
      </c>
      <c r="G153" s="4">
        <f>IF($D153&gt;0,IF($F153&gt;=1,"Qualified",IF($F153&gt;=0.9,"90% Partial Amplify","Not Qualified")),"No qualifier - Amplify open")</f>
        <v/>
      </c>
      <c r="H153" s="4">
        <f>IF($G153&lt;&gt;"Qualified","-",IFERROR(IF($E153&gt;=INDEX('Program Setup'!$C$18:$C$23,MATCH($C153,'Program Setup'!$B$18:$B$23,0)),1,IF($E153&gt;=INDEX('Program Setup'!$D$18:$D$23,MATCH($C153,'Program Setup'!$B$18:$B$23,0)),2,IF($E153&gt;=INDEX('Program Setup'!$E$18:$E$23,MATCH($C153,'Program Setup'!$B$18:$B$23,0)),3,"-"))),"-"))</f>
        <v/>
      </c>
      <c r="I153" s="7">
        <f>IF(ISNUMBER($H153),INDEX('Program Setup'!$B$6:$B$8,MATCH($H153,'Program Setup'!$A$6:$A$8,0)),0)</f>
        <v/>
      </c>
      <c r="J153" s="8">
        <f>SUMIFS('Amplify Detail'!$E$5:$E$496,'Amplify Detail'!$A$5:$A$496,$A153,'Amplify Detail'!$C$5:$C$496,$C153)</f>
        <v/>
      </c>
      <c r="K153" s="8">
        <f>SUMIFS('Amplify Detail'!$F$5:$F$496,'Amplify Detail'!$A$5:$A$496,$A153,'Amplify Detail'!$C$5:$C$496,$C153)</f>
        <v/>
      </c>
      <c r="L153" s="8">
        <f>SUMIFS('Amplify Detail'!$G$5:$G$496,'Amplify Detail'!$A$5:$A$496,$A153,'Amplify Detail'!$C$5:$C$496,$C153)</f>
        <v/>
      </c>
      <c r="M153" s="7">
        <f>SUMIFS('Amplify Detail'!$J$5:$J$496,'Amplify Detail'!$A$5:$A$496,$A153,'Amplify Detail'!$C$5:$C$496,$C153)</f>
        <v/>
      </c>
      <c r="N153" s="7">
        <f>$I153+$M153</f>
        <v/>
      </c>
      <c r="O153" s="9">
        <f>IF($G153="No qualifier - Amplify open",1,IFERROR(INDEX('Program Setup'!$B$12:$B$14,MATCH($G153,'Program Setup'!$A$12:$A$14,0)),0))</f>
        <v/>
      </c>
      <c r="P153" s="4">
        <f>$A153&amp;"|"&amp;$C153</f>
        <v/>
      </c>
    </row>
    <row r="154">
      <c r="A154" s="4" t="inlineStr">
        <is>
          <t>Matt Powierski</t>
        </is>
      </c>
      <c r="B154" s="4" t="inlineStr">
        <is>
          <t>Denise Montes</t>
        </is>
      </c>
      <c r="C154" s="4" t="inlineStr">
        <is>
          <t>Cape May</t>
        </is>
      </c>
      <c r="D154" s="5" t="n"/>
      <c r="E154" s="5" t="n"/>
      <c r="F154" s="6">
        <f>IF($D154&gt;0,$E154/$D154,"")</f>
        <v/>
      </c>
      <c r="G154" s="4">
        <f>IF($D154&gt;0,IF($F154&gt;=1,"Qualified",IF($F154&gt;=0.9,"90% Partial Amplify","Not Qualified")),"No qualifier - Amplify open")</f>
        <v/>
      </c>
      <c r="H154" s="4">
        <f>IF($G154&lt;&gt;"Qualified","-",IFERROR(IF($E154&gt;=INDEX('Program Setup'!$C$18:$C$23,MATCH($C154,'Program Setup'!$B$18:$B$23,0)),1,IF($E154&gt;=INDEX('Program Setup'!$D$18:$D$23,MATCH($C154,'Program Setup'!$B$18:$B$23,0)),2,IF($E154&gt;=INDEX('Program Setup'!$E$18:$E$23,MATCH($C154,'Program Setup'!$B$18:$B$23,0)),3,"-"))),"-"))</f>
        <v/>
      </c>
      <c r="I154" s="7">
        <f>IF(ISNUMBER($H154),INDEX('Program Setup'!$B$6:$B$8,MATCH($H154,'Program Setup'!$A$6:$A$8,0)),0)</f>
        <v/>
      </c>
      <c r="J154" s="8">
        <f>SUMIFS('Amplify Detail'!$E$5:$E$496,'Amplify Detail'!$A$5:$A$496,$A154,'Amplify Detail'!$C$5:$C$496,$C154)</f>
        <v/>
      </c>
      <c r="K154" s="8">
        <f>SUMIFS('Amplify Detail'!$F$5:$F$496,'Amplify Detail'!$A$5:$A$496,$A154,'Amplify Detail'!$C$5:$C$496,$C154)</f>
        <v/>
      </c>
      <c r="L154" s="8">
        <f>SUMIFS('Amplify Detail'!$G$5:$G$496,'Amplify Detail'!$A$5:$A$496,$A154,'Amplify Detail'!$C$5:$C$496,$C154)</f>
        <v/>
      </c>
      <c r="M154" s="7">
        <f>SUMIFS('Amplify Detail'!$J$5:$J$496,'Amplify Detail'!$A$5:$A$496,$A154,'Amplify Detail'!$C$5:$C$496,$C154)</f>
        <v/>
      </c>
      <c r="N154" s="7">
        <f>$I154+$M154</f>
        <v/>
      </c>
      <c r="O154" s="9">
        <f>IF($G154="No qualifier - Amplify open",1,IFERROR(INDEX('Program Setup'!$B$12:$B$14,MATCH($G154,'Program Setup'!$A$12:$A$14,0)),0))</f>
        <v/>
      </c>
      <c r="P154" s="4">
        <f>$A154&amp;"|"&amp;$C154</f>
        <v/>
      </c>
    </row>
    <row r="155">
      <c r="A155" s="4" t="inlineStr">
        <is>
          <t>Matt Powierski</t>
        </is>
      </c>
      <c r="B155" s="4" t="inlineStr">
        <is>
          <t>Denise Montes</t>
        </is>
      </c>
      <c r="C155" s="4" t="inlineStr">
        <is>
          <t>Constellation Brands</t>
        </is>
      </c>
      <c r="D155" s="5" t="n">
        <v>32540</v>
      </c>
      <c r="E155" s="5" t="n">
        <v>33073</v>
      </c>
      <c r="F155" s="6">
        <f>IF($D155&gt;0,$E155/$D155,"")</f>
        <v/>
      </c>
      <c r="G155" s="4">
        <f>IF($D155&gt;0,IF($F155&gt;=1,"Qualified",IF($F155&gt;=0.9,"90% Partial Amplify","Not Qualified")),"No qualifier - Amplify open")</f>
        <v/>
      </c>
      <c r="H155" s="4">
        <f>IF($G155&lt;&gt;"Qualified","-",IFERROR(IF($E155&gt;=INDEX('Program Setup'!$C$18:$C$23,MATCH($C155,'Program Setup'!$B$18:$B$23,0)),1,IF($E155&gt;=INDEX('Program Setup'!$D$18:$D$23,MATCH($C155,'Program Setup'!$B$18:$B$23,0)),2,IF($E155&gt;=INDEX('Program Setup'!$E$18:$E$23,MATCH($C155,'Program Setup'!$B$18:$B$23,0)),3,"-"))),"-"))</f>
        <v/>
      </c>
      <c r="I155" s="7">
        <f>IF(ISNUMBER($H155),INDEX('Program Setup'!$B$6:$B$8,MATCH($H155,'Program Setup'!$A$6:$A$8,0)),0)</f>
        <v/>
      </c>
      <c r="J155" s="8">
        <f>SUMIFS('Amplify Detail'!$E$5:$E$496,'Amplify Detail'!$A$5:$A$496,$A155,'Amplify Detail'!$C$5:$C$496,$C155)</f>
        <v/>
      </c>
      <c r="K155" s="8">
        <f>SUMIFS('Amplify Detail'!$F$5:$F$496,'Amplify Detail'!$A$5:$A$496,$A155,'Amplify Detail'!$C$5:$C$496,$C155)</f>
        <v/>
      </c>
      <c r="L155" s="8">
        <f>SUMIFS('Amplify Detail'!$G$5:$G$496,'Amplify Detail'!$A$5:$A$496,$A155,'Amplify Detail'!$C$5:$C$496,$C155)</f>
        <v/>
      </c>
      <c r="M155" s="7">
        <f>SUMIFS('Amplify Detail'!$J$5:$J$496,'Amplify Detail'!$A$5:$A$496,$A155,'Amplify Detail'!$C$5:$C$496,$C155)</f>
        <v/>
      </c>
      <c r="N155" s="7">
        <f>$I155+$M155</f>
        <v/>
      </c>
      <c r="O155" s="9">
        <f>IF($G155="No qualifier - Amplify open",1,IFERROR(INDEX('Program Setup'!$B$12:$B$14,MATCH($G155,'Program Setup'!$A$12:$A$14,0)),0))</f>
        <v/>
      </c>
      <c r="P155" s="4">
        <f>$A155&amp;"|"&amp;$C155</f>
        <v/>
      </c>
    </row>
    <row r="156">
      <c r="A156" s="4" t="inlineStr">
        <is>
          <t>Matt Powierski</t>
        </is>
      </c>
      <c r="B156" s="4" t="inlineStr">
        <is>
          <t>Denise Montes</t>
        </is>
      </c>
      <c r="C156" s="4" t="inlineStr">
        <is>
          <t>DG Yuengling Inc</t>
        </is>
      </c>
      <c r="D156" s="5" t="n">
        <v>1270</v>
      </c>
      <c r="E156" s="5" t="n">
        <v>1439</v>
      </c>
      <c r="F156" s="6">
        <f>IF($D156&gt;0,$E156/$D156,"")</f>
        <v/>
      </c>
      <c r="G156" s="4">
        <f>IF($D156&gt;0,IF($F156&gt;=1,"Qualified",IF($F156&gt;=0.9,"90% Partial Amplify","Not Qualified")),"No qualifier - Amplify open")</f>
        <v/>
      </c>
      <c r="H156" s="4">
        <f>IF($G156&lt;&gt;"Qualified","-",IFERROR(IF($E156&gt;=INDEX('Program Setup'!$C$18:$C$23,MATCH($C156,'Program Setup'!$B$18:$B$23,0)),1,IF($E156&gt;=INDEX('Program Setup'!$D$18:$D$23,MATCH($C156,'Program Setup'!$B$18:$B$23,0)),2,IF($E156&gt;=INDEX('Program Setup'!$E$18:$E$23,MATCH($C156,'Program Setup'!$B$18:$B$23,0)),3,"-"))),"-"))</f>
        <v/>
      </c>
      <c r="I156" s="7">
        <f>IF(ISNUMBER($H156),INDEX('Program Setup'!$B$6:$B$8,MATCH($H156,'Program Setup'!$A$6:$A$8,0)),0)</f>
        <v/>
      </c>
      <c r="J156" s="8">
        <f>SUMIFS('Amplify Detail'!$E$5:$E$496,'Amplify Detail'!$A$5:$A$496,$A156,'Amplify Detail'!$C$5:$C$496,$C156)</f>
        <v/>
      </c>
      <c r="K156" s="8">
        <f>SUMIFS('Amplify Detail'!$F$5:$F$496,'Amplify Detail'!$A$5:$A$496,$A156,'Amplify Detail'!$C$5:$C$496,$C156)</f>
        <v/>
      </c>
      <c r="L156" s="8">
        <f>SUMIFS('Amplify Detail'!$G$5:$G$496,'Amplify Detail'!$A$5:$A$496,$A156,'Amplify Detail'!$C$5:$C$496,$C156)</f>
        <v/>
      </c>
      <c r="M156" s="7">
        <f>SUMIFS('Amplify Detail'!$J$5:$J$496,'Amplify Detail'!$A$5:$A$496,$A156,'Amplify Detail'!$C$5:$C$496,$C156)</f>
        <v/>
      </c>
      <c r="N156" s="7">
        <f>$I156+$M156</f>
        <v/>
      </c>
      <c r="O156" s="9">
        <f>IF($G156="No qualifier - Amplify open",1,IFERROR(INDEX('Program Setup'!$B$12:$B$14,MATCH($G156,'Program Setup'!$A$12:$A$14,0)),0))</f>
        <v/>
      </c>
      <c r="P156" s="4">
        <f>$A156&amp;"|"&amp;$C156</f>
        <v/>
      </c>
    </row>
    <row r="157">
      <c r="A157" s="4" t="inlineStr">
        <is>
          <t>Matt Powierski</t>
        </is>
      </c>
      <c r="B157" s="4" t="inlineStr">
        <is>
          <t>Denise Montes</t>
        </is>
      </c>
      <c r="C157" s="4" t="inlineStr">
        <is>
          <t>Heineken USA</t>
        </is>
      </c>
      <c r="D157" s="5" t="n">
        <v>6888</v>
      </c>
      <c r="E157" s="5" t="n">
        <v>6419</v>
      </c>
      <c r="F157" s="6">
        <f>IF($D157&gt;0,$E157/$D157,"")</f>
        <v/>
      </c>
      <c r="G157" s="4">
        <f>IF($D157&gt;0,IF($F157&gt;=1,"Qualified",IF($F157&gt;=0.9,"90% Partial Amplify","Not Qualified")),"No qualifier - Amplify open")</f>
        <v/>
      </c>
      <c r="H157" s="4">
        <f>IF($G157&lt;&gt;"Qualified","-",IFERROR(IF($E157&gt;=INDEX('Program Setup'!$C$18:$C$23,MATCH($C157,'Program Setup'!$B$18:$B$23,0)),1,IF($E157&gt;=INDEX('Program Setup'!$D$18:$D$23,MATCH($C157,'Program Setup'!$B$18:$B$23,0)),2,IF($E157&gt;=INDEX('Program Setup'!$E$18:$E$23,MATCH($C157,'Program Setup'!$B$18:$B$23,0)),3,"-"))),"-"))</f>
        <v/>
      </c>
      <c r="I157" s="7">
        <f>IF(ISNUMBER($H157),INDEX('Program Setup'!$B$6:$B$8,MATCH($H157,'Program Setup'!$A$6:$A$8,0)),0)</f>
        <v/>
      </c>
      <c r="J157" s="8">
        <f>SUMIFS('Amplify Detail'!$E$5:$E$496,'Amplify Detail'!$A$5:$A$496,$A157,'Amplify Detail'!$C$5:$C$496,$C157)</f>
        <v/>
      </c>
      <c r="K157" s="8">
        <f>SUMIFS('Amplify Detail'!$F$5:$F$496,'Amplify Detail'!$A$5:$A$496,$A157,'Amplify Detail'!$C$5:$C$496,$C157)</f>
        <v/>
      </c>
      <c r="L157" s="8">
        <f>SUMIFS('Amplify Detail'!$G$5:$G$496,'Amplify Detail'!$A$5:$A$496,$A157,'Amplify Detail'!$C$5:$C$496,$C157)</f>
        <v/>
      </c>
      <c r="M157" s="7">
        <f>SUMIFS('Amplify Detail'!$J$5:$J$496,'Amplify Detail'!$A$5:$A$496,$A157,'Amplify Detail'!$C$5:$C$496,$C157)</f>
        <v/>
      </c>
      <c r="N157" s="7">
        <f>$I157+$M157</f>
        <v/>
      </c>
      <c r="O157" s="9">
        <f>IF($G157="No qualifier - Amplify open",1,IFERROR(INDEX('Program Setup'!$B$12:$B$14,MATCH($G157,'Program Setup'!$A$12:$A$14,0)),0))</f>
        <v/>
      </c>
      <c r="P157" s="4">
        <f>$A157&amp;"|"&amp;$C157</f>
        <v/>
      </c>
    </row>
    <row r="158">
      <c r="A158" s="4" t="inlineStr">
        <is>
          <t>Matt Powierski</t>
        </is>
      </c>
      <c r="B158" s="4" t="inlineStr">
        <is>
          <t>Denise Montes</t>
        </is>
      </c>
      <c r="C158" s="4" t="inlineStr">
        <is>
          <t>Mark Anthony</t>
        </is>
      </c>
      <c r="D158" s="5" t="n">
        <v>4025</v>
      </c>
      <c r="E158" s="5" t="n">
        <v>4437</v>
      </c>
      <c r="F158" s="6">
        <f>IF($D158&gt;0,$E158/$D158,"")</f>
        <v/>
      </c>
      <c r="G158" s="4">
        <f>IF($D158&gt;0,IF($F158&gt;=1,"Qualified",IF($F158&gt;=0.9,"90% Partial Amplify","Not Qualified")),"No qualifier - Amplify open")</f>
        <v/>
      </c>
      <c r="H158" s="4">
        <f>IF($G158&lt;&gt;"Qualified","-",IFERROR(IF($E158&gt;=INDEX('Program Setup'!$C$18:$C$23,MATCH($C158,'Program Setup'!$B$18:$B$23,0)),1,IF($E158&gt;=INDEX('Program Setup'!$D$18:$D$23,MATCH($C158,'Program Setup'!$B$18:$B$23,0)),2,IF($E158&gt;=INDEX('Program Setup'!$E$18:$E$23,MATCH($C158,'Program Setup'!$B$18:$B$23,0)),3,"-"))),"-"))</f>
        <v/>
      </c>
      <c r="I158" s="7">
        <f>IF(ISNUMBER($H158),INDEX('Program Setup'!$B$6:$B$8,MATCH($H158,'Program Setup'!$A$6:$A$8,0)),0)</f>
        <v/>
      </c>
      <c r="J158" s="8">
        <f>SUMIFS('Amplify Detail'!$E$5:$E$496,'Amplify Detail'!$A$5:$A$496,$A158,'Amplify Detail'!$C$5:$C$496,$C158)</f>
        <v/>
      </c>
      <c r="K158" s="8">
        <f>SUMIFS('Amplify Detail'!$F$5:$F$496,'Amplify Detail'!$A$5:$A$496,$A158,'Amplify Detail'!$C$5:$C$496,$C158)</f>
        <v/>
      </c>
      <c r="L158" s="8">
        <f>SUMIFS('Amplify Detail'!$G$5:$G$496,'Amplify Detail'!$A$5:$A$496,$A158,'Amplify Detail'!$C$5:$C$496,$C158)</f>
        <v/>
      </c>
      <c r="M158" s="7">
        <f>SUMIFS('Amplify Detail'!$J$5:$J$496,'Amplify Detail'!$A$5:$A$496,$A158,'Amplify Detail'!$C$5:$C$496,$C158)</f>
        <v/>
      </c>
      <c r="N158" s="7">
        <f>$I158+$M158</f>
        <v/>
      </c>
      <c r="O158" s="9">
        <f>IF($G158="No qualifier - Amplify open",1,IFERROR(INDEX('Program Setup'!$B$12:$B$14,MATCH($G158,'Program Setup'!$A$12:$A$14,0)),0))</f>
        <v/>
      </c>
      <c r="P158" s="4">
        <f>$A158&amp;"|"&amp;$C158</f>
        <v/>
      </c>
    </row>
    <row r="159">
      <c r="A159" s="4" t="inlineStr">
        <is>
          <t>Matt Powierski</t>
        </is>
      </c>
      <c r="B159" s="4" t="inlineStr">
        <is>
          <t>Denise Montes</t>
        </is>
      </c>
      <c r="C159" s="4" t="inlineStr">
        <is>
          <t>MolsonCoors Beverage Company</t>
        </is>
      </c>
      <c r="D159" s="5" t="n">
        <v>16688</v>
      </c>
      <c r="E159" s="5" t="n">
        <v>16130</v>
      </c>
      <c r="F159" s="6">
        <f>IF($D159&gt;0,$E159/$D159,"")</f>
        <v/>
      </c>
      <c r="G159" s="4">
        <f>IF($D159&gt;0,IF($F159&gt;=1,"Qualified",IF($F159&gt;=0.9,"90% Partial Amplify","Not Qualified")),"No qualifier - Amplify open")</f>
        <v/>
      </c>
      <c r="H159" s="4">
        <f>IF($G159&lt;&gt;"Qualified","-",IFERROR(IF($E159&gt;=INDEX('Program Setup'!$C$18:$C$23,MATCH($C159,'Program Setup'!$B$18:$B$23,0)),1,IF($E159&gt;=INDEX('Program Setup'!$D$18:$D$23,MATCH($C159,'Program Setup'!$B$18:$B$23,0)),2,IF($E159&gt;=INDEX('Program Setup'!$E$18:$E$23,MATCH($C159,'Program Setup'!$B$18:$B$23,0)),3,"-"))),"-"))</f>
        <v/>
      </c>
      <c r="I159" s="7">
        <f>IF(ISNUMBER($H159),INDEX('Program Setup'!$B$6:$B$8,MATCH($H159,'Program Setup'!$A$6:$A$8,0)),0)</f>
        <v/>
      </c>
      <c r="J159" s="8">
        <f>SUMIFS('Amplify Detail'!$E$5:$E$496,'Amplify Detail'!$A$5:$A$496,$A159,'Amplify Detail'!$C$5:$C$496,$C159)</f>
        <v/>
      </c>
      <c r="K159" s="8">
        <f>SUMIFS('Amplify Detail'!$F$5:$F$496,'Amplify Detail'!$A$5:$A$496,$A159,'Amplify Detail'!$C$5:$C$496,$C159)</f>
        <v/>
      </c>
      <c r="L159" s="8">
        <f>SUMIFS('Amplify Detail'!$G$5:$G$496,'Amplify Detail'!$A$5:$A$496,$A159,'Amplify Detail'!$C$5:$C$496,$C159)</f>
        <v/>
      </c>
      <c r="M159" s="7">
        <f>SUMIFS('Amplify Detail'!$J$5:$J$496,'Amplify Detail'!$A$5:$A$496,$A159,'Amplify Detail'!$C$5:$C$496,$C159)</f>
        <v/>
      </c>
      <c r="N159" s="7">
        <f>$I159+$M159</f>
        <v/>
      </c>
      <c r="O159" s="9">
        <f>IF($G159="No qualifier - Amplify open",1,IFERROR(INDEX('Program Setup'!$B$12:$B$14,MATCH($G159,'Program Setup'!$A$12:$A$14,0)),0))</f>
        <v/>
      </c>
      <c r="P159" s="4">
        <f>$A159&amp;"|"&amp;$C159</f>
        <v/>
      </c>
    </row>
    <row r="160">
      <c r="A160" s="4" t="inlineStr">
        <is>
          <t>Matt Powierski</t>
        </is>
      </c>
      <c r="B160" s="4" t="inlineStr">
        <is>
          <t>Denise Montes</t>
        </is>
      </c>
      <c r="C160" s="4" t="inlineStr">
        <is>
          <t>New Belgium Brewing Company</t>
        </is>
      </c>
      <c r="D160" s="5" t="n"/>
      <c r="E160" s="5" t="n"/>
      <c r="F160" s="6">
        <f>IF($D160&gt;0,$E160/$D160,"")</f>
        <v/>
      </c>
      <c r="G160" s="4">
        <f>IF($D160&gt;0,IF($F160&gt;=1,"Qualified",IF($F160&gt;=0.9,"90% Partial Amplify","Not Qualified")),"No qualifier - Amplify open")</f>
        <v/>
      </c>
      <c r="H160" s="4">
        <f>IF($G160&lt;&gt;"Qualified","-",IFERROR(IF($E160&gt;=INDEX('Program Setup'!$C$18:$C$23,MATCH($C160,'Program Setup'!$B$18:$B$23,0)),1,IF($E160&gt;=INDEX('Program Setup'!$D$18:$D$23,MATCH($C160,'Program Setup'!$B$18:$B$23,0)),2,IF($E160&gt;=INDEX('Program Setup'!$E$18:$E$23,MATCH($C160,'Program Setup'!$B$18:$B$23,0)),3,"-"))),"-"))</f>
        <v/>
      </c>
      <c r="I160" s="7">
        <f>IF(ISNUMBER($H160),INDEX('Program Setup'!$B$6:$B$8,MATCH($H160,'Program Setup'!$A$6:$A$8,0)),0)</f>
        <v/>
      </c>
      <c r="J160" s="8">
        <f>SUMIFS('Amplify Detail'!$E$5:$E$496,'Amplify Detail'!$A$5:$A$496,$A160,'Amplify Detail'!$C$5:$C$496,$C160)</f>
        <v/>
      </c>
      <c r="K160" s="8">
        <f>SUMIFS('Amplify Detail'!$F$5:$F$496,'Amplify Detail'!$A$5:$A$496,$A160,'Amplify Detail'!$C$5:$C$496,$C160)</f>
        <v/>
      </c>
      <c r="L160" s="8">
        <f>SUMIFS('Amplify Detail'!$G$5:$G$496,'Amplify Detail'!$A$5:$A$496,$A160,'Amplify Detail'!$C$5:$C$496,$C160)</f>
        <v/>
      </c>
      <c r="M160" s="7">
        <f>SUMIFS('Amplify Detail'!$J$5:$J$496,'Amplify Detail'!$A$5:$A$496,$A160,'Amplify Detail'!$C$5:$C$496,$C160)</f>
        <v/>
      </c>
      <c r="N160" s="7">
        <f>$I160+$M160</f>
        <v/>
      </c>
      <c r="O160" s="9">
        <f>IF($G160="No qualifier - Amplify open",1,IFERROR(INDEX('Program Setup'!$B$12:$B$14,MATCH($G160,'Program Setup'!$A$12:$A$14,0)),0))</f>
        <v/>
      </c>
      <c r="P160" s="4">
        <f>$A160&amp;"|"&amp;$C160</f>
        <v/>
      </c>
    </row>
    <row r="161">
      <c r="A161" s="4" t="inlineStr">
        <is>
          <t>Matt Powierski</t>
        </is>
      </c>
      <c r="B161" s="4" t="inlineStr">
        <is>
          <t>Denise Montes</t>
        </is>
      </c>
      <c r="C161" s="4" t="inlineStr">
        <is>
          <t>Sapporo</t>
        </is>
      </c>
      <c r="D161" s="5" t="n"/>
      <c r="E161" s="5" t="n"/>
      <c r="F161" s="6">
        <f>IF($D161&gt;0,$E161/$D161,"")</f>
        <v/>
      </c>
      <c r="G161" s="4">
        <f>IF($D161&gt;0,IF($F161&gt;=1,"Qualified",IF($F161&gt;=0.9,"90% Partial Amplify","Not Qualified")),"No qualifier - Amplify open")</f>
        <v/>
      </c>
      <c r="H161" s="4">
        <f>IF($G161&lt;&gt;"Qualified","-",IFERROR(IF($E161&gt;=INDEX('Program Setup'!$C$18:$C$23,MATCH($C161,'Program Setup'!$B$18:$B$23,0)),1,IF($E161&gt;=INDEX('Program Setup'!$D$18:$D$23,MATCH($C161,'Program Setup'!$B$18:$B$23,0)),2,IF($E161&gt;=INDEX('Program Setup'!$E$18:$E$23,MATCH($C161,'Program Setup'!$B$18:$B$23,0)),3,"-"))),"-"))</f>
        <v/>
      </c>
      <c r="I161" s="7">
        <f>IF(ISNUMBER($H161),INDEX('Program Setup'!$B$6:$B$8,MATCH($H161,'Program Setup'!$A$6:$A$8,0)),0)</f>
        <v/>
      </c>
      <c r="J161" s="8">
        <f>SUMIFS('Amplify Detail'!$E$5:$E$496,'Amplify Detail'!$A$5:$A$496,$A161,'Amplify Detail'!$C$5:$C$496,$C161)</f>
        <v/>
      </c>
      <c r="K161" s="8">
        <f>SUMIFS('Amplify Detail'!$F$5:$F$496,'Amplify Detail'!$A$5:$A$496,$A161,'Amplify Detail'!$C$5:$C$496,$C161)</f>
        <v/>
      </c>
      <c r="L161" s="8">
        <f>SUMIFS('Amplify Detail'!$G$5:$G$496,'Amplify Detail'!$A$5:$A$496,$A161,'Amplify Detail'!$C$5:$C$496,$C161)</f>
        <v/>
      </c>
      <c r="M161" s="7">
        <f>SUMIFS('Amplify Detail'!$J$5:$J$496,'Amplify Detail'!$A$5:$A$496,$A161,'Amplify Detail'!$C$5:$C$496,$C161)</f>
        <v/>
      </c>
      <c r="N161" s="7">
        <f>$I161+$M161</f>
        <v/>
      </c>
      <c r="O161" s="9">
        <f>IF($G161="No qualifier - Amplify open",1,IFERROR(INDEX('Program Setup'!$B$12:$B$14,MATCH($G161,'Program Setup'!$A$12:$A$14,0)),0))</f>
        <v/>
      </c>
      <c r="P161" s="4">
        <f>$A161&amp;"|"&amp;$C161</f>
        <v/>
      </c>
    </row>
    <row r="162">
      <c r="A162" s="4" t="inlineStr">
        <is>
          <t>Michael Harboy</t>
        </is>
      </c>
      <c r="B162" s="4" t="inlineStr">
        <is>
          <t>Mike Kennedy</t>
        </is>
      </c>
      <c r="C162" s="4" t="inlineStr">
        <is>
          <t>Boston Beer Company</t>
        </is>
      </c>
      <c r="D162" s="5" t="n">
        <v>680</v>
      </c>
      <c r="E162" s="5" t="n">
        <v>427</v>
      </c>
      <c r="F162" s="6">
        <f>IF($D162&gt;0,$E162/$D162,"")</f>
        <v/>
      </c>
      <c r="G162" s="4">
        <f>IF($D162&gt;0,IF($F162&gt;=1,"Qualified",IF($F162&gt;=0.9,"90% Partial Amplify","Not Qualified")),"No qualifier - Amplify open")</f>
        <v/>
      </c>
      <c r="H162" s="4">
        <f>IF($G162&lt;&gt;"Qualified","-",IFERROR(IF($E162&gt;=INDEX('Program Setup'!$C$18:$C$23,MATCH($C162,'Program Setup'!$B$18:$B$23,0)),1,IF($E162&gt;=INDEX('Program Setup'!$D$18:$D$23,MATCH($C162,'Program Setup'!$B$18:$B$23,0)),2,IF($E162&gt;=INDEX('Program Setup'!$E$18:$E$23,MATCH($C162,'Program Setup'!$B$18:$B$23,0)),3,"-"))),"-"))</f>
        <v/>
      </c>
      <c r="I162" s="7">
        <f>IF(ISNUMBER($H162),INDEX('Program Setup'!$B$6:$B$8,MATCH($H162,'Program Setup'!$A$6:$A$8,0)),0)</f>
        <v/>
      </c>
      <c r="J162" s="8">
        <f>SUMIFS('Amplify Detail'!$E$5:$E$496,'Amplify Detail'!$A$5:$A$496,$A162,'Amplify Detail'!$C$5:$C$496,$C162)</f>
        <v/>
      </c>
      <c r="K162" s="8">
        <f>SUMIFS('Amplify Detail'!$F$5:$F$496,'Amplify Detail'!$A$5:$A$496,$A162,'Amplify Detail'!$C$5:$C$496,$C162)</f>
        <v/>
      </c>
      <c r="L162" s="8">
        <f>SUMIFS('Amplify Detail'!$G$5:$G$496,'Amplify Detail'!$A$5:$A$496,$A162,'Amplify Detail'!$C$5:$C$496,$C162)</f>
        <v/>
      </c>
      <c r="M162" s="7">
        <f>SUMIFS('Amplify Detail'!$J$5:$J$496,'Amplify Detail'!$A$5:$A$496,$A162,'Amplify Detail'!$C$5:$C$496,$C162)</f>
        <v/>
      </c>
      <c r="N162" s="7">
        <f>$I162+$M162</f>
        <v/>
      </c>
      <c r="O162" s="9">
        <f>IF($G162="No qualifier - Amplify open",1,IFERROR(INDEX('Program Setup'!$B$12:$B$14,MATCH($G162,'Program Setup'!$A$12:$A$14,0)),0))</f>
        <v/>
      </c>
      <c r="P162" s="4">
        <f>$A162&amp;"|"&amp;$C162</f>
        <v/>
      </c>
    </row>
    <row r="163">
      <c r="A163" s="4" t="inlineStr">
        <is>
          <t>Michael Harboy</t>
        </is>
      </c>
      <c r="B163" s="4" t="inlineStr">
        <is>
          <t>Mike Kennedy</t>
        </is>
      </c>
      <c r="C163" s="4" t="inlineStr">
        <is>
          <t>Cape May</t>
        </is>
      </c>
      <c r="D163" s="5" t="n"/>
      <c r="E163" s="5" t="n"/>
      <c r="F163" s="6">
        <f>IF($D163&gt;0,$E163/$D163,"")</f>
        <v/>
      </c>
      <c r="G163" s="4">
        <f>IF($D163&gt;0,IF($F163&gt;=1,"Qualified",IF($F163&gt;=0.9,"90% Partial Amplify","Not Qualified")),"No qualifier - Amplify open")</f>
        <v/>
      </c>
      <c r="H163" s="4">
        <f>IF($G163&lt;&gt;"Qualified","-",IFERROR(IF($E163&gt;=INDEX('Program Setup'!$C$18:$C$23,MATCH($C163,'Program Setup'!$B$18:$B$23,0)),1,IF($E163&gt;=INDEX('Program Setup'!$D$18:$D$23,MATCH($C163,'Program Setup'!$B$18:$B$23,0)),2,IF($E163&gt;=INDEX('Program Setup'!$E$18:$E$23,MATCH($C163,'Program Setup'!$B$18:$B$23,0)),3,"-"))),"-"))</f>
        <v/>
      </c>
      <c r="I163" s="7">
        <f>IF(ISNUMBER($H163),INDEX('Program Setup'!$B$6:$B$8,MATCH($H163,'Program Setup'!$A$6:$A$8,0)),0)</f>
        <v/>
      </c>
      <c r="J163" s="8">
        <f>SUMIFS('Amplify Detail'!$E$5:$E$496,'Amplify Detail'!$A$5:$A$496,$A163,'Amplify Detail'!$C$5:$C$496,$C163)</f>
        <v/>
      </c>
      <c r="K163" s="8">
        <f>SUMIFS('Amplify Detail'!$F$5:$F$496,'Amplify Detail'!$A$5:$A$496,$A163,'Amplify Detail'!$C$5:$C$496,$C163)</f>
        <v/>
      </c>
      <c r="L163" s="8">
        <f>SUMIFS('Amplify Detail'!$G$5:$G$496,'Amplify Detail'!$A$5:$A$496,$A163,'Amplify Detail'!$C$5:$C$496,$C163)</f>
        <v/>
      </c>
      <c r="M163" s="7">
        <f>SUMIFS('Amplify Detail'!$J$5:$J$496,'Amplify Detail'!$A$5:$A$496,$A163,'Amplify Detail'!$C$5:$C$496,$C163)</f>
        <v/>
      </c>
      <c r="N163" s="7">
        <f>$I163+$M163</f>
        <v/>
      </c>
      <c r="O163" s="9">
        <f>IF($G163="No qualifier - Amplify open",1,IFERROR(INDEX('Program Setup'!$B$12:$B$14,MATCH($G163,'Program Setup'!$A$12:$A$14,0)),0))</f>
        <v/>
      </c>
      <c r="P163" s="4">
        <f>$A163&amp;"|"&amp;$C163</f>
        <v/>
      </c>
    </row>
    <row r="164">
      <c r="A164" s="4" t="inlineStr">
        <is>
          <t>Michael Harboy</t>
        </is>
      </c>
      <c r="B164" s="4" t="inlineStr">
        <is>
          <t>Mike Kennedy</t>
        </is>
      </c>
      <c r="C164" s="4" t="inlineStr">
        <is>
          <t>Constellation Brands</t>
        </is>
      </c>
      <c r="D164" s="5" t="n">
        <v>4421</v>
      </c>
      <c r="E164" s="5" t="n">
        <v>4077</v>
      </c>
      <c r="F164" s="6">
        <f>IF($D164&gt;0,$E164/$D164,"")</f>
        <v/>
      </c>
      <c r="G164" s="4">
        <f>IF($D164&gt;0,IF($F164&gt;=1,"Qualified",IF($F164&gt;=0.9,"90% Partial Amplify","Not Qualified")),"No qualifier - Amplify open")</f>
        <v/>
      </c>
      <c r="H164" s="4">
        <f>IF($G164&lt;&gt;"Qualified","-",IFERROR(IF($E164&gt;=INDEX('Program Setup'!$C$18:$C$23,MATCH($C164,'Program Setup'!$B$18:$B$23,0)),1,IF($E164&gt;=INDEX('Program Setup'!$D$18:$D$23,MATCH($C164,'Program Setup'!$B$18:$B$23,0)),2,IF($E164&gt;=INDEX('Program Setup'!$E$18:$E$23,MATCH($C164,'Program Setup'!$B$18:$B$23,0)),3,"-"))),"-"))</f>
        <v/>
      </c>
      <c r="I164" s="7">
        <f>IF(ISNUMBER($H164),INDEX('Program Setup'!$B$6:$B$8,MATCH($H164,'Program Setup'!$A$6:$A$8,0)),0)</f>
        <v/>
      </c>
      <c r="J164" s="8">
        <f>SUMIFS('Amplify Detail'!$E$5:$E$496,'Amplify Detail'!$A$5:$A$496,$A164,'Amplify Detail'!$C$5:$C$496,$C164)</f>
        <v/>
      </c>
      <c r="K164" s="8">
        <f>SUMIFS('Amplify Detail'!$F$5:$F$496,'Amplify Detail'!$A$5:$A$496,$A164,'Amplify Detail'!$C$5:$C$496,$C164)</f>
        <v/>
      </c>
      <c r="L164" s="8">
        <f>SUMIFS('Amplify Detail'!$G$5:$G$496,'Amplify Detail'!$A$5:$A$496,$A164,'Amplify Detail'!$C$5:$C$496,$C164)</f>
        <v/>
      </c>
      <c r="M164" s="7">
        <f>SUMIFS('Amplify Detail'!$J$5:$J$496,'Amplify Detail'!$A$5:$A$496,$A164,'Amplify Detail'!$C$5:$C$496,$C164)</f>
        <v/>
      </c>
      <c r="N164" s="7">
        <f>$I164+$M164</f>
        <v/>
      </c>
      <c r="O164" s="9">
        <f>IF($G164="No qualifier - Amplify open",1,IFERROR(INDEX('Program Setup'!$B$12:$B$14,MATCH($G164,'Program Setup'!$A$12:$A$14,0)),0))</f>
        <v/>
      </c>
      <c r="P164" s="4">
        <f>$A164&amp;"|"&amp;$C164</f>
        <v/>
      </c>
    </row>
    <row r="165">
      <c r="A165" s="4" t="inlineStr">
        <is>
          <t>Michael Harboy</t>
        </is>
      </c>
      <c r="B165" s="4" t="inlineStr">
        <is>
          <t>Mike Kennedy</t>
        </is>
      </c>
      <c r="C165" s="4" t="inlineStr">
        <is>
          <t>DG Yuengling Inc</t>
        </is>
      </c>
      <c r="D165" s="5" t="n">
        <v>476</v>
      </c>
      <c r="E165" s="5" t="n">
        <v>473</v>
      </c>
      <c r="F165" s="6">
        <f>IF($D165&gt;0,$E165/$D165,"")</f>
        <v/>
      </c>
      <c r="G165" s="4">
        <f>IF($D165&gt;0,IF($F165&gt;=1,"Qualified",IF($F165&gt;=0.9,"90% Partial Amplify","Not Qualified")),"No qualifier - Amplify open")</f>
        <v/>
      </c>
      <c r="H165" s="4">
        <f>IF($G165&lt;&gt;"Qualified","-",IFERROR(IF($E165&gt;=INDEX('Program Setup'!$C$18:$C$23,MATCH($C165,'Program Setup'!$B$18:$B$23,0)),1,IF($E165&gt;=INDEX('Program Setup'!$D$18:$D$23,MATCH($C165,'Program Setup'!$B$18:$B$23,0)),2,IF($E165&gt;=INDEX('Program Setup'!$E$18:$E$23,MATCH($C165,'Program Setup'!$B$18:$B$23,0)),3,"-"))),"-"))</f>
        <v/>
      </c>
      <c r="I165" s="7">
        <f>IF(ISNUMBER($H165),INDEX('Program Setup'!$B$6:$B$8,MATCH($H165,'Program Setup'!$A$6:$A$8,0)),0)</f>
        <v/>
      </c>
      <c r="J165" s="8">
        <f>SUMIFS('Amplify Detail'!$E$5:$E$496,'Amplify Detail'!$A$5:$A$496,$A165,'Amplify Detail'!$C$5:$C$496,$C165)</f>
        <v/>
      </c>
      <c r="K165" s="8">
        <f>SUMIFS('Amplify Detail'!$F$5:$F$496,'Amplify Detail'!$A$5:$A$496,$A165,'Amplify Detail'!$C$5:$C$496,$C165)</f>
        <v/>
      </c>
      <c r="L165" s="8">
        <f>SUMIFS('Amplify Detail'!$G$5:$G$496,'Amplify Detail'!$A$5:$A$496,$A165,'Amplify Detail'!$C$5:$C$496,$C165)</f>
        <v/>
      </c>
      <c r="M165" s="7">
        <f>SUMIFS('Amplify Detail'!$J$5:$J$496,'Amplify Detail'!$A$5:$A$496,$A165,'Amplify Detail'!$C$5:$C$496,$C165)</f>
        <v/>
      </c>
      <c r="N165" s="7">
        <f>$I165+$M165</f>
        <v/>
      </c>
      <c r="O165" s="9">
        <f>IF($G165="No qualifier - Amplify open",1,IFERROR(INDEX('Program Setup'!$B$12:$B$14,MATCH($G165,'Program Setup'!$A$12:$A$14,0)),0))</f>
        <v/>
      </c>
      <c r="P165" s="4">
        <f>$A165&amp;"|"&amp;$C165</f>
        <v/>
      </c>
    </row>
    <row r="166">
      <c r="A166" s="4" t="inlineStr">
        <is>
          <t>Michael Harboy</t>
        </is>
      </c>
      <c r="B166" s="4" t="inlineStr">
        <is>
          <t>Mike Kennedy</t>
        </is>
      </c>
      <c r="C166" s="4" t="inlineStr">
        <is>
          <t>Heineken USA</t>
        </is>
      </c>
      <c r="D166" s="5" t="n">
        <v>856</v>
      </c>
      <c r="E166" s="5" t="n">
        <v>631</v>
      </c>
      <c r="F166" s="6">
        <f>IF($D166&gt;0,$E166/$D166,"")</f>
        <v/>
      </c>
      <c r="G166" s="4">
        <f>IF($D166&gt;0,IF($F166&gt;=1,"Qualified",IF($F166&gt;=0.9,"90% Partial Amplify","Not Qualified")),"No qualifier - Amplify open")</f>
        <v/>
      </c>
      <c r="H166" s="4">
        <f>IF($G166&lt;&gt;"Qualified","-",IFERROR(IF($E166&gt;=INDEX('Program Setup'!$C$18:$C$23,MATCH($C166,'Program Setup'!$B$18:$B$23,0)),1,IF($E166&gt;=INDEX('Program Setup'!$D$18:$D$23,MATCH($C166,'Program Setup'!$B$18:$B$23,0)),2,IF($E166&gt;=INDEX('Program Setup'!$E$18:$E$23,MATCH($C166,'Program Setup'!$B$18:$B$23,0)),3,"-"))),"-"))</f>
        <v/>
      </c>
      <c r="I166" s="7">
        <f>IF(ISNUMBER($H166),INDEX('Program Setup'!$B$6:$B$8,MATCH($H166,'Program Setup'!$A$6:$A$8,0)),0)</f>
        <v/>
      </c>
      <c r="J166" s="8">
        <f>SUMIFS('Amplify Detail'!$E$5:$E$496,'Amplify Detail'!$A$5:$A$496,$A166,'Amplify Detail'!$C$5:$C$496,$C166)</f>
        <v/>
      </c>
      <c r="K166" s="8">
        <f>SUMIFS('Amplify Detail'!$F$5:$F$496,'Amplify Detail'!$A$5:$A$496,$A166,'Amplify Detail'!$C$5:$C$496,$C166)</f>
        <v/>
      </c>
      <c r="L166" s="8">
        <f>SUMIFS('Amplify Detail'!$G$5:$G$496,'Amplify Detail'!$A$5:$A$496,$A166,'Amplify Detail'!$C$5:$C$496,$C166)</f>
        <v/>
      </c>
      <c r="M166" s="7">
        <f>SUMIFS('Amplify Detail'!$J$5:$J$496,'Amplify Detail'!$A$5:$A$496,$A166,'Amplify Detail'!$C$5:$C$496,$C166)</f>
        <v/>
      </c>
      <c r="N166" s="7">
        <f>$I166+$M166</f>
        <v/>
      </c>
      <c r="O166" s="9">
        <f>IF($G166="No qualifier - Amplify open",1,IFERROR(INDEX('Program Setup'!$B$12:$B$14,MATCH($G166,'Program Setup'!$A$12:$A$14,0)),0))</f>
        <v/>
      </c>
      <c r="P166" s="4">
        <f>$A166&amp;"|"&amp;$C166</f>
        <v/>
      </c>
    </row>
    <row r="167">
      <c r="A167" s="4" t="inlineStr">
        <is>
          <t>Michael Harboy</t>
        </is>
      </c>
      <c r="B167" s="4" t="inlineStr">
        <is>
          <t>Mike Kennedy</t>
        </is>
      </c>
      <c r="C167" s="4" t="inlineStr">
        <is>
          <t>Mark Anthony</t>
        </is>
      </c>
      <c r="D167" s="5" t="n">
        <v>1355</v>
      </c>
      <c r="E167" s="5" t="n">
        <v>1327</v>
      </c>
      <c r="F167" s="6">
        <f>IF($D167&gt;0,$E167/$D167,"")</f>
        <v/>
      </c>
      <c r="G167" s="4">
        <f>IF($D167&gt;0,IF($F167&gt;=1,"Qualified",IF($F167&gt;=0.9,"90% Partial Amplify","Not Qualified")),"No qualifier - Amplify open")</f>
        <v/>
      </c>
      <c r="H167" s="4">
        <f>IF($G167&lt;&gt;"Qualified","-",IFERROR(IF($E167&gt;=INDEX('Program Setup'!$C$18:$C$23,MATCH($C167,'Program Setup'!$B$18:$B$23,0)),1,IF($E167&gt;=INDEX('Program Setup'!$D$18:$D$23,MATCH($C167,'Program Setup'!$B$18:$B$23,0)),2,IF($E167&gt;=INDEX('Program Setup'!$E$18:$E$23,MATCH($C167,'Program Setup'!$B$18:$B$23,0)),3,"-"))),"-"))</f>
        <v/>
      </c>
      <c r="I167" s="7">
        <f>IF(ISNUMBER($H167),INDEX('Program Setup'!$B$6:$B$8,MATCH($H167,'Program Setup'!$A$6:$A$8,0)),0)</f>
        <v/>
      </c>
      <c r="J167" s="8">
        <f>SUMIFS('Amplify Detail'!$E$5:$E$496,'Amplify Detail'!$A$5:$A$496,$A167,'Amplify Detail'!$C$5:$C$496,$C167)</f>
        <v/>
      </c>
      <c r="K167" s="8">
        <f>SUMIFS('Amplify Detail'!$F$5:$F$496,'Amplify Detail'!$A$5:$A$496,$A167,'Amplify Detail'!$C$5:$C$496,$C167)</f>
        <v/>
      </c>
      <c r="L167" s="8">
        <f>SUMIFS('Amplify Detail'!$G$5:$G$496,'Amplify Detail'!$A$5:$A$496,$A167,'Amplify Detail'!$C$5:$C$496,$C167)</f>
        <v/>
      </c>
      <c r="M167" s="7">
        <f>SUMIFS('Amplify Detail'!$J$5:$J$496,'Amplify Detail'!$A$5:$A$496,$A167,'Amplify Detail'!$C$5:$C$496,$C167)</f>
        <v/>
      </c>
      <c r="N167" s="7">
        <f>$I167+$M167</f>
        <v/>
      </c>
      <c r="O167" s="9">
        <f>IF($G167="No qualifier - Amplify open",1,IFERROR(INDEX('Program Setup'!$B$12:$B$14,MATCH($G167,'Program Setup'!$A$12:$A$14,0)),0))</f>
        <v/>
      </c>
      <c r="P167" s="4">
        <f>$A167&amp;"|"&amp;$C167</f>
        <v/>
      </c>
    </row>
    <row r="168">
      <c r="A168" s="4" t="inlineStr">
        <is>
          <t>Michael Harboy</t>
        </is>
      </c>
      <c r="B168" s="4" t="inlineStr">
        <is>
          <t>Mike Kennedy</t>
        </is>
      </c>
      <c r="C168" s="4" t="inlineStr">
        <is>
          <t>MolsonCoors Beverage Company</t>
        </is>
      </c>
      <c r="D168" s="5" t="n"/>
      <c r="E168" s="5" t="n">
        <v>3941</v>
      </c>
      <c r="F168" s="6">
        <f>IF($D168&gt;0,$E168/$D168,"")</f>
        <v/>
      </c>
      <c r="G168" s="4">
        <f>IF($D168&gt;0,IF($F168&gt;=1,"Qualified",IF($F168&gt;=0.9,"90% Partial Amplify","Not Qualified")),"No qualifier - Amplify open")</f>
        <v/>
      </c>
      <c r="H168" s="4">
        <f>IF($G168&lt;&gt;"Qualified","-",IFERROR(IF($E168&gt;=INDEX('Program Setup'!$C$18:$C$23,MATCH($C168,'Program Setup'!$B$18:$B$23,0)),1,IF($E168&gt;=INDEX('Program Setup'!$D$18:$D$23,MATCH($C168,'Program Setup'!$B$18:$B$23,0)),2,IF($E168&gt;=INDEX('Program Setup'!$E$18:$E$23,MATCH($C168,'Program Setup'!$B$18:$B$23,0)),3,"-"))),"-"))</f>
        <v/>
      </c>
      <c r="I168" s="7">
        <f>IF(ISNUMBER($H168),INDEX('Program Setup'!$B$6:$B$8,MATCH($H168,'Program Setup'!$A$6:$A$8,0)),0)</f>
        <v/>
      </c>
      <c r="J168" s="8">
        <f>SUMIFS('Amplify Detail'!$E$5:$E$496,'Amplify Detail'!$A$5:$A$496,$A168,'Amplify Detail'!$C$5:$C$496,$C168)</f>
        <v/>
      </c>
      <c r="K168" s="8">
        <f>SUMIFS('Amplify Detail'!$F$5:$F$496,'Amplify Detail'!$A$5:$A$496,$A168,'Amplify Detail'!$C$5:$C$496,$C168)</f>
        <v/>
      </c>
      <c r="L168" s="8">
        <f>SUMIFS('Amplify Detail'!$G$5:$G$496,'Amplify Detail'!$A$5:$A$496,$A168,'Amplify Detail'!$C$5:$C$496,$C168)</f>
        <v/>
      </c>
      <c r="M168" s="7">
        <f>SUMIFS('Amplify Detail'!$J$5:$J$496,'Amplify Detail'!$A$5:$A$496,$A168,'Amplify Detail'!$C$5:$C$496,$C168)</f>
        <v/>
      </c>
      <c r="N168" s="7">
        <f>$I168+$M168</f>
        <v/>
      </c>
      <c r="O168" s="9">
        <f>IF($G168="No qualifier - Amplify open",1,IFERROR(INDEX('Program Setup'!$B$12:$B$14,MATCH($G168,'Program Setup'!$A$12:$A$14,0)),0))</f>
        <v/>
      </c>
      <c r="P168" s="4">
        <f>$A168&amp;"|"&amp;$C168</f>
        <v/>
      </c>
    </row>
    <row r="169">
      <c r="A169" s="4" t="inlineStr">
        <is>
          <t>Michael Harboy</t>
        </is>
      </c>
      <c r="B169" s="4" t="inlineStr">
        <is>
          <t>Mike Kennedy</t>
        </is>
      </c>
      <c r="C169" s="4" t="inlineStr">
        <is>
          <t>New Belgium Brewing Company</t>
        </is>
      </c>
      <c r="D169" s="5" t="n"/>
      <c r="E169" s="5" t="n"/>
      <c r="F169" s="6">
        <f>IF($D169&gt;0,$E169/$D169,"")</f>
        <v/>
      </c>
      <c r="G169" s="4">
        <f>IF($D169&gt;0,IF($F169&gt;=1,"Qualified",IF($F169&gt;=0.9,"90% Partial Amplify","Not Qualified")),"No qualifier - Amplify open")</f>
        <v/>
      </c>
      <c r="H169" s="4">
        <f>IF($G169&lt;&gt;"Qualified","-",IFERROR(IF($E169&gt;=INDEX('Program Setup'!$C$18:$C$23,MATCH($C169,'Program Setup'!$B$18:$B$23,0)),1,IF($E169&gt;=INDEX('Program Setup'!$D$18:$D$23,MATCH($C169,'Program Setup'!$B$18:$B$23,0)),2,IF($E169&gt;=INDEX('Program Setup'!$E$18:$E$23,MATCH($C169,'Program Setup'!$B$18:$B$23,0)),3,"-"))),"-"))</f>
        <v/>
      </c>
      <c r="I169" s="7">
        <f>IF(ISNUMBER($H169),INDEX('Program Setup'!$B$6:$B$8,MATCH($H169,'Program Setup'!$A$6:$A$8,0)),0)</f>
        <v/>
      </c>
      <c r="J169" s="8">
        <f>SUMIFS('Amplify Detail'!$E$5:$E$496,'Amplify Detail'!$A$5:$A$496,$A169,'Amplify Detail'!$C$5:$C$496,$C169)</f>
        <v/>
      </c>
      <c r="K169" s="8">
        <f>SUMIFS('Amplify Detail'!$F$5:$F$496,'Amplify Detail'!$A$5:$A$496,$A169,'Amplify Detail'!$C$5:$C$496,$C169)</f>
        <v/>
      </c>
      <c r="L169" s="8">
        <f>SUMIFS('Amplify Detail'!$G$5:$G$496,'Amplify Detail'!$A$5:$A$496,$A169,'Amplify Detail'!$C$5:$C$496,$C169)</f>
        <v/>
      </c>
      <c r="M169" s="7">
        <f>SUMIFS('Amplify Detail'!$J$5:$J$496,'Amplify Detail'!$A$5:$A$496,$A169,'Amplify Detail'!$C$5:$C$496,$C169)</f>
        <v/>
      </c>
      <c r="N169" s="7">
        <f>$I169+$M169</f>
        <v/>
      </c>
      <c r="O169" s="9">
        <f>IF($G169="No qualifier - Amplify open",1,IFERROR(INDEX('Program Setup'!$B$12:$B$14,MATCH($G169,'Program Setup'!$A$12:$A$14,0)),0))</f>
        <v/>
      </c>
      <c r="P169" s="4">
        <f>$A169&amp;"|"&amp;$C169</f>
        <v/>
      </c>
    </row>
    <row r="170">
      <c r="A170" s="4" t="inlineStr">
        <is>
          <t>Michael Harboy</t>
        </is>
      </c>
      <c r="B170" s="4" t="inlineStr">
        <is>
          <t>Mike Kennedy</t>
        </is>
      </c>
      <c r="C170" s="4" t="inlineStr">
        <is>
          <t>Sapporo</t>
        </is>
      </c>
      <c r="D170" s="5" t="n"/>
      <c r="E170" s="5" t="n"/>
      <c r="F170" s="6">
        <f>IF($D170&gt;0,$E170/$D170,"")</f>
        <v/>
      </c>
      <c r="G170" s="4">
        <f>IF($D170&gt;0,IF($F170&gt;=1,"Qualified",IF($F170&gt;=0.9,"90% Partial Amplify","Not Qualified")),"No qualifier - Amplify open")</f>
        <v/>
      </c>
      <c r="H170" s="4">
        <f>IF($G170&lt;&gt;"Qualified","-",IFERROR(IF($E170&gt;=INDEX('Program Setup'!$C$18:$C$23,MATCH($C170,'Program Setup'!$B$18:$B$23,0)),1,IF($E170&gt;=INDEX('Program Setup'!$D$18:$D$23,MATCH($C170,'Program Setup'!$B$18:$B$23,0)),2,IF($E170&gt;=INDEX('Program Setup'!$E$18:$E$23,MATCH($C170,'Program Setup'!$B$18:$B$23,0)),3,"-"))),"-"))</f>
        <v/>
      </c>
      <c r="I170" s="7">
        <f>IF(ISNUMBER($H170),INDEX('Program Setup'!$B$6:$B$8,MATCH($H170,'Program Setup'!$A$6:$A$8,0)),0)</f>
        <v/>
      </c>
      <c r="J170" s="8">
        <f>SUMIFS('Amplify Detail'!$E$5:$E$496,'Amplify Detail'!$A$5:$A$496,$A170,'Amplify Detail'!$C$5:$C$496,$C170)</f>
        <v/>
      </c>
      <c r="K170" s="8">
        <f>SUMIFS('Amplify Detail'!$F$5:$F$496,'Amplify Detail'!$A$5:$A$496,$A170,'Amplify Detail'!$C$5:$C$496,$C170)</f>
        <v/>
      </c>
      <c r="L170" s="8">
        <f>SUMIFS('Amplify Detail'!$G$5:$G$496,'Amplify Detail'!$A$5:$A$496,$A170,'Amplify Detail'!$C$5:$C$496,$C170)</f>
        <v/>
      </c>
      <c r="M170" s="7">
        <f>SUMIFS('Amplify Detail'!$J$5:$J$496,'Amplify Detail'!$A$5:$A$496,$A170,'Amplify Detail'!$C$5:$C$496,$C170)</f>
        <v/>
      </c>
      <c r="N170" s="7">
        <f>$I170+$M170</f>
        <v/>
      </c>
      <c r="O170" s="9">
        <f>IF($G170="No qualifier - Amplify open",1,IFERROR(INDEX('Program Setup'!$B$12:$B$14,MATCH($G170,'Program Setup'!$A$12:$A$14,0)),0))</f>
        <v/>
      </c>
      <c r="P170" s="4">
        <f>$A170&amp;"|"&amp;$C170</f>
        <v/>
      </c>
    </row>
    <row r="171">
      <c r="A171" s="4" t="inlineStr">
        <is>
          <t>Mike Ast</t>
        </is>
      </c>
      <c r="B171" s="4" t="inlineStr">
        <is>
          <t>Paul Deady</t>
        </is>
      </c>
      <c r="C171" s="4" t="inlineStr">
        <is>
          <t>Boston Beer Company</t>
        </is>
      </c>
      <c r="D171" s="5" t="n">
        <v>2600</v>
      </c>
      <c r="E171" s="5" t="n">
        <v>1814</v>
      </c>
      <c r="F171" s="6">
        <f>IF($D171&gt;0,$E171/$D171,"")</f>
        <v/>
      </c>
      <c r="G171" s="4">
        <f>IF($D171&gt;0,IF($F171&gt;=1,"Qualified",IF($F171&gt;=0.9,"90% Partial Amplify","Not Qualified")),"No qualifier - Amplify open")</f>
        <v/>
      </c>
      <c r="H171" s="4">
        <f>IF($G171&lt;&gt;"Qualified","-",IFERROR(IF($E171&gt;=INDEX('Program Setup'!$C$18:$C$23,MATCH($C171,'Program Setup'!$B$18:$B$23,0)),1,IF($E171&gt;=INDEX('Program Setup'!$D$18:$D$23,MATCH($C171,'Program Setup'!$B$18:$B$23,0)),2,IF($E171&gt;=INDEX('Program Setup'!$E$18:$E$23,MATCH($C171,'Program Setup'!$B$18:$B$23,0)),3,"-"))),"-"))</f>
        <v/>
      </c>
      <c r="I171" s="7">
        <f>IF(ISNUMBER($H171),INDEX('Program Setup'!$B$6:$B$8,MATCH($H171,'Program Setup'!$A$6:$A$8,0)),0)</f>
        <v/>
      </c>
      <c r="J171" s="8">
        <f>SUMIFS('Amplify Detail'!$E$5:$E$496,'Amplify Detail'!$A$5:$A$496,$A171,'Amplify Detail'!$C$5:$C$496,$C171)</f>
        <v/>
      </c>
      <c r="K171" s="8">
        <f>SUMIFS('Amplify Detail'!$F$5:$F$496,'Amplify Detail'!$A$5:$A$496,$A171,'Amplify Detail'!$C$5:$C$496,$C171)</f>
        <v/>
      </c>
      <c r="L171" s="8">
        <f>SUMIFS('Amplify Detail'!$G$5:$G$496,'Amplify Detail'!$A$5:$A$496,$A171,'Amplify Detail'!$C$5:$C$496,$C171)</f>
        <v/>
      </c>
      <c r="M171" s="7">
        <f>SUMIFS('Amplify Detail'!$J$5:$J$496,'Amplify Detail'!$A$5:$A$496,$A171,'Amplify Detail'!$C$5:$C$496,$C171)</f>
        <v/>
      </c>
      <c r="N171" s="7">
        <f>$I171+$M171</f>
        <v/>
      </c>
      <c r="O171" s="9">
        <f>IF($G171="No qualifier - Amplify open",1,IFERROR(INDEX('Program Setup'!$B$12:$B$14,MATCH($G171,'Program Setup'!$A$12:$A$14,0)),0))</f>
        <v/>
      </c>
      <c r="P171" s="4">
        <f>$A171&amp;"|"&amp;$C171</f>
        <v/>
      </c>
    </row>
    <row r="172">
      <c r="A172" s="4" t="inlineStr">
        <is>
          <t>Mike Ast</t>
        </is>
      </c>
      <c r="B172" s="4" t="inlineStr">
        <is>
          <t>Paul Deady</t>
        </is>
      </c>
      <c r="C172" s="4" t="inlineStr">
        <is>
          <t>Cape May</t>
        </is>
      </c>
      <c r="D172" s="5" t="n"/>
      <c r="E172" s="5" t="n"/>
      <c r="F172" s="6">
        <f>IF($D172&gt;0,$E172/$D172,"")</f>
        <v/>
      </c>
      <c r="G172" s="4">
        <f>IF($D172&gt;0,IF($F172&gt;=1,"Qualified",IF($F172&gt;=0.9,"90% Partial Amplify","Not Qualified")),"No qualifier - Amplify open")</f>
        <v/>
      </c>
      <c r="H172" s="4">
        <f>IF($G172&lt;&gt;"Qualified","-",IFERROR(IF($E172&gt;=INDEX('Program Setup'!$C$18:$C$23,MATCH($C172,'Program Setup'!$B$18:$B$23,0)),1,IF($E172&gt;=INDEX('Program Setup'!$D$18:$D$23,MATCH($C172,'Program Setup'!$B$18:$B$23,0)),2,IF($E172&gt;=INDEX('Program Setup'!$E$18:$E$23,MATCH($C172,'Program Setup'!$B$18:$B$23,0)),3,"-"))),"-"))</f>
        <v/>
      </c>
      <c r="I172" s="7">
        <f>IF(ISNUMBER($H172),INDEX('Program Setup'!$B$6:$B$8,MATCH($H172,'Program Setup'!$A$6:$A$8,0)),0)</f>
        <v/>
      </c>
      <c r="J172" s="8">
        <f>SUMIFS('Amplify Detail'!$E$5:$E$496,'Amplify Detail'!$A$5:$A$496,$A172,'Amplify Detail'!$C$5:$C$496,$C172)</f>
        <v/>
      </c>
      <c r="K172" s="8">
        <f>SUMIFS('Amplify Detail'!$F$5:$F$496,'Amplify Detail'!$A$5:$A$496,$A172,'Amplify Detail'!$C$5:$C$496,$C172)</f>
        <v/>
      </c>
      <c r="L172" s="8">
        <f>SUMIFS('Amplify Detail'!$G$5:$G$496,'Amplify Detail'!$A$5:$A$496,$A172,'Amplify Detail'!$C$5:$C$496,$C172)</f>
        <v/>
      </c>
      <c r="M172" s="7">
        <f>SUMIFS('Amplify Detail'!$J$5:$J$496,'Amplify Detail'!$A$5:$A$496,$A172,'Amplify Detail'!$C$5:$C$496,$C172)</f>
        <v/>
      </c>
      <c r="N172" s="7">
        <f>$I172+$M172</f>
        <v/>
      </c>
      <c r="O172" s="9">
        <f>IF($G172="No qualifier - Amplify open",1,IFERROR(INDEX('Program Setup'!$B$12:$B$14,MATCH($G172,'Program Setup'!$A$12:$A$14,0)),0))</f>
        <v/>
      </c>
      <c r="P172" s="4">
        <f>$A172&amp;"|"&amp;$C172</f>
        <v/>
      </c>
    </row>
    <row r="173">
      <c r="A173" s="4" t="inlineStr">
        <is>
          <t>Mike Ast</t>
        </is>
      </c>
      <c r="B173" s="4" t="inlineStr">
        <is>
          <t>Paul Deady</t>
        </is>
      </c>
      <c r="C173" s="4" t="inlineStr">
        <is>
          <t>Constellation Brands</t>
        </is>
      </c>
      <c r="D173" s="5" t="n">
        <v>24427</v>
      </c>
      <c r="E173" s="5" t="n">
        <v>24814</v>
      </c>
      <c r="F173" s="6">
        <f>IF($D173&gt;0,$E173/$D173,"")</f>
        <v/>
      </c>
      <c r="G173" s="4">
        <f>IF($D173&gt;0,IF($F173&gt;=1,"Qualified",IF($F173&gt;=0.9,"90% Partial Amplify","Not Qualified")),"No qualifier - Amplify open")</f>
        <v/>
      </c>
      <c r="H173" s="4">
        <f>IF($G173&lt;&gt;"Qualified","-",IFERROR(IF($E173&gt;=INDEX('Program Setup'!$C$18:$C$23,MATCH($C173,'Program Setup'!$B$18:$B$23,0)),1,IF($E173&gt;=INDEX('Program Setup'!$D$18:$D$23,MATCH($C173,'Program Setup'!$B$18:$B$23,0)),2,IF($E173&gt;=INDEX('Program Setup'!$E$18:$E$23,MATCH($C173,'Program Setup'!$B$18:$B$23,0)),3,"-"))),"-"))</f>
        <v/>
      </c>
      <c r="I173" s="7">
        <f>IF(ISNUMBER($H173),INDEX('Program Setup'!$B$6:$B$8,MATCH($H173,'Program Setup'!$A$6:$A$8,0)),0)</f>
        <v/>
      </c>
      <c r="J173" s="8">
        <f>SUMIFS('Amplify Detail'!$E$5:$E$496,'Amplify Detail'!$A$5:$A$496,$A173,'Amplify Detail'!$C$5:$C$496,$C173)</f>
        <v/>
      </c>
      <c r="K173" s="8">
        <f>SUMIFS('Amplify Detail'!$F$5:$F$496,'Amplify Detail'!$A$5:$A$496,$A173,'Amplify Detail'!$C$5:$C$496,$C173)</f>
        <v/>
      </c>
      <c r="L173" s="8">
        <f>SUMIFS('Amplify Detail'!$G$5:$G$496,'Amplify Detail'!$A$5:$A$496,$A173,'Amplify Detail'!$C$5:$C$496,$C173)</f>
        <v/>
      </c>
      <c r="M173" s="7">
        <f>SUMIFS('Amplify Detail'!$J$5:$J$496,'Amplify Detail'!$A$5:$A$496,$A173,'Amplify Detail'!$C$5:$C$496,$C173)</f>
        <v/>
      </c>
      <c r="N173" s="7">
        <f>$I173+$M173</f>
        <v/>
      </c>
      <c r="O173" s="9">
        <f>IF($G173="No qualifier - Amplify open",1,IFERROR(INDEX('Program Setup'!$B$12:$B$14,MATCH($G173,'Program Setup'!$A$12:$A$14,0)),0))</f>
        <v/>
      </c>
      <c r="P173" s="4">
        <f>$A173&amp;"|"&amp;$C173</f>
        <v/>
      </c>
    </row>
    <row r="174">
      <c r="A174" s="4" t="inlineStr">
        <is>
          <t>Mike Ast</t>
        </is>
      </c>
      <c r="B174" s="4" t="inlineStr">
        <is>
          <t>Paul Deady</t>
        </is>
      </c>
      <c r="C174" s="4" t="inlineStr">
        <is>
          <t>DG Yuengling Inc</t>
        </is>
      </c>
      <c r="D174" s="5" t="n">
        <v>3114</v>
      </c>
      <c r="E174" s="5" t="n">
        <v>3175</v>
      </c>
      <c r="F174" s="6">
        <f>IF($D174&gt;0,$E174/$D174,"")</f>
        <v/>
      </c>
      <c r="G174" s="4">
        <f>IF($D174&gt;0,IF($F174&gt;=1,"Qualified",IF($F174&gt;=0.9,"90% Partial Amplify","Not Qualified")),"No qualifier - Amplify open")</f>
        <v/>
      </c>
      <c r="H174" s="4">
        <f>IF($G174&lt;&gt;"Qualified","-",IFERROR(IF($E174&gt;=INDEX('Program Setup'!$C$18:$C$23,MATCH($C174,'Program Setup'!$B$18:$B$23,0)),1,IF($E174&gt;=INDEX('Program Setup'!$D$18:$D$23,MATCH($C174,'Program Setup'!$B$18:$B$23,0)),2,IF($E174&gt;=INDEX('Program Setup'!$E$18:$E$23,MATCH($C174,'Program Setup'!$B$18:$B$23,0)),3,"-"))),"-"))</f>
        <v/>
      </c>
      <c r="I174" s="7">
        <f>IF(ISNUMBER($H174),INDEX('Program Setup'!$B$6:$B$8,MATCH($H174,'Program Setup'!$A$6:$A$8,0)),0)</f>
        <v/>
      </c>
      <c r="J174" s="8">
        <f>SUMIFS('Amplify Detail'!$E$5:$E$496,'Amplify Detail'!$A$5:$A$496,$A174,'Amplify Detail'!$C$5:$C$496,$C174)</f>
        <v/>
      </c>
      <c r="K174" s="8">
        <f>SUMIFS('Amplify Detail'!$F$5:$F$496,'Amplify Detail'!$A$5:$A$496,$A174,'Amplify Detail'!$C$5:$C$496,$C174)</f>
        <v/>
      </c>
      <c r="L174" s="8">
        <f>SUMIFS('Amplify Detail'!$G$5:$G$496,'Amplify Detail'!$A$5:$A$496,$A174,'Amplify Detail'!$C$5:$C$496,$C174)</f>
        <v/>
      </c>
      <c r="M174" s="7">
        <f>SUMIFS('Amplify Detail'!$J$5:$J$496,'Amplify Detail'!$A$5:$A$496,$A174,'Amplify Detail'!$C$5:$C$496,$C174)</f>
        <v/>
      </c>
      <c r="N174" s="7">
        <f>$I174+$M174</f>
        <v/>
      </c>
      <c r="O174" s="9">
        <f>IF($G174="No qualifier - Amplify open",1,IFERROR(INDEX('Program Setup'!$B$12:$B$14,MATCH($G174,'Program Setup'!$A$12:$A$14,0)),0))</f>
        <v/>
      </c>
      <c r="P174" s="4">
        <f>$A174&amp;"|"&amp;$C174</f>
        <v/>
      </c>
    </row>
    <row r="175">
      <c r="A175" s="4" t="inlineStr">
        <is>
          <t>Mike Ast</t>
        </is>
      </c>
      <c r="B175" s="4" t="inlineStr">
        <is>
          <t>Paul Deady</t>
        </is>
      </c>
      <c r="C175" s="4" t="inlineStr">
        <is>
          <t>Heineken USA</t>
        </is>
      </c>
      <c r="D175" s="5" t="n">
        <v>4695</v>
      </c>
      <c r="E175" s="5" t="n">
        <v>4833</v>
      </c>
      <c r="F175" s="6">
        <f>IF($D175&gt;0,$E175/$D175,"")</f>
        <v/>
      </c>
      <c r="G175" s="4">
        <f>IF($D175&gt;0,IF($F175&gt;=1,"Qualified",IF($F175&gt;=0.9,"90% Partial Amplify","Not Qualified")),"No qualifier - Amplify open")</f>
        <v/>
      </c>
      <c r="H175" s="4">
        <f>IF($G175&lt;&gt;"Qualified","-",IFERROR(IF($E175&gt;=INDEX('Program Setup'!$C$18:$C$23,MATCH($C175,'Program Setup'!$B$18:$B$23,0)),1,IF($E175&gt;=INDEX('Program Setup'!$D$18:$D$23,MATCH($C175,'Program Setup'!$B$18:$B$23,0)),2,IF($E175&gt;=INDEX('Program Setup'!$E$18:$E$23,MATCH($C175,'Program Setup'!$B$18:$B$23,0)),3,"-"))),"-"))</f>
        <v/>
      </c>
      <c r="I175" s="7">
        <f>IF(ISNUMBER($H175),INDEX('Program Setup'!$B$6:$B$8,MATCH($H175,'Program Setup'!$A$6:$A$8,0)),0)</f>
        <v/>
      </c>
      <c r="J175" s="8">
        <f>SUMIFS('Amplify Detail'!$E$5:$E$496,'Amplify Detail'!$A$5:$A$496,$A175,'Amplify Detail'!$C$5:$C$496,$C175)</f>
        <v/>
      </c>
      <c r="K175" s="8">
        <f>SUMIFS('Amplify Detail'!$F$5:$F$496,'Amplify Detail'!$A$5:$A$496,$A175,'Amplify Detail'!$C$5:$C$496,$C175)</f>
        <v/>
      </c>
      <c r="L175" s="8">
        <f>SUMIFS('Amplify Detail'!$G$5:$G$496,'Amplify Detail'!$A$5:$A$496,$A175,'Amplify Detail'!$C$5:$C$496,$C175)</f>
        <v/>
      </c>
      <c r="M175" s="7">
        <f>SUMIFS('Amplify Detail'!$J$5:$J$496,'Amplify Detail'!$A$5:$A$496,$A175,'Amplify Detail'!$C$5:$C$496,$C175)</f>
        <v/>
      </c>
      <c r="N175" s="7">
        <f>$I175+$M175</f>
        <v/>
      </c>
      <c r="O175" s="9">
        <f>IF($G175="No qualifier - Amplify open",1,IFERROR(INDEX('Program Setup'!$B$12:$B$14,MATCH($G175,'Program Setup'!$A$12:$A$14,0)),0))</f>
        <v/>
      </c>
      <c r="P175" s="4">
        <f>$A175&amp;"|"&amp;$C175</f>
        <v/>
      </c>
    </row>
    <row r="176">
      <c r="A176" s="4" t="inlineStr">
        <is>
          <t>Mike Ast</t>
        </is>
      </c>
      <c r="B176" s="4" t="inlineStr">
        <is>
          <t>Paul Deady</t>
        </is>
      </c>
      <c r="C176" s="4" t="inlineStr">
        <is>
          <t>Mark Anthony</t>
        </is>
      </c>
      <c r="D176" s="5" t="n">
        <v>5657</v>
      </c>
      <c r="E176" s="5" t="n">
        <v>6247</v>
      </c>
      <c r="F176" s="6">
        <f>IF($D176&gt;0,$E176/$D176,"")</f>
        <v/>
      </c>
      <c r="G176" s="4">
        <f>IF($D176&gt;0,IF($F176&gt;=1,"Qualified",IF($F176&gt;=0.9,"90% Partial Amplify","Not Qualified")),"No qualifier - Amplify open")</f>
        <v/>
      </c>
      <c r="H176" s="4">
        <f>IF($G176&lt;&gt;"Qualified","-",IFERROR(IF($E176&gt;=INDEX('Program Setup'!$C$18:$C$23,MATCH($C176,'Program Setup'!$B$18:$B$23,0)),1,IF($E176&gt;=INDEX('Program Setup'!$D$18:$D$23,MATCH($C176,'Program Setup'!$B$18:$B$23,0)),2,IF($E176&gt;=INDEX('Program Setup'!$E$18:$E$23,MATCH($C176,'Program Setup'!$B$18:$B$23,0)),3,"-"))),"-"))</f>
        <v/>
      </c>
      <c r="I176" s="7">
        <f>IF(ISNUMBER($H176),INDEX('Program Setup'!$B$6:$B$8,MATCH($H176,'Program Setup'!$A$6:$A$8,0)),0)</f>
        <v/>
      </c>
      <c r="J176" s="8">
        <f>SUMIFS('Amplify Detail'!$E$5:$E$496,'Amplify Detail'!$A$5:$A$496,$A176,'Amplify Detail'!$C$5:$C$496,$C176)</f>
        <v/>
      </c>
      <c r="K176" s="8">
        <f>SUMIFS('Amplify Detail'!$F$5:$F$496,'Amplify Detail'!$A$5:$A$496,$A176,'Amplify Detail'!$C$5:$C$496,$C176)</f>
        <v/>
      </c>
      <c r="L176" s="8">
        <f>SUMIFS('Amplify Detail'!$G$5:$G$496,'Amplify Detail'!$A$5:$A$496,$A176,'Amplify Detail'!$C$5:$C$496,$C176)</f>
        <v/>
      </c>
      <c r="M176" s="7">
        <f>SUMIFS('Amplify Detail'!$J$5:$J$496,'Amplify Detail'!$A$5:$A$496,$A176,'Amplify Detail'!$C$5:$C$496,$C176)</f>
        <v/>
      </c>
      <c r="N176" s="7">
        <f>$I176+$M176</f>
        <v/>
      </c>
      <c r="O176" s="9">
        <f>IF($G176="No qualifier - Amplify open",1,IFERROR(INDEX('Program Setup'!$B$12:$B$14,MATCH($G176,'Program Setup'!$A$12:$A$14,0)),0))</f>
        <v/>
      </c>
      <c r="P176" s="4">
        <f>$A176&amp;"|"&amp;$C176</f>
        <v/>
      </c>
    </row>
    <row r="177">
      <c r="A177" s="4" t="inlineStr">
        <is>
          <t>Mike Ast</t>
        </is>
      </c>
      <c r="B177" s="4" t="inlineStr">
        <is>
          <t>Paul Deady</t>
        </is>
      </c>
      <c r="C177" s="4" t="inlineStr">
        <is>
          <t>MolsonCoors Beverage Company</t>
        </is>
      </c>
      <c r="D177" s="5" t="n">
        <v>24960</v>
      </c>
      <c r="E177" s="5" t="n">
        <v>24590</v>
      </c>
      <c r="F177" s="6">
        <f>IF($D177&gt;0,$E177/$D177,"")</f>
        <v/>
      </c>
      <c r="G177" s="4">
        <f>IF($D177&gt;0,IF($F177&gt;=1,"Qualified",IF($F177&gt;=0.9,"90% Partial Amplify","Not Qualified")),"No qualifier - Amplify open")</f>
        <v/>
      </c>
      <c r="H177" s="4">
        <f>IF($G177&lt;&gt;"Qualified","-",IFERROR(IF($E177&gt;=INDEX('Program Setup'!$C$18:$C$23,MATCH($C177,'Program Setup'!$B$18:$B$23,0)),1,IF($E177&gt;=INDEX('Program Setup'!$D$18:$D$23,MATCH($C177,'Program Setup'!$B$18:$B$23,0)),2,IF($E177&gt;=INDEX('Program Setup'!$E$18:$E$23,MATCH($C177,'Program Setup'!$B$18:$B$23,0)),3,"-"))),"-"))</f>
        <v/>
      </c>
      <c r="I177" s="7">
        <f>IF(ISNUMBER($H177),INDEX('Program Setup'!$B$6:$B$8,MATCH($H177,'Program Setup'!$A$6:$A$8,0)),0)</f>
        <v/>
      </c>
      <c r="J177" s="8">
        <f>SUMIFS('Amplify Detail'!$E$5:$E$496,'Amplify Detail'!$A$5:$A$496,$A177,'Amplify Detail'!$C$5:$C$496,$C177)</f>
        <v/>
      </c>
      <c r="K177" s="8">
        <f>SUMIFS('Amplify Detail'!$F$5:$F$496,'Amplify Detail'!$A$5:$A$496,$A177,'Amplify Detail'!$C$5:$C$496,$C177)</f>
        <v/>
      </c>
      <c r="L177" s="8">
        <f>SUMIFS('Amplify Detail'!$G$5:$G$496,'Amplify Detail'!$A$5:$A$496,$A177,'Amplify Detail'!$C$5:$C$496,$C177)</f>
        <v/>
      </c>
      <c r="M177" s="7">
        <f>SUMIFS('Amplify Detail'!$J$5:$J$496,'Amplify Detail'!$A$5:$A$496,$A177,'Amplify Detail'!$C$5:$C$496,$C177)</f>
        <v/>
      </c>
      <c r="N177" s="7">
        <f>$I177+$M177</f>
        <v/>
      </c>
      <c r="O177" s="9">
        <f>IF($G177="No qualifier - Amplify open",1,IFERROR(INDEX('Program Setup'!$B$12:$B$14,MATCH($G177,'Program Setup'!$A$12:$A$14,0)),0))</f>
        <v/>
      </c>
      <c r="P177" s="4">
        <f>$A177&amp;"|"&amp;$C177</f>
        <v/>
      </c>
    </row>
    <row r="178">
      <c r="A178" s="4" t="inlineStr">
        <is>
          <t>Mike Ast</t>
        </is>
      </c>
      <c r="B178" s="4" t="inlineStr">
        <is>
          <t>Paul Deady</t>
        </is>
      </c>
      <c r="C178" s="4" t="inlineStr">
        <is>
          <t>New Belgium Brewing Company</t>
        </is>
      </c>
      <c r="D178" s="5" t="n"/>
      <c r="E178" s="5" t="n"/>
      <c r="F178" s="6">
        <f>IF($D178&gt;0,$E178/$D178,"")</f>
        <v/>
      </c>
      <c r="G178" s="4">
        <f>IF($D178&gt;0,IF($F178&gt;=1,"Qualified",IF($F178&gt;=0.9,"90% Partial Amplify","Not Qualified")),"No qualifier - Amplify open")</f>
        <v/>
      </c>
      <c r="H178" s="4">
        <f>IF($G178&lt;&gt;"Qualified","-",IFERROR(IF($E178&gt;=INDEX('Program Setup'!$C$18:$C$23,MATCH($C178,'Program Setup'!$B$18:$B$23,0)),1,IF($E178&gt;=INDEX('Program Setup'!$D$18:$D$23,MATCH($C178,'Program Setup'!$B$18:$B$23,0)),2,IF($E178&gt;=INDEX('Program Setup'!$E$18:$E$23,MATCH($C178,'Program Setup'!$B$18:$B$23,0)),3,"-"))),"-"))</f>
        <v/>
      </c>
      <c r="I178" s="7">
        <f>IF(ISNUMBER($H178),INDEX('Program Setup'!$B$6:$B$8,MATCH($H178,'Program Setup'!$A$6:$A$8,0)),0)</f>
        <v/>
      </c>
      <c r="J178" s="8">
        <f>SUMIFS('Amplify Detail'!$E$5:$E$496,'Amplify Detail'!$A$5:$A$496,$A178,'Amplify Detail'!$C$5:$C$496,$C178)</f>
        <v/>
      </c>
      <c r="K178" s="8">
        <f>SUMIFS('Amplify Detail'!$F$5:$F$496,'Amplify Detail'!$A$5:$A$496,$A178,'Amplify Detail'!$C$5:$C$496,$C178)</f>
        <v/>
      </c>
      <c r="L178" s="8">
        <f>SUMIFS('Amplify Detail'!$G$5:$G$496,'Amplify Detail'!$A$5:$A$496,$A178,'Amplify Detail'!$C$5:$C$496,$C178)</f>
        <v/>
      </c>
      <c r="M178" s="7">
        <f>SUMIFS('Amplify Detail'!$J$5:$J$496,'Amplify Detail'!$A$5:$A$496,$A178,'Amplify Detail'!$C$5:$C$496,$C178)</f>
        <v/>
      </c>
      <c r="N178" s="7">
        <f>$I178+$M178</f>
        <v/>
      </c>
      <c r="O178" s="9">
        <f>IF($G178="No qualifier - Amplify open",1,IFERROR(INDEX('Program Setup'!$B$12:$B$14,MATCH($G178,'Program Setup'!$A$12:$A$14,0)),0))</f>
        <v/>
      </c>
      <c r="P178" s="4">
        <f>$A178&amp;"|"&amp;$C178</f>
        <v/>
      </c>
    </row>
    <row r="179">
      <c r="A179" s="4" t="inlineStr">
        <is>
          <t>Mike Ast</t>
        </is>
      </c>
      <c r="B179" s="4" t="inlineStr">
        <is>
          <t>Paul Deady</t>
        </is>
      </c>
      <c r="C179" s="4" t="inlineStr">
        <is>
          <t>Sapporo</t>
        </is>
      </c>
      <c r="D179" s="5" t="n"/>
      <c r="E179" s="5" t="n"/>
      <c r="F179" s="6">
        <f>IF($D179&gt;0,$E179/$D179,"")</f>
        <v/>
      </c>
      <c r="G179" s="4">
        <f>IF($D179&gt;0,IF($F179&gt;=1,"Qualified",IF($F179&gt;=0.9,"90% Partial Amplify","Not Qualified")),"No qualifier - Amplify open")</f>
        <v/>
      </c>
      <c r="H179" s="4">
        <f>IF($G179&lt;&gt;"Qualified","-",IFERROR(IF($E179&gt;=INDEX('Program Setup'!$C$18:$C$23,MATCH($C179,'Program Setup'!$B$18:$B$23,0)),1,IF($E179&gt;=INDEX('Program Setup'!$D$18:$D$23,MATCH($C179,'Program Setup'!$B$18:$B$23,0)),2,IF($E179&gt;=INDEX('Program Setup'!$E$18:$E$23,MATCH($C179,'Program Setup'!$B$18:$B$23,0)),3,"-"))),"-"))</f>
        <v/>
      </c>
      <c r="I179" s="7">
        <f>IF(ISNUMBER($H179),INDEX('Program Setup'!$B$6:$B$8,MATCH($H179,'Program Setup'!$A$6:$A$8,0)),0)</f>
        <v/>
      </c>
      <c r="J179" s="8">
        <f>SUMIFS('Amplify Detail'!$E$5:$E$496,'Amplify Detail'!$A$5:$A$496,$A179,'Amplify Detail'!$C$5:$C$496,$C179)</f>
        <v/>
      </c>
      <c r="K179" s="8">
        <f>SUMIFS('Amplify Detail'!$F$5:$F$496,'Amplify Detail'!$A$5:$A$496,$A179,'Amplify Detail'!$C$5:$C$496,$C179)</f>
        <v/>
      </c>
      <c r="L179" s="8">
        <f>SUMIFS('Amplify Detail'!$G$5:$G$496,'Amplify Detail'!$A$5:$A$496,$A179,'Amplify Detail'!$C$5:$C$496,$C179)</f>
        <v/>
      </c>
      <c r="M179" s="7">
        <f>SUMIFS('Amplify Detail'!$J$5:$J$496,'Amplify Detail'!$A$5:$A$496,$A179,'Amplify Detail'!$C$5:$C$496,$C179)</f>
        <v/>
      </c>
      <c r="N179" s="7">
        <f>$I179+$M179</f>
        <v/>
      </c>
      <c r="O179" s="9">
        <f>IF($G179="No qualifier - Amplify open",1,IFERROR(INDEX('Program Setup'!$B$12:$B$14,MATCH($G179,'Program Setup'!$A$12:$A$14,0)),0))</f>
        <v/>
      </c>
      <c r="P179" s="4">
        <f>$A179&amp;"|"&amp;$C179</f>
        <v/>
      </c>
    </row>
    <row r="180">
      <c r="A180" s="4" t="inlineStr">
        <is>
          <t>Nick Melissari</t>
        </is>
      </c>
      <c r="B180" s="4" t="inlineStr">
        <is>
          <t>Chris McCrohan</t>
        </is>
      </c>
      <c r="C180" s="4" t="inlineStr">
        <is>
          <t>Boston Beer Company</t>
        </is>
      </c>
      <c r="D180" s="5" t="n">
        <v>240</v>
      </c>
      <c r="E180" s="5" t="n">
        <v>285</v>
      </c>
      <c r="F180" s="6">
        <f>IF($D180&gt;0,$E180/$D180,"")</f>
        <v/>
      </c>
      <c r="G180" s="4">
        <f>IF($D180&gt;0,IF($F180&gt;=1,"Qualified",IF($F180&gt;=0.9,"90% Partial Amplify","Not Qualified")),"No qualifier - Amplify open")</f>
        <v/>
      </c>
      <c r="H180" s="4">
        <f>IF($G180&lt;&gt;"Qualified","-",IFERROR(IF($E180&gt;=INDEX('Program Setup'!$C$18:$C$23,MATCH($C180,'Program Setup'!$B$18:$B$23,0)),1,IF($E180&gt;=INDEX('Program Setup'!$D$18:$D$23,MATCH($C180,'Program Setup'!$B$18:$B$23,0)),2,IF($E180&gt;=INDEX('Program Setup'!$E$18:$E$23,MATCH($C180,'Program Setup'!$B$18:$B$23,0)),3,"-"))),"-"))</f>
        <v/>
      </c>
      <c r="I180" s="7">
        <f>IF(ISNUMBER($H180),INDEX('Program Setup'!$B$6:$B$8,MATCH($H180,'Program Setup'!$A$6:$A$8,0)),0)</f>
        <v/>
      </c>
      <c r="J180" s="8">
        <f>SUMIFS('Amplify Detail'!$E$5:$E$496,'Amplify Detail'!$A$5:$A$496,$A180,'Amplify Detail'!$C$5:$C$496,$C180)</f>
        <v/>
      </c>
      <c r="K180" s="8">
        <f>SUMIFS('Amplify Detail'!$F$5:$F$496,'Amplify Detail'!$A$5:$A$496,$A180,'Amplify Detail'!$C$5:$C$496,$C180)</f>
        <v/>
      </c>
      <c r="L180" s="8">
        <f>SUMIFS('Amplify Detail'!$G$5:$G$496,'Amplify Detail'!$A$5:$A$496,$A180,'Amplify Detail'!$C$5:$C$496,$C180)</f>
        <v/>
      </c>
      <c r="M180" s="7">
        <f>SUMIFS('Amplify Detail'!$J$5:$J$496,'Amplify Detail'!$A$5:$A$496,$A180,'Amplify Detail'!$C$5:$C$496,$C180)</f>
        <v/>
      </c>
      <c r="N180" s="7">
        <f>$I180+$M180</f>
        <v/>
      </c>
      <c r="O180" s="9">
        <f>IF($G180="No qualifier - Amplify open",1,IFERROR(INDEX('Program Setup'!$B$12:$B$14,MATCH($G180,'Program Setup'!$A$12:$A$14,0)),0))</f>
        <v/>
      </c>
      <c r="P180" s="4">
        <f>$A180&amp;"|"&amp;$C180</f>
        <v/>
      </c>
    </row>
    <row r="181">
      <c r="A181" s="4" t="inlineStr">
        <is>
          <t>Nick Melissari</t>
        </is>
      </c>
      <c r="B181" s="4" t="inlineStr">
        <is>
          <t>Chris McCrohan</t>
        </is>
      </c>
      <c r="C181" s="4" t="inlineStr">
        <is>
          <t>Cape May</t>
        </is>
      </c>
      <c r="D181" s="5" t="n"/>
      <c r="E181" s="5" t="n"/>
      <c r="F181" s="6">
        <f>IF($D181&gt;0,$E181/$D181,"")</f>
        <v/>
      </c>
      <c r="G181" s="4">
        <f>IF($D181&gt;0,IF($F181&gt;=1,"Qualified",IF($F181&gt;=0.9,"90% Partial Amplify","Not Qualified")),"No qualifier - Amplify open")</f>
        <v/>
      </c>
      <c r="H181" s="4">
        <f>IF($G181&lt;&gt;"Qualified","-",IFERROR(IF($E181&gt;=INDEX('Program Setup'!$C$18:$C$23,MATCH($C181,'Program Setup'!$B$18:$B$23,0)),1,IF($E181&gt;=INDEX('Program Setup'!$D$18:$D$23,MATCH($C181,'Program Setup'!$B$18:$B$23,0)),2,IF($E181&gt;=INDEX('Program Setup'!$E$18:$E$23,MATCH($C181,'Program Setup'!$B$18:$B$23,0)),3,"-"))),"-"))</f>
        <v/>
      </c>
      <c r="I181" s="7">
        <f>IF(ISNUMBER($H181),INDEX('Program Setup'!$B$6:$B$8,MATCH($H181,'Program Setup'!$A$6:$A$8,0)),0)</f>
        <v/>
      </c>
      <c r="J181" s="8">
        <f>SUMIFS('Amplify Detail'!$E$5:$E$496,'Amplify Detail'!$A$5:$A$496,$A181,'Amplify Detail'!$C$5:$C$496,$C181)</f>
        <v/>
      </c>
      <c r="K181" s="8">
        <f>SUMIFS('Amplify Detail'!$F$5:$F$496,'Amplify Detail'!$A$5:$A$496,$A181,'Amplify Detail'!$C$5:$C$496,$C181)</f>
        <v/>
      </c>
      <c r="L181" s="8">
        <f>SUMIFS('Amplify Detail'!$G$5:$G$496,'Amplify Detail'!$A$5:$A$496,$A181,'Amplify Detail'!$C$5:$C$496,$C181)</f>
        <v/>
      </c>
      <c r="M181" s="7">
        <f>SUMIFS('Amplify Detail'!$J$5:$J$496,'Amplify Detail'!$A$5:$A$496,$A181,'Amplify Detail'!$C$5:$C$496,$C181)</f>
        <v/>
      </c>
      <c r="N181" s="7">
        <f>$I181+$M181</f>
        <v/>
      </c>
      <c r="O181" s="9">
        <f>IF($G181="No qualifier - Amplify open",1,IFERROR(INDEX('Program Setup'!$B$12:$B$14,MATCH($G181,'Program Setup'!$A$12:$A$14,0)),0))</f>
        <v/>
      </c>
      <c r="P181" s="4">
        <f>$A181&amp;"|"&amp;$C181</f>
        <v/>
      </c>
    </row>
    <row r="182">
      <c r="A182" s="4" t="inlineStr">
        <is>
          <t>Nick Melissari</t>
        </is>
      </c>
      <c r="B182" s="4" t="inlineStr">
        <is>
          <t>Chris McCrohan</t>
        </is>
      </c>
      <c r="C182" s="4" t="inlineStr">
        <is>
          <t>Constellation Brands</t>
        </is>
      </c>
      <c r="D182" s="5" t="n">
        <v>7671</v>
      </c>
      <c r="E182" s="5" t="n">
        <v>9727</v>
      </c>
      <c r="F182" s="6">
        <f>IF($D182&gt;0,$E182/$D182,"")</f>
        <v/>
      </c>
      <c r="G182" s="4">
        <f>IF($D182&gt;0,IF($F182&gt;=1,"Qualified",IF($F182&gt;=0.9,"90% Partial Amplify","Not Qualified")),"No qualifier - Amplify open")</f>
        <v/>
      </c>
      <c r="H182" s="4">
        <f>IF($G182&lt;&gt;"Qualified","-",IFERROR(IF($E182&gt;=INDEX('Program Setup'!$C$18:$C$23,MATCH($C182,'Program Setup'!$B$18:$B$23,0)),1,IF($E182&gt;=INDEX('Program Setup'!$D$18:$D$23,MATCH($C182,'Program Setup'!$B$18:$B$23,0)),2,IF($E182&gt;=INDEX('Program Setup'!$E$18:$E$23,MATCH($C182,'Program Setup'!$B$18:$B$23,0)),3,"-"))),"-"))</f>
        <v/>
      </c>
      <c r="I182" s="7">
        <f>IF(ISNUMBER($H182),INDEX('Program Setup'!$B$6:$B$8,MATCH($H182,'Program Setup'!$A$6:$A$8,0)),0)</f>
        <v/>
      </c>
      <c r="J182" s="8">
        <f>SUMIFS('Amplify Detail'!$E$5:$E$496,'Amplify Detail'!$A$5:$A$496,$A182,'Amplify Detail'!$C$5:$C$496,$C182)</f>
        <v/>
      </c>
      <c r="K182" s="8">
        <f>SUMIFS('Amplify Detail'!$F$5:$F$496,'Amplify Detail'!$A$5:$A$496,$A182,'Amplify Detail'!$C$5:$C$496,$C182)</f>
        <v/>
      </c>
      <c r="L182" s="8">
        <f>SUMIFS('Amplify Detail'!$G$5:$G$496,'Amplify Detail'!$A$5:$A$496,$A182,'Amplify Detail'!$C$5:$C$496,$C182)</f>
        <v/>
      </c>
      <c r="M182" s="7">
        <f>SUMIFS('Amplify Detail'!$J$5:$J$496,'Amplify Detail'!$A$5:$A$496,$A182,'Amplify Detail'!$C$5:$C$496,$C182)</f>
        <v/>
      </c>
      <c r="N182" s="7">
        <f>$I182+$M182</f>
        <v/>
      </c>
      <c r="O182" s="9">
        <f>IF($G182="No qualifier - Amplify open",1,IFERROR(INDEX('Program Setup'!$B$12:$B$14,MATCH($G182,'Program Setup'!$A$12:$A$14,0)),0))</f>
        <v/>
      </c>
      <c r="P182" s="4">
        <f>$A182&amp;"|"&amp;$C182</f>
        <v/>
      </c>
    </row>
    <row r="183">
      <c r="A183" s="4" t="inlineStr">
        <is>
          <t>Nick Melissari</t>
        </is>
      </c>
      <c r="B183" s="4" t="inlineStr">
        <is>
          <t>Chris McCrohan</t>
        </is>
      </c>
      <c r="C183" s="4" t="inlineStr">
        <is>
          <t>DG Yuengling Inc</t>
        </is>
      </c>
      <c r="D183" s="5" t="n">
        <v>2613</v>
      </c>
      <c r="E183" s="5" t="n">
        <v>2817</v>
      </c>
      <c r="F183" s="6">
        <f>IF($D183&gt;0,$E183/$D183,"")</f>
        <v/>
      </c>
      <c r="G183" s="4">
        <f>IF($D183&gt;0,IF($F183&gt;=1,"Qualified",IF($F183&gt;=0.9,"90% Partial Amplify","Not Qualified")),"No qualifier - Amplify open")</f>
        <v/>
      </c>
      <c r="H183" s="4">
        <f>IF($G183&lt;&gt;"Qualified","-",IFERROR(IF($E183&gt;=INDEX('Program Setup'!$C$18:$C$23,MATCH($C183,'Program Setup'!$B$18:$B$23,0)),1,IF($E183&gt;=INDEX('Program Setup'!$D$18:$D$23,MATCH($C183,'Program Setup'!$B$18:$B$23,0)),2,IF($E183&gt;=INDEX('Program Setup'!$E$18:$E$23,MATCH($C183,'Program Setup'!$B$18:$B$23,0)),3,"-"))),"-"))</f>
        <v/>
      </c>
      <c r="I183" s="7">
        <f>IF(ISNUMBER($H183),INDEX('Program Setup'!$B$6:$B$8,MATCH($H183,'Program Setup'!$A$6:$A$8,0)),0)</f>
        <v/>
      </c>
      <c r="J183" s="8">
        <f>SUMIFS('Amplify Detail'!$E$5:$E$496,'Amplify Detail'!$A$5:$A$496,$A183,'Amplify Detail'!$C$5:$C$496,$C183)</f>
        <v/>
      </c>
      <c r="K183" s="8">
        <f>SUMIFS('Amplify Detail'!$F$5:$F$496,'Amplify Detail'!$A$5:$A$496,$A183,'Amplify Detail'!$C$5:$C$496,$C183)</f>
        <v/>
      </c>
      <c r="L183" s="8">
        <f>SUMIFS('Amplify Detail'!$G$5:$G$496,'Amplify Detail'!$A$5:$A$496,$A183,'Amplify Detail'!$C$5:$C$496,$C183)</f>
        <v/>
      </c>
      <c r="M183" s="7">
        <f>SUMIFS('Amplify Detail'!$J$5:$J$496,'Amplify Detail'!$A$5:$A$496,$A183,'Amplify Detail'!$C$5:$C$496,$C183)</f>
        <v/>
      </c>
      <c r="N183" s="7">
        <f>$I183+$M183</f>
        <v/>
      </c>
      <c r="O183" s="9">
        <f>IF($G183="No qualifier - Amplify open",1,IFERROR(INDEX('Program Setup'!$B$12:$B$14,MATCH($G183,'Program Setup'!$A$12:$A$14,0)),0))</f>
        <v/>
      </c>
      <c r="P183" s="4">
        <f>$A183&amp;"|"&amp;$C183</f>
        <v/>
      </c>
    </row>
    <row r="184">
      <c r="A184" s="4" t="inlineStr">
        <is>
          <t>Nick Melissari</t>
        </is>
      </c>
      <c r="B184" s="4" t="inlineStr">
        <is>
          <t>Chris McCrohan</t>
        </is>
      </c>
      <c r="C184" s="4" t="inlineStr">
        <is>
          <t>Heineken USA</t>
        </is>
      </c>
      <c r="D184" s="5" t="n">
        <v>2344</v>
      </c>
      <c r="E184" s="5" t="n">
        <v>2627</v>
      </c>
      <c r="F184" s="6">
        <f>IF($D184&gt;0,$E184/$D184,"")</f>
        <v/>
      </c>
      <c r="G184" s="4">
        <f>IF($D184&gt;0,IF($F184&gt;=1,"Qualified",IF($F184&gt;=0.9,"90% Partial Amplify","Not Qualified")),"No qualifier - Amplify open")</f>
        <v/>
      </c>
      <c r="H184" s="4">
        <f>IF($G184&lt;&gt;"Qualified","-",IFERROR(IF($E184&gt;=INDEX('Program Setup'!$C$18:$C$23,MATCH($C184,'Program Setup'!$B$18:$B$23,0)),1,IF($E184&gt;=INDEX('Program Setup'!$D$18:$D$23,MATCH($C184,'Program Setup'!$B$18:$B$23,0)),2,IF($E184&gt;=INDEX('Program Setup'!$E$18:$E$23,MATCH($C184,'Program Setup'!$B$18:$B$23,0)),3,"-"))),"-"))</f>
        <v/>
      </c>
      <c r="I184" s="7">
        <f>IF(ISNUMBER($H184),INDEX('Program Setup'!$B$6:$B$8,MATCH($H184,'Program Setup'!$A$6:$A$8,0)),0)</f>
        <v/>
      </c>
      <c r="J184" s="8">
        <f>SUMIFS('Amplify Detail'!$E$5:$E$496,'Amplify Detail'!$A$5:$A$496,$A184,'Amplify Detail'!$C$5:$C$496,$C184)</f>
        <v/>
      </c>
      <c r="K184" s="8">
        <f>SUMIFS('Amplify Detail'!$F$5:$F$496,'Amplify Detail'!$A$5:$A$496,$A184,'Amplify Detail'!$C$5:$C$496,$C184)</f>
        <v/>
      </c>
      <c r="L184" s="8">
        <f>SUMIFS('Amplify Detail'!$G$5:$G$496,'Amplify Detail'!$A$5:$A$496,$A184,'Amplify Detail'!$C$5:$C$496,$C184)</f>
        <v/>
      </c>
      <c r="M184" s="7">
        <f>SUMIFS('Amplify Detail'!$J$5:$J$496,'Amplify Detail'!$A$5:$A$496,$A184,'Amplify Detail'!$C$5:$C$496,$C184)</f>
        <v/>
      </c>
      <c r="N184" s="7">
        <f>$I184+$M184</f>
        <v/>
      </c>
      <c r="O184" s="9">
        <f>IF($G184="No qualifier - Amplify open",1,IFERROR(INDEX('Program Setup'!$B$12:$B$14,MATCH($G184,'Program Setup'!$A$12:$A$14,0)),0))</f>
        <v/>
      </c>
      <c r="P184" s="4">
        <f>$A184&amp;"|"&amp;$C184</f>
        <v/>
      </c>
    </row>
    <row r="185">
      <c r="A185" s="4" t="inlineStr">
        <is>
          <t>Nick Melissari</t>
        </is>
      </c>
      <c r="B185" s="4" t="inlineStr">
        <is>
          <t>Chris McCrohan</t>
        </is>
      </c>
      <c r="C185" s="4" t="inlineStr">
        <is>
          <t>Mark Anthony</t>
        </is>
      </c>
      <c r="D185" s="5" t="n">
        <v>598</v>
      </c>
      <c r="E185" s="5" t="n">
        <v>515</v>
      </c>
      <c r="F185" s="6">
        <f>IF($D185&gt;0,$E185/$D185,"")</f>
        <v/>
      </c>
      <c r="G185" s="4">
        <f>IF($D185&gt;0,IF($F185&gt;=1,"Qualified",IF($F185&gt;=0.9,"90% Partial Amplify","Not Qualified")),"No qualifier - Amplify open")</f>
        <v/>
      </c>
      <c r="H185" s="4">
        <f>IF($G185&lt;&gt;"Qualified","-",IFERROR(IF($E185&gt;=INDEX('Program Setup'!$C$18:$C$23,MATCH($C185,'Program Setup'!$B$18:$B$23,0)),1,IF($E185&gt;=INDEX('Program Setup'!$D$18:$D$23,MATCH($C185,'Program Setup'!$B$18:$B$23,0)),2,IF($E185&gt;=INDEX('Program Setup'!$E$18:$E$23,MATCH($C185,'Program Setup'!$B$18:$B$23,0)),3,"-"))),"-"))</f>
        <v/>
      </c>
      <c r="I185" s="7">
        <f>IF(ISNUMBER($H185),INDEX('Program Setup'!$B$6:$B$8,MATCH($H185,'Program Setup'!$A$6:$A$8,0)),0)</f>
        <v/>
      </c>
      <c r="J185" s="8">
        <f>SUMIFS('Amplify Detail'!$E$5:$E$496,'Amplify Detail'!$A$5:$A$496,$A185,'Amplify Detail'!$C$5:$C$496,$C185)</f>
        <v/>
      </c>
      <c r="K185" s="8">
        <f>SUMIFS('Amplify Detail'!$F$5:$F$496,'Amplify Detail'!$A$5:$A$496,$A185,'Amplify Detail'!$C$5:$C$496,$C185)</f>
        <v/>
      </c>
      <c r="L185" s="8">
        <f>SUMIFS('Amplify Detail'!$G$5:$G$496,'Amplify Detail'!$A$5:$A$496,$A185,'Amplify Detail'!$C$5:$C$496,$C185)</f>
        <v/>
      </c>
      <c r="M185" s="7">
        <f>SUMIFS('Amplify Detail'!$J$5:$J$496,'Amplify Detail'!$A$5:$A$496,$A185,'Amplify Detail'!$C$5:$C$496,$C185)</f>
        <v/>
      </c>
      <c r="N185" s="7">
        <f>$I185+$M185</f>
        <v/>
      </c>
      <c r="O185" s="9">
        <f>IF($G185="No qualifier - Amplify open",1,IFERROR(INDEX('Program Setup'!$B$12:$B$14,MATCH($G185,'Program Setup'!$A$12:$A$14,0)),0))</f>
        <v/>
      </c>
      <c r="P185" s="4">
        <f>$A185&amp;"|"&amp;$C185</f>
        <v/>
      </c>
    </row>
    <row r="186">
      <c r="A186" s="4" t="inlineStr">
        <is>
          <t>Nick Melissari</t>
        </is>
      </c>
      <c r="B186" s="4" t="inlineStr">
        <is>
          <t>Chris McCrohan</t>
        </is>
      </c>
      <c r="C186" s="4" t="inlineStr">
        <is>
          <t>MolsonCoors Beverage Company</t>
        </is>
      </c>
      <c r="D186" s="5" t="n">
        <v>13830</v>
      </c>
      <c r="E186" s="5" t="n">
        <v>13632</v>
      </c>
      <c r="F186" s="6">
        <f>IF($D186&gt;0,$E186/$D186,"")</f>
        <v/>
      </c>
      <c r="G186" s="4">
        <f>IF($D186&gt;0,IF($F186&gt;=1,"Qualified",IF($F186&gt;=0.9,"90% Partial Amplify","Not Qualified")),"No qualifier - Amplify open")</f>
        <v/>
      </c>
      <c r="H186" s="4">
        <f>IF($G186&lt;&gt;"Qualified","-",IFERROR(IF($E186&gt;=INDEX('Program Setup'!$C$18:$C$23,MATCH($C186,'Program Setup'!$B$18:$B$23,0)),1,IF($E186&gt;=INDEX('Program Setup'!$D$18:$D$23,MATCH($C186,'Program Setup'!$B$18:$B$23,0)),2,IF($E186&gt;=INDEX('Program Setup'!$E$18:$E$23,MATCH($C186,'Program Setup'!$B$18:$B$23,0)),3,"-"))),"-"))</f>
        <v/>
      </c>
      <c r="I186" s="7">
        <f>IF(ISNUMBER($H186),INDEX('Program Setup'!$B$6:$B$8,MATCH($H186,'Program Setup'!$A$6:$A$8,0)),0)</f>
        <v/>
      </c>
      <c r="J186" s="8">
        <f>SUMIFS('Amplify Detail'!$E$5:$E$496,'Amplify Detail'!$A$5:$A$496,$A186,'Amplify Detail'!$C$5:$C$496,$C186)</f>
        <v/>
      </c>
      <c r="K186" s="8">
        <f>SUMIFS('Amplify Detail'!$F$5:$F$496,'Amplify Detail'!$A$5:$A$496,$A186,'Amplify Detail'!$C$5:$C$496,$C186)</f>
        <v/>
      </c>
      <c r="L186" s="8">
        <f>SUMIFS('Amplify Detail'!$G$5:$G$496,'Amplify Detail'!$A$5:$A$496,$A186,'Amplify Detail'!$C$5:$C$496,$C186)</f>
        <v/>
      </c>
      <c r="M186" s="7">
        <f>SUMIFS('Amplify Detail'!$J$5:$J$496,'Amplify Detail'!$A$5:$A$496,$A186,'Amplify Detail'!$C$5:$C$496,$C186)</f>
        <v/>
      </c>
      <c r="N186" s="7">
        <f>$I186+$M186</f>
        <v/>
      </c>
      <c r="O186" s="9">
        <f>IF($G186="No qualifier - Amplify open",1,IFERROR(INDEX('Program Setup'!$B$12:$B$14,MATCH($G186,'Program Setup'!$A$12:$A$14,0)),0))</f>
        <v/>
      </c>
      <c r="P186" s="4">
        <f>$A186&amp;"|"&amp;$C186</f>
        <v/>
      </c>
    </row>
    <row r="187">
      <c r="A187" s="4" t="inlineStr">
        <is>
          <t>Nick Melissari</t>
        </is>
      </c>
      <c r="B187" s="4" t="inlineStr">
        <is>
          <t>Chris McCrohan</t>
        </is>
      </c>
      <c r="C187" s="4" t="inlineStr">
        <is>
          <t>New Belgium Brewing Company</t>
        </is>
      </c>
      <c r="D187" s="5" t="n"/>
      <c r="E187" s="5" t="n"/>
      <c r="F187" s="6">
        <f>IF($D187&gt;0,$E187/$D187,"")</f>
        <v/>
      </c>
      <c r="G187" s="4">
        <f>IF($D187&gt;0,IF($F187&gt;=1,"Qualified",IF($F187&gt;=0.9,"90% Partial Amplify","Not Qualified")),"No qualifier - Amplify open")</f>
        <v/>
      </c>
      <c r="H187" s="4">
        <f>IF($G187&lt;&gt;"Qualified","-",IFERROR(IF($E187&gt;=INDEX('Program Setup'!$C$18:$C$23,MATCH($C187,'Program Setup'!$B$18:$B$23,0)),1,IF($E187&gt;=INDEX('Program Setup'!$D$18:$D$23,MATCH($C187,'Program Setup'!$B$18:$B$23,0)),2,IF($E187&gt;=INDEX('Program Setup'!$E$18:$E$23,MATCH($C187,'Program Setup'!$B$18:$B$23,0)),3,"-"))),"-"))</f>
        <v/>
      </c>
      <c r="I187" s="7">
        <f>IF(ISNUMBER($H187),INDEX('Program Setup'!$B$6:$B$8,MATCH($H187,'Program Setup'!$A$6:$A$8,0)),0)</f>
        <v/>
      </c>
      <c r="J187" s="8">
        <f>SUMIFS('Amplify Detail'!$E$5:$E$496,'Amplify Detail'!$A$5:$A$496,$A187,'Amplify Detail'!$C$5:$C$496,$C187)</f>
        <v/>
      </c>
      <c r="K187" s="8">
        <f>SUMIFS('Amplify Detail'!$F$5:$F$496,'Amplify Detail'!$A$5:$A$496,$A187,'Amplify Detail'!$C$5:$C$496,$C187)</f>
        <v/>
      </c>
      <c r="L187" s="8">
        <f>SUMIFS('Amplify Detail'!$G$5:$G$496,'Amplify Detail'!$A$5:$A$496,$A187,'Amplify Detail'!$C$5:$C$496,$C187)</f>
        <v/>
      </c>
      <c r="M187" s="7">
        <f>SUMIFS('Amplify Detail'!$J$5:$J$496,'Amplify Detail'!$A$5:$A$496,$A187,'Amplify Detail'!$C$5:$C$496,$C187)</f>
        <v/>
      </c>
      <c r="N187" s="7">
        <f>$I187+$M187</f>
        <v/>
      </c>
      <c r="O187" s="9">
        <f>IF($G187="No qualifier - Amplify open",1,IFERROR(INDEX('Program Setup'!$B$12:$B$14,MATCH($G187,'Program Setup'!$A$12:$A$14,0)),0))</f>
        <v/>
      </c>
      <c r="P187" s="4">
        <f>$A187&amp;"|"&amp;$C187</f>
        <v/>
      </c>
    </row>
    <row r="188">
      <c r="A188" s="4" t="inlineStr">
        <is>
          <t>Nick Melissari</t>
        </is>
      </c>
      <c r="B188" s="4" t="inlineStr">
        <is>
          <t>Chris McCrohan</t>
        </is>
      </c>
      <c r="C188" s="4" t="inlineStr">
        <is>
          <t>Sapporo</t>
        </is>
      </c>
      <c r="D188" s="5" t="n"/>
      <c r="E188" s="5" t="n"/>
      <c r="F188" s="6">
        <f>IF($D188&gt;0,$E188/$D188,"")</f>
        <v/>
      </c>
      <c r="G188" s="4">
        <f>IF($D188&gt;0,IF($F188&gt;=1,"Qualified",IF($F188&gt;=0.9,"90% Partial Amplify","Not Qualified")),"No qualifier - Amplify open")</f>
        <v/>
      </c>
      <c r="H188" s="4">
        <f>IF($G188&lt;&gt;"Qualified","-",IFERROR(IF($E188&gt;=INDEX('Program Setup'!$C$18:$C$23,MATCH($C188,'Program Setup'!$B$18:$B$23,0)),1,IF($E188&gt;=INDEX('Program Setup'!$D$18:$D$23,MATCH($C188,'Program Setup'!$B$18:$B$23,0)),2,IF($E188&gt;=INDEX('Program Setup'!$E$18:$E$23,MATCH($C188,'Program Setup'!$B$18:$B$23,0)),3,"-"))),"-"))</f>
        <v/>
      </c>
      <c r="I188" s="7">
        <f>IF(ISNUMBER($H188),INDEX('Program Setup'!$B$6:$B$8,MATCH($H188,'Program Setup'!$A$6:$A$8,0)),0)</f>
        <v/>
      </c>
      <c r="J188" s="8">
        <f>SUMIFS('Amplify Detail'!$E$5:$E$496,'Amplify Detail'!$A$5:$A$496,$A188,'Amplify Detail'!$C$5:$C$496,$C188)</f>
        <v/>
      </c>
      <c r="K188" s="8">
        <f>SUMIFS('Amplify Detail'!$F$5:$F$496,'Amplify Detail'!$A$5:$A$496,$A188,'Amplify Detail'!$C$5:$C$496,$C188)</f>
        <v/>
      </c>
      <c r="L188" s="8">
        <f>SUMIFS('Amplify Detail'!$G$5:$G$496,'Amplify Detail'!$A$5:$A$496,$A188,'Amplify Detail'!$C$5:$C$496,$C188)</f>
        <v/>
      </c>
      <c r="M188" s="7">
        <f>SUMIFS('Amplify Detail'!$J$5:$J$496,'Amplify Detail'!$A$5:$A$496,$A188,'Amplify Detail'!$C$5:$C$496,$C188)</f>
        <v/>
      </c>
      <c r="N188" s="7">
        <f>$I188+$M188</f>
        <v/>
      </c>
      <c r="O188" s="9">
        <f>IF($G188="No qualifier - Amplify open",1,IFERROR(INDEX('Program Setup'!$B$12:$B$14,MATCH($G188,'Program Setup'!$A$12:$A$14,0)),0))</f>
        <v/>
      </c>
      <c r="P188" s="4">
        <f>$A188&amp;"|"&amp;$C188</f>
        <v/>
      </c>
    </row>
    <row r="189">
      <c r="A189" s="4" t="inlineStr">
        <is>
          <t>Pablo Lopez</t>
        </is>
      </c>
      <c r="B189" s="4" t="inlineStr">
        <is>
          <t>Denise Montes</t>
        </is>
      </c>
      <c r="C189" s="4" t="inlineStr">
        <is>
          <t>Boston Beer Company</t>
        </is>
      </c>
      <c r="D189" s="5" t="n">
        <v>325</v>
      </c>
      <c r="E189" s="5" t="n">
        <v>269</v>
      </c>
      <c r="F189" s="6">
        <f>IF($D189&gt;0,$E189/$D189,"")</f>
        <v/>
      </c>
      <c r="G189" s="4">
        <f>IF($D189&gt;0,IF($F189&gt;=1,"Qualified",IF($F189&gt;=0.9,"90% Partial Amplify","Not Qualified")),"No qualifier - Amplify open")</f>
        <v/>
      </c>
      <c r="H189" s="4">
        <f>IF($G189&lt;&gt;"Qualified","-",IFERROR(IF($E189&gt;=INDEX('Program Setup'!$C$18:$C$23,MATCH($C189,'Program Setup'!$B$18:$B$23,0)),1,IF($E189&gt;=INDEX('Program Setup'!$D$18:$D$23,MATCH($C189,'Program Setup'!$B$18:$B$23,0)),2,IF($E189&gt;=INDEX('Program Setup'!$E$18:$E$23,MATCH($C189,'Program Setup'!$B$18:$B$23,0)),3,"-"))),"-"))</f>
        <v/>
      </c>
      <c r="I189" s="7">
        <f>IF(ISNUMBER($H189),INDEX('Program Setup'!$B$6:$B$8,MATCH($H189,'Program Setup'!$A$6:$A$8,0)),0)</f>
        <v/>
      </c>
      <c r="J189" s="8">
        <f>SUMIFS('Amplify Detail'!$E$5:$E$496,'Amplify Detail'!$A$5:$A$496,$A189,'Amplify Detail'!$C$5:$C$496,$C189)</f>
        <v/>
      </c>
      <c r="K189" s="8">
        <f>SUMIFS('Amplify Detail'!$F$5:$F$496,'Amplify Detail'!$A$5:$A$496,$A189,'Amplify Detail'!$C$5:$C$496,$C189)</f>
        <v/>
      </c>
      <c r="L189" s="8">
        <f>SUMIFS('Amplify Detail'!$G$5:$G$496,'Amplify Detail'!$A$5:$A$496,$A189,'Amplify Detail'!$C$5:$C$496,$C189)</f>
        <v/>
      </c>
      <c r="M189" s="7">
        <f>SUMIFS('Amplify Detail'!$J$5:$J$496,'Amplify Detail'!$A$5:$A$496,$A189,'Amplify Detail'!$C$5:$C$496,$C189)</f>
        <v/>
      </c>
      <c r="N189" s="7">
        <f>$I189+$M189</f>
        <v/>
      </c>
      <c r="O189" s="9">
        <f>IF($G189="No qualifier - Amplify open",1,IFERROR(INDEX('Program Setup'!$B$12:$B$14,MATCH($G189,'Program Setup'!$A$12:$A$14,0)),0))</f>
        <v/>
      </c>
      <c r="P189" s="4">
        <f>$A189&amp;"|"&amp;$C189</f>
        <v/>
      </c>
    </row>
    <row r="190">
      <c r="A190" s="4" t="inlineStr">
        <is>
          <t>Pablo Lopez</t>
        </is>
      </c>
      <c r="B190" s="4" t="inlineStr">
        <is>
          <t>Denise Montes</t>
        </is>
      </c>
      <c r="C190" s="4" t="inlineStr">
        <is>
          <t>Cape May</t>
        </is>
      </c>
      <c r="D190" s="5" t="n"/>
      <c r="E190" s="5" t="n"/>
      <c r="F190" s="6">
        <f>IF($D190&gt;0,$E190/$D190,"")</f>
        <v/>
      </c>
      <c r="G190" s="4">
        <f>IF($D190&gt;0,IF($F190&gt;=1,"Qualified",IF($F190&gt;=0.9,"90% Partial Amplify","Not Qualified")),"No qualifier - Amplify open")</f>
        <v/>
      </c>
      <c r="H190" s="4">
        <f>IF($G190&lt;&gt;"Qualified","-",IFERROR(IF($E190&gt;=INDEX('Program Setup'!$C$18:$C$23,MATCH($C190,'Program Setup'!$B$18:$B$23,0)),1,IF($E190&gt;=INDEX('Program Setup'!$D$18:$D$23,MATCH($C190,'Program Setup'!$B$18:$B$23,0)),2,IF($E190&gt;=INDEX('Program Setup'!$E$18:$E$23,MATCH($C190,'Program Setup'!$B$18:$B$23,0)),3,"-"))),"-"))</f>
        <v/>
      </c>
      <c r="I190" s="7">
        <f>IF(ISNUMBER($H190),INDEX('Program Setup'!$B$6:$B$8,MATCH($H190,'Program Setup'!$A$6:$A$8,0)),0)</f>
        <v/>
      </c>
      <c r="J190" s="8">
        <f>SUMIFS('Amplify Detail'!$E$5:$E$496,'Amplify Detail'!$A$5:$A$496,$A190,'Amplify Detail'!$C$5:$C$496,$C190)</f>
        <v/>
      </c>
      <c r="K190" s="8">
        <f>SUMIFS('Amplify Detail'!$F$5:$F$496,'Amplify Detail'!$A$5:$A$496,$A190,'Amplify Detail'!$C$5:$C$496,$C190)</f>
        <v/>
      </c>
      <c r="L190" s="8">
        <f>SUMIFS('Amplify Detail'!$G$5:$G$496,'Amplify Detail'!$A$5:$A$496,$A190,'Amplify Detail'!$C$5:$C$496,$C190)</f>
        <v/>
      </c>
      <c r="M190" s="7">
        <f>SUMIFS('Amplify Detail'!$J$5:$J$496,'Amplify Detail'!$A$5:$A$496,$A190,'Amplify Detail'!$C$5:$C$496,$C190)</f>
        <v/>
      </c>
      <c r="N190" s="7">
        <f>$I190+$M190</f>
        <v/>
      </c>
      <c r="O190" s="9">
        <f>IF($G190="No qualifier - Amplify open",1,IFERROR(INDEX('Program Setup'!$B$12:$B$14,MATCH($G190,'Program Setup'!$A$12:$A$14,0)),0))</f>
        <v/>
      </c>
      <c r="P190" s="4">
        <f>$A190&amp;"|"&amp;$C190</f>
        <v/>
      </c>
    </row>
    <row r="191">
      <c r="A191" s="4" t="inlineStr">
        <is>
          <t>Pablo Lopez</t>
        </is>
      </c>
      <c r="B191" s="4" t="inlineStr">
        <is>
          <t>Denise Montes</t>
        </is>
      </c>
      <c r="C191" s="4" t="inlineStr">
        <is>
          <t>Constellation Brands</t>
        </is>
      </c>
      <c r="D191" s="5" t="n">
        <v>50360</v>
      </c>
      <c r="E191" s="5" t="n">
        <v>50171</v>
      </c>
      <c r="F191" s="6">
        <f>IF($D191&gt;0,$E191/$D191,"")</f>
        <v/>
      </c>
      <c r="G191" s="4">
        <f>IF($D191&gt;0,IF($F191&gt;=1,"Qualified",IF($F191&gt;=0.9,"90% Partial Amplify","Not Qualified")),"No qualifier - Amplify open")</f>
        <v/>
      </c>
      <c r="H191" s="4">
        <f>IF($G191&lt;&gt;"Qualified","-",IFERROR(IF($E191&gt;=INDEX('Program Setup'!$C$18:$C$23,MATCH($C191,'Program Setup'!$B$18:$B$23,0)),1,IF($E191&gt;=INDEX('Program Setup'!$D$18:$D$23,MATCH($C191,'Program Setup'!$B$18:$B$23,0)),2,IF($E191&gt;=INDEX('Program Setup'!$E$18:$E$23,MATCH($C191,'Program Setup'!$B$18:$B$23,0)),3,"-"))),"-"))</f>
        <v/>
      </c>
      <c r="I191" s="7">
        <f>IF(ISNUMBER($H191),INDEX('Program Setup'!$B$6:$B$8,MATCH($H191,'Program Setup'!$A$6:$A$8,0)),0)</f>
        <v/>
      </c>
      <c r="J191" s="8">
        <f>SUMIFS('Amplify Detail'!$E$5:$E$496,'Amplify Detail'!$A$5:$A$496,$A191,'Amplify Detail'!$C$5:$C$496,$C191)</f>
        <v/>
      </c>
      <c r="K191" s="8">
        <f>SUMIFS('Amplify Detail'!$F$5:$F$496,'Amplify Detail'!$A$5:$A$496,$A191,'Amplify Detail'!$C$5:$C$496,$C191)</f>
        <v/>
      </c>
      <c r="L191" s="8">
        <f>SUMIFS('Amplify Detail'!$G$5:$G$496,'Amplify Detail'!$A$5:$A$496,$A191,'Amplify Detail'!$C$5:$C$496,$C191)</f>
        <v/>
      </c>
      <c r="M191" s="7">
        <f>SUMIFS('Amplify Detail'!$J$5:$J$496,'Amplify Detail'!$A$5:$A$496,$A191,'Amplify Detail'!$C$5:$C$496,$C191)</f>
        <v/>
      </c>
      <c r="N191" s="7">
        <f>$I191+$M191</f>
        <v/>
      </c>
      <c r="O191" s="9">
        <f>IF($G191="No qualifier - Amplify open",1,IFERROR(INDEX('Program Setup'!$B$12:$B$14,MATCH($G191,'Program Setup'!$A$12:$A$14,0)),0))</f>
        <v/>
      </c>
      <c r="P191" s="4">
        <f>$A191&amp;"|"&amp;$C191</f>
        <v/>
      </c>
    </row>
    <row r="192">
      <c r="A192" s="4" t="inlineStr">
        <is>
          <t>Pablo Lopez</t>
        </is>
      </c>
      <c r="B192" s="4" t="inlineStr">
        <is>
          <t>Denise Montes</t>
        </is>
      </c>
      <c r="C192" s="4" t="inlineStr">
        <is>
          <t>DG Yuengling Inc</t>
        </is>
      </c>
      <c r="D192" s="5" t="n">
        <v>136</v>
      </c>
      <c r="E192" s="5" t="n">
        <v>189</v>
      </c>
      <c r="F192" s="6">
        <f>IF($D192&gt;0,$E192/$D192,"")</f>
        <v/>
      </c>
      <c r="G192" s="4">
        <f>IF($D192&gt;0,IF($F192&gt;=1,"Qualified",IF($F192&gt;=0.9,"90% Partial Amplify","Not Qualified")),"No qualifier - Amplify open")</f>
        <v/>
      </c>
      <c r="H192" s="4">
        <f>IF($G192&lt;&gt;"Qualified","-",IFERROR(IF($E192&gt;=INDEX('Program Setup'!$C$18:$C$23,MATCH($C192,'Program Setup'!$B$18:$B$23,0)),1,IF($E192&gt;=INDEX('Program Setup'!$D$18:$D$23,MATCH($C192,'Program Setup'!$B$18:$B$23,0)),2,IF($E192&gt;=INDEX('Program Setup'!$E$18:$E$23,MATCH($C192,'Program Setup'!$B$18:$B$23,0)),3,"-"))),"-"))</f>
        <v/>
      </c>
      <c r="I192" s="7">
        <f>IF(ISNUMBER($H192),INDEX('Program Setup'!$B$6:$B$8,MATCH($H192,'Program Setup'!$A$6:$A$8,0)),0)</f>
        <v/>
      </c>
      <c r="J192" s="8">
        <f>SUMIFS('Amplify Detail'!$E$5:$E$496,'Amplify Detail'!$A$5:$A$496,$A192,'Amplify Detail'!$C$5:$C$496,$C192)</f>
        <v/>
      </c>
      <c r="K192" s="8">
        <f>SUMIFS('Amplify Detail'!$F$5:$F$496,'Amplify Detail'!$A$5:$A$496,$A192,'Amplify Detail'!$C$5:$C$496,$C192)</f>
        <v/>
      </c>
      <c r="L192" s="8">
        <f>SUMIFS('Amplify Detail'!$G$5:$G$496,'Amplify Detail'!$A$5:$A$496,$A192,'Amplify Detail'!$C$5:$C$496,$C192)</f>
        <v/>
      </c>
      <c r="M192" s="7">
        <f>SUMIFS('Amplify Detail'!$J$5:$J$496,'Amplify Detail'!$A$5:$A$496,$A192,'Amplify Detail'!$C$5:$C$496,$C192)</f>
        <v/>
      </c>
      <c r="N192" s="7">
        <f>$I192+$M192</f>
        <v/>
      </c>
      <c r="O192" s="9">
        <f>IF($G192="No qualifier - Amplify open",1,IFERROR(INDEX('Program Setup'!$B$12:$B$14,MATCH($G192,'Program Setup'!$A$12:$A$14,0)),0))</f>
        <v/>
      </c>
      <c r="P192" s="4">
        <f>$A192&amp;"|"&amp;$C192</f>
        <v/>
      </c>
    </row>
    <row r="193">
      <c r="A193" s="4" t="inlineStr">
        <is>
          <t>Pablo Lopez</t>
        </is>
      </c>
      <c r="B193" s="4" t="inlineStr">
        <is>
          <t>Denise Montes</t>
        </is>
      </c>
      <c r="C193" s="4" t="inlineStr">
        <is>
          <t>Heineken USA</t>
        </is>
      </c>
      <c r="D193" s="5" t="n">
        <v>8209</v>
      </c>
      <c r="E193" s="5" t="n">
        <v>7501</v>
      </c>
      <c r="F193" s="6">
        <f>IF($D193&gt;0,$E193/$D193,"")</f>
        <v/>
      </c>
      <c r="G193" s="4">
        <f>IF($D193&gt;0,IF($F193&gt;=1,"Qualified",IF($F193&gt;=0.9,"90% Partial Amplify","Not Qualified")),"No qualifier - Amplify open")</f>
        <v/>
      </c>
      <c r="H193" s="4">
        <f>IF($G193&lt;&gt;"Qualified","-",IFERROR(IF($E193&gt;=INDEX('Program Setup'!$C$18:$C$23,MATCH($C193,'Program Setup'!$B$18:$B$23,0)),1,IF($E193&gt;=INDEX('Program Setup'!$D$18:$D$23,MATCH($C193,'Program Setup'!$B$18:$B$23,0)),2,IF($E193&gt;=INDEX('Program Setup'!$E$18:$E$23,MATCH($C193,'Program Setup'!$B$18:$B$23,0)),3,"-"))),"-"))</f>
        <v/>
      </c>
      <c r="I193" s="7">
        <f>IF(ISNUMBER($H193),INDEX('Program Setup'!$B$6:$B$8,MATCH($H193,'Program Setup'!$A$6:$A$8,0)),0)</f>
        <v/>
      </c>
      <c r="J193" s="8">
        <f>SUMIFS('Amplify Detail'!$E$5:$E$496,'Amplify Detail'!$A$5:$A$496,$A193,'Amplify Detail'!$C$5:$C$496,$C193)</f>
        <v/>
      </c>
      <c r="K193" s="8">
        <f>SUMIFS('Amplify Detail'!$F$5:$F$496,'Amplify Detail'!$A$5:$A$496,$A193,'Amplify Detail'!$C$5:$C$496,$C193)</f>
        <v/>
      </c>
      <c r="L193" s="8">
        <f>SUMIFS('Amplify Detail'!$G$5:$G$496,'Amplify Detail'!$A$5:$A$496,$A193,'Amplify Detail'!$C$5:$C$496,$C193)</f>
        <v/>
      </c>
      <c r="M193" s="7">
        <f>SUMIFS('Amplify Detail'!$J$5:$J$496,'Amplify Detail'!$A$5:$A$496,$A193,'Amplify Detail'!$C$5:$C$496,$C193)</f>
        <v/>
      </c>
      <c r="N193" s="7">
        <f>$I193+$M193</f>
        <v/>
      </c>
      <c r="O193" s="9">
        <f>IF($G193="No qualifier - Amplify open",1,IFERROR(INDEX('Program Setup'!$B$12:$B$14,MATCH($G193,'Program Setup'!$A$12:$A$14,0)),0))</f>
        <v/>
      </c>
      <c r="P193" s="4">
        <f>$A193&amp;"|"&amp;$C193</f>
        <v/>
      </c>
    </row>
    <row r="194">
      <c r="A194" s="4" t="inlineStr">
        <is>
          <t>Pablo Lopez</t>
        </is>
      </c>
      <c r="B194" s="4" t="inlineStr">
        <is>
          <t>Denise Montes</t>
        </is>
      </c>
      <c r="C194" s="4" t="inlineStr">
        <is>
          <t>Mark Anthony</t>
        </is>
      </c>
      <c r="D194" s="5" t="n">
        <v>806</v>
      </c>
      <c r="E194" s="5" t="n">
        <v>931</v>
      </c>
      <c r="F194" s="6">
        <f>IF($D194&gt;0,$E194/$D194,"")</f>
        <v/>
      </c>
      <c r="G194" s="4">
        <f>IF($D194&gt;0,IF($F194&gt;=1,"Qualified",IF($F194&gt;=0.9,"90% Partial Amplify","Not Qualified")),"No qualifier - Amplify open")</f>
        <v/>
      </c>
      <c r="H194" s="4">
        <f>IF($G194&lt;&gt;"Qualified","-",IFERROR(IF($E194&gt;=INDEX('Program Setup'!$C$18:$C$23,MATCH($C194,'Program Setup'!$B$18:$B$23,0)),1,IF($E194&gt;=INDEX('Program Setup'!$D$18:$D$23,MATCH($C194,'Program Setup'!$B$18:$B$23,0)),2,IF($E194&gt;=INDEX('Program Setup'!$E$18:$E$23,MATCH($C194,'Program Setup'!$B$18:$B$23,0)),3,"-"))),"-"))</f>
        <v/>
      </c>
      <c r="I194" s="7">
        <f>IF(ISNUMBER($H194),INDEX('Program Setup'!$B$6:$B$8,MATCH($H194,'Program Setup'!$A$6:$A$8,0)),0)</f>
        <v/>
      </c>
      <c r="J194" s="8">
        <f>SUMIFS('Amplify Detail'!$E$5:$E$496,'Amplify Detail'!$A$5:$A$496,$A194,'Amplify Detail'!$C$5:$C$496,$C194)</f>
        <v/>
      </c>
      <c r="K194" s="8">
        <f>SUMIFS('Amplify Detail'!$F$5:$F$496,'Amplify Detail'!$A$5:$A$496,$A194,'Amplify Detail'!$C$5:$C$496,$C194)</f>
        <v/>
      </c>
      <c r="L194" s="8">
        <f>SUMIFS('Amplify Detail'!$G$5:$G$496,'Amplify Detail'!$A$5:$A$496,$A194,'Amplify Detail'!$C$5:$C$496,$C194)</f>
        <v/>
      </c>
      <c r="M194" s="7">
        <f>SUMIFS('Amplify Detail'!$J$5:$J$496,'Amplify Detail'!$A$5:$A$496,$A194,'Amplify Detail'!$C$5:$C$496,$C194)</f>
        <v/>
      </c>
      <c r="N194" s="7">
        <f>$I194+$M194</f>
        <v/>
      </c>
      <c r="O194" s="9">
        <f>IF($G194="No qualifier - Amplify open",1,IFERROR(INDEX('Program Setup'!$B$12:$B$14,MATCH($G194,'Program Setup'!$A$12:$A$14,0)),0))</f>
        <v/>
      </c>
      <c r="P194" s="4">
        <f>$A194&amp;"|"&amp;$C194</f>
        <v/>
      </c>
    </row>
    <row r="195">
      <c r="A195" s="4" t="inlineStr">
        <is>
          <t>Pablo Lopez</t>
        </is>
      </c>
      <c r="B195" s="4" t="inlineStr">
        <is>
          <t>Denise Montes</t>
        </is>
      </c>
      <c r="C195" s="4" t="inlineStr">
        <is>
          <t>MolsonCoors Beverage Company</t>
        </is>
      </c>
      <c r="D195" s="5" t="n">
        <v>13022</v>
      </c>
      <c r="E195" s="5" t="n">
        <v>11641</v>
      </c>
      <c r="F195" s="6">
        <f>IF($D195&gt;0,$E195/$D195,"")</f>
        <v/>
      </c>
      <c r="G195" s="4">
        <f>IF($D195&gt;0,IF($F195&gt;=1,"Qualified",IF($F195&gt;=0.9,"90% Partial Amplify","Not Qualified")),"No qualifier - Amplify open")</f>
        <v/>
      </c>
      <c r="H195" s="4">
        <f>IF($G195&lt;&gt;"Qualified","-",IFERROR(IF($E195&gt;=INDEX('Program Setup'!$C$18:$C$23,MATCH($C195,'Program Setup'!$B$18:$B$23,0)),1,IF($E195&gt;=INDEX('Program Setup'!$D$18:$D$23,MATCH($C195,'Program Setup'!$B$18:$B$23,0)),2,IF($E195&gt;=INDEX('Program Setup'!$E$18:$E$23,MATCH($C195,'Program Setup'!$B$18:$B$23,0)),3,"-"))),"-"))</f>
        <v/>
      </c>
      <c r="I195" s="7">
        <f>IF(ISNUMBER($H195),INDEX('Program Setup'!$B$6:$B$8,MATCH($H195,'Program Setup'!$A$6:$A$8,0)),0)</f>
        <v/>
      </c>
      <c r="J195" s="8">
        <f>SUMIFS('Amplify Detail'!$E$5:$E$496,'Amplify Detail'!$A$5:$A$496,$A195,'Amplify Detail'!$C$5:$C$496,$C195)</f>
        <v/>
      </c>
      <c r="K195" s="8">
        <f>SUMIFS('Amplify Detail'!$F$5:$F$496,'Amplify Detail'!$A$5:$A$496,$A195,'Amplify Detail'!$C$5:$C$496,$C195)</f>
        <v/>
      </c>
      <c r="L195" s="8">
        <f>SUMIFS('Amplify Detail'!$G$5:$G$496,'Amplify Detail'!$A$5:$A$496,$A195,'Amplify Detail'!$C$5:$C$496,$C195)</f>
        <v/>
      </c>
      <c r="M195" s="7">
        <f>SUMIFS('Amplify Detail'!$J$5:$J$496,'Amplify Detail'!$A$5:$A$496,$A195,'Amplify Detail'!$C$5:$C$496,$C195)</f>
        <v/>
      </c>
      <c r="N195" s="7">
        <f>$I195+$M195</f>
        <v/>
      </c>
      <c r="O195" s="9">
        <f>IF($G195="No qualifier - Amplify open",1,IFERROR(INDEX('Program Setup'!$B$12:$B$14,MATCH($G195,'Program Setup'!$A$12:$A$14,0)),0))</f>
        <v/>
      </c>
      <c r="P195" s="4">
        <f>$A195&amp;"|"&amp;$C195</f>
        <v/>
      </c>
    </row>
    <row r="196">
      <c r="A196" s="4" t="inlineStr">
        <is>
          <t>Pablo Lopez</t>
        </is>
      </c>
      <c r="B196" s="4" t="inlineStr">
        <is>
          <t>Denise Montes</t>
        </is>
      </c>
      <c r="C196" s="4" t="inlineStr">
        <is>
          <t>New Belgium Brewing Company</t>
        </is>
      </c>
      <c r="D196" s="5" t="n"/>
      <c r="E196" s="5" t="n"/>
      <c r="F196" s="6">
        <f>IF($D196&gt;0,$E196/$D196,"")</f>
        <v/>
      </c>
      <c r="G196" s="4">
        <f>IF($D196&gt;0,IF($F196&gt;=1,"Qualified",IF($F196&gt;=0.9,"90% Partial Amplify","Not Qualified")),"No qualifier - Amplify open")</f>
        <v/>
      </c>
      <c r="H196" s="4">
        <f>IF($G196&lt;&gt;"Qualified","-",IFERROR(IF($E196&gt;=INDEX('Program Setup'!$C$18:$C$23,MATCH($C196,'Program Setup'!$B$18:$B$23,0)),1,IF($E196&gt;=INDEX('Program Setup'!$D$18:$D$23,MATCH($C196,'Program Setup'!$B$18:$B$23,0)),2,IF($E196&gt;=INDEX('Program Setup'!$E$18:$E$23,MATCH($C196,'Program Setup'!$B$18:$B$23,0)),3,"-"))),"-"))</f>
        <v/>
      </c>
      <c r="I196" s="7">
        <f>IF(ISNUMBER($H196),INDEX('Program Setup'!$B$6:$B$8,MATCH($H196,'Program Setup'!$A$6:$A$8,0)),0)</f>
        <v/>
      </c>
      <c r="J196" s="8">
        <f>SUMIFS('Amplify Detail'!$E$5:$E$496,'Amplify Detail'!$A$5:$A$496,$A196,'Amplify Detail'!$C$5:$C$496,$C196)</f>
        <v/>
      </c>
      <c r="K196" s="8">
        <f>SUMIFS('Amplify Detail'!$F$5:$F$496,'Amplify Detail'!$A$5:$A$496,$A196,'Amplify Detail'!$C$5:$C$496,$C196)</f>
        <v/>
      </c>
      <c r="L196" s="8">
        <f>SUMIFS('Amplify Detail'!$G$5:$G$496,'Amplify Detail'!$A$5:$A$496,$A196,'Amplify Detail'!$C$5:$C$496,$C196)</f>
        <v/>
      </c>
      <c r="M196" s="7">
        <f>SUMIFS('Amplify Detail'!$J$5:$J$496,'Amplify Detail'!$A$5:$A$496,$A196,'Amplify Detail'!$C$5:$C$496,$C196)</f>
        <v/>
      </c>
      <c r="N196" s="7">
        <f>$I196+$M196</f>
        <v/>
      </c>
      <c r="O196" s="9">
        <f>IF($G196="No qualifier - Amplify open",1,IFERROR(INDEX('Program Setup'!$B$12:$B$14,MATCH($G196,'Program Setup'!$A$12:$A$14,0)),0))</f>
        <v/>
      </c>
      <c r="P196" s="4">
        <f>$A196&amp;"|"&amp;$C196</f>
        <v/>
      </c>
    </row>
    <row r="197">
      <c r="A197" s="4" t="inlineStr">
        <is>
          <t>Pablo Lopez</t>
        </is>
      </c>
      <c r="B197" s="4" t="inlineStr">
        <is>
          <t>Denise Montes</t>
        </is>
      </c>
      <c r="C197" s="4" t="inlineStr">
        <is>
          <t>Sapporo</t>
        </is>
      </c>
      <c r="D197" s="5" t="n"/>
      <c r="E197" s="5" t="n"/>
      <c r="F197" s="6">
        <f>IF($D197&gt;0,$E197/$D197,"")</f>
        <v/>
      </c>
      <c r="G197" s="4">
        <f>IF($D197&gt;0,IF($F197&gt;=1,"Qualified",IF($F197&gt;=0.9,"90% Partial Amplify","Not Qualified")),"No qualifier - Amplify open")</f>
        <v/>
      </c>
      <c r="H197" s="4">
        <f>IF($G197&lt;&gt;"Qualified","-",IFERROR(IF($E197&gt;=INDEX('Program Setup'!$C$18:$C$23,MATCH($C197,'Program Setup'!$B$18:$B$23,0)),1,IF($E197&gt;=INDEX('Program Setup'!$D$18:$D$23,MATCH($C197,'Program Setup'!$B$18:$B$23,0)),2,IF($E197&gt;=INDEX('Program Setup'!$E$18:$E$23,MATCH($C197,'Program Setup'!$B$18:$B$23,0)),3,"-"))),"-"))</f>
        <v/>
      </c>
      <c r="I197" s="7">
        <f>IF(ISNUMBER($H197),INDEX('Program Setup'!$B$6:$B$8,MATCH($H197,'Program Setup'!$A$6:$A$8,0)),0)</f>
        <v/>
      </c>
      <c r="J197" s="8">
        <f>SUMIFS('Amplify Detail'!$E$5:$E$496,'Amplify Detail'!$A$5:$A$496,$A197,'Amplify Detail'!$C$5:$C$496,$C197)</f>
        <v/>
      </c>
      <c r="K197" s="8">
        <f>SUMIFS('Amplify Detail'!$F$5:$F$496,'Amplify Detail'!$A$5:$A$496,$A197,'Amplify Detail'!$C$5:$C$496,$C197)</f>
        <v/>
      </c>
      <c r="L197" s="8">
        <f>SUMIFS('Amplify Detail'!$G$5:$G$496,'Amplify Detail'!$A$5:$A$496,$A197,'Amplify Detail'!$C$5:$C$496,$C197)</f>
        <v/>
      </c>
      <c r="M197" s="7">
        <f>SUMIFS('Amplify Detail'!$J$5:$J$496,'Amplify Detail'!$A$5:$A$496,$A197,'Amplify Detail'!$C$5:$C$496,$C197)</f>
        <v/>
      </c>
      <c r="N197" s="7">
        <f>$I197+$M197</f>
        <v/>
      </c>
      <c r="O197" s="9">
        <f>IF($G197="No qualifier - Amplify open",1,IFERROR(INDEX('Program Setup'!$B$12:$B$14,MATCH($G197,'Program Setup'!$A$12:$A$14,0)),0))</f>
        <v/>
      </c>
      <c r="P197" s="4">
        <f>$A197&amp;"|"&amp;$C197</f>
        <v/>
      </c>
    </row>
    <row r="198">
      <c r="A198" s="4" t="inlineStr">
        <is>
          <t>Paul Mclaughlin</t>
        </is>
      </c>
      <c r="B198" s="4" t="inlineStr">
        <is>
          <t>Chris McCrohan</t>
        </is>
      </c>
      <c r="C198" s="4" t="inlineStr">
        <is>
          <t>Boston Beer Company</t>
        </is>
      </c>
      <c r="D198" s="5" t="n">
        <v>125</v>
      </c>
      <c r="E198" s="5" t="n">
        <v>129</v>
      </c>
      <c r="F198" s="6">
        <f>IF($D198&gt;0,$E198/$D198,"")</f>
        <v/>
      </c>
      <c r="G198" s="4">
        <f>IF($D198&gt;0,IF($F198&gt;=1,"Qualified",IF($F198&gt;=0.9,"90% Partial Amplify","Not Qualified")),"No qualifier - Amplify open")</f>
        <v/>
      </c>
      <c r="H198" s="4">
        <f>IF($G198&lt;&gt;"Qualified","-",IFERROR(IF($E198&gt;=INDEX('Program Setup'!$C$18:$C$23,MATCH($C198,'Program Setup'!$B$18:$B$23,0)),1,IF($E198&gt;=INDEX('Program Setup'!$D$18:$D$23,MATCH($C198,'Program Setup'!$B$18:$B$23,0)),2,IF($E198&gt;=INDEX('Program Setup'!$E$18:$E$23,MATCH($C198,'Program Setup'!$B$18:$B$23,0)),3,"-"))),"-"))</f>
        <v/>
      </c>
      <c r="I198" s="7">
        <f>IF(ISNUMBER($H198),INDEX('Program Setup'!$B$6:$B$8,MATCH($H198,'Program Setup'!$A$6:$A$8,0)),0)</f>
        <v/>
      </c>
      <c r="J198" s="8">
        <f>SUMIFS('Amplify Detail'!$E$5:$E$496,'Amplify Detail'!$A$5:$A$496,$A198,'Amplify Detail'!$C$5:$C$496,$C198)</f>
        <v/>
      </c>
      <c r="K198" s="8">
        <f>SUMIFS('Amplify Detail'!$F$5:$F$496,'Amplify Detail'!$A$5:$A$496,$A198,'Amplify Detail'!$C$5:$C$496,$C198)</f>
        <v/>
      </c>
      <c r="L198" s="8">
        <f>SUMIFS('Amplify Detail'!$G$5:$G$496,'Amplify Detail'!$A$5:$A$496,$A198,'Amplify Detail'!$C$5:$C$496,$C198)</f>
        <v/>
      </c>
      <c r="M198" s="7">
        <f>SUMIFS('Amplify Detail'!$J$5:$J$496,'Amplify Detail'!$A$5:$A$496,$A198,'Amplify Detail'!$C$5:$C$496,$C198)</f>
        <v/>
      </c>
      <c r="N198" s="7">
        <f>$I198+$M198</f>
        <v/>
      </c>
      <c r="O198" s="9">
        <f>IF($G198="No qualifier - Amplify open",1,IFERROR(INDEX('Program Setup'!$B$12:$B$14,MATCH($G198,'Program Setup'!$A$12:$A$14,0)),0))</f>
        <v/>
      </c>
      <c r="P198" s="4">
        <f>$A198&amp;"|"&amp;$C198</f>
        <v/>
      </c>
    </row>
    <row r="199">
      <c r="A199" s="4" t="inlineStr">
        <is>
          <t>Paul Mclaughlin</t>
        </is>
      </c>
      <c r="B199" s="4" t="inlineStr">
        <is>
          <t>Chris McCrohan</t>
        </is>
      </c>
      <c r="C199" s="4" t="inlineStr">
        <is>
          <t>Cape May</t>
        </is>
      </c>
      <c r="D199" s="5" t="n"/>
      <c r="E199" s="5" t="n"/>
      <c r="F199" s="6">
        <f>IF($D199&gt;0,$E199/$D199,"")</f>
        <v/>
      </c>
      <c r="G199" s="4">
        <f>IF($D199&gt;0,IF($F199&gt;=1,"Qualified",IF($F199&gt;=0.9,"90% Partial Amplify","Not Qualified")),"No qualifier - Amplify open")</f>
        <v/>
      </c>
      <c r="H199" s="4">
        <f>IF($G199&lt;&gt;"Qualified","-",IFERROR(IF($E199&gt;=INDEX('Program Setup'!$C$18:$C$23,MATCH($C199,'Program Setup'!$B$18:$B$23,0)),1,IF($E199&gt;=INDEX('Program Setup'!$D$18:$D$23,MATCH($C199,'Program Setup'!$B$18:$B$23,0)),2,IF($E199&gt;=INDEX('Program Setup'!$E$18:$E$23,MATCH($C199,'Program Setup'!$B$18:$B$23,0)),3,"-"))),"-"))</f>
        <v/>
      </c>
      <c r="I199" s="7">
        <f>IF(ISNUMBER($H199),INDEX('Program Setup'!$B$6:$B$8,MATCH($H199,'Program Setup'!$A$6:$A$8,0)),0)</f>
        <v/>
      </c>
      <c r="J199" s="8">
        <f>SUMIFS('Amplify Detail'!$E$5:$E$496,'Amplify Detail'!$A$5:$A$496,$A199,'Amplify Detail'!$C$5:$C$496,$C199)</f>
        <v/>
      </c>
      <c r="K199" s="8">
        <f>SUMIFS('Amplify Detail'!$F$5:$F$496,'Amplify Detail'!$A$5:$A$496,$A199,'Amplify Detail'!$C$5:$C$496,$C199)</f>
        <v/>
      </c>
      <c r="L199" s="8">
        <f>SUMIFS('Amplify Detail'!$G$5:$G$496,'Amplify Detail'!$A$5:$A$496,$A199,'Amplify Detail'!$C$5:$C$496,$C199)</f>
        <v/>
      </c>
      <c r="M199" s="7">
        <f>SUMIFS('Amplify Detail'!$J$5:$J$496,'Amplify Detail'!$A$5:$A$496,$A199,'Amplify Detail'!$C$5:$C$496,$C199)</f>
        <v/>
      </c>
      <c r="N199" s="7">
        <f>$I199+$M199</f>
        <v/>
      </c>
      <c r="O199" s="9">
        <f>IF($G199="No qualifier - Amplify open",1,IFERROR(INDEX('Program Setup'!$B$12:$B$14,MATCH($G199,'Program Setup'!$A$12:$A$14,0)),0))</f>
        <v/>
      </c>
      <c r="P199" s="4">
        <f>$A199&amp;"|"&amp;$C199</f>
        <v/>
      </c>
    </row>
    <row r="200">
      <c r="A200" s="4" t="inlineStr">
        <is>
          <t>Paul Mclaughlin</t>
        </is>
      </c>
      <c r="B200" s="4" t="inlineStr">
        <is>
          <t>Chris McCrohan</t>
        </is>
      </c>
      <c r="C200" s="4" t="inlineStr">
        <is>
          <t>Constellation Brands</t>
        </is>
      </c>
      <c r="D200" s="5" t="n">
        <v>5925</v>
      </c>
      <c r="E200" s="5" t="n">
        <v>6709</v>
      </c>
      <c r="F200" s="6">
        <f>IF($D200&gt;0,$E200/$D200,"")</f>
        <v/>
      </c>
      <c r="G200" s="4">
        <f>IF($D200&gt;0,IF($F200&gt;=1,"Qualified",IF($F200&gt;=0.9,"90% Partial Amplify","Not Qualified")),"No qualifier - Amplify open")</f>
        <v/>
      </c>
      <c r="H200" s="4">
        <f>IF($G200&lt;&gt;"Qualified","-",IFERROR(IF($E200&gt;=INDEX('Program Setup'!$C$18:$C$23,MATCH($C200,'Program Setup'!$B$18:$B$23,0)),1,IF($E200&gt;=INDEX('Program Setup'!$D$18:$D$23,MATCH($C200,'Program Setup'!$B$18:$B$23,0)),2,IF($E200&gt;=INDEX('Program Setup'!$E$18:$E$23,MATCH($C200,'Program Setup'!$B$18:$B$23,0)),3,"-"))),"-"))</f>
        <v/>
      </c>
      <c r="I200" s="7">
        <f>IF(ISNUMBER($H200),INDEX('Program Setup'!$B$6:$B$8,MATCH($H200,'Program Setup'!$A$6:$A$8,0)),0)</f>
        <v/>
      </c>
      <c r="J200" s="8">
        <f>SUMIFS('Amplify Detail'!$E$5:$E$496,'Amplify Detail'!$A$5:$A$496,$A200,'Amplify Detail'!$C$5:$C$496,$C200)</f>
        <v/>
      </c>
      <c r="K200" s="8">
        <f>SUMIFS('Amplify Detail'!$F$5:$F$496,'Amplify Detail'!$A$5:$A$496,$A200,'Amplify Detail'!$C$5:$C$496,$C200)</f>
        <v/>
      </c>
      <c r="L200" s="8">
        <f>SUMIFS('Amplify Detail'!$G$5:$G$496,'Amplify Detail'!$A$5:$A$496,$A200,'Amplify Detail'!$C$5:$C$496,$C200)</f>
        <v/>
      </c>
      <c r="M200" s="7">
        <f>SUMIFS('Amplify Detail'!$J$5:$J$496,'Amplify Detail'!$A$5:$A$496,$A200,'Amplify Detail'!$C$5:$C$496,$C200)</f>
        <v/>
      </c>
      <c r="N200" s="7">
        <f>$I200+$M200</f>
        <v/>
      </c>
      <c r="O200" s="9">
        <f>IF($G200="No qualifier - Amplify open",1,IFERROR(INDEX('Program Setup'!$B$12:$B$14,MATCH($G200,'Program Setup'!$A$12:$A$14,0)),0))</f>
        <v/>
      </c>
      <c r="P200" s="4">
        <f>$A200&amp;"|"&amp;$C200</f>
        <v/>
      </c>
    </row>
    <row r="201">
      <c r="A201" s="4" t="inlineStr">
        <is>
          <t>Paul Mclaughlin</t>
        </is>
      </c>
      <c r="B201" s="4" t="inlineStr">
        <is>
          <t>Chris McCrohan</t>
        </is>
      </c>
      <c r="C201" s="4" t="inlineStr">
        <is>
          <t>DG Yuengling Inc</t>
        </is>
      </c>
      <c r="D201" s="5" t="n">
        <v>1584</v>
      </c>
      <c r="E201" s="5" t="n">
        <v>1572</v>
      </c>
      <c r="F201" s="6">
        <f>IF($D201&gt;0,$E201/$D201,"")</f>
        <v/>
      </c>
      <c r="G201" s="4">
        <f>IF($D201&gt;0,IF($F201&gt;=1,"Qualified",IF($F201&gt;=0.9,"90% Partial Amplify","Not Qualified")),"No qualifier - Amplify open")</f>
        <v/>
      </c>
      <c r="H201" s="4">
        <f>IF($G201&lt;&gt;"Qualified","-",IFERROR(IF($E201&gt;=INDEX('Program Setup'!$C$18:$C$23,MATCH($C201,'Program Setup'!$B$18:$B$23,0)),1,IF($E201&gt;=INDEX('Program Setup'!$D$18:$D$23,MATCH($C201,'Program Setup'!$B$18:$B$23,0)),2,IF($E201&gt;=INDEX('Program Setup'!$E$18:$E$23,MATCH($C201,'Program Setup'!$B$18:$B$23,0)),3,"-"))),"-"))</f>
        <v/>
      </c>
      <c r="I201" s="7">
        <f>IF(ISNUMBER($H201),INDEX('Program Setup'!$B$6:$B$8,MATCH($H201,'Program Setup'!$A$6:$A$8,0)),0)</f>
        <v/>
      </c>
      <c r="J201" s="8">
        <f>SUMIFS('Amplify Detail'!$E$5:$E$496,'Amplify Detail'!$A$5:$A$496,$A201,'Amplify Detail'!$C$5:$C$496,$C201)</f>
        <v/>
      </c>
      <c r="K201" s="8">
        <f>SUMIFS('Amplify Detail'!$F$5:$F$496,'Amplify Detail'!$A$5:$A$496,$A201,'Amplify Detail'!$C$5:$C$496,$C201)</f>
        <v/>
      </c>
      <c r="L201" s="8">
        <f>SUMIFS('Amplify Detail'!$G$5:$G$496,'Amplify Detail'!$A$5:$A$496,$A201,'Amplify Detail'!$C$5:$C$496,$C201)</f>
        <v/>
      </c>
      <c r="M201" s="7">
        <f>SUMIFS('Amplify Detail'!$J$5:$J$496,'Amplify Detail'!$A$5:$A$496,$A201,'Amplify Detail'!$C$5:$C$496,$C201)</f>
        <v/>
      </c>
      <c r="N201" s="7">
        <f>$I201+$M201</f>
        <v/>
      </c>
      <c r="O201" s="9">
        <f>IF($G201="No qualifier - Amplify open",1,IFERROR(INDEX('Program Setup'!$B$12:$B$14,MATCH($G201,'Program Setup'!$A$12:$A$14,0)),0))</f>
        <v/>
      </c>
      <c r="P201" s="4">
        <f>$A201&amp;"|"&amp;$C201</f>
        <v/>
      </c>
    </row>
    <row r="202">
      <c r="A202" s="4" t="inlineStr">
        <is>
          <t>Paul Mclaughlin</t>
        </is>
      </c>
      <c r="B202" s="4" t="inlineStr">
        <is>
          <t>Chris McCrohan</t>
        </is>
      </c>
      <c r="C202" s="4" t="inlineStr">
        <is>
          <t>Heineken USA</t>
        </is>
      </c>
      <c r="D202" s="5" t="n">
        <v>1498</v>
      </c>
      <c r="E202" s="5" t="n">
        <v>1397</v>
      </c>
      <c r="F202" s="6">
        <f>IF($D202&gt;0,$E202/$D202,"")</f>
        <v/>
      </c>
      <c r="G202" s="4">
        <f>IF($D202&gt;0,IF($F202&gt;=1,"Qualified",IF($F202&gt;=0.9,"90% Partial Amplify","Not Qualified")),"No qualifier - Amplify open")</f>
        <v/>
      </c>
      <c r="H202" s="4">
        <f>IF($G202&lt;&gt;"Qualified","-",IFERROR(IF($E202&gt;=INDEX('Program Setup'!$C$18:$C$23,MATCH($C202,'Program Setup'!$B$18:$B$23,0)),1,IF($E202&gt;=INDEX('Program Setup'!$D$18:$D$23,MATCH($C202,'Program Setup'!$B$18:$B$23,0)),2,IF($E202&gt;=INDEX('Program Setup'!$E$18:$E$23,MATCH($C202,'Program Setup'!$B$18:$B$23,0)),3,"-"))),"-"))</f>
        <v/>
      </c>
      <c r="I202" s="7">
        <f>IF(ISNUMBER($H202),INDEX('Program Setup'!$B$6:$B$8,MATCH($H202,'Program Setup'!$A$6:$A$8,0)),0)</f>
        <v/>
      </c>
      <c r="J202" s="8">
        <f>SUMIFS('Amplify Detail'!$E$5:$E$496,'Amplify Detail'!$A$5:$A$496,$A202,'Amplify Detail'!$C$5:$C$496,$C202)</f>
        <v/>
      </c>
      <c r="K202" s="8">
        <f>SUMIFS('Amplify Detail'!$F$5:$F$496,'Amplify Detail'!$A$5:$A$496,$A202,'Amplify Detail'!$C$5:$C$496,$C202)</f>
        <v/>
      </c>
      <c r="L202" s="8">
        <f>SUMIFS('Amplify Detail'!$G$5:$G$496,'Amplify Detail'!$A$5:$A$496,$A202,'Amplify Detail'!$C$5:$C$496,$C202)</f>
        <v/>
      </c>
      <c r="M202" s="7">
        <f>SUMIFS('Amplify Detail'!$J$5:$J$496,'Amplify Detail'!$A$5:$A$496,$A202,'Amplify Detail'!$C$5:$C$496,$C202)</f>
        <v/>
      </c>
      <c r="N202" s="7">
        <f>$I202+$M202</f>
        <v/>
      </c>
      <c r="O202" s="9">
        <f>IF($G202="No qualifier - Amplify open",1,IFERROR(INDEX('Program Setup'!$B$12:$B$14,MATCH($G202,'Program Setup'!$A$12:$A$14,0)),0))</f>
        <v/>
      </c>
      <c r="P202" s="4">
        <f>$A202&amp;"|"&amp;$C202</f>
        <v/>
      </c>
    </row>
    <row r="203">
      <c r="A203" s="4" t="inlineStr">
        <is>
          <t>Paul Mclaughlin</t>
        </is>
      </c>
      <c r="B203" s="4" t="inlineStr">
        <is>
          <t>Chris McCrohan</t>
        </is>
      </c>
      <c r="C203" s="4" t="inlineStr">
        <is>
          <t>Mark Anthony</t>
        </is>
      </c>
      <c r="D203" s="5" t="n">
        <v>387</v>
      </c>
      <c r="E203" s="5" t="n">
        <v>331</v>
      </c>
      <c r="F203" s="6">
        <f>IF($D203&gt;0,$E203/$D203,"")</f>
        <v/>
      </c>
      <c r="G203" s="4">
        <f>IF($D203&gt;0,IF($F203&gt;=1,"Qualified",IF($F203&gt;=0.9,"90% Partial Amplify","Not Qualified")),"No qualifier - Amplify open")</f>
        <v/>
      </c>
      <c r="H203" s="4">
        <f>IF($G203&lt;&gt;"Qualified","-",IFERROR(IF($E203&gt;=INDEX('Program Setup'!$C$18:$C$23,MATCH($C203,'Program Setup'!$B$18:$B$23,0)),1,IF($E203&gt;=INDEX('Program Setup'!$D$18:$D$23,MATCH($C203,'Program Setup'!$B$18:$B$23,0)),2,IF($E203&gt;=INDEX('Program Setup'!$E$18:$E$23,MATCH($C203,'Program Setup'!$B$18:$B$23,0)),3,"-"))),"-"))</f>
        <v/>
      </c>
      <c r="I203" s="7">
        <f>IF(ISNUMBER($H203),INDEX('Program Setup'!$B$6:$B$8,MATCH($H203,'Program Setup'!$A$6:$A$8,0)),0)</f>
        <v/>
      </c>
      <c r="J203" s="8">
        <f>SUMIFS('Amplify Detail'!$E$5:$E$496,'Amplify Detail'!$A$5:$A$496,$A203,'Amplify Detail'!$C$5:$C$496,$C203)</f>
        <v/>
      </c>
      <c r="K203" s="8">
        <f>SUMIFS('Amplify Detail'!$F$5:$F$496,'Amplify Detail'!$A$5:$A$496,$A203,'Amplify Detail'!$C$5:$C$496,$C203)</f>
        <v/>
      </c>
      <c r="L203" s="8">
        <f>SUMIFS('Amplify Detail'!$G$5:$G$496,'Amplify Detail'!$A$5:$A$496,$A203,'Amplify Detail'!$C$5:$C$496,$C203)</f>
        <v/>
      </c>
      <c r="M203" s="7">
        <f>SUMIFS('Amplify Detail'!$J$5:$J$496,'Amplify Detail'!$A$5:$A$496,$A203,'Amplify Detail'!$C$5:$C$496,$C203)</f>
        <v/>
      </c>
      <c r="N203" s="7">
        <f>$I203+$M203</f>
        <v/>
      </c>
      <c r="O203" s="9">
        <f>IF($G203="No qualifier - Amplify open",1,IFERROR(INDEX('Program Setup'!$B$12:$B$14,MATCH($G203,'Program Setup'!$A$12:$A$14,0)),0))</f>
        <v/>
      </c>
      <c r="P203" s="4">
        <f>$A203&amp;"|"&amp;$C203</f>
        <v/>
      </c>
    </row>
    <row r="204">
      <c r="A204" s="4" t="inlineStr">
        <is>
          <t>Paul Mclaughlin</t>
        </is>
      </c>
      <c r="B204" s="4" t="inlineStr">
        <is>
          <t>Chris McCrohan</t>
        </is>
      </c>
      <c r="C204" s="4" t="inlineStr">
        <is>
          <t>MolsonCoors Beverage Company</t>
        </is>
      </c>
      <c r="D204" s="5" t="n">
        <v>7860</v>
      </c>
      <c r="E204" s="5" t="n">
        <v>7474</v>
      </c>
      <c r="F204" s="6">
        <f>IF($D204&gt;0,$E204/$D204,"")</f>
        <v/>
      </c>
      <c r="G204" s="4">
        <f>IF($D204&gt;0,IF($F204&gt;=1,"Qualified",IF($F204&gt;=0.9,"90% Partial Amplify","Not Qualified")),"No qualifier - Amplify open")</f>
        <v/>
      </c>
      <c r="H204" s="4">
        <f>IF($G204&lt;&gt;"Qualified","-",IFERROR(IF($E204&gt;=INDEX('Program Setup'!$C$18:$C$23,MATCH($C204,'Program Setup'!$B$18:$B$23,0)),1,IF($E204&gt;=INDEX('Program Setup'!$D$18:$D$23,MATCH($C204,'Program Setup'!$B$18:$B$23,0)),2,IF($E204&gt;=INDEX('Program Setup'!$E$18:$E$23,MATCH($C204,'Program Setup'!$B$18:$B$23,0)),3,"-"))),"-"))</f>
        <v/>
      </c>
      <c r="I204" s="7">
        <f>IF(ISNUMBER($H204),INDEX('Program Setup'!$B$6:$B$8,MATCH($H204,'Program Setup'!$A$6:$A$8,0)),0)</f>
        <v/>
      </c>
      <c r="J204" s="8">
        <f>SUMIFS('Amplify Detail'!$E$5:$E$496,'Amplify Detail'!$A$5:$A$496,$A204,'Amplify Detail'!$C$5:$C$496,$C204)</f>
        <v/>
      </c>
      <c r="K204" s="8">
        <f>SUMIFS('Amplify Detail'!$F$5:$F$496,'Amplify Detail'!$A$5:$A$496,$A204,'Amplify Detail'!$C$5:$C$496,$C204)</f>
        <v/>
      </c>
      <c r="L204" s="8">
        <f>SUMIFS('Amplify Detail'!$G$5:$G$496,'Amplify Detail'!$A$5:$A$496,$A204,'Amplify Detail'!$C$5:$C$496,$C204)</f>
        <v/>
      </c>
      <c r="M204" s="7">
        <f>SUMIFS('Amplify Detail'!$J$5:$J$496,'Amplify Detail'!$A$5:$A$496,$A204,'Amplify Detail'!$C$5:$C$496,$C204)</f>
        <v/>
      </c>
      <c r="N204" s="7">
        <f>$I204+$M204</f>
        <v/>
      </c>
      <c r="O204" s="9">
        <f>IF($G204="No qualifier - Amplify open",1,IFERROR(INDEX('Program Setup'!$B$12:$B$14,MATCH($G204,'Program Setup'!$A$12:$A$14,0)),0))</f>
        <v/>
      </c>
      <c r="P204" s="4">
        <f>$A204&amp;"|"&amp;$C204</f>
        <v/>
      </c>
    </row>
    <row r="205">
      <c r="A205" s="4" t="inlineStr">
        <is>
          <t>Paul Mclaughlin</t>
        </is>
      </c>
      <c r="B205" s="4" t="inlineStr">
        <is>
          <t>Chris McCrohan</t>
        </is>
      </c>
      <c r="C205" s="4" t="inlineStr">
        <is>
          <t>New Belgium Brewing Company</t>
        </is>
      </c>
      <c r="D205" s="5" t="n"/>
      <c r="E205" s="5" t="n"/>
      <c r="F205" s="6">
        <f>IF($D205&gt;0,$E205/$D205,"")</f>
        <v/>
      </c>
      <c r="G205" s="4">
        <f>IF($D205&gt;0,IF($F205&gt;=1,"Qualified",IF($F205&gt;=0.9,"90% Partial Amplify","Not Qualified")),"No qualifier - Amplify open")</f>
        <v/>
      </c>
      <c r="H205" s="4">
        <f>IF($G205&lt;&gt;"Qualified","-",IFERROR(IF($E205&gt;=INDEX('Program Setup'!$C$18:$C$23,MATCH($C205,'Program Setup'!$B$18:$B$23,0)),1,IF($E205&gt;=INDEX('Program Setup'!$D$18:$D$23,MATCH($C205,'Program Setup'!$B$18:$B$23,0)),2,IF($E205&gt;=INDEX('Program Setup'!$E$18:$E$23,MATCH($C205,'Program Setup'!$B$18:$B$23,0)),3,"-"))),"-"))</f>
        <v/>
      </c>
      <c r="I205" s="7">
        <f>IF(ISNUMBER($H205),INDEX('Program Setup'!$B$6:$B$8,MATCH($H205,'Program Setup'!$A$6:$A$8,0)),0)</f>
        <v/>
      </c>
      <c r="J205" s="8">
        <f>SUMIFS('Amplify Detail'!$E$5:$E$496,'Amplify Detail'!$A$5:$A$496,$A205,'Amplify Detail'!$C$5:$C$496,$C205)</f>
        <v/>
      </c>
      <c r="K205" s="8">
        <f>SUMIFS('Amplify Detail'!$F$5:$F$496,'Amplify Detail'!$A$5:$A$496,$A205,'Amplify Detail'!$C$5:$C$496,$C205)</f>
        <v/>
      </c>
      <c r="L205" s="8">
        <f>SUMIFS('Amplify Detail'!$G$5:$G$496,'Amplify Detail'!$A$5:$A$496,$A205,'Amplify Detail'!$C$5:$C$496,$C205)</f>
        <v/>
      </c>
      <c r="M205" s="7">
        <f>SUMIFS('Amplify Detail'!$J$5:$J$496,'Amplify Detail'!$A$5:$A$496,$A205,'Amplify Detail'!$C$5:$C$496,$C205)</f>
        <v/>
      </c>
      <c r="N205" s="7">
        <f>$I205+$M205</f>
        <v/>
      </c>
      <c r="O205" s="9">
        <f>IF($G205="No qualifier - Amplify open",1,IFERROR(INDEX('Program Setup'!$B$12:$B$14,MATCH($G205,'Program Setup'!$A$12:$A$14,0)),0))</f>
        <v/>
      </c>
      <c r="P205" s="4">
        <f>$A205&amp;"|"&amp;$C205</f>
        <v/>
      </c>
    </row>
    <row r="206">
      <c r="A206" s="4" t="inlineStr">
        <is>
          <t>Paul Mclaughlin</t>
        </is>
      </c>
      <c r="B206" s="4" t="inlineStr">
        <is>
          <t>Chris McCrohan</t>
        </is>
      </c>
      <c r="C206" s="4" t="inlineStr">
        <is>
          <t>Sapporo</t>
        </is>
      </c>
      <c r="D206" s="5" t="n"/>
      <c r="E206" s="5" t="n"/>
      <c r="F206" s="6">
        <f>IF($D206&gt;0,$E206/$D206,"")</f>
        <v/>
      </c>
      <c r="G206" s="4">
        <f>IF($D206&gt;0,IF($F206&gt;=1,"Qualified",IF($F206&gt;=0.9,"90% Partial Amplify","Not Qualified")),"No qualifier - Amplify open")</f>
        <v/>
      </c>
      <c r="H206" s="4">
        <f>IF($G206&lt;&gt;"Qualified","-",IFERROR(IF($E206&gt;=INDEX('Program Setup'!$C$18:$C$23,MATCH($C206,'Program Setup'!$B$18:$B$23,0)),1,IF($E206&gt;=INDEX('Program Setup'!$D$18:$D$23,MATCH($C206,'Program Setup'!$B$18:$B$23,0)),2,IF($E206&gt;=INDEX('Program Setup'!$E$18:$E$23,MATCH($C206,'Program Setup'!$B$18:$B$23,0)),3,"-"))),"-"))</f>
        <v/>
      </c>
      <c r="I206" s="7">
        <f>IF(ISNUMBER($H206),INDEX('Program Setup'!$B$6:$B$8,MATCH($H206,'Program Setup'!$A$6:$A$8,0)),0)</f>
        <v/>
      </c>
      <c r="J206" s="8">
        <f>SUMIFS('Amplify Detail'!$E$5:$E$496,'Amplify Detail'!$A$5:$A$496,$A206,'Amplify Detail'!$C$5:$C$496,$C206)</f>
        <v/>
      </c>
      <c r="K206" s="8">
        <f>SUMIFS('Amplify Detail'!$F$5:$F$496,'Amplify Detail'!$A$5:$A$496,$A206,'Amplify Detail'!$C$5:$C$496,$C206)</f>
        <v/>
      </c>
      <c r="L206" s="8">
        <f>SUMIFS('Amplify Detail'!$G$5:$G$496,'Amplify Detail'!$A$5:$A$496,$A206,'Amplify Detail'!$C$5:$C$496,$C206)</f>
        <v/>
      </c>
      <c r="M206" s="7">
        <f>SUMIFS('Amplify Detail'!$J$5:$J$496,'Amplify Detail'!$A$5:$A$496,$A206,'Amplify Detail'!$C$5:$C$496,$C206)</f>
        <v/>
      </c>
      <c r="N206" s="7">
        <f>$I206+$M206</f>
        <v/>
      </c>
      <c r="O206" s="9">
        <f>IF($G206="No qualifier - Amplify open",1,IFERROR(INDEX('Program Setup'!$B$12:$B$14,MATCH($G206,'Program Setup'!$A$12:$A$14,0)),0))</f>
        <v/>
      </c>
      <c r="P206" s="4">
        <f>$A206&amp;"|"&amp;$C206</f>
        <v/>
      </c>
    </row>
    <row r="207">
      <c r="A207" s="4" t="inlineStr">
        <is>
          <t>Phil Ernst</t>
        </is>
      </c>
      <c r="B207" s="4" t="inlineStr">
        <is>
          <t>Mike Engel</t>
        </is>
      </c>
      <c r="C207" s="4" t="inlineStr">
        <is>
          <t>Boston Beer Company</t>
        </is>
      </c>
      <c r="D207" s="5" t="n">
        <v>3300</v>
      </c>
      <c r="E207" s="5" t="n">
        <v>2367</v>
      </c>
      <c r="F207" s="6">
        <f>IF($D207&gt;0,$E207/$D207,"")</f>
        <v/>
      </c>
      <c r="G207" s="4">
        <f>IF($D207&gt;0,IF($F207&gt;=1,"Qualified",IF($F207&gt;=0.9,"90% Partial Amplify","Not Qualified")),"No qualifier - Amplify open")</f>
        <v/>
      </c>
      <c r="H207" s="4">
        <f>IF($G207&lt;&gt;"Qualified","-",IFERROR(IF($E207&gt;=INDEX('Program Setup'!$C$18:$C$23,MATCH($C207,'Program Setup'!$B$18:$B$23,0)),1,IF($E207&gt;=INDEX('Program Setup'!$D$18:$D$23,MATCH($C207,'Program Setup'!$B$18:$B$23,0)),2,IF($E207&gt;=INDEX('Program Setup'!$E$18:$E$23,MATCH($C207,'Program Setup'!$B$18:$B$23,0)),3,"-"))),"-"))</f>
        <v/>
      </c>
      <c r="I207" s="7">
        <f>IF(ISNUMBER($H207),INDEX('Program Setup'!$B$6:$B$8,MATCH($H207,'Program Setup'!$A$6:$A$8,0)),0)</f>
        <v/>
      </c>
      <c r="J207" s="8">
        <f>SUMIFS('Amplify Detail'!$E$5:$E$496,'Amplify Detail'!$A$5:$A$496,$A207,'Amplify Detail'!$C$5:$C$496,$C207)</f>
        <v/>
      </c>
      <c r="K207" s="8">
        <f>SUMIFS('Amplify Detail'!$F$5:$F$496,'Amplify Detail'!$A$5:$A$496,$A207,'Amplify Detail'!$C$5:$C$496,$C207)</f>
        <v/>
      </c>
      <c r="L207" s="8">
        <f>SUMIFS('Amplify Detail'!$G$5:$G$496,'Amplify Detail'!$A$5:$A$496,$A207,'Amplify Detail'!$C$5:$C$496,$C207)</f>
        <v/>
      </c>
      <c r="M207" s="7">
        <f>SUMIFS('Amplify Detail'!$J$5:$J$496,'Amplify Detail'!$A$5:$A$496,$A207,'Amplify Detail'!$C$5:$C$496,$C207)</f>
        <v/>
      </c>
      <c r="N207" s="7">
        <f>$I207+$M207</f>
        <v/>
      </c>
      <c r="O207" s="9">
        <f>IF($G207="No qualifier - Amplify open",1,IFERROR(INDEX('Program Setup'!$B$12:$B$14,MATCH($G207,'Program Setup'!$A$12:$A$14,0)),0))</f>
        <v/>
      </c>
      <c r="P207" s="4">
        <f>$A207&amp;"|"&amp;$C207</f>
        <v/>
      </c>
    </row>
    <row r="208">
      <c r="A208" s="4" t="inlineStr">
        <is>
          <t>Phil Ernst</t>
        </is>
      </c>
      <c r="B208" s="4" t="inlineStr">
        <is>
          <t>Mike Engel</t>
        </is>
      </c>
      <c r="C208" s="4" t="inlineStr">
        <is>
          <t>Cape May</t>
        </is>
      </c>
      <c r="D208" s="5" t="n"/>
      <c r="E208" s="5" t="n"/>
      <c r="F208" s="6">
        <f>IF($D208&gt;0,$E208/$D208,"")</f>
        <v/>
      </c>
      <c r="G208" s="4">
        <f>IF($D208&gt;0,IF($F208&gt;=1,"Qualified",IF($F208&gt;=0.9,"90% Partial Amplify","Not Qualified")),"No qualifier - Amplify open")</f>
        <v/>
      </c>
      <c r="H208" s="4">
        <f>IF($G208&lt;&gt;"Qualified","-",IFERROR(IF($E208&gt;=INDEX('Program Setup'!$C$18:$C$23,MATCH($C208,'Program Setup'!$B$18:$B$23,0)),1,IF($E208&gt;=INDEX('Program Setup'!$D$18:$D$23,MATCH($C208,'Program Setup'!$B$18:$B$23,0)),2,IF($E208&gt;=INDEX('Program Setup'!$E$18:$E$23,MATCH($C208,'Program Setup'!$B$18:$B$23,0)),3,"-"))),"-"))</f>
        <v/>
      </c>
      <c r="I208" s="7">
        <f>IF(ISNUMBER($H208),INDEX('Program Setup'!$B$6:$B$8,MATCH($H208,'Program Setup'!$A$6:$A$8,0)),0)</f>
        <v/>
      </c>
      <c r="J208" s="8">
        <f>SUMIFS('Amplify Detail'!$E$5:$E$496,'Amplify Detail'!$A$5:$A$496,$A208,'Amplify Detail'!$C$5:$C$496,$C208)</f>
        <v/>
      </c>
      <c r="K208" s="8">
        <f>SUMIFS('Amplify Detail'!$F$5:$F$496,'Amplify Detail'!$A$5:$A$496,$A208,'Amplify Detail'!$C$5:$C$496,$C208)</f>
        <v/>
      </c>
      <c r="L208" s="8">
        <f>SUMIFS('Amplify Detail'!$G$5:$G$496,'Amplify Detail'!$A$5:$A$496,$A208,'Amplify Detail'!$C$5:$C$496,$C208)</f>
        <v/>
      </c>
      <c r="M208" s="7">
        <f>SUMIFS('Amplify Detail'!$J$5:$J$496,'Amplify Detail'!$A$5:$A$496,$A208,'Amplify Detail'!$C$5:$C$496,$C208)</f>
        <v/>
      </c>
      <c r="N208" s="7">
        <f>$I208+$M208</f>
        <v/>
      </c>
      <c r="O208" s="9">
        <f>IF($G208="No qualifier - Amplify open",1,IFERROR(INDEX('Program Setup'!$B$12:$B$14,MATCH($G208,'Program Setup'!$A$12:$A$14,0)),0))</f>
        <v/>
      </c>
      <c r="P208" s="4">
        <f>$A208&amp;"|"&amp;$C208</f>
        <v/>
      </c>
    </row>
    <row r="209">
      <c r="A209" s="4" t="inlineStr">
        <is>
          <t>Phil Ernst</t>
        </is>
      </c>
      <c r="B209" s="4" t="inlineStr">
        <is>
          <t>Mike Engel</t>
        </is>
      </c>
      <c r="C209" s="4" t="inlineStr">
        <is>
          <t>Constellation Brands</t>
        </is>
      </c>
      <c r="D209" s="5" t="n">
        <v>37769</v>
      </c>
      <c r="E209" s="5" t="n">
        <v>36765</v>
      </c>
      <c r="F209" s="6">
        <f>IF($D209&gt;0,$E209/$D209,"")</f>
        <v/>
      </c>
      <c r="G209" s="4">
        <f>IF($D209&gt;0,IF($F209&gt;=1,"Qualified",IF($F209&gt;=0.9,"90% Partial Amplify","Not Qualified")),"No qualifier - Amplify open")</f>
        <v/>
      </c>
      <c r="H209" s="4">
        <f>IF($G209&lt;&gt;"Qualified","-",IFERROR(IF($E209&gt;=INDEX('Program Setup'!$C$18:$C$23,MATCH($C209,'Program Setup'!$B$18:$B$23,0)),1,IF($E209&gt;=INDEX('Program Setup'!$D$18:$D$23,MATCH($C209,'Program Setup'!$B$18:$B$23,0)),2,IF($E209&gt;=INDEX('Program Setup'!$E$18:$E$23,MATCH($C209,'Program Setup'!$B$18:$B$23,0)),3,"-"))),"-"))</f>
        <v/>
      </c>
      <c r="I209" s="7">
        <f>IF(ISNUMBER($H209),INDEX('Program Setup'!$B$6:$B$8,MATCH($H209,'Program Setup'!$A$6:$A$8,0)),0)</f>
        <v/>
      </c>
      <c r="J209" s="8">
        <f>SUMIFS('Amplify Detail'!$E$5:$E$496,'Amplify Detail'!$A$5:$A$496,$A209,'Amplify Detail'!$C$5:$C$496,$C209)</f>
        <v/>
      </c>
      <c r="K209" s="8">
        <f>SUMIFS('Amplify Detail'!$F$5:$F$496,'Amplify Detail'!$A$5:$A$496,$A209,'Amplify Detail'!$C$5:$C$496,$C209)</f>
        <v/>
      </c>
      <c r="L209" s="8">
        <f>SUMIFS('Amplify Detail'!$G$5:$G$496,'Amplify Detail'!$A$5:$A$496,$A209,'Amplify Detail'!$C$5:$C$496,$C209)</f>
        <v/>
      </c>
      <c r="M209" s="7">
        <f>SUMIFS('Amplify Detail'!$J$5:$J$496,'Amplify Detail'!$A$5:$A$496,$A209,'Amplify Detail'!$C$5:$C$496,$C209)</f>
        <v/>
      </c>
      <c r="N209" s="7">
        <f>$I209+$M209</f>
        <v/>
      </c>
      <c r="O209" s="9">
        <f>IF($G209="No qualifier - Amplify open",1,IFERROR(INDEX('Program Setup'!$B$12:$B$14,MATCH($G209,'Program Setup'!$A$12:$A$14,0)),0))</f>
        <v/>
      </c>
      <c r="P209" s="4">
        <f>$A209&amp;"|"&amp;$C209</f>
        <v/>
      </c>
    </row>
    <row r="210">
      <c r="A210" s="4" t="inlineStr">
        <is>
          <t>Phil Ernst</t>
        </is>
      </c>
      <c r="B210" s="4" t="inlineStr">
        <is>
          <t>Mike Engel</t>
        </is>
      </c>
      <c r="C210" s="4" t="inlineStr">
        <is>
          <t>DG Yuengling Inc</t>
        </is>
      </c>
      <c r="D210" s="5" t="n">
        <v>2688</v>
      </c>
      <c r="E210" s="5" t="n">
        <v>2689</v>
      </c>
      <c r="F210" s="6">
        <f>IF($D210&gt;0,$E210/$D210,"")</f>
        <v/>
      </c>
      <c r="G210" s="4">
        <f>IF($D210&gt;0,IF($F210&gt;=1,"Qualified",IF($F210&gt;=0.9,"90% Partial Amplify","Not Qualified")),"No qualifier - Amplify open")</f>
        <v/>
      </c>
      <c r="H210" s="4">
        <f>IF($G210&lt;&gt;"Qualified","-",IFERROR(IF($E210&gt;=INDEX('Program Setup'!$C$18:$C$23,MATCH($C210,'Program Setup'!$B$18:$B$23,0)),1,IF($E210&gt;=INDEX('Program Setup'!$D$18:$D$23,MATCH($C210,'Program Setup'!$B$18:$B$23,0)),2,IF($E210&gt;=INDEX('Program Setup'!$E$18:$E$23,MATCH($C210,'Program Setup'!$B$18:$B$23,0)),3,"-"))),"-"))</f>
        <v/>
      </c>
      <c r="I210" s="7">
        <f>IF(ISNUMBER($H210),INDEX('Program Setup'!$B$6:$B$8,MATCH($H210,'Program Setup'!$A$6:$A$8,0)),0)</f>
        <v/>
      </c>
      <c r="J210" s="8">
        <f>SUMIFS('Amplify Detail'!$E$5:$E$496,'Amplify Detail'!$A$5:$A$496,$A210,'Amplify Detail'!$C$5:$C$496,$C210)</f>
        <v/>
      </c>
      <c r="K210" s="8">
        <f>SUMIFS('Amplify Detail'!$F$5:$F$496,'Amplify Detail'!$A$5:$A$496,$A210,'Amplify Detail'!$C$5:$C$496,$C210)</f>
        <v/>
      </c>
      <c r="L210" s="8">
        <f>SUMIFS('Amplify Detail'!$G$5:$G$496,'Amplify Detail'!$A$5:$A$496,$A210,'Amplify Detail'!$C$5:$C$496,$C210)</f>
        <v/>
      </c>
      <c r="M210" s="7">
        <f>SUMIFS('Amplify Detail'!$J$5:$J$496,'Amplify Detail'!$A$5:$A$496,$A210,'Amplify Detail'!$C$5:$C$496,$C210)</f>
        <v/>
      </c>
      <c r="N210" s="7">
        <f>$I210+$M210</f>
        <v/>
      </c>
      <c r="O210" s="9">
        <f>IF($G210="No qualifier - Amplify open",1,IFERROR(INDEX('Program Setup'!$B$12:$B$14,MATCH($G210,'Program Setup'!$A$12:$A$14,0)),0))</f>
        <v/>
      </c>
      <c r="P210" s="4">
        <f>$A210&amp;"|"&amp;$C210</f>
        <v/>
      </c>
    </row>
    <row r="211">
      <c r="A211" s="4" t="inlineStr">
        <is>
          <t>Phil Ernst</t>
        </is>
      </c>
      <c r="B211" s="4" t="inlineStr">
        <is>
          <t>Mike Engel</t>
        </is>
      </c>
      <c r="C211" s="4" t="inlineStr">
        <is>
          <t>Heineken USA</t>
        </is>
      </c>
      <c r="D211" s="5" t="n">
        <v>8698</v>
      </c>
      <c r="E211" s="5" t="n">
        <v>8774</v>
      </c>
      <c r="F211" s="6">
        <f>IF($D211&gt;0,$E211/$D211,"")</f>
        <v/>
      </c>
      <c r="G211" s="4">
        <f>IF($D211&gt;0,IF($F211&gt;=1,"Qualified",IF($F211&gt;=0.9,"90% Partial Amplify","Not Qualified")),"No qualifier - Amplify open")</f>
        <v/>
      </c>
      <c r="H211" s="4">
        <f>IF($G211&lt;&gt;"Qualified","-",IFERROR(IF($E211&gt;=INDEX('Program Setup'!$C$18:$C$23,MATCH($C211,'Program Setup'!$B$18:$B$23,0)),1,IF($E211&gt;=INDEX('Program Setup'!$D$18:$D$23,MATCH($C211,'Program Setup'!$B$18:$B$23,0)),2,IF($E211&gt;=INDEX('Program Setup'!$E$18:$E$23,MATCH($C211,'Program Setup'!$B$18:$B$23,0)),3,"-"))),"-"))</f>
        <v/>
      </c>
      <c r="I211" s="7">
        <f>IF(ISNUMBER($H211),INDEX('Program Setup'!$B$6:$B$8,MATCH($H211,'Program Setup'!$A$6:$A$8,0)),0)</f>
        <v/>
      </c>
      <c r="J211" s="8">
        <f>SUMIFS('Amplify Detail'!$E$5:$E$496,'Amplify Detail'!$A$5:$A$496,$A211,'Amplify Detail'!$C$5:$C$496,$C211)</f>
        <v/>
      </c>
      <c r="K211" s="8">
        <f>SUMIFS('Amplify Detail'!$F$5:$F$496,'Amplify Detail'!$A$5:$A$496,$A211,'Amplify Detail'!$C$5:$C$496,$C211)</f>
        <v/>
      </c>
      <c r="L211" s="8">
        <f>SUMIFS('Amplify Detail'!$G$5:$G$496,'Amplify Detail'!$A$5:$A$496,$A211,'Amplify Detail'!$C$5:$C$496,$C211)</f>
        <v/>
      </c>
      <c r="M211" s="7">
        <f>SUMIFS('Amplify Detail'!$J$5:$J$496,'Amplify Detail'!$A$5:$A$496,$A211,'Amplify Detail'!$C$5:$C$496,$C211)</f>
        <v/>
      </c>
      <c r="N211" s="7">
        <f>$I211+$M211</f>
        <v/>
      </c>
      <c r="O211" s="9">
        <f>IF($G211="No qualifier - Amplify open",1,IFERROR(INDEX('Program Setup'!$B$12:$B$14,MATCH($G211,'Program Setup'!$A$12:$A$14,0)),0))</f>
        <v/>
      </c>
      <c r="P211" s="4">
        <f>$A211&amp;"|"&amp;$C211</f>
        <v/>
      </c>
    </row>
    <row r="212">
      <c r="A212" s="4" t="inlineStr">
        <is>
          <t>Phil Ernst</t>
        </is>
      </c>
      <c r="B212" s="4" t="inlineStr">
        <is>
          <t>Mike Engel</t>
        </is>
      </c>
      <c r="C212" s="4" t="inlineStr">
        <is>
          <t>Mark Anthony</t>
        </is>
      </c>
      <c r="D212" s="5" t="n">
        <v>5415</v>
      </c>
      <c r="E212" s="5" t="n">
        <v>4546</v>
      </c>
      <c r="F212" s="6">
        <f>IF($D212&gt;0,$E212/$D212,"")</f>
        <v/>
      </c>
      <c r="G212" s="4">
        <f>IF($D212&gt;0,IF($F212&gt;=1,"Qualified",IF($F212&gt;=0.9,"90% Partial Amplify","Not Qualified")),"No qualifier - Amplify open")</f>
        <v/>
      </c>
      <c r="H212" s="4">
        <f>IF($G212&lt;&gt;"Qualified","-",IFERROR(IF($E212&gt;=INDEX('Program Setup'!$C$18:$C$23,MATCH($C212,'Program Setup'!$B$18:$B$23,0)),1,IF($E212&gt;=INDEX('Program Setup'!$D$18:$D$23,MATCH($C212,'Program Setup'!$B$18:$B$23,0)),2,IF($E212&gt;=INDEX('Program Setup'!$E$18:$E$23,MATCH($C212,'Program Setup'!$B$18:$B$23,0)),3,"-"))),"-"))</f>
        <v/>
      </c>
      <c r="I212" s="7">
        <f>IF(ISNUMBER($H212),INDEX('Program Setup'!$B$6:$B$8,MATCH($H212,'Program Setup'!$A$6:$A$8,0)),0)</f>
        <v/>
      </c>
      <c r="J212" s="8">
        <f>SUMIFS('Amplify Detail'!$E$5:$E$496,'Amplify Detail'!$A$5:$A$496,$A212,'Amplify Detail'!$C$5:$C$496,$C212)</f>
        <v/>
      </c>
      <c r="K212" s="8">
        <f>SUMIFS('Amplify Detail'!$F$5:$F$496,'Amplify Detail'!$A$5:$A$496,$A212,'Amplify Detail'!$C$5:$C$496,$C212)</f>
        <v/>
      </c>
      <c r="L212" s="8">
        <f>SUMIFS('Amplify Detail'!$G$5:$G$496,'Amplify Detail'!$A$5:$A$496,$A212,'Amplify Detail'!$C$5:$C$496,$C212)</f>
        <v/>
      </c>
      <c r="M212" s="7">
        <f>SUMIFS('Amplify Detail'!$J$5:$J$496,'Amplify Detail'!$A$5:$A$496,$A212,'Amplify Detail'!$C$5:$C$496,$C212)</f>
        <v/>
      </c>
      <c r="N212" s="7">
        <f>$I212+$M212</f>
        <v/>
      </c>
      <c r="O212" s="9">
        <f>IF($G212="No qualifier - Amplify open",1,IFERROR(INDEX('Program Setup'!$B$12:$B$14,MATCH($G212,'Program Setup'!$A$12:$A$14,0)),0))</f>
        <v/>
      </c>
      <c r="P212" s="4">
        <f>$A212&amp;"|"&amp;$C212</f>
        <v/>
      </c>
    </row>
    <row r="213">
      <c r="A213" s="4" t="inlineStr">
        <is>
          <t>Phil Ernst</t>
        </is>
      </c>
      <c r="B213" s="4" t="inlineStr">
        <is>
          <t>Mike Engel</t>
        </is>
      </c>
      <c r="C213" s="4" t="inlineStr">
        <is>
          <t>MolsonCoors Beverage Company</t>
        </is>
      </c>
      <c r="D213" s="5" t="n">
        <v>26254</v>
      </c>
      <c r="E213" s="5" t="n">
        <v>25107</v>
      </c>
      <c r="F213" s="6">
        <f>IF($D213&gt;0,$E213/$D213,"")</f>
        <v/>
      </c>
      <c r="G213" s="4">
        <f>IF($D213&gt;0,IF($F213&gt;=1,"Qualified",IF($F213&gt;=0.9,"90% Partial Amplify","Not Qualified")),"No qualifier - Amplify open")</f>
        <v/>
      </c>
      <c r="H213" s="4">
        <f>IF($G213&lt;&gt;"Qualified","-",IFERROR(IF($E213&gt;=INDEX('Program Setup'!$C$18:$C$23,MATCH($C213,'Program Setup'!$B$18:$B$23,0)),1,IF($E213&gt;=INDEX('Program Setup'!$D$18:$D$23,MATCH($C213,'Program Setup'!$B$18:$B$23,0)),2,IF($E213&gt;=INDEX('Program Setup'!$E$18:$E$23,MATCH($C213,'Program Setup'!$B$18:$B$23,0)),3,"-"))),"-"))</f>
        <v/>
      </c>
      <c r="I213" s="7">
        <f>IF(ISNUMBER($H213),INDEX('Program Setup'!$B$6:$B$8,MATCH($H213,'Program Setup'!$A$6:$A$8,0)),0)</f>
        <v/>
      </c>
      <c r="J213" s="8">
        <f>SUMIFS('Amplify Detail'!$E$5:$E$496,'Amplify Detail'!$A$5:$A$496,$A213,'Amplify Detail'!$C$5:$C$496,$C213)</f>
        <v/>
      </c>
      <c r="K213" s="8">
        <f>SUMIFS('Amplify Detail'!$F$5:$F$496,'Amplify Detail'!$A$5:$A$496,$A213,'Amplify Detail'!$C$5:$C$496,$C213)</f>
        <v/>
      </c>
      <c r="L213" s="8">
        <f>SUMIFS('Amplify Detail'!$G$5:$G$496,'Amplify Detail'!$A$5:$A$496,$A213,'Amplify Detail'!$C$5:$C$496,$C213)</f>
        <v/>
      </c>
      <c r="M213" s="7">
        <f>SUMIFS('Amplify Detail'!$J$5:$J$496,'Amplify Detail'!$A$5:$A$496,$A213,'Amplify Detail'!$C$5:$C$496,$C213)</f>
        <v/>
      </c>
      <c r="N213" s="7">
        <f>$I213+$M213</f>
        <v/>
      </c>
      <c r="O213" s="9">
        <f>IF($G213="No qualifier - Amplify open",1,IFERROR(INDEX('Program Setup'!$B$12:$B$14,MATCH($G213,'Program Setup'!$A$12:$A$14,0)),0))</f>
        <v/>
      </c>
      <c r="P213" s="4">
        <f>$A213&amp;"|"&amp;$C213</f>
        <v/>
      </c>
    </row>
    <row r="214">
      <c r="A214" s="4" t="inlineStr">
        <is>
          <t>Phil Ernst</t>
        </is>
      </c>
      <c r="B214" s="4" t="inlineStr">
        <is>
          <t>Mike Engel</t>
        </is>
      </c>
      <c r="C214" s="4" t="inlineStr">
        <is>
          <t>New Belgium Brewing Company</t>
        </is>
      </c>
      <c r="D214" s="5" t="n"/>
      <c r="E214" s="5" t="n"/>
      <c r="F214" s="6">
        <f>IF($D214&gt;0,$E214/$D214,"")</f>
        <v/>
      </c>
      <c r="G214" s="4">
        <f>IF($D214&gt;0,IF($F214&gt;=1,"Qualified",IF($F214&gt;=0.9,"90% Partial Amplify","Not Qualified")),"No qualifier - Amplify open")</f>
        <v/>
      </c>
      <c r="H214" s="4">
        <f>IF($G214&lt;&gt;"Qualified","-",IFERROR(IF($E214&gt;=INDEX('Program Setup'!$C$18:$C$23,MATCH($C214,'Program Setup'!$B$18:$B$23,0)),1,IF($E214&gt;=INDEX('Program Setup'!$D$18:$D$23,MATCH($C214,'Program Setup'!$B$18:$B$23,0)),2,IF($E214&gt;=INDEX('Program Setup'!$E$18:$E$23,MATCH($C214,'Program Setup'!$B$18:$B$23,0)),3,"-"))),"-"))</f>
        <v/>
      </c>
      <c r="I214" s="7">
        <f>IF(ISNUMBER($H214),INDEX('Program Setup'!$B$6:$B$8,MATCH($H214,'Program Setup'!$A$6:$A$8,0)),0)</f>
        <v/>
      </c>
      <c r="J214" s="8">
        <f>SUMIFS('Amplify Detail'!$E$5:$E$496,'Amplify Detail'!$A$5:$A$496,$A214,'Amplify Detail'!$C$5:$C$496,$C214)</f>
        <v/>
      </c>
      <c r="K214" s="8">
        <f>SUMIFS('Amplify Detail'!$F$5:$F$496,'Amplify Detail'!$A$5:$A$496,$A214,'Amplify Detail'!$C$5:$C$496,$C214)</f>
        <v/>
      </c>
      <c r="L214" s="8">
        <f>SUMIFS('Amplify Detail'!$G$5:$G$496,'Amplify Detail'!$A$5:$A$496,$A214,'Amplify Detail'!$C$5:$C$496,$C214)</f>
        <v/>
      </c>
      <c r="M214" s="7">
        <f>SUMIFS('Amplify Detail'!$J$5:$J$496,'Amplify Detail'!$A$5:$A$496,$A214,'Amplify Detail'!$C$5:$C$496,$C214)</f>
        <v/>
      </c>
      <c r="N214" s="7">
        <f>$I214+$M214</f>
        <v/>
      </c>
      <c r="O214" s="9">
        <f>IF($G214="No qualifier - Amplify open",1,IFERROR(INDEX('Program Setup'!$B$12:$B$14,MATCH($G214,'Program Setup'!$A$12:$A$14,0)),0))</f>
        <v/>
      </c>
      <c r="P214" s="4">
        <f>$A214&amp;"|"&amp;$C214</f>
        <v/>
      </c>
    </row>
    <row r="215">
      <c r="A215" s="4" t="inlineStr">
        <is>
          <t>Phil Ernst</t>
        </is>
      </c>
      <c r="B215" s="4" t="inlineStr">
        <is>
          <t>Mike Engel</t>
        </is>
      </c>
      <c r="C215" s="4" t="inlineStr">
        <is>
          <t>Sapporo</t>
        </is>
      </c>
      <c r="D215" s="5" t="n"/>
      <c r="E215" s="5" t="n"/>
      <c r="F215" s="6">
        <f>IF($D215&gt;0,$E215/$D215,"")</f>
        <v/>
      </c>
      <c r="G215" s="4">
        <f>IF($D215&gt;0,IF($F215&gt;=1,"Qualified",IF($F215&gt;=0.9,"90% Partial Amplify","Not Qualified")),"No qualifier - Amplify open")</f>
        <v/>
      </c>
      <c r="H215" s="4">
        <f>IF($G215&lt;&gt;"Qualified","-",IFERROR(IF($E215&gt;=INDEX('Program Setup'!$C$18:$C$23,MATCH($C215,'Program Setup'!$B$18:$B$23,0)),1,IF($E215&gt;=INDEX('Program Setup'!$D$18:$D$23,MATCH($C215,'Program Setup'!$B$18:$B$23,0)),2,IF($E215&gt;=INDEX('Program Setup'!$E$18:$E$23,MATCH($C215,'Program Setup'!$B$18:$B$23,0)),3,"-"))),"-"))</f>
        <v/>
      </c>
      <c r="I215" s="7">
        <f>IF(ISNUMBER($H215),INDEX('Program Setup'!$B$6:$B$8,MATCH($H215,'Program Setup'!$A$6:$A$8,0)),0)</f>
        <v/>
      </c>
      <c r="J215" s="8">
        <f>SUMIFS('Amplify Detail'!$E$5:$E$496,'Amplify Detail'!$A$5:$A$496,$A215,'Amplify Detail'!$C$5:$C$496,$C215)</f>
        <v/>
      </c>
      <c r="K215" s="8">
        <f>SUMIFS('Amplify Detail'!$F$5:$F$496,'Amplify Detail'!$A$5:$A$496,$A215,'Amplify Detail'!$C$5:$C$496,$C215)</f>
        <v/>
      </c>
      <c r="L215" s="8">
        <f>SUMIFS('Amplify Detail'!$G$5:$G$496,'Amplify Detail'!$A$5:$A$496,$A215,'Amplify Detail'!$C$5:$C$496,$C215)</f>
        <v/>
      </c>
      <c r="M215" s="7">
        <f>SUMIFS('Amplify Detail'!$J$5:$J$496,'Amplify Detail'!$A$5:$A$496,$A215,'Amplify Detail'!$C$5:$C$496,$C215)</f>
        <v/>
      </c>
      <c r="N215" s="7">
        <f>$I215+$M215</f>
        <v/>
      </c>
      <c r="O215" s="9">
        <f>IF($G215="No qualifier - Amplify open",1,IFERROR(INDEX('Program Setup'!$B$12:$B$14,MATCH($G215,'Program Setup'!$A$12:$A$14,0)),0))</f>
        <v/>
      </c>
      <c r="P215" s="4">
        <f>$A215&amp;"|"&amp;$C215</f>
        <v/>
      </c>
    </row>
    <row r="216">
      <c r="A216" s="4" t="inlineStr">
        <is>
          <t>Robin Feldman</t>
        </is>
      </c>
      <c r="B216" s="4" t="inlineStr">
        <is>
          <t>Chris McCrohan</t>
        </is>
      </c>
      <c r="C216" s="4" t="inlineStr">
        <is>
          <t>Boston Beer Company</t>
        </is>
      </c>
      <c r="D216" s="5" t="n">
        <v>155</v>
      </c>
      <c r="E216" s="5" t="n">
        <v>173</v>
      </c>
      <c r="F216" s="6">
        <f>IF($D216&gt;0,$E216/$D216,"")</f>
        <v/>
      </c>
      <c r="G216" s="4">
        <f>IF($D216&gt;0,IF($F216&gt;=1,"Qualified",IF($F216&gt;=0.9,"90% Partial Amplify","Not Qualified")),"No qualifier - Amplify open")</f>
        <v/>
      </c>
      <c r="H216" s="4">
        <f>IF($G216&lt;&gt;"Qualified","-",IFERROR(IF($E216&gt;=INDEX('Program Setup'!$C$18:$C$23,MATCH($C216,'Program Setup'!$B$18:$B$23,0)),1,IF($E216&gt;=INDEX('Program Setup'!$D$18:$D$23,MATCH($C216,'Program Setup'!$B$18:$B$23,0)),2,IF($E216&gt;=INDEX('Program Setup'!$E$18:$E$23,MATCH($C216,'Program Setup'!$B$18:$B$23,0)),3,"-"))),"-"))</f>
        <v/>
      </c>
      <c r="I216" s="7">
        <f>IF(ISNUMBER($H216),INDEX('Program Setup'!$B$6:$B$8,MATCH($H216,'Program Setup'!$A$6:$A$8,0)),0)</f>
        <v/>
      </c>
      <c r="J216" s="8">
        <f>SUMIFS('Amplify Detail'!$E$5:$E$496,'Amplify Detail'!$A$5:$A$496,$A216,'Amplify Detail'!$C$5:$C$496,$C216)</f>
        <v/>
      </c>
      <c r="K216" s="8">
        <f>SUMIFS('Amplify Detail'!$F$5:$F$496,'Amplify Detail'!$A$5:$A$496,$A216,'Amplify Detail'!$C$5:$C$496,$C216)</f>
        <v/>
      </c>
      <c r="L216" s="8">
        <f>SUMIFS('Amplify Detail'!$G$5:$G$496,'Amplify Detail'!$A$5:$A$496,$A216,'Amplify Detail'!$C$5:$C$496,$C216)</f>
        <v/>
      </c>
      <c r="M216" s="7">
        <f>SUMIFS('Amplify Detail'!$J$5:$J$496,'Amplify Detail'!$A$5:$A$496,$A216,'Amplify Detail'!$C$5:$C$496,$C216)</f>
        <v/>
      </c>
      <c r="N216" s="7">
        <f>$I216+$M216</f>
        <v/>
      </c>
      <c r="O216" s="9">
        <f>IF($G216="No qualifier - Amplify open",1,IFERROR(INDEX('Program Setup'!$B$12:$B$14,MATCH($G216,'Program Setup'!$A$12:$A$14,0)),0))</f>
        <v/>
      </c>
      <c r="P216" s="4">
        <f>$A216&amp;"|"&amp;$C216</f>
        <v/>
      </c>
    </row>
    <row r="217">
      <c r="A217" s="4" t="inlineStr">
        <is>
          <t>Robin Feldman</t>
        </is>
      </c>
      <c r="B217" s="4" t="inlineStr">
        <is>
          <t>Chris McCrohan</t>
        </is>
      </c>
      <c r="C217" s="4" t="inlineStr">
        <is>
          <t>Cape May</t>
        </is>
      </c>
      <c r="D217" s="5" t="n"/>
      <c r="E217" s="5" t="n"/>
      <c r="F217" s="6">
        <f>IF($D217&gt;0,$E217/$D217,"")</f>
        <v/>
      </c>
      <c r="G217" s="4">
        <f>IF($D217&gt;0,IF($F217&gt;=1,"Qualified",IF($F217&gt;=0.9,"90% Partial Amplify","Not Qualified")),"No qualifier - Amplify open")</f>
        <v/>
      </c>
      <c r="H217" s="4">
        <f>IF($G217&lt;&gt;"Qualified","-",IFERROR(IF($E217&gt;=INDEX('Program Setup'!$C$18:$C$23,MATCH($C217,'Program Setup'!$B$18:$B$23,0)),1,IF($E217&gt;=INDEX('Program Setup'!$D$18:$D$23,MATCH($C217,'Program Setup'!$B$18:$B$23,0)),2,IF($E217&gt;=INDEX('Program Setup'!$E$18:$E$23,MATCH($C217,'Program Setup'!$B$18:$B$23,0)),3,"-"))),"-"))</f>
        <v/>
      </c>
      <c r="I217" s="7">
        <f>IF(ISNUMBER($H217),INDEX('Program Setup'!$B$6:$B$8,MATCH($H217,'Program Setup'!$A$6:$A$8,0)),0)</f>
        <v/>
      </c>
      <c r="J217" s="8">
        <f>SUMIFS('Amplify Detail'!$E$5:$E$496,'Amplify Detail'!$A$5:$A$496,$A217,'Amplify Detail'!$C$5:$C$496,$C217)</f>
        <v/>
      </c>
      <c r="K217" s="8">
        <f>SUMIFS('Amplify Detail'!$F$5:$F$496,'Amplify Detail'!$A$5:$A$496,$A217,'Amplify Detail'!$C$5:$C$496,$C217)</f>
        <v/>
      </c>
      <c r="L217" s="8">
        <f>SUMIFS('Amplify Detail'!$G$5:$G$496,'Amplify Detail'!$A$5:$A$496,$A217,'Amplify Detail'!$C$5:$C$496,$C217)</f>
        <v/>
      </c>
      <c r="M217" s="7">
        <f>SUMIFS('Amplify Detail'!$J$5:$J$496,'Amplify Detail'!$A$5:$A$496,$A217,'Amplify Detail'!$C$5:$C$496,$C217)</f>
        <v/>
      </c>
      <c r="N217" s="7">
        <f>$I217+$M217</f>
        <v/>
      </c>
      <c r="O217" s="9">
        <f>IF($G217="No qualifier - Amplify open",1,IFERROR(INDEX('Program Setup'!$B$12:$B$14,MATCH($G217,'Program Setup'!$A$12:$A$14,0)),0))</f>
        <v/>
      </c>
      <c r="P217" s="4">
        <f>$A217&amp;"|"&amp;$C217</f>
        <v/>
      </c>
    </row>
    <row r="218">
      <c r="A218" s="4" t="inlineStr">
        <is>
          <t>Robin Feldman</t>
        </is>
      </c>
      <c r="B218" s="4" t="inlineStr">
        <is>
          <t>Chris McCrohan</t>
        </is>
      </c>
      <c r="C218" s="4" t="inlineStr">
        <is>
          <t>Constellation Brands</t>
        </is>
      </c>
      <c r="D218" s="5" t="n">
        <v>2022</v>
      </c>
      <c r="E218" s="5" t="n">
        <v>2158</v>
      </c>
      <c r="F218" s="6">
        <f>IF($D218&gt;0,$E218/$D218,"")</f>
        <v/>
      </c>
      <c r="G218" s="4">
        <f>IF($D218&gt;0,IF($F218&gt;=1,"Qualified",IF($F218&gt;=0.9,"90% Partial Amplify","Not Qualified")),"No qualifier - Amplify open")</f>
        <v/>
      </c>
      <c r="H218" s="4">
        <f>IF($G218&lt;&gt;"Qualified","-",IFERROR(IF($E218&gt;=INDEX('Program Setup'!$C$18:$C$23,MATCH($C218,'Program Setup'!$B$18:$B$23,0)),1,IF($E218&gt;=INDEX('Program Setup'!$D$18:$D$23,MATCH($C218,'Program Setup'!$B$18:$B$23,0)),2,IF($E218&gt;=INDEX('Program Setup'!$E$18:$E$23,MATCH($C218,'Program Setup'!$B$18:$B$23,0)),3,"-"))),"-"))</f>
        <v/>
      </c>
      <c r="I218" s="7">
        <f>IF(ISNUMBER($H218),INDEX('Program Setup'!$B$6:$B$8,MATCH($H218,'Program Setup'!$A$6:$A$8,0)),0)</f>
        <v/>
      </c>
      <c r="J218" s="8">
        <f>SUMIFS('Amplify Detail'!$E$5:$E$496,'Amplify Detail'!$A$5:$A$496,$A218,'Amplify Detail'!$C$5:$C$496,$C218)</f>
        <v/>
      </c>
      <c r="K218" s="8">
        <f>SUMIFS('Amplify Detail'!$F$5:$F$496,'Amplify Detail'!$A$5:$A$496,$A218,'Amplify Detail'!$C$5:$C$496,$C218)</f>
        <v/>
      </c>
      <c r="L218" s="8">
        <f>SUMIFS('Amplify Detail'!$G$5:$G$496,'Amplify Detail'!$A$5:$A$496,$A218,'Amplify Detail'!$C$5:$C$496,$C218)</f>
        <v/>
      </c>
      <c r="M218" s="7">
        <f>SUMIFS('Amplify Detail'!$J$5:$J$496,'Amplify Detail'!$A$5:$A$496,$A218,'Amplify Detail'!$C$5:$C$496,$C218)</f>
        <v/>
      </c>
      <c r="N218" s="7">
        <f>$I218+$M218</f>
        <v/>
      </c>
      <c r="O218" s="9">
        <f>IF($G218="No qualifier - Amplify open",1,IFERROR(INDEX('Program Setup'!$B$12:$B$14,MATCH($G218,'Program Setup'!$A$12:$A$14,0)),0))</f>
        <v/>
      </c>
      <c r="P218" s="4">
        <f>$A218&amp;"|"&amp;$C218</f>
        <v/>
      </c>
    </row>
    <row r="219">
      <c r="A219" s="4" t="inlineStr">
        <is>
          <t>Robin Feldman</t>
        </is>
      </c>
      <c r="B219" s="4" t="inlineStr">
        <is>
          <t>Chris McCrohan</t>
        </is>
      </c>
      <c r="C219" s="4" t="inlineStr">
        <is>
          <t>DG Yuengling Inc</t>
        </is>
      </c>
      <c r="D219" s="5" t="n">
        <v>1069</v>
      </c>
      <c r="E219" s="5" t="n">
        <v>1021</v>
      </c>
      <c r="F219" s="6">
        <f>IF($D219&gt;0,$E219/$D219,"")</f>
        <v/>
      </c>
      <c r="G219" s="4">
        <f>IF($D219&gt;0,IF($F219&gt;=1,"Qualified",IF($F219&gt;=0.9,"90% Partial Amplify","Not Qualified")),"No qualifier - Amplify open")</f>
        <v/>
      </c>
      <c r="H219" s="4">
        <f>IF($G219&lt;&gt;"Qualified","-",IFERROR(IF($E219&gt;=INDEX('Program Setup'!$C$18:$C$23,MATCH($C219,'Program Setup'!$B$18:$B$23,0)),1,IF($E219&gt;=INDEX('Program Setup'!$D$18:$D$23,MATCH($C219,'Program Setup'!$B$18:$B$23,0)),2,IF($E219&gt;=INDEX('Program Setup'!$E$18:$E$23,MATCH($C219,'Program Setup'!$B$18:$B$23,0)),3,"-"))),"-"))</f>
        <v/>
      </c>
      <c r="I219" s="7">
        <f>IF(ISNUMBER($H219),INDEX('Program Setup'!$B$6:$B$8,MATCH($H219,'Program Setup'!$A$6:$A$8,0)),0)</f>
        <v/>
      </c>
      <c r="J219" s="8">
        <f>SUMIFS('Amplify Detail'!$E$5:$E$496,'Amplify Detail'!$A$5:$A$496,$A219,'Amplify Detail'!$C$5:$C$496,$C219)</f>
        <v/>
      </c>
      <c r="K219" s="8">
        <f>SUMIFS('Amplify Detail'!$F$5:$F$496,'Amplify Detail'!$A$5:$A$496,$A219,'Amplify Detail'!$C$5:$C$496,$C219)</f>
        <v/>
      </c>
      <c r="L219" s="8">
        <f>SUMIFS('Amplify Detail'!$G$5:$G$496,'Amplify Detail'!$A$5:$A$496,$A219,'Amplify Detail'!$C$5:$C$496,$C219)</f>
        <v/>
      </c>
      <c r="M219" s="7">
        <f>SUMIFS('Amplify Detail'!$J$5:$J$496,'Amplify Detail'!$A$5:$A$496,$A219,'Amplify Detail'!$C$5:$C$496,$C219)</f>
        <v/>
      </c>
      <c r="N219" s="7">
        <f>$I219+$M219</f>
        <v/>
      </c>
      <c r="O219" s="9">
        <f>IF($G219="No qualifier - Amplify open",1,IFERROR(INDEX('Program Setup'!$B$12:$B$14,MATCH($G219,'Program Setup'!$A$12:$A$14,0)),0))</f>
        <v/>
      </c>
      <c r="P219" s="4">
        <f>$A219&amp;"|"&amp;$C219</f>
        <v/>
      </c>
    </row>
    <row r="220">
      <c r="A220" s="4" t="inlineStr">
        <is>
          <t>Robin Feldman</t>
        </is>
      </c>
      <c r="B220" s="4" t="inlineStr">
        <is>
          <t>Chris McCrohan</t>
        </is>
      </c>
      <c r="C220" s="4" t="inlineStr">
        <is>
          <t>Heineken USA</t>
        </is>
      </c>
      <c r="D220" s="5" t="n">
        <v>571</v>
      </c>
      <c r="E220" s="5" t="n">
        <v>631</v>
      </c>
      <c r="F220" s="6">
        <f>IF($D220&gt;0,$E220/$D220,"")</f>
        <v/>
      </c>
      <c r="G220" s="4">
        <f>IF($D220&gt;0,IF($F220&gt;=1,"Qualified",IF($F220&gt;=0.9,"90% Partial Amplify","Not Qualified")),"No qualifier - Amplify open")</f>
        <v/>
      </c>
      <c r="H220" s="4">
        <f>IF($G220&lt;&gt;"Qualified","-",IFERROR(IF($E220&gt;=INDEX('Program Setup'!$C$18:$C$23,MATCH($C220,'Program Setup'!$B$18:$B$23,0)),1,IF($E220&gt;=INDEX('Program Setup'!$D$18:$D$23,MATCH($C220,'Program Setup'!$B$18:$B$23,0)),2,IF($E220&gt;=INDEX('Program Setup'!$E$18:$E$23,MATCH($C220,'Program Setup'!$B$18:$B$23,0)),3,"-"))),"-"))</f>
        <v/>
      </c>
      <c r="I220" s="7">
        <f>IF(ISNUMBER($H220),INDEX('Program Setup'!$B$6:$B$8,MATCH($H220,'Program Setup'!$A$6:$A$8,0)),0)</f>
        <v/>
      </c>
      <c r="J220" s="8">
        <f>SUMIFS('Amplify Detail'!$E$5:$E$496,'Amplify Detail'!$A$5:$A$496,$A220,'Amplify Detail'!$C$5:$C$496,$C220)</f>
        <v/>
      </c>
      <c r="K220" s="8">
        <f>SUMIFS('Amplify Detail'!$F$5:$F$496,'Amplify Detail'!$A$5:$A$496,$A220,'Amplify Detail'!$C$5:$C$496,$C220)</f>
        <v/>
      </c>
      <c r="L220" s="8">
        <f>SUMIFS('Amplify Detail'!$G$5:$G$496,'Amplify Detail'!$A$5:$A$496,$A220,'Amplify Detail'!$C$5:$C$496,$C220)</f>
        <v/>
      </c>
      <c r="M220" s="7">
        <f>SUMIFS('Amplify Detail'!$J$5:$J$496,'Amplify Detail'!$A$5:$A$496,$A220,'Amplify Detail'!$C$5:$C$496,$C220)</f>
        <v/>
      </c>
      <c r="N220" s="7">
        <f>$I220+$M220</f>
        <v/>
      </c>
      <c r="O220" s="9">
        <f>IF($G220="No qualifier - Amplify open",1,IFERROR(INDEX('Program Setup'!$B$12:$B$14,MATCH($G220,'Program Setup'!$A$12:$A$14,0)),0))</f>
        <v/>
      </c>
      <c r="P220" s="4">
        <f>$A220&amp;"|"&amp;$C220</f>
        <v/>
      </c>
    </row>
    <row r="221">
      <c r="A221" s="4" t="inlineStr">
        <is>
          <t>Robin Feldman</t>
        </is>
      </c>
      <c r="B221" s="4" t="inlineStr">
        <is>
          <t>Chris McCrohan</t>
        </is>
      </c>
      <c r="C221" s="4" t="inlineStr">
        <is>
          <t>Mark Anthony</t>
        </is>
      </c>
      <c r="D221" s="5" t="n">
        <v>377</v>
      </c>
      <c r="E221" s="5" t="n">
        <v>479</v>
      </c>
      <c r="F221" s="6">
        <f>IF($D221&gt;0,$E221/$D221,"")</f>
        <v/>
      </c>
      <c r="G221" s="4">
        <f>IF($D221&gt;0,IF($F221&gt;=1,"Qualified",IF($F221&gt;=0.9,"90% Partial Amplify","Not Qualified")),"No qualifier - Amplify open")</f>
        <v/>
      </c>
      <c r="H221" s="4">
        <f>IF($G221&lt;&gt;"Qualified","-",IFERROR(IF($E221&gt;=INDEX('Program Setup'!$C$18:$C$23,MATCH($C221,'Program Setup'!$B$18:$B$23,0)),1,IF($E221&gt;=INDEX('Program Setup'!$D$18:$D$23,MATCH($C221,'Program Setup'!$B$18:$B$23,0)),2,IF($E221&gt;=INDEX('Program Setup'!$E$18:$E$23,MATCH($C221,'Program Setup'!$B$18:$B$23,0)),3,"-"))),"-"))</f>
        <v/>
      </c>
      <c r="I221" s="7">
        <f>IF(ISNUMBER($H221),INDEX('Program Setup'!$B$6:$B$8,MATCH($H221,'Program Setup'!$A$6:$A$8,0)),0)</f>
        <v/>
      </c>
      <c r="J221" s="8">
        <f>SUMIFS('Amplify Detail'!$E$5:$E$496,'Amplify Detail'!$A$5:$A$496,$A221,'Amplify Detail'!$C$5:$C$496,$C221)</f>
        <v/>
      </c>
      <c r="K221" s="8">
        <f>SUMIFS('Amplify Detail'!$F$5:$F$496,'Amplify Detail'!$A$5:$A$496,$A221,'Amplify Detail'!$C$5:$C$496,$C221)</f>
        <v/>
      </c>
      <c r="L221" s="8">
        <f>SUMIFS('Amplify Detail'!$G$5:$G$496,'Amplify Detail'!$A$5:$A$496,$A221,'Amplify Detail'!$C$5:$C$496,$C221)</f>
        <v/>
      </c>
      <c r="M221" s="7">
        <f>SUMIFS('Amplify Detail'!$J$5:$J$496,'Amplify Detail'!$A$5:$A$496,$A221,'Amplify Detail'!$C$5:$C$496,$C221)</f>
        <v/>
      </c>
      <c r="N221" s="7">
        <f>$I221+$M221</f>
        <v/>
      </c>
      <c r="O221" s="9">
        <f>IF($G221="No qualifier - Amplify open",1,IFERROR(INDEX('Program Setup'!$B$12:$B$14,MATCH($G221,'Program Setup'!$A$12:$A$14,0)),0))</f>
        <v/>
      </c>
      <c r="P221" s="4">
        <f>$A221&amp;"|"&amp;$C221</f>
        <v/>
      </c>
    </row>
    <row r="222">
      <c r="A222" s="4" t="inlineStr">
        <is>
          <t>Robin Feldman</t>
        </is>
      </c>
      <c r="B222" s="4" t="inlineStr">
        <is>
          <t>Chris McCrohan</t>
        </is>
      </c>
      <c r="C222" s="4" t="inlineStr">
        <is>
          <t>MolsonCoors Beverage Company</t>
        </is>
      </c>
      <c r="D222" s="5" t="n">
        <v>6203</v>
      </c>
      <c r="E222" s="5" t="n">
        <v>6000</v>
      </c>
      <c r="F222" s="6">
        <f>IF($D222&gt;0,$E222/$D222,"")</f>
        <v/>
      </c>
      <c r="G222" s="4">
        <f>IF($D222&gt;0,IF($F222&gt;=1,"Qualified",IF($F222&gt;=0.9,"90% Partial Amplify","Not Qualified")),"No qualifier - Amplify open")</f>
        <v/>
      </c>
      <c r="H222" s="4">
        <f>IF($G222&lt;&gt;"Qualified","-",IFERROR(IF($E222&gt;=INDEX('Program Setup'!$C$18:$C$23,MATCH($C222,'Program Setup'!$B$18:$B$23,0)),1,IF($E222&gt;=INDEX('Program Setup'!$D$18:$D$23,MATCH($C222,'Program Setup'!$B$18:$B$23,0)),2,IF($E222&gt;=INDEX('Program Setup'!$E$18:$E$23,MATCH($C222,'Program Setup'!$B$18:$B$23,0)),3,"-"))),"-"))</f>
        <v/>
      </c>
      <c r="I222" s="7">
        <f>IF(ISNUMBER($H222),INDEX('Program Setup'!$B$6:$B$8,MATCH($H222,'Program Setup'!$A$6:$A$8,0)),0)</f>
        <v/>
      </c>
      <c r="J222" s="8">
        <f>SUMIFS('Amplify Detail'!$E$5:$E$496,'Amplify Detail'!$A$5:$A$496,$A222,'Amplify Detail'!$C$5:$C$496,$C222)</f>
        <v/>
      </c>
      <c r="K222" s="8">
        <f>SUMIFS('Amplify Detail'!$F$5:$F$496,'Amplify Detail'!$A$5:$A$496,$A222,'Amplify Detail'!$C$5:$C$496,$C222)</f>
        <v/>
      </c>
      <c r="L222" s="8">
        <f>SUMIFS('Amplify Detail'!$G$5:$G$496,'Amplify Detail'!$A$5:$A$496,$A222,'Amplify Detail'!$C$5:$C$496,$C222)</f>
        <v/>
      </c>
      <c r="M222" s="7">
        <f>SUMIFS('Amplify Detail'!$J$5:$J$496,'Amplify Detail'!$A$5:$A$496,$A222,'Amplify Detail'!$C$5:$C$496,$C222)</f>
        <v/>
      </c>
      <c r="N222" s="7">
        <f>$I222+$M222</f>
        <v/>
      </c>
      <c r="O222" s="9">
        <f>IF($G222="No qualifier - Amplify open",1,IFERROR(INDEX('Program Setup'!$B$12:$B$14,MATCH($G222,'Program Setup'!$A$12:$A$14,0)),0))</f>
        <v/>
      </c>
      <c r="P222" s="4">
        <f>$A222&amp;"|"&amp;$C222</f>
        <v/>
      </c>
    </row>
    <row r="223">
      <c r="A223" s="4" t="inlineStr">
        <is>
          <t>Robin Feldman</t>
        </is>
      </c>
      <c r="B223" s="4" t="inlineStr">
        <is>
          <t>Chris McCrohan</t>
        </is>
      </c>
      <c r="C223" s="4" t="inlineStr">
        <is>
          <t>New Belgium Brewing Company</t>
        </is>
      </c>
      <c r="D223" s="5" t="n"/>
      <c r="E223" s="5" t="n"/>
      <c r="F223" s="6">
        <f>IF($D223&gt;0,$E223/$D223,"")</f>
        <v/>
      </c>
      <c r="G223" s="4">
        <f>IF($D223&gt;0,IF($F223&gt;=1,"Qualified",IF($F223&gt;=0.9,"90% Partial Amplify","Not Qualified")),"No qualifier - Amplify open")</f>
        <v/>
      </c>
      <c r="H223" s="4">
        <f>IF($G223&lt;&gt;"Qualified","-",IFERROR(IF($E223&gt;=INDEX('Program Setup'!$C$18:$C$23,MATCH($C223,'Program Setup'!$B$18:$B$23,0)),1,IF($E223&gt;=INDEX('Program Setup'!$D$18:$D$23,MATCH($C223,'Program Setup'!$B$18:$B$23,0)),2,IF($E223&gt;=INDEX('Program Setup'!$E$18:$E$23,MATCH($C223,'Program Setup'!$B$18:$B$23,0)),3,"-"))),"-"))</f>
        <v/>
      </c>
      <c r="I223" s="7">
        <f>IF(ISNUMBER($H223),INDEX('Program Setup'!$B$6:$B$8,MATCH($H223,'Program Setup'!$A$6:$A$8,0)),0)</f>
        <v/>
      </c>
      <c r="J223" s="8">
        <f>SUMIFS('Amplify Detail'!$E$5:$E$496,'Amplify Detail'!$A$5:$A$496,$A223,'Amplify Detail'!$C$5:$C$496,$C223)</f>
        <v/>
      </c>
      <c r="K223" s="8">
        <f>SUMIFS('Amplify Detail'!$F$5:$F$496,'Amplify Detail'!$A$5:$A$496,$A223,'Amplify Detail'!$C$5:$C$496,$C223)</f>
        <v/>
      </c>
      <c r="L223" s="8">
        <f>SUMIFS('Amplify Detail'!$G$5:$G$496,'Amplify Detail'!$A$5:$A$496,$A223,'Amplify Detail'!$C$5:$C$496,$C223)</f>
        <v/>
      </c>
      <c r="M223" s="7">
        <f>SUMIFS('Amplify Detail'!$J$5:$J$496,'Amplify Detail'!$A$5:$A$496,$A223,'Amplify Detail'!$C$5:$C$496,$C223)</f>
        <v/>
      </c>
      <c r="N223" s="7">
        <f>$I223+$M223</f>
        <v/>
      </c>
      <c r="O223" s="9">
        <f>IF($G223="No qualifier - Amplify open",1,IFERROR(INDEX('Program Setup'!$B$12:$B$14,MATCH($G223,'Program Setup'!$A$12:$A$14,0)),0))</f>
        <v/>
      </c>
      <c r="P223" s="4">
        <f>$A223&amp;"|"&amp;$C223</f>
        <v/>
      </c>
    </row>
    <row r="224">
      <c r="A224" s="4" t="inlineStr">
        <is>
          <t>Robin Feldman</t>
        </is>
      </c>
      <c r="B224" s="4" t="inlineStr">
        <is>
          <t>Chris McCrohan</t>
        </is>
      </c>
      <c r="C224" s="4" t="inlineStr">
        <is>
          <t>Sapporo</t>
        </is>
      </c>
      <c r="D224" s="5" t="n"/>
      <c r="E224" s="5" t="n"/>
      <c r="F224" s="6">
        <f>IF($D224&gt;0,$E224/$D224,"")</f>
        <v/>
      </c>
      <c r="G224" s="4">
        <f>IF($D224&gt;0,IF($F224&gt;=1,"Qualified",IF($F224&gt;=0.9,"90% Partial Amplify","Not Qualified")),"No qualifier - Amplify open")</f>
        <v/>
      </c>
      <c r="H224" s="4">
        <f>IF($G224&lt;&gt;"Qualified","-",IFERROR(IF($E224&gt;=INDEX('Program Setup'!$C$18:$C$23,MATCH($C224,'Program Setup'!$B$18:$B$23,0)),1,IF($E224&gt;=INDEX('Program Setup'!$D$18:$D$23,MATCH($C224,'Program Setup'!$B$18:$B$23,0)),2,IF($E224&gt;=INDEX('Program Setup'!$E$18:$E$23,MATCH($C224,'Program Setup'!$B$18:$B$23,0)),3,"-"))),"-"))</f>
        <v/>
      </c>
      <c r="I224" s="7">
        <f>IF(ISNUMBER($H224),INDEX('Program Setup'!$B$6:$B$8,MATCH($H224,'Program Setup'!$A$6:$A$8,0)),0)</f>
        <v/>
      </c>
      <c r="J224" s="8">
        <f>SUMIFS('Amplify Detail'!$E$5:$E$496,'Amplify Detail'!$A$5:$A$496,$A224,'Amplify Detail'!$C$5:$C$496,$C224)</f>
        <v/>
      </c>
      <c r="K224" s="8">
        <f>SUMIFS('Amplify Detail'!$F$5:$F$496,'Amplify Detail'!$A$5:$A$496,$A224,'Amplify Detail'!$C$5:$C$496,$C224)</f>
        <v/>
      </c>
      <c r="L224" s="8">
        <f>SUMIFS('Amplify Detail'!$G$5:$G$496,'Amplify Detail'!$A$5:$A$496,$A224,'Amplify Detail'!$C$5:$C$496,$C224)</f>
        <v/>
      </c>
      <c r="M224" s="7">
        <f>SUMIFS('Amplify Detail'!$J$5:$J$496,'Amplify Detail'!$A$5:$A$496,$A224,'Amplify Detail'!$C$5:$C$496,$C224)</f>
        <v/>
      </c>
      <c r="N224" s="7">
        <f>$I224+$M224</f>
        <v/>
      </c>
      <c r="O224" s="9">
        <f>IF($G224="No qualifier - Amplify open",1,IFERROR(INDEX('Program Setup'!$B$12:$B$14,MATCH($G224,'Program Setup'!$A$12:$A$14,0)),0))</f>
        <v/>
      </c>
      <c r="P224" s="4">
        <f>$A224&amp;"|"&amp;$C224</f>
        <v/>
      </c>
    </row>
    <row r="225">
      <c r="A225" s="4" t="inlineStr">
        <is>
          <t>Shane Barreca</t>
        </is>
      </c>
      <c r="B225" s="4" t="inlineStr">
        <is>
          <t>Paul Deady</t>
        </is>
      </c>
      <c r="C225" s="4" t="inlineStr">
        <is>
          <t>Boston Beer Company</t>
        </is>
      </c>
      <c r="D225" s="5" t="n">
        <v>3600</v>
      </c>
      <c r="E225" s="5" t="n">
        <v>2451</v>
      </c>
      <c r="F225" s="6">
        <f>IF($D225&gt;0,$E225/$D225,"")</f>
        <v/>
      </c>
      <c r="G225" s="4">
        <f>IF($D225&gt;0,IF($F225&gt;=1,"Qualified",IF($F225&gt;=0.9,"90% Partial Amplify","Not Qualified")),"No qualifier - Amplify open")</f>
        <v/>
      </c>
      <c r="H225" s="4">
        <f>IF($G225&lt;&gt;"Qualified","-",IFERROR(IF($E225&gt;=INDEX('Program Setup'!$C$18:$C$23,MATCH($C225,'Program Setup'!$B$18:$B$23,0)),1,IF($E225&gt;=INDEX('Program Setup'!$D$18:$D$23,MATCH($C225,'Program Setup'!$B$18:$B$23,0)),2,IF($E225&gt;=INDEX('Program Setup'!$E$18:$E$23,MATCH($C225,'Program Setup'!$B$18:$B$23,0)),3,"-"))),"-"))</f>
        <v/>
      </c>
      <c r="I225" s="7">
        <f>IF(ISNUMBER($H225),INDEX('Program Setup'!$B$6:$B$8,MATCH($H225,'Program Setup'!$A$6:$A$8,0)),0)</f>
        <v/>
      </c>
      <c r="J225" s="8">
        <f>SUMIFS('Amplify Detail'!$E$5:$E$496,'Amplify Detail'!$A$5:$A$496,$A225,'Amplify Detail'!$C$5:$C$496,$C225)</f>
        <v/>
      </c>
      <c r="K225" s="8">
        <f>SUMIFS('Amplify Detail'!$F$5:$F$496,'Amplify Detail'!$A$5:$A$496,$A225,'Amplify Detail'!$C$5:$C$496,$C225)</f>
        <v/>
      </c>
      <c r="L225" s="8">
        <f>SUMIFS('Amplify Detail'!$G$5:$G$496,'Amplify Detail'!$A$5:$A$496,$A225,'Amplify Detail'!$C$5:$C$496,$C225)</f>
        <v/>
      </c>
      <c r="M225" s="7">
        <f>SUMIFS('Amplify Detail'!$J$5:$J$496,'Amplify Detail'!$A$5:$A$496,$A225,'Amplify Detail'!$C$5:$C$496,$C225)</f>
        <v/>
      </c>
      <c r="N225" s="7">
        <f>$I225+$M225</f>
        <v/>
      </c>
      <c r="O225" s="9">
        <f>IF($G225="No qualifier - Amplify open",1,IFERROR(INDEX('Program Setup'!$B$12:$B$14,MATCH($G225,'Program Setup'!$A$12:$A$14,0)),0))</f>
        <v/>
      </c>
      <c r="P225" s="4">
        <f>$A225&amp;"|"&amp;$C225</f>
        <v/>
      </c>
    </row>
    <row r="226">
      <c r="A226" s="4" t="inlineStr">
        <is>
          <t>Shane Barreca</t>
        </is>
      </c>
      <c r="B226" s="4" t="inlineStr">
        <is>
          <t>Paul Deady</t>
        </is>
      </c>
      <c r="C226" s="4" t="inlineStr">
        <is>
          <t>Cape May</t>
        </is>
      </c>
      <c r="D226" s="5" t="n"/>
      <c r="E226" s="5" t="n"/>
      <c r="F226" s="6">
        <f>IF($D226&gt;0,$E226/$D226,"")</f>
        <v/>
      </c>
      <c r="G226" s="4">
        <f>IF($D226&gt;0,IF($F226&gt;=1,"Qualified",IF($F226&gt;=0.9,"90% Partial Amplify","Not Qualified")),"No qualifier - Amplify open")</f>
        <v/>
      </c>
      <c r="H226" s="4">
        <f>IF($G226&lt;&gt;"Qualified","-",IFERROR(IF($E226&gt;=INDEX('Program Setup'!$C$18:$C$23,MATCH($C226,'Program Setup'!$B$18:$B$23,0)),1,IF($E226&gt;=INDEX('Program Setup'!$D$18:$D$23,MATCH($C226,'Program Setup'!$B$18:$B$23,0)),2,IF($E226&gt;=INDEX('Program Setup'!$E$18:$E$23,MATCH($C226,'Program Setup'!$B$18:$B$23,0)),3,"-"))),"-"))</f>
        <v/>
      </c>
      <c r="I226" s="7">
        <f>IF(ISNUMBER($H226),INDEX('Program Setup'!$B$6:$B$8,MATCH($H226,'Program Setup'!$A$6:$A$8,0)),0)</f>
        <v/>
      </c>
      <c r="J226" s="8">
        <f>SUMIFS('Amplify Detail'!$E$5:$E$496,'Amplify Detail'!$A$5:$A$496,$A226,'Amplify Detail'!$C$5:$C$496,$C226)</f>
        <v/>
      </c>
      <c r="K226" s="8">
        <f>SUMIFS('Amplify Detail'!$F$5:$F$496,'Amplify Detail'!$A$5:$A$496,$A226,'Amplify Detail'!$C$5:$C$496,$C226)</f>
        <v/>
      </c>
      <c r="L226" s="8">
        <f>SUMIFS('Amplify Detail'!$G$5:$G$496,'Amplify Detail'!$A$5:$A$496,$A226,'Amplify Detail'!$C$5:$C$496,$C226)</f>
        <v/>
      </c>
      <c r="M226" s="7">
        <f>SUMIFS('Amplify Detail'!$J$5:$J$496,'Amplify Detail'!$A$5:$A$496,$A226,'Amplify Detail'!$C$5:$C$496,$C226)</f>
        <v/>
      </c>
      <c r="N226" s="7">
        <f>$I226+$M226</f>
        <v/>
      </c>
      <c r="O226" s="9">
        <f>IF($G226="No qualifier - Amplify open",1,IFERROR(INDEX('Program Setup'!$B$12:$B$14,MATCH($G226,'Program Setup'!$A$12:$A$14,0)),0))</f>
        <v/>
      </c>
      <c r="P226" s="4">
        <f>$A226&amp;"|"&amp;$C226</f>
        <v/>
      </c>
    </row>
    <row r="227">
      <c r="A227" s="4" t="inlineStr">
        <is>
          <t>Shane Barreca</t>
        </is>
      </c>
      <c r="B227" s="4" t="inlineStr">
        <is>
          <t>Paul Deady</t>
        </is>
      </c>
      <c r="C227" s="4" t="inlineStr">
        <is>
          <t>Constellation Brands</t>
        </is>
      </c>
      <c r="D227" s="5" t="n">
        <v>29227</v>
      </c>
      <c r="E227" s="5" t="n">
        <v>30226</v>
      </c>
      <c r="F227" s="6">
        <f>IF($D227&gt;0,$E227/$D227,"")</f>
        <v/>
      </c>
      <c r="G227" s="4">
        <f>IF($D227&gt;0,IF($F227&gt;=1,"Qualified",IF($F227&gt;=0.9,"90% Partial Amplify","Not Qualified")),"No qualifier - Amplify open")</f>
        <v/>
      </c>
      <c r="H227" s="4">
        <f>IF($G227&lt;&gt;"Qualified","-",IFERROR(IF($E227&gt;=INDEX('Program Setup'!$C$18:$C$23,MATCH($C227,'Program Setup'!$B$18:$B$23,0)),1,IF($E227&gt;=INDEX('Program Setup'!$D$18:$D$23,MATCH($C227,'Program Setup'!$B$18:$B$23,0)),2,IF($E227&gt;=INDEX('Program Setup'!$E$18:$E$23,MATCH($C227,'Program Setup'!$B$18:$B$23,0)),3,"-"))),"-"))</f>
        <v/>
      </c>
      <c r="I227" s="7">
        <f>IF(ISNUMBER($H227),INDEX('Program Setup'!$B$6:$B$8,MATCH($H227,'Program Setup'!$A$6:$A$8,0)),0)</f>
        <v/>
      </c>
      <c r="J227" s="8">
        <f>SUMIFS('Amplify Detail'!$E$5:$E$496,'Amplify Detail'!$A$5:$A$496,$A227,'Amplify Detail'!$C$5:$C$496,$C227)</f>
        <v/>
      </c>
      <c r="K227" s="8">
        <f>SUMIFS('Amplify Detail'!$F$5:$F$496,'Amplify Detail'!$A$5:$A$496,$A227,'Amplify Detail'!$C$5:$C$496,$C227)</f>
        <v/>
      </c>
      <c r="L227" s="8">
        <f>SUMIFS('Amplify Detail'!$G$5:$G$496,'Amplify Detail'!$A$5:$A$496,$A227,'Amplify Detail'!$C$5:$C$496,$C227)</f>
        <v/>
      </c>
      <c r="M227" s="7">
        <f>SUMIFS('Amplify Detail'!$J$5:$J$496,'Amplify Detail'!$A$5:$A$496,$A227,'Amplify Detail'!$C$5:$C$496,$C227)</f>
        <v/>
      </c>
      <c r="N227" s="7">
        <f>$I227+$M227</f>
        <v/>
      </c>
      <c r="O227" s="9">
        <f>IF($G227="No qualifier - Amplify open",1,IFERROR(INDEX('Program Setup'!$B$12:$B$14,MATCH($G227,'Program Setup'!$A$12:$A$14,0)),0))</f>
        <v/>
      </c>
      <c r="P227" s="4">
        <f>$A227&amp;"|"&amp;$C227</f>
        <v/>
      </c>
    </row>
    <row r="228">
      <c r="A228" s="4" t="inlineStr">
        <is>
          <t>Shane Barreca</t>
        </is>
      </c>
      <c r="B228" s="4" t="inlineStr">
        <is>
          <t>Paul Deady</t>
        </is>
      </c>
      <c r="C228" s="4" t="inlineStr">
        <is>
          <t>DG Yuengling Inc</t>
        </is>
      </c>
      <c r="D228" s="5" t="n">
        <v>3635</v>
      </c>
      <c r="E228" s="5" t="n">
        <v>3714</v>
      </c>
      <c r="F228" s="6">
        <f>IF($D228&gt;0,$E228/$D228,"")</f>
        <v/>
      </c>
      <c r="G228" s="4">
        <f>IF($D228&gt;0,IF($F228&gt;=1,"Qualified",IF($F228&gt;=0.9,"90% Partial Amplify","Not Qualified")),"No qualifier - Amplify open")</f>
        <v/>
      </c>
      <c r="H228" s="4">
        <f>IF($G228&lt;&gt;"Qualified","-",IFERROR(IF($E228&gt;=INDEX('Program Setup'!$C$18:$C$23,MATCH($C228,'Program Setup'!$B$18:$B$23,0)),1,IF($E228&gt;=INDEX('Program Setup'!$D$18:$D$23,MATCH($C228,'Program Setup'!$B$18:$B$23,0)),2,IF($E228&gt;=INDEX('Program Setup'!$E$18:$E$23,MATCH($C228,'Program Setup'!$B$18:$B$23,0)),3,"-"))),"-"))</f>
        <v/>
      </c>
      <c r="I228" s="7">
        <f>IF(ISNUMBER($H228),INDEX('Program Setup'!$B$6:$B$8,MATCH($H228,'Program Setup'!$A$6:$A$8,0)),0)</f>
        <v/>
      </c>
      <c r="J228" s="8">
        <f>SUMIFS('Amplify Detail'!$E$5:$E$496,'Amplify Detail'!$A$5:$A$496,$A228,'Amplify Detail'!$C$5:$C$496,$C228)</f>
        <v/>
      </c>
      <c r="K228" s="8">
        <f>SUMIFS('Amplify Detail'!$F$5:$F$496,'Amplify Detail'!$A$5:$A$496,$A228,'Amplify Detail'!$C$5:$C$496,$C228)</f>
        <v/>
      </c>
      <c r="L228" s="8">
        <f>SUMIFS('Amplify Detail'!$G$5:$G$496,'Amplify Detail'!$A$5:$A$496,$A228,'Amplify Detail'!$C$5:$C$496,$C228)</f>
        <v/>
      </c>
      <c r="M228" s="7">
        <f>SUMIFS('Amplify Detail'!$J$5:$J$496,'Amplify Detail'!$A$5:$A$496,$A228,'Amplify Detail'!$C$5:$C$496,$C228)</f>
        <v/>
      </c>
      <c r="N228" s="7">
        <f>$I228+$M228</f>
        <v/>
      </c>
      <c r="O228" s="9">
        <f>IF($G228="No qualifier - Amplify open",1,IFERROR(INDEX('Program Setup'!$B$12:$B$14,MATCH($G228,'Program Setup'!$A$12:$A$14,0)),0))</f>
        <v/>
      </c>
      <c r="P228" s="4">
        <f>$A228&amp;"|"&amp;$C228</f>
        <v/>
      </c>
    </row>
    <row r="229">
      <c r="A229" s="4" t="inlineStr">
        <is>
          <t>Shane Barreca</t>
        </is>
      </c>
      <c r="B229" s="4" t="inlineStr">
        <is>
          <t>Paul Deady</t>
        </is>
      </c>
      <c r="C229" s="4" t="inlineStr">
        <is>
          <t>Heineken USA</t>
        </is>
      </c>
      <c r="D229" s="5" t="n">
        <v>6139</v>
      </c>
      <c r="E229" s="5" t="n">
        <v>5708</v>
      </c>
      <c r="F229" s="6">
        <f>IF($D229&gt;0,$E229/$D229,"")</f>
        <v/>
      </c>
      <c r="G229" s="4">
        <f>IF($D229&gt;0,IF($F229&gt;=1,"Qualified",IF($F229&gt;=0.9,"90% Partial Amplify","Not Qualified")),"No qualifier - Amplify open")</f>
        <v/>
      </c>
      <c r="H229" s="4">
        <f>IF($G229&lt;&gt;"Qualified","-",IFERROR(IF($E229&gt;=INDEX('Program Setup'!$C$18:$C$23,MATCH($C229,'Program Setup'!$B$18:$B$23,0)),1,IF($E229&gt;=INDEX('Program Setup'!$D$18:$D$23,MATCH($C229,'Program Setup'!$B$18:$B$23,0)),2,IF($E229&gt;=INDEX('Program Setup'!$E$18:$E$23,MATCH($C229,'Program Setup'!$B$18:$B$23,0)),3,"-"))),"-"))</f>
        <v/>
      </c>
      <c r="I229" s="7">
        <f>IF(ISNUMBER($H229),INDEX('Program Setup'!$B$6:$B$8,MATCH($H229,'Program Setup'!$A$6:$A$8,0)),0)</f>
        <v/>
      </c>
      <c r="J229" s="8">
        <f>SUMIFS('Amplify Detail'!$E$5:$E$496,'Amplify Detail'!$A$5:$A$496,$A229,'Amplify Detail'!$C$5:$C$496,$C229)</f>
        <v/>
      </c>
      <c r="K229" s="8">
        <f>SUMIFS('Amplify Detail'!$F$5:$F$496,'Amplify Detail'!$A$5:$A$496,$A229,'Amplify Detail'!$C$5:$C$496,$C229)</f>
        <v/>
      </c>
      <c r="L229" s="8">
        <f>SUMIFS('Amplify Detail'!$G$5:$G$496,'Amplify Detail'!$A$5:$A$496,$A229,'Amplify Detail'!$C$5:$C$496,$C229)</f>
        <v/>
      </c>
      <c r="M229" s="7">
        <f>SUMIFS('Amplify Detail'!$J$5:$J$496,'Amplify Detail'!$A$5:$A$496,$A229,'Amplify Detail'!$C$5:$C$496,$C229)</f>
        <v/>
      </c>
      <c r="N229" s="7">
        <f>$I229+$M229</f>
        <v/>
      </c>
      <c r="O229" s="9">
        <f>IF($G229="No qualifier - Amplify open",1,IFERROR(INDEX('Program Setup'!$B$12:$B$14,MATCH($G229,'Program Setup'!$A$12:$A$14,0)),0))</f>
        <v/>
      </c>
      <c r="P229" s="4">
        <f>$A229&amp;"|"&amp;$C229</f>
        <v/>
      </c>
    </row>
    <row r="230">
      <c r="A230" s="4" t="inlineStr">
        <is>
          <t>Shane Barreca</t>
        </is>
      </c>
      <c r="B230" s="4" t="inlineStr">
        <is>
          <t>Paul Deady</t>
        </is>
      </c>
      <c r="C230" s="4" t="inlineStr">
        <is>
          <t>Mark Anthony</t>
        </is>
      </c>
      <c r="D230" s="5" t="n">
        <v>7783</v>
      </c>
      <c r="E230" s="5" t="n">
        <v>8105</v>
      </c>
      <c r="F230" s="6">
        <f>IF($D230&gt;0,$E230/$D230,"")</f>
        <v/>
      </c>
      <c r="G230" s="4">
        <f>IF($D230&gt;0,IF($F230&gt;=1,"Qualified",IF($F230&gt;=0.9,"90% Partial Amplify","Not Qualified")),"No qualifier - Amplify open")</f>
        <v/>
      </c>
      <c r="H230" s="4">
        <f>IF($G230&lt;&gt;"Qualified","-",IFERROR(IF($E230&gt;=INDEX('Program Setup'!$C$18:$C$23,MATCH($C230,'Program Setup'!$B$18:$B$23,0)),1,IF($E230&gt;=INDEX('Program Setup'!$D$18:$D$23,MATCH($C230,'Program Setup'!$B$18:$B$23,0)),2,IF($E230&gt;=INDEX('Program Setup'!$E$18:$E$23,MATCH($C230,'Program Setup'!$B$18:$B$23,0)),3,"-"))),"-"))</f>
        <v/>
      </c>
      <c r="I230" s="7">
        <f>IF(ISNUMBER($H230),INDEX('Program Setup'!$B$6:$B$8,MATCH($H230,'Program Setup'!$A$6:$A$8,0)),0)</f>
        <v/>
      </c>
      <c r="J230" s="8">
        <f>SUMIFS('Amplify Detail'!$E$5:$E$496,'Amplify Detail'!$A$5:$A$496,$A230,'Amplify Detail'!$C$5:$C$496,$C230)</f>
        <v/>
      </c>
      <c r="K230" s="8">
        <f>SUMIFS('Amplify Detail'!$F$5:$F$496,'Amplify Detail'!$A$5:$A$496,$A230,'Amplify Detail'!$C$5:$C$496,$C230)</f>
        <v/>
      </c>
      <c r="L230" s="8">
        <f>SUMIFS('Amplify Detail'!$G$5:$G$496,'Amplify Detail'!$A$5:$A$496,$A230,'Amplify Detail'!$C$5:$C$496,$C230)</f>
        <v/>
      </c>
      <c r="M230" s="7">
        <f>SUMIFS('Amplify Detail'!$J$5:$J$496,'Amplify Detail'!$A$5:$A$496,$A230,'Amplify Detail'!$C$5:$C$496,$C230)</f>
        <v/>
      </c>
      <c r="N230" s="7">
        <f>$I230+$M230</f>
        <v/>
      </c>
      <c r="O230" s="9">
        <f>IF($G230="No qualifier - Amplify open",1,IFERROR(INDEX('Program Setup'!$B$12:$B$14,MATCH($G230,'Program Setup'!$A$12:$A$14,0)),0))</f>
        <v/>
      </c>
      <c r="P230" s="4">
        <f>$A230&amp;"|"&amp;$C230</f>
        <v/>
      </c>
    </row>
    <row r="231">
      <c r="A231" s="4" t="inlineStr">
        <is>
          <t>Shane Barreca</t>
        </is>
      </c>
      <c r="B231" s="4" t="inlineStr">
        <is>
          <t>Paul Deady</t>
        </is>
      </c>
      <c r="C231" s="4" t="inlineStr">
        <is>
          <t>MolsonCoors Beverage Company</t>
        </is>
      </c>
      <c r="D231" s="5" t="n">
        <v>33742</v>
      </c>
      <c r="E231" s="5" t="n">
        <v>34096</v>
      </c>
      <c r="F231" s="6">
        <f>IF($D231&gt;0,$E231/$D231,"")</f>
        <v/>
      </c>
      <c r="G231" s="4">
        <f>IF($D231&gt;0,IF($F231&gt;=1,"Qualified",IF($F231&gt;=0.9,"90% Partial Amplify","Not Qualified")),"No qualifier - Amplify open")</f>
        <v/>
      </c>
      <c r="H231" s="4">
        <f>IF($G231&lt;&gt;"Qualified","-",IFERROR(IF($E231&gt;=INDEX('Program Setup'!$C$18:$C$23,MATCH($C231,'Program Setup'!$B$18:$B$23,0)),1,IF($E231&gt;=INDEX('Program Setup'!$D$18:$D$23,MATCH($C231,'Program Setup'!$B$18:$B$23,0)),2,IF($E231&gt;=INDEX('Program Setup'!$E$18:$E$23,MATCH($C231,'Program Setup'!$B$18:$B$23,0)),3,"-"))),"-"))</f>
        <v/>
      </c>
      <c r="I231" s="7">
        <f>IF(ISNUMBER($H231),INDEX('Program Setup'!$B$6:$B$8,MATCH($H231,'Program Setup'!$A$6:$A$8,0)),0)</f>
        <v/>
      </c>
      <c r="J231" s="8">
        <f>SUMIFS('Amplify Detail'!$E$5:$E$496,'Amplify Detail'!$A$5:$A$496,$A231,'Amplify Detail'!$C$5:$C$496,$C231)</f>
        <v/>
      </c>
      <c r="K231" s="8">
        <f>SUMIFS('Amplify Detail'!$F$5:$F$496,'Amplify Detail'!$A$5:$A$496,$A231,'Amplify Detail'!$C$5:$C$496,$C231)</f>
        <v/>
      </c>
      <c r="L231" s="8">
        <f>SUMIFS('Amplify Detail'!$G$5:$G$496,'Amplify Detail'!$A$5:$A$496,$A231,'Amplify Detail'!$C$5:$C$496,$C231)</f>
        <v/>
      </c>
      <c r="M231" s="7">
        <f>SUMIFS('Amplify Detail'!$J$5:$J$496,'Amplify Detail'!$A$5:$A$496,$A231,'Amplify Detail'!$C$5:$C$496,$C231)</f>
        <v/>
      </c>
      <c r="N231" s="7">
        <f>$I231+$M231</f>
        <v/>
      </c>
      <c r="O231" s="9">
        <f>IF($G231="No qualifier - Amplify open",1,IFERROR(INDEX('Program Setup'!$B$12:$B$14,MATCH($G231,'Program Setup'!$A$12:$A$14,0)),0))</f>
        <v/>
      </c>
      <c r="P231" s="4">
        <f>$A231&amp;"|"&amp;$C231</f>
        <v/>
      </c>
    </row>
    <row r="232">
      <c r="A232" s="4" t="inlineStr">
        <is>
          <t>Shane Barreca</t>
        </is>
      </c>
      <c r="B232" s="4" t="inlineStr">
        <is>
          <t>Paul Deady</t>
        </is>
      </c>
      <c r="C232" s="4" t="inlineStr">
        <is>
          <t>New Belgium Brewing Company</t>
        </is>
      </c>
      <c r="D232" s="5" t="n"/>
      <c r="E232" s="5" t="n"/>
      <c r="F232" s="6">
        <f>IF($D232&gt;0,$E232/$D232,"")</f>
        <v/>
      </c>
      <c r="G232" s="4">
        <f>IF($D232&gt;0,IF($F232&gt;=1,"Qualified",IF($F232&gt;=0.9,"90% Partial Amplify","Not Qualified")),"No qualifier - Amplify open")</f>
        <v/>
      </c>
      <c r="H232" s="4">
        <f>IF($G232&lt;&gt;"Qualified","-",IFERROR(IF($E232&gt;=INDEX('Program Setup'!$C$18:$C$23,MATCH($C232,'Program Setup'!$B$18:$B$23,0)),1,IF($E232&gt;=INDEX('Program Setup'!$D$18:$D$23,MATCH($C232,'Program Setup'!$B$18:$B$23,0)),2,IF($E232&gt;=INDEX('Program Setup'!$E$18:$E$23,MATCH($C232,'Program Setup'!$B$18:$B$23,0)),3,"-"))),"-"))</f>
        <v/>
      </c>
      <c r="I232" s="7">
        <f>IF(ISNUMBER($H232),INDEX('Program Setup'!$B$6:$B$8,MATCH($H232,'Program Setup'!$A$6:$A$8,0)),0)</f>
        <v/>
      </c>
      <c r="J232" s="8">
        <f>SUMIFS('Amplify Detail'!$E$5:$E$496,'Amplify Detail'!$A$5:$A$496,$A232,'Amplify Detail'!$C$5:$C$496,$C232)</f>
        <v/>
      </c>
      <c r="K232" s="8">
        <f>SUMIFS('Amplify Detail'!$F$5:$F$496,'Amplify Detail'!$A$5:$A$496,$A232,'Amplify Detail'!$C$5:$C$496,$C232)</f>
        <v/>
      </c>
      <c r="L232" s="8">
        <f>SUMIFS('Amplify Detail'!$G$5:$G$496,'Amplify Detail'!$A$5:$A$496,$A232,'Amplify Detail'!$C$5:$C$496,$C232)</f>
        <v/>
      </c>
      <c r="M232" s="7">
        <f>SUMIFS('Amplify Detail'!$J$5:$J$496,'Amplify Detail'!$A$5:$A$496,$A232,'Amplify Detail'!$C$5:$C$496,$C232)</f>
        <v/>
      </c>
      <c r="N232" s="7">
        <f>$I232+$M232</f>
        <v/>
      </c>
      <c r="O232" s="9">
        <f>IF($G232="No qualifier - Amplify open",1,IFERROR(INDEX('Program Setup'!$B$12:$B$14,MATCH($G232,'Program Setup'!$A$12:$A$14,0)),0))</f>
        <v/>
      </c>
      <c r="P232" s="4">
        <f>$A232&amp;"|"&amp;$C232</f>
        <v/>
      </c>
    </row>
    <row r="233">
      <c r="A233" s="4" t="inlineStr">
        <is>
          <t>Shane Barreca</t>
        </is>
      </c>
      <c r="B233" s="4" t="inlineStr">
        <is>
          <t>Paul Deady</t>
        </is>
      </c>
      <c r="C233" s="4" t="inlineStr">
        <is>
          <t>Sapporo</t>
        </is>
      </c>
      <c r="D233" s="5" t="n"/>
      <c r="E233" s="5" t="n"/>
      <c r="F233" s="6">
        <f>IF($D233&gt;0,$E233/$D233,"")</f>
        <v/>
      </c>
      <c r="G233" s="4">
        <f>IF($D233&gt;0,IF($F233&gt;=1,"Qualified",IF($F233&gt;=0.9,"90% Partial Amplify","Not Qualified")),"No qualifier - Amplify open")</f>
        <v/>
      </c>
      <c r="H233" s="4">
        <f>IF($G233&lt;&gt;"Qualified","-",IFERROR(IF($E233&gt;=INDEX('Program Setup'!$C$18:$C$23,MATCH($C233,'Program Setup'!$B$18:$B$23,0)),1,IF($E233&gt;=INDEX('Program Setup'!$D$18:$D$23,MATCH($C233,'Program Setup'!$B$18:$B$23,0)),2,IF($E233&gt;=INDEX('Program Setup'!$E$18:$E$23,MATCH($C233,'Program Setup'!$B$18:$B$23,0)),3,"-"))),"-"))</f>
        <v/>
      </c>
      <c r="I233" s="7">
        <f>IF(ISNUMBER($H233),INDEX('Program Setup'!$B$6:$B$8,MATCH($H233,'Program Setup'!$A$6:$A$8,0)),0)</f>
        <v/>
      </c>
      <c r="J233" s="8">
        <f>SUMIFS('Amplify Detail'!$E$5:$E$496,'Amplify Detail'!$A$5:$A$496,$A233,'Amplify Detail'!$C$5:$C$496,$C233)</f>
        <v/>
      </c>
      <c r="K233" s="8">
        <f>SUMIFS('Amplify Detail'!$F$5:$F$496,'Amplify Detail'!$A$5:$A$496,$A233,'Amplify Detail'!$C$5:$C$496,$C233)</f>
        <v/>
      </c>
      <c r="L233" s="8">
        <f>SUMIFS('Amplify Detail'!$G$5:$G$496,'Amplify Detail'!$A$5:$A$496,$A233,'Amplify Detail'!$C$5:$C$496,$C233)</f>
        <v/>
      </c>
      <c r="M233" s="7">
        <f>SUMIFS('Amplify Detail'!$J$5:$J$496,'Amplify Detail'!$A$5:$A$496,$A233,'Amplify Detail'!$C$5:$C$496,$C233)</f>
        <v/>
      </c>
      <c r="N233" s="7">
        <f>$I233+$M233</f>
        <v/>
      </c>
      <c r="O233" s="9">
        <f>IF($G233="No qualifier - Amplify open",1,IFERROR(INDEX('Program Setup'!$B$12:$B$14,MATCH($G233,'Program Setup'!$A$12:$A$14,0)),0))</f>
        <v/>
      </c>
      <c r="P233" s="4">
        <f>$A233&amp;"|"&amp;$C233</f>
        <v/>
      </c>
    </row>
    <row r="234">
      <c r="A234" s="10" t="inlineStr">
        <is>
          <t>TOTAL</t>
        </is>
      </c>
      <c r="I234" s="11">
        <f>SUM(I5:I233)</f>
        <v/>
      </c>
      <c r="J234" s="12">
        <f>SUM(J5:J233)</f>
        <v/>
      </c>
      <c r="K234" s="12">
        <f>SUM(K5:K233)</f>
        <v/>
      </c>
      <c r="L234" s="12">
        <f>SUM(L5:L233)</f>
        <v/>
      </c>
      <c r="M234" s="11">
        <f>SUM(M5:M233)</f>
        <v/>
      </c>
      <c r="N234" s="11">
        <f>SUM(N5:N233)</f>
        <v/>
      </c>
    </row>
  </sheetData>
  <autoFilter ref="A4:O2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7"/>
  <sheetViews>
    <sheetView workbookViewId="0">
      <pane ySplit="17" topLeftCell="A18" activePane="bottomLeft" state="frozen"/>
      <selection pane="bottomLeft" activeCell="A1" sqref="A1"/>
    </sheetView>
  </sheetViews>
  <sheetFormatPr baseColWidth="8" defaultRowHeight="15"/>
  <cols>
    <col width="30" customWidth="1" min="1" max="1"/>
    <col width="40" customWidth="1" min="2" max="2"/>
    <col width="14" customWidth="1" min="3" max="3"/>
    <col width="14" customWidth="1" min="4" max="4"/>
    <col width="14" customWidth="1" min="5" max="5"/>
  </cols>
  <sheetData>
    <row r="1">
      <c r="A1" s="13" t="inlineStr">
        <is>
          <t>Summer of Success 2026 — program rules used in this recap</t>
        </is>
      </c>
    </row>
    <row r="2">
      <c r="A2" s="2" t="inlineStr">
        <is>
          <t>Season 6/1/2026–8/31/2026. Blue = typed in from the deck / source data. Everything on the other tabs is a formula off these cells.</t>
        </is>
      </c>
    </row>
    <row r="4">
      <c r="A4" s="10" t="inlineStr">
        <is>
          <t>Tier payout amounts</t>
        </is>
      </c>
    </row>
    <row r="5">
      <c r="A5" s="3" t="inlineStr">
        <is>
          <t>Tier</t>
        </is>
      </c>
      <c r="B5" s="3" t="inlineStr">
        <is>
          <t>Payout</t>
        </is>
      </c>
    </row>
    <row r="6">
      <c r="A6" s="14" t="n">
        <v>1</v>
      </c>
      <c r="B6" s="15" t="n">
        <v>750</v>
      </c>
    </row>
    <row r="7">
      <c r="A7" s="14" t="n">
        <v>2</v>
      </c>
      <c r="B7" s="15" t="n">
        <v>500</v>
      </c>
    </row>
    <row r="8">
      <c r="A8" s="14" t="n">
        <v>3</v>
      </c>
      <c r="B8" s="15" t="n">
        <v>250</v>
      </c>
    </row>
    <row r="10">
      <c r="A10" s="10" t="inlineStr">
        <is>
          <t>Amplify rate multiplier by qualifier result</t>
        </is>
      </c>
    </row>
    <row r="11">
      <c r="A11" s="3" t="inlineStr">
        <is>
          <t>Qualifier result</t>
        </is>
      </c>
      <c r="B11" s="3" t="inlineStr">
        <is>
          <t>Amplify rate multiplier</t>
        </is>
      </c>
    </row>
    <row r="12">
      <c r="A12" s="4" t="inlineStr">
        <is>
          <t>Qualified</t>
        </is>
      </c>
      <c r="B12" s="16" t="n">
        <v>1</v>
      </c>
    </row>
    <row r="13">
      <c r="A13" s="4" t="inlineStr">
        <is>
          <t>90% Partial Amplify</t>
        </is>
      </c>
      <c r="B13" s="16" t="n">
        <v>0.5</v>
      </c>
    </row>
    <row r="14">
      <c r="A14" s="4" t="inlineStr">
        <is>
          <t>Not Qualified</t>
        </is>
      </c>
      <c r="B14" s="16" t="n">
        <v>0</v>
      </c>
    </row>
    <row r="16">
      <c r="A16" s="10" t="inlineStr">
        <is>
          <t>Tier CE thresholds by supplier — the deck's “Rewards Payouts — by Route Volume” grid</t>
        </is>
      </c>
    </row>
    <row r="17">
      <c r="A17" s="3" t="inlineStr">
        <is>
          <t>Supplier (deck)</t>
        </is>
      </c>
      <c r="B17" s="3" t="inlineStr">
        <is>
          <t>Supplier (as named in the data)</t>
        </is>
      </c>
      <c r="C17" s="3" t="inlineStr">
        <is>
          <t>Tier 1 CE</t>
        </is>
      </c>
      <c r="D17" s="3" t="inlineStr">
        <is>
          <t>Tier 2 CE</t>
        </is>
      </c>
      <c r="E17" s="3" t="inlineStr">
        <is>
          <t>Tier 3 CE</t>
        </is>
      </c>
    </row>
    <row r="18">
      <c r="A18" s="4" t="inlineStr">
        <is>
          <t>Constellation Brands</t>
        </is>
      </c>
      <c r="B18" s="4" t="inlineStr">
        <is>
          <t>Constellation Brands</t>
        </is>
      </c>
      <c r="C18" s="5" t="n">
        <v>25000</v>
      </c>
      <c r="D18" s="5" t="n">
        <v>6000</v>
      </c>
      <c r="E18" s="5" t="n">
        <v>1000</v>
      </c>
    </row>
    <row r="19">
      <c r="A19" s="4" t="inlineStr">
        <is>
          <t>Molson Coors</t>
        </is>
      </c>
      <c r="B19" s="4" t="inlineStr">
        <is>
          <t>MolsonCoors Beverage Company</t>
        </is>
      </c>
      <c r="C19" s="5" t="n">
        <v>16000</v>
      </c>
      <c r="D19" s="5" t="n">
        <v>8000</v>
      </c>
      <c r="E19" s="5" t="n">
        <v>1000</v>
      </c>
    </row>
    <row r="20">
      <c r="A20" s="4" t="inlineStr">
        <is>
          <t>Heineken (HUSA)</t>
        </is>
      </c>
      <c r="B20" s="4" t="inlineStr">
        <is>
          <t>Heineken USA</t>
        </is>
      </c>
      <c r="C20" s="5" t="n">
        <v>8200</v>
      </c>
      <c r="D20" s="5" t="n">
        <v>2300</v>
      </c>
      <c r="E20" s="5" t="n">
        <v>100</v>
      </c>
    </row>
    <row r="21">
      <c r="A21" s="4" t="inlineStr">
        <is>
          <t>Yuengling</t>
        </is>
      </c>
      <c r="B21" s="4" t="inlineStr">
        <is>
          <t>DG Yuengling Inc</t>
        </is>
      </c>
      <c r="C21" s="5" t="n">
        <v>2600</v>
      </c>
      <c r="D21" s="5" t="n">
        <v>1000</v>
      </c>
      <c r="E21" s="5" t="n">
        <v>100</v>
      </c>
    </row>
    <row r="22">
      <c r="A22" s="4" t="inlineStr">
        <is>
          <t>Mike's (MABI)</t>
        </is>
      </c>
      <c r="B22" s="4" t="inlineStr">
        <is>
          <t>Mark Anthony</t>
        </is>
      </c>
      <c r="C22" s="5" t="n">
        <v>4000</v>
      </c>
      <c r="D22" s="5" t="n">
        <v>1000</v>
      </c>
      <c r="E22" s="5" t="n">
        <v>500</v>
      </c>
    </row>
    <row r="23">
      <c r="A23" s="4" t="inlineStr">
        <is>
          <t>Boston Beer co.</t>
        </is>
      </c>
      <c r="B23" s="4" t="inlineStr">
        <is>
          <t>Boston Beer Company</t>
        </is>
      </c>
      <c r="C23" s="5" t="n">
        <v>4000</v>
      </c>
      <c r="D23" s="5" t="n">
        <v>2000</v>
      </c>
      <c r="E23" s="5" t="n">
        <v>500</v>
      </c>
    </row>
    <row r="26">
      <c r="A26" s="10" t="inlineStr">
        <is>
          <t>Rules applied</t>
        </is>
      </c>
    </row>
    <row r="27">
      <c r="A27" s="2" t="inlineStr">
        <is>
          <t>1. QUALIFIER — a rep clears a supplier when their 2026 qualifier CE reaches their own personal goal (goals are per rep, not flat).</t>
        </is>
      </c>
    </row>
    <row r="28">
      <c r="A28" s="2" t="inlineStr">
        <is>
          <t>2. TIER PAYOUT — only at 100%+ of goal. The tier is then read off the grid above using that same actual 2026 qualifier CE.</t>
        </is>
      </c>
    </row>
    <row r="29">
      <c r="A29" s="2" t="inlineStr">
        <is>
          <t xml:space="preserve">     Example: Javier Melo, Constellation Brands, goal 71,156, actual 71,979 = 101% → Qualified; 71,979 clears the 25,000 Tier 1 line → $750.</t>
        </is>
      </c>
    </row>
    <row r="30">
      <c r="A30" s="2" t="inlineStr">
        <is>
          <t>3. AMPLIFY — pays ONLY on cases ABOVE the brand's Amplify goal:  Eligible CE = MAX(Actual CE − Amplify goal CE, 0), calculated PER BRAND.</t>
        </is>
      </c>
    </row>
    <row r="31">
      <c r="A31" s="2" t="inlineStr">
        <is>
          <t xml:space="preserve">     A brand below its goal pays $0 and does NOT offset a brand that is above goal.</t>
        </is>
      </c>
    </row>
    <row r="32">
      <c r="A32" s="2" t="inlineStr">
        <is>
          <t xml:space="preserve">     Example: Javier Melo, Constellation Brands — Pacifico 1,538 − 975 = 563 × $1 = $563; Modelo Chelada 3,272 − 3,102 = 170 × $1 = $170; Victoria 3,355 − 3,216 = 139 × $1 = $139. Total $872.</t>
        </is>
      </c>
    </row>
    <row r="33">
      <c r="A33" s="2" t="inlineStr">
        <is>
          <t>4. AMPLIFY RATE — $1/case, except Fever Tree, Mike's Harder and MXD at $2/case.</t>
        </is>
      </c>
    </row>
    <row r="34">
      <c r="A34" s="2" t="inlineStr">
        <is>
          <t>5. 90% PARTIAL — 90.00%–99.99% of the qualifier goal earns NO tier payout but HALF the Amplify rate ($0.50 / $1.00). Below 90% earns no Amplify at all.</t>
        </is>
      </c>
    </row>
    <row r="35">
      <c r="A35" s="2" t="inlineStr">
        <is>
          <t>6. Suppliers with no qualifier in the data (Sapporo, Cape May, New Belgium) have no tier payout; their Amplify is open at full rate.</t>
        </is>
      </c>
    </row>
    <row r="36">
      <c r="A36" s="2" t="inlineStr">
        <is>
          <t>7. Excluded, matching the dashboard: Default, Office Tell Sell, Chris Politano. Bell's is rolled into New Belgium Brewing Company.</t>
        </is>
      </c>
    </row>
    <row r="38">
      <c r="A38" s="17" t="inlineStr">
        <is>
          <t>⚠ FOUR THINGS TO CONFIRM BEFORE THIS PAYS ANYONE</t>
        </is>
      </c>
    </row>
    <row r="39">
      <c r="A39" s="2" t="inlineStr">
        <is>
          <t>a) AMPLIFY GOAL SOURCE — payout is per brand, and the only per-brand figure in the source is that brand's 2025 CE, so 2025 CE is used as each brand's Amplify goal.</t>
        </is>
      </c>
    </row>
    <row r="40">
      <c r="A40" s="2" t="inlineStr">
        <is>
          <t xml:space="preserve">     That makes Amplify = growth over last year, which matches the live summer26 dashboard.</t>
        </is>
      </c>
    </row>
    <row r="41">
      <c r="A41" s="2" t="inlineStr">
        <is>
          <t xml:space="preserve">     goals.csv carries a SUPPLIER-level Amplify goal too; it equals the sum of the brand 2025 figures for 196 of 220 rep/supplier rows. The rest differ, mostly by ±1 (rounding).</t>
        </is>
      </c>
    </row>
    <row r="42">
      <c r="A42" s="2" t="inlineStr">
        <is>
          <t xml:space="preserve">     The largest disagreements: Alex Rodriguez / Sapporo (goal 0 vs 578 of 2025 CE); Alisa Acciardi / Sapporo (goal 1,570 vs 1,600 of 2025 CE).</t>
        </is>
      </c>
    </row>
    <row r="43">
      <c r="A43" s="2" t="inlineStr">
        <is>
          <t>b) TIER BASIS — the deck writes the thresholds as “+25,000 CE's” / “+16,000 CE's”. The “+” may mean CE GROWTH over 2025 rather than total 2026 CE.</t>
        </is>
      </c>
    </row>
    <row r="44">
      <c r="A44" s="2" t="inlineStr">
        <is>
          <t xml:space="preserve">     This recap uses total 2026 CE for the tier, per the worked example above. On a growth reading almost no one clears Tier 1.</t>
        </is>
      </c>
    </row>
    <row r="45">
      <c r="A45" s="2" t="inlineStr">
        <is>
          <t>c) PER REP vs HOUSE — summer26/README.txt describes this same grid as a company-wide aggregate across all reps combined. This recap applies it per rep, as instructed.</t>
        </is>
      </c>
    </row>
    <row r="46">
      <c r="A46" s="2" t="inlineStr">
        <is>
          <t>d) QUALIFIER VOLUME WITH NO GOAL — 11 rep/supplier rows have qualifier CE but no goal in goals.csv, so they cannot qualify and fall to “No qualifier - Amplify open”.</t>
        </is>
      </c>
    </row>
    <row r="47">
      <c r="A47" s="2" t="inlineStr">
        <is>
          <t xml:space="preserve">     The largest is Michael Harboy, MolsonCoors Beverage Company, 3,941 CE. Filter Status for that label to see them. If those reps were meant to have goals, their tier payout is being missed.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97"/>
  <sheetViews>
    <sheetView workbookViewId="0">
      <pane ySplit="4" topLeftCell="A5" activePane="bottomLeft" state="frozen"/>
      <selection pane="bottomLeft" activeCell="A1" sqref="A1"/>
    </sheetView>
  </sheetViews>
  <sheetFormatPr baseColWidth="8" defaultRowHeight="15"/>
  <cols>
    <col width="20" customWidth="1" min="1" max="1"/>
    <col width="16" customWidth="1" min="2" max="2"/>
    <col width="30" customWidth="1" min="3" max="3"/>
    <col width="26" customWidth="1" min="4" max="4"/>
    <col width="15" customWidth="1" min="5" max="5"/>
    <col width="16" customWidth="1" min="6" max="6"/>
    <col width="16" customWidth="1" min="7" max="7"/>
    <col width="12" customWidth="1" min="8" max="8"/>
    <col width="12" customWidth="1" min="9" max="9"/>
    <col width="14" customWidth="1" min="10" max="10"/>
    <col width="34" customWidth="1" min="11" max="11"/>
  </cols>
  <sheetData>
    <row r="1">
      <c r="A1" s="13" t="inlineStr">
        <is>
          <t>Amplify detail — brand level</t>
        </is>
      </c>
    </row>
    <row r="2">
      <c r="A2" s="2" t="inlineStr">
        <is>
          <t>Amplify pays ONLY on cases above the brand's goal: Eligible = MAX(Actual − Goal, 0), per brand. A brand below goal pays $0 and does not offset others.</t>
        </is>
      </c>
    </row>
    <row r="4">
      <c r="A4" s="3" t="inlineStr">
        <is>
          <t>Rep</t>
        </is>
      </c>
      <c r="B4" s="3" t="inlineStr">
        <is>
          <t>Manager</t>
        </is>
      </c>
      <c r="C4" s="3" t="inlineStr">
        <is>
          <t>Supplier</t>
        </is>
      </c>
      <c r="D4" s="3" t="inlineStr">
        <is>
          <t>Amplify brand</t>
        </is>
      </c>
      <c r="E4" s="3" t="inlineStr">
        <is>
          <t>Actual CE (2026)</t>
        </is>
      </c>
      <c r="F4" s="3" t="inlineStr">
        <is>
          <t>Amplify goal CE (2025)</t>
        </is>
      </c>
      <c r="G4" s="3" t="inlineStr">
        <is>
          <t>Eligible CE (above goal)</t>
        </is>
      </c>
      <c r="H4" s="3" t="inlineStr">
        <is>
          <t>Normal rate</t>
        </is>
      </c>
      <c r="I4" s="3" t="inlineStr">
        <is>
          <t>Applied rate</t>
        </is>
      </c>
      <c r="J4" s="3" t="inlineStr">
        <is>
          <t>Payout</t>
        </is>
      </c>
      <c r="K4" s="3" t="inlineStr">
        <is>
          <t>Key</t>
        </is>
      </c>
    </row>
    <row r="5">
      <c r="A5" s="4" t="inlineStr">
        <is>
          <t>Alex Rodriguez</t>
        </is>
      </c>
      <c r="B5" s="4" t="inlineStr">
        <is>
          <t>Mike Kennedy</t>
        </is>
      </c>
      <c r="C5" s="4" t="inlineStr">
        <is>
          <t>Sapporo</t>
        </is>
      </c>
      <c r="D5" s="4" t="inlineStr">
        <is>
          <t>Sapporo</t>
        </is>
      </c>
      <c r="E5" s="5" t="n">
        <v>875</v>
      </c>
      <c r="F5" s="5" t="n">
        <v>578</v>
      </c>
      <c r="G5" s="8">
        <f>MAX(0,$E5-$F5)</f>
        <v/>
      </c>
      <c r="H5" s="18">
        <f>IF(OR(ISNUMBER(SEARCH("fever",$D5)),ISNUMBER(SEARCH("mike",$D5)),ISNUMBER(SEARCH("mxd",$D5))),2,1)</f>
        <v/>
      </c>
      <c r="I5" s="18">
        <f>$H5*IFERROR(INDEX('Recap'!$O$5:$O$233,MATCH($K5,'Recap'!$P$5:$P$233,0)),0)</f>
        <v/>
      </c>
      <c r="J5" s="7">
        <f>$G5*$I5</f>
        <v/>
      </c>
      <c r="K5" s="4">
        <f>$A5&amp;"|"&amp;$C5</f>
        <v/>
      </c>
    </row>
    <row r="6">
      <c r="A6" s="4" t="inlineStr">
        <is>
          <t>Alisa Acciardi</t>
        </is>
      </c>
      <c r="B6" s="4" t="inlineStr">
        <is>
          <t>Mike Kennedy</t>
        </is>
      </c>
      <c r="C6" s="4" t="inlineStr">
        <is>
          <t>Boston Beer Company</t>
        </is>
      </c>
      <c r="D6" s="4" t="inlineStr">
        <is>
          <t>Dogfish Head Beer</t>
        </is>
      </c>
      <c r="E6" s="5" t="n">
        <v>2</v>
      </c>
      <c r="F6" s="5" t="n">
        <v>6</v>
      </c>
      <c r="G6" s="8">
        <f>MAX(0,$E6-$F6)</f>
        <v/>
      </c>
      <c r="H6" s="18">
        <f>IF(OR(ISNUMBER(SEARCH("fever",$D6)),ISNUMBER(SEARCH("mike",$D6)),ISNUMBER(SEARCH("mxd",$D6))),2,1)</f>
        <v/>
      </c>
      <c r="I6" s="18">
        <f>$H6*IFERROR(INDEX('Recap'!$O$5:$O$233,MATCH($K6,'Recap'!$P$5:$P$233,0)),0)</f>
        <v/>
      </c>
      <c r="J6" s="7">
        <f>$G6*$I6</f>
        <v/>
      </c>
      <c r="K6" s="4">
        <f>$A6&amp;"|"&amp;$C6</f>
        <v/>
      </c>
    </row>
    <row r="7">
      <c r="A7" s="4" t="inlineStr">
        <is>
          <t>Alisa Acciardi</t>
        </is>
      </c>
      <c r="B7" s="4" t="inlineStr">
        <is>
          <t>Mike Kennedy</t>
        </is>
      </c>
      <c r="C7" s="4" t="inlineStr">
        <is>
          <t>Cape May</t>
        </is>
      </c>
      <c r="D7" s="4" t="inlineStr">
        <is>
          <t>Cape May</t>
        </is>
      </c>
      <c r="E7" s="5" t="n">
        <v>0</v>
      </c>
      <c r="F7" s="5" t="n">
        <v>8</v>
      </c>
      <c r="G7" s="8">
        <f>MAX(0,$E7-$F7)</f>
        <v/>
      </c>
      <c r="H7" s="18">
        <f>IF(OR(ISNUMBER(SEARCH("fever",$D7)),ISNUMBER(SEARCH("mike",$D7)),ISNUMBER(SEARCH("mxd",$D7))),2,1)</f>
        <v/>
      </c>
      <c r="I7" s="18">
        <f>$H7*IFERROR(INDEX('Recap'!$O$5:$O$233,MATCH($K7,'Recap'!$P$5:$P$233,0)),0)</f>
        <v/>
      </c>
      <c r="J7" s="7">
        <f>$G7*$I7</f>
        <v/>
      </c>
      <c r="K7" s="4">
        <f>$A7&amp;"|"&amp;$C7</f>
        <v/>
      </c>
    </row>
    <row r="8">
      <c r="A8" s="4" t="inlineStr">
        <is>
          <t>Alisa Acciardi</t>
        </is>
      </c>
      <c r="B8" s="4" t="inlineStr">
        <is>
          <t>Mike Kennedy</t>
        </is>
      </c>
      <c r="C8" s="4" t="inlineStr">
        <is>
          <t>Constellation Brands</t>
        </is>
      </c>
      <c r="D8" s="4" t="inlineStr">
        <is>
          <t>Corona Premier</t>
        </is>
      </c>
      <c r="E8" s="5" t="n">
        <v>6</v>
      </c>
      <c r="F8" s="5" t="n">
        <v>7</v>
      </c>
      <c r="G8" s="8">
        <f>MAX(0,$E8-$F8)</f>
        <v/>
      </c>
      <c r="H8" s="18">
        <f>IF(OR(ISNUMBER(SEARCH("fever",$D8)),ISNUMBER(SEARCH("mike",$D8)),ISNUMBER(SEARCH("mxd",$D8))),2,1)</f>
        <v/>
      </c>
      <c r="I8" s="18">
        <f>$H8*IFERROR(INDEX('Recap'!$O$5:$O$233,MATCH($K8,'Recap'!$P$5:$P$233,0)),0)</f>
        <v/>
      </c>
      <c r="J8" s="7">
        <f>$G8*$I8</f>
        <v/>
      </c>
      <c r="K8" s="4">
        <f>$A8&amp;"|"&amp;$C8</f>
        <v/>
      </c>
    </row>
    <row r="9">
      <c r="A9" s="4" t="inlineStr">
        <is>
          <t>Alisa Acciardi</t>
        </is>
      </c>
      <c r="B9" s="4" t="inlineStr">
        <is>
          <t>Mike Kennedy</t>
        </is>
      </c>
      <c r="C9" s="4" t="inlineStr">
        <is>
          <t>Constellation Brands</t>
        </is>
      </c>
      <c r="D9" s="4" t="inlineStr">
        <is>
          <t>Modelo Chelada</t>
        </is>
      </c>
      <c r="E9" s="5" t="n">
        <v>31</v>
      </c>
      <c r="F9" s="5" t="n">
        <v>51</v>
      </c>
      <c r="G9" s="8">
        <f>MAX(0,$E9-$F9)</f>
        <v/>
      </c>
      <c r="H9" s="18">
        <f>IF(OR(ISNUMBER(SEARCH("fever",$D9)),ISNUMBER(SEARCH("mike",$D9)),ISNUMBER(SEARCH("mxd",$D9))),2,1)</f>
        <v/>
      </c>
      <c r="I9" s="18">
        <f>$H9*IFERROR(INDEX('Recap'!$O$5:$O$233,MATCH($K9,'Recap'!$P$5:$P$233,0)),0)</f>
        <v/>
      </c>
      <c r="J9" s="7">
        <f>$G9*$I9</f>
        <v/>
      </c>
      <c r="K9" s="4">
        <f>$A9&amp;"|"&amp;$C9</f>
        <v/>
      </c>
    </row>
    <row r="10">
      <c r="A10" s="4" t="inlineStr">
        <is>
          <t>Alisa Acciardi</t>
        </is>
      </c>
      <c r="B10" s="4" t="inlineStr">
        <is>
          <t>Mike Kennedy</t>
        </is>
      </c>
      <c r="C10" s="4" t="inlineStr">
        <is>
          <t>Constellation Brands</t>
        </is>
      </c>
      <c r="D10" s="4" t="inlineStr">
        <is>
          <t>Pacifico</t>
        </is>
      </c>
      <c r="E10" s="5" t="n">
        <v>8</v>
      </c>
      <c r="F10" s="5" t="n">
        <v>34</v>
      </c>
      <c r="G10" s="8">
        <f>MAX(0,$E10-$F10)</f>
        <v/>
      </c>
      <c r="H10" s="18">
        <f>IF(OR(ISNUMBER(SEARCH("fever",$D10)),ISNUMBER(SEARCH("mike",$D10)),ISNUMBER(SEARCH("mxd",$D10))),2,1)</f>
        <v/>
      </c>
      <c r="I10" s="18">
        <f>$H10*IFERROR(INDEX('Recap'!$O$5:$O$233,MATCH($K10,'Recap'!$P$5:$P$233,0)),0)</f>
        <v/>
      </c>
      <c r="J10" s="7">
        <f>$G10*$I10</f>
        <v/>
      </c>
      <c r="K10" s="4">
        <f>$A10&amp;"|"&amp;$C10</f>
        <v/>
      </c>
    </row>
    <row r="11">
      <c r="A11" s="4" t="inlineStr">
        <is>
          <t>Alisa Acciardi</t>
        </is>
      </c>
      <c r="B11" s="4" t="inlineStr">
        <is>
          <t>Mike Kennedy</t>
        </is>
      </c>
      <c r="C11" s="4" t="inlineStr">
        <is>
          <t>Constellation Brands</t>
        </is>
      </c>
      <c r="D11" s="4" t="inlineStr">
        <is>
          <t>Victoria</t>
        </is>
      </c>
      <c r="E11" s="5" t="n">
        <v>9</v>
      </c>
      <c r="F11" s="5" t="n">
        <v>5</v>
      </c>
      <c r="G11" s="8">
        <f>MAX(0,$E11-$F11)</f>
        <v/>
      </c>
      <c r="H11" s="18">
        <f>IF(OR(ISNUMBER(SEARCH("fever",$D11)),ISNUMBER(SEARCH("mike",$D11)),ISNUMBER(SEARCH("mxd",$D11))),2,1)</f>
        <v/>
      </c>
      <c r="I11" s="18">
        <f>$H11*IFERROR(INDEX('Recap'!$O$5:$O$233,MATCH($K11,'Recap'!$P$5:$P$233,0)),0)</f>
        <v/>
      </c>
      <c r="J11" s="7">
        <f>$G11*$I11</f>
        <v/>
      </c>
      <c r="K11" s="4">
        <f>$A11&amp;"|"&amp;$C11</f>
        <v/>
      </c>
    </row>
    <row r="12">
      <c r="A12" s="4" t="inlineStr">
        <is>
          <t>Alisa Acciardi</t>
        </is>
      </c>
      <c r="B12" s="4" t="inlineStr">
        <is>
          <t>Mike Kennedy</t>
        </is>
      </c>
      <c r="C12" s="4" t="inlineStr">
        <is>
          <t>DG Yuengling Inc</t>
        </is>
      </c>
      <c r="D12" s="4" t="inlineStr">
        <is>
          <t>Yuengling Flight</t>
        </is>
      </c>
      <c r="E12" s="5" t="n">
        <v>2</v>
      </c>
      <c r="F12" s="5" t="n">
        <v>2</v>
      </c>
      <c r="G12" s="8">
        <f>MAX(0,$E12-$F12)</f>
        <v/>
      </c>
      <c r="H12" s="18">
        <f>IF(OR(ISNUMBER(SEARCH("fever",$D12)),ISNUMBER(SEARCH("mike",$D12)),ISNUMBER(SEARCH("mxd",$D12))),2,1)</f>
        <v/>
      </c>
      <c r="I12" s="18">
        <f>$H12*IFERROR(INDEX('Recap'!$O$5:$O$233,MATCH($K12,'Recap'!$P$5:$P$233,0)),0)</f>
        <v/>
      </c>
      <c r="J12" s="7">
        <f>$G12*$I12</f>
        <v/>
      </c>
      <c r="K12" s="4">
        <f>$A12&amp;"|"&amp;$C12</f>
        <v/>
      </c>
    </row>
    <row r="13">
      <c r="A13" s="4" t="inlineStr">
        <is>
          <t>Alisa Acciardi</t>
        </is>
      </c>
      <c r="B13" s="4" t="inlineStr">
        <is>
          <t>Mike Kennedy</t>
        </is>
      </c>
      <c r="C13" s="4" t="inlineStr">
        <is>
          <t>DG Yuengling Inc</t>
        </is>
      </c>
      <c r="D13" s="4" t="inlineStr">
        <is>
          <t>Yuengling Light Lager</t>
        </is>
      </c>
      <c r="E13" s="5" t="n">
        <v>2</v>
      </c>
      <c r="F13" s="5" t="n">
        <v>1</v>
      </c>
      <c r="G13" s="8">
        <f>MAX(0,$E13-$F13)</f>
        <v/>
      </c>
      <c r="H13" s="18">
        <f>IF(OR(ISNUMBER(SEARCH("fever",$D13)),ISNUMBER(SEARCH("mike",$D13)),ISNUMBER(SEARCH("mxd",$D13))),2,1)</f>
        <v/>
      </c>
      <c r="I13" s="18">
        <f>$H13*IFERROR(INDEX('Recap'!$O$5:$O$233,MATCH($K13,'Recap'!$P$5:$P$233,0)),0)</f>
        <v/>
      </c>
      <c r="J13" s="7">
        <f>$G13*$I13</f>
        <v/>
      </c>
      <c r="K13" s="4">
        <f>$A13&amp;"|"&amp;$C13</f>
        <v/>
      </c>
    </row>
    <row r="14">
      <c r="A14" s="4" t="inlineStr">
        <is>
          <t>Alisa Acciardi</t>
        </is>
      </c>
      <c r="B14" s="4" t="inlineStr">
        <is>
          <t>Mike Kennedy</t>
        </is>
      </c>
      <c r="C14" s="4" t="inlineStr">
        <is>
          <t>Heineken USA</t>
        </is>
      </c>
      <c r="D14" s="4" t="inlineStr">
        <is>
          <t>Heineken 0.0</t>
        </is>
      </c>
      <c r="E14" s="5" t="n">
        <v>3</v>
      </c>
      <c r="F14" s="5" t="n">
        <v>8</v>
      </c>
      <c r="G14" s="8">
        <f>MAX(0,$E14-$F14)</f>
        <v/>
      </c>
      <c r="H14" s="18">
        <f>IF(OR(ISNUMBER(SEARCH("fever",$D14)),ISNUMBER(SEARCH("mike",$D14)),ISNUMBER(SEARCH("mxd",$D14))),2,1)</f>
        <v/>
      </c>
      <c r="I14" s="18">
        <f>$H14*IFERROR(INDEX('Recap'!$O$5:$O$233,MATCH($K14,'Recap'!$P$5:$P$233,0)),0)</f>
        <v/>
      </c>
      <c r="J14" s="7">
        <f>$G14*$I14</f>
        <v/>
      </c>
      <c r="K14" s="4">
        <f>$A14&amp;"|"&amp;$C14</f>
        <v/>
      </c>
    </row>
    <row r="15">
      <c r="A15" s="4" t="inlineStr">
        <is>
          <t>Alisa Acciardi</t>
        </is>
      </c>
      <c r="B15" s="4" t="inlineStr">
        <is>
          <t>Mike Kennedy</t>
        </is>
      </c>
      <c r="C15" s="4" t="inlineStr">
        <is>
          <t>Heineken USA</t>
        </is>
      </c>
      <c r="D15" s="4" t="inlineStr">
        <is>
          <t>Heineken Light</t>
        </is>
      </c>
      <c r="E15" s="5" t="n">
        <v>12</v>
      </c>
      <c r="F15" s="5" t="n">
        <v>19</v>
      </c>
      <c r="G15" s="8">
        <f>MAX(0,$E15-$F15)</f>
        <v/>
      </c>
      <c r="H15" s="18">
        <f>IF(OR(ISNUMBER(SEARCH("fever",$D15)),ISNUMBER(SEARCH("mike",$D15)),ISNUMBER(SEARCH("mxd",$D15))),2,1)</f>
        <v/>
      </c>
      <c r="I15" s="18">
        <f>$H15*IFERROR(INDEX('Recap'!$O$5:$O$233,MATCH($K15,'Recap'!$P$5:$P$233,0)),0)</f>
        <v/>
      </c>
      <c r="J15" s="7">
        <f>$G15*$I15</f>
        <v/>
      </c>
      <c r="K15" s="4">
        <f>$A15&amp;"|"&amp;$C15</f>
        <v/>
      </c>
    </row>
    <row r="16">
      <c r="A16" s="4" t="inlineStr">
        <is>
          <t>Alisa Acciardi</t>
        </is>
      </c>
      <c r="B16" s="4" t="inlineStr">
        <is>
          <t>Mike Kennedy</t>
        </is>
      </c>
      <c r="C16" s="4" t="inlineStr">
        <is>
          <t>Mark Anthony</t>
        </is>
      </c>
      <c r="D16" s="4" t="inlineStr">
        <is>
          <t>Cayman Jack</t>
        </is>
      </c>
      <c r="E16" s="5" t="n">
        <v>3</v>
      </c>
      <c r="F16" s="5" t="n">
        <v>5</v>
      </c>
      <c r="G16" s="8">
        <f>MAX(0,$E16-$F16)</f>
        <v/>
      </c>
      <c r="H16" s="18">
        <f>IF(OR(ISNUMBER(SEARCH("fever",$D16)),ISNUMBER(SEARCH("mike",$D16)),ISNUMBER(SEARCH("mxd",$D16))),2,1)</f>
        <v/>
      </c>
      <c r="I16" s="18">
        <f>$H16*IFERROR(INDEX('Recap'!$O$5:$O$233,MATCH($K16,'Recap'!$P$5:$P$233,0)),0)</f>
        <v/>
      </c>
      <c r="J16" s="7">
        <f>$G16*$I16</f>
        <v/>
      </c>
      <c r="K16" s="4">
        <f>$A16&amp;"|"&amp;$C16</f>
        <v/>
      </c>
    </row>
    <row r="17">
      <c r="A17" s="4" t="inlineStr">
        <is>
          <t>Alisa Acciardi</t>
        </is>
      </c>
      <c r="B17" s="4" t="inlineStr">
        <is>
          <t>Mike Kennedy</t>
        </is>
      </c>
      <c r="C17" s="4" t="inlineStr">
        <is>
          <t>MolsonCoors Beverage Company</t>
        </is>
      </c>
      <c r="D17" s="4" t="inlineStr">
        <is>
          <t>Coors</t>
        </is>
      </c>
      <c r="E17" s="5" t="n">
        <v>15</v>
      </c>
      <c r="F17" s="5" t="n">
        <v>41</v>
      </c>
      <c r="G17" s="8">
        <f>MAX(0,$E17-$F17)</f>
        <v/>
      </c>
      <c r="H17" s="18">
        <f>IF(OR(ISNUMBER(SEARCH("fever",$D17)),ISNUMBER(SEARCH("mike",$D17)),ISNUMBER(SEARCH("mxd",$D17))),2,1)</f>
        <v/>
      </c>
      <c r="I17" s="18">
        <f>$H17*IFERROR(INDEX('Recap'!$O$5:$O$233,MATCH($K17,'Recap'!$P$5:$P$233,0)),0)</f>
        <v/>
      </c>
      <c r="J17" s="7">
        <f>$G17*$I17</f>
        <v/>
      </c>
      <c r="K17" s="4">
        <f>$A17&amp;"|"&amp;$C17</f>
        <v/>
      </c>
    </row>
    <row r="18">
      <c r="A18" s="4" t="inlineStr">
        <is>
          <t>Alisa Acciardi</t>
        </is>
      </c>
      <c r="B18" s="4" t="inlineStr">
        <is>
          <t>Mike Kennedy</t>
        </is>
      </c>
      <c r="C18" s="4" t="inlineStr">
        <is>
          <t>MolsonCoors Beverage Company</t>
        </is>
      </c>
      <c r="D18" s="4" t="inlineStr">
        <is>
          <t>Peroni</t>
        </is>
      </c>
      <c r="E18" s="5" t="n">
        <v>10</v>
      </c>
      <c r="F18" s="5" t="n">
        <v>13</v>
      </c>
      <c r="G18" s="8">
        <f>MAX(0,$E18-$F18)</f>
        <v/>
      </c>
      <c r="H18" s="18">
        <f>IF(OR(ISNUMBER(SEARCH("fever",$D18)),ISNUMBER(SEARCH("mike",$D18)),ISNUMBER(SEARCH("mxd",$D18))),2,1)</f>
        <v/>
      </c>
      <c r="I18" s="18">
        <f>$H18*IFERROR(INDEX('Recap'!$O$5:$O$233,MATCH($K18,'Recap'!$P$5:$P$233,0)),0)</f>
        <v/>
      </c>
      <c r="J18" s="7">
        <f>$G18*$I18</f>
        <v/>
      </c>
      <c r="K18" s="4">
        <f>$A18&amp;"|"&amp;$C18</f>
        <v/>
      </c>
    </row>
    <row r="19">
      <c r="A19" s="4" t="inlineStr">
        <is>
          <t>Alisa Acciardi</t>
        </is>
      </c>
      <c r="B19" s="4" t="inlineStr">
        <is>
          <t>Mike Kennedy</t>
        </is>
      </c>
      <c r="C19" s="4" t="inlineStr">
        <is>
          <t>New Belgium Brewing Company</t>
        </is>
      </c>
      <c r="D19" s="4" t="inlineStr">
        <is>
          <t>Fat Tire Family</t>
        </is>
      </c>
      <c r="E19" s="5" t="n">
        <v>0</v>
      </c>
      <c r="F19" s="5" t="n">
        <v>8</v>
      </c>
      <c r="G19" s="8">
        <f>MAX(0,$E19-$F19)</f>
        <v/>
      </c>
      <c r="H19" s="18">
        <f>IF(OR(ISNUMBER(SEARCH("fever",$D19)),ISNUMBER(SEARCH("mike",$D19)),ISNUMBER(SEARCH("mxd",$D19))),2,1)</f>
        <v/>
      </c>
      <c r="I19" s="18">
        <f>$H19*IFERROR(INDEX('Recap'!$O$5:$O$233,MATCH($K19,'Recap'!$P$5:$P$233,0)),0)</f>
        <v/>
      </c>
      <c r="J19" s="7">
        <f>$G19*$I19</f>
        <v/>
      </c>
      <c r="K19" s="4">
        <f>$A19&amp;"|"&amp;$C19</f>
        <v/>
      </c>
    </row>
    <row r="20">
      <c r="A20" s="4" t="inlineStr">
        <is>
          <t>Alisa Acciardi</t>
        </is>
      </c>
      <c r="B20" s="4" t="inlineStr">
        <is>
          <t>Mike Kennedy</t>
        </is>
      </c>
      <c r="C20" s="4" t="inlineStr">
        <is>
          <t>New Belgium Brewing Company</t>
        </is>
      </c>
      <c r="D20" s="4" t="inlineStr">
        <is>
          <t>Voodoo Family</t>
        </is>
      </c>
      <c r="E20" s="5" t="n">
        <v>19</v>
      </c>
      <c r="F20" s="5" t="n">
        <v>23</v>
      </c>
      <c r="G20" s="8">
        <f>MAX(0,$E20-$F20)</f>
        <v/>
      </c>
      <c r="H20" s="18">
        <f>IF(OR(ISNUMBER(SEARCH("fever",$D20)),ISNUMBER(SEARCH("mike",$D20)),ISNUMBER(SEARCH("mxd",$D20))),2,1)</f>
        <v/>
      </c>
      <c r="I20" s="18">
        <f>$H20*IFERROR(INDEX('Recap'!$O$5:$O$233,MATCH($K20,'Recap'!$P$5:$P$233,0)),0)</f>
        <v/>
      </c>
      <c r="J20" s="7">
        <f>$G20*$I20</f>
        <v/>
      </c>
      <c r="K20" s="4">
        <f>$A20&amp;"|"&amp;$C20</f>
        <v/>
      </c>
    </row>
    <row r="21">
      <c r="A21" s="4" t="inlineStr">
        <is>
          <t>Alisa Acciardi</t>
        </is>
      </c>
      <c r="B21" s="4" t="inlineStr">
        <is>
          <t>Mike Kennedy</t>
        </is>
      </c>
      <c r="C21" s="4" t="inlineStr">
        <is>
          <t>Sapporo</t>
        </is>
      </c>
      <c r="D21" s="4" t="inlineStr">
        <is>
          <t>Sapporo</t>
        </is>
      </c>
      <c r="E21" s="5" t="n">
        <v>1602</v>
      </c>
      <c r="F21" s="5" t="n">
        <v>1600</v>
      </c>
      <c r="G21" s="8">
        <f>MAX(0,$E21-$F21)</f>
        <v/>
      </c>
      <c r="H21" s="18">
        <f>IF(OR(ISNUMBER(SEARCH("fever",$D21)),ISNUMBER(SEARCH("mike",$D21)),ISNUMBER(SEARCH("mxd",$D21))),2,1)</f>
        <v/>
      </c>
      <c r="I21" s="18">
        <f>$H21*IFERROR(INDEX('Recap'!$O$5:$O$233,MATCH($K21,'Recap'!$P$5:$P$233,0)),0)</f>
        <v/>
      </c>
      <c r="J21" s="7">
        <f>$G21*$I21</f>
        <v/>
      </c>
      <c r="K21" s="4">
        <f>$A21&amp;"|"&amp;$C21</f>
        <v/>
      </c>
    </row>
    <row r="22">
      <c r="A22" s="4" t="inlineStr">
        <is>
          <t>Allison Scott</t>
        </is>
      </c>
      <c r="B22" s="4" t="inlineStr">
        <is>
          <t>Chris McCrohan</t>
        </is>
      </c>
      <c r="C22" s="4" t="inlineStr">
        <is>
          <t>Boston Beer Company</t>
        </is>
      </c>
      <c r="D22" s="4" t="inlineStr">
        <is>
          <t>Dogfish Head Beer</t>
        </is>
      </c>
      <c r="E22" s="5" t="n">
        <v>418</v>
      </c>
      <c r="F22" s="5" t="n">
        <v>463</v>
      </c>
      <c r="G22" s="8">
        <f>MAX(0,$E22-$F22)</f>
        <v/>
      </c>
      <c r="H22" s="18">
        <f>IF(OR(ISNUMBER(SEARCH("fever",$D22)),ISNUMBER(SEARCH("mike",$D22)),ISNUMBER(SEARCH("mxd",$D22))),2,1)</f>
        <v/>
      </c>
      <c r="I22" s="18">
        <f>$H22*IFERROR(INDEX('Recap'!$O$5:$O$233,MATCH($K22,'Recap'!$P$5:$P$233,0)),0)</f>
        <v/>
      </c>
      <c r="J22" s="7">
        <f>$G22*$I22</f>
        <v/>
      </c>
      <c r="K22" s="4">
        <f>$A22&amp;"|"&amp;$C22</f>
        <v/>
      </c>
    </row>
    <row r="23">
      <c r="A23" s="4" t="inlineStr">
        <is>
          <t>Allison Scott</t>
        </is>
      </c>
      <c r="B23" s="4" t="inlineStr">
        <is>
          <t>Chris McCrohan</t>
        </is>
      </c>
      <c r="C23" s="4" t="inlineStr">
        <is>
          <t>Boston Beer Company</t>
        </is>
      </c>
      <c r="D23" s="4" t="inlineStr">
        <is>
          <t>Dogfish Head Spirits</t>
        </is>
      </c>
      <c r="E23" s="5" t="n">
        <v>2</v>
      </c>
      <c r="F23" s="5" t="n">
        <v>7</v>
      </c>
      <c r="G23" s="8">
        <f>MAX(0,$E23-$F23)</f>
        <v/>
      </c>
      <c r="H23" s="18">
        <f>IF(OR(ISNUMBER(SEARCH("fever",$D23)),ISNUMBER(SEARCH("mike",$D23)),ISNUMBER(SEARCH("mxd",$D23))),2,1)</f>
        <v/>
      </c>
      <c r="I23" s="18">
        <f>$H23*IFERROR(INDEX('Recap'!$O$5:$O$233,MATCH($K23,'Recap'!$P$5:$P$233,0)),0)</f>
        <v/>
      </c>
      <c r="J23" s="7">
        <f>$G23*$I23</f>
        <v/>
      </c>
      <c r="K23" s="4">
        <f>$A23&amp;"|"&amp;$C23</f>
        <v/>
      </c>
    </row>
    <row r="24">
      <c r="A24" s="4" t="inlineStr">
        <is>
          <t>Allison Scott</t>
        </is>
      </c>
      <c r="B24" s="4" t="inlineStr">
        <is>
          <t>Chris McCrohan</t>
        </is>
      </c>
      <c r="C24" s="4" t="inlineStr">
        <is>
          <t>Cape May</t>
        </is>
      </c>
      <c r="D24" s="4" t="inlineStr">
        <is>
          <t>Cape May</t>
        </is>
      </c>
      <c r="E24" s="5" t="n">
        <v>322</v>
      </c>
      <c r="F24" s="5" t="n">
        <v>330</v>
      </c>
      <c r="G24" s="8">
        <f>MAX(0,$E24-$F24)</f>
        <v/>
      </c>
      <c r="H24" s="18">
        <f>IF(OR(ISNUMBER(SEARCH("fever",$D24)),ISNUMBER(SEARCH("mike",$D24)),ISNUMBER(SEARCH("mxd",$D24))),2,1)</f>
        <v/>
      </c>
      <c r="I24" s="18">
        <f>$H24*IFERROR(INDEX('Recap'!$O$5:$O$233,MATCH($K24,'Recap'!$P$5:$P$233,0)),0)</f>
        <v/>
      </c>
      <c r="J24" s="7">
        <f>$G24*$I24</f>
        <v/>
      </c>
      <c r="K24" s="4">
        <f>$A24&amp;"|"&amp;$C24</f>
        <v/>
      </c>
    </row>
    <row r="25">
      <c r="A25" s="4" t="inlineStr">
        <is>
          <t>Allison Scott</t>
        </is>
      </c>
      <c r="B25" s="4" t="inlineStr">
        <is>
          <t>Chris McCrohan</t>
        </is>
      </c>
      <c r="C25" s="4" t="inlineStr">
        <is>
          <t>Constellation Brands</t>
        </is>
      </c>
      <c r="D25" s="4" t="inlineStr">
        <is>
          <t>Corona Premier</t>
        </is>
      </c>
      <c r="E25" s="5" t="n">
        <v>82</v>
      </c>
      <c r="F25" s="5" t="n">
        <v>131</v>
      </c>
      <c r="G25" s="8">
        <f>MAX(0,$E25-$F25)</f>
        <v/>
      </c>
      <c r="H25" s="18">
        <f>IF(OR(ISNUMBER(SEARCH("fever",$D25)),ISNUMBER(SEARCH("mike",$D25)),ISNUMBER(SEARCH("mxd",$D25))),2,1)</f>
        <v/>
      </c>
      <c r="I25" s="18">
        <f>$H25*IFERROR(INDEX('Recap'!$O$5:$O$233,MATCH($K25,'Recap'!$P$5:$P$233,0)),0)</f>
        <v/>
      </c>
      <c r="J25" s="7">
        <f>$G25*$I25</f>
        <v/>
      </c>
      <c r="K25" s="4">
        <f>$A25&amp;"|"&amp;$C25</f>
        <v/>
      </c>
    </row>
    <row r="26">
      <c r="A26" s="4" t="inlineStr">
        <is>
          <t>Allison Scott</t>
        </is>
      </c>
      <c r="B26" s="4" t="inlineStr">
        <is>
          <t>Chris McCrohan</t>
        </is>
      </c>
      <c r="C26" s="4" t="inlineStr">
        <is>
          <t>Constellation Brands</t>
        </is>
      </c>
      <c r="D26" s="4" t="inlineStr">
        <is>
          <t>Modelo Chelada</t>
        </is>
      </c>
      <c r="E26" s="5" t="n">
        <v>7</v>
      </c>
      <c r="F26" s="5" t="n">
        <v>3</v>
      </c>
      <c r="G26" s="8">
        <f>MAX(0,$E26-$F26)</f>
        <v/>
      </c>
      <c r="H26" s="18">
        <f>IF(OR(ISNUMBER(SEARCH("fever",$D26)),ISNUMBER(SEARCH("mike",$D26)),ISNUMBER(SEARCH("mxd",$D26))),2,1)</f>
        <v/>
      </c>
      <c r="I26" s="18">
        <f>$H26*IFERROR(INDEX('Recap'!$O$5:$O$233,MATCH($K26,'Recap'!$P$5:$P$233,0)),0)</f>
        <v/>
      </c>
      <c r="J26" s="7">
        <f>$G26*$I26</f>
        <v/>
      </c>
      <c r="K26" s="4">
        <f>$A26&amp;"|"&amp;$C26</f>
        <v/>
      </c>
    </row>
    <row r="27">
      <c r="A27" s="4" t="inlineStr">
        <is>
          <t>Allison Scott</t>
        </is>
      </c>
      <c r="B27" s="4" t="inlineStr">
        <is>
          <t>Chris McCrohan</t>
        </is>
      </c>
      <c r="C27" s="4" t="inlineStr">
        <is>
          <t>Constellation Brands</t>
        </is>
      </c>
      <c r="D27" s="4" t="inlineStr">
        <is>
          <t>Pacifico</t>
        </is>
      </c>
      <c r="E27" s="5" t="n">
        <v>150</v>
      </c>
      <c r="F27" s="5" t="n">
        <v>124</v>
      </c>
      <c r="G27" s="8">
        <f>MAX(0,$E27-$F27)</f>
        <v/>
      </c>
      <c r="H27" s="18">
        <f>IF(OR(ISNUMBER(SEARCH("fever",$D27)),ISNUMBER(SEARCH("mike",$D27)),ISNUMBER(SEARCH("mxd",$D27))),2,1)</f>
        <v/>
      </c>
      <c r="I27" s="18">
        <f>$H27*IFERROR(INDEX('Recap'!$O$5:$O$233,MATCH($K27,'Recap'!$P$5:$P$233,0)),0)</f>
        <v/>
      </c>
      <c r="J27" s="7">
        <f>$G27*$I27</f>
        <v/>
      </c>
      <c r="K27" s="4">
        <f>$A27&amp;"|"&amp;$C27</f>
        <v/>
      </c>
    </row>
    <row r="28">
      <c r="A28" s="4" t="inlineStr">
        <is>
          <t>Allison Scott</t>
        </is>
      </c>
      <c r="B28" s="4" t="inlineStr">
        <is>
          <t>Chris McCrohan</t>
        </is>
      </c>
      <c r="C28" s="4" t="inlineStr">
        <is>
          <t>Constellation Brands</t>
        </is>
      </c>
      <c r="D28" s="4" t="inlineStr">
        <is>
          <t>Victoria</t>
        </is>
      </c>
      <c r="E28" s="5" t="n">
        <v>46</v>
      </c>
      <c r="F28" s="5" t="n">
        <v>81</v>
      </c>
      <c r="G28" s="8">
        <f>MAX(0,$E28-$F28)</f>
        <v/>
      </c>
      <c r="H28" s="18">
        <f>IF(OR(ISNUMBER(SEARCH("fever",$D28)),ISNUMBER(SEARCH("mike",$D28)),ISNUMBER(SEARCH("mxd",$D28))),2,1)</f>
        <v/>
      </c>
      <c r="I28" s="18">
        <f>$H28*IFERROR(INDEX('Recap'!$O$5:$O$233,MATCH($K28,'Recap'!$P$5:$P$233,0)),0)</f>
        <v/>
      </c>
      <c r="J28" s="7">
        <f>$G28*$I28</f>
        <v/>
      </c>
      <c r="K28" s="4">
        <f>$A28&amp;"|"&amp;$C28</f>
        <v/>
      </c>
    </row>
    <row r="29">
      <c r="A29" s="4" t="inlineStr">
        <is>
          <t>Allison Scott</t>
        </is>
      </c>
      <c r="B29" s="4" t="inlineStr">
        <is>
          <t>Chris McCrohan</t>
        </is>
      </c>
      <c r="C29" s="4" t="inlineStr">
        <is>
          <t>DG Yuengling Inc</t>
        </is>
      </c>
      <c r="D29" s="4" t="inlineStr">
        <is>
          <t>Yuengling Flight</t>
        </is>
      </c>
      <c r="E29" s="5" t="n">
        <v>3</v>
      </c>
      <c r="F29" s="5" t="n">
        <v>9</v>
      </c>
      <c r="G29" s="8">
        <f>MAX(0,$E29-$F29)</f>
        <v/>
      </c>
      <c r="H29" s="18">
        <f>IF(OR(ISNUMBER(SEARCH("fever",$D29)),ISNUMBER(SEARCH("mike",$D29)),ISNUMBER(SEARCH("mxd",$D29))),2,1)</f>
        <v/>
      </c>
      <c r="I29" s="18">
        <f>$H29*IFERROR(INDEX('Recap'!$O$5:$O$233,MATCH($K29,'Recap'!$P$5:$P$233,0)),0)</f>
        <v/>
      </c>
      <c r="J29" s="7">
        <f>$G29*$I29</f>
        <v/>
      </c>
      <c r="K29" s="4">
        <f>$A29&amp;"|"&amp;$C29</f>
        <v/>
      </c>
    </row>
    <row r="30">
      <c r="A30" s="4" t="inlineStr">
        <is>
          <t>Allison Scott</t>
        </is>
      </c>
      <c r="B30" s="4" t="inlineStr">
        <is>
          <t>Chris McCrohan</t>
        </is>
      </c>
      <c r="C30" s="4" t="inlineStr">
        <is>
          <t>Heineken USA</t>
        </is>
      </c>
      <c r="D30" s="4" t="inlineStr">
        <is>
          <t>Heineken 0.0</t>
        </is>
      </c>
      <c r="E30" s="5" t="n">
        <v>260</v>
      </c>
      <c r="F30" s="5" t="n">
        <v>234</v>
      </c>
      <c r="G30" s="8">
        <f>MAX(0,$E30-$F30)</f>
        <v/>
      </c>
      <c r="H30" s="18">
        <f>IF(OR(ISNUMBER(SEARCH("fever",$D30)),ISNUMBER(SEARCH("mike",$D30)),ISNUMBER(SEARCH("mxd",$D30))),2,1)</f>
        <v/>
      </c>
      <c r="I30" s="18">
        <f>$H30*IFERROR(INDEX('Recap'!$O$5:$O$233,MATCH($K30,'Recap'!$P$5:$P$233,0)),0)</f>
        <v/>
      </c>
      <c r="J30" s="7">
        <f>$G30*$I30</f>
        <v/>
      </c>
      <c r="K30" s="4">
        <f>$A30&amp;"|"&amp;$C30</f>
        <v/>
      </c>
    </row>
    <row r="31">
      <c r="A31" s="4" t="inlineStr">
        <is>
          <t>Allison Scott</t>
        </is>
      </c>
      <c r="B31" s="4" t="inlineStr">
        <is>
          <t>Chris McCrohan</t>
        </is>
      </c>
      <c r="C31" s="4" t="inlineStr">
        <is>
          <t>Heineken USA</t>
        </is>
      </c>
      <c r="D31" s="4" t="inlineStr">
        <is>
          <t>Heineken Light</t>
        </is>
      </c>
      <c r="E31" s="5" t="n">
        <v>143</v>
      </c>
      <c r="F31" s="5" t="n">
        <v>180</v>
      </c>
      <c r="G31" s="8">
        <f>MAX(0,$E31-$F31)</f>
        <v/>
      </c>
      <c r="H31" s="18">
        <f>IF(OR(ISNUMBER(SEARCH("fever",$D31)),ISNUMBER(SEARCH("mike",$D31)),ISNUMBER(SEARCH("mxd",$D31))),2,1)</f>
        <v/>
      </c>
      <c r="I31" s="18">
        <f>$H31*IFERROR(INDEX('Recap'!$O$5:$O$233,MATCH($K31,'Recap'!$P$5:$P$233,0)),0)</f>
        <v/>
      </c>
      <c r="J31" s="7">
        <f>$G31*$I31</f>
        <v/>
      </c>
      <c r="K31" s="4">
        <f>$A31&amp;"|"&amp;$C31</f>
        <v/>
      </c>
    </row>
    <row r="32">
      <c r="A32" s="4" t="inlineStr">
        <is>
          <t>Allison Scott</t>
        </is>
      </c>
      <c r="B32" s="4" t="inlineStr">
        <is>
          <t>Chris McCrohan</t>
        </is>
      </c>
      <c r="C32" s="4" t="inlineStr">
        <is>
          <t>Mark Anthony</t>
        </is>
      </c>
      <c r="D32" s="4" t="inlineStr">
        <is>
          <t>Cayman Jack</t>
        </is>
      </c>
      <c r="E32" s="5" t="n">
        <v>8</v>
      </c>
      <c r="F32" s="5" t="n">
        <v>0</v>
      </c>
      <c r="G32" s="8">
        <f>MAX(0,$E32-$F32)</f>
        <v/>
      </c>
      <c r="H32" s="18">
        <f>IF(OR(ISNUMBER(SEARCH("fever",$D32)),ISNUMBER(SEARCH("mike",$D32)),ISNUMBER(SEARCH("mxd",$D32))),2,1)</f>
        <v/>
      </c>
      <c r="I32" s="18">
        <f>$H32*IFERROR(INDEX('Recap'!$O$5:$O$233,MATCH($K32,'Recap'!$P$5:$P$233,0)),0)</f>
        <v/>
      </c>
      <c r="J32" s="7">
        <f>$G32*$I32</f>
        <v/>
      </c>
      <c r="K32" s="4">
        <f>$A32&amp;"|"&amp;$C32</f>
        <v/>
      </c>
    </row>
    <row r="33">
      <c r="A33" s="4" t="inlineStr">
        <is>
          <t>Allison Scott</t>
        </is>
      </c>
      <c r="B33" s="4" t="inlineStr">
        <is>
          <t>Chris McCrohan</t>
        </is>
      </c>
      <c r="C33" s="4" t="inlineStr">
        <is>
          <t>MolsonCoors Beverage Company</t>
        </is>
      </c>
      <c r="D33" s="4" t="inlineStr">
        <is>
          <t>Coors</t>
        </is>
      </c>
      <c r="E33" s="5" t="n">
        <v>206</v>
      </c>
      <c r="F33" s="5" t="n">
        <v>180</v>
      </c>
      <c r="G33" s="8">
        <f>MAX(0,$E33-$F33)</f>
        <v/>
      </c>
      <c r="H33" s="18">
        <f>IF(OR(ISNUMBER(SEARCH("fever",$D33)),ISNUMBER(SEARCH("mike",$D33)),ISNUMBER(SEARCH("mxd",$D33))),2,1)</f>
        <v/>
      </c>
      <c r="I33" s="18">
        <f>$H33*IFERROR(INDEX('Recap'!$O$5:$O$233,MATCH($K33,'Recap'!$P$5:$P$233,0)),0)</f>
        <v/>
      </c>
      <c r="J33" s="7">
        <f>$G33*$I33</f>
        <v/>
      </c>
      <c r="K33" s="4">
        <f>$A33&amp;"|"&amp;$C33</f>
        <v/>
      </c>
    </row>
    <row r="34">
      <c r="A34" s="4" t="inlineStr">
        <is>
          <t>Allison Scott</t>
        </is>
      </c>
      <c r="B34" s="4" t="inlineStr">
        <is>
          <t>Chris McCrohan</t>
        </is>
      </c>
      <c r="C34" s="4" t="inlineStr">
        <is>
          <t>MolsonCoors Beverage Company</t>
        </is>
      </c>
      <c r="D34" s="4" t="inlineStr">
        <is>
          <t>Fever Tree</t>
        </is>
      </c>
      <c r="E34" s="5" t="n">
        <v>112</v>
      </c>
      <c r="F34" s="5" t="n">
        <v>14</v>
      </c>
      <c r="G34" s="8">
        <f>MAX(0,$E34-$F34)</f>
        <v/>
      </c>
      <c r="H34" s="18">
        <f>IF(OR(ISNUMBER(SEARCH("fever",$D34)),ISNUMBER(SEARCH("mike",$D34)),ISNUMBER(SEARCH("mxd",$D34))),2,1)</f>
        <v/>
      </c>
      <c r="I34" s="18">
        <f>$H34*IFERROR(INDEX('Recap'!$O$5:$O$233,MATCH($K34,'Recap'!$P$5:$P$233,0)),0)</f>
        <v/>
      </c>
      <c r="J34" s="7">
        <f>$G34*$I34</f>
        <v/>
      </c>
      <c r="K34" s="4">
        <f>$A34&amp;"|"&amp;$C34</f>
        <v/>
      </c>
    </row>
    <row r="35">
      <c r="A35" s="4" t="inlineStr">
        <is>
          <t>Allison Scott</t>
        </is>
      </c>
      <c r="B35" s="4" t="inlineStr">
        <is>
          <t>Chris McCrohan</t>
        </is>
      </c>
      <c r="C35" s="4" t="inlineStr">
        <is>
          <t>MolsonCoors Beverage Company</t>
        </is>
      </c>
      <c r="D35" s="4" t="inlineStr">
        <is>
          <t>Peroni</t>
        </is>
      </c>
      <c r="E35" s="5" t="n">
        <v>799</v>
      </c>
      <c r="F35" s="5" t="n">
        <v>520</v>
      </c>
      <c r="G35" s="8">
        <f>MAX(0,$E35-$F35)</f>
        <v/>
      </c>
      <c r="H35" s="18">
        <f>IF(OR(ISNUMBER(SEARCH("fever",$D35)),ISNUMBER(SEARCH("mike",$D35)),ISNUMBER(SEARCH("mxd",$D35))),2,1)</f>
        <v/>
      </c>
      <c r="I35" s="18">
        <f>$H35*IFERROR(INDEX('Recap'!$O$5:$O$233,MATCH($K35,'Recap'!$P$5:$P$233,0)),0)</f>
        <v/>
      </c>
      <c r="J35" s="7">
        <f>$G35*$I35</f>
        <v/>
      </c>
      <c r="K35" s="4">
        <f>$A35&amp;"|"&amp;$C35</f>
        <v/>
      </c>
    </row>
    <row r="36">
      <c r="A36" s="4" t="inlineStr">
        <is>
          <t>Allison Scott</t>
        </is>
      </c>
      <c r="B36" s="4" t="inlineStr">
        <is>
          <t>Chris McCrohan</t>
        </is>
      </c>
      <c r="C36" s="4" t="inlineStr">
        <is>
          <t>New Belgium Brewing Company</t>
        </is>
      </c>
      <c r="D36" s="4" t="inlineStr">
        <is>
          <t>Bell's</t>
        </is>
      </c>
      <c r="E36" s="5" t="n">
        <v>0</v>
      </c>
      <c r="F36" s="5" t="n">
        <v>1</v>
      </c>
      <c r="G36" s="8">
        <f>MAX(0,$E36-$F36)</f>
        <v/>
      </c>
      <c r="H36" s="18">
        <f>IF(OR(ISNUMBER(SEARCH("fever",$D36)),ISNUMBER(SEARCH("mike",$D36)),ISNUMBER(SEARCH("mxd",$D36))),2,1)</f>
        <v/>
      </c>
      <c r="I36" s="18">
        <f>$H36*IFERROR(INDEX('Recap'!$O$5:$O$233,MATCH($K36,'Recap'!$P$5:$P$233,0)),0)</f>
        <v/>
      </c>
      <c r="J36" s="7">
        <f>$G36*$I36</f>
        <v/>
      </c>
      <c r="K36" s="4">
        <f>$A36&amp;"|"&amp;$C36</f>
        <v/>
      </c>
    </row>
    <row r="37">
      <c r="A37" s="4" t="inlineStr">
        <is>
          <t>Allison Scott</t>
        </is>
      </c>
      <c r="B37" s="4" t="inlineStr">
        <is>
          <t>Chris McCrohan</t>
        </is>
      </c>
      <c r="C37" s="4" t="inlineStr">
        <is>
          <t>New Belgium Brewing Company</t>
        </is>
      </c>
      <c r="D37" s="4" t="inlineStr">
        <is>
          <t>Fat Tire Family</t>
        </is>
      </c>
      <c r="E37" s="5" t="n">
        <v>136</v>
      </c>
      <c r="F37" s="5" t="n">
        <v>85</v>
      </c>
      <c r="G37" s="8">
        <f>MAX(0,$E37-$F37)</f>
        <v/>
      </c>
      <c r="H37" s="18">
        <f>IF(OR(ISNUMBER(SEARCH("fever",$D37)),ISNUMBER(SEARCH("mike",$D37)),ISNUMBER(SEARCH("mxd",$D37))),2,1)</f>
        <v/>
      </c>
      <c r="I37" s="18">
        <f>$H37*IFERROR(INDEX('Recap'!$O$5:$O$233,MATCH($K37,'Recap'!$P$5:$P$233,0)),0)</f>
        <v/>
      </c>
      <c r="J37" s="7">
        <f>$G37*$I37</f>
        <v/>
      </c>
      <c r="K37" s="4">
        <f>$A37&amp;"|"&amp;$C37</f>
        <v/>
      </c>
    </row>
    <row r="38">
      <c r="A38" s="4" t="inlineStr">
        <is>
          <t>Allison Scott</t>
        </is>
      </c>
      <c r="B38" s="4" t="inlineStr">
        <is>
          <t>Chris McCrohan</t>
        </is>
      </c>
      <c r="C38" s="4" t="inlineStr">
        <is>
          <t>New Belgium Brewing Company</t>
        </is>
      </c>
      <c r="D38" s="4" t="inlineStr">
        <is>
          <t>Kirin Ichiban</t>
        </is>
      </c>
      <c r="E38" s="5" t="n">
        <v>7</v>
      </c>
      <c r="F38" s="5" t="n">
        <v>15</v>
      </c>
      <c r="G38" s="8">
        <f>MAX(0,$E38-$F38)</f>
        <v/>
      </c>
      <c r="H38" s="18">
        <f>IF(OR(ISNUMBER(SEARCH("fever",$D38)),ISNUMBER(SEARCH("mike",$D38)),ISNUMBER(SEARCH("mxd",$D38))),2,1)</f>
        <v/>
      </c>
      <c r="I38" s="18">
        <f>$H38*IFERROR(INDEX('Recap'!$O$5:$O$233,MATCH($K38,'Recap'!$P$5:$P$233,0)),0)</f>
        <v/>
      </c>
      <c r="J38" s="7">
        <f>$G38*$I38</f>
        <v/>
      </c>
      <c r="K38" s="4">
        <f>$A38&amp;"|"&amp;$C38</f>
        <v/>
      </c>
    </row>
    <row r="39">
      <c r="A39" s="4" t="inlineStr">
        <is>
          <t>Allison Scott</t>
        </is>
      </c>
      <c r="B39" s="4" t="inlineStr">
        <is>
          <t>Chris McCrohan</t>
        </is>
      </c>
      <c r="C39" s="4" t="inlineStr">
        <is>
          <t>New Belgium Brewing Company</t>
        </is>
      </c>
      <c r="D39" s="4" t="inlineStr">
        <is>
          <t>Voodoo Family</t>
        </is>
      </c>
      <c r="E39" s="5" t="n">
        <v>448</v>
      </c>
      <c r="F39" s="5" t="n">
        <v>321</v>
      </c>
      <c r="G39" s="8">
        <f>MAX(0,$E39-$F39)</f>
        <v/>
      </c>
      <c r="H39" s="18">
        <f>IF(OR(ISNUMBER(SEARCH("fever",$D39)),ISNUMBER(SEARCH("mike",$D39)),ISNUMBER(SEARCH("mxd",$D39))),2,1)</f>
        <v/>
      </c>
      <c r="I39" s="18">
        <f>$H39*IFERROR(INDEX('Recap'!$O$5:$O$233,MATCH($K39,'Recap'!$P$5:$P$233,0)),0)</f>
        <v/>
      </c>
      <c r="J39" s="7">
        <f>$G39*$I39</f>
        <v/>
      </c>
      <c r="K39" s="4">
        <f>$A39&amp;"|"&amp;$C39</f>
        <v/>
      </c>
    </row>
    <row r="40">
      <c r="A40" s="4" t="inlineStr">
        <is>
          <t>Allison Scott</t>
        </is>
      </c>
      <c r="B40" s="4" t="inlineStr">
        <is>
          <t>Chris McCrohan</t>
        </is>
      </c>
      <c r="C40" s="4" t="inlineStr">
        <is>
          <t>Sapporo</t>
        </is>
      </c>
      <c r="D40" s="4" t="inlineStr">
        <is>
          <t>Sapporo</t>
        </is>
      </c>
      <c r="E40" s="5" t="n">
        <v>259</v>
      </c>
      <c r="F40" s="5" t="n">
        <v>169</v>
      </c>
      <c r="G40" s="8">
        <f>MAX(0,$E40-$F40)</f>
        <v/>
      </c>
      <c r="H40" s="18">
        <f>IF(OR(ISNUMBER(SEARCH("fever",$D40)),ISNUMBER(SEARCH("mike",$D40)),ISNUMBER(SEARCH("mxd",$D40))),2,1)</f>
        <v/>
      </c>
      <c r="I40" s="18">
        <f>$H40*IFERROR(INDEX('Recap'!$O$5:$O$233,MATCH($K40,'Recap'!$P$5:$P$233,0)),0)</f>
        <v/>
      </c>
      <c r="J40" s="7">
        <f>$G40*$I40</f>
        <v/>
      </c>
      <c r="K40" s="4">
        <f>$A40&amp;"|"&amp;$C40</f>
        <v/>
      </c>
    </row>
    <row r="41">
      <c r="A41" s="4" t="inlineStr">
        <is>
          <t>Andrew Lundy</t>
        </is>
      </c>
      <c r="B41" s="4" t="inlineStr">
        <is>
          <t>Mike Kennedy</t>
        </is>
      </c>
      <c r="C41" s="4" t="inlineStr">
        <is>
          <t>MolsonCoors Beverage Company</t>
        </is>
      </c>
      <c r="D41" s="4" t="inlineStr">
        <is>
          <t>Fever Tree</t>
        </is>
      </c>
      <c r="E41" s="5" t="n">
        <v>0</v>
      </c>
      <c r="F41" s="5" t="n">
        <v>45</v>
      </c>
      <c r="G41" s="8">
        <f>MAX(0,$E41-$F41)</f>
        <v/>
      </c>
      <c r="H41" s="18">
        <f>IF(OR(ISNUMBER(SEARCH("fever",$D41)),ISNUMBER(SEARCH("mike",$D41)),ISNUMBER(SEARCH("mxd",$D41))),2,1)</f>
        <v/>
      </c>
      <c r="I41" s="18">
        <f>$H41*IFERROR(INDEX('Recap'!$O$5:$O$233,MATCH($K41,'Recap'!$P$5:$P$233,0)),0)</f>
        <v/>
      </c>
      <c r="J41" s="7">
        <f>$G41*$I41</f>
        <v/>
      </c>
      <c r="K41" s="4">
        <f>$A41&amp;"|"&amp;$C41</f>
        <v/>
      </c>
    </row>
    <row r="42">
      <c r="A42" s="4" t="inlineStr">
        <is>
          <t>Andrew Lundy</t>
        </is>
      </c>
      <c r="B42" s="4" t="inlineStr">
        <is>
          <t>Mike Kennedy</t>
        </is>
      </c>
      <c r="C42" s="4" t="inlineStr">
        <is>
          <t>Sapporo</t>
        </is>
      </c>
      <c r="D42" s="4" t="inlineStr">
        <is>
          <t>Sapporo</t>
        </is>
      </c>
      <c r="E42" s="5" t="n">
        <v>1837</v>
      </c>
      <c r="F42" s="5" t="n">
        <v>1730</v>
      </c>
      <c r="G42" s="8">
        <f>MAX(0,$E42-$F42)</f>
        <v/>
      </c>
      <c r="H42" s="18">
        <f>IF(OR(ISNUMBER(SEARCH("fever",$D42)),ISNUMBER(SEARCH("mike",$D42)),ISNUMBER(SEARCH("mxd",$D42))),2,1)</f>
        <v/>
      </c>
      <c r="I42" s="18">
        <f>$H42*IFERROR(INDEX('Recap'!$O$5:$O$233,MATCH($K42,'Recap'!$P$5:$P$233,0)),0)</f>
        <v/>
      </c>
      <c r="J42" s="7">
        <f>$G42*$I42</f>
        <v/>
      </c>
      <c r="K42" s="4">
        <f>$A42&amp;"|"&amp;$C42</f>
        <v/>
      </c>
    </row>
    <row r="43">
      <c r="A43" s="4" t="inlineStr">
        <is>
          <t>Anthony Palmisano</t>
        </is>
      </c>
      <c r="B43" s="4" t="inlineStr">
        <is>
          <t>Chris McCrohan</t>
        </is>
      </c>
      <c r="C43" s="4" t="inlineStr">
        <is>
          <t>Boston Beer Company</t>
        </is>
      </c>
      <c r="D43" s="4" t="inlineStr">
        <is>
          <t>Dogfish Head Beer</t>
        </is>
      </c>
      <c r="E43" s="5" t="n">
        <v>936</v>
      </c>
      <c r="F43" s="5" t="n">
        <v>936</v>
      </c>
      <c r="G43" s="8">
        <f>MAX(0,$E43-$F43)</f>
        <v/>
      </c>
      <c r="H43" s="18">
        <f>IF(OR(ISNUMBER(SEARCH("fever",$D43)),ISNUMBER(SEARCH("mike",$D43)),ISNUMBER(SEARCH("mxd",$D43))),2,1)</f>
        <v/>
      </c>
      <c r="I43" s="18">
        <f>$H43*IFERROR(INDEX('Recap'!$O$5:$O$233,MATCH($K43,'Recap'!$P$5:$P$233,0)),0)</f>
        <v/>
      </c>
      <c r="J43" s="7">
        <f>$G43*$I43</f>
        <v/>
      </c>
      <c r="K43" s="4">
        <f>$A43&amp;"|"&amp;$C43</f>
        <v/>
      </c>
    </row>
    <row r="44">
      <c r="A44" s="4" t="inlineStr">
        <is>
          <t>Anthony Palmisano</t>
        </is>
      </c>
      <c r="B44" s="4" t="inlineStr">
        <is>
          <t>Chris McCrohan</t>
        </is>
      </c>
      <c r="C44" s="4" t="inlineStr">
        <is>
          <t>Boston Beer Company</t>
        </is>
      </c>
      <c r="D44" s="4" t="inlineStr">
        <is>
          <t>Dogfish Head Spirits</t>
        </is>
      </c>
      <c r="E44" s="5" t="n">
        <v>219</v>
      </c>
      <c r="F44" s="5" t="n">
        <v>335</v>
      </c>
      <c r="G44" s="8">
        <f>MAX(0,$E44-$F44)</f>
        <v/>
      </c>
      <c r="H44" s="18">
        <f>IF(OR(ISNUMBER(SEARCH("fever",$D44)),ISNUMBER(SEARCH("mike",$D44)),ISNUMBER(SEARCH("mxd",$D44))),2,1)</f>
        <v/>
      </c>
      <c r="I44" s="18">
        <f>$H44*IFERROR(INDEX('Recap'!$O$5:$O$233,MATCH($K44,'Recap'!$P$5:$P$233,0)),0)</f>
        <v/>
      </c>
      <c r="J44" s="7">
        <f>$G44*$I44</f>
        <v/>
      </c>
      <c r="K44" s="4">
        <f>$A44&amp;"|"&amp;$C44</f>
        <v/>
      </c>
    </row>
    <row r="45">
      <c r="A45" s="4" t="inlineStr">
        <is>
          <t>Anthony Palmisano</t>
        </is>
      </c>
      <c r="B45" s="4" t="inlineStr">
        <is>
          <t>Chris McCrohan</t>
        </is>
      </c>
      <c r="C45" s="4" t="inlineStr">
        <is>
          <t>Cape May</t>
        </is>
      </c>
      <c r="D45" s="4" t="inlineStr">
        <is>
          <t>Cape May</t>
        </is>
      </c>
      <c r="E45" s="5" t="n">
        <v>756</v>
      </c>
      <c r="F45" s="5" t="n">
        <v>702</v>
      </c>
      <c r="G45" s="8">
        <f>MAX(0,$E45-$F45)</f>
        <v/>
      </c>
      <c r="H45" s="18">
        <f>IF(OR(ISNUMBER(SEARCH("fever",$D45)),ISNUMBER(SEARCH("mike",$D45)),ISNUMBER(SEARCH("mxd",$D45))),2,1)</f>
        <v/>
      </c>
      <c r="I45" s="18">
        <f>$H45*IFERROR(INDEX('Recap'!$O$5:$O$233,MATCH($K45,'Recap'!$P$5:$P$233,0)),0)</f>
        <v/>
      </c>
      <c r="J45" s="7">
        <f>$G45*$I45</f>
        <v/>
      </c>
      <c r="K45" s="4">
        <f>$A45&amp;"|"&amp;$C45</f>
        <v/>
      </c>
    </row>
    <row r="46">
      <c r="A46" s="4" t="inlineStr">
        <is>
          <t>Anthony Palmisano</t>
        </is>
      </c>
      <c r="B46" s="4" t="inlineStr">
        <is>
          <t>Chris McCrohan</t>
        </is>
      </c>
      <c r="C46" s="4" t="inlineStr">
        <is>
          <t>Constellation Brands</t>
        </is>
      </c>
      <c r="D46" s="4" t="inlineStr">
        <is>
          <t>Corona Premier</t>
        </is>
      </c>
      <c r="E46" s="5" t="n">
        <v>424</v>
      </c>
      <c r="F46" s="5" t="n">
        <v>515</v>
      </c>
      <c r="G46" s="8">
        <f>MAX(0,$E46-$F46)</f>
        <v/>
      </c>
      <c r="H46" s="18">
        <f>IF(OR(ISNUMBER(SEARCH("fever",$D46)),ISNUMBER(SEARCH("mike",$D46)),ISNUMBER(SEARCH("mxd",$D46))),2,1)</f>
        <v/>
      </c>
      <c r="I46" s="18">
        <f>$H46*IFERROR(INDEX('Recap'!$O$5:$O$233,MATCH($K46,'Recap'!$P$5:$P$233,0)),0)</f>
        <v/>
      </c>
      <c r="J46" s="7">
        <f>$G46*$I46</f>
        <v/>
      </c>
      <c r="K46" s="4">
        <f>$A46&amp;"|"&amp;$C46</f>
        <v/>
      </c>
    </row>
    <row r="47">
      <c r="A47" s="4" t="inlineStr">
        <is>
          <t>Anthony Palmisano</t>
        </is>
      </c>
      <c r="B47" s="4" t="inlineStr">
        <is>
          <t>Chris McCrohan</t>
        </is>
      </c>
      <c r="C47" s="4" t="inlineStr">
        <is>
          <t>Constellation Brands</t>
        </is>
      </c>
      <c r="D47" s="4" t="inlineStr">
        <is>
          <t>Modelo Chelada</t>
        </is>
      </c>
      <c r="E47" s="5" t="n">
        <v>1248</v>
      </c>
      <c r="F47" s="5" t="n">
        <v>1056</v>
      </c>
      <c r="G47" s="8">
        <f>MAX(0,$E47-$F47)</f>
        <v/>
      </c>
      <c r="H47" s="18">
        <f>IF(OR(ISNUMBER(SEARCH("fever",$D47)),ISNUMBER(SEARCH("mike",$D47)),ISNUMBER(SEARCH("mxd",$D47))),2,1)</f>
        <v/>
      </c>
      <c r="I47" s="18">
        <f>$H47*IFERROR(INDEX('Recap'!$O$5:$O$233,MATCH($K47,'Recap'!$P$5:$P$233,0)),0)</f>
        <v/>
      </c>
      <c r="J47" s="7">
        <f>$G47*$I47</f>
        <v/>
      </c>
      <c r="K47" s="4">
        <f>$A47&amp;"|"&amp;$C47</f>
        <v/>
      </c>
    </row>
    <row r="48">
      <c r="A48" s="4" t="inlineStr">
        <is>
          <t>Anthony Palmisano</t>
        </is>
      </c>
      <c r="B48" s="4" t="inlineStr">
        <is>
          <t>Chris McCrohan</t>
        </is>
      </c>
      <c r="C48" s="4" t="inlineStr">
        <is>
          <t>Constellation Brands</t>
        </is>
      </c>
      <c r="D48" s="4" t="inlineStr">
        <is>
          <t>Pacifico</t>
        </is>
      </c>
      <c r="E48" s="5" t="n">
        <v>711</v>
      </c>
      <c r="F48" s="5" t="n">
        <v>503</v>
      </c>
      <c r="G48" s="8">
        <f>MAX(0,$E48-$F48)</f>
        <v/>
      </c>
      <c r="H48" s="18">
        <f>IF(OR(ISNUMBER(SEARCH("fever",$D48)),ISNUMBER(SEARCH("mike",$D48)),ISNUMBER(SEARCH("mxd",$D48))),2,1)</f>
        <v/>
      </c>
      <c r="I48" s="18">
        <f>$H48*IFERROR(INDEX('Recap'!$O$5:$O$233,MATCH($K48,'Recap'!$P$5:$P$233,0)),0)</f>
        <v/>
      </c>
      <c r="J48" s="7">
        <f>$G48*$I48</f>
        <v/>
      </c>
      <c r="K48" s="4">
        <f>$A48&amp;"|"&amp;$C48</f>
        <v/>
      </c>
    </row>
    <row r="49">
      <c r="A49" s="4" t="inlineStr">
        <is>
          <t>Anthony Palmisano</t>
        </is>
      </c>
      <c r="B49" s="4" t="inlineStr">
        <is>
          <t>Chris McCrohan</t>
        </is>
      </c>
      <c r="C49" s="4" t="inlineStr">
        <is>
          <t>Constellation Brands</t>
        </is>
      </c>
      <c r="D49" s="4" t="inlineStr">
        <is>
          <t>Victoria</t>
        </is>
      </c>
      <c r="E49" s="5" t="n">
        <v>1184</v>
      </c>
      <c r="F49" s="5" t="n">
        <v>1199</v>
      </c>
      <c r="G49" s="8">
        <f>MAX(0,$E49-$F49)</f>
        <v/>
      </c>
      <c r="H49" s="18">
        <f>IF(OR(ISNUMBER(SEARCH("fever",$D49)),ISNUMBER(SEARCH("mike",$D49)),ISNUMBER(SEARCH("mxd",$D49))),2,1)</f>
        <v/>
      </c>
      <c r="I49" s="18">
        <f>$H49*IFERROR(INDEX('Recap'!$O$5:$O$233,MATCH($K49,'Recap'!$P$5:$P$233,0)),0)</f>
        <v/>
      </c>
      <c r="J49" s="7">
        <f>$G49*$I49</f>
        <v/>
      </c>
      <c r="K49" s="4">
        <f>$A49&amp;"|"&amp;$C49</f>
        <v/>
      </c>
    </row>
    <row r="50">
      <c r="A50" s="4" t="inlineStr">
        <is>
          <t>Anthony Palmisano</t>
        </is>
      </c>
      <c r="B50" s="4" t="inlineStr">
        <is>
          <t>Chris McCrohan</t>
        </is>
      </c>
      <c r="C50" s="4" t="inlineStr">
        <is>
          <t>DG Yuengling Inc</t>
        </is>
      </c>
      <c r="D50" s="4" t="inlineStr">
        <is>
          <t>Yuengling Flight</t>
        </is>
      </c>
      <c r="E50" s="5" t="n">
        <v>134</v>
      </c>
      <c r="F50" s="5" t="n">
        <v>191</v>
      </c>
      <c r="G50" s="8">
        <f>MAX(0,$E50-$F50)</f>
        <v/>
      </c>
      <c r="H50" s="18">
        <f>IF(OR(ISNUMBER(SEARCH("fever",$D50)),ISNUMBER(SEARCH("mike",$D50)),ISNUMBER(SEARCH("mxd",$D50))),2,1)</f>
        <v/>
      </c>
      <c r="I50" s="18">
        <f>$H50*IFERROR(INDEX('Recap'!$O$5:$O$233,MATCH($K50,'Recap'!$P$5:$P$233,0)),0)</f>
        <v/>
      </c>
      <c r="J50" s="7">
        <f>$G50*$I50</f>
        <v/>
      </c>
      <c r="K50" s="4">
        <f>$A50&amp;"|"&amp;$C50</f>
        <v/>
      </c>
    </row>
    <row r="51">
      <c r="A51" s="4" t="inlineStr">
        <is>
          <t>Anthony Palmisano</t>
        </is>
      </c>
      <c r="B51" s="4" t="inlineStr">
        <is>
          <t>Chris McCrohan</t>
        </is>
      </c>
      <c r="C51" s="4" t="inlineStr">
        <is>
          <t>DG Yuengling Inc</t>
        </is>
      </c>
      <c r="D51" s="4" t="inlineStr">
        <is>
          <t>Yuengling Light Lager</t>
        </is>
      </c>
      <c r="E51" s="5" t="n">
        <v>204</v>
      </c>
      <c r="F51" s="5" t="n">
        <v>209</v>
      </c>
      <c r="G51" s="8">
        <f>MAX(0,$E51-$F51)</f>
        <v/>
      </c>
      <c r="H51" s="18">
        <f>IF(OR(ISNUMBER(SEARCH("fever",$D51)),ISNUMBER(SEARCH("mike",$D51)),ISNUMBER(SEARCH("mxd",$D51))),2,1)</f>
        <v/>
      </c>
      <c r="I51" s="18">
        <f>$H51*IFERROR(INDEX('Recap'!$O$5:$O$233,MATCH($K51,'Recap'!$P$5:$P$233,0)),0)</f>
        <v/>
      </c>
      <c r="J51" s="7">
        <f>$G51*$I51</f>
        <v/>
      </c>
      <c r="K51" s="4">
        <f>$A51&amp;"|"&amp;$C51</f>
        <v/>
      </c>
    </row>
    <row r="52">
      <c r="A52" s="4" t="inlineStr">
        <is>
          <t>Anthony Palmisano</t>
        </is>
      </c>
      <c r="B52" s="4" t="inlineStr">
        <is>
          <t>Chris McCrohan</t>
        </is>
      </c>
      <c r="C52" s="4" t="inlineStr">
        <is>
          <t>Heineken USA</t>
        </is>
      </c>
      <c r="D52" s="4" t="inlineStr">
        <is>
          <t>Heineken 0.0</t>
        </is>
      </c>
      <c r="E52" s="5" t="n">
        <v>355</v>
      </c>
      <c r="F52" s="5" t="n">
        <v>336</v>
      </c>
      <c r="G52" s="8">
        <f>MAX(0,$E52-$F52)</f>
        <v/>
      </c>
      <c r="H52" s="18">
        <f>IF(OR(ISNUMBER(SEARCH("fever",$D52)),ISNUMBER(SEARCH("mike",$D52)),ISNUMBER(SEARCH("mxd",$D52))),2,1)</f>
        <v/>
      </c>
      <c r="I52" s="18">
        <f>$H52*IFERROR(INDEX('Recap'!$O$5:$O$233,MATCH($K52,'Recap'!$P$5:$P$233,0)),0)</f>
        <v/>
      </c>
      <c r="J52" s="7">
        <f>$G52*$I52</f>
        <v/>
      </c>
      <c r="K52" s="4">
        <f>$A52&amp;"|"&amp;$C52</f>
        <v/>
      </c>
    </row>
    <row r="53">
      <c r="A53" s="4" t="inlineStr">
        <is>
          <t>Anthony Palmisano</t>
        </is>
      </c>
      <c r="B53" s="4" t="inlineStr">
        <is>
          <t>Chris McCrohan</t>
        </is>
      </c>
      <c r="C53" s="4" t="inlineStr">
        <is>
          <t>Heineken USA</t>
        </is>
      </c>
      <c r="D53" s="4" t="inlineStr">
        <is>
          <t>Heineken Light</t>
        </is>
      </c>
      <c r="E53" s="5" t="n">
        <v>371</v>
      </c>
      <c r="F53" s="5" t="n">
        <v>400</v>
      </c>
      <c r="G53" s="8">
        <f>MAX(0,$E53-$F53)</f>
        <v/>
      </c>
      <c r="H53" s="18">
        <f>IF(OR(ISNUMBER(SEARCH("fever",$D53)),ISNUMBER(SEARCH("mike",$D53)),ISNUMBER(SEARCH("mxd",$D53))),2,1)</f>
        <v/>
      </c>
      <c r="I53" s="18">
        <f>$H53*IFERROR(INDEX('Recap'!$O$5:$O$233,MATCH($K53,'Recap'!$P$5:$P$233,0)),0)</f>
        <v/>
      </c>
      <c r="J53" s="7">
        <f>$G53*$I53</f>
        <v/>
      </c>
      <c r="K53" s="4">
        <f>$A53&amp;"|"&amp;$C53</f>
        <v/>
      </c>
    </row>
    <row r="54">
      <c r="A54" s="4" t="inlineStr">
        <is>
          <t>Anthony Palmisano</t>
        </is>
      </c>
      <c r="B54" s="4" t="inlineStr">
        <is>
          <t>Chris McCrohan</t>
        </is>
      </c>
      <c r="C54" s="4" t="inlineStr">
        <is>
          <t>Mark Anthony</t>
        </is>
      </c>
      <c r="D54" s="4" t="inlineStr">
        <is>
          <t>Cayman Jack</t>
        </is>
      </c>
      <c r="E54" s="5" t="n">
        <v>577</v>
      </c>
      <c r="F54" s="5" t="n">
        <v>552</v>
      </c>
      <c r="G54" s="8">
        <f>MAX(0,$E54-$F54)</f>
        <v/>
      </c>
      <c r="H54" s="18">
        <f>IF(OR(ISNUMBER(SEARCH("fever",$D54)),ISNUMBER(SEARCH("mike",$D54)),ISNUMBER(SEARCH("mxd",$D54))),2,1)</f>
        <v/>
      </c>
      <c r="I54" s="18">
        <f>$H54*IFERROR(INDEX('Recap'!$O$5:$O$233,MATCH($K54,'Recap'!$P$5:$P$233,0)),0)</f>
        <v/>
      </c>
      <c r="J54" s="7">
        <f>$G54*$I54</f>
        <v/>
      </c>
      <c r="K54" s="4">
        <f>$A54&amp;"|"&amp;$C54</f>
        <v/>
      </c>
    </row>
    <row r="55">
      <c r="A55" s="4" t="inlineStr">
        <is>
          <t>Anthony Palmisano</t>
        </is>
      </c>
      <c r="B55" s="4" t="inlineStr">
        <is>
          <t>Chris McCrohan</t>
        </is>
      </c>
      <c r="C55" s="4" t="inlineStr">
        <is>
          <t>Mark Anthony</t>
        </is>
      </c>
      <c r="D55" s="4" t="inlineStr">
        <is>
          <t>Mike's Harder</t>
        </is>
      </c>
      <c r="E55" s="5" t="n">
        <v>168</v>
      </c>
      <c r="F55" s="5" t="n">
        <v>225</v>
      </c>
      <c r="G55" s="8">
        <f>MAX(0,$E55-$F55)</f>
        <v/>
      </c>
      <c r="H55" s="18">
        <f>IF(OR(ISNUMBER(SEARCH("fever",$D55)),ISNUMBER(SEARCH("mike",$D55)),ISNUMBER(SEARCH("mxd",$D55))),2,1)</f>
        <v/>
      </c>
      <c r="I55" s="18">
        <f>$H55*IFERROR(INDEX('Recap'!$O$5:$O$233,MATCH($K55,'Recap'!$P$5:$P$233,0)),0)</f>
        <v/>
      </c>
      <c r="J55" s="7">
        <f>$G55*$I55</f>
        <v/>
      </c>
      <c r="K55" s="4">
        <f>$A55&amp;"|"&amp;$C55</f>
        <v/>
      </c>
    </row>
    <row r="56">
      <c r="A56" s="4" t="inlineStr">
        <is>
          <t>Anthony Palmisano</t>
        </is>
      </c>
      <c r="B56" s="4" t="inlineStr">
        <is>
          <t>Chris McCrohan</t>
        </is>
      </c>
      <c r="C56" s="4" t="inlineStr">
        <is>
          <t>MolsonCoors Beverage Company</t>
        </is>
      </c>
      <c r="D56" s="4" t="inlineStr">
        <is>
          <t>Coors</t>
        </is>
      </c>
      <c r="E56" s="5" t="n">
        <v>2447</v>
      </c>
      <c r="F56" s="5" t="n">
        <v>2237</v>
      </c>
      <c r="G56" s="8">
        <f>MAX(0,$E56-$F56)</f>
        <v/>
      </c>
      <c r="H56" s="18">
        <f>IF(OR(ISNUMBER(SEARCH("fever",$D56)),ISNUMBER(SEARCH("mike",$D56)),ISNUMBER(SEARCH("mxd",$D56))),2,1)</f>
        <v/>
      </c>
      <c r="I56" s="18">
        <f>$H56*IFERROR(INDEX('Recap'!$O$5:$O$233,MATCH($K56,'Recap'!$P$5:$P$233,0)),0)</f>
        <v/>
      </c>
      <c r="J56" s="7">
        <f>$G56*$I56</f>
        <v/>
      </c>
      <c r="K56" s="4">
        <f>$A56&amp;"|"&amp;$C56</f>
        <v/>
      </c>
    </row>
    <row r="57">
      <c r="A57" s="4" t="inlineStr">
        <is>
          <t>Anthony Palmisano</t>
        </is>
      </c>
      <c r="B57" s="4" t="inlineStr">
        <is>
          <t>Chris McCrohan</t>
        </is>
      </c>
      <c r="C57" s="4" t="inlineStr">
        <is>
          <t>MolsonCoors Beverage Company</t>
        </is>
      </c>
      <c r="D57" s="4" t="inlineStr">
        <is>
          <t>Fever Tree</t>
        </is>
      </c>
      <c r="E57" s="5" t="n">
        <v>108</v>
      </c>
      <c r="F57" s="5" t="n">
        <v>74</v>
      </c>
      <c r="G57" s="8">
        <f>MAX(0,$E57-$F57)</f>
        <v/>
      </c>
      <c r="H57" s="18">
        <f>IF(OR(ISNUMBER(SEARCH("fever",$D57)),ISNUMBER(SEARCH("mike",$D57)),ISNUMBER(SEARCH("mxd",$D57))),2,1)</f>
        <v/>
      </c>
      <c r="I57" s="18">
        <f>$H57*IFERROR(INDEX('Recap'!$O$5:$O$233,MATCH($K57,'Recap'!$P$5:$P$233,0)),0)</f>
        <v/>
      </c>
      <c r="J57" s="7">
        <f>$G57*$I57</f>
        <v/>
      </c>
      <c r="K57" s="4">
        <f>$A57&amp;"|"&amp;$C57</f>
        <v/>
      </c>
    </row>
    <row r="58">
      <c r="A58" s="4" t="inlineStr">
        <is>
          <t>Anthony Palmisano</t>
        </is>
      </c>
      <c r="B58" s="4" t="inlineStr">
        <is>
          <t>Chris McCrohan</t>
        </is>
      </c>
      <c r="C58" s="4" t="inlineStr">
        <is>
          <t>MolsonCoors Beverage Company</t>
        </is>
      </c>
      <c r="D58" s="4" t="inlineStr">
        <is>
          <t>Peroni</t>
        </is>
      </c>
      <c r="E58" s="5" t="n">
        <v>753</v>
      </c>
      <c r="F58" s="5" t="n">
        <v>577</v>
      </c>
      <c r="G58" s="8">
        <f>MAX(0,$E58-$F58)</f>
        <v/>
      </c>
      <c r="H58" s="18">
        <f>IF(OR(ISNUMBER(SEARCH("fever",$D58)),ISNUMBER(SEARCH("mike",$D58)),ISNUMBER(SEARCH("mxd",$D58))),2,1)</f>
        <v/>
      </c>
      <c r="I58" s="18">
        <f>$H58*IFERROR(INDEX('Recap'!$O$5:$O$233,MATCH($K58,'Recap'!$P$5:$P$233,0)),0)</f>
        <v/>
      </c>
      <c r="J58" s="7">
        <f>$G58*$I58</f>
        <v/>
      </c>
      <c r="K58" s="4">
        <f>$A58&amp;"|"&amp;$C58</f>
        <v/>
      </c>
    </row>
    <row r="59">
      <c r="A59" s="4" t="inlineStr">
        <is>
          <t>Anthony Palmisano</t>
        </is>
      </c>
      <c r="B59" s="4" t="inlineStr">
        <is>
          <t>Chris McCrohan</t>
        </is>
      </c>
      <c r="C59" s="4" t="inlineStr">
        <is>
          <t>New Belgium Brewing Company</t>
        </is>
      </c>
      <c r="D59" s="4" t="inlineStr">
        <is>
          <t>Bell's</t>
        </is>
      </c>
      <c r="E59" s="5" t="n">
        <v>8</v>
      </c>
      <c r="F59" s="5" t="n">
        <v>43</v>
      </c>
      <c r="G59" s="8">
        <f>MAX(0,$E59-$F59)</f>
        <v/>
      </c>
      <c r="H59" s="18">
        <f>IF(OR(ISNUMBER(SEARCH("fever",$D59)),ISNUMBER(SEARCH("mike",$D59)),ISNUMBER(SEARCH("mxd",$D59))),2,1)</f>
        <v/>
      </c>
      <c r="I59" s="18">
        <f>$H59*IFERROR(INDEX('Recap'!$O$5:$O$233,MATCH($K59,'Recap'!$P$5:$P$233,0)),0)</f>
        <v/>
      </c>
      <c r="J59" s="7">
        <f>$G59*$I59</f>
        <v/>
      </c>
      <c r="K59" s="4">
        <f>$A59&amp;"|"&amp;$C59</f>
        <v/>
      </c>
    </row>
    <row r="60">
      <c r="A60" s="4" t="inlineStr">
        <is>
          <t>Anthony Palmisano</t>
        </is>
      </c>
      <c r="B60" s="4" t="inlineStr">
        <is>
          <t>Chris McCrohan</t>
        </is>
      </c>
      <c r="C60" s="4" t="inlineStr">
        <is>
          <t>New Belgium Brewing Company</t>
        </is>
      </c>
      <c r="D60" s="4" t="inlineStr">
        <is>
          <t>Fat Tire Family</t>
        </is>
      </c>
      <c r="E60" s="5" t="n">
        <v>129</v>
      </c>
      <c r="F60" s="5" t="n">
        <v>112</v>
      </c>
      <c r="G60" s="8">
        <f>MAX(0,$E60-$F60)</f>
        <v/>
      </c>
      <c r="H60" s="18">
        <f>IF(OR(ISNUMBER(SEARCH("fever",$D60)),ISNUMBER(SEARCH("mike",$D60)),ISNUMBER(SEARCH("mxd",$D60))),2,1)</f>
        <v/>
      </c>
      <c r="I60" s="18">
        <f>$H60*IFERROR(INDEX('Recap'!$O$5:$O$233,MATCH($K60,'Recap'!$P$5:$P$233,0)),0)</f>
        <v/>
      </c>
      <c r="J60" s="7">
        <f>$G60*$I60</f>
        <v/>
      </c>
      <c r="K60" s="4">
        <f>$A60&amp;"|"&amp;$C60</f>
        <v/>
      </c>
    </row>
    <row r="61">
      <c r="A61" s="4" t="inlineStr">
        <is>
          <t>Anthony Palmisano</t>
        </is>
      </c>
      <c r="B61" s="4" t="inlineStr">
        <is>
          <t>Chris McCrohan</t>
        </is>
      </c>
      <c r="C61" s="4" t="inlineStr">
        <is>
          <t>New Belgium Brewing Company</t>
        </is>
      </c>
      <c r="D61" s="4" t="inlineStr">
        <is>
          <t>Kirin Ichiban</t>
        </is>
      </c>
      <c r="E61" s="5" t="n">
        <v>8</v>
      </c>
      <c r="F61" s="5" t="n">
        <v>2</v>
      </c>
      <c r="G61" s="8">
        <f>MAX(0,$E61-$F61)</f>
        <v/>
      </c>
      <c r="H61" s="18">
        <f>IF(OR(ISNUMBER(SEARCH("fever",$D61)),ISNUMBER(SEARCH("mike",$D61)),ISNUMBER(SEARCH("mxd",$D61))),2,1)</f>
        <v/>
      </c>
      <c r="I61" s="18">
        <f>$H61*IFERROR(INDEX('Recap'!$O$5:$O$233,MATCH($K61,'Recap'!$P$5:$P$233,0)),0)</f>
        <v/>
      </c>
      <c r="J61" s="7">
        <f>$G61*$I61</f>
        <v/>
      </c>
      <c r="K61" s="4">
        <f>$A61&amp;"|"&amp;$C61</f>
        <v/>
      </c>
    </row>
    <row r="62">
      <c r="A62" s="4" t="inlineStr">
        <is>
          <t>Anthony Palmisano</t>
        </is>
      </c>
      <c r="B62" s="4" t="inlineStr">
        <is>
          <t>Chris McCrohan</t>
        </is>
      </c>
      <c r="C62" s="4" t="inlineStr">
        <is>
          <t>New Belgium Brewing Company</t>
        </is>
      </c>
      <c r="D62" s="4" t="inlineStr">
        <is>
          <t>Voodoo Family</t>
        </is>
      </c>
      <c r="E62" s="5" t="n">
        <v>1024</v>
      </c>
      <c r="F62" s="5" t="n">
        <v>887</v>
      </c>
      <c r="G62" s="8">
        <f>MAX(0,$E62-$F62)</f>
        <v/>
      </c>
      <c r="H62" s="18">
        <f>IF(OR(ISNUMBER(SEARCH("fever",$D62)),ISNUMBER(SEARCH("mike",$D62)),ISNUMBER(SEARCH("mxd",$D62))),2,1)</f>
        <v/>
      </c>
      <c r="I62" s="18">
        <f>$H62*IFERROR(INDEX('Recap'!$O$5:$O$233,MATCH($K62,'Recap'!$P$5:$P$233,0)),0)</f>
        <v/>
      </c>
      <c r="J62" s="7">
        <f>$G62*$I62</f>
        <v/>
      </c>
      <c r="K62" s="4">
        <f>$A62&amp;"|"&amp;$C62</f>
        <v/>
      </c>
    </row>
    <row r="63">
      <c r="A63" s="4" t="inlineStr">
        <is>
          <t>Anthony Palmisano</t>
        </is>
      </c>
      <c r="B63" s="4" t="inlineStr">
        <is>
          <t>Chris McCrohan</t>
        </is>
      </c>
      <c r="C63" s="4" t="inlineStr">
        <is>
          <t>Sapporo</t>
        </is>
      </c>
      <c r="D63" s="4" t="inlineStr">
        <is>
          <t>Sapporo</t>
        </is>
      </c>
      <c r="E63" s="5" t="n">
        <v>181</v>
      </c>
      <c r="F63" s="5" t="n">
        <v>106</v>
      </c>
      <c r="G63" s="8">
        <f>MAX(0,$E63-$F63)</f>
        <v/>
      </c>
      <c r="H63" s="18">
        <f>IF(OR(ISNUMBER(SEARCH("fever",$D63)),ISNUMBER(SEARCH("mike",$D63)),ISNUMBER(SEARCH("mxd",$D63))),2,1)</f>
        <v/>
      </c>
      <c r="I63" s="18">
        <f>$H63*IFERROR(INDEX('Recap'!$O$5:$O$233,MATCH($K63,'Recap'!$P$5:$P$233,0)),0)</f>
        <v/>
      </c>
      <c r="J63" s="7">
        <f>$G63*$I63</f>
        <v/>
      </c>
      <c r="K63" s="4">
        <f>$A63&amp;"|"&amp;$C63</f>
        <v/>
      </c>
    </row>
    <row r="64">
      <c r="A64" s="4" t="inlineStr">
        <is>
          <t>Brian Sengebush</t>
        </is>
      </c>
      <c r="B64" s="4" t="inlineStr">
        <is>
          <t>Chris McCrohan</t>
        </is>
      </c>
      <c r="C64" s="4" t="inlineStr">
        <is>
          <t>Boston Beer Company</t>
        </is>
      </c>
      <c r="D64" s="4" t="inlineStr">
        <is>
          <t>Dogfish Head Beer</t>
        </is>
      </c>
      <c r="E64" s="5" t="n">
        <v>422</v>
      </c>
      <c r="F64" s="5" t="n">
        <v>438</v>
      </c>
      <c r="G64" s="8">
        <f>MAX(0,$E64-$F64)</f>
        <v/>
      </c>
      <c r="H64" s="18">
        <f>IF(OR(ISNUMBER(SEARCH("fever",$D64)),ISNUMBER(SEARCH("mike",$D64)),ISNUMBER(SEARCH("mxd",$D64))),2,1)</f>
        <v/>
      </c>
      <c r="I64" s="18">
        <f>$H64*IFERROR(INDEX('Recap'!$O$5:$O$233,MATCH($K64,'Recap'!$P$5:$P$233,0)),0)</f>
        <v/>
      </c>
      <c r="J64" s="7">
        <f>$G64*$I64</f>
        <v/>
      </c>
      <c r="K64" s="4">
        <f>$A64&amp;"|"&amp;$C64</f>
        <v/>
      </c>
    </row>
    <row r="65">
      <c r="A65" s="4" t="inlineStr">
        <is>
          <t>Brian Sengebush</t>
        </is>
      </c>
      <c r="B65" s="4" t="inlineStr">
        <is>
          <t>Chris McCrohan</t>
        </is>
      </c>
      <c r="C65" s="4" t="inlineStr">
        <is>
          <t>Cape May</t>
        </is>
      </c>
      <c r="D65" s="4" t="inlineStr">
        <is>
          <t>Cape May</t>
        </is>
      </c>
      <c r="E65" s="5" t="n">
        <v>337</v>
      </c>
      <c r="F65" s="5" t="n">
        <v>277</v>
      </c>
      <c r="G65" s="8">
        <f>MAX(0,$E65-$F65)</f>
        <v/>
      </c>
      <c r="H65" s="18">
        <f>IF(OR(ISNUMBER(SEARCH("fever",$D65)),ISNUMBER(SEARCH("mike",$D65)),ISNUMBER(SEARCH("mxd",$D65))),2,1)</f>
        <v/>
      </c>
      <c r="I65" s="18">
        <f>$H65*IFERROR(INDEX('Recap'!$O$5:$O$233,MATCH($K65,'Recap'!$P$5:$P$233,0)),0)</f>
        <v/>
      </c>
      <c r="J65" s="7">
        <f>$G65*$I65</f>
        <v/>
      </c>
      <c r="K65" s="4">
        <f>$A65&amp;"|"&amp;$C65</f>
        <v/>
      </c>
    </row>
    <row r="66">
      <c r="A66" s="4" t="inlineStr">
        <is>
          <t>Brian Sengebush</t>
        </is>
      </c>
      <c r="B66" s="4" t="inlineStr">
        <is>
          <t>Chris McCrohan</t>
        </is>
      </c>
      <c r="C66" s="4" t="inlineStr">
        <is>
          <t>Constellation Brands</t>
        </is>
      </c>
      <c r="D66" s="4" t="inlineStr">
        <is>
          <t>Corona Premier</t>
        </is>
      </c>
      <c r="E66" s="5" t="n">
        <v>131</v>
      </c>
      <c r="F66" s="5" t="n">
        <v>137</v>
      </c>
      <c r="G66" s="8">
        <f>MAX(0,$E66-$F66)</f>
        <v/>
      </c>
      <c r="H66" s="18">
        <f>IF(OR(ISNUMBER(SEARCH("fever",$D66)),ISNUMBER(SEARCH("mike",$D66)),ISNUMBER(SEARCH("mxd",$D66))),2,1)</f>
        <v/>
      </c>
      <c r="I66" s="18">
        <f>$H66*IFERROR(INDEX('Recap'!$O$5:$O$233,MATCH($K66,'Recap'!$P$5:$P$233,0)),0)</f>
        <v/>
      </c>
      <c r="J66" s="7">
        <f>$G66*$I66</f>
        <v/>
      </c>
      <c r="K66" s="4">
        <f>$A66&amp;"|"&amp;$C66</f>
        <v/>
      </c>
    </row>
    <row r="67">
      <c r="A67" s="4" t="inlineStr">
        <is>
          <t>Brian Sengebush</t>
        </is>
      </c>
      <c r="B67" s="4" t="inlineStr">
        <is>
          <t>Chris McCrohan</t>
        </is>
      </c>
      <c r="C67" s="4" t="inlineStr">
        <is>
          <t>Constellation Brands</t>
        </is>
      </c>
      <c r="D67" s="4" t="inlineStr">
        <is>
          <t>Modelo Chelada</t>
        </is>
      </c>
      <c r="E67" s="5" t="n">
        <v>60</v>
      </c>
      <c r="F67" s="5" t="n">
        <v>59</v>
      </c>
      <c r="G67" s="8">
        <f>MAX(0,$E67-$F67)</f>
        <v/>
      </c>
      <c r="H67" s="18">
        <f>IF(OR(ISNUMBER(SEARCH("fever",$D67)),ISNUMBER(SEARCH("mike",$D67)),ISNUMBER(SEARCH("mxd",$D67))),2,1)</f>
        <v/>
      </c>
      <c r="I67" s="18">
        <f>$H67*IFERROR(INDEX('Recap'!$O$5:$O$233,MATCH($K67,'Recap'!$P$5:$P$233,0)),0)</f>
        <v/>
      </c>
      <c r="J67" s="7">
        <f>$G67*$I67</f>
        <v/>
      </c>
      <c r="K67" s="4">
        <f>$A67&amp;"|"&amp;$C67</f>
        <v/>
      </c>
    </row>
    <row r="68">
      <c r="A68" s="4" t="inlineStr">
        <is>
          <t>Brian Sengebush</t>
        </is>
      </c>
      <c r="B68" s="4" t="inlineStr">
        <is>
          <t>Chris McCrohan</t>
        </is>
      </c>
      <c r="C68" s="4" t="inlineStr">
        <is>
          <t>Constellation Brands</t>
        </is>
      </c>
      <c r="D68" s="4" t="inlineStr">
        <is>
          <t>Pacifico</t>
        </is>
      </c>
      <c r="E68" s="5" t="n">
        <v>180</v>
      </c>
      <c r="F68" s="5" t="n">
        <v>233</v>
      </c>
      <c r="G68" s="8">
        <f>MAX(0,$E68-$F68)</f>
        <v/>
      </c>
      <c r="H68" s="18">
        <f>IF(OR(ISNUMBER(SEARCH("fever",$D68)),ISNUMBER(SEARCH("mike",$D68)),ISNUMBER(SEARCH("mxd",$D68))),2,1)</f>
        <v/>
      </c>
      <c r="I68" s="18">
        <f>$H68*IFERROR(INDEX('Recap'!$O$5:$O$233,MATCH($K68,'Recap'!$P$5:$P$233,0)),0)</f>
        <v/>
      </c>
      <c r="J68" s="7">
        <f>$G68*$I68</f>
        <v/>
      </c>
      <c r="K68" s="4">
        <f>$A68&amp;"|"&amp;$C68</f>
        <v/>
      </c>
    </row>
    <row r="69">
      <c r="A69" s="4" t="inlineStr">
        <is>
          <t>Brian Sengebush</t>
        </is>
      </c>
      <c r="B69" s="4" t="inlineStr">
        <is>
          <t>Chris McCrohan</t>
        </is>
      </c>
      <c r="C69" s="4" t="inlineStr">
        <is>
          <t>Constellation Brands</t>
        </is>
      </c>
      <c r="D69" s="4" t="inlineStr">
        <is>
          <t>Victoria</t>
        </is>
      </c>
      <c r="E69" s="5" t="n">
        <v>37</v>
      </c>
      <c r="F69" s="5" t="n">
        <v>24</v>
      </c>
      <c r="G69" s="8">
        <f>MAX(0,$E69-$F69)</f>
        <v/>
      </c>
      <c r="H69" s="18">
        <f>IF(OR(ISNUMBER(SEARCH("fever",$D69)),ISNUMBER(SEARCH("mike",$D69)),ISNUMBER(SEARCH("mxd",$D69))),2,1)</f>
        <v/>
      </c>
      <c r="I69" s="18">
        <f>$H69*IFERROR(INDEX('Recap'!$O$5:$O$233,MATCH($K69,'Recap'!$P$5:$P$233,0)),0)</f>
        <v/>
      </c>
      <c r="J69" s="7">
        <f>$G69*$I69</f>
        <v/>
      </c>
      <c r="K69" s="4">
        <f>$A69&amp;"|"&amp;$C69</f>
        <v/>
      </c>
    </row>
    <row r="70">
      <c r="A70" s="4" t="inlineStr">
        <is>
          <t>Brian Sengebush</t>
        </is>
      </c>
      <c r="B70" s="4" t="inlineStr">
        <is>
          <t>Chris McCrohan</t>
        </is>
      </c>
      <c r="C70" s="4" t="inlineStr">
        <is>
          <t>DG Yuengling Inc</t>
        </is>
      </c>
      <c r="D70" s="4" t="inlineStr">
        <is>
          <t>Yuengling Flight</t>
        </is>
      </c>
      <c r="E70" s="5" t="n">
        <v>27</v>
      </c>
      <c r="F70" s="5" t="n">
        <v>41</v>
      </c>
      <c r="G70" s="8">
        <f>MAX(0,$E70-$F70)</f>
        <v/>
      </c>
      <c r="H70" s="18">
        <f>IF(OR(ISNUMBER(SEARCH("fever",$D70)),ISNUMBER(SEARCH("mike",$D70)),ISNUMBER(SEARCH("mxd",$D70))),2,1)</f>
        <v/>
      </c>
      <c r="I70" s="18">
        <f>$H70*IFERROR(INDEX('Recap'!$O$5:$O$233,MATCH($K70,'Recap'!$P$5:$P$233,0)),0)</f>
        <v/>
      </c>
      <c r="J70" s="7">
        <f>$G70*$I70</f>
        <v/>
      </c>
      <c r="K70" s="4">
        <f>$A70&amp;"|"&amp;$C70</f>
        <v/>
      </c>
    </row>
    <row r="71">
      <c r="A71" s="4" t="inlineStr">
        <is>
          <t>Brian Sengebush</t>
        </is>
      </c>
      <c r="B71" s="4" t="inlineStr">
        <is>
          <t>Chris McCrohan</t>
        </is>
      </c>
      <c r="C71" s="4" t="inlineStr">
        <is>
          <t>DG Yuengling Inc</t>
        </is>
      </c>
      <c r="D71" s="4" t="inlineStr">
        <is>
          <t>Yuengling Light Lager</t>
        </is>
      </c>
      <c r="E71" s="5" t="n">
        <v>54</v>
      </c>
      <c r="F71" s="5" t="n">
        <v>60</v>
      </c>
      <c r="G71" s="8">
        <f>MAX(0,$E71-$F71)</f>
        <v/>
      </c>
      <c r="H71" s="18">
        <f>IF(OR(ISNUMBER(SEARCH("fever",$D71)),ISNUMBER(SEARCH("mike",$D71)),ISNUMBER(SEARCH("mxd",$D71))),2,1)</f>
        <v/>
      </c>
      <c r="I71" s="18">
        <f>$H71*IFERROR(INDEX('Recap'!$O$5:$O$233,MATCH($K71,'Recap'!$P$5:$P$233,0)),0)</f>
        <v/>
      </c>
      <c r="J71" s="7">
        <f>$G71*$I71</f>
        <v/>
      </c>
      <c r="K71" s="4">
        <f>$A71&amp;"|"&amp;$C71</f>
        <v/>
      </c>
    </row>
    <row r="72">
      <c r="A72" s="4" t="inlineStr">
        <is>
          <t>Brian Sengebush</t>
        </is>
      </c>
      <c r="B72" s="4" t="inlineStr">
        <is>
          <t>Chris McCrohan</t>
        </is>
      </c>
      <c r="C72" s="4" t="inlineStr">
        <is>
          <t>Mark Anthony</t>
        </is>
      </c>
      <c r="D72" s="4" t="inlineStr">
        <is>
          <t>Cayman Jack</t>
        </is>
      </c>
      <c r="E72" s="5" t="n">
        <v>19</v>
      </c>
      <c r="F72" s="5" t="n">
        <v>25</v>
      </c>
      <c r="G72" s="8">
        <f>MAX(0,$E72-$F72)</f>
        <v/>
      </c>
      <c r="H72" s="18">
        <f>IF(OR(ISNUMBER(SEARCH("fever",$D72)),ISNUMBER(SEARCH("mike",$D72)),ISNUMBER(SEARCH("mxd",$D72))),2,1)</f>
        <v/>
      </c>
      <c r="I72" s="18">
        <f>$H72*IFERROR(INDEX('Recap'!$O$5:$O$233,MATCH($K72,'Recap'!$P$5:$P$233,0)),0)</f>
        <v/>
      </c>
      <c r="J72" s="7">
        <f>$G72*$I72</f>
        <v/>
      </c>
      <c r="K72" s="4">
        <f>$A72&amp;"|"&amp;$C72</f>
        <v/>
      </c>
    </row>
    <row r="73">
      <c r="A73" s="4" t="inlineStr">
        <is>
          <t>Brian Sengebush</t>
        </is>
      </c>
      <c r="B73" s="4" t="inlineStr">
        <is>
          <t>Chris McCrohan</t>
        </is>
      </c>
      <c r="C73" s="4" t="inlineStr">
        <is>
          <t>Mark Anthony</t>
        </is>
      </c>
      <c r="D73" s="4" t="inlineStr">
        <is>
          <t>Mike's Harder</t>
        </is>
      </c>
      <c r="E73" s="5" t="n">
        <v>3</v>
      </c>
      <c r="F73" s="5" t="n">
        <v>13</v>
      </c>
      <c r="G73" s="8">
        <f>MAX(0,$E73-$F73)</f>
        <v/>
      </c>
      <c r="H73" s="18">
        <f>IF(OR(ISNUMBER(SEARCH("fever",$D73)),ISNUMBER(SEARCH("mike",$D73)),ISNUMBER(SEARCH("mxd",$D73))),2,1)</f>
        <v/>
      </c>
      <c r="I73" s="18">
        <f>$H73*IFERROR(INDEX('Recap'!$O$5:$O$233,MATCH($K73,'Recap'!$P$5:$P$233,0)),0)</f>
        <v/>
      </c>
      <c r="J73" s="7">
        <f>$G73*$I73</f>
        <v/>
      </c>
      <c r="K73" s="4">
        <f>$A73&amp;"|"&amp;$C73</f>
        <v/>
      </c>
    </row>
    <row r="74">
      <c r="A74" s="4" t="inlineStr">
        <is>
          <t>Brian Sengebush</t>
        </is>
      </c>
      <c r="B74" s="4" t="inlineStr">
        <is>
          <t>Chris McCrohan</t>
        </is>
      </c>
      <c r="C74" s="4" t="inlineStr">
        <is>
          <t>MolsonCoors Beverage Company</t>
        </is>
      </c>
      <c r="D74" s="4" t="inlineStr">
        <is>
          <t>Coors</t>
        </is>
      </c>
      <c r="E74" s="5" t="n">
        <v>545</v>
      </c>
      <c r="F74" s="5" t="n">
        <v>416</v>
      </c>
      <c r="G74" s="8">
        <f>MAX(0,$E74-$F74)</f>
        <v/>
      </c>
      <c r="H74" s="18">
        <f>IF(OR(ISNUMBER(SEARCH("fever",$D74)),ISNUMBER(SEARCH("mike",$D74)),ISNUMBER(SEARCH("mxd",$D74))),2,1)</f>
        <v/>
      </c>
      <c r="I74" s="18">
        <f>$H74*IFERROR(INDEX('Recap'!$O$5:$O$233,MATCH($K74,'Recap'!$P$5:$P$233,0)),0)</f>
        <v/>
      </c>
      <c r="J74" s="7">
        <f>$G74*$I74</f>
        <v/>
      </c>
      <c r="K74" s="4">
        <f>$A74&amp;"|"&amp;$C74</f>
        <v/>
      </c>
    </row>
    <row r="75">
      <c r="A75" s="4" t="inlineStr">
        <is>
          <t>Brian Sengebush</t>
        </is>
      </c>
      <c r="B75" s="4" t="inlineStr">
        <is>
          <t>Chris McCrohan</t>
        </is>
      </c>
      <c r="C75" s="4" t="inlineStr">
        <is>
          <t>MolsonCoors Beverage Company</t>
        </is>
      </c>
      <c r="D75" s="4" t="inlineStr">
        <is>
          <t>Fever Tree</t>
        </is>
      </c>
      <c r="E75" s="5" t="n">
        <v>54</v>
      </c>
      <c r="F75" s="5" t="n">
        <v>31</v>
      </c>
      <c r="G75" s="8">
        <f>MAX(0,$E75-$F75)</f>
        <v/>
      </c>
      <c r="H75" s="18">
        <f>IF(OR(ISNUMBER(SEARCH("fever",$D75)),ISNUMBER(SEARCH("mike",$D75)),ISNUMBER(SEARCH("mxd",$D75))),2,1)</f>
        <v/>
      </c>
      <c r="I75" s="18">
        <f>$H75*IFERROR(INDEX('Recap'!$O$5:$O$233,MATCH($K75,'Recap'!$P$5:$P$233,0)),0)</f>
        <v/>
      </c>
      <c r="J75" s="7">
        <f>$G75*$I75</f>
        <v/>
      </c>
      <c r="K75" s="4">
        <f>$A75&amp;"|"&amp;$C75</f>
        <v/>
      </c>
    </row>
    <row r="76">
      <c r="A76" s="4" t="inlineStr">
        <is>
          <t>Brian Sengebush</t>
        </is>
      </c>
      <c r="B76" s="4" t="inlineStr">
        <is>
          <t>Chris McCrohan</t>
        </is>
      </c>
      <c r="C76" s="4" t="inlineStr">
        <is>
          <t>MolsonCoors Beverage Company</t>
        </is>
      </c>
      <c r="D76" s="4" t="inlineStr">
        <is>
          <t>Peroni</t>
        </is>
      </c>
      <c r="E76" s="5" t="n">
        <v>139</v>
      </c>
      <c r="F76" s="5" t="n">
        <v>72</v>
      </c>
      <c r="G76" s="8">
        <f>MAX(0,$E76-$F76)</f>
        <v/>
      </c>
      <c r="H76" s="18">
        <f>IF(OR(ISNUMBER(SEARCH("fever",$D76)),ISNUMBER(SEARCH("mike",$D76)),ISNUMBER(SEARCH("mxd",$D76))),2,1)</f>
        <v/>
      </c>
      <c r="I76" s="18">
        <f>$H76*IFERROR(INDEX('Recap'!$O$5:$O$233,MATCH($K76,'Recap'!$P$5:$P$233,0)),0)</f>
        <v/>
      </c>
      <c r="J76" s="7">
        <f>$G76*$I76</f>
        <v/>
      </c>
      <c r="K76" s="4">
        <f>$A76&amp;"|"&amp;$C76</f>
        <v/>
      </c>
    </row>
    <row r="77">
      <c r="A77" s="4" t="inlineStr">
        <is>
          <t>Brian Sengebush</t>
        </is>
      </c>
      <c r="B77" s="4" t="inlineStr">
        <is>
          <t>Chris McCrohan</t>
        </is>
      </c>
      <c r="C77" s="4" t="inlineStr">
        <is>
          <t>New Belgium Brewing Company</t>
        </is>
      </c>
      <c r="D77" s="4" t="inlineStr">
        <is>
          <t>Bell's</t>
        </is>
      </c>
      <c r="E77" s="5" t="n">
        <v>0</v>
      </c>
      <c r="F77" s="5" t="n">
        <v>7</v>
      </c>
      <c r="G77" s="8">
        <f>MAX(0,$E77-$F77)</f>
        <v/>
      </c>
      <c r="H77" s="18">
        <f>IF(OR(ISNUMBER(SEARCH("fever",$D77)),ISNUMBER(SEARCH("mike",$D77)),ISNUMBER(SEARCH("mxd",$D77))),2,1)</f>
        <v/>
      </c>
      <c r="I77" s="18">
        <f>$H77*IFERROR(INDEX('Recap'!$O$5:$O$233,MATCH($K77,'Recap'!$P$5:$P$233,0)),0)</f>
        <v/>
      </c>
      <c r="J77" s="7">
        <f>$G77*$I77</f>
        <v/>
      </c>
      <c r="K77" s="4">
        <f>$A77&amp;"|"&amp;$C77</f>
        <v/>
      </c>
    </row>
    <row r="78">
      <c r="A78" s="4" t="inlineStr">
        <is>
          <t>Brian Sengebush</t>
        </is>
      </c>
      <c r="B78" s="4" t="inlineStr">
        <is>
          <t>Chris McCrohan</t>
        </is>
      </c>
      <c r="C78" s="4" t="inlineStr">
        <is>
          <t>New Belgium Brewing Company</t>
        </is>
      </c>
      <c r="D78" s="4" t="inlineStr">
        <is>
          <t>Fat Tire Family</t>
        </is>
      </c>
      <c r="E78" s="5" t="n">
        <v>64</v>
      </c>
      <c r="F78" s="5" t="n">
        <v>104</v>
      </c>
      <c r="G78" s="8">
        <f>MAX(0,$E78-$F78)</f>
        <v/>
      </c>
      <c r="H78" s="18">
        <f>IF(OR(ISNUMBER(SEARCH("fever",$D78)),ISNUMBER(SEARCH("mike",$D78)),ISNUMBER(SEARCH("mxd",$D78))),2,1)</f>
        <v/>
      </c>
      <c r="I78" s="18">
        <f>$H78*IFERROR(INDEX('Recap'!$O$5:$O$233,MATCH($K78,'Recap'!$P$5:$P$233,0)),0)</f>
        <v/>
      </c>
      <c r="J78" s="7">
        <f>$G78*$I78</f>
        <v/>
      </c>
      <c r="K78" s="4">
        <f>$A78&amp;"|"&amp;$C78</f>
        <v/>
      </c>
    </row>
    <row r="79">
      <c r="A79" s="4" t="inlineStr">
        <is>
          <t>Brian Sengebush</t>
        </is>
      </c>
      <c r="B79" s="4" t="inlineStr">
        <is>
          <t>Chris McCrohan</t>
        </is>
      </c>
      <c r="C79" s="4" t="inlineStr">
        <is>
          <t>New Belgium Brewing Company</t>
        </is>
      </c>
      <c r="D79" s="4" t="inlineStr">
        <is>
          <t>Voodoo Family</t>
        </is>
      </c>
      <c r="E79" s="5" t="n">
        <v>286</v>
      </c>
      <c r="F79" s="5" t="n">
        <v>228</v>
      </c>
      <c r="G79" s="8">
        <f>MAX(0,$E79-$F79)</f>
        <v/>
      </c>
      <c r="H79" s="18">
        <f>IF(OR(ISNUMBER(SEARCH("fever",$D79)),ISNUMBER(SEARCH("mike",$D79)),ISNUMBER(SEARCH("mxd",$D79))),2,1)</f>
        <v/>
      </c>
      <c r="I79" s="18">
        <f>$H79*IFERROR(INDEX('Recap'!$O$5:$O$233,MATCH($K79,'Recap'!$P$5:$P$233,0)),0)</f>
        <v/>
      </c>
      <c r="J79" s="7">
        <f>$G79*$I79</f>
        <v/>
      </c>
      <c r="K79" s="4">
        <f>$A79&amp;"|"&amp;$C79</f>
        <v/>
      </c>
    </row>
    <row r="80">
      <c r="A80" s="4" t="inlineStr">
        <is>
          <t>Brian Sengebush</t>
        </is>
      </c>
      <c r="B80" s="4" t="inlineStr">
        <is>
          <t>Chris McCrohan</t>
        </is>
      </c>
      <c r="C80" s="4" t="inlineStr">
        <is>
          <t>Sapporo</t>
        </is>
      </c>
      <c r="D80" s="4" t="inlineStr">
        <is>
          <t>Sapporo</t>
        </is>
      </c>
      <c r="E80" s="5" t="n">
        <v>23</v>
      </c>
      <c r="F80" s="5" t="n">
        <v>17</v>
      </c>
      <c r="G80" s="8">
        <f>MAX(0,$E80-$F80)</f>
        <v/>
      </c>
      <c r="H80" s="18">
        <f>IF(OR(ISNUMBER(SEARCH("fever",$D80)),ISNUMBER(SEARCH("mike",$D80)),ISNUMBER(SEARCH("mxd",$D80))),2,1)</f>
        <v/>
      </c>
      <c r="I80" s="18">
        <f>$H80*IFERROR(INDEX('Recap'!$O$5:$O$233,MATCH($K80,'Recap'!$P$5:$P$233,0)),0)</f>
        <v/>
      </c>
      <c r="J80" s="7">
        <f>$G80*$I80</f>
        <v/>
      </c>
      <c r="K80" s="4">
        <f>$A80&amp;"|"&amp;$C80</f>
        <v/>
      </c>
    </row>
    <row r="81">
      <c r="A81" s="4" t="inlineStr">
        <is>
          <t>Chris Payton</t>
        </is>
      </c>
      <c r="B81" s="4" t="inlineStr">
        <is>
          <t>Mike Engel</t>
        </is>
      </c>
      <c r="C81" s="4" t="inlineStr">
        <is>
          <t>Boston Beer Company</t>
        </is>
      </c>
      <c r="D81" s="4" t="inlineStr">
        <is>
          <t>Dogfish Head Beer</t>
        </is>
      </c>
      <c r="E81" s="5" t="n">
        <v>306</v>
      </c>
      <c r="F81" s="5" t="n">
        <v>334</v>
      </c>
      <c r="G81" s="8">
        <f>MAX(0,$E81-$F81)</f>
        <v/>
      </c>
      <c r="H81" s="18">
        <f>IF(OR(ISNUMBER(SEARCH("fever",$D81)),ISNUMBER(SEARCH("mike",$D81)),ISNUMBER(SEARCH("mxd",$D81))),2,1)</f>
        <v/>
      </c>
      <c r="I81" s="18">
        <f>$H81*IFERROR(INDEX('Recap'!$O$5:$O$233,MATCH($K81,'Recap'!$P$5:$P$233,0)),0)</f>
        <v/>
      </c>
      <c r="J81" s="7">
        <f>$G81*$I81</f>
        <v/>
      </c>
      <c r="K81" s="4">
        <f>$A81&amp;"|"&amp;$C81</f>
        <v/>
      </c>
    </row>
    <row r="82">
      <c r="A82" s="4" t="inlineStr">
        <is>
          <t>Chris Payton</t>
        </is>
      </c>
      <c r="B82" s="4" t="inlineStr">
        <is>
          <t>Mike Engel</t>
        </is>
      </c>
      <c r="C82" s="4" t="inlineStr">
        <is>
          <t>Boston Beer Company</t>
        </is>
      </c>
      <c r="D82" s="4" t="inlineStr">
        <is>
          <t>Dogfish Head Spirits</t>
        </is>
      </c>
      <c r="E82" s="5" t="n">
        <v>88</v>
      </c>
      <c r="F82" s="5" t="n">
        <v>40</v>
      </c>
      <c r="G82" s="8">
        <f>MAX(0,$E82-$F82)</f>
        <v/>
      </c>
      <c r="H82" s="18">
        <f>IF(OR(ISNUMBER(SEARCH("fever",$D82)),ISNUMBER(SEARCH("mike",$D82)),ISNUMBER(SEARCH("mxd",$D82))),2,1)</f>
        <v/>
      </c>
      <c r="I82" s="18">
        <f>$H82*IFERROR(INDEX('Recap'!$O$5:$O$233,MATCH($K82,'Recap'!$P$5:$P$233,0)),0)</f>
        <v/>
      </c>
      <c r="J82" s="7">
        <f>$G82*$I82</f>
        <v/>
      </c>
      <c r="K82" s="4">
        <f>$A82&amp;"|"&amp;$C82</f>
        <v/>
      </c>
    </row>
    <row r="83">
      <c r="A83" s="4" t="inlineStr">
        <is>
          <t>Chris Payton</t>
        </is>
      </c>
      <c r="B83" s="4" t="inlineStr">
        <is>
          <t>Mike Engel</t>
        </is>
      </c>
      <c r="C83" s="4" t="inlineStr">
        <is>
          <t>Cape May</t>
        </is>
      </c>
      <c r="D83" s="4" t="inlineStr">
        <is>
          <t>Cape May</t>
        </is>
      </c>
      <c r="E83" s="5" t="n">
        <v>255</v>
      </c>
      <c r="F83" s="5" t="n">
        <v>247</v>
      </c>
      <c r="G83" s="8">
        <f>MAX(0,$E83-$F83)</f>
        <v/>
      </c>
      <c r="H83" s="18">
        <f>IF(OR(ISNUMBER(SEARCH("fever",$D83)),ISNUMBER(SEARCH("mike",$D83)),ISNUMBER(SEARCH("mxd",$D83))),2,1)</f>
        <v/>
      </c>
      <c r="I83" s="18">
        <f>$H83*IFERROR(INDEX('Recap'!$O$5:$O$233,MATCH($K83,'Recap'!$P$5:$P$233,0)),0)</f>
        <v/>
      </c>
      <c r="J83" s="7">
        <f>$G83*$I83</f>
        <v/>
      </c>
      <c r="K83" s="4">
        <f>$A83&amp;"|"&amp;$C83</f>
        <v/>
      </c>
    </row>
    <row r="84">
      <c r="A84" s="4" t="inlineStr">
        <is>
          <t>Chris Payton</t>
        </is>
      </c>
      <c r="B84" s="4" t="inlineStr">
        <is>
          <t>Mike Engel</t>
        </is>
      </c>
      <c r="C84" s="4" t="inlineStr">
        <is>
          <t>Constellation Brands</t>
        </is>
      </c>
      <c r="D84" s="4" t="inlineStr">
        <is>
          <t>Corona Premier</t>
        </is>
      </c>
      <c r="E84" s="5" t="n">
        <v>702</v>
      </c>
      <c r="F84" s="5" t="n">
        <v>837</v>
      </c>
      <c r="G84" s="8">
        <f>MAX(0,$E84-$F84)</f>
        <v/>
      </c>
      <c r="H84" s="18">
        <f>IF(OR(ISNUMBER(SEARCH("fever",$D84)),ISNUMBER(SEARCH("mike",$D84)),ISNUMBER(SEARCH("mxd",$D84))),2,1)</f>
        <v/>
      </c>
      <c r="I84" s="18">
        <f>$H84*IFERROR(INDEX('Recap'!$O$5:$O$233,MATCH($K84,'Recap'!$P$5:$P$233,0)),0)</f>
        <v/>
      </c>
      <c r="J84" s="7">
        <f>$G84*$I84</f>
        <v/>
      </c>
      <c r="K84" s="4">
        <f>$A84&amp;"|"&amp;$C84</f>
        <v/>
      </c>
    </row>
    <row r="85">
      <c r="A85" s="4" t="inlineStr">
        <is>
          <t>Chris Payton</t>
        </is>
      </c>
      <c r="B85" s="4" t="inlineStr">
        <is>
          <t>Mike Engel</t>
        </is>
      </c>
      <c r="C85" s="4" t="inlineStr">
        <is>
          <t>Constellation Brands</t>
        </is>
      </c>
      <c r="D85" s="4" t="inlineStr">
        <is>
          <t>Modelo Chelada</t>
        </is>
      </c>
      <c r="E85" s="5" t="n">
        <v>2102</v>
      </c>
      <c r="F85" s="5" t="n">
        <v>1716</v>
      </c>
      <c r="G85" s="8">
        <f>MAX(0,$E85-$F85)</f>
        <v/>
      </c>
      <c r="H85" s="18">
        <f>IF(OR(ISNUMBER(SEARCH("fever",$D85)),ISNUMBER(SEARCH("mike",$D85)),ISNUMBER(SEARCH("mxd",$D85))),2,1)</f>
        <v/>
      </c>
      <c r="I85" s="18">
        <f>$H85*IFERROR(INDEX('Recap'!$O$5:$O$233,MATCH($K85,'Recap'!$P$5:$P$233,0)),0)</f>
        <v/>
      </c>
      <c r="J85" s="7">
        <f>$G85*$I85</f>
        <v/>
      </c>
      <c r="K85" s="4">
        <f>$A85&amp;"|"&amp;$C85</f>
        <v/>
      </c>
    </row>
    <row r="86">
      <c r="A86" s="4" t="inlineStr">
        <is>
          <t>Chris Payton</t>
        </is>
      </c>
      <c r="B86" s="4" t="inlineStr">
        <is>
          <t>Mike Engel</t>
        </is>
      </c>
      <c r="C86" s="4" t="inlineStr">
        <is>
          <t>Constellation Brands</t>
        </is>
      </c>
      <c r="D86" s="4" t="inlineStr">
        <is>
          <t>Pacifico</t>
        </is>
      </c>
      <c r="E86" s="5" t="n">
        <v>1097</v>
      </c>
      <c r="F86" s="5" t="n">
        <v>824</v>
      </c>
      <c r="G86" s="8">
        <f>MAX(0,$E86-$F86)</f>
        <v/>
      </c>
      <c r="H86" s="18">
        <f>IF(OR(ISNUMBER(SEARCH("fever",$D86)),ISNUMBER(SEARCH("mike",$D86)),ISNUMBER(SEARCH("mxd",$D86))),2,1)</f>
        <v/>
      </c>
      <c r="I86" s="18">
        <f>$H86*IFERROR(INDEX('Recap'!$O$5:$O$233,MATCH($K86,'Recap'!$P$5:$P$233,0)),0)</f>
        <v/>
      </c>
      <c r="J86" s="7">
        <f>$G86*$I86</f>
        <v/>
      </c>
      <c r="K86" s="4">
        <f>$A86&amp;"|"&amp;$C86</f>
        <v/>
      </c>
    </row>
    <row r="87">
      <c r="A87" s="4" t="inlineStr">
        <is>
          <t>Chris Payton</t>
        </is>
      </c>
      <c r="B87" s="4" t="inlineStr">
        <is>
          <t>Mike Engel</t>
        </is>
      </c>
      <c r="C87" s="4" t="inlineStr">
        <is>
          <t>Constellation Brands</t>
        </is>
      </c>
      <c r="D87" s="4" t="inlineStr">
        <is>
          <t>Victoria</t>
        </is>
      </c>
      <c r="E87" s="5" t="n">
        <v>1049</v>
      </c>
      <c r="F87" s="5" t="n">
        <v>1055</v>
      </c>
      <c r="G87" s="8">
        <f>MAX(0,$E87-$F87)</f>
        <v/>
      </c>
      <c r="H87" s="18">
        <f>IF(OR(ISNUMBER(SEARCH("fever",$D87)),ISNUMBER(SEARCH("mike",$D87)),ISNUMBER(SEARCH("mxd",$D87))),2,1)</f>
        <v/>
      </c>
      <c r="I87" s="18">
        <f>$H87*IFERROR(INDEX('Recap'!$O$5:$O$233,MATCH($K87,'Recap'!$P$5:$P$233,0)),0)</f>
        <v/>
      </c>
      <c r="J87" s="7">
        <f>$G87*$I87</f>
        <v/>
      </c>
      <c r="K87" s="4">
        <f>$A87&amp;"|"&amp;$C87</f>
        <v/>
      </c>
    </row>
    <row r="88">
      <c r="A88" s="4" t="inlineStr">
        <is>
          <t>Chris Payton</t>
        </is>
      </c>
      <c r="B88" s="4" t="inlineStr">
        <is>
          <t>Mike Engel</t>
        </is>
      </c>
      <c r="C88" s="4" t="inlineStr">
        <is>
          <t>DG Yuengling Inc</t>
        </is>
      </c>
      <c r="D88" s="4" t="inlineStr">
        <is>
          <t>Yuengling Flight</t>
        </is>
      </c>
      <c r="E88" s="5" t="n">
        <v>69</v>
      </c>
      <c r="F88" s="5" t="n">
        <v>113</v>
      </c>
      <c r="G88" s="8">
        <f>MAX(0,$E88-$F88)</f>
        <v/>
      </c>
      <c r="H88" s="18">
        <f>IF(OR(ISNUMBER(SEARCH("fever",$D88)),ISNUMBER(SEARCH("mike",$D88)),ISNUMBER(SEARCH("mxd",$D88))),2,1)</f>
        <v/>
      </c>
      <c r="I88" s="18">
        <f>$H88*IFERROR(INDEX('Recap'!$O$5:$O$233,MATCH($K88,'Recap'!$P$5:$P$233,0)),0)</f>
        <v/>
      </c>
      <c r="J88" s="7">
        <f>$G88*$I88</f>
        <v/>
      </c>
      <c r="K88" s="4">
        <f>$A88&amp;"|"&amp;$C88</f>
        <v/>
      </c>
    </row>
    <row r="89">
      <c r="A89" s="4" t="inlineStr">
        <is>
          <t>Chris Payton</t>
        </is>
      </c>
      <c r="B89" s="4" t="inlineStr">
        <is>
          <t>Mike Engel</t>
        </is>
      </c>
      <c r="C89" s="4" t="inlineStr">
        <is>
          <t>DG Yuengling Inc</t>
        </is>
      </c>
      <c r="D89" s="4" t="inlineStr">
        <is>
          <t>Yuengling Light Lager</t>
        </is>
      </c>
      <c r="E89" s="5" t="n">
        <v>26</v>
      </c>
      <c r="F89" s="5" t="n">
        <v>22</v>
      </c>
      <c r="G89" s="8">
        <f>MAX(0,$E89-$F89)</f>
        <v/>
      </c>
      <c r="H89" s="18">
        <f>IF(OR(ISNUMBER(SEARCH("fever",$D89)),ISNUMBER(SEARCH("mike",$D89)),ISNUMBER(SEARCH("mxd",$D89))),2,1)</f>
        <v/>
      </c>
      <c r="I89" s="18">
        <f>$H89*IFERROR(INDEX('Recap'!$O$5:$O$233,MATCH($K89,'Recap'!$P$5:$P$233,0)),0)</f>
        <v/>
      </c>
      <c r="J89" s="7">
        <f>$G89*$I89</f>
        <v/>
      </c>
      <c r="K89" s="4">
        <f>$A89&amp;"|"&amp;$C89</f>
        <v/>
      </c>
    </row>
    <row r="90">
      <c r="A90" s="4" t="inlineStr">
        <is>
          <t>Chris Payton</t>
        </is>
      </c>
      <c r="B90" s="4" t="inlineStr">
        <is>
          <t>Mike Engel</t>
        </is>
      </c>
      <c r="C90" s="4" t="inlineStr">
        <is>
          <t>Heineken USA</t>
        </is>
      </c>
      <c r="D90" s="4" t="inlineStr">
        <is>
          <t>Heineken 0.0</t>
        </is>
      </c>
      <c r="E90" s="5" t="n">
        <v>608</v>
      </c>
      <c r="F90" s="5" t="n">
        <v>560</v>
      </c>
      <c r="G90" s="8">
        <f>MAX(0,$E90-$F90)</f>
        <v/>
      </c>
      <c r="H90" s="18">
        <f>IF(OR(ISNUMBER(SEARCH("fever",$D90)),ISNUMBER(SEARCH("mike",$D90)),ISNUMBER(SEARCH("mxd",$D90))),2,1)</f>
        <v/>
      </c>
      <c r="I90" s="18">
        <f>$H90*IFERROR(INDEX('Recap'!$O$5:$O$233,MATCH($K90,'Recap'!$P$5:$P$233,0)),0)</f>
        <v/>
      </c>
      <c r="J90" s="7">
        <f>$G90*$I90</f>
        <v/>
      </c>
      <c r="K90" s="4">
        <f>$A90&amp;"|"&amp;$C90</f>
        <v/>
      </c>
    </row>
    <row r="91">
      <c r="A91" s="4" t="inlineStr">
        <is>
          <t>Chris Payton</t>
        </is>
      </c>
      <c r="B91" s="4" t="inlineStr">
        <is>
          <t>Mike Engel</t>
        </is>
      </c>
      <c r="C91" s="4" t="inlineStr">
        <is>
          <t>Heineken USA</t>
        </is>
      </c>
      <c r="D91" s="4" t="inlineStr">
        <is>
          <t>Heineken Light</t>
        </is>
      </c>
      <c r="E91" s="5" t="n">
        <v>628</v>
      </c>
      <c r="F91" s="5" t="n">
        <v>772</v>
      </c>
      <c r="G91" s="8">
        <f>MAX(0,$E91-$F91)</f>
        <v/>
      </c>
      <c r="H91" s="18">
        <f>IF(OR(ISNUMBER(SEARCH("fever",$D91)),ISNUMBER(SEARCH("mike",$D91)),ISNUMBER(SEARCH("mxd",$D91))),2,1)</f>
        <v/>
      </c>
      <c r="I91" s="18">
        <f>$H91*IFERROR(INDEX('Recap'!$O$5:$O$233,MATCH($K91,'Recap'!$P$5:$P$233,0)),0)</f>
        <v/>
      </c>
      <c r="J91" s="7">
        <f>$G91*$I91</f>
        <v/>
      </c>
      <c r="K91" s="4">
        <f>$A91&amp;"|"&amp;$C91</f>
        <v/>
      </c>
    </row>
    <row r="92">
      <c r="A92" s="4" t="inlineStr">
        <is>
          <t>Chris Payton</t>
        </is>
      </c>
      <c r="B92" s="4" t="inlineStr">
        <is>
          <t>Mike Engel</t>
        </is>
      </c>
      <c r="C92" s="4" t="inlineStr">
        <is>
          <t>Mark Anthony</t>
        </is>
      </c>
      <c r="D92" s="4" t="inlineStr">
        <is>
          <t>Cayman Jack</t>
        </is>
      </c>
      <c r="E92" s="5" t="n">
        <v>1253</v>
      </c>
      <c r="F92" s="5" t="n">
        <v>1005</v>
      </c>
      <c r="G92" s="8">
        <f>MAX(0,$E92-$F92)</f>
        <v/>
      </c>
      <c r="H92" s="18">
        <f>IF(OR(ISNUMBER(SEARCH("fever",$D92)),ISNUMBER(SEARCH("mike",$D92)),ISNUMBER(SEARCH("mxd",$D92))),2,1)</f>
        <v/>
      </c>
      <c r="I92" s="18">
        <f>$H92*IFERROR(INDEX('Recap'!$O$5:$O$233,MATCH($K92,'Recap'!$P$5:$P$233,0)),0)</f>
        <v/>
      </c>
      <c r="J92" s="7">
        <f>$G92*$I92</f>
        <v/>
      </c>
      <c r="K92" s="4">
        <f>$A92&amp;"|"&amp;$C92</f>
        <v/>
      </c>
    </row>
    <row r="93">
      <c r="A93" s="4" t="inlineStr">
        <is>
          <t>Chris Payton</t>
        </is>
      </c>
      <c r="B93" s="4" t="inlineStr">
        <is>
          <t>Mike Engel</t>
        </is>
      </c>
      <c r="C93" s="4" t="inlineStr">
        <is>
          <t>Mark Anthony</t>
        </is>
      </c>
      <c r="D93" s="4" t="inlineStr">
        <is>
          <t>Mike's Harder</t>
        </is>
      </c>
      <c r="E93" s="5" t="n">
        <v>257</v>
      </c>
      <c r="F93" s="5" t="n">
        <v>224</v>
      </c>
      <c r="G93" s="8">
        <f>MAX(0,$E93-$F93)</f>
        <v/>
      </c>
      <c r="H93" s="18">
        <f>IF(OR(ISNUMBER(SEARCH("fever",$D93)),ISNUMBER(SEARCH("mike",$D93)),ISNUMBER(SEARCH("mxd",$D93))),2,1)</f>
        <v/>
      </c>
      <c r="I93" s="18">
        <f>$H93*IFERROR(INDEX('Recap'!$O$5:$O$233,MATCH($K93,'Recap'!$P$5:$P$233,0)),0)</f>
        <v/>
      </c>
      <c r="J93" s="7">
        <f>$G93*$I93</f>
        <v/>
      </c>
      <c r="K93" s="4">
        <f>$A93&amp;"|"&amp;$C93</f>
        <v/>
      </c>
    </row>
    <row r="94">
      <c r="A94" s="4" t="inlineStr">
        <is>
          <t>Chris Payton</t>
        </is>
      </c>
      <c r="B94" s="4" t="inlineStr">
        <is>
          <t>Mike Engel</t>
        </is>
      </c>
      <c r="C94" s="4" t="inlineStr">
        <is>
          <t>Mark Anthony</t>
        </is>
      </c>
      <c r="D94" s="4" t="inlineStr">
        <is>
          <t>Mxd Cocktails</t>
        </is>
      </c>
      <c r="E94" s="5" t="n">
        <v>16</v>
      </c>
      <c r="F94" s="5" t="n">
        <v>0</v>
      </c>
      <c r="G94" s="8">
        <f>MAX(0,$E94-$F94)</f>
        <v/>
      </c>
      <c r="H94" s="18">
        <f>IF(OR(ISNUMBER(SEARCH("fever",$D94)),ISNUMBER(SEARCH("mike",$D94)),ISNUMBER(SEARCH("mxd",$D94))),2,1)</f>
        <v/>
      </c>
      <c r="I94" s="18">
        <f>$H94*IFERROR(INDEX('Recap'!$O$5:$O$233,MATCH($K94,'Recap'!$P$5:$P$233,0)),0)</f>
        <v/>
      </c>
      <c r="J94" s="7">
        <f>$G94*$I94</f>
        <v/>
      </c>
      <c r="K94" s="4">
        <f>$A94&amp;"|"&amp;$C94</f>
        <v/>
      </c>
    </row>
    <row r="95">
      <c r="A95" s="4" t="inlineStr">
        <is>
          <t>Chris Payton</t>
        </is>
      </c>
      <c r="B95" s="4" t="inlineStr">
        <is>
          <t>Mike Engel</t>
        </is>
      </c>
      <c r="C95" s="4" t="inlineStr">
        <is>
          <t>MolsonCoors Beverage Company</t>
        </is>
      </c>
      <c r="D95" s="4" t="inlineStr">
        <is>
          <t>Coors</t>
        </is>
      </c>
      <c r="E95" s="5" t="n">
        <v>1321</v>
      </c>
      <c r="F95" s="5" t="n">
        <v>1308</v>
      </c>
      <c r="G95" s="8">
        <f>MAX(0,$E95-$F95)</f>
        <v/>
      </c>
      <c r="H95" s="18">
        <f>IF(OR(ISNUMBER(SEARCH("fever",$D95)),ISNUMBER(SEARCH("mike",$D95)),ISNUMBER(SEARCH("mxd",$D95))),2,1)</f>
        <v/>
      </c>
      <c r="I95" s="18">
        <f>$H95*IFERROR(INDEX('Recap'!$O$5:$O$233,MATCH($K95,'Recap'!$P$5:$P$233,0)),0)</f>
        <v/>
      </c>
      <c r="J95" s="7">
        <f>$G95*$I95</f>
        <v/>
      </c>
      <c r="K95" s="4">
        <f>$A95&amp;"|"&amp;$C95</f>
        <v/>
      </c>
    </row>
    <row r="96">
      <c r="A96" s="4" t="inlineStr">
        <is>
          <t>Chris Payton</t>
        </is>
      </c>
      <c r="B96" s="4" t="inlineStr">
        <is>
          <t>Mike Engel</t>
        </is>
      </c>
      <c r="C96" s="4" t="inlineStr">
        <is>
          <t>MolsonCoors Beverage Company</t>
        </is>
      </c>
      <c r="D96" s="4" t="inlineStr">
        <is>
          <t>Fever Tree</t>
        </is>
      </c>
      <c r="E96" s="5" t="n">
        <v>116</v>
      </c>
      <c r="F96" s="5" t="n">
        <v>94</v>
      </c>
      <c r="G96" s="8">
        <f>MAX(0,$E96-$F96)</f>
        <v/>
      </c>
      <c r="H96" s="18">
        <f>IF(OR(ISNUMBER(SEARCH("fever",$D96)),ISNUMBER(SEARCH("mike",$D96)),ISNUMBER(SEARCH("mxd",$D96))),2,1)</f>
        <v/>
      </c>
      <c r="I96" s="18">
        <f>$H96*IFERROR(INDEX('Recap'!$O$5:$O$233,MATCH($K96,'Recap'!$P$5:$P$233,0)),0)</f>
        <v/>
      </c>
      <c r="J96" s="7">
        <f>$G96*$I96</f>
        <v/>
      </c>
      <c r="K96" s="4">
        <f>$A96&amp;"|"&amp;$C96</f>
        <v/>
      </c>
    </row>
    <row r="97">
      <c r="A97" s="4" t="inlineStr">
        <is>
          <t>Chris Payton</t>
        </is>
      </c>
      <c r="B97" s="4" t="inlineStr">
        <is>
          <t>Mike Engel</t>
        </is>
      </c>
      <c r="C97" s="4" t="inlineStr">
        <is>
          <t>MolsonCoors Beverage Company</t>
        </is>
      </c>
      <c r="D97" s="4" t="inlineStr">
        <is>
          <t>Peroni</t>
        </is>
      </c>
      <c r="E97" s="5" t="n">
        <v>1069</v>
      </c>
      <c r="F97" s="5" t="n">
        <v>1033</v>
      </c>
      <c r="G97" s="8">
        <f>MAX(0,$E97-$F97)</f>
        <v/>
      </c>
      <c r="H97" s="18">
        <f>IF(OR(ISNUMBER(SEARCH("fever",$D97)),ISNUMBER(SEARCH("mike",$D97)),ISNUMBER(SEARCH("mxd",$D97))),2,1)</f>
        <v/>
      </c>
      <c r="I97" s="18">
        <f>$H97*IFERROR(INDEX('Recap'!$O$5:$O$233,MATCH($K97,'Recap'!$P$5:$P$233,0)),0)</f>
        <v/>
      </c>
      <c r="J97" s="7">
        <f>$G97*$I97</f>
        <v/>
      </c>
      <c r="K97" s="4">
        <f>$A97&amp;"|"&amp;$C97</f>
        <v/>
      </c>
    </row>
    <row r="98">
      <c r="A98" s="4" t="inlineStr">
        <is>
          <t>Chris Payton</t>
        </is>
      </c>
      <c r="B98" s="4" t="inlineStr">
        <is>
          <t>Mike Engel</t>
        </is>
      </c>
      <c r="C98" s="4" t="inlineStr">
        <is>
          <t>New Belgium Brewing Company</t>
        </is>
      </c>
      <c r="D98" s="4" t="inlineStr">
        <is>
          <t>Bell's</t>
        </is>
      </c>
      <c r="E98" s="5" t="n">
        <v>6</v>
      </c>
      <c r="F98" s="5" t="n">
        <v>4</v>
      </c>
      <c r="G98" s="8">
        <f>MAX(0,$E98-$F98)</f>
        <v/>
      </c>
      <c r="H98" s="18">
        <f>IF(OR(ISNUMBER(SEARCH("fever",$D98)),ISNUMBER(SEARCH("mike",$D98)),ISNUMBER(SEARCH("mxd",$D98))),2,1)</f>
        <v/>
      </c>
      <c r="I98" s="18">
        <f>$H98*IFERROR(INDEX('Recap'!$O$5:$O$233,MATCH($K98,'Recap'!$P$5:$P$233,0)),0)</f>
        <v/>
      </c>
      <c r="J98" s="7">
        <f>$G98*$I98</f>
        <v/>
      </c>
      <c r="K98" s="4">
        <f>$A98&amp;"|"&amp;$C98</f>
        <v/>
      </c>
    </row>
    <row r="99">
      <c r="A99" s="4" t="inlineStr">
        <is>
          <t>Chris Payton</t>
        </is>
      </c>
      <c r="B99" s="4" t="inlineStr">
        <is>
          <t>Mike Engel</t>
        </is>
      </c>
      <c r="C99" s="4" t="inlineStr">
        <is>
          <t>New Belgium Brewing Company</t>
        </is>
      </c>
      <c r="D99" s="4" t="inlineStr">
        <is>
          <t>Fat Tire Family</t>
        </is>
      </c>
      <c r="E99" s="5" t="n">
        <v>34</v>
      </c>
      <c r="F99" s="5" t="n">
        <v>54</v>
      </c>
      <c r="G99" s="8">
        <f>MAX(0,$E99-$F99)</f>
        <v/>
      </c>
      <c r="H99" s="18">
        <f>IF(OR(ISNUMBER(SEARCH("fever",$D99)),ISNUMBER(SEARCH("mike",$D99)),ISNUMBER(SEARCH("mxd",$D99))),2,1)</f>
        <v/>
      </c>
      <c r="I99" s="18">
        <f>$H99*IFERROR(INDEX('Recap'!$O$5:$O$233,MATCH($K99,'Recap'!$P$5:$P$233,0)),0)</f>
        <v/>
      </c>
      <c r="J99" s="7">
        <f>$G99*$I99</f>
        <v/>
      </c>
      <c r="K99" s="4">
        <f>$A99&amp;"|"&amp;$C99</f>
        <v/>
      </c>
    </row>
    <row r="100">
      <c r="A100" s="4" t="inlineStr">
        <is>
          <t>Chris Payton</t>
        </is>
      </c>
      <c r="B100" s="4" t="inlineStr">
        <is>
          <t>Mike Engel</t>
        </is>
      </c>
      <c r="C100" s="4" t="inlineStr">
        <is>
          <t>New Belgium Brewing Company</t>
        </is>
      </c>
      <c r="D100" s="4" t="inlineStr">
        <is>
          <t>Kirin Ichiban</t>
        </is>
      </c>
      <c r="E100" s="5" t="n">
        <v>23</v>
      </c>
      <c r="F100" s="5" t="n">
        <v>10</v>
      </c>
      <c r="G100" s="8">
        <f>MAX(0,$E100-$F100)</f>
        <v/>
      </c>
      <c r="H100" s="18">
        <f>IF(OR(ISNUMBER(SEARCH("fever",$D100)),ISNUMBER(SEARCH("mike",$D100)),ISNUMBER(SEARCH("mxd",$D100))),2,1)</f>
        <v/>
      </c>
      <c r="I100" s="18">
        <f>$H100*IFERROR(INDEX('Recap'!$O$5:$O$233,MATCH($K100,'Recap'!$P$5:$P$233,0)),0)</f>
        <v/>
      </c>
      <c r="J100" s="7">
        <f>$G100*$I100</f>
        <v/>
      </c>
      <c r="K100" s="4">
        <f>$A100&amp;"|"&amp;$C100</f>
        <v/>
      </c>
    </row>
    <row r="101">
      <c r="A101" s="4" t="inlineStr">
        <is>
          <t>Chris Payton</t>
        </is>
      </c>
      <c r="B101" s="4" t="inlineStr">
        <is>
          <t>Mike Engel</t>
        </is>
      </c>
      <c r="C101" s="4" t="inlineStr">
        <is>
          <t>New Belgium Brewing Company</t>
        </is>
      </c>
      <c r="D101" s="4" t="inlineStr">
        <is>
          <t>Voodoo Family</t>
        </is>
      </c>
      <c r="E101" s="5" t="n">
        <v>908</v>
      </c>
      <c r="F101" s="5" t="n">
        <v>764</v>
      </c>
      <c r="G101" s="8">
        <f>MAX(0,$E101-$F101)</f>
        <v/>
      </c>
      <c r="H101" s="18">
        <f>IF(OR(ISNUMBER(SEARCH("fever",$D101)),ISNUMBER(SEARCH("mike",$D101)),ISNUMBER(SEARCH("mxd",$D101))),2,1)</f>
        <v/>
      </c>
      <c r="I101" s="18">
        <f>$H101*IFERROR(INDEX('Recap'!$O$5:$O$233,MATCH($K101,'Recap'!$P$5:$P$233,0)),0)</f>
        <v/>
      </c>
      <c r="J101" s="7">
        <f>$G101*$I101</f>
        <v/>
      </c>
      <c r="K101" s="4">
        <f>$A101&amp;"|"&amp;$C101</f>
        <v/>
      </c>
    </row>
    <row r="102">
      <c r="A102" s="4" t="inlineStr">
        <is>
          <t>Chris Payton</t>
        </is>
      </c>
      <c r="B102" s="4" t="inlineStr">
        <is>
          <t>Mike Engel</t>
        </is>
      </c>
      <c r="C102" s="4" t="inlineStr">
        <is>
          <t>Sapporo</t>
        </is>
      </c>
      <c r="D102" s="4" t="inlineStr">
        <is>
          <t>Sapporo</t>
        </is>
      </c>
      <c r="E102" s="5" t="n">
        <v>951</v>
      </c>
      <c r="F102" s="5" t="n">
        <v>762</v>
      </c>
      <c r="G102" s="8">
        <f>MAX(0,$E102-$F102)</f>
        <v/>
      </c>
      <c r="H102" s="18">
        <f>IF(OR(ISNUMBER(SEARCH("fever",$D102)),ISNUMBER(SEARCH("mike",$D102)),ISNUMBER(SEARCH("mxd",$D102))),2,1)</f>
        <v/>
      </c>
      <c r="I102" s="18">
        <f>$H102*IFERROR(INDEX('Recap'!$O$5:$O$233,MATCH($K102,'Recap'!$P$5:$P$233,0)),0)</f>
        <v/>
      </c>
      <c r="J102" s="7">
        <f>$G102*$I102</f>
        <v/>
      </c>
      <c r="K102" s="4">
        <f>$A102&amp;"|"&amp;$C102</f>
        <v/>
      </c>
    </row>
    <row r="103">
      <c r="A103" s="4" t="inlineStr">
        <is>
          <t>Dan Lagala</t>
        </is>
      </c>
      <c r="B103" s="4" t="inlineStr">
        <is>
          <t>Mike Engel</t>
        </is>
      </c>
      <c r="C103" s="4" t="inlineStr">
        <is>
          <t>Boston Beer Company</t>
        </is>
      </c>
      <c r="D103" s="4" t="inlineStr">
        <is>
          <t>Dogfish Head Beer</t>
        </is>
      </c>
      <c r="E103" s="5" t="n">
        <v>284</v>
      </c>
      <c r="F103" s="5" t="n">
        <v>308</v>
      </c>
      <c r="G103" s="8">
        <f>MAX(0,$E103-$F103)</f>
        <v/>
      </c>
      <c r="H103" s="18">
        <f>IF(OR(ISNUMBER(SEARCH("fever",$D103)),ISNUMBER(SEARCH("mike",$D103)),ISNUMBER(SEARCH("mxd",$D103))),2,1)</f>
        <v/>
      </c>
      <c r="I103" s="18">
        <f>$H103*IFERROR(INDEX('Recap'!$O$5:$O$233,MATCH($K103,'Recap'!$P$5:$P$233,0)),0)</f>
        <v/>
      </c>
      <c r="J103" s="7">
        <f>$G103*$I103</f>
        <v/>
      </c>
      <c r="K103" s="4">
        <f>$A103&amp;"|"&amp;$C103</f>
        <v/>
      </c>
    </row>
    <row r="104">
      <c r="A104" s="4" t="inlineStr">
        <is>
          <t>Dan Lagala</t>
        </is>
      </c>
      <c r="B104" s="4" t="inlineStr">
        <is>
          <t>Mike Engel</t>
        </is>
      </c>
      <c r="C104" s="4" t="inlineStr">
        <is>
          <t>Boston Beer Company</t>
        </is>
      </c>
      <c r="D104" s="4" t="inlineStr">
        <is>
          <t>Dogfish Head Spirits</t>
        </is>
      </c>
      <c r="E104" s="5" t="n">
        <v>19</v>
      </c>
      <c r="F104" s="5" t="n">
        <v>0</v>
      </c>
      <c r="G104" s="8">
        <f>MAX(0,$E104-$F104)</f>
        <v/>
      </c>
      <c r="H104" s="18">
        <f>IF(OR(ISNUMBER(SEARCH("fever",$D104)),ISNUMBER(SEARCH("mike",$D104)),ISNUMBER(SEARCH("mxd",$D104))),2,1)</f>
        <v/>
      </c>
      <c r="I104" s="18">
        <f>$H104*IFERROR(INDEX('Recap'!$O$5:$O$233,MATCH($K104,'Recap'!$P$5:$P$233,0)),0)</f>
        <v/>
      </c>
      <c r="J104" s="7">
        <f>$G104*$I104</f>
        <v/>
      </c>
      <c r="K104" s="4">
        <f>$A104&amp;"|"&amp;$C104</f>
        <v/>
      </c>
    </row>
    <row r="105">
      <c r="A105" s="4" t="inlineStr">
        <is>
          <t>Dan Lagala</t>
        </is>
      </c>
      <c r="B105" s="4" t="inlineStr">
        <is>
          <t>Mike Engel</t>
        </is>
      </c>
      <c r="C105" s="4" t="inlineStr">
        <is>
          <t>Cape May</t>
        </is>
      </c>
      <c r="D105" s="4" t="inlineStr">
        <is>
          <t>Cape May</t>
        </is>
      </c>
      <c r="E105" s="5" t="n">
        <v>83</v>
      </c>
      <c r="F105" s="5" t="n">
        <v>147</v>
      </c>
      <c r="G105" s="8">
        <f>MAX(0,$E105-$F105)</f>
        <v/>
      </c>
      <c r="H105" s="18">
        <f>IF(OR(ISNUMBER(SEARCH("fever",$D105)),ISNUMBER(SEARCH("mike",$D105)),ISNUMBER(SEARCH("mxd",$D105))),2,1)</f>
        <v/>
      </c>
      <c r="I105" s="18">
        <f>$H105*IFERROR(INDEX('Recap'!$O$5:$O$233,MATCH($K105,'Recap'!$P$5:$P$233,0)),0)</f>
        <v/>
      </c>
      <c r="J105" s="7">
        <f>$G105*$I105</f>
        <v/>
      </c>
      <c r="K105" s="4">
        <f>$A105&amp;"|"&amp;$C105</f>
        <v/>
      </c>
    </row>
    <row r="106">
      <c r="A106" s="4" t="inlineStr">
        <is>
          <t>Dan Lagala</t>
        </is>
      </c>
      <c r="B106" s="4" t="inlineStr">
        <is>
          <t>Mike Engel</t>
        </is>
      </c>
      <c r="C106" s="4" t="inlineStr">
        <is>
          <t>Constellation Brands</t>
        </is>
      </c>
      <c r="D106" s="4" t="inlineStr">
        <is>
          <t>Corona Premier</t>
        </is>
      </c>
      <c r="E106" s="5" t="n">
        <v>251</v>
      </c>
      <c r="F106" s="5" t="n">
        <v>313</v>
      </c>
      <c r="G106" s="8">
        <f>MAX(0,$E106-$F106)</f>
        <v/>
      </c>
      <c r="H106" s="18">
        <f>IF(OR(ISNUMBER(SEARCH("fever",$D106)),ISNUMBER(SEARCH("mike",$D106)),ISNUMBER(SEARCH("mxd",$D106))),2,1)</f>
        <v/>
      </c>
      <c r="I106" s="18">
        <f>$H106*IFERROR(INDEX('Recap'!$O$5:$O$233,MATCH($K106,'Recap'!$P$5:$P$233,0)),0)</f>
        <v/>
      </c>
      <c r="J106" s="7">
        <f>$G106*$I106</f>
        <v/>
      </c>
      <c r="K106" s="4">
        <f>$A106&amp;"|"&amp;$C106</f>
        <v/>
      </c>
    </row>
    <row r="107">
      <c r="A107" s="4" t="inlineStr">
        <is>
          <t>Dan Lagala</t>
        </is>
      </c>
      <c r="B107" s="4" t="inlineStr">
        <is>
          <t>Mike Engel</t>
        </is>
      </c>
      <c r="C107" s="4" t="inlineStr">
        <is>
          <t>Constellation Brands</t>
        </is>
      </c>
      <c r="D107" s="4" t="inlineStr">
        <is>
          <t>Modelo Chelada</t>
        </is>
      </c>
      <c r="E107" s="5" t="n">
        <v>3730</v>
      </c>
      <c r="F107" s="5" t="n">
        <v>2985</v>
      </c>
      <c r="G107" s="8">
        <f>MAX(0,$E107-$F107)</f>
        <v/>
      </c>
      <c r="H107" s="18">
        <f>IF(OR(ISNUMBER(SEARCH("fever",$D107)),ISNUMBER(SEARCH("mike",$D107)),ISNUMBER(SEARCH("mxd",$D107))),2,1)</f>
        <v/>
      </c>
      <c r="I107" s="18">
        <f>$H107*IFERROR(INDEX('Recap'!$O$5:$O$233,MATCH($K107,'Recap'!$P$5:$P$233,0)),0)</f>
        <v/>
      </c>
      <c r="J107" s="7">
        <f>$G107*$I107</f>
        <v/>
      </c>
      <c r="K107" s="4">
        <f>$A107&amp;"|"&amp;$C107</f>
        <v/>
      </c>
    </row>
    <row r="108">
      <c r="A108" s="4" t="inlineStr">
        <is>
          <t>Dan Lagala</t>
        </is>
      </c>
      <c r="B108" s="4" t="inlineStr">
        <is>
          <t>Mike Engel</t>
        </is>
      </c>
      <c r="C108" s="4" t="inlineStr">
        <is>
          <t>Constellation Brands</t>
        </is>
      </c>
      <c r="D108" s="4" t="inlineStr">
        <is>
          <t>Pacifico</t>
        </is>
      </c>
      <c r="E108" s="5" t="n">
        <v>341</v>
      </c>
      <c r="F108" s="5" t="n">
        <v>185</v>
      </c>
      <c r="G108" s="8">
        <f>MAX(0,$E108-$F108)</f>
        <v/>
      </c>
      <c r="H108" s="18">
        <f>IF(OR(ISNUMBER(SEARCH("fever",$D108)),ISNUMBER(SEARCH("mike",$D108)),ISNUMBER(SEARCH("mxd",$D108))),2,1)</f>
        <v/>
      </c>
      <c r="I108" s="18">
        <f>$H108*IFERROR(INDEX('Recap'!$O$5:$O$233,MATCH($K108,'Recap'!$P$5:$P$233,0)),0)</f>
        <v/>
      </c>
      <c r="J108" s="7">
        <f>$G108*$I108</f>
        <v/>
      </c>
      <c r="K108" s="4">
        <f>$A108&amp;"|"&amp;$C108</f>
        <v/>
      </c>
    </row>
    <row r="109">
      <c r="A109" s="4" t="inlineStr">
        <is>
          <t>Dan Lagala</t>
        </is>
      </c>
      <c r="B109" s="4" t="inlineStr">
        <is>
          <t>Mike Engel</t>
        </is>
      </c>
      <c r="C109" s="4" t="inlineStr">
        <is>
          <t>Constellation Brands</t>
        </is>
      </c>
      <c r="D109" s="4" t="inlineStr">
        <is>
          <t>Victoria</t>
        </is>
      </c>
      <c r="E109" s="5" t="n">
        <v>294</v>
      </c>
      <c r="F109" s="5" t="n">
        <v>229</v>
      </c>
      <c r="G109" s="8">
        <f>MAX(0,$E109-$F109)</f>
        <v/>
      </c>
      <c r="H109" s="18">
        <f>IF(OR(ISNUMBER(SEARCH("fever",$D109)),ISNUMBER(SEARCH("mike",$D109)),ISNUMBER(SEARCH("mxd",$D109))),2,1)</f>
        <v/>
      </c>
      <c r="I109" s="18">
        <f>$H109*IFERROR(INDEX('Recap'!$O$5:$O$233,MATCH($K109,'Recap'!$P$5:$P$233,0)),0)</f>
        <v/>
      </c>
      <c r="J109" s="7">
        <f>$G109*$I109</f>
        <v/>
      </c>
      <c r="K109" s="4">
        <f>$A109&amp;"|"&amp;$C109</f>
        <v/>
      </c>
    </row>
    <row r="110">
      <c r="A110" s="4" t="inlineStr">
        <is>
          <t>Dan Lagala</t>
        </is>
      </c>
      <c r="B110" s="4" t="inlineStr">
        <is>
          <t>Mike Engel</t>
        </is>
      </c>
      <c r="C110" s="4" t="inlineStr">
        <is>
          <t>DG Yuengling Inc</t>
        </is>
      </c>
      <c r="D110" s="4" t="inlineStr">
        <is>
          <t>Yuengling Flight</t>
        </is>
      </c>
      <c r="E110" s="5" t="n">
        <v>50</v>
      </c>
      <c r="F110" s="5" t="n">
        <v>39</v>
      </c>
      <c r="G110" s="8">
        <f>MAX(0,$E110-$F110)</f>
        <v/>
      </c>
      <c r="H110" s="18">
        <f>IF(OR(ISNUMBER(SEARCH("fever",$D110)),ISNUMBER(SEARCH("mike",$D110)),ISNUMBER(SEARCH("mxd",$D110))),2,1)</f>
        <v/>
      </c>
      <c r="I110" s="18">
        <f>$H110*IFERROR(INDEX('Recap'!$O$5:$O$233,MATCH($K110,'Recap'!$P$5:$P$233,0)),0)</f>
        <v/>
      </c>
      <c r="J110" s="7">
        <f>$G110*$I110</f>
        <v/>
      </c>
      <c r="K110" s="4">
        <f>$A110&amp;"|"&amp;$C110</f>
        <v/>
      </c>
    </row>
    <row r="111">
      <c r="A111" s="4" t="inlineStr">
        <is>
          <t>Dan Lagala</t>
        </is>
      </c>
      <c r="B111" s="4" t="inlineStr">
        <is>
          <t>Mike Engel</t>
        </is>
      </c>
      <c r="C111" s="4" t="inlineStr">
        <is>
          <t>DG Yuengling Inc</t>
        </is>
      </c>
      <c r="D111" s="4" t="inlineStr">
        <is>
          <t>Yuengling Light Lager</t>
        </is>
      </c>
      <c r="E111" s="5" t="n">
        <v>14</v>
      </c>
      <c r="F111" s="5" t="n">
        <v>9</v>
      </c>
      <c r="G111" s="8">
        <f>MAX(0,$E111-$F111)</f>
        <v/>
      </c>
      <c r="H111" s="18">
        <f>IF(OR(ISNUMBER(SEARCH("fever",$D111)),ISNUMBER(SEARCH("mike",$D111)),ISNUMBER(SEARCH("mxd",$D111))),2,1)</f>
        <v/>
      </c>
      <c r="I111" s="18">
        <f>$H111*IFERROR(INDEX('Recap'!$O$5:$O$233,MATCH($K111,'Recap'!$P$5:$P$233,0)),0)</f>
        <v/>
      </c>
      <c r="J111" s="7">
        <f>$G111*$I111</f>
        <v/>
      </c>
      <c r="K111" s="4">
        <f>$A111&amp;"|"&amp;$C111</f>
        <v/>
      </c>
    </row>
    <row r="112">
      <c r="A112" s="4" t="inlineStr">
        <is>
          <t>Dan Lagala</t>
        </is>
      </c>
      <c r="B112" s="4" t="inlineStr">
        <is>
          <t>Mike Engel</t>
        </is>
      </c>
      <c r="C112" s="4" t="inlineStr">
        <is>
          <t>Heineken USA</t>
        </is>
      </c>
      <c r="D112" s="4" t="inlineStr">
        <is>
          <t>Heineken 0.0</t>
        </is>
      </c>
      <c r="E112" s="5" t="n">
        <v>428</v>
      </c>
      <c r="F112" s="5" t="n">
        <v>387</v>
      </c>
      <c r="G112" s="8">
        <f>MAX(0,$E112-$F112)</f>
        <v/>
      </c>
      <c r="H112" s="18">
        <f>IF(OR(ISNUMBER(SEARCH("fever",$D112)),ISNUMBER(SEARCH("mike",$D112)),ISNUMBER(SEARCH("mxd",$D112))),2,1)</f>
        <v/>
      </c>
      <c r="I112" s="18">
        <f>$H112*IFERROR(INDEX('Recap'!$O$5:$O$233,MATCH($K112,'Recap'!$P$5:$P$233,0)),0)</f>
        <v/>
      </c>
      <c r="J112" s="7">
        <f>$G112*$I112</f>
        <v/>
      </c>
      <c r="K112" s="4">
        <f>$A112&amp;"|"&amp;$C112</f>
        <v/>
      </c>
    </row>
    <row r="113">
      <c r="A113" s="4" t="inlineStr">
        <is>
          <t>Dan Lagala</t>
        </is>
      </c>
      <c r="B113" s="4" t="inlineStr">
        <is>
          <t>Mike Engel</t>
        </is>
      </c>
      <c r="C113" s="4" t="inlineStr">
        <is>
          <t>Heineken USA</t>
        </is>
      </c>
      <c r="D113" s="4" t="inlineStr">
        <is>
          <t>Heineken Light</t>
        </is>
      </c>
      <c r="E113" s="5" t="n">
        <v>240</v>
      </c>
      <c r="F113" s="5" t="n">
        <v>245</v>
      </c>
      <c r="G113" s="8">
        <f>MAX(0,$E113-$F113)</f>
        <v/>
      </c>
      <c r="H113" s="18">
        <f>IF(OR(ISNUMBER(SEARCH("fever",$D113)),ISNUMBER(SEARCH("mike",$D113)),ISNUMBER(SEARCH("mxd",$D113))),2,1)</f>
        <v/>
      </c>
      <c r="I113" s="18">
        <f>$H113*IFERROR(INDEX('Recap'!$O$5:$O$233,MATCH($K113,'Recap'!$P$5:$P$233,0)),0)</f>
        <v/>
      </c>
      <c r="J113" s="7">
        <f>$G113*$I113</f>
        <v/>
      </c>
      <c r="K113" s="4">
        <f>$A113&amp;"|"&amp;$C113</f>
        <v/>
      </c>
    </row>
    <row r="114">
      <c r="A114" s="4" t="inlineStr">
        <is>
          <t>Dan Lagala</t>
        </is>
      </c>
      <c r="B114" s="4" t="inlineStr">
        <is>
          <t>Mike Engel</t>
        </is>
      </c>
      <c r="C114" s="4" t="inlineStr">
        <is>
          <t>Mark Anthony</t>
        </is>
      </c>
      <c r="D114" s="4" t="inlineStr">
        <is>
          <t>Cayman Jack</t>
        </is>
      </c>
      <c r="E114" s="5" t="n">
        <v>202</v>
      </c>
      <c r="F114" s="5" t="n">
        <v>162</v>
      </c>
      <c r="G114" s="8">
        <f>MAX(0,$E114-$F114)</f>
        <v/>
      </c>
      <c r="H114" s="18">
        <f>IF(OR(ISNUMBER(SEARCH("fever",$D114)),ISNUMBER(SEARCH("mike",$D114)),ISNUMBER(SEARCH("mxd",$D114))),2,1)</f>
        <v/>
      </c>
      <c r="I114" s="18">
        <f>$H114*IFERROR(INDEX('Recap'!$O$5:$O$233,MATCH($K114,'Recap'!$P$5:$P$233,0)),0)</f>
        <v/>
      </c>
      <c r="J114" s="7">
        <f>$G114*$I114</f>
        <v/>
      </c>
      <c r="K114" s="4">
        <f>$A114&amp;"|"&amp;$C114</f>
        <v/>
      </c>
    </row>
    <row r="115">
      <c r="A115" s="4" t="inlineStr">
        <is>
          <t>Dan Lagala</t>
        </is>
      </c>
      <c r="B115" s="4" t="inlineStr">
        <is>
          <t>Mike Engel</t>
        </is>
      </c>
      <c r="C115" s="4" t="inlineStr">
        <is>
          <t>Mark Anthony</t>
        </is>
      </c>
      <c r="D115" s="4" t="inlineStr">
        <is>
          <t>Mike's Harder</t>
        </is>
      </c>
      <c r="E115" s="5" t="n">
        <v>32</v>
      </c>
      <c r="F115" s="5" t="n">
        <v>54</v>
      </c>
      <c r="G115" s="8">
        <f>MAX(0,$E115-$F115)</f>
        <v/>
      </c>
      <c r="H115" s="18">
        <f>IF(OR(ISNUMBER(SEARCH("fever",$D115)),ISNUMBER(SEARCH("mike",$D115)),ISNUMBER(SEARCH("mxd",$D115))),2,1)</f>
        <v/>
      </c>
      <c r="I115" s="18">
        <f>$H115*IFERROR(INDEX('Recap'!$O$5:$O$233,MATCH($K115,'Recap'!$P$5:$P$233,0)),0)</f>
        <v/>
      </c>
      <c r="J115" s="7">
        <f>$G115*$I115</f>
        <v/>
      </c>
      <c r="K115" s="4">
        <f>$A115&amp;"|"&amp;$C115</f>
        <v/>
      </c>
    </row>
    <row r="116">
      <c r="A116" s="4" t="inlineStr">
        <is>
          <t>Dan Lagala</t>
        </is>
      </c>
      <c r="B116" s="4" t="inlineStr">
        <is>
          <t>Mike Engel</t>
        </is>
      </c>
      <c r="C116" s="4" t="inlineStr">
        <is>
          <t>MolsonCoors Beverage Company</t>
        </is>
      </c>
      <c r="D116" s="4" t="inlineStr">
        <is>
          <t>Coors</t>
        </is>
      </c>
      <c r="E116" s="5" t="n">
        <v>901</v>
      </c>
      <c r="F116" s="5" t="n">
        <v>777</v>
      </c>
      <c r="G116" s="8">
        <f>MAX(0,$E116-$F116)</f>
        <v/>
      </c>
      <c r="H116" s="18">
        <f>IF(OR(ISNUMBER(SEARCH("fever",$D116)),ISNUMBER(SEARCH("mike",$D116)),ISNUMBER(SEARCH("mxd",$D116))),2,1)</f>
        <v/>
      </c>
      <c r="I116" s="18">
        <f>$H116*IFERROR(INDEX('Recap'!$O$5:$O$233,MATCH($K116,'Recap'!$P$5:$P$233,0)),0)</f>
        <v/>
      </c>
      <c r="J116" s="7">
        <f>$G116*$I116</f>
        <v/>
      </c>
      <c r="K116" s="4">
        <f>$A116&amp;"|"&amp;$C116</f>
        <v/>
      </c>
    </row>
    <row r="117">
      <c r="A117" s="4" t="inlineStr">
        <is>
          <t>Dan Lagala</t>
        </is>
      </c>
      <c r="B117" s="4" t="inlineStr">
        <is>
          <t>Mike Engel</t>
        </is>
      </c>
      <c r="C117" s="4" t="inlineStr">
        <is>
          <t>MolsonCoors Beverage Company</t>
        </is>
      </c>
      <c r="D117" s="4" t="inlineStr">
        <is>
          <t>Fever Tree</t>
        </is>
      </c>
      <c r="E117" s="5" t="n">
        <v>65</v>
      </c>
      <c r="F117" s="5" t="n">
        <v>79</v>
      </c>
      <c r="G117" s="8">
        <f>MAX(0,$E117-$F117)</f>
        <v/>
      </c>
      <c r="H117" s="18">
        <f>IF(OR(ISNUMBER(SEARCH("fever",$D117)),ISNUMBER(SEARCH("mike",$D117)),ISNUMBER(SEARCH("mxd",$D117))),2,1)</f>
        <v/>
      </c>
      <c r="I117" s="18">
        <f>$H117*IFERROR(INDEX('Recap'!$O$5:$O$233,MATCH($K117,'Recap'!$P$5:$P$233,0)),0)</f>
        <v/>
      </c>
      <c r="J117" s="7">
        <f>$G117*$I117</f>
        <v/>
      </c>
      <c r="K117" s="4">
        <f>$A117&amp;"|"&amp;$C117</f>
        <v/>
      </c>
    </row>
    <row r="118">
      <c r="A118" s="4" t="inlineStr">
        <is>
          <t>Dan Lagala</t>
        </is>
      </c>
      <c r="B118" s="4" t="inlineStr">
        <is>
          <t>Mike Engel</t>
        </is>
      </c>
      <c r="C118" s="4" t="inlineStr">
        <is>
          <t>MolsonCoors Beverage Company</t>
        </is>
      </c>
      <c r="D118" s="4" t="inlineStr">
        <is>
          <t>Peroni</t>
        </is>
      </c>
      <c r="E118" s="5" t="n">
        <v>878</v>
      </c>
      <c r="F118" s="5" t="n">
        <v>788</v>
      </c>
      <c r="G118" s="8">
        <f>MAX(0,$E118-$F118)</f>
        <v/>
      </c>
      <c r="H118" s="18">
        <f>IF(OR(ISNUMBER(SEARCH("fever",$D118)),ISNUMBER(SEARCH("mike",$D118)),ISNUMBER(SEARCH("mxd",$D118))),2,1)</f>
        <v/>
      </c>
      <c r="I118" s="18">
        <f>$H118*IFERROR(INDEX('Recap'!$O$5:$O$233,MATCH($K118,'Recap'!$P$5:$P$233,0)),0)</f>
        <v/>
      </c>
      <c r="J118" s="7">
        <f>$G118*$I118</f>
        <v/>
      </c>
      <c r="K118" s="4">
        <f>$A118&amp;"|"&amp;$C118</f>
        <v/>
      </c>
    </row>
    <row r="119">
      <c r="A119" s="4" t="inlineStr">
        <is>
          <t>Dan Lagala</t>
        </is>
      </c>
      <c r="B119" s="4" t="inlineStr">
        <is>
          <t>Mike Engel</t>
        </is>
      </c>
      <c r="C119" s="4" t="inlineStr">
        <is>
          <t>New Belgium Brewing Company</t>
        </is>
      </c>
      <c r="D119" s="4" t="inlineStr">
        <is>
          <t>Bell's</t>
        </is>
      </c>
      <c r="E119" s="5" t="n">
        <v>10</v>
      </c>
      <c r="F119" s="5" t="n">
        <v>1</v>
      </c>
      <c r="G119" s="8">
        <f>MAX(0,$E119-$F119)</f>
        <v/>
      </c>
      <c r="H119" s="18">
        <f>IF(OR(ISNUMBER(SEARCH("fever",$D119)),ISNUMBER(SEARCH("mike",$D119)),ISNUMBER(SEARCH("mxd",$D119))),2,1)</f>
        <v/>
      </c>
      <c r="I119" s="18">
        <f>$H119*IFERROR(INDEX('Recap'!$O$5:$O$233,MATCH($K119,'Recap'!$P$5:$P$233,0)),0)</f>
        <v/>
      </c>
      <c r="J119" s="7">
        <f>$G119*$I119</f>
        <v/>
      </c>
      <c r="K119" s="4">
        <f>$A119&amp;"|"&amp;$C119</f>
        <v/>
      </c>
    </row>
    <row r="120">
      <c r="A120" s="4" t="inlineStr">
        <is>
          <t>Dan Lagala</t>
        </is>
      </c>
      <c r="B120" s="4" t="inlineStr">
        <is>
          <t>Mike Engel</t>
        </is>
      </c>
      <c r="C120" s="4" t="inlineStr">
        <is>
          <t>New Belgium Brewing Company</t>
        </is>
      </c>
      <c r="D120" s="4" t="inlineStr">
        <is>
          <t>Fat Tire Family</t>
        </is>
      </c>
      <c r="E120" s="5" t="n">
        <v>43</v>
      </c>
      <c r="F120" s="5" t="n">
        <v>49</v>
      </c>
      <c r="G120" s="8">
        <f>MAX(0,$E120-$F120)</f>
        <v/>
      </c>
      <c r="H120" s="18">
        <f>IF(OR(ISNUMBER(SEARCH("fever",$D120)),ISNUMBER(SEARCH("mike",$D120)),ISNUMBER(SEARCH("mxd",$D120))),2,1)</f>
        <v/>
      </c>
      <c r="I120" s="18">
        <f>$H120*IFERROR(INDEX('Recap'!$O$5:$O$233,MATCH($K120,'Recap'!$P$5:$P$233,0)),0)</f>
        <v/>
      </c>
      <c r="J120" s="7">
        <f>$G120*$I120</f>
        <v/>
      </c>
      <c r="K120" s="4">
        <f>$A120&amp;"|"&amp;$C120</f>
        <v/>
      </c>
    </row>
    <row r="121">
      <c r="A121" s="4" t="inlineStr">
        <is>
          <t>Dan Lagala</t>
        </is>
      </c>
      <c r="B121" s="4" t="inlineStr">
        <is>
          <t>Mike Engel</t>
        </is>
      </c>
      <c r="C121" s="4" t="inlineStr">
        <is>
          <t>New Belgium Brewing Company</t>
        </is>
      </c>
      <c r="D121" s="4" t="inlineStr">
        <is>
          <t>Kirin Ichiban</t>
        </is>
      </c>
      <c r="E121" s="5" t="n">
        <v>1621</v>
      </c>
      <c r="F121" s="5" t="n">
        <v>1365</v>
      </c>
      <c r="G121" s="8">
        <f>MAX(0,$E121-$F121)</f>
        <v/>
      </c>
      <c r="H121" s="18">
        <f>IF(OR(ISNUMBER(SEARCH("fever",$D121)),ISNUMBER(SEARCH("mike",$D121)),ISNUMBER(SEARCH("mxd",$D121))),2,1)</f>
        <v/>
      </c>
      <c r="I121" s="18">
        <f>$H121*IFERROR(INDEX('Recap'!$O$5:$O$233,MATCH($K121,'Recap'!$P$5:$P$233,0)),0)</f>
        <v/>
      </c>
      <c r="J121" s="7">
        <f>$G121*$I121</f>
        <v/>
      </c>
      <c r="K121" s="4">
        <f>$A121&amp;"|"&amp;$C121</f>
        <v/>
      </c>
    </row>
    <row r="122">
      <c r="A122" s="4" t="inlineStr">
        <is>
          <t>Dan Lagala</t>
        </is>
      </c>
      <c r="B122" s="4" t="inlineStr">
        <is>
          <t>Mike Engel</t>
        </is>
      </c>
      <c r="C122" s="4" t="inlineStr">
        <is>
          <t>New Belgium Brewing Company</t>
        </is>
      </c>
      <c r="D122" s="4" t="inlineStr">
        <is>
          <t>Voodoo Family</t>
        </is>
      </c>
      <c r="E122" s="5" t="n">
        <v>491</v>
      </c>
      <c r="F122" s="5" t="n">
        <v>517</v>
      </c>
      <c r="G122" s="8">
        <f>MAX(0,$E122-$F122)</f>
        <v/>
      </c>
      <c r="H122" s="18">
        <f>IF(OR(ISNUMBER(SEARCH("fever",$D122)),ISNUMBER(SEARCH("mike",$D122)),ISNUMBER(SEARCH("mxd",$D122))),2,1)</f>
        <v/>
      </c>
      <c r="I122" s="18">
        <f>$H122*IFERROR(INDEX('Recap'!$O$5:$O$233,MATCH($K122,'Recap'!$P$5:$P$233,0)),0)</f>
        <v/>
      </c>
      <c r="J122" s="7">
        <f>$G122*$I122</f>
        <v/>
      </c>
      <c r="K122" s="4">
        <f>$A122&amp;"|"&amp;$C122</f>
        <v/>
      </c>
    </row>
    <row r="123">
      <c r="A123" s="4" t="inlineStr">
        <is>
          <t>Dan Lagala</t>
        </is>
      </c>
      <c r="B123" s="4" t="inlineStr">
        <is>
          <t>Mike Engel</t>
        </is>
      </c>
      <c r="C123" s="4" t="inlineStr">
        <is>
          <t>Sapporo</t>
        </is>
      </c>
      <c r="D123" s="4" t="inlineStr">
        <is>
          <t>Sapporo</t>
        </is>
      </c>
      <c r="E123" s="5" t="n">
        <v>2894</v>
      </c>
      <c r="F123" s="5" t="n">
        <v>2081</v>
      </c>
      <c r="G123" s="8">
        <f>MAX(0,$E123-$F123)</f>
        <v/>
      </c>
      <c r="H123" s="18">
        <f>IF(OR(ISNUMBER(SEARCH("fever",$D123)),ISNUMBER(SEARCH("mike",$D123)),ISNUMBER(SEARCH("mxd",$D123))),2,1)</f>
        <v/>
      </c>
      <c r="I123" s="18">
        <f>$H123*IFERROR(INDEX('Recap'!$O$5:$O$233,MATCH($K123,'Recap'!$P$5:$P$233,0)),0)</f>
        <v/>
      </c>
      <c r="J123" s="7">
        <f>$G123*$I123</f>
        <v/>
      </c>
      <c r="K123" s="4">
        <f>$A123&amp;"|"&amp;$C123</f>
        <v/>
      </c>
    </row>
    <row r="124">
      <c r="A124" s="4" t="inlineStr">
        <is>
          <t>Dave Ehlers</t>
        </is>
      </c>
      <c r="B124" s="4" t="inlineStr">
        <is>
          <t>Mike Engel</t>
        </is>
      </c>
      <c r="C124" s="4" t="inlineStr">
        <is>
          <t>Boston Beer Company</t>
        </is>
      </c>
      <c r="D124" s="4" t="inlineStr">
        <is>
          <t>Dogfish Head Beer</t>
        </is>
      </c>
      <c r="E124" s="5" t="n">
        <v>767</v>
      </c>
      <c r="F124" s="5" t="n">
        <v>624</v>
      </c>
      <c r="G124" s="8">
        <f>MAX(0,$E124-$F124)</f>
        <v/>
      </c>
      <c r="H124" s="18">
        <f>IF(OR(ISNUMBER(SEARCH("fever",$D124)),ISNUMBER(SEARCH("mike",$D124)),ISNUMBER(SEARCH("mxd",$D124))),2,1)</f>
        <v/>
      </c>
      <c r="I124" s="18">
        <f>$H124*IFERROR(INDEX('Recap'!$O$5:$O$233,MATCH($K124,'Recap'!$P$5:$P$233,0)),0)</f>
        <v/>
      </c>
      <c r="J124" s="7">
        <f>$G124*$I124</f>
        <v/>
      </c>
      <c r="K124" s="4">
        <f>$A124&amp;"|"&amp;$C124</f>
        <v/>
      </c>
    </row>
    <row r="125">
      <c r="A125" s="4" t="inlineStr">
        <is>
          <t>Dave Ehlers</t>
        </is>
      </c>
      <c r="B125" s="4" t="inlineStr">
        <is>
          <t>Mike Engel</t>
        </is>
      </c>
      <c r="C125" s="4" t="inlineStr">
        <is>
          <t>Boston Beer Company</t>
        </is>
      </c>
      <c r="D125" s="4" t="inlineStr">
        <is>
          <t>Dogfish Head Spirits</t>
        </is>
      </c>
      <c r="E125" s="5" t="n">
        <v>138</v>
      </c>
      <c r="F125" s="5" t="n">
        <v>161</v>
      </c>
      <c r="G125" s="8">
        <f>MAX(0,$E125-$F125)</f>
        <v/>
      </c>
      <c r="H125" s="18">
        <f>IF(OR(ISNUMBER(SEARCH("fever",$D125)),ISNUMBER(SEARCH("mike",$D125)),ISNUMBER(SEARCH("mxd",$D125))),2,1)</f>
        <v/>
      </c>
      <c r="I125" s="18">
        <f>$H125*IFERROR(INDEX('Recap'!$O$5:$O$233,MATCH($K125,'Recap'!$P$5:$P$233,0)),0)</f>
        <v/>
      </c>
      <c r="J125" s="7">
        <f>$G125*$I125</f>
        <v/>
      </c>
      <c r="K125" s="4">
        <f>$A125&amp;"|"&amp;$C125</f>
        <v/>
      </c>
    </row>
    <row r="126">
      <c r="A126" s="4" t="inlineStr">
        <is>
          <t>Dave Ehlers</t>
        </is>
      </c>
      <c r="B126" s="4" t="inlineStr">
        <is>
          <t>Mike Engel</t>
        </is>
      </c>
      <c r="C126" s="4" t="inlineStr">
        <is>
          <t>Cape May</t>
        </is>
      </c>
      <c r="D126" s="4" t="inlineStr">
        <is>
          <t>Cape May</t>
        </is>
      </c>
      <c r="E126" s="5" t="n">
        <v>613</v>
      </c>
      <c r="F126" s="5" t="n">
        <v>462</v>
      </c>
      <c r="G126" s="8">
        <f>MAX(0,$E126-$F126)</f>
        <v/>
      </c>
      <c r="H126" s="18">
        <f>IF(OR(ISNUMBER(SEARCH("fever",$D126)),ISNUMBER(SEARCH("mike",$D126)),ISNUMBER(SEARCH("mxd",$D126))),2,1)</f>
        <v/>
      </c>
      <c r="I126" s="18">
        <f>$H126*IFERROR(INDEX('Recap'!$O$5:$O$233,MATCH($K126,'Recap'!$P$5:$P$233,0)),0)</f>
        <v/>
      </c>
      <c r="J126" s="7">
        <f>$G126*$I126</f>
        <v/>
      </c>
      <c r="K126" s="4">
        <f>$A126&amp;"|"&amp;$C126</f>
        <v/>
      </c>
    </row>
    <row r="127">
      <c r="A127" s="4" t="inlineStr">
        <is>
          <t>Dave Ehlers</t>
        </is>
      </c>
      <c r="B127" s="4" t="inlineStr">
        <is>
          <t>Mike Engel</t>
        </is>
      </c>
      <c r="C127" s="4" t="inlineStr">
        <is>
          <t>Constellation Brands</t>
        </is>
      </c>
      <c r="D127" s="4" t="inlineStr">
        <is>
          <t>Corona Premier</t>
        </is>
      </c>
      <c r="E127" s="5" t="n">
        <v>1380</v>
      </c>
      <c r="F127" s="5" t="n">
        <v>1169</v>
      </c>
      <c r="G127" s="8">
        <f>MAX(0,$E127-$F127)</f>
        <v/>
      </c>
      <c r="H127" s="18">
        <f>IF(OR(ISNUMBER(SEARCH("fever",$D127)),ISNUMBER(SEARCH("mike",$D127)),ISNUMBER(SEARCH("mxd",$D127))),2,1)</f>
        <v/>
      </c>
      <c r="I127" s="18">
        <f>$H127*IFERROR(INDEX('Recap'!$O$5:$O$233,MATCH($K127,'Recap'!$P$5:$P$233,0)),0)</f>
        <v/>
      </c>
      <c r="J127" s="7">
        <f>$G127*$I127</f>
        <v/>
      </c>
      <c r="K127" s="4">
        <f>$A127&amp;"|"&amp;$C127</f>
        <v/>
      </c>
    </row>
    <row r="128">
      <c r="A128" s="4" t="inlineStr">
        <is>
          <t>Dave Ehlers</t>
        </is>
      </c>
      <c r="B128" s="4" t="inlineStr">
        <is>
          <t>Mike Engel</t>
        </is>
      </c>
      <c r="C128" s="4" t="inlineStr">
        <is>
          <t>Constellation Brands</t>
        </is>
      </c>
      <c r="D128" s="4" t="inlineStr">
        <is>
          <t>Modelo Chelada</t>
        </is>
      </c>
      <c r="E128" s="5" t="n">
        <v>3707</v>
      </c>
      <c r="F128" s="5" t="n">
        <v>3087</v>
      </c>
      <c r="G128" s="8">
        <f>MAX(0,$E128-$F128)</f>
        <v/>
      </c>
      <c r="H128" s="18">
        <f>IF(OR(ISNUMBER(SEARCH("fever",$D128)),ISNUMBER(SEARCH("mike",$D128)),ISNUMBER(SEARCH("mxd",$D128))),2,1)</f>
        <v/>
      </c>
      <c r="I128" s="18">
        <f>$H128*IFERROR(INDEX('Recap'!$O$5:$O$233,MATCH($K128,'Recap'!$P$5:$P$233,0)),0)</f>
        <v/>
      </c>
      <c r="J128" s="7">
        <f>$G128*$I128</f>
        <v/>
      </c>
      <c r="K128" s="4">
        <f>$A128&amp;"|"&amp;$C128</f>
        <v/>
      </c>
    </row>
    <row r="129">
      <c r="A129" s="4" t="inlineStr">
        <is>
          <t>Dave Ehlers</t>
        </is>
      </c>
      <c r="B129" s="4" t="inlineStr">
        <is>
          <t>Mike Engel</t>
        </is>
      </c>
      <c r="C129" s="4" t="inlineStr">
        <is>
          <t>Constellation Brands</t>
        </is>
      </c>
      <c r="D129" s="4" t="inlineStr">
        <is>
          <t>Pacifico</t>
        </is>
      </c>
      <c r="E129" s="5" t="n">
        <v>1516</v>
      </c>
      <c r="F129" s="5" t="n">
        <v>1115</v>
      </c>
      <c r="G129" s="8">
        <f>MAX(0,$E129-$F129)</f>
        <v/>
      </c>
      <c r="H129" s="18">
        <f>IF(OR(ISNUMBER(SEARCH("fever",$D129)),ISNUMBER(SEARCH("mike",$D129)),ISNUMBER(SEARCH("mxd",$D129))),2,1)</f>
        <v/>
      </c>
      <c r="I129" s="18">
        <f>$H129*IFERROR(INDEX('Recap'!$O$5:$O$233,MATCH($K129,'Recap'!$P$5:$P$233,0)),0)</f>
        <v/>
      </c>
      <c r="J129" s="7">
        <f>$G129*$I129</f>
        <v/>
      </c>
      <c r="K129" s="4">
        <f>$A129&amp;"|"&amp;$C129</f>
        <v/>
      </c>
    </row>
    <row r="130">
      <c r="A130" s="4" t="inlineStr">
        <is>
          <t>Dave Ehlers</t>
        </is>
      </c>
      <c r="B130" s="4" t="inlineStr">
        <is>
          <t>Mike Engel</t>
        </is>
      </c>
      <c r="C130" s="4" t="inlineStr">
        <is>
          <t>Constellation Brands</t>
        </is>
      </c>
      <c r="D130" s="4" t="inlineStr">
        <is>
          <t>Victoria</t>
        </is>
      </c>
      <c r="E130" s="5" t="n">
        <v>2015</v>
      </c>
      <c r="F130" s="5" t="n">
        <v>1714</v>
      </c>
      <c r="G130" s="8">
        <f>MAX(0,$E130-$F130)</f>
        <v/>
      </c>
      <c r="H130" s="18">
        <f>IF(OR(ISNUMBER(SEARCH("fever",$D130)),ISNUMBER(SEARCH("mike",$D130)),ISNUMBER(SEARCH("mxd",$D130))),2,1)</f>
        <v/>
      </c>
      <c r="I130" s="18">
        <f>$H130*IFERROR(INDEX('Recap'!$O$5:$O$233,MATCH($K130,'Recap'!$P$5:$P$233,0)),0)</f>
        <v/>
      </c>
      <c r="J130" s="7">
        <f>$G130*$I130</f>
        <v/>
      </c>
      <c r="K130" s="4">
        <f>$A130&amp;"|"&amp;$C130</f>
        <v/>
      </c>
    </row>
    <row r="131">
      <c r="A131" s="4" t="inlineStr">
        <is>
          <t>Dave Ehlers</t>
        </is>
      </c>
      <c r="B131" s="4" t="inlineStr">
        <is>
          <t>Mike Engel</t>
        </is>
      </c>
      <c r="C131" s="4" t="inlineStr">
        <is>
          <t>DG Yuengling Inc</t>
        </is>
      </c>
      <c r="D131" s="4" t="inlineStr">
        <is>
          <t>Yuengling Flight</t>
        </is>
      </c>
      <c r="E131" s="5" t="n">
        <v>198</v>
      </c>
      <c r="F131" s="5" t="n">
        <v>217</v>
      </c>
      <c r="G131" s="8">
        <f>MAX(0,$E131-$F131)</f>
        <v/>
      </c>
      <c r="H131" s="18">
        <f>IF(OR(ISNUMBER(SEARCH("fever",$D131)),ISNUMBER(SEARCH("mike",$D131)),ISNUMBER(SEARCH("mxd",$D131))),2,1)</f>
        <v/>
      </c>
      <c r="I131" s="18">
        <f>$H131*IFERROR(INDEX('Recap'!$O$5:$O$233,MATCH($K131,'Recap'!$P$5:$P$233,0)),0)</f>
        <v/>
      </c>
      <c r="J131" s="7">
        <f>$G131*$I131</f>
        <v/>
      </c>
      <c r="K131" s="4">
        <f>$A131&amp;"|"&amp;$C131</f>
        <v/>
      </c>
    </row>
    <row r="132">
      <c r="A132" s="4" t="inlineStr">
        <is>
          <t>Dave Ehlers</t>
        </is>
      </c>
      <c r="B132" s="4" t="inlineStr">
        <is>
          <t>Mike Engel</t>
        </is>
      </c>
      <c r="C132" s="4" t="inlineStr">
        <is>
          <t>DG Yuengling Inc</t>
        </is>
      </c>
      <c r="D132" s="4" t="inlineStr">
        <is>
          <t>Yuengling Light Lager</t>
        </is>
      </c>
      <c r="E132" s="5" t="n">
        <v>335</v>
      </c>
      <c r="F132" s="5" t="n">
        <v>260</v>
      </c>
      <c r="G132" s="8">
        <f>MAX(0,$E132-$F132)</f>
        <v/>
      </c>
      <c r="H132" s="18">
        <f>IF(OR(ISNUMBER(SEARCH("fever",$D132)),ISNUMBER(SEARCH("mike",$D132)),ISNUMBER(SEARCH("mxd",$D132))),2,1)</f>
        <v/>
      </c>
      <c r="I132" s="18">
        <f>$H132*IFERROR(INDEX('Recap'!$O$5:$O$233,MATCH($K132,'Recap'!$P$5:$P$233,0)),0)</f>
        <v/>
      </c>
      <c r="J132" s="7">
        <f>$G132*$I132</f>
        <v/>
      </c>
      <c r="K132" s="4">
        <f>$A132&amp;"|"&amp;$C132</f>
        <v/>
      </c>
    </row>
    <row r="133">
      <c r="A133" s="4" t="inlineStr">
        <is>
          <t>Dave Ehlers</t>
        </is>
      </c>
      <c r="B133" s="4" t="inlineStr">
        <is>
          <t>Mike Engel</t>
        </is>
      </c>
      <c r="C133" s="4" t="inlineStr">
        <is>
          <t>Heineken USA</t>
        </is>
      </c>
      <c r="D133" s="4" t="inlineStr">
        <is>
          <t>Heineken 0.0</t>
        </is>
      </c>
      <c r="E133" s="5" t="n">
        <v>695</v>
      </c>
      <c r="F133" s="5" t="n">
        <v>719</v>
      </c>
      <c r="G133" s="8">
        <f>MAX(0,$E133-$F133)</f>
        <v/>
      </c>
      <c r="H133" s="18">
        <f>IF(OR(ISNUMBER(SEARCH("fever",$D133)),ISNUMBER(SEARCH("mike",$D133)),ISNUMBER(SEARCH("mxd",$D133))),2,1)</f>
        <v/>
      </c>
      <c r="I133" s="18">
        <f>$H133*IFERROR(INDEX('Recap'!$O$5:$O$233,MATCH($K133,'Recap'!$P$5:$P$233,0)),0)</f>
        <v/>
      </c>
      <c r="J133" s="7">
        <f>$G133*$I133</f>
        <v/>
      </c>
      <c r="K133" s="4">
        <f>$A133&amp;"|"&amp;$C133</f>
        <v/>
      </c>
    </row>
    <row r="134">
      <c r="A134" s="4" t="inlineStr">
        <is>
          <t>Dave Ehlers</t>
        </is>
      </c>
      <c r="B134" s="4" t="inlineStr">
        <is>
          <t>Mike Engel</t>
        </is>
      </c>
      <c r="C134" s="4" t="inlineStr">
        <is>
          <t>Heineken USA</t>
        </is>
      </c>
      <c r="D134" s="4" t="inlineStr">
        <is>
          <t>Heineken Light</t>
        </is>
      </c>
      <c r="E134" s="5" t="n">
        <v>679</v>
      </c>
      <c r="F134" s="5" t="n">
        <v>773</v>
      </c>
      <c r="G134" s="8">
        <f>MAX(0,$E134-$F134)</f>
        <v/>
      </c>
      <c r="H134" s="18">
        <f>IF(OR(ISNUMBER(SEARCH("fever",$D134)),ISNUMBER(SEARCH("mike",$D134)),ISNUMBER(SEARCH("mxd",$D134))),2,1)</f>
        <v/>
      </c>
      <c r="I134" s="18">
        <f>$H134*IFERROR(INDEX('Recap'!$O$5:$O$233,MATCH($K134,'Recap'!$P$5:$P$233,0)),0)</f>
        <v/>
      </c>
      <c r="J134" s="7">
        <f>$G134*$I134</f>
        <v/>
      </c>
      <c r="K134" s="4">
        <f>$A134&amp;"|"&amp;$C134</f>
        <v/>
      </c>
    </row>
    <row r="135">
      <c r="A135" s="4" t="inlineStr">
        <is>
          <t>Dave Ehlers</t>
        </is>
      </c>
      <c r="B135" s="4" t="inlineStr">
        <is>
          <t>Mike Engel</t>
        </is>
      </c>
      <c r="C135" s="4" t="inlineStr">
        <is>
          <t>Mark Anthony</t>
        </is>
      </c>
      <c r="D135" s="4" t="inlineStr">
        <is>
          <t>Cayman Jack</t>
        </is>
      </c>
      <c r="E135" s="5" t="n">
        <v>1678</v>
      </c>
      <c r="F135" s="5" t="n">
        <v>1373</v>
      </c>
      <c r="G135" s="8">
        <f>MAX(0,$E135-$F135)</f>
        <v/>
      </c>
      <c r="H135" s="18">
        <f>IF(OR(ISNUMBER(SEARCH("fever",$D135)),ISNUMBER(SEARCH("mike",$D135)),ISNUMBER(SEARCH("mxd",$D135))),2,1)</f>
        <v/>
      </c>
      <c r="I135" s="18">
        <f>$H135*IFERROR(INDEX('Recap'!$O$5:$O$233,MATCH($K135,'Recap'!$P$5:$P$233,0)),0)</f>
        <v/>
      </c>
      <c r="J135" s="7">
        <f>$G135*$I135</f>
        <v/>
      </c>
      <c r="K135" s="4">
        <f>$A135&amp;"|"&amp;$C135</f>
        <v/>
      </c>
    </row>
    <row r="136">
      <c r="A136" s="4" t="inlineStr">
        <is>
          <t>Dave Ehlers</t>
        </is>
      </c>
      <c r="B136" s="4" t="inlineStr">
        <is>
          <t>Mike Engel</t>
        </is>
      </c>
      <c r="C136" s="4" t="inlineStr">
        <is>
          <t>Mark Anthony</t>
        </is>
      </c>
      <c r="D136" s="4" t="inlineStr">
        <is>
          <t>Mike's Harder</t>
        </is>
      </c>
      <c r="E136" s="5" t="n">
        <v>364</v>
      </c>
      <c r="F136" s="5" t="n">
        <v>373</v>
      </c>
      <c r="G136" s="8">
        <f>MAX(0,$E136-$F136)</f>
        <v/>
      </c>
      <c r="H136" s="18">
        <f>IF(OR(ISNUMBER(SEARCH("fever",$D136)),ISNUMBER(SEARCH("mike",$D136)),ISNUMBER(SEARCH("mxd",$D136))),2,1)</f>
        <v/>
      </c>
      <c r="I136" s="18">
        <f>$H136*IFERROR(INDEX('Recap'!$O$5:$O$233,MATCH($K136,'Recap'!$P$5:$P$233,0)),0)</f>
        <v/>
      </c>
      <c r="J136" s="7">
        <f>$G136*$I136</f>
        <v/>
      </c>
      <c r="K136" s="4">
        <f>$A136&amp;"|"&amp;$C136</f>
        <v/>
      </c>
    </row>
    <row r="137">
      <c r="A137" s="4" t="inlineStr">
        <is>
          <t>Dave Ehlers</t>
        </is>
      </c>
      <c r="B137" s="4" t="inlineStr">
        <is>
          <t>Mike Engel</t>
        </is>
      </c>
      <c r="C137" s="4" t="inlineStr">
        <is>
          <t>Mark Anthony</t>
        </is>
      </c>
      <c r="D137" s="4" t="inlineStr">
        <is>
          <t>Mxd Cocktails</t>
        </is>
      </c>
      <c r="E137" s="5" t="n">
        <v>8</v>
      </c>
      <c r="F137" s="5" t="n">
        <v>9</v>
      </c>
      <c r="G137" s="8">
        <f>MAX(0,$E137-$F137)</f>
        <v/>
      </c>
      <c r="H137" s="18">
        <f>IF(OR(ISNUMBER(SEARCH("fever",$D137)),ISNUMBER(SEARCH("mike",$D137)),ISNUMBER(SEARCH("mxd",$D137))),2,1)</f>
        <v/>
      </c>
      <c r="I137" s="18">
        <f>$H137*IFERROR(INDEX('Recap'!$O$5:$O$233,MATCH($K137,'Recap'!$P$5:$P$233,0)),0)</f>
        <v/>
      </c>
      <c r="J137" s="7">
        <f>$G137*$I137</f>
        <v/>
      </c>
      <c r="K137" s="4">
        <f>$A137&amp;"|"&amp;$C137</f>
        <v/>
      </c>
    </row>
    <row r="138">
      <c r="A138" s="4" t="inlineStr">
        <is>
          <t>Dave Ehlers</t>
        </is>
      </c>
      <c r="B138" s="4" t="inlineStr">
        <is>
          <t>Mike Engel</t>
        </is>
      </c>
      <c r="C138" s="4" t="inlineStr">
        <is>
          <t>MolsonCoors Beverage Company</t>
        </is>
      </c>
      <c r="D138" s="4" t="inlineStr">
        <is>
          <t>Coors</t>
        </is>
      </c>
      <c r="E138" s="5" t="n">
        <v>2299</v>
      </c>
      <c r="F138" s="5" t="n">
        <v>2121</v>
      </c>
      <c r="G138" s="8">
        <f>MAX(0,$E138-$F138)</f>
        <v/>
      </c>
      <c r="H138" s="18">
        <f>IF(OR(ISNUMBER(SEARCH("fever",$D138)),ISNUMBER(SEARCH("mike",$D138)),ISNUMBER(SEARCH("mxd",$D138))),2,1)</f>
        <v/>
      </c>
      <c r="I138" s="18">
        <f>$H138*IFERROR(INDEX('Recap'!$O$5:$O$233,MATCH($K138,'Recap'!$P$5:$P$233,0)),0)</f>
        <v/>
      </c>
      <c r="J138" s="7">
        <f>$G138*$I138</f>
        <v/>
      </c>
      <c r="K138" s="4">
        <f>$A138&amp;"|"&amp;$C138</f>
        <v/>
      </c>
    </row>
    <row r="139">
      <c r="A139" s="4" t="inlineStr">
        <is>
          <t>Dave Ehlers</t>
        </is>
      </c>
      <c r="B139" s="4" t="inlineStr">
        <is>
          <t>Mike Engel</t>
        </is>
      </c>
      <c r="C139" s="4" t="inlineStr">
        <is>
          <t>MolsonCoors Beverage Company</t>
        </is>
      </c>
      <c r="D139" s="4" t="inlineStr">
        <is>
          <t>Fever Tree</t>
        </is>
      </c>
      <c r="E139" s="5" t="n">
        <v>37</v>
      </c>
      <c r="F139" s="5" t="n">
        <v>33</v>
      </c>
      <c r="G139" s="8">
        <f>MAX(0,$E139-$F139)</f>
        <v/>
      </c>
      <c r="H139" s="18">
        <f>IF(OR(ISNUMBER(SEARCH("fever",$D139)),ISNUMBER(SEARCH("mike",$D139)),ISNUMBER(SEARCH("mxd",$D139))),2,1)</f>
        <v/>
      </c>
      <c r="I139" s="18">
        <f>$H139*IFERROR(INDEX('Recap'!$O$5:$O$233,MATCH($K139,'Recap'!$P$5:$P$233,0)),0)</f>
        <v/>
      </c>
      <c r="J139" s="7">
        <f>$G139*$I139</f>
        <v/>
      </c>
      <c r="K139" s="4">
        <f>$A139&amp;"|"&amp;$C139</f>
        <v/>
      </c>
    </row>
    <row r="140">
      <c r="A140" s="4" t="inlineStr">
        <is>
          <t>Dave Ehlers</t>
        </is>
      </c>
      <c r="B140" s="4" t="inlineStr">
        <is>
          <t>Mike Engel</t>
        </is>
      </c>
      <c r="C140" s="4" t="inlineStr">
        <is>
          <t>MolsonCoors Beverage Company</t>
        </is>
      </c>
      <c r="D140" s="4" t="inlineStr">
        <is>
          <t>Peroni</t>
        </is>
      </c>
      <c r="E140" s="5" t="n">
        <v>1608</v>
      </c>
      <c r="F140" s="5" t="n">
        <v>1215</v>
      </c>
      <c r="G140" s="8">
        <f>MAX(0,$E140-$F140)</f>
        <v/>
      </c>
      <c r="H140" s="18">
        <f>IF(OR(ISNUMBER(SEARCH("fever",$D140)),ISNUMBER(SEARCH("mike",$D140)),ISNUMBER(SEARCH("mxd",$D140))),2,1)</f>
        <v/>
      </c>
      <c r="I140" s="18">
        <f>$H140*IFERROR(INDEX('Recap'!$O$5:$O$233,MATCH($K140,'Recap'!$P$5:$P$233,0)),0)</f>
        <v/>
      </c>
      <c r="J140" s="7">
        <f>$G140*$I140</f>
        <v/>
      </c>
      <c r="K140" s="4">
        <f>$A140&amp;"|"&amp;$C140</f>
        <v/>
      </c>
    </row>
    <row r="141">
      <c r="A141" s="4" t="inlineStr">
        <is>
          <t>Dave Ehlers</t>
        </is>
      </c>
      <c r="B141" s="4" t="inlineStr">
        <is>
          <t>Mike Engel</t>
        </is>
      </c>
      <c r="C141" s="4" t="inlineStr">
        <is>
          <t>New Belgium Brewing Company</t>
        </is>
      </c>
      <c r="D141" s="4" t="inlineStr">
        <is>
          <t>Bell's</t>
        </is>
      </c>
      <c r="E141" s="5" t="n">
        <v>26</v>
      </c>
      <c r="F141" s="5" t="n">
        <v>36</v>
      </c>
      <c r="G141" s="8">
        <f>MAX(0,$E141-$F141)</f>
        <v/>
      </c>
      <c r="H141" s="18">
        <f>IF(OR(ISNUMBER(SEARCH("fever",$D141)),ISNUMBER(SEARCH("mike",$D141)),ISNUMBER(SEARCH("mxd",$D141))),2,1)</f>
        <v/>
      </c>
      <c r="I141" s="18">
        <f>$H141*IFERROR(INDEX('Recap'!$O$5:$O$233,MATCH($K141,'Recap'!$P$5:$P$233,0)),0)</f>
        <v/>
      </c>
      <c r="J141" s="7">
        <f>$G141*$I141</f>
        <v/>
      </c>
      <c r="K141" s="4">
        <f>$A141&amp;"|"&amp;$C141</f>
        <v/>
      </c>
    </row>
    <row r="142">
      <c r="A142" s="4" t="inlineStr">
        <is>
          <t>Dave Ehlers</t>
        </is>
      </c>
      <c r="B142" s="4" t="inlineStr">
        <is>
          <t>Mike Engel</t>
        </is>
      </c>
      <c r="C142" s="4" t="inlineStr">
        <is>
          <t>New Belgium Brewing Company</t>
        </is>
      </c>
      <c r="D142" s="4" t="inlineStr">
        <is>
          <t>Fat Tire Family</t>
        </is>
      </c>
      <c r="E142" s="5" t="n">
        <v>165</v>
      </c>
      <c r="F142" s="5" t="n">
        <v>167</v>
      </c>
      <c r="G142" s="8">
        <f>MAX(0,$E142-$F142)</f>
        <v/>
      </c>
      <c r="H142" s="18">
        <f>IF(OR(ISNUMBER(SEARCH("fever",$D142)),ISNUMBER(SEARCH("mike",$D142)),ISNUMBER(SEARCH("mxd",$D142))),2,1)</f>
        <v/>
      </c>
      <c r="I142" s="18">
        <f>$H142*IFERROR(INDEX('Recap'!$O$5:$O$233,MATCH($K142,'Recap'!$P$5:$P$233,0)),0)</f>
        <v/>
      </c>
      <c r="J142" s="7">
        <f>$G142*$I142</f>
        <v/>
      </c>
      <c r="K142" s="4">
        <f>$A142&amp;"|"&amp;$C142</f>
        <v/>
      </c>
    </row>
    <row r="143">
      <c r="A143" s="4" t="inlineStr">
        <is>
          <t>Dave Ehlers</t>
        </is>
      </c>
      <c r="B143" s="4" t="inlineStr">
        <is>
          <t>Mike Engel</t>
        </is>
      </c>
      <c r="C143" s="4" t="inlineStr">
        <is>
          <t>New Belgium Brewing Company</t>
        </is>
      </c>
      <c r="D143" s="4" t="inlineStr">
        <is>
          <t>Kirin Ichiban</t>
        </is>
      </c>
      <c r="E143" s="5" t="n">
        <v>157</v>
      </c>
      <c r="F143" s="5" t="n">
        <v>47</v>
      </c>
      <c r="G143" s="8">
        <f>MAX(0,$E143-$F143)</f>
        <v/>
      </c>
      <c r="H143" s="18">
        <f>IF(OR(ISNUMBER(SEARCH("fever",$D143)),ISNUMBER(SEARCH("mike",$D143)),ISNUMBER(SEARCH("mxd",$D143))),2,1)</f>
        <v/>
      </c>
      <c r="I143" s="18">
        <f>$H143*IFERROR(INDEX('Recap'!$O$5:$O$233,MATCH($K143,'Recap'!$P$5:$P$233,0)),0)</f>
        <v/>
      </c>
      <c r="J143" s="7">
        <f>$G143*$I143</f>
        <v/>
      </c>
      <c r="K143" s="4">
        <f>$A143&amp;"|"&amp;$C143</f>
        <v/>
      </c>
    </row>
    <row r="144">
      <c r="A144" s="4" t="inlineStr">
        <is>
          <t>Dave Ehlers</t>
        </is>
      </c>
      <c r="B144" s="4" t="inlineStr">
        <is>
          <t>Mike Engel</t>
        </is>
      </c>
      <c r="C144" s="4" t="inlineStr">
        <is>
          <t>New Belgium Brewing Company</t>
        </is>
      </c>
      <c r="D144" s="4" t="inlineStr">
        <is>
          <t>Voodoo Family</t>
        </is>
      </c>
      <c r="E144" s="5" t="n">
        <v>1205</v>
      </c>
      <c r="F144" s="5" t="n">
        <v>1018</v>
      </c>
      <c r="G144" s="8">
        <f>MAX(0,$E144-$F144)</f>
        <v/>
      </c>
      <c r="H144" s="18">
        <f>IF(OR(ISNUMBER(SEARCH("fever",$D144)),ISNUMBER(SEARCH("mike",$D144)),ISNUMBER(SEARCH("mxd",$D144))),2,1)</f>
        <v/>
      </c>
      <c r="I144" s="18">
        <f>$H144*IFERROR(INDEX('Recap'!$O$5:$O$233,MATCH($K144,'Recap'!$P$5:$P$233,0)),0)</f>
        <v/>
      </c>
      <c r="J144" s="7">
        <f>$G144*$I144</f>
        <v/>
      </c>
      <c r="K144" s="4">
        <f>$A144&amp;"|"&amp;$C144</f>
        <v/>
      </c>
    </row>
    <row r="145">
      <c r="A145" s="4" t="inlineStr">
        <is>
          <t>Dave Ehlers</t>
        </is>
      </c>
      <c r="B145" s="4" t="inlineStr">
        <is>
          <t>Mike Engel</t>
        </is>
      </c>
      <c r="C145" s="4" t="inlineStr">
        <is>
          <t>Sapporo</t>
        </is>
      </c>
      <c r="D145" s="4" t="inlineStr">
        <is>
          <t>Sapporo</t>
        </is>
      </c>
      <c r="E145" s="5" t="n">
        <v>1797</v>
      </c>
      <c r="F145" s="5" t="n">
        <v>1419</v>
      </c>
      <c r="G145" s="8">
        <f>MAX(0,$E145-$F145)</f>
        <v/>
      </c>
      <c r="H145" s="18">
        <f>IF(OR(ISNUMBER(SEARCH("fever",$D145)),ISNUMBER(SEARCH("mike",$D145)),ISNUMBER(SEARCH("mxd",$D145))),2,1)</f>
        <v/>
      </c>
      <c r="I145" s="18">
        <f>$H145*IFERROR(INDEX('Recap'!$O$5:$O$233,MATCH($K145,'Recap'!$P$5:$P$233,0)),0)</f>
        <v/>
      </c>
      <c r="J145" s="7">
        <f>$G145*$I145</f>
        <v/>
      </c>
      <c r="K145" s="4">
        <f>$A145&amp;"|"&amp;$C145</f>
        <v/>
      </c>
    </row>
    <row r="146">
      <c r="A146" s="4" t="inlineStr">
        <is>
          <t>Derrick Laws</t>
        </is>
      </c>
      <c r="B146" s="4" t="inlineStr">
        <is>
          <t>Denise Montes</t>
        </is>
      </c>
      <c r="C146" s="4" t="inlineStr">
        <is>
          <t>Boston Beer Company</t>
        </is>
      </c>
      <c r="D146" s="4" t="inlineStr">
        <is>
          <t>Dogfish Head Beer</t>
        </is>
      </c>
      <c r="E146" s="5" t="n">
        <v>94</v>
      </c>
      <c r="F146" s="5" t="n">
        <v>126</v>
      </c>
      <c r="G146" s="8">
        <f>MAX(0,$E146-$F146)</f>
        <v/>
      </c>
      <c r="H146" s="18">
        <f>IF(OR(ISNUMBER(SEARCH("fever",$D146)),ISNUMBER(SEARCH("mike",$D146)),ISNUMBER(SEARCH("mxd",$D146))),2,1)</f>
        <v/>
      </c>
      <c r="I146" s="18">
        <f>$H146*IFERROR(INDEX('Recap'!$O$5:$O$233,MATCH($K146,'Recap'!$P$5:$P$233,0)),0)</f>
        <v/>
      </c>
      <c r="J146" s="7">
        <f>$G146*$I146</f>
        <v/>
      </c>
      <c r="K146" s="4">
        <f>$A146&amp;"|"&amp;$C146</f>
        <v/>
      </c>
    </row>
    <row r="147">
      <c r="A147" s="4" t="inlineStr">
        <is>
          <t>Derrick Laws</t>
        </is>
      </c>
      <c r="B147" s="4" t="inlineStr">
        <is>
          <t>Denise Montes</t>
        </is>
      </c>
      <c r="C147" s="4" t="inlineStr">
        <is>
          <t>Boston Beer Company</t>
        </is>
      </c>
      <c r="D147" s="4" t="inlineStr">
        <is>
          <t>Dogfish Head Spirits</t>
        </is>
      </c>
      <c r="E147" s="5" t="n">
        <v>33</v>
      </c>
      <c r="F147" s="5" t="n">
        <v>65</v>
      </c>
      <c r="G147" s="8">
        <f>MAX(0,$E147-$F147)</f>
        <v/>
      </c>
      <c r="H147" s="18">
        <f>IF(OR(ISNUMBER(SEARCH("fever",$D147)),ISNUMBER(SEARCH("mike",$D147)),ISNUMBER(SEARCH("mxd",$D147))),2,1)</f>
        <v/>
      </c>
      <c r="I147" s="18">
        <f>$H147*IFERROR(INDEX('Recap'!$O$5:$O$233,MATCH($K147,'Recap'!$P$5:$P$233,0)),0)</f>
        <v/>
      </c>
      <c r="J147" s="7">
        <f>$G147*$I147</f>
        <v/>
      </c>
      <c r="K147" s="4">
        <f>$A147&amp;"|"&amp;$C147</f>
        <v/>
      </c>
    </row>
    <row r="148">
      <c r="A148" s="4" t="inlineStr">
        <is>
          <t>Derrick Laws</t>
        </is>
      </c>
      <c r="B148" s="4" t="inlineStr">
        <is>
          <t>Denise Montes</t>
        </is>
      </c>
      <c r="C148" s="4" t="inlineStr">
        <is>
          <t>Cape May</t>
        </is>
      </c>
      <c r="D148" s="4" t="inlineStr">
        <is>
          <t>Cape May</t>
        </is>
      </c>
      <c r="E148" s="5" t="n">
        <v>134</v>
      </c>
      <c r="F148" s="5" t="n">
        <v>117</v>
      </c>
      <c r="G148" s="8">
        <f>MAX(0,$E148-$F148)</f>
        <v/>
      </c>
      <c r="H148" s="18">
        <f>IF(OR(ISNUMBER(SEARCH("fever",$D148)),ISNUMBER(SEARCH("mike",$D148)),ISNUMBER(SEARCH("mxd",$D148))),2,1)</f>
        <v/>
      </c>
      <c r="I148" s="18">
        <f>$H148*IFERROR(INDEX('Recap'!$O$5:$O$233,MATCH($K148,'Recap'!$P$5:$P$233,0)),0)</f>
        <v/>
      </c>
      <c r="J148" s="7">
        <f>$G148*$I148</f>
        <v/>
      </c>
      <c r="K148" s="4">
        <f>$A148&amp;"|"&amp;$C148</f>
        <v/>
      </c>
    </row>
    <row r="149">
      <c r="A149" s="4" t="inlineStr">
        <is>
          <t>Derrick Laws</t>
        </is>
      </c>
      <c r="B149" s="4" t="inlineStr">
        <is>
          <t>Denise Montes</t>
        </is>
      </c>
      <c r="C149" s="4" t="inlineStr">
        <is>
          <t>Constellation Brands</t>
        </is>
      </c>
      <c r="D149" s="4" t="inlineStr">
        <is>
          <t>Corona Premier</t>
        </is>
      </c>
      <c r="E149" s="5" t="n">
        <v>579</v>
      </c>
      <c r="F149" s="5" t="n">
        <v>550</v>
      </c>
      <c r="G149" s="8">
        <f>MAX(0,$E149-$F149)</f>
        <v/>
      </c>
      <c r="H149" s="18">
        <f>IF(OR(ISNUMBER(SEARCH("fever",$D149)),ISNUMBER(SEARCH("mike",$D149)),ISNUMBER(SEARCH("mxd",$D149))),2,1)</f>
        <v/>
      </c>
      <c r="I149" s="18">
        <f>$H149*IFERROR(INDEX('Recap'!$O$5:$O$233,MATCH($K149,'Recap'!$P$5:$P$233,0)),0)</f>
        <v/>
      </c>
      <c r="J149" s="7">
        <f>$G149*$I149</f>
        <v/>
      </c>
      <c r="K149" s="4">
        <f>$A149&amp;"|"&amp;$C149</f>
        <v/>
      </c>
    </row>
    <row r="150">
      <c r="A150" s="4" t="inlineStr">
        <is>
          <t>Derrick Laws</t>
        </is>
      </c>
      <c r="B150" s="4" t="inlineStr">
        <is>
          <t>Denise Montes</t>
        </is>
      </c>
      <c r="C150" s="4" t="inlineStr">
        <is>
          <t>Constellation Brands</t>
        </is>
      </c>
      <c r="D150" s="4" t="inlineStr">
        <is>
          <t>Modelo Chelada</t>
        </is>
      </c>
      <c r="E150" s="5" t="n">
        <v>2502</v>
      </c>
      <c r="F150" s="5" t="n">
        <v>2407</v>
      </c>
      <c r="G150" s="8">
        <f>MAX(0,$E150-$F150)</f>
        <v/>
      </c>
      <c r="H150" s="18">
        <f>IF(OR(ISNUMBER(SEARCH("fever",$D150)),ISNUMBER(SEARCH("mike",$D150)),ISNUMBER(SEARCH("mxd",$D150))),2,1)</f>
        <v/>
      </c>
      <c r="I150" s="18">
        <f>$H150*IFERROR(INDEX('Recap'!$O$5:$O$233,MATCH($K150,'Recap'!$P$5:$P$233,0)),0)</f>
        <v/>
      </c>
      <c r="J150" s="7">
        <f>$G150*$I150</f>
        <v/>
      </c>
      <c r="K150" s="4">
        <f>$A150&amp;"|"&amp;$C150</f>
        <v/>
      </c>
    </row>
    <row r="151">
      <c r="A151" s="4" t="inlineStr">
        <is>
          <t>Derrick Laws</t>
        </is>
      </c>
      <c r="B151" s="4" t="inlineStr">
        <is>
          <t>Denise Montes</t>
        </is>
      </c>
      <c r="C151" s="4" t="inlineStr">
        <is>
          <t>Constellation Brands</t>
        </is>
      </c>
      <c r="D151" s="4" t="inlineStr">
        <is>
          <t>Pacifico</t>
        </is>
      </c>
      <c r="E151" s="5" t="n">
        <v>660</v>
      </c>
      <c r="F151" s="5" t="n">
        <v>543</v>
      </c>
      <c r="G151" s="8">
        <f>MAX(0,$E151-$F151)</f>
        <v/>
      </c>
      <c r="H151" s="18">
        <f>IF(OR(ISNUMBER(SEARCH("fever",$D151)),ISNUMBER(SEARCH("mike",$D151)),ISNUMBER(SEARCH("mxd",$D151))),2,1)</f>
        <v/>
      </c>
      <c r="I151" s="18">
        <f>$H151*IFERROR(INDEX('Recap'!$O$5:$O$233,MATCH($K151,'Recap'!$P$5:$P$233,0)),0)</f>
        <v/>
      </c>
      <c r="J151" s="7">
        <f>$G151*$I151</f>
        <v/>
      </c>
      <c r="K151" s="4">
        <f>$A151&amp;"|"&amp;$C151</f>
        <v/>
      </c>
    </row>
    <row r="152">
      <c r="A152" s="4" t="inlineStr">
        <is>
          <t>Derrick Laws</t>
        </is>
      </c>
      <c r="B152" s="4" t="inlineStr">
        <is>
          <t>Denise Montes</t>
        </is>
      </c>
      <c r="C152" s="4" t="inlineStr">
        <is>
          <t>Constellation Brands</t>
        </is>
      </c>
      <c r="D152" s="4" t="inlineStr">
        <is>
          <t>Victoria</t>
        </is>
      </c>
      <c r="E152" s="5" t="n">
        <v>1493</v>
      </c>
      <c r="F152" s="5" t="n">
        <v>1223</v>
      </c>
      <c r="G152" s="8">
        <f>MAX(0,$E152-$F152)</f>
        <v/>
      </c>
      <c r="H152" s="18">
        <f>IF(OR(ISNUMBER(SEARCH("fever",$D152)),ISNUMBER(SEARCH("mike",$D152)),ISNUMBER(SEARCH("mxd",$D152))),2,1)</f>
        <v/>
      </c>
      <c r="I152" s="18">
        <f>$H152*IFERROR(INDEX('Recap'!$O$5:$O$233,MATCH($K152,'Recap'!$P$5:$P$233,0)),0)</f>
        <v/>
      </c>
      <c r="J152" s="7">
        <f>$G152*$I152</f>
        <v/>
      </c>
      <c r="K152" s="4">
        <f>$A152&amp;"|"&amp;$C152</f>
        <v/>
      </c>
    </row>
    <row r="153">
      <c r="A153" s="4" t="inlineStr">
        <is>
          <t>Derrick Laws</t>
        </is>
      </c>
      <c r="B153" s="4" t="inlineStr">
        <is>
          <t>Denise Montes</t>
        </is>
      </c>
      <c r="C153" s="4" t="inlineStr">
        <is>
          <t>DG Yuengling Inc</t>
        </is>
      </c>
      <c r="D153" s="4" t="inlineStr">
        <is>
          <t>Yuengling Flight</t>
        </is>
      </c>
      <c r="E153" s="5" t="n">
        <v>43</v>
      </c>
      <c r="F153" s="5" t="n">
        <v>65</v>
      </c>
      <c r="G153" s="8">
        <f>MAX(0,$E153-$F153)</f>
        <v/>
      </c>
      <c r="H153" s="18">
        <f>IF(OR(ISNUMBER(SEARCH("fever",$D153)),ISNUMBER(SEARCH("mike",$D153)),ISNUMBER(SEARCH("mxd",$D153))),2,1)</f>
        <v/>
      </c>
      <c r="I153" s="18">
        <f>$H153*IFERROR(INDEX('Recap'!$O$5:$O$233,MATCH($K153,'Recap'!$P$5:$P$233,0)),0)</f>
        <v/>
      </c>
      <c r="J153" s="7">
        <f>$G153*$I153</f>
        <v/>
      </c>
      <c r="K153" s="4">
        <f>$A153&amp;"|"&amp;$C153</f>
        <v/>
      </c>
    </row>
    <row r="154">
      <c r="A154" s="4" t="inlineStr">
        <is>
          <t>Derrick Laws</t>
        </is>
      </c>
      <c r="B154" s="4" t="inlineStr">
        <is>
          <t>Denise Montes</t>
        </is>
      </c>
      <c r="C154" s="4" t="inlineStr">
        <is>
          <t>DG Yuengling Inc</t>
        </is>
      </c>
      <c r="D154" s="4" t="inlineStr">
        <is>
          <t>Yuengling Light Lager</t>
        </is>
      </c>
      <c r="E154" s="5" t="n">
        <v>7</v>
      </c>
      <c r="F154" s="5" t="n">
        <v>19</v>
      </c>
      <c r="G154" s="8">
        <f>MAX(0,$E154-$F154)</f>
        <v/>
      </c>
      <c r="H154" s="18">
        <f>IF(OR(ISNUMBER(SEARCH("fever",$D154)),ISNUMBER(SEARCH("mike",$D154)),ISNUMBER(SEARCH("mxd",$D154))),2,1)</f>
        <v/>
      </c>
      <c r="I154" s="18">
        <f>$H154*IFERROR(INDEX('Recap'!$O$5:$O$233,MATCH($K154,'Recap'!$P$5:$P$233,0)),0)</f>
        <v/>
      </c>
      <c r="J154" s="7">
        <f>$G154*$I154</f>
        <v/>
      </c>
      <c r="K154" s="4">
        <f>$A154&amp;"|"&amp;$C154</f>
        <v/>
      </c>
    </row>
    <row r="155">
      <c r="A155" s="4" t="inlineStr">
        <is>
          <t>Derrick Laws</t>
        </is>
      </c>
      <c r="B155" s="4" t="inlineStr">
        <is>
          <t>Denise Montes</t>
        </is>
      </c>
      <c r="C155" s="4" t="inlineStr">
        <is>
          <t>Heineken USA</t>
        </is>
      </c>
      <c r="D155" s="4" t="inlineStr">
        <is>
          <t>Heineken 0.0</t>
        </is>
      </c>
      <c r="E155" s="5" t="n">
        <v>438</v>
      </c>
      <c r="F155" s="5" t="n">
        <v>494</v>
      </c>
      <c r="G155" s="8">
        <f>MAX(0,$E155-$F155)</f>
        <v/>
      </c>
      <c r="H155" s="18">
        <f>IF(OR(ISNUMBER(SEARCH("fever",$D155)),ISNUMBER(SEARCH("mike",$D155)),ISNUMBER(SEARCH("mxd",$D155))),2,1)</f>
        <v/>
      </c>
      <c r="I155" s="18">
        <f>$H155*IFERROR(INDEX('Recap'!$O$5:$O$233,MATCH($K155,'Recap'!$P$5:$P$233,0)),0)</f>
        <v/>
      </c>
      <c r="J155" s="7">
        <f>$G155*$I155</f>
        <v/>
      </c>
      <c r="K155" s="4">
        <f>$A155&amp;"|"&amp;$C155</f>
        <v/>
      </c>
    </row>
    <row r="156">
      <c r="A156" s="4" t="inlineStr">
        <is>
          <t>Derrick Laws</t>
        </is>
      </c>
      <c r="B156" s="4" t="inlineStr">
        <is>
          <t>Denise Montes</t>
        </is>
      </c>
      <c r="C156" s="4" t="inlineStr">
        <is>
          <t>Heineken USA</t>
        </is>
      </c>
      <c r="D156" s="4" t="inlineStr">
        <is>
          <t>Heineken Light</t>
        </is>
      </c>
      <c r="E156" s="5" t="n">
        <v>1258</v>
      </c>
      <c r="F156" s="5" t="n">
        <v>1583</v>
      </c>
      <c r="G156" s="8">
        <f>MAX(0,$E156-$F156)</f>
        <v/>
      </c>
      <c r="H156" s="18">
        <f>IF(OR(ISNUMBER(SEARCH("fever",$D156)),ISNUMBER(SEARCH("mike",$D156)),ISNUMBER(SEARCH("mxd",$D156))),2,1)</f>
        <v/>
      </c>
      <c r="I156" s="18">
        <f>$H156*IFERROR(INDEX('Recap'!$O$5:$O$233,MATCH($K156,'Recap'!$P$5:$P$233,0)),0)</f>
        <v/>
      </c>
      <c r="J156" s="7">
        <f>$G156*$I156</f>
        <v/>
      </c>
      <c r="K156" s="4">
        <f>$A156&amp;"|"&amp;$C156</f>
        <v/>
      </c>
    </row>
    <row r="157">
      <c r="A157" s="4" t="inlineStr">
        <is>
          <t>Derrick Laws</t>
        </is>
      </c>
      <c r="B157" s="4" t="inlineStr">
        <is>
          <t>Denise Montes</t>
        </is>
      </c>
      <c r="C157" s="4" t="inlineStr">
        <is>
          <t>Mark Anthony</t>
        </is>
      </c>
      <c r="D157" s="4" t="inlineStr">
        <is>
          <t>Cayman Jack</t>
        </is>
      </c>
      <c r="E157" s="5" t="n">
        <v>921</v>
      </c>
      <c r="F157" s="5" t="n">
        <v>770</v>
      </c>
      <c r="G157" s="8">
        <f>MAX(0,$E157-$F157)</f>
        <v/>
      </c>
      <c r="H157" s="18">
        <f>IF(OR(ISNUMBER(SEARCH("fever",$D157)),ISNUMBER(SEARCH("mike",$D157)),ISNUMBER(SEARCH("mxd",$D157))),2,1)</f>
        <v/>
      </c>
      <c r="I157" s="18">
        <f>$H157*IFERROR(INDEX('Recap'!$O$5:$O$233,MATCH($K157,'Recap'!$P$5:$P$233,0)),0)</f>
        <v/>
      </c>
      <c r="J157" s="7">
        <f>$G157*$I157</f>
        <v/>
      </c>
      <c r="K157" s="4">
        <f>$A157&amp;"|"&amp;$C157</f>
        <v/>
      </c>
    </row>
    <row r="158">
      <c r="A158" s="4" t="inlineStr">
        <is>
          <t>Derrick Laws</t>
        </is>
      </c>
      <c r="B158" s="4" t="inlineStr">
        <is>
          <t>Denise Montes</t>
        </is>
      </c>
      <c r="C158" s="4" t="inlineStr">
        <is>
          <t>Mark Anthony</t>
        </is>
      </c>
      <c r="D158" s="4" t="inlineStr">
        <is>
          <t>Mike's Harder</t>
        </is>
      </c>
      <c r="E158" s="5" t="n">
        <v>110</v>
      </c>
      <c r="F158" s="5" t="n">
        <v>136</v>
      </c>
      <c r="G158" s="8">
        <f>MAX(0,$E158-$F158)</f>
        <v/>
      </c>
      <c r="H158" s="18">
        <f>IF(OR(ISNUMBER(SEARCH("fever",$D158)),ISNUMBER(SEARCH("mike",$D158)),ISNUMBER(SEARCH("mxd",$D158))),2,1)</f>
        <v/>
      </c>
      <c r="I158" s="18">
        <f>$H158*IFERROR(INDEX('Recap'!$O$5:$O$233,MATCH($K158,'Recap'!$P$5:$P$233,0)),0)</f>
        <v/>
      </c>
      <c r="J158" s="7">
        <f>$G158*$I158</f>
        <v/>
      </c>
      <c r="K158" s="4">
        <f>$A158&amp;"|"&amp;$C158</f>
        <v/>
      </c>
    </row>
    <row r="159">
      <c r="A159" s="4" t="inlineStr">
        <is>
          <t>Derrick Laws</t>
        </is>
      </c>
      <c r="B159" s="4" t="inlineStr">
        <is>
          <t>Denise Montes</t>
        </is>
      </c>
      <c r="C159" s="4" t="inlineStr">
        <is>
          <t>Mark Anthony</t>
        </is>
      </c>
      <c r="D159" s="4" t="inlineStr">
        <is>
          <t>Mxd Cocktails</t>
        </is>
      </c>
      <c r="E159" s="5" t="n">
        <v>433</v>
      </c>
      <c r="F159" s="5" t="n">
        <v>268</v>
      </c>
      <c r="G159" s="8">
        <f>MAX(0,$E159-$F159)</f>
        <v/>
      </c>
      <c r="H159" s="18">
        <f>IF(OR(ISNUMBER(SEARCH("fever",$D159)),ISNUMBER(SEARCH("mike",$D159)),ISNUMBER(SEARCH("mxd",$D159))),2,1)</f>
        <v/>
      </c>
      <c r="I159" s="18">
        <f>$H159*IFERROR(INDEX('Recap'!$O$5:$O$233,MATCH($K159,'Recap'!$P$5:$P$233,0)),0)</f>
        <v/>
      </c>
      <c r="J159" s="7">
        <f>$G159*$I159</f>
        <v/>
      </c>
      <c r="K159" s="4">
        <f>$A159&amp;"|"&amp;$C159</f>
        <v/>
      </c>
    </row>
    <row r="160">
      <c r="A160" s="4" t="inlineStr">
        <is>
          <t>Derrick Laws</t>
        </is>
      </c>
      <c r="B160" s="4" t="inlineStr">
        <is>
          <t>Denise Montes</t>
        </is>
      </c>
      <c r="C160" s="4" t="inlineStr">
        <is>
          <t>MolsonCoors Beverage Company</t>
        </is>
      </c>
      <c r="D160" s="4" t="inlineStr">
        <is>
          <t>Coors</t>
        </is>
      </c>
      <c r="E160" s="5" t="n">
        <v>1887</v>
      </c>
      <c r="F160" s="5" t="n">
        <v>1888</v>
      </c>
      <c r="G160" s="8">
        <f>MAX(0,$E160-$F160)</f>
        <v/>
      </c>
      <c r="H160" s="18">
        <f>IF(OR(ISNUMBER(SEARCH("fever",$D160)),ISNUMBER(SEARCH("mike",$D160)),ISNUMBER(SEARCH("mxd",$D160))),2,1)</f>
        <v/>
      </c>
      <c r="I160" s="18">
        <f>$H160*IFERROR(INDEX('Recap'!$O$5:$O$233,MATCH($K160,'Recap'!$P$5:$P$233,0)),0)</f>
        <v/>
      </c>
      <c r="J160" s="7">
        <f>$G160*$I160</f>
        <v/>
      </c>
      <c r="K160" s="4">
        <f>$A160&amp;"|"&amp;$C160</f>
        <v/>
      </c>
    </row>
    <row r="161">
      <c r="A161" s="4" t="inlineStr">
        <is>
          <t>Derrick Laws</t>
        </is>
      </c>
      <c r="B161" s="4" t="inlineStr">
        <is>
          <t>Denise Montes</t>
        </is>
      </c>
      <c r="C161" s="4" t="inlineStr">
        <is>
          <t>MolsonCoors Beverage Company</t>
        </is>
      </c>
      <c r="D161" s="4" t="inlineStr">
        <is>
          <t>Fever Tree</t>
        </is>
      </c>
      <c r="E161" s="5" t="n">
        <v>24</v>
      </c>
      <c r="F161" s="5" t="n">
        <v>5</v>
      </c>
      <c r="G161" s="8">
        <f>MAX(0,$E161-$F161)</f>
        <v/>
      </c>
      <c r="H161" s="18">
        <f>IF(OR(ISNUMBER(SEARCH("fever",$D161)),ISNUMBER(SEARCH("mike",$D161)),ISNUMBER(SEARCH("mxd",$D161))),2,1)</f>
        <v/>
      </c>
      <c r="I161" s="18">
        <f>$H161*IFERROR(INDEX('Recap'!$O$5:$O$233,MATCH($K161,'Recap'!$P$5:$P$233,0)),0)</f>
        <v/>
      </c>
      <c r="J161" s="7">
        <f>$G161*$I161</f>
        <v/>
      </c>
      <c r="K161" s="4">
        <f>$A161&amp;"|"&amp;$C161</f>
        <v/>
      </c>
    </row>
    <row r="162">
      <c r="A162" s="4" t="inlineStr">
        <is>
          <t>Derrick Laws</t>
        </is>
      </c>
      <c r="B162" s="4" t="inlineStr">
        <is>
          <t>Denise Montes</t>
        </is>
      </c>
      <c r="C162" s="4" t="inlineStr">
        <is>
          <t>MolsonCoors Beverage Company</t>
        </is>
      </c>
      <c r="D162" s="4" t="inlineStr">
        <is>
          <t>Peroni</t>
        </is>
      </c>
      <c r="E162" s="5" t="n">
        <v>544</v>
      </c>
      <c r="F162" s="5" t="n">
        <v>464</v>
      </c>
      <c r="G162" s="8">
        <f>MAX(0,$E162-$F162)</f>
        <v/>
      </c>
      <c r="H162" s="18">
        <f>IF(OR(ISNUMBER(SEARCH("fever",$D162)),ISNUMBER(SEARCH("mike",$D162)),ISNUMBER(SEARCH("mxd",$D162))),2,1)</f>
        <v/>
      </c>
      <c r="I162" s="18">
        <f>$H162*IFERROR(INDEX('Recap'!$O$5:$O$233,MATCH($K162,'Recap'!$P$5:$P$233,0)),0)</f>
        <v/>
      </c>
      <c r="J162" s="7">
        <f>$G162*$I162</f>
        <v/>
      </c>
      <c r="K162" s="4">
        <f>$A162&amp;"|"&amp;$C162</f>
        <v/>
      </c>
    </row>
    <row r="163">
      <c r="A163" s="4" t="inlineStr">
        <is>
          <t>Derrick Laws</t>
        </is>
      </c>
      <c r="B163" s="4" t="inlineStr">
        <is>
          <t>Denise Montes</t>
        </is>
      </c>
      <c r="C163" s="4" t="inlineStr">
        <is>
          <t>New Belgium Brewing Company</t>
        </is>
      </c>
      <c r="D163" s="4" t="inlineStr">
        <is>
          <t>Bell's</t>
        </is>
      </c>
      <c r="E163" s="5" t="n">
        <v>1</v>
      </c>
      <c r="F163" s="5" t="n">
        <v>0</v>
      </c>
      <c r="G163" s="8">
        <f>MAX(0,$E163-$F163)</f>
        <v/>
      </c>
      <c r="H163" s="18">
        <f>IF(OR(ISNUMBER(SEARCH("fever",$D163)),ISNUMBER(SEARCH("mike",$D163)),ISNUMBER(SEARCH("mxd",$D163))),2,1)</f>
        <v/>
      </c>
      <c r="I163" s="18">
        <f>$H163*IFERROR(INDEX('Recap'!$O$5:$O$233,MATCH($K163,'Recap'!$P$5:$P$233,0)),0)</f>
        <v/>
      </c>
      <c r="J163" s="7">
        <f>$G163*$I163</f>
        <v/>
      </c>
      <c r="K163" s="4">
        <f>$A163&amp;"|"&amp;$C163</f>
        <v/>
      </c>
    </row>
    <row r="164">
      <c r="A164" s="4" t="inlineStr">
        <is>
          <t>Derrick Laws</t>
        </is>
      </c>
      <c r="B164" s="4" t="inlineStr">
        <is>
          <t>Denise Montes</t>
        </is>
      </c>
      <c r="C164" s="4" t="inlineStr">
        <is>
          <t>New Belgium Brewing Company</t>
        </is>
      </c>
      <c r="D164" s="4" t="inlineStr">
        <is>
          <t>Fat Tire Family</t>
        </is>
      </c>
      <c r="E164" s="5" t="n">
        <v>6</v>
      </c>
      <c r="F164" s="5" t="n">
        <v>5</v>
      </c>
      <c r="G164" s="8">
        <f>MAX(0,$E164-$F164)</f>
        <v/>
      </c>
      <c r="H164" s="18">
        <f>IF(OR(ISNUMBER(SEARCH("fever",$D164)),ISNUMBER(SEARCH("mike",$D164)),ISNUMBER(SEARCH("mxd",$D164))),2,1)</f>
        <v/>
      </c>
      <c r="I164" s="18">
        <f>$H164*IFERROR(INDEX('Recap'!$O$5:$O$233,MATCH($K164,'Recap'!$P$5:$P$233,0)),0)</f>
        <v/>
      </c>
      <c r="J164" s="7">
        <f>$G164*$I164</f>
        <v/>
      </c>
      <c r="K164" s="4">
        <f>$A164&amp;"|"&amp;$C164</f>
        <v/>
      </c>
    </row>
    <row r="165">
      <c r="A165" s="4" t="inlineStr">
        <is>
          <t>Derrick Laws</t>
        </is>
      </c>
      <c r="B165" s="4" t="inlineStr">
        <is>
          <t>Denise Montes</t>
        </is>
      </c>
      <c r="C165" s="4" t="inlineStr">
        <is>
          <t>New Belgium Brewing Company</t>
        </is>
      </c>
      <c r="D165" s="4" t="inlineStr">
        <is>
          <t>Kirin Ichiban</t>
        </is>
      </c>
      <c r="E165" s="5" t="n">
        <v>6</v>
      </c>
      <c r="F165" s="5" t="n">
        <v>0</v>
      </c>
      <c r="G165" s="8">
        <f>MAX(0,$E165-$F165)</f>
        <v/>
      </c>
      <c r="H165" s="18">
        <f>IF(OR(ISNUMBER(SEARCH("fever",$D165)),ISNUMBER(SEARCH("mike",$D165)),ISNUMBER(SEARCH("mxd",$D165))),2,1)</f>
        <v/>
      </c>
      <c r="I165" s="18">
        <f>$H165*IFERROR(INDEX('Recap'!$O$5:$O$233,MATCH($K165,'Recap'!$P$5:$P$233,0)),0)</f>
        <v/>
      </c>
      <c r="J165" s="7">
        <f>$G165*$I165</f>
        <v/>
      </c>
      <c r="K165" s="4">
        <f>$A165&amp;"|"&amp;$C165</f>
        <v/>
      </c>
    </row>
    <row r="166">
      <c r="A166" s="4" t="inlineStr">
        <is>
          <t>Derrick Laws</t>
        </is>
      </c>
      <c r="B166" s="4" t="inlineStr">
        <is>
          <t>Denise Montes</t>
        </is>
      </c>
      <c r="C166" s="4" t="inlineStr">
        <is>
          <t>New Belgium Brewing Company</t>
        </is>
      </c>
      <c r="D166" s="4" t="inlineStr">
        <is>
          <t>Voodoo Family</t>
        </is>
      </c>
      <c r="E166" s="5" t="n">
        <v>249</v>
      </c>
      <c r="F166" s="5" t="n">
        <v>225</v>
      </c>
      <c r="G166" s="8">
        <f>MAX(0,$E166-$F166)</f>
        <v/>
      </c>
      <c r="H166" s="18">
        <f>IF(OR(ISNUMBER(SEARCH("fever",$D166)),ISNUMBER(SEARCH("mike",$D166)),ISNUMBER(SEARCH("mxd",$D166))),2,1)</f>
        <v/>
      </c>
      <c r="I166" s="18">
        <f>$H166*IFERROR(INDEX('Recap'!$O$5:$O$233,MATCH($K166,'Recap'!$P$5:$P$233,0)),0)</f>
        <v/>
      </c>
      <c r="J166" s="7">
        <f>$G166*$I166</f>
        <v/>
      </c>
      <c r="K166" s="4">
        <f>$A166&amp;"|"&amp;$C166</f>
        <v/>
      </c>
    </row>
    <row r="167">
      <c r="A167" s="4" t="inlineStr">
        <is>
          <t>Derrick Laws</t>
        </is>
      </c>
      <c r="B167" s="4" t="inlineStr">
        <is>
          <t>Denise Montes</t>
        </is>
      </c>
      <c r="C167" s="4" t="inlineStr">
        <is>
          <t>Sapporo</t>
        </is>
      </c>
      <c r="D167" s="4" t="inlineStr">
        <is>
          <t>Sapporo</t>
        </is>
      </c>
      <c r="E167" s="5" t="n">
        <v>364</v>
      </c>
      <c r="F167" s="5" t="n">
        <v>418</v>
      </c>
      <c r="G167" s="8">
        <f>MAX(0,$E167-$F167)</f>
        <v/>
      </c>
      <c r="H167" s="18">
        <f>IF(OR(ISNUMBER(SEARCH("fever",$D167)),ISNUMBER(SEARCH("mike",$D167)),ISNUMBER(SEARCH("mxd",$D167))),2,1)</f>
        <v/>
      </c>
      <c r="I167" s="18">
        <f>$H167*IFERROR(INDEX('Recap'!$O$5:$O$233,MATCH($K167,'Recap'!$P$5:$P$233,0)),0)</f>
        <v/>
      </c>
      <c r="J167" s="7">
        <f>$G167*$I167</f>
        <v/>
      </c>
      <c r="K167" s="4">
        <f>$A167&amp;"|"&amp;$C167</f>
        <v/>
      </c>
    </row>
    <row r="168">
      <c r="A168" s="4" t="inlineStr">
        <is>
          <t>Dylan Rubino</t>
        </is>
      </c>
      <c r="B168" s="4" t="inlineStr">
        <is>
          <t>Mike Kennedy</t>
        </is>
      </c>
      <c r="C168" s="4" t="inlineStr">
        <is>
          <t>Boston Beer Company</t>
        </is>
      </c>
      <c r="D168" s="4" t="inlineStr">
        <is>
          <t>Dogfish Head Beer</t>
        </is>
      </c>
      <c r="E168" s="5" t="n">
        <v>4</v>
      </c>
      <c r="F168" s="5" t="n">
        <v>2</v>
      </c>
      <c r="G168" s="8">
        <f>MAX(0,$E168-$F168)</f>
        <v/>
      </c>
      <c r="H168" s="18">
        <f>IF(OR(ISNUMBER(SEARCH("fever",$D168)),ISNUMBER(SEARCH("mike",$D168)),ISNUMBER(SEARCH("mxd",$D168))),2,1)</f>
        <v/>
      </c>
      <c r="I168" s="18">
        <f>$H168*IFERROR(INDEX('Recap'!$O$5:$O$233,MATCH($K168,'Recap'!$P$5:$P$233,0)),0)</f>
        <v/>
      </c>
      <c r="J168" s="7">
        <f>$G168*$I168</f>
        <v/>
      </c>
      <c r="K168" s="4">
        <f>$A168&amp;"|"&amp;$C168</f>
        <v/>
      </c>
    </row>
    <row r="169">
      <c r="A169" s="4" t="inlineStr">
        <is>
          <t>Dylan Rubino</t>
        </is>
      </c>
      <c r="B169" s="4" t="inlineStr">
        <is>
          <t>Mike Kennedy</t>
        </is>
      </c>
      <c r="C169" s="4" t="inlineStr">
        <is>
          <t>Cape May</t>
        </is>
      </c>
      <c r="D169" s="4" t="inlineStr">
        <is>
          <t>Cape May</t>
        </is>
      </c>
      <c r="E169" s="5" t="n">
        <v>1</v>
      </c>
      <c r="F169" s="5" t="n">
        <v>0</v>
      </c>
      <c r="G169" s="8">
        <f>MAX(0,$E169-$F169)</f>
        <v/>
      </c>
      <c r="H169" s="18">
        <f>IF(OR(ISNUMBER(SEARCH("fever",$D169)),ISNUMBER(SEARCH("mike",$D169)),ISNUMBER(SEARCH("mxd",$D169))),2,1)</f>
        <v/>
      </c>
      <c r="I169" s="18">
        <f>$H169*IFERROR(INDEX('Recap'!$O$5:$O$233,MATCH($K169,'Recap'!$P$5:$P$233,0)),0)</f>
        <v/>
      </c>
      <c r="J169" s="7">
        <f>$G169*$I169</f>
        <v/>
      </c>
      <c r="K169" s="4">
        <f>$A169&amp;"|"&amp;$C169</f>
        <v/>
      </c>
    </row>
    <row r="170">
      <c r="A170" s="4" t="inlineStr">
        <is>
          <t>Dylan Rubino</t>
        </is>
      </c>
      <c r="B170" s="4" t="inlineStr">
        <is>
          <t>Mike Kennedy</t>
        </is>
      </c>
      <c r="C170" s="4" t="inlineStr">
        <is>
          <t>Constellation Brands</t>
        </is>
      </c>
      <c r="D170" s="4" t="inlineStr">
        <is>
          <t>Corona Premier</t>
        </is>
      </c>
      <c r="E170" s="5" t="n">
        <v>11</v>
      </c>
      <c r="F170" s="5" t="n">
        <v>1</v>
      </c>
      <c r="G170" s="8">
        <f>MAX(0,$E170-$F170)</f>
        <v/>
      </c>
      <c r="H170" s="18">
        <f>IF(OR(ISNUMBER(SEARCH("fever",$D170)),ISNUMBER(SEARCH("mike",$D170)),ISNUMBER(SEARCH("mxd",$D170))),2,1)</f>
        <v/>
      </c>
      <c r="I170" s="18">
        <f>$H170*IFERROR(INDEX('Recap'!$O$5:$O$233,MATCH($K170,'Recap'!$P$5:$P$233,0)),0)</f>
        <v/>
      </c>
      <c r="J170" s="7">
        <f>$G170*$I170</f>
        <v/>
      </c>
      <c r="K170" s="4">
        <f>$A170&amp;"|"&amp;$C170</f>
        <v/>
      </c>
    </row>
    <row r="171">
      <c r="A171" s="4" t="inlineStr">
        <is>
          <t>Dylan Rubino</t>
        </is>
      </c>
      <c r="B171" s="4" t="inlineStr">
        <is>
          <t>Mike Kennedy</t>
        </is>
      </c>
      <c r="C171" s="4" t="inlineStr">
        <is>
          <t>Constellation Brands</t>
        </is>
      </c>
      <c r="D171" s="4" t="inlineStr">
        <is>
          <t>Modelo Chelada</t>
        </is>
      </c>
      <c r="E171" s="5" t="n">
        <v>6</v>
      </c>
      <c r="F171" s="5" t="n">
        <v>7</v>
      </c>
      <c r="G171" s="8">
        <f>MAX(0,$E171-$F171)</f>
        <v/>
      </c>
      <c r="H171" s="18">
        <f>IF(OR(ISNUMBER(SEARCH("fever",$D171)),ISNUMBER(SEARCH("mike",$D171)),ISNUMBER(SEARCH("mxd",$D171))),2,1)</f>
        <v/>
      </c>
      <c r="I171" s="18">
        <f>$H171*IFERROR(INDEX('Recap'!$O$5:$O$233,MATCH($K171,'Recap'!$P$5:$P$233,0)),0)</f>
        <v/>
      </c>
      <c r="J171" s="7">
        <f>$G171*$I171</f>
        <v/>
      </c>
      <c r="K171" s="4">
        <f>$A171&amp;"|"&amp;$C171</f>
        <v/>
      </c>
    </row>
    <row r="172">
      <c r="A172" s="4" t="inlineStr">
        <is>
          <t>Dylan Rubino</t>
        </is>
      </c>
      <c r="B172" s="4" t="inlineStr">
        <is>
          <t>Mike Kennedy</t>
        </is>
      </c>
      <c r="C172" s="4" t="inlineStr">
        <is>
          <t>Constellation Brands</t>
        </is>
      </c>
      <c r="D172" s="4" t="inlineStr">
        <is>
          <t>Pacifico</t>
        </is>
      </c>
      <c r="E172" s="5" t="n">
        <v>7</v>
      </c>
      <c r="F172" s="5" t="n">
        <v>0</v>
      </c>
      <c r="G172" s="8">
        <f>MAX(0,$E172-$F172)</f>
        <v/>
      </c>
      <c r="H172" s="18">
        <f>IF(OR(ISNUMBER(SEARCH("fever",$D172)),ISNUMBER(SEARCH("mike",$D172)),ISNUMBER(SEARCH("mxd",$D172))),2,1)</f>
        <v/>
      </c>
      <c r="I172" s="18">
        <f>$H172*IFERROR(INDEX('Recap'!$O$5:$O$233,MATCH($K172,'Recap'!$P$5:$P$233,0)),0)</f>
        <v/>
      </c>
      <c r="J172" s="7">
        <f>$G172*$I172</f>
        <v/>
      </c>
      <c r="K172" s="4">
        <f>$A172&amp;"|"&amp;$C172</f>
        <v/>
      </c>
    </row>
    <row r="173">
      <c r="A173" s="4" t="inlineStr">
        <is>
          <t>Dylan Rubino</t>
        </is>
      </c>
      <c r="B173" s="4" t="inlineStr">
        <is>
          <t>Mike Kennedy</t>
        </is>
      </c>
      <c r="C173" s="4" t="inlineStr">
        <is>
          <t>Constellation Brands</t>
        </is>
      </c>
      <c r="D173" s="4" t="inlineStr">
        <is>
          <t>Victoria</t>
        </is>
      </c>
      <c r="E173" s="5" t="n">
        <v>6</v>
      </c>
      <c r="F173" s="5" t="n">
        <v>9</v>
      </c>
      <c r="G173" s="8">
        <f>MAX(0,$E173-$F173)</f>
        <v/>
      </c>
      <c r="H173" s="18">
        <f>IF(OR(ISNUMBER(SEARCH("fever",$D173)),ISNUMBER(SEARCH("mike",$D173)),ISNUMBER(SEARCH("mxd",$D173))),2,1)</f>
        <v/>
      </c>
      <c r="I173" s="18">
        <f>$H173*IFERROR(INDEX('Recap'!$O$5:$O$233,MATCH($K173,'Recap'!$P$5:$P$233,0)),0)</f>
        <v/>
      </c>
      <c r="J173" s="7">
        <f>$G173*$I173</f>
        <v/>
      </c>
      <c r="K173" s="4">
        <f>$A173&amp;"|"&amp;$C173</f>
        <v/>
      </c>
    </row>
    <row r="174">
      <c r="A174" s="4" t="inlineStr">
        <is>
          <t>Dylan Rubino</t>
        </is>
      </c>
      <c r="B174" s="4" t="inlineStr">
        <is>
          <t>Mike Kennedy</t>
        </is>
      </c>
      <c r="C174" s="4" t="inlineStr">
        <is>
          <t>DG Yuengling Inc</t>
        </is>
      </c>
      <c r="D174" s="4" t="inlineStr">
        <is>
          <t>Yuengling Flight</t>
        </is>
      </c>
      <c r="E174" s="5" t="n">
        <v>4</v>
      </c>
      <c r="F174" s="5" t="n">
        <v>3</v>
      </c>
      <c r="G174" s="8">
        <f>MAX(0,$E174-$F174)</f>
        <v/>
      </c>
      <c r="H174" s="18">
        <f>IF(OR(ISNUMBER(SEARCH("fever",$D174)),ISNUMBER(SEARCH("mike",$D174)),ISNUMBER(SEARCH("mxd",$D174))),2,1)</f>
        <v/>
      </c>
      <c r="I174" s="18">
        <f>$H174*IFERROR(INDEX('Recap'!$O$5:$O$233,MATCH($K174,'Recap'!$P$5:$P$233,0)),0)</f>
        <v/>
      </c>
      <c r="J174" s="7">
        <f>$G174*$I174</f>
        <v/>
      </c>
      <c r="K174" s="4">
        <f>$A174&amp;"|"&amp;$C174</f>
        <v/>
      </c>
    </row>
    <row r="175">
      <c r="A175" s="4" t="inlineStr">
        <is>
          <t>Dylan Rubino</t>
        </is>
      </c>
      <c r="B175" s="4" t="inlineStr">
        <is>
          <t>Mike Kennedy</t>
        </is>
      </c>
      <c r="C175" s="4" t="inlineStr">
        <is>
          <t>Heineken USA</t>
        </is>
      </c>
      <c r="D175" s="4" t="inlineStr">
        <is>
          <t>Heineken 0.0</t>
        </is>
      </c>
      <c r="E175" s="5" t="n">
        <v>6</v>
      </c>
      <c r="F175" s="5" t="n">
        <v>4</v>
      </c>
      <c r="G175" s="8">
        <f>MAX(0,$E175-$F175)</f>
        <v/>
      </c>
      <c r="H175" s="18">
        <f>IF(OR(ISNUMBER(SEARCH("fever",$D175)),ISNUMBER(SEARCH("mike",$D175)),ISNUMBER(SEARCH("mxd",$D175))),2,1)</f>
        <v/>
      </c>
      <c r="I175" s="18">
        <f>$H175*IFERROR(INDEX('Recap'!$O$5:$O$233,MATCH($K175,'Recap'!$P$5:$P$233,0)),0)</f>
        <v/>
      </c>
      <c r="J175" s="7">
        <f>$G175*$I175</f>
        <v/>
      </c>
      <c r="K175" s="4">
        <f>$A175&amp;"|"&amp;$C175</f>
        <v/>
      </c>
    </row>
    <row r="176">
      <c r="A176" s="4" t="inlineStr">
        <is>
          <t>Dylan Rubino</t>
        </is>
      </c>
      <c r="B176" s="4" t="inlineStr">
        <is>
          <t>Mike Kennedy</t>
        </is>
      </c>
      <c r="C176" s="4" t="inlineStr">
        <is>
          <t>Heineken USA</t>
        </is>
      </c>
      <c r="D176" s="4" t="inlineStr">
        <is>
          <t>Heineken Light</t>
        </is>
      </c>
      <c r="E176" s="5" t="n">
        <v>0</v>
      </c>
      <c r="F176" s="5" t="n">
        <v>1</v>
      </c>
      <c r="G176" s="8">
        <f>MAX(0,$E176-$F176)</f>
        <v/>
      </c>
      <c r="H176" s="18">
        <f>IF(OR(ISNUMBER(SEARCH("fever",$D176)),ISNUMBER(SEARCH("mike",$D176)),ISNUMBER(SEARCH("mxd",$D176))),2,1)</f>
        <v/>
      </c>
      <c r="I176" s="18">
        <f>$H176*IFERROR(INDEX('Recap'!$O$5:$O$233,MATCH($K176,'Recap'!$P$5:$P$233,0)),0)</f>
        <v/>
      </c>
      <c r="J176" s="7">
        <f>$G176*$I176</f>
        <v/>
      </c>
      <c r="K176" s="4">
        <f>$A176&amp;"|"&amp;$C176</f>
        <v/>
      </c>
    </row>
    <row r="177">
      <c r="A177" s="4" t="inlineStr">
        <is>
          <t>Dylan Rubino</t>
        </is>
      </c>
      <c r="B177" s="4" t="inlineStr">
        <is>
          <t>Mike Kennedy</t>
        </is>
      </c>
      <c r="C177" s="4" t="inlineStr">
        <is>
          <t>Mark Anthony</t>
        </is>
      </c>
      <c r="D177" s="4" t="inlineStr">
        <is>
          <t>Cayman Jack</t>
        </is>
      </c>
      <c r="E177" s="5" t="n">
        <v>3</v>
      </c>
      <c r="F177" s="5" t="n">
        <v>16</v>
      </c>
      <c r="G177" s="8">
        <f>MAX(0,$E177-$F177)</f>
        <v/>
      </c>
      <c r="H177" s="18">
        <f>IF(OR(ISNUMBER(SEARCH("fever",$D177)),ISNUMBER(SEARCH("mike",$D177)),ISNUMBER(SEARCH("mxd",$D177))),2,1)</f>
        <v/>
      </c>
      <c r="I177" s="18">
        <f>$H177*IFERROR(INDEX('Recap'!$O$5:$O$233,MATCH($K177,'Recap'!$P$5:$P$233,0)),0)</f>
        <v/>
      </c>
      <c r="J177" s="7">
        <f>$G177*$I177</f>
        <v/>
      </c>
      <c r="K177" s="4">
        <f>$A177&amp;"|"&amp;$C177</f>
        <v/>
      </c>
    </row>
    <row r="178">
      <c r="A178" s="4" t="inlineStr">
        <is>
          <t>Dylan Rubino</t>
        </is>
      </c>
      <c r="B178" s="4" t="inlineStr">
        <is>
          <t>Mike Kennedy</t>
        </is>
      </c>
      <c r="C178" s="4" t="inlineStr">
        <is>
          <t>MolsonCoors Beverage Company</t>
        </is>
      </c>
      <c r="D178" s="4" t="inlineStr">
        <is>
          <t>Peroni</t>
        </is>
      </c>
      <c r="E178" s="5" t="n">
        <v>3</v>
      </c>
      <c r="F178" s="5" t="n">
        <v>6</v>
      </c>
      <c r="G178" s="8">
        <f>MAX(0,$E178-$F178)</f>
        <v/>
      </c>
      <c r="H178" s="18">
        <f>IF(OR(ISNUMBER(SEARCH("fever",$D178)),ISNUMBER(SEARCH("mike",$D178)),ISNUMBER(SEARCH("mxd",$D178))),2,1)</f>
        <v/>
      </c>
      <c r="I178" s="18">
        <f>$H178*IFERROR(INDEX('Recap'!$O$5:$O$233,MATCH($K178,'Recap'!$P$5:$P$233,0)),0)</f>
        <v/>
      </c>
      <c r="J178" s="7">
        <f>$G178*$I178</f>
        <v/>
      </c>
      <c r="K178" s="4">
        <f>$A178&amp;"|"&amp;$C178</f>
        <v/>
      </c>
    </row>
    <row r="179">
      <c r="A179" s="4" t="inlineStr">
        <is>
          <t>Dylan Rubino</t>
        </is>
      </c>
      <c r="B179" s="4" t="inlineStr">
        <is>
          <t>Mike Kennedy</t>
        </is>
      </c>
      <c r="C179" s="4" t="inlineStr">
        <is>
          <t>New Belgium Brewing Company</t>
        </is>
      </c>
      <c r="D179" s="4" t="inlineStr">
        <is>
          <t>Voodoo Family</t>
        </is>
      </c>
      <c r="E179" s="5" t="n">
        <v>13</v>
      </c>
      <c r="F179" s="5" t="n">
        <v>5</v>
      </c>
      <c r="G179" s="8">
        <f>MAX(0,$E179-$F179)</f>
        <v/>
      </c>
      <c r="H179" s="18">
        <f>IF(OR(ISNUMBER(SEARCH("fever",$D179)),ISNUMBER(SEARCH("mike",$D179)),ISNUMBER(SEARCH("mxd",$D179))),2,1)</f>
        <v/>
      </c>
      <c r="I179" s="18">
        <f>$H179*IFERROR(INDEX('Recap'!$O$5:$O$233,MATCH($K179,'Recap'!$P$5:$P$233,0)),0)</f>
        <v/>
      </c>
      <c r="J179" s="7">
        <f>$G179*$I179</f>
        <v/>
      </c>
      <c r="K179" s="4">
        <f>$A179&amp;"|"&amp;$C179</f>
        <v/>
      </c>
    </row>
    <row r="180">
      <c r="A180" s="4" t="inlineStr">
        <is>
          <t>Dylan Rubino</t>
        </is>
      </c>
      <c r="B180" s="4" t="inlineStr">
        <is>
          <t>Mike Kennedy</t>
        </is>
      </c>
      <c r="C180" s="4" t="inlineStr">
        <is>
          <t>Sapporo</t>
        </is>
      </c>
      <c r="D180" s="4" t="inlineStr">
        <is>
          <t>Sapporo</t>
        </is>
      </c>
      <c r="E180" s="5" t="n">
        <v>4101</v>
      </c>
      <c r="F180" s="5" t="n">
        <v>3432</v>
      </c>
      <c r="G180" s="8">
        <f>MAX(0,$E180-$F180)</f>
        <v/>
      </c>
      <c r="H180" s="18">
        <f>IF(OR(ISNUMBER(SEARCH("fever",$D180)),ISNUMBER(SEARCH("mike",$D180)),ISNUMBER(SEARCH("mxd",$D180))),2,1)</f>
        <v/>
      </c>
      <c r="I180" s="18">
        <f>$H180*IFERROR(INDEX('Recap'!$O$5:$O$233,MATCH($K180,'Recap'!$P$5:$P$233,0)),0)</f>
        <v/>
      </c>
      <c r="J180" s="7">
        <f>$G180*$I180</f>
        <v/>
      </c>
      <c r="K180" s="4">
        <f>$A180&amp;"|"&amp;$C180</f>
        <v/>
      </c>
    </row>
    <row r="181">
      <c r="A181" s="4" t="inlineStr">
        <is>
          <t>Hakan Sadik</t>
        </is>
      </c>
      <c r="B181" s="4" t="inlineStr">
        <is>
          <t>Mike Kennedy</t>
        </is>
      </c>
      <c r="C181" s="4" t="inlineStr">
        <is>
          <t>Boston Beer Company</t>
        </is>
      </c>
      <c r="D181" s="4" t="inlineStr">
        <is>
          <t>Dogfish Head Spirits</t>
        </is>
      </c>
      <c r="E181" s="5" t="n">
        <v>0</v>
      </c>
      <c r="F181" s="5" t="n">
        <v>3</v>
      </c>
      <c r="G181" s="8">
        <f>MAX(0,$E181-$F181)</f>
        <v/>
      </c>
      <c r="H181" s="18">
        <f>IF(OR(ISNUMBER(SEARCH("fever",$D181)),ISNUMBER(SEARCH("mike",$D181)),ISNUMBER(SEARCH("mxd",$D181))),2,1)</f>
        <v/>
      </c>
      <c r="I181" s="18">
        <f>$H181*IFERROR(INDEX('Recap'!$O$5:$O$233,MATCH($K181,'Recap'!$P$5:$P$233,0)),0)</f>
        <v/>
      </c>
      <c r="J181" s="7">
        <f>$G181*$I181</f>
        <v/>
      </c>
      <c r="K181" s="4">
        <f>$A181&amp;"|"&amp;$C181</f>
        <v/>
      </c>
    </row>
    <row r="182">
      <c r="A182" s="4" t="inlineStr">
        <is>
          <t>Hakan Sadik</t>
        </is>
      </c>
      <c r="B182" s="4" t="inlineStr">
        <is>
          <t>Mike Kennedy</t>
        </is>
      </c>
      <c r="C182" s="4" t="inlineStr">
        <is>
          <t>MolsonCoors Beverage Company</t>
        </is>
      </c>
      <c r="D182" s="4" t="inlineStr">
        <is>
          <t>Fever Tree</t>
        </is>
      </c>
      <c r="E182" s="5" t="n">
        <v>0</v>
      </c>
      <c r="F182" s="5" t="n">
        <v>11</v>
      </c>
      <c r="G182" s="8">
        <f>MAX(0,$E182-$F182)</f>
        <v/>
      </c>
      <c r="H182" s="18">
        <f>IF(OR(ISNUMBER(SEARCH("fever",$D182)),ISNUMBER(SEARCH("mike",$D182)),ISNUMBER(SEARCH("mxd",$D182))),2,1)</f>
        <v/>
      </c>
      <c r="I182" s="18">
        <f>$H182*IFERROR(INDEX('Recap'!$O$5:$O$233,MATCH($K182,'Recap'!$P$5:$P$233,0)),0)</f>
        <v/>
      </c>
      <c r="J182" s="7">
        <f>$G182*$I182</f>
        <v/>
      </c>
      <c r="K182" s="4">
        <f>$A182&amp;"|"&amp;$C182</f>
        <v/>
      </c>
    </row>
    <row r="183">
      <c r="A183" s="4" t="inlineStr">
        <is>
          <t>Hakan Sadik</t>
        </is>
      </c>
      <c r="B183" s="4" t="inlineStr">
        <is>
          <t>Mike Kennedy</t>
        </is>
      </c>
      <c r="C183" s="4" t="inlineStr">
        <is>
          <t>New Belgium Brewing Company</t>
        </is>
      </c>
      <c r="D183" s="4" t="inlineStr">
        <is>
          <t>Bell's</t>
        </is>
      </c>
      <c r="E183" s="5" t="n">
        <v>0</v>
      </c>
      <c r="F183" s="5" t="n">
        <v>2</v>
      </c>
      <c r="G183" s="8">
        <f>MAX(0,$E183-$F183)</f>
        <v/>
      </c>
      <c r="H183" s="18">
        <f>IF(OR(ISNUMBER(SEARCH("fever",$D183)),ISNUMBER(SEARCH("mike",$D183)),ISNUMBER(SEARCH("mxd",$D183))),2,1)</f>
        <v/>
      </c>
      <c r="I183" s="18">
        <f>$H183*IFERROR(INDEX('Recap'!$O$5:$O$233,MATCH($K183,'Recap'!$P$5:$P$233,0)),0)</f>
        <v/>
      </c>
      <c r="J183" s="7">
        <f>$G183*$I183</f>
        <v/>
      </c>
      <c r="K183" s="4">
        <f>$A183&amp;"|"&amp;$C183</f>
        <v/>
      </c>
    </row>
    <row r="184">
      <c r="A184" s="4" t="inlineStr">
        <is>
          <t>Hakan Sadik</t>
        </is>
      </c>
      <c r="B184" s="4" t="inlineStr">
        <is>
          <t>Mike Kennedy</t>
        </is>
      </c>
      <c r="C184" s="4" t="inlineStr">
        <is>
          <t>New Belgium Brewing Company</t>
        </is>
      </c>
      <c r="D184" s="4" t="inlineStr">
        <is>
          <t>Voodoo Family</t>
        </is>
      </c>
      <c r="E184" s="5" t="n">
        <v>0</v>
      </c>
      <c r="F184" s="5" t="n">
        <v>3</v>
      </c>
      <c r="G184" s="8">
        <f>MAX(0,$E184-$F184)</f>
        <v/>
      </c>
      <c r="H184" s="18">
        <f>IF(OR(ISNUMBER(SEARCH("fever",$D184)),ISNUMBER(SEARCH("mike",$D184)),ISNUMBER(SEARCH("mxd",$D184))),2,1)</f>
        <v/>
      </c>
      <c r="I184" s="18">
        <f>$H184*IFERROR(INDEX('Recap'!$O$5:$O$233,MATCH($K184,'Recap'!$P$5:$P$233,0)),0)</f>
        <v/>
      </c>
      <c r="J184" s="7">
        <f>$G184*$I184</f>
        <v/>
      </c>
      <c r="K184" s="4">
        <f>$A184&amp;"|"&amp;$C184</f>
        <v/>
      </c>
    </row>
    <row r="185">
      <c r="A185" s="4" t="inlineStr">
        <is>
          <t>Hakan Sadik</t>
        </is>
      </c>
      <c r="B185" s="4" t="inlineStr">
        <is>
          <t>Mike Kennedy</t>
        </is>
      </c>
      <c r="C185" s="4" t="inlineStr">
        <is>
          <t>Sapporo</t>
        </is>
      </c>
      <c r="D185" s="4" t="inlineStr">
        <is>
          <t>Sapporo</t>
        </is>
      </c>
      <c r="E185" s="5" t="n">
        <v>912</v>
      </c>
      <c r="F185" s="5" t="n">
        <v>917</v>
      </c>
      <c r="G185" s="8">
        <f>MAX(0,$E185-$F185)</f>
        <v/>
      </c>
      <c r="H185" s="18">
        <f>IF(OR(ISNUMBER(SEARCH("fever",$D185)),ISNUMBER(SEARCH("mike",$D185)),ISNUMBER(SEARCH("mxd",$D185))),2,1)</f>
        <v/>
      </c>
      <c r="I185" s="18">
        <f>$H185*IFERROR(INDEX('Recap'!$O$5:$O$233,MATCH($K185,'Recap'!$P$5:$P$233,0)),0)</f>
        <v/>
      </c>
      <c r="J185" s="7">
        <f>$G185*$I185</f>
        <v/>
      </c>
      <c r="K185" s="4">
        <f>$A185&amp;"|"&amp;$C185</f>
        <v/>
      </c>
    </row>
    <row r="186">
      <c r="A186" s="4" t="inlineStr">
        <is>
          <t>Jaime Colonna</t>
        </is>
      </c>
      <c r="B186" s="4" t="inlineStr">
        <is>
          <t>Mike Kennedy</t>
        </is>
      </c>
      <c r="C186" s="4" t="inlineStr">
        <is>
          <t>Boston Beer Company</t>
        </is>
      </c>
      <c r="D186" s="4" t="inlineStr">
        <is>
          <t>Dogfish Head Beer</t>
        </is>
      </c>
      <c r="E186" s="5" t="n">
        <v>1</v>
      </c>
      <c r="F186" s="5" t="n">
        <v>3</v>
      </c>
      <c r="G186" s="8">
        <f>MAX(0,$E186-$F186)</f>
        <v/>
      </c>
      <c r="H186" s="18">
        <f>IF(OR(ISNUMBER(SEARCH("fever",$D186)),ISNUMBER(SEARCH("mike",$D186)),ISNUMBER(SEARCH("mxd",$D186))),2,1)</f>
        <v/>
      </c>
      <c r="I186" s="18">
        <f>$H186*IFERROR(INDEX('Recap'!$O$5:$O$233,MATCH($K186,'Recap'!$P$5:$P$233,0)),0)</f>
        <v/>
      </c>
      <c r="J186" s="7">
        <f>$G186*$I186</f>
        <v/>
      </c>
      <c r="K186" s="4">
        <f>$A186&amp;"|"&amp;$C186</f>
        <v/>
      </c>
    </row>
    <row r="187">
      <c r="A187" s="4" t="inlineStr">
        <is>
          <t>Jaime Colonna</t>
        </is>
      </c>
      <c r="B187" s="4" t="inlineStr">
        <is>
          <t>Mike Kennedy</t>
        </is>
      </c>
      <c r="C187" s="4" t="inlineStr">
        <is>
          <t>Boston Beer Company</t>
        </is>
      </c>
      <c r="D187" s="4" t="inlineStr">
        <is>
          <t>Dogfish Head Spirits</t>
        </is>
      </c>
      <c r="E187" s="5" t="n">
        <v>3</v>
      </c>
      <c r="F187" s="5" t="n">
        <v>0</v>
      </c>
      <c r="G187" s="8">
        <f>MAX(0,$E187-$F187)</f>
        <v/>
      </c>
      <c r="H187" s="18">
        <f>IF(OR(ISNUMBER(SEARCH("fever",$D187)),ISNUMBER(SEARCH("mike",$D187)),ISNUMBER(SEARCH("mxd",$D187))),2,1)</f>
        <v/>
      </c>
      <c r="I187" s="18">
        <f>$H187*IFERROR(INDEX('Recap'!$O$5:$O$233,MATCH($K187,'Recap'!$P$5:$P$233,0)),0)</f>
        <v/>
      </c>
      <c r="J187" s="7">
        <f>$G187*$I187</f>
        <v/>
      </c>
      <c r="K187" s="4">
        <f>$A187&amp;"|"&amp;$C187</f>
        <v/>
      </c>
    </row>
    <row r="188">
      <c r="A188" s="4" t="inlineStr">
        <is>
          <t>Jaime Colonna</t>
        </is>
      </c>
      <c r="B188" s="4" t="inlineStr">
        <is>
          <t>Mike Kennedy</t>
        </is>
      </c>
      <c r="C188" s="4" t="inlineStr">
        <is>
          <t>Cape May</t>
        </is>
      </c>
      <c r="D188" s="4" t="inlineStr">
        <is>
          <t>Cape May</t>
        </is>
      </c>
      <c r="E188" s="5" t="n">
        <v>4</v>
      </c>
      <c r="F188" s="5" t="n">
        <v>5</v>
      </c>
      <c r="G188" s="8">
        <f>MAX(0,$E188-$F188)</f>
        <v/>
      </c>
      <c r="H188" s="18">
        <f>IF(OR(ISNUMBER(SEARCH("fever",$D188)),ISNUMBER(SEARCH("mike",$D188)),ISNUMBER(SEARCH("mxd",$D188))),2,1)</f>
        <v/>
      </c>
      <c r="I188" s="18">
        <f>$H188*IFERROR(INDEX('Recap'!$O$5:$O$233,MATCH($K188,'Recap'!$P$5:$P$233,0)),0)</f>
        <v/>
      </c>
      <c r="J188" s="7">
        <f>$G188*$I188</f>
        <v/>
      </c>
      <c r="K188" s="4">
        <f>$A188&amp;"|"&amp;$C188</f>
        <v/>
      </c>
    </row>
    <row r="189">
      <c r="A189" s="4" t="inlineStr">
        <is>
          <t>Jaime Colonna</t>
        </is>
      </c>
      <c r="B189" s="4" t="inlineStr">
        <is>
          <t>Mike Kennedy</t>
        </is>
      </c>
      <c r="C189" s="4" t="inlineStr">
        <is>
          <t>Constellation Brands</t>
        </is>
      </c>
      <c r="D189" s="4" t="inlineStr">
        <is>
          <t>Corona Premier</t>
        </is>
      </c>
      <c r="E189" s="5" t="n">
        <v>5</v>
      </c>
      <c r="F189" s="5" t="n">
        <v>12</v>
      </c>
      <c r="G189" s="8">
        <f>MAX(0,$E189-$F189)</f>
        <v/>
      </c>
      <c r="H189" s="18">
        <f>IF(OR(ISNUMBER(SEARCH("fever",$D189)),ISNUMBER(SEARCH("mike",$D189)),ISNUMBER(SEARCH("mxd",$D189))),2,1)</f>
        <v/>
      </c>
      <c r="I189" s="18">
        <f>$H189*IFERROR(INDEX('Recap'!$O$5:$O$233,MATCH($K189,'Recap'!$P$5:$P$233,0)),0)</f>
        <v/>
      </c>
      <c r="J189" s="7">
        <f>$G189*$I189</f>
        <v/>
      </c>
      <c r="K189" s="4">
        <f>$A189&amp;"|"&amp;$C189</f>
        <v/>
      </c>
    </row>
    <row r="190">
      <c r="A190" s="4" t="inlineStr">
        <is>
          <t>Jaime Colonna</t>
        </is>
      </c>
      <c r="B190" s="4" t="inlineStr">
        <is>
          <t>Mike Kennedy</t>
        </is>
      </c>
      <c r="C190" s="4" t="inlineStr">
        <is>
          <t>Constellation Brands</t>
        </is>
      </c>
      <c r="D190" s="4" t="inlineStr">
        <is>
          <t>Modelo Chelada</t>
        </is>
      </c>
      <c r="E190" s="5" t="n">
        <v>9</v>
      </c>
      <c r="F190" s="5" t="n">
        <v>12</v>
      </c>
      <c r="G190" s="8">
        <f>MAX(0,$E190-$F190)</f>
        <v/>
      </c>
      <c r="H190" s="18">
        <f>IF(OR(ISNUMBER(SEARCH("fever",$D190)),ISNUMBER(SEARCH("mike",$D190)),ISNUMBER(SEARCH("mxd",$D190))),2,1)</f>
        <v/>
      </c>
      <c r="I190" s="18">
        <f>$H190*IFERROR(INDEX('Recap'!$O$5:$O$233,MATCH($K190,'Recap'!$P$5:$P$233,0)),0)</f>
        <v/>
      </c>
      <c r="J190" s="7">
        <f>$G190*$I190</f>
        <v/>
      </c>
      <c r="K190" s="4">
        <f>$A190&amp;"|"&amp;$C190</f>
        <v/>
      </c>
    </row>
    <row r="191">
      <c r="A191" s="4" t="inlineStr">
        <is>
          <t>Jaime Colonna</t>
        </is>
      </c>
      <c r="B191" s="4" t="inlineStr">
        <is>
          <t>Mike Kennedy</t>
        </is>
      </c>
      <c r="C191" s="4" t="inlineStr">
        <is>
          <t>Constellation Brands</t>
        </is>
      </c>
      <c r="D191" s="4" t="inlineStr">
        <is>
          <t>Victoria</t>
        </is>
      </c>
      <c r="E191" s="5" t="n">
        <v>1</v>
      </c>
      <c r="F191" s="5" t="n">
        <v>3</v>
      </c>
      <c r="G191" s="8">
        <f>MAX(0,$E191-$F191)</f>
        <v/>
      </c>
      <c r="H191" s="18">
        <f>IF(OR(ISNUMBER(SEARCH("fever",$D191)),ISNUMBER(SEARCH("mike",$D191)),ISNUMBER(SEARCH("mxd",$D191))),2,1)</f>
        <v/>
      </c>
      <c r="I191" s="18">
        <f>$H191*IFERROR(INDEX('Recap'!$O$5:$O$233,MATCH($K191,'Recap'!$P$5:$P$233,0)),0)</f>
        <v/>
      </c>
      <c r="J191" s="7">
        <f>$G191*$I191</f>
        <v/>
      </c>
      <c r="K191" s="4">
        <f>$A191&amp;"|"&amp;$C191</f>
        <v/>
      </c>
    </row>
    <row r="192">
      <c r="A192" s="4" t="inlineStr">
        <is>
          <t>Jaime Colonna</t>
        </is>
      </c>
      <c r="B192" s="4" t="inlineStr">
        <is>
          <t>Mike Kennedy</t>
        </is>
      </c>
      <c r="C192" s="4" t="inlineStr">
        <is>
          <t>DG Yuengling Inc</t>
        </is>
      </c>
      <c r="D192" s="4" t="inlineStr">
        <is>
          <t>Yuengling Flight</t>
        </is>
      </c>
      <c r="E192" s="5" t="n">
        <v>0</v>
      </c>
      <c r="F192" s="5" t="n">
        <v>1</v>
      </c>
      <c r="G192" s="8">
        <f>MAX(0,$E192-$F192)</f>
        <v/>
      </c>
      <c r="H192" s="18">
        <f>IF(OR(ISNUMBER(SEARCH("fever",$D192)),ISNUMBER(SEARCH("mike",$D192)),ISNUMBER(SEARCH("mxd",$D192))),2,1)</f>
        <v/>
      </c>
      <c r="I192" s="18">
        <f>$H192*IFERROR(INDEX('Recap'!$O$5:$O$233,MATCH($K192,'Recap'!$P$5:$P$233,0)),0)</f>
        <v/>
      </c>
      <c r="J192" s="7">
        <f>$G192*$I192</f>
        <v/>
      </c>
      <c r="K192" s="4">
        <f>$A192&amp;"|"&amp;$C192</f>
        <v/>
      </c>
    </row>
    <row r="193">
      <c r="A193" s="4" t="inlineStr">
        <is>
          <t>Jaime Colonna</t>
        </is>
      </c>
      <c r="B193" s="4" t="inlineStr">
        <is>
          <t>Mike Kennedy</t>
        </is>
      </c>
      <c r="C193" s="4" t="inlineStr">
        <is>
          <t>Heineken USA</t>
        </is>
      </c>
      <c r="D193" s="4" t="inlineStr">
        <is>
          <t>Heineken 0.0</t>
        </is>
      </c>
      <c r="E193" s="5" t="n">
        <v>3</v>
      </c>
      <c r="F193" s="5" t="n">
        <v>3</v>
      </c>
      <c r="G193" s="8">
        <f>MAX(0,$E193-$F193)</f>
        <v/>
      </c>
      <c r="H193" s="18">
        <f>IF(OR(ISNUMBER(SEARCH("fever",$D193)),ISNUMBER(SEARCH("mike",$D193)),ISNUMBER(SEARCH("mxd",$D193))),2,1)</f>
        <v/>
      </c>
      <c r="I193" s="18">
        <f>$H193*IFERROR(INDEX('Recap'!$O$5:$O$233,MATCH($K193,'Recap'!$P$5:$P$233,0)),0)</f>
        <v/>
      </c>
      <c r="J193" s="7">
        <f>$G193*$I193</f>
        <v/>
      </c>
      <c r="K193" s="4">
        <f>$A193&amp;"|"&amp;$C193</f>
        <v/>
      </c>
    </row>
    <row r="194">
      <c r="A194" s="4" t="inlineStr">
        <is>
          <t>Jaime Colonna</t>
        </is>
      </c>
      <c r="B194" s="4" t="inlineStr">
        <is>
          <t>Mike Kennedy</t>
        </is>
      </c>
      <c r="C194" s="4" t="inlineStr">
        <is>
          <t>Heineken USA</t>
        </is>
      </c>
      <c r="D194" s="4" t="inlineStr">
        <is>
          <t>Heineken Light</t>
        </is>
      </c>
      <c r="E194" s="5" t="n">
        <v>0</v>
      </c>
      <c r="F194" s="5" t="n">
        <v>3</v>
      </c>
      <c r="G194" s="8">
        <f>MAX(0,$E194-$F194)</f>
        <v/>
      </c>
      <c r="H194" s="18">
        <f>IF(OR(ISNUMBER(SEARCH("fever",$D194)),ISNUMBER(SEARCH("mike",$D194)),ISNUMBER(SEARCH("mxd",$D194))),2,1)</f>
        <v/>
      </c>
      <c r="I194" s="18">
        <f>$H194*IFERROR(INDEX('Recap'!$O$5:$O$233,MATCH($K194,'Recap'!$P$5:$P$233,0)),0)</f>
        <v/>
      </c>
      <c r="J194" s="7">
        <f>$G194*$I194</f>
        <v/>
      </c>
      <c r="K194" s="4">
        <f>$A194&amp;"|"&amp;$C194</f>
        <v/>
      </c>
    </row>
    <row r="195">
      <c r="A195" s="4" t="inlineStr">
        <is>
          <t>Jaime Colonna</t>
        </is>
      </c>
      <c r="B195" s="4" t="inlineStr">
        <is>
          <t>Mike Kennedy</t>
        </is>
      </c>
      <c r="C195" s="4" t="inlineStr">
        <is>
          <t>Mark Anthony</t>
        </is>
      </c>
      <c r="D195" s="4" t="inlineStr">
        <is>
          <t>Cayman Jack</t>
        </is>
      </c>
      <c r="E195" s="5" t="n">
        <v>7</v>
      </c>
      <c r="F195" s="5" t="n">
        <v>4</v>
      </c>
      <c r="G195" s="8">
        <f>MAX(0,$E195-$F195)</f>
        <v/>
      </c>
      <c r="H195" s="18">
        <f>IF(OR(ISNUMBER(SEARCH("fever",$D195)),ISNUMBER(SEARCH("mike",$D195)),ISNUMBER(SEARCH("mxd",$D195))),2,1)</f>
        <v/>
      </c>
      <c r="I195" s="18">
        <f>$H195*IFERROR(INDEX('Recap'!$O$5:$O$233,MATCH($K195,'Recap'!$P$5:$P$233,0)),0)</f>
        <v/>
      </c>
      <c r="J195" s="7">
        <f>$G195*$I195</f>
        <v/>
      </c>
      <c r="K195" s="4">
        <f>$A195&amp;"|"&amp;$C195</f>
        <v/>
      </c>
    </row>
    <row r="196">
      <c r="A196" s="4" t="inlineStr">
        <is>
          <t>Jaime Colonna</t>
        </is>
      </c>
      <c r="B196" s="4" t="inlineStr">
        <is>
          <t>Mike Kennedy</t>
        </is>
      </c>
      <c r="C196" s="4" t="inlineStr">
        <is>
          <t>MolsonCoors Beverage Company</t>
        </is>
      </c>
      <c r="D196" s="4" t="inlineStr">
        <is>
          <t>Coors</t>
        </is>
      </c>
      <c r="E196" s="5" t="n">
        <v>4</v>
      </c>
      <c r="F196" s="5" t="n">
        <v>2</v>
      </c>
      <c r="G196" s="8">
        <f>MAX(0,$E196-$F196)</f>
        <v/>
      </c>
      <c r="H196" s="18">
        <f>IF(OR(ISNUMBER(SEARCH("fever",$D196)),ISNUMBER(SEARCH("mike",$D196)),ISNUMBER(SEARCH("mxd",$D196))),2,1)</f>
        <v/>
      </c>
      <c r="I196" s="18">
        <f>$H196*IFERROR(INDEX('Recap'!$O$5:$O$233,MATCH($K196,'Recap'!$P$5:$P$233,0)),0)</f>
        <v/>
      </c>
      <c r="J196" s="7">
        <f>$G196*$I196</f>
        <v/>
      </c>
      <c r="K196" s="4">
        <f>$A196&amp;"|"&amp;$C196</f>
        <v/>
      </c>
    </row>
    <row r="197">
      <c r="A197" s="4" t="inlineStr">
        <is>
          <t>Jaime Colonna</t>
        </is>
      </c>
      <c r="B197" s="4" t="inlineStr">
        <is>
          <t>Mike Kennedy</t>
        </is>
      </c>
      <c r="C197" s="4" t="inlineStr">
        <is>
          <t>MolsonCoors Beverage Company</t>
        </is>
      </c>
      <c r="D197" s="4" t="inlineStr">
        <is>
          <t>Fever Tree</t>
        </is>
      </c>
      <c r="E197" s="5" t="n">
        <v>0</v>
      </c>
      <c r="F197" s="5" t="n">
        <v>4</v>
      </c>
      <c r="G197" s="8">
        <f>MAX(0,$E197-$F197)</f>
        <v/>
      </c>
      <c r="H197" s="18">
        <f>IF(OR(ISNUMBER(SEARCH("fever",$D197)),ISNUMBER(SEARCH("mike",$D197)),ISNUMBER(SEARCH("mxd",$D197))),2,1)</f>
        <v/>
      </c>
      <c r="I197" s="18">
        <f>$H197*IFERROR(INDEX('Recap'!$O$5:$O$233,MATCH($K197,'Recap'!$P$5:$P$233,0)),0)</f>
        <v/>
      </c>
      <c r="J197" s="7">
        <f>$G197*$I197</f>
        <v/>
      </c>
      <c r="K197" s="4">
        <f>$A197&amp;"|"&amp;$C197</f>
        <v/>
      </c>
    </row>
    <row r="198">
      <c r="A198" s="4" t="inlineStr">
        <is>
          <t>Jaime Colonna</t>
        </is>
      </c>
      <c r="B198" s="4" t="inlineStr">
        <is>
          <t>Mike Kennedy</t>
        </is>
      </c>
      <c r="C198" s="4" t="inlineStr">
        <is>
          <t>MolsonCoors Beverage Company</t>
        </is>
      </c>
      <c r="D198" s="4" t="inlineStr">
        <is>
          <t>Peroni</t>
        </is>
      </c>
      <c r="E198" s="5" t="n">
        <v>9</v>
      </c>
      <c r="F198" s="5" t="n">
        <v>5</v>
      </c>
      <c r="G198" s="8">
        <f>MAX(0,$E198-$F198)</f>
        <v/>
      </c>
      <c r="H198" s="18">
        <f>IF(OR(ISNUMBER(SEARCH("fever",$D198)),ISNUMBER(SEARCH("mike",$D198)),ISNUMBER(SEARCH("mxd",$D198))),2,1)</f>
        <v/>
      </c>
      <c r="I198" s="18">
        <f>$H198*IFERROR(INDEX('Recap'!$O$5:$O$233,MATCH($K198,'Recap'!$P$5:$P$233,0)),0)</f>
        <v/>
      </c>
      <c r="J198" s="7">
        <f>$G198*$I198</f>
        <v/>
      </c>
      <c r="K198" s="4">
        <f>$A198&amp;"|"&amp;$C198</f>
        <v/>
      </c>
    </row>
    <row r="199">
      <c r="A199" s="4" t="inlineStr">
        <is>
          <t>Jaime Colonna</t>
        </is>
      </c>
      <c r="B199" s="4" t="inlineStr">
        <is>
          <t>Mike Kennedy</t>
        </is>
      </c>
      <c r="C199" s="4" t="inlineStr">
        <is>
          <t>New Belgium Brewing Company</t>
        </is>
      </c>
      <c r="D199" s="4" t="inlineStr">
        <is>
          <t>Voodoo Family</t>
        </is>
      </c>
      <c r="E199" s="5" t="n">
        <v>8</v>
      </c>
      <c r="F199" s="5" t="n">
        <v>5</v>
      </c>
      <c r="G199" s="8">
        <f>MAX(0,$E199-$F199)</f>
        <v/>
      </c>
      <c r="H199" s="18">
        <f>IF(OR(ISNUMBER(SEARCH("fever",$D199)),ISNUMBER(SEARCH("mike",$D199)),ISNUMBER(SEARCH("mxd",$D199))),2,1)</f>
        <v/>
      </c>
      <c r="I199" s="18">
        <f>$H199*IFERROR(INDEX('Recap'!$O$5:$O$233,MATCH($K199,'Recap'!$P$5:$P$233,0)),0)</f>
        <v/>
      </c>
      <c r="J199" s="7">
        <f>$G199*$I199</f>
        <v/>
      </c>
      <c r="K199" s="4">
        <f>$A199&amp;"|"&amp;$C199</f>
        <v/>
      </c>
    </row>
    <row r="200">
      <c r="A200" s="4" t="inlineStr">
        <is>
          <t>Jaime Colonna</t>
        </is>
      </c>
      <c r="B200" s="4" t="inlineStr">
        <is>
          <t>Mike Kennedy</t>
        </is>
      </c>
      <c r="C200" s="4" t="inlineStr">
        <is>
          <t>Sapporo</t>
        </is>
      </c>
      <c r="D200" s="4" t="inlineStr">
        <is>
          <t>Sapporo</t>
        </is>
      </c>
      <c r="E200" s="5" t="n">
        <v>1683</v>
      </c>
      <c r="F200" s="5" t="n">
        <v>1580</v>
      </c>
      <c r="G200" s="8">
        <f>MAX(0,$E200-$F200)</f>
        <v/>
      </c>
      <c r="H200" s="18">
        <f>IF(OR(ISNUMBER(SEARCH("fever",$D200)),ISNUMBER(SEARCH("mike",$D200)),ISNUMBER(SEARCH("mxd",$D200))),2,1)</f>
        <v/>
      </c>
      <c r="I200" s="18">
        <f>$H200*IFERROR(INDEX('Recap'!$O$5:$O$233,MATCH($K200,'Recap'!$P$5:$P$233,0)),0)</f>
        <v/>
      </c>
      <c r="J200" s="7">
        <f>$G200*$I200</f>
        <v/>
      </c>
      <c r="K200" s="4">
        <f>$A200&amp;"|"&amp;$C200</f>
        <v/>
      </c>
    </row>
    <row r="201">
      <c r="A201" s="4" t="inlineStr">
        <is>
          <t>Javier Melo</t>
        </is>
      </c>
      <c r="B201" s="4" t="inlineStr">
        <is>
          <t>Denise Montes</t>
        </is>
      </c>
      <c r="C201" s="4" t="inlineStr">
        <is>
          <t>Boston Beer Company</t>
        </is>
      </c>
      <c r="D201" s="4" t="inlineStr">
        <is>
          <t>Dogfish Head Beer</t>
        </is>
      </c>
      <c r="E201" s="5" t="n">
        <v>2</v>
      </c>
      <c r="F201" s="5" t="n">
        <v>17</v>
      </c>
      <c r="G201" s="8">
        <f>MAX(0,$E201-$F201)</f>
        <v/>
      </c>
      <c r="H201" s="18">
        <f>IF(OR(ISNUMBER(SEARCH("fever",$D201)),ISNUMBER(SEARCH("mike",$D201)),ISNUMBER(SEARCH("mxd",$D201))),2,1)</f>
        <v/>
      </c>
      <c r="I201" s="18">
        <f>$H201*IFERROR(INDEX('Recap'!$O$5:$O$233,MATCH($K201,'Recap'!$P$5:$P$233,0)),0)</f>
        <v/>
      </c>
      <c r="J201" s="7">
        <f>$G201*$I201</f>
        <v/>
      </c>
      <c r="K201" s="4">
        <f>$A201&amp;"|"&amp;$C201</f>
        <v/>
      </c>
    </row>
    <row r="202">
      <c r="A202" s="4" t="inlineStr">
        <is>
          <t>Javier Melo</t>
        </is>
      </c>
      <c r="B202" s="4" t="inlineStr">
        <is>
          <t>Denise Montes</t>
        </is>
      </c>
      <c r="C202" s="4" t="inlineStr">
        <is>
          <t>Boston Beer Company</t>
        </is>
      </c>
      <c r="D202" s="4" t="inlineStr">
        <is>
          <t>Dogfish Head Spirits</t>
        </is>
      </c>
      <c r="E202" s="5" t="n">
        <v>30</v>
      </c>
      <c r="F202" s="5" t="n">
        <v>0</v>
      </c>
      <c r="G202" s="8">
        <f>MAX(0,$E202-$F202)</f>
        <v/>
      </c>
      <c r="H202" s="18">
        <f>IF(OR(ISNUMBER(SEARCH("fever",$D202)),ISNUMBER(SEARCH("mike",$D202)),ISNUMBER(SEARCH("mxd",$D202))),2,1)</f>
        <v/>
      </c>
      <c r="I202" s="18">
        <f>$H202*IFERROR(INDEX('Recap'!$O$5:$O$233,MATCH($K202,'Recap'!$P$5:$P$233,0)),0)</f>
        <v/>
      </c>
      <c r="J202" s="7">
        <f>$G202*$I202</f>
        <v/>
      </c>
      <c r="K202" s="4">
        <f>$A202&amp;"|"&amp;$C202</f>
        <v/>
      </c>
    </row>
    <row r="203">
      <c r="A203" s="4" t="inlineStr">
        <is>
          <t>Javier Melo</t>
        </is>
      </c>
      <c r="B203" s="4" t="inlineStr">
        <is>
          <t>Denise Montes</t>
        </is>
      </c>
      <c r="C203" s="4" t="inlineStr">
        <is>
          <t>Constellation Brands</t>
        </is>
      </c>
      <c r="D203" s="4" t="inlineStr">
        <is>
          <t>Corona Premier</t>
        </is>
      </c>
      <c r="E203" s="5" t="n">
        <v>292</v>
      </c>
      <c r="F203" s="5" t="n">
        <v>277</v>
      </c>
      <c r="G203" s="8">
        <f>MAX(0,$E203-$F203)</f>
        <v/>
      </c>
      <c r="H203" s="18">
        <f>IF(OR(ISNUMBER(SEARCH("fever",$D203)),ISNUMBER(SEARCH("mike",$D203)),ISNUMBER(SEARCH("mxd",$D203))),2,1)</f>
        <v/>
      </c>
      <c r="I203" s="18">
        <f>$H203*IFERROR(INDEX('Recap'!$O$5:$O$233,MATCH($K203,'Recap'!$P$5:$P$233,0)),0)</f>
        <v/>
      </c>
      <c r="J203" s="7">
        <f>$G203*$I203</f>
        <v/>
      </c>
      <c r="K203" s="4">
        <f>$A203&amp;"|"&amp;$C203</f>
        <v/>
      </c>
    </row>
    <row r="204">
      <c r="A204" s="4" t="inlineStr">
        <is>
          <t>Javier Melo</t>
        </is>
      </c>
      <c r="B204" s="4" t="inlineStr">
        <is>
          <t>Denise Montes</t>
        </is>
      </c>
      <c r="C204" s="4" t="inlineStr">
        <is>
          <t>Constellation Brands</t>
        </is>
      </c>
      <c r="D204" s="4" t="inlineStr">
        <is>
          <t>Modelo Chelada</t>
        </is>
      </c>
      <c r="E204" s="5" t="n">
        <v>3272</v>
      </c>
      <c r="F204" s="5" t="n">
        <v>3102</v>
      </c>
      <c r="G204" s="8">
        <f>MAX(0,$E204-$F204)</f>
        <v/>
      </c>
      <c r="H204" s="18">
        <f>IF(OR(ISNUMBER(SEARCH("fever",$D204)),ISNUMBER(SEARCH("mike",$D204)),ISNUMBER(SEARCH("mxd",$D204))),2,1)</f>
        <v/>
      </c>
      <c r="I204" s="18">
        <f>$H204*IFERROR(INDEX('Recap'!$O$5:$O$233,MATCH($K204,'Recap'!$P$5:$P$233,0)),0)</f>
        <v/>
      </c>
      <c r="J204" s="7">
        <f>$G204*$I204</f>
        <v/>
      </c>
      <c r="K204" s="4">
        <f>$A204&amp;"|"&amp;$C204</f>
        <v/>
      </c>
    </row>
    <row r="205">
      <c r="A205" s="4" t="inlineStr">
        <is>
          <t>Javier Melo</t>
        </is>
      </c>
      <c r="B205" s="4" t="inlineStr">
        <is>
          <t>Denise Montes</t>
        </is>
      </c>
      <c r="C205" s="4" t="inlineStr">
        <is>
          <t>Constellation Brands</t>
        </is>
      </c>
      <c r="D205" s="4" t="inlineStr">
        <is>
          <t>Pacifico</t>
        </is>
      </c>
      <c r="E205" s="5" t="n">
        <v>1538</v>
      </c>
      <c r="F205" s="5" t="n">
        <v>975</v>
      </c>
      <c r="G205" s="8">
        <f>MAX(0,$E205-$F205)</f>
        <v/>
      </c>
      <c r="H205" s="18">
        <f>IF(OR(ISNUMBER(SEARCH("fever",$D205)),ISNUMBER(SEARCH("mike",$D205)),ISNUMBER(SEARCH("mxd",$D205))),2,1)</f>
        <v/>
      </c>
      <c r="I205" s="18">
        <f>$H205*IFERROR(INDEX('Recap'!$O$5:$O$233,MATCH($K205,'Recap'!$P$5:$P$233,0)),0)</f>
        <v/>
      </c>
      <c r="J205" s="7">
        <f>$G205*$I205</f>
        <v/>
      </c>
      <c r="K205" s="4">
        <f>$A205&amp;"|"&amp;$C205</f>
        <v/>
      </c>
    </row>
    <row r="206">
      <c r="A206" s="4" t="inlineStr">
        <is>
          <t>Javier Melo</t>
        </is>
      </c>
      <c r="B206" s="4" t="inlineStr">
        <is>
          <t>Denise Montes</t>
        </is>
      </c>
      <c r="C206" s="4" t="inlineStr">
        <is>
          <t>Constellation Brands</t>
        </is>
      </c>
      <c r="D206" s="4" t="inlineStr">
        <is>
          <t>Victoria</t>
        </is>
      </c>
      <c r="E206" s="5" t="n">
        <v>3355</v>
      </c>
      <c r="F206" s="5" t="n">
        <v>3216</v>
      </c>
      <c r="G206" s="8">
        <f>MAX(0,$E206-$F206)</f>
        <v/>
      </c>
      <c r="H206" s="18">
        <f>IF(OR(ISNUMBER(SEARCH("fever",$D206)),ISNUMBER(SEARCH("mike",$D206)),ISNUMBER(SEARCH("mxd",$D206))),2,1)</f>
        <v/>
      </c>
      <c r="I206" s="18">
        <f>$H206*IFERROR(INDEX('Recap'!$O$5:$O$233,MATCH($K206,'Recap'!$P$5:$P$233,0)),0)</f>
        <v/>
      </c>
      <c r="J206" s="7">
        <f>$G206*$I206</f>
        <v/>
      </c>
      <c r="K206" s="4">
        <f>$A206&amp;"|"&amp;$C206</f>
        <v/>
      </c>
    </row>
    <row r="207">
      <c r="A207" s="4" t="inlineStr">
        <is>
          <t>Javier Melo</t>
        </is>
      </c>
      <c r="B207" s="4" t="inlineStr">
        <is>
          <t>Denise Montes</t>
        </is>
      </c>
      <c r="C207" s="4" t="inlineStr">
        <is>
          <t>DG Yuengling Inc</t>
        </is>
      </c>
      <c r="D207" s="4" t="inlineStr">
        <is>
          <t>Yuengling Flight</t>
        </is>
      </c>
      <c r="E207" s="5" t="n">
        <v>0</v>
      </c>
      <c r="F207" s="5" t="n">
        <v>3</v>
      </c>
      <c r="G207" s="8">
        <f>MAX(0,$E207-$F207)</f>
        <v/>
      </c>
      <c r="H207" s="18">
        <f>IF(OR(ISNUMBER(SEARCH("fever",$D207)),ISNUMBER(SEARCH("mike",$D207)),ISNUMBER(SEARCH("mxd",$D207))),2,1)</f>
        <v/>
      </c>
      <c r="I207" s="18">
        <f>$H207*IFERROR(INDEX('Recap'!$O$5:$O$233,MATCH($K207,'Recap'!$P$5:$P$233,0)),0)</f>
        <v/>
      </c>
      <c r="J207" s="7">
        <f>$G207*$I207</f>
        <v/>
      </c>
      <c r="K207" s="4">
        <f>$A207&amp;"|"&amp;$C207</f>
        <v/>
      </c>
    </row>
    <row r="208">
      <c r="A208" s="4" t="inlineStr">
        <is>
          <t>Javier Melo</t>
        </is>
      </c>
      <c r="B208" s="4" t="inlineStr">
        <is>
          <t>Denise Montes</t>
        </is>
      </c>
      <c r="C208" s="4" t="inlineStr">
        <is>
          <t>Heineken USA</t>
        </is>
      </c>
      <c r="D208" s="4" t="inlineStr">
        <is>
          <t>Heineken 0.0</t>
        </is>
      </c>
      <c r="E208" s="5" t="n">
        <v>577</v>
      </c>
      <c r="F208" s="5" t="n">
        <v>469</v>
      </c>
      <c r="G208" s="8">
        <f>MAX(0,$E208-$F208)</f>
        <v/>
      </c>
      <c r="H208" s="18">
        <f>IF(OR(ISNUMBER(SEARCH("fever",$D208)),ISNUMBER(SEARCH("mike",$D208)),ISNUMBER(SEARCH("mxd",$D208))),2,1)</f>
        <v/>
      </c>
      <c r="I208" s="18">
        <f>$H208*IFERROR(INDEX('Recap'!$O$5:$O$233,MATCH($K208,'Recap'!$P$5:$P$233,0)),0)</f>
        <v/>
      </c>
      <c r="J208" s="7">
        <f>$G208*$I208</f>
        <v/>
      </c>
      <c r="K208" s="4">
        <f>$A208&amp;"|"&amp;$C208</f>
        <v/>
      </c>
    </row>
    <row r="209">
      <c r="A209" s="4" t="inlineStr">
        <is>
          <t>Javier Melo</t>
        </is>
      </c>
      <c r="B209" s="4" t="inlineStr">
        <is>
          <t>Denise Montes</t>
        </is>
      </c>
      <c r="C209" s="4" t="inlineStr">
        <is>
          <t>Heineken USA</t>
        </is>
      </c>
      <c r="D209" s="4" t="inlineStr">
        <is>
          <t>Heineken Light</t>
        </is>
      </c>
      <c r="E209" s="5" t="n">
        <v>709</v>
      </c>
      <c r="F209" s="5" t="n">
        <v>739</v>
      </c>
      <c r="G209" s="8">
        <f>MAX(0,$E209-$F209)</f>
        <v/>
      </c>
      <c r="H209" s="18">
        <f>IF(OR(ISNUMBER(SEARCH("fever",$D209)),ISNUMBER(SEARCH("mike",$D209)),ISNUMBER(SEARCH("mxd",$D209))),2,1)</f>
        <v/>
      </c>
      <c r="I209" s="18">
        <f>$H209*IFERROR(INDEX('Recap'!$O$5:$O$233,MATCH($K209,'Recap'!$P$5:$P$233,0)),0)</f>
        <v/>
      </c>
      <c r="J209" s="7">
        <f>$G209*$I209</f>
        <v/>
      </c>
      <c r="K209" s="4">
        <f>$A209&amp;"|"&amp;$C209</f>
        <v/>
      </c>
    </row>
    <row r="210">
      <c r="A210" s="4" t="inlineStr">
        <is>
          <t>Javier Melo</t>
        </is>
      </c>
      <c r="B210" s="4" t="inlineStr">
        <is>
          <t>Denise Montes</t>
        </is>
      </c>
      <c r="C210" s="4" t="inlineStr">
        <is>
          <t>Mark Anthony</t>
        </is>
      </c>
      <c r="D210" s="4" t="inlineStr">
        <is>
          <t>Cayman Jack</t>
        </is>
      </c>
      <c r="E210" s="5" t="n">
        <v>914</v>
      </c>
      <c r="F210" s="5" t="n">
        <v>603</v>
      </c>
      <c r="G210" s="8">
        <f>MAX(0,$E210-$F210)</f>
        <v/>
      </c>
      <c r="H210" s="18">
        <f>IF(OR(ISNUMBER(SEARCH("fever",$D210)),ISNUMBER(SEARCH("mike",$D210)),ISNUMBER(SEARCH("mxd",$D210))),2,1)</f>
        <v/>
      </c>
      <c r="I210" s="18">
        <f>$H210*IFERROR(INDEX('Recap'!$O$5:$O$233,MATCH($K210,'Recap'!$P$5:$P$233,0)),0)</f>
        <v/>
      </c>
      <c r="J210" s="7">
        <f>$G210*$I210</f>
        <v/>
      </c>
      <c r="K210" s="4">
        <f>$A210&amp;"|"&amp;$C210</f>
        <v/>
      </c>
    </row>
    <row r="211">
      <c r="A211" s="4" t="inlineStr">
        <is>
          <t>Javier Melo</t>
        </is>
      </c>
      <c r="B211" s="4" t="inlineStr">
        <is>
          <t>Denise Montes</t>
        </is>
      </c>
      <c r="C211" s="4" t="inlineStr">
        <is>
          <t>Mark Anthony</t>
        </is>
      </c>
      <c r="D211" s="4" t="inlineStr">
        <is>
          <t>Mike's Harder</t>
        </is>
      </c>
      <c r="E211" s="5" t="n">
        <v>40</v>
      </c>
      <c r="F211" s="5" t="n">
        <v>43</v>
      </c>
      <c r="G211" s="8">
        <f>MAX(0,$E211-$F211)</f>
        <v/>
      </c>
      <c r="H211" s="18">
        <f>IF(OR(ISNUMBER(SEARCH("fever",$D211)),ISNUMBER(SEARCH("mike",$D211)),ISNUMBER(SEARCH("mxd",$D211))),2,1)</f>
        <v/>
      </c>
      <c r="I211" s="18">
        <f>$H211*IFERROR(INDEX('Recap'!$O$5:$O$233,MATCH($K211,'Recap'!$P$5:$P$233,0)),0)</f>
        <v/>
      </c>
      <c r="J211" s="7">
        <f>$G211*$I211</f>
        <v/>
      </c>
      <c r="K211" s="4">
        <f>$A211&amp;"|"&amp;$C211</f>
        <v/>
      </c>
    </row>
    <row r="212">
      <c r="A212" s="4" t="inlineStr">
        <is>
          <t>Javier Melo</t>
        </is>
      </c>
      <c r="B212" s="4" t="inlineStr">
        <is>
          <t>Denise Montes</t>
        </is>
      </c>
      <c r="C212" s="4" t="inlineStr">
        <is>
          <t>Mark Anthony</t>
        </is>
      </c>
      <c r="D212" s="4" t="inlineStr">
        <is>
          <t>Mxd Cocktails</t>
        </is>
      </c>
      <c r="E212" s="5" t="n">
        <v>192</v>
      </c>
      <c r="F212" s="5" t="n">
        <v>143</v>
      </c>
      <c r="G212" s="8">
        <f>MAX(0,$E212-$F212)</f>
        <v/>
      </c>
      <c r="H212" s="18">
        <f>IF(OR(ISNUMBER(SEARCH("fever",$D212)),ISNUMBER(SEARCH("mike",$D212)),ISNUMBER(SEARCH("mxd",$D212))),2,1)</f>
        <v/>
      </c>
      <c r="I212" s="18">
        <f>$H212*IFERROR(INDEX('Recap'!$O$5:$O$233,MATCH($K212,'Recap'!$P$5:$P$233,0)),0)</f>
        <v/>
      </c>
      <c r="J212" s="7">
        <f>$G212*$I212</f>
        <v/>
      </c>
      <c r="K212" s="4">
        <f>$A212&amp;"|"&amp;$C212</f>
        <v/>
      </c>
    </row>
    <row r="213">
      <c r="A213" s="4" t="inlineStr">
        <is>
          <t>Javier Melo</t>
        </is>
      </c>
      <c r="B213" s="4" t="inlineStr">
        <is>
          <t>Denise Montes</t>
        </is>
      </c>
      <c r="C213" s="4" t="inlineStr">
        <is>
          <t>MolsonCoors Beverage Company</t>
        </is>
      </c>
      <c r="D213" s="4" t="inlineStr">
        <is>
          <t>Coors</t>
        </is>
      </c>
      <c r="E213" s="5" t="n">
        <v>2287</v>
      </c>
      <c r="F213" s="5" t="n">
        <v>2096</v>
      </c>
      <c r="G213" s="8">
        <f>MAX(0,$E213-$F213)</f>
        <v/>
      </c>
      <c r="H213" s="18">
        <f>IF(OR(ISNUMBER(SEARCH("fever",$D213)),ISNUMBER(SEARCH("mike",$D213)),ISNUMBER(SEARCH("mxd",$D213))),2,1)</f>
        <v/>
      </c>
      <c r="I213" s="18">
        <f>$H213*IFERROR(INDEX('Recap'!$O$5:$O$233,MATCH($K213,'Recap'!$P$5:$P$233,0)),0)</f>
        <v/>
      </c>
      <c r="J213" s="7">
        <f>$G213*$I213</f>
        <v/>
      </c>
      <c r="K213" s="4">
        <f>$A213&amp;"|"&amp;$C213</f>
        <v/>
      </c>
    </row>
    <row r="214">
      <c r="A214" s="4" t="inlineStr">
        <is>
          <t>Javier Melo</t>
        </is>
      </c>
      <c r="B214" s="4" t="inlineStr">
        <is>
          <t>Denise Montes</t>
        </is>
      </c>
      <c r="C214" s="4" t="inlineStr">
        <is>
          <t>MolsonCoors Beverage Company</t>
        </is>
      </c>
      <c r="D214" s="4" t="inlineStr">
        <is>
          <t>Fever Tree</t>
        </is>
      </c>
      <c r="E214" s="5" t="n">
        <v>1</v>
      </c>
      <c r="F214" s="5" t="n">
        <v>0</v>
      </c>
      <c r="G214" s="8">
        <f>MAX(0,$E214-$F214)</f>
        <v/>
      </c>
      <c r="H214" s="18">
        <f>IF(OR(ISNUMBER(SEARCH("fever",$D214)),ISNUMBER(SEARCH("mike",$D214)),ISNUMBER(SEARCH("mxd",$D214))),2,1)</f>
        <v/>
      </c>
      <c r="I214" s="18">
        <f>$H214*IFERROR(INDEX('Recap'!$O$5:$O$233,MATCH($K214,'Recap'!$P$5:$P$233,0)),0)</f>
        <v/>
      </c>
      <c r="J214" s="7">
        <f>$G214*$I214</f>
        <v/>
      </c>
      <c r="K214" s="4">
        <f>$A214&amp;"|"&amp;$C214</f>
        <v/>
      </c>
    </row>
    <row r="215">
      <c r="A215" s="4" t="inlineStr">
        <is>
          <t>Javier Melo</t>
        </is>
      </c>
      <c r="B215" s="4" t="inlineStr">
        <is>
          <t>Denise Montes</t>
        </is>
      </c>
      <c r="C215" s="4" t="inlineStr">
        <is>
          <t>MolsonCoors Beverage Company</t>
        </is>
      </c>
      <c r="D215" s="4" t="inlineStr">
        <is>
          <t>Peroni</t>
        </is>
      </c>
      <c r="E215" s="5" t="n">
        <v>76</v>
      </c>
      <c r="F215" s="5" t="n">
        <v>56</v>
      </c>
      <c r="G215" s="8">
        <f>MAX(0,$E215-$F215)</f>
        <v/>
      </c>
      <c r="H215" s="18">
        <f>IF(OR(ISNUMBER(SEARCH("fever",$D215)),ISNUMBER(SEARCH("mike",$D215)),ISNUMBER(SEARCH("mxd",$D215))),2,1)</f>
        <v/>
      </c>
      <c r="I215" s="18">
        <f>$H215*IFERROR(INDEX('Recap'!$O$5:$O$233,MATCH($K215,'Recap'!$P$5:$P$233,0)),0)</f>
        <v/>
      </c>
      <c r="J215" s="7">
        <f>$G215*$I215</f>
        <v/>
      </c>
      <c r="K215" s="4">
        <f>$A215&amp;"|"&amp;$C215</f>
        <v/>
      </c>
    </row>
    <row r="216">
      <c r="A216" s="4" t="inlineStr">
        <is>
          <t>Javier Melo</t>
        </is>
      </c>
      <c r="B216" s="4" t="inlineStr">
        <is>
          <t>Denise Montes</t>
        </is>
      </c>
      <c r="C216" s="4" t="inlineStr">
        <is>
          <t>New Belgium Brewing Company</t>
        </is>
      </c>
      <c r="D216" s="4" t="inlineStr">
        <is>
          <t>Voodoo Family</t>
        </is>
      </c>
      <c r="E216" s="5" t="n">
        <v>30</v>
      </c>
      <c r="F216" s="5" t="n">
        <v>45</v>
      </c>
      <c r="G216" s="8">
        <f>MAX(0,$E216-$F216)</f>
        <v/>
      </c>
      <c r="H216" s="18">
        <f>IF(OR(ISNUMBER(SEARCH("fever",$D216)),ISNUMBER(SEARCH("mike",$D216)),ISNUMBER(SEARCH("mxd",$D216))),2,1)</f>
        <v/>
      </c>
      <c r="I216" s="18">
        <f>$H216*IFERROR(INDEX('Recap'!$O$5:$O$233,MATCH($K216,'Recap'!$P$5:$P$233,0)),0)</f>
        <v/>
      </c>
      <c r="J216" s="7">
        <f>$G216*$I216</f>
        <v/>
      </c>
      <c r="K216" s="4">
        <f>$A216&amp;"|"&amp;$C216</f>
        <v/>
      </c>
    </row>
    <row r="217">
      <c r="A217" s="4" t="inlineStr">
        <is>
          <t>Javier Melo</t>
        </is>
      </c>
      <c r="B217" s="4" t="inlineStr">
        <is>
          <t>Denise Montes</t>
        </is>
      </c>
      <c r="C217" s="4" t="inlineStr">
        <is>
          <t>Sapporo</t>
        </is>
      </c>
      <c r="D217" s="4" t="inlineStr">
        <is>
          <t>Sapporo</t>
        </is>
      </c>
      <c r="E217" s="5" t="n">
        <v>280</v>
      </c>
      <c r="F217" s="5" t="n">
        <v>205</v>
      </c>
      <c r="G217" s="8">
        <f>MAX(0,$E217-$F217)</f>
        <v/>
      </c>
      <c r="H217" s="18">
        <f>IF(OR(ISNUMBER(SEARCH("fever",$D217)),ISNUMBER(SEARCH("mike",$D217)),ISNUMBER(SEARCH("mxd",$D217))),2,1)</f>
        <v/>
      </c>
      <c r="I217" s="18">
        <f>$H217*IFERROR(INDEX('Recap'!$O$5:$O$233,MATCH($K217,'Recap'!$P$5:$P$233,0)),0)</f>
        <v/>
      </c>
      <c r="J217" s="7">
        <f>$G217*$I217</f>
        <v/>
      </c>
      <c r="K217" s="4">
        <f>$A217&amp;"|"&amp;$C217</f>
        <v/>
      </c>
    </row>
    <row r="218">
      <c r="A218" s="4" t="inlineStr">
        <is>
          <t>Jayson Romine</t>
        </is>
      </c>
      <c r="B218" s="4" t="inlineStr">
        <is>
          <t>Paul Deady</t>
        </is>
      </c>
      <c r="C218" s="4" t="inlineStr">
        <is>
          <t>Boston Beer Company</t>
        </is>
      </c>
      <c r="D218" s="4" t="inlineStr">
        <is>
          <t>Dogfish Head Beer</t>
        </is>
      </c>
      <c r="E218" s="5" t="n">
        <v>1175</v>
      </c>
      <c r="F218" s="5" t="n">
        <v>1276</v>
      </c>
      <c r="G218" s="8">
        <f>MAX(0,$E218-$F218)</f>
        <v/>
      </c>
      <c r="H218" s="18">
        <f>IF(OR(ISNUMBER(SEARCH("fever",$D218)),ISNUMBER(SEARCH("mike",$D218)),ISNUMBER(SEARCH("mxd",$D218))),2,1)</f>
        <v/>
      </c>
      <c r="I218" s="18">
        <f>$H218*IFERROR(INDEX('Recap'!$O$5:$O$233,MATCH($K218,'Recap'!$P$5:$P$233,0)),0)</f>
        <v/>
      </c>
      <c r="J218" s="7">
        <f>$G218*$I218</f>
        <v/>
      </c>
      <c r="K218" s="4">
        <f>$A218&amp;"|"&amp;$C218</f>
        <v/>
      </c>
    </row>
    <row r="219">
      <c r="A219" s="4" t="inlineStr">
        <is>
          <t>Jayson Romine</t>
        </is>
      </c>
      <c r="B219" s="4" t="inlineStr">
        <is>
          <t>Paul Deady</t>
        </is>
      </c>
      <c r="C219" s="4" t="inlineStr">
        <is>
          <t>Boston Beer Company</t>
        </is>
      </c>
      <c r="D219" s="4" t="inlineStr">
        <is>
          <t>Dogfish Head Spirits</t>
        </is>
      </c>
      <c r="E219" s="5" t="n">
        <v>438</v>
      </c>
      <c r="F219" s="5" t="n">
        <v>646</v>
      </c>
      <c r="G219" s="8">
        <f>MAX(0,$E219-$F219)</f>
        <v/>
      </c>
      <c r="H219" s="18">
        <f>IF(OR(ISNUMBER(SEARCH("fever",$D219)),ISNUMBER(SEARCH("mike",$D219)),ISNUMBER(SEARCH("mxd",$D219))),2,1)</f>
        <v/>
      </c>
      <c r="I219" s="18">
        <f>$H219*IFERROR(INDEX('Recap'!$O$5:$O$233,MATCH($K219,'Recap'!$P$5:$P$233,0)),0)</f>
        <v/>
      </c>
      <c r="J219" s="7">
        <f>$G219*$I219</f>
        <v/>
      </c>
      <c r="K219" s="4">
        <f>$A219&amp;"|"&amp;$C219</f>
        <v/>
      </c>
    </row>
    <row r="220">
      <c r="A220" s="4" t="inlineStr">
        <is>
          <t>Jayson Romine</t>
        </is>
      </c>
      <c r="B220" s="4" t="inlineStr">
        <is>
          <t>Paul Deady</t>
        </is>
      </c>
      <c r="C220" s="4" t="inlineStr">
        <is>
          <t>Cape May</t>
        </is>
      </c>
      <c r="D220" s="4" t="inlineStr">
        <is>
          <t>Cape May</t>
        </is>
      </c>
      <c r="E220" s="5" t="n">
        <v>1222</v>
      </c>
      <c r="F220" s="5" t="n">
        <v>1211</v>
      </c>
      <c r="G220" s="8">
        <f>MAX(0,$E220-$F220)</f>
        <v/>
      </c>
      <c r="H220" s="18">
        <f>IF(OR(ISNUMBER(SEARCH("fever",$D220)),ISNUMBER(SEARCH("mike",$D220)),ISNUMBER(SEARCH("mxd",$D220))),2,1)</f>
        <v/>
      </c>
      <c r="I220" s="18">
        <f>$H220*IFERROR(INDEX('Recap'!$O$5:$O$233,MATCH($K220,'Recap'!$P$5:$P$233,0)),0)</f>
        <v/>
      </c>
      <c r="J220" s="7">
        <f>$G220*$I220</f>
        <v/>
      </c>
      <c r="K220" s="4">
        <f>$A220&amp;"|"&amp;$C220</f>
        <v/>
      </c>
    </row>
    <row r="221">
      <c r="A221" s="4" t="inlineStr">
        <is>
          <t>Jayson Romine</t>
        </is>
      </c>
      <c r="B221" s="4" t="inlineStr">
        <is>
          <t>Paul Deady</t>
        </is>
      </c>
      <c r="C221" s="4" t="inlineStr">
        <is>
          <t>Constellation Brands</t>
        </is>
      </c>
      <c r="D221" s="4" t="inlineStr">
        <is>
          <t>Corona Premier</t>
        </is>
      </c>
      <c r="E221" s="5" t="n">
        <v>1182</v>
      </c>
      <c r="F221" s="5" t="n">
        <v>1112</v>
      </c>
      <c r="G221" s="8">
        <f>MAX(0,$E221-$F221)</f>
        <v/>
      </c>
      <c r="H221" s="18">
        <f>IF(OR(ISNUMBER(SEARCH("fever",$D221)),ISNUMBER(SEARCH("mike",$D221)),ISNUMBER(SEARCH("mxd",$D221))),2,1)</f>
        <v/>
      </c>
      <c r="I221" s="18">
        <f>$H221*IFERROR(INDEX('Recap'!$O$5:$O$233,MATCH($K221,'Recap'!$P$5:$P$233,0)),0)</f>
        <v/>
      </c>
      <c r="J221" s="7">
        <f>$G221*$I221</f>
        <v/>
      </c>
      <c r="K221" s="4">
        <f>$A221&amp;"|"&amp;$C221</f>
        <v/>
      </c>
    </row>
    <row r="222">
      <c r="A222" s="4" t="inlineStr">
        <is>
          <t>Jayson Romine</t>
        </is>
      </c>
      <c r="B222" s="4" t="inlineStr">
        <is>
          <t>Paul Deady</t>
        </is>
      </c>
      <c r="C222" s="4" t="inlineStr">
        <is>
          <t>Constellation Brands</t>
        </is>
      </c>
      <c r="D222" s="4" t="inlineStr">
        <is>
          <t>Modelo Chelada</t>
        </is>
      </c>
      <c r="E222" s="5" t="n">
        <v>1082</v>
      </c>
      <c r="F222" s="5" t="n">
        <v>873</v>
      </c>
      <c r="G222" s="8">
        <f>MAX(0,$E222-$F222)</f>
        <v/>
      </c>
      <c r="H222" s="18">
        <f>IF(OR(ISNUMBER(SEARCH("fever",$D222)),ISNUMBER(SEARCH("mike",$D222)),ISNUMBER(SEARCH("mxd",$D222))),2,1)</f>
        <v/>
      </c>
      <c r="I222" s="18">
        <f>$H222*IFERROR(INDEX('Recap'!$O$5:$O$233,MATCH($K222,'Recap'!$P$5:$P$233,0)),0)</f>
        <v/>
      </c>
      <c r="J222" s="7">
        <f>$G222*$I222</f>
        <v/>
      </c>
      <c r="K222" s="4">
        <f>$A222&amp;"|"&amp;$C222</f>
        <v/>
      </c>
    </row>
    <row r="223">
      <c r="A223" s="4" t="inlineStr">
        <is>
          <t>Jayson Romine</t>
        </is>
      </c>
      <c r="B223" s="4" t="inlineStr">
        <is>
          <t>Paul Deady</t>
        </is>
      </c>
      <c r="C223" s="4" t="inlineStr">
        <is>
          <t>Constellation Brands</t>
        </is>
      </c>
      <c r="D223" s="4" t="inlineStr">
        <is>
          <t>Pacifico</t>
        </is>
      </c>
      <c r="E223" s="5" t="n">
        <v>403</v>
      </c>
      <c r="F223" s="5" t="n">
        <v>290</v>
      </c>
      <c r="G223" s="8">
        <f>MAX(0,$E223-$F223)</f>
        <v/>
      </c>
      <c r="H223" s="18">
        <f>IF(OR(ISNUMBER(SEARCH("fever",$D223)),ISNUMBER(SEARCH("mike",$D223)),ISNUMBER(SEARCH("mxd",$D223))),2,1)</f>
        <v/>
      </c>
      <c r="I223" s="18">
        <f>$H223*IFERROR(INDEX('Recap'!$O$5:$O$233,MATCH($K223,'Recap'!$P$5:$P$233,0)),0)</f>
        <v/>
      </c>
      <c r="J223" s="7">
        <f>$G223*$I223</f>
        <v/>
      </c>
      <c r="K223" s="4">
        <f>$A223&amp;"|"&amp;$C223</f>
        <v/>
      </c>
    </row>
    <row r="224">
      <c r="A224" s="4" t="inlineStr">
        <is>
          <t>Jayson Romine</t>
        </is>
      </c>
      <c r="B224" s="4" t="inlineStr">
        <is>
          <t>Paul Deady</t>
        </is>
      </c>
      <c r="C224" s="4" t="inlineStr">
        <is>
          <t>Constellation Brands</t>
        </is>
      </c>
      <c r="D224" s="4" t="inlineStr">
        <is>
          <t>Victoria</t>
        </is>
      </c>
      <c r="E224" s="5" t="n">
        <v>230</v>
      </c>
      <c r="F224" s="5" t="n">
        <v>263</v>
      </c>
      <c r="G224" s="8">
        <f>MAX(0,$E224-$F224)</f>
        <v/>
      </c>
      <c r="H224" s="18">
        <f>IF(OR(ISNUMBER(SEARCH("fever",$D224)),ISNUMBER(SEARCH("mike",$D224)),ISNUMBER(SEARCH("mxd",$D224))),2,1)</f>
        <v/>
      </c>
      <c r="I224" s="18">
        <f>$H224*IFERROR(INDEX('Recap'!$O$5:$O$233,MATCH($K224,'Recap'!$P$5:$P$233,0)),0)</f>
        <v/>
      </c>
      <c r="J224" s="7">
        <f>$G224*$I224</f>
        <v/>
      </c>
      <c r="K224" s="4">
        <f>$A224&amp;"|"&amp;$C224</f>
        <v/>
      </c>
    </row>
    <row r="225">
      <c r="A225" s="4" t="inlineStr">
        <is>
          <t>Jayson Romine</t>
        </is>
      </c>
      <c r="B225" s="4" t="inlineStr">
        <is>
          <t>Paul Deady</t>
        </is>
      </c>
      <c r="C225" s="4" t="inlineStr">
        <is>
          <t>DG Yuengling Inc</t>
        </is>
      </c>
      <c r="D225" s="4" t="inlineStr">
        <is>
          <t>Yuengling Flight</t>
        </is>
      </c>
      <c r="E225" s="5" t="n">
        <v>726</v>
      </c>
      <c r="F225" s="5" t="n">
        <v>769</v>
      </c>
      <c r="G225" s="8">
        <f>MAX(0,$E225-$F225)</f>
        <v/>
      </c>
      <c r="H225" s="18">
        <f>IF(OR(ISNUMBER(SEARCH("fever",$D225)),ISNUMBER(SEARCH("mike",$D225)),ISNUMBER(SEARCH("mxd",$D225))),2,1)</f>
        <v/>
      </c>
      <c r="I225" s="18">
        <f>$H225*IFERROR(INDEX('Recap'!$O$5:$O$233,MATCH($K225,'Recap'!$P$5:$P$233,0)),0)</f>
        <v/>
      </c>
      <c r="J225" s="7">
        <f>$G225*$I225</f>
        <v/>
      </c>
      <c r="K225" s="4">
        <f>$A225&amp;"|"&amp;$C225</f>
        <v/>
      </c>
    </row>
    <row r="226">
      <c r="A226" s="4" t="inlineStr">
        <is>
          <t>Jayson Romine</t>
        </is>
      </c>
      <c r="B226" s="4" t="inlineStr">
        <is>
          <t>Paul Deady</t>
        </is>
      </c>
      <c r="C226" s="4" t="inlineStr">
        <is>
          <t>DG Yuengling Inc</t>
        </is>
      </c>
      <c r="D226" s="4" t="inlineStr">
        <is>
          <t>Yuengling Light Lager</t>
        </is>
      </c>
      <c r="E226" s="5" t="n">
        <v>691</v>
      </c>
      <c r="F226" s="5" t="n">
        <v>710</v>
      </c>
      <c r="G226" s="8">
        <f>MAX(0,$E226-$F226)</f>
        <v/>
      </c>
      <c r="H226" s="18">
        <f>IF(OR(ISNUMBER(SEARCH("fever",$D226)),ISNUMBER(SEARCH("mike",$D226)),ISNUMBER(SEARCH("mxd",$D226))),2,1)</f>
        <v/>
      </c>
      <c r="I226" s="18">
        <f>$H226*IFERROR(INDEX('Recap'!$O$5:$O$233,MATCH($K226,'Recap'!$P$5:$P$233,0)),0)</f>
        <v/>
      </c>
      <c r="J226" s="7">
        <f>$G226*$I226</f>
        <v/>
      </c>
      <c r="K226" s="4">
        <f>$A226&amp;"|"&amp;$C226</f>
        <v/>
      </c>
    </row>
    <row r="227">
      <c r="A227" s="4" t="inlineStr">
        <is>
          <t>Jayson Romine</t>
        </is>
      </c>
      <c r="B227" s="4" t="inlineStr">
        <is>
          <t>Paul Deady</t>
        </is>
      </c>
      <c r="C227" s="4" t="inlineStr">
        <is>
          <t>Mark Anthony</t>
        </is>
      </c>
      <c r="D227" s="4" t="inlineStr">
        <is>
          <t>Cayman Jack</t>
        </is>
      </c>
      <c r="E227" s="5" t="n">
        <v>756</v>
      </c>
      <c r="F227" s="5" t="n">
        <v>837</v>
      </c>
      <c r="G227" s="8">
        <f>MAX(0,$E227-$F227)</f>
        <v/>
      </c>
      <c r="H227" s="18">
        <f>IF(OR(ISNUMBER(SEARCH("fever",$D227)),ISNUMBER(SEARCH("mike",$D227)),ISNUMBER(SEARCH("mxd",$D227))),2,1)</f>
        <v/>
      </c>
      <c r="I227" s="18">
        <f>$H227*IFERROR(INDEX('Recap'!$O$5:$O$233,MATCH($K227,'Recap'!$P$5:$P$233,0)),0)</f>
        <v/>
      </c>
      <c r="J227" s="7">
        <f>$G227*$I227</f>
        <v/>
      </c>
      <c r="K227" s="4">
        <f>$A227&amp;"|"&amp;$C227</f>
        <v/>
      </c>
    </row>
    <row r="228">
      <c r="A228" s="4" t="inlineStr">
        <is>
          <t>Jayson Romine</t>
        </is>
      </c>
      <c r="B228" s="4" t="inlineStr">
        <is>
          <t>Paul Deady</t>
        </is>
      </c>
      <c r="C228" s="4" t="inlineStr">
        <is>
          <t>Mark Anthony</t>
        </is>
      </c>
      <c r="D228" s="4" t="inlineStr">
        <is>
          <t>Mike's Harder</t>
        </is>
      </c>
      <c r="E228" s="5" t="n">
        <v>549</v>
      </c>
      <c r="F228" s="5" t="n">
        <v>632</v>
      </c>
      <c r="G228" s="8">
        <f>MAX(0,$E228-$F228)</f>
        <v/>
      </c>
      <c r="H228" s="18">
        <f>IF(OR(ISNUMBER(SEARCH("fever",$D228)),ISNUMBER(SEARCH("mike",$D228)),ISNUMBER(SEARCH("mxd",$D228))),2,1)</f>
        <v/>
      </c>
      <c r="I228" s="18">
        <f>$H228*IFERROR(INDEX('Recap'!$O$5:$O$233,MATCH($K228,'Recap'!$P$5:$P$233,0)),0)</f>
        <v/>
      </c>
      <c r="J228" s="7">
        <f>$G228*$I228</f>
        <v/>
      </c>
      <c r="K228" s="4">
        <f>$A228&amp;"|"&amp;$C228</f>
        <v/>
      </c>
    </row>
    <row r="229">
      <c r="A229" s="4" t="inlineStr">
        <is>
          <t>Jayson Romine</t>
        </is>
      </c>
      <c r="B229" s="4" t="inlineStr">
        <is>
          <t>Paul Deady</t>
        </is>
      </c>
      <c r="C229" s="4" t="inlineStr">
        <is>
          <t>Mark Anthony</t>
        </is>
      </c>
      <c r="D229" s="4" t="inlineStr">
        <is>
          <t>Mxd Cocktails</t>
        </is>
      </c>
      <c r="E229" s="5" t="n">
        <v>0</v>
      </c>
      <c r="F229" s="5" t="n">
        <v>4</v>
      </c>
      <c r="G229" s="8">
        <f>MAX(0,$E229-$F229)</f>
        <v/>
      </c>
      <c r="H229" s="18">
        <f>IF(OR(ISNUMBER(SEARCH("fever",$D229)),ISNUMBER(SEARCH("mike",$D229)),ISNUMBER(SEARCH("mxd",$D229))),2,1)</f>
        <v/>
      </c>
      <c r="I229" s="18">
        <f>$H229*IFERROR(INDEX('Recap'!$O$5:$O$233,MATCH($K229,'Recap'!$P$5:$P$233,0)),0)</f>
        <v/>
      </c>
      <c r="J229" s="7">
        <f>$G229*$I229</f>
        <v/>
      </c>
      <c r="K229" s="4">
        <f>$A229&amp;"|"&amp;$C229</f>
        <v/>
      </c>
    </row>
    <row r="230">
      <c r="A230" s="4" t="inlineStr">
        <is>
          <t>Jayson Romine</t>
        </is>
      </c>
      <c r="B230" s="4" t="inlineStr">
        <is>
          <t>Paul Deady</t>
        </is>
      </c>
      <c r="C230" s="4" t="inlineStr">
        <is>
          <t>MolsonCoors Beverage Company</t>
        </is>
      </c>
      <c r="D230" s="4" t="inlineStr">
        <is>
          <t>Coors</t>
        </is>
      </c>
      <c r="E230" s="5" t="n">
        <v>4294</v>
      </c>
      <c r="F230" s="5" t="n">
        <v>4024</v>
      </c>
      <c r="G230" s="8">
        <f>MAX(0,$E230-$F230)</f>
        <v/>
      </c>
      <c r="H230" s="18">
        <f>IF(OR(ISNUMBER(SEARCH("fever",$D230)),ISNUMBER(SEARCH("mike",$D230)),ISNUMBER(SEARCH("mxd",$D230))),2,1)</f>
        <v/>
      </c>
      <c r="I230" s="18">
        <f>$H230*IFERROR(INDEX('Recap'!$O$5:$O$233,MATCH($K230,'Recap'!$P$5:$P$233,0)),0)</f>
        <v/>
      </c>
      <c r="J230" s="7">
        <f>$G230*$I230</f>
        <v/>
      </c>
      <c r="K230" s="4">
        <f>$A230&amp;"|"&amp;$C230</f>
        <v/>
      </c>
    </row>
    <row r="231">
      <c r="A231" s="4" t="inlineStr">
        <is>
          <t>Jayson Romine</t>
        </is>
      </c>
      <c r="B231" s="4" t="inlineStr">
        <is>
          <t>Paul Deady</t>
        </is>
      </c>
      <c r="C231" s="4" t="inlineStr">
        <is>
          <t>MolsonCoors Beverage Company</t>
        </is>
      </c>
      <c r="D231" s="4" t="inlineStr">
        <is>
          <t>Fever Tree</t>
        </is>
      </c>
      <c r="E231" s="5" t="n">
        <v>141</v>
      </c>
      <c r="F231" s="5" t="n">
        <v>147</v>
      </c>
      <c r="G231" s="8">
        <f>MAX(0,$E231-$F231)</f>
        <v/>
      </c>
      <c r="H231" s="18">
        <f>IF(OR(ISNUMBER(SEARCH("fever",$D231)),ISNUMBER(SEARCH("mike",$D231)),ISNUMBER(SEARCH("mxd",$D231))),2,1)</f>
        <v/>
      </c>
      <c r="I231" s="18">
        <f>$H231*IFERROR(INDEX('Recap'!$O$5:$O$233,MATCH($K231,'Recap'!$P$5:$P$233,0)),0)</f>
        <v/>
      </c>
      <c r="J231" s="7">
        <f>$G231*$I231</f>
        <v/>
      </c>
      <c r="K231" s="4">
        <f>$A231&amp;"|"&amp;$C231</f>
        <v/>
      </c>
    </row>
    <row r="232">
      <c r="A232" s="4" t="inlineStr">
        <is>
          <t>Jayson Romine</t>
        </is>
      </c>
      <c r="B232" s="4" t="inlineStr">
        <is>
          <t>Paul Deady</t>
        </is>
      </c>
      <c r="C232" s="4" t="inlineStr">
        <is>
          <t>MolsonCoors Beverage Company</t>
        </is>
      </c>
      <c r="D232" s="4" t="inlineStr">
        <is>
          <t>Peroni</t>
        </is>
      </c>
      <c r="E232" s="5" t="n">
        <v>628</v>
      </c>
      <c r="F232" s="5" t="n">
        <v>680</v>
      </c>
      <c r="G232" s="8">
        <f>MAX(0,$E232-$F232)</f>
        <v/>
      </c>
      <c r="H232" s="18">
        <f>IF(OR(ISNUMBER(SEARCH("fever",$D232)),ISNUMBER(SEARCH("mike",$D232)),ISNUMBER(SEARCH("mxd",$D232))),2,1)</f>
        <v/>
      </c>
      <c r="I232" s="18">
        <f>$H232*IFERROR(INDEX('Recap'!$O$5:$O$233,MATCH($K232,'Recap'!$P$5:$P$233,0)),0)</f>
        <v/>
      </c>
      <c r="J232" s="7">
        <f>$G232*$I232</f>
        <v/>
      </c>
      <c r="K232" s="4">
        <f>$A232&amp;"|"&amp;$C232</f>
        <v/>
      </c>
    </row>
    <row r="233">
      <c r="A233" s="4" t="inlineStr">
        <is>
          <t>Jayson Romine</t>
        </is>
      </c>
      <c r="B233" s="4" t="inlineStr">
        <is>
          <t>Paul Deady</t>
        </is>
      </c>
      <c r="C233" s="4" t="inlineStr">
        <is>
          <t>New Belgium Brewing Company</t>
        </is>
      </c>
      <c r="D233" s="4" t="inlineStr">
        <is>
          <t>Bell's</t>
        </is>
      </c>
      <c r="E233" s="5" t="n">
        <v>15</v>
      </c>
      <c r="F233" s="5" t="n">
        <v>36</v>
      </c>
      <c r="G233" s="8">
        <f>MAX(0,$E233-$F233)</f>
        <v/>
      </c>
      <c r="H233" s="18">
        <f>IF(OR(ISNUMBER(SEARCH("fever",$D233)),ISNUMBER(SEARCH("mike",$D233)),ISNUMBER(SEARCH("mxd",$D233))),2,1)</f>
        <v/>
      </c>
      <c r="I233" s="18">
        <f>$H233*IFERROR(INDEX('Recap'!$O$5:$O$233,MATCH($K233,'Recap'!$P$5:$P$233,0)),0)</f>
        <v/>
      </c>
      <c r="J233" s="7">
        <f>$G233*$I233</f>
        <v/>
      </c>
      <c r="K233" s="4">
        <f>$A233&amp;"|"&amp;$C233</f>
        <v/>
      </c>
    </row>
    <row r="234">
      <c r="A234" s="4" t="inlineStr">
        <is>
          <t>Jayson Romine</t>
        </is>
      </c>
      <c r="B234" s="4" t="inlineStr">
        <is>
          <t>Paul Deady</t>
        </is>
      </c>
      <c r="C234" s="4" t="inlineStr">
        <is>
          <t>New Belgium Brewing Company</t>
        </is>
      </c>
      <c r="D234" s="4" t="inlineStr">
        <is>
          <t>Fat Tire Family</t>
        </is>
      </c>
      <c r="E234" s="5" t="n">
        <v>256</v>
      </c>
      <c r="F234" s="5" t="n">
        <v>265</v>
      </c>
      <c r="G234" s="8">
        <f>MAX(0,$E234-$F234)</f>
        <v/>
      </c>
      <c r="H234" s="18">
        <f>IF(OR(ISNUMBER(SEARCH("fever",$D234)),ISNUMBER(SEARCH("mike",$D234)),ISNUMBER(SEARCH("mxd",$D234))),2,1)</f>
        <v/>
      </c>
      <c r="I234" s="18">
        <f>$H234*IFERROR(INDEX('Recap'!$O$5:$O$233,MATCH($K234,'Recap'!$P$5:$P$233,0)),0)</f>
        <v/>
      </c>
      <c r="J234" s="7">
        <f>$G234*$I234</f>
        <v/>
      </c>
      <c r="K234" s="4">
        <f>$A234&amp;"|"&amp;$C234</f>
        <v/>
      </c>
    </row>
    <row r="235">
      <c r="A235" s="4" t="inlineStr">
        <is>
          <t>Jayson Romine</t>
        </is>
      </c>
      <c r="B235" s="4" t="inlineStr">
        <is>
          <t>Paul Deady</t>
        </is>
      </c>
      <c r="C235" s="4" t="inlineStr">
        <is>
          <t>New Belgium Brewing Company</t>
        </is>
      </c>
      <c r="D235" s="4" t="inlineStr">
        <is>
          <t>Kirin Ichiban</t>
        </is>
      </c>
      <c r="E235" s="5" t="n">
        <v>1</v>
      </c>
      <c r="F235" s="5" t="n">
        <v>2</v>
      </c>
      <c r="G235" s="8">
        <f>MAX(0,$E235-$F235)</f>
        <v/>
      </c>
      <c r="H235" s="18">
        <f>IF(OR(ISNUMBER(SEARCH("fever",$D235)),ISNUMBER(SEARCH("mike",$D235)),ISNUMBER(SEARCH("mxd",$D235))),2,1)</f>
        <v/>
      </c>
      <c r="I235" s="18">
        <f>$H235*IFERROR(INDEX('Recap'!$O$5:$O$233,MATCH($K235,'Recap'!$P$5:$P$233,0)),0)</f>
        <v/>
      </c>
      <c r="J235" s="7">
        <f>$G235*$I235</f>
        <v/>
      </c>
      <c r="K235" s="4">
        <f>$A235&amp;"|"&amp;$C235</f>
        <v/>
      </c>
    </row>
    <row r="236">
      <c r="A236" s="4" t="inlineStr">
        <is>
          <t>Jayson Romine</t>
        </is>
      </c>
      <c r="B236" s="4" t="inlineStr">
        <is>
          <t>Paul Deady</t>
        </is>
      </c>
      <c r="C236" s="4" t="inlineStr">
        <is>
          <t>New Belgium Brewing Company</t>
        </is>
      </c>
      <c r="D236" s="4" t="inlineStr">
        <is>
          <t>Voodoo Family</t>
        </is>
      </c>
      <c r="E236" s="5" t="n">
        <v>1498</v>
      </c>
      <c r="F236" s="5" t="n">
        <v>1306</v>
      </c>
      <c r="G236" s="8">
        <f>MAX(0,$E236-$F236)</f>
        <v/>
      </c>
      <c r="H236" s="18">
        <f>IF(OR(ISNUMBER(SEARCH("fever",$D236)),ISNUMBER(SEARCH("mike",$D236)),ISNUMBER(SEARCH("mxd",$D236))),2,1)</f>
        <v/>
      </c>
      <c r="I236" s="18">
        <f>$H236*IFERROR(INDEX('Recap'!$O$5:$O$233,MATCH($K236,'Recap'!$P$5:$P$233,0)),0)</f>
        <v/>
      </c>
      <c r="J236" s="7">
        <f>$G236*$I236</f>
        <v/>
      </c>
      <c r="K236" s="4">
        <f>$A236&amp;"|"&amp;$C236</f>
        <v/>
      </c>
    </row>
    <row r="237">
      <c r="A237" s="4" t="inlineStr">
        <is>
          <t>Jayson Romine</t>
        </is>
      </c>
      <c r="B237" s="4" t="inlineStr">
        <is>
          <t>Paul Deady</t>
        </is>
      </c>
      <c r="C237" s="4" t="inlineStr">
        <is>
          <t>Sapporo</t>
        </is>
      </c>
      <c r="D237" s="4" t="inlineStr">
        <is>
          <t>Sapporo</t>
        </is>
      </c>
      <c r="E237" s="5" t="n">
        <v>219</v>
      </c>
      <c r="F237" s="5" t="n">
        <v>182</v>
      </c>
      <c r="G237" s="8">
        <f>MAX(0,$E237-$F237)</f>
        <v/>
      </c>
      <c r="H237" s="18">
        <f>IF(OR(ISNUMBER(SEARCH("fever",$D237)),ISNUMBER(SEARCH("mike",$D237)),ISNUMBER(SEARCH("mxd",$D237))),2,1)</f>
        <v/>
      </c>
      <c r="I237" s="18">
        <f>$H237*IFERROR(INDEX('Recap'!$O$5:$O$233,MATCH($K237,'Recap'!$P$5:$P$233,0)),0)</f>
        <v/>
      </c>
      <c r="J237" s="7">
        <f>$G237*$I237</f>
        <v/>
      </c>
      <c r="K237" s="4">
        <f>$A237&amp;"|"&amp;$C237</f>
        <v/>
      </c>
    </row>
    <row r="238">
      <c r="A238" s="4" t="inlineStr">
        <is>
          <t>Jim Heaney</t>
        </is>
      </c>
      <c r="B238" s="4" t="inlineStr">
        <is>
          <t>Denise Montes</t>
        </is>
      </c>
      <c r="C238" s="4" t="inlineStr">
        <is>
          <t>Boston Beer Company</t>
        </is>
      </c>
      <c r="D238" s="4" t="inlineStr">
        <is>
          <t>Dogfish Head Beer</t>
        </is>
      </c>
      <c r="E238" s="5" t="n">
        <v>319</v>
      </c>
      <c r="F238" s="5" t="n">
        <v>318</v>
      </c>
      <c r="G238" s="8">
        <f>MAX(0,$E238-$F238)</f>
        <v/>
      </c>
      <c r="H238" s="18">
        <f>IF(OR(ISNUMBER(SEARCH("fever",$D238)),ISNUMBER(SEARCH("mike",$D238)),ISNUMBER(SEARCH("mxd",$D238))),2,1)</f>
        <v/>
      </c>
      <c r="I238" s="18">
        <f>$H238*IFERROR(INDEX('Recap'!$O$5:$O$233,MATCH($K238,'Recap'!$P$5:$P$233,0)),0)</f>
        <v/>
      </c>
      <c r="J238" s="7">
        <f>$G238*$I238</f>
        <v/>
      </c>
      <c r="K238" s="4">
        <f>$A238&amp;"|"&amp;$C238</f>
        <v/>
      </c>
    </row>
    <row r="239">
      <c r="A239" s="4" t="inlineStr">
        <is>
          <t>Jim Heaney</t>
        </is>
      </c>
      <c r="B239" s="4" t="inlineStr">
        <is>
          <t>Denise Montes</t>
        </is>
      </c>
      <c r="C239" s="4" t="inlineStr">
        <is>
          <t>Boston Beer Company</t>
        </is>
      </c>
      <c r="D239" s="4" t="inlineStr">
        <is>
          <t>Dogfish Head Spirits</t>
        </is>
      </c>
      <c r="E239" s="5" t="n">
        <v>92</v>
      </c>
      <c r="F239" s="5" t="n">
        <v>103</v>
      </c>
      <c r="G239" s="8">
        <f>MAX(0,$E239-$F239)</f>
        <v/>
      </c>
      <c r="H239" s="18">
        <f>IF(OR(ISNUMBER(SEARCH("fever",$D239)),ISNUMBER(SEARCH("mike",$D239)),ISNUMBER(SEARCH("mxd",$D239))),2,1)</f>
        <v/>
      </c>
      <c r="I239" s="18">
        <f>$H239*IFERROR(INDEX('Recap'!$O$5:$O$233,MATCH($K239,'Recap'!$P$5:$P$233,0)),0)</f>
        <v/>
      </c>
      <c r="J239" s="7">
        <f>$G239*$I239</f>
        <v/>
      </c>
      <c r="K239" s="4">
        <f>$A239&amp;"|"&amp;$C239</f>
        <v/>
      </c>
    </row>
    <row r="240">
      <c r="A240" s="4" t="inlineStr">
        <is>
          <t>Jim Heaney</t>
        </is>
      </c>
      <c r="B240" s="4" t="inlineStr">
        <is>
          <t>Denise Montes</t>
        </is>
      </c>
      <c r="C240" s="4" t="inlineStr">
        <is>
          <t>Cape May</t>
        </is>
      </c>
      <c r="D240" s="4" t="inlineStr">
        <is>
          <t>Cape May</t>
        </is>
      </c>
      <c r="E240" s="5" t="n">
        <v>428</v>
      </c>
      <c r="F240" s="5" t="n">
        <v>417</v>
      </c>
      <c r="G240" s="8">
        <f>MAX(0,$E240-$F240)</f>
        <v/>
      </c>
      <c r="H240" s="18">
        <f>IF(OR(ISNUMBER(SEARCH("fever",$D240)),ISNUMBER(SEARCH("mike",$D240)),ISNUMBER(SEARCH("mxd",$D240))),2,1)</f>
        <v/>
      </c>
      <c r="I240" s="18">
        <f>$H240*IFERROR(INDEX('Recap'!$O$5:$O$233,MATCH($K240,'Recap'!$P$5:$P$233,0)),0)</f>
        <v/>
      </c>
      <c r="J240" s="7">
        <f>$G240*$I240</f>
        <v/>
      </c>
      <c r="K240" s="4">
        <f>$A240&amp;"|"&amp;$C240</f>
        <v/>
      </c>
    </row>
    <row r="241">
      <c r="A241" s="4" t="inlineStr">
        <is>
          <t>Jim Heaney</t>
        </is>
      </c>
      <c r="B241" s="4" t="inlineStr">
        <is>
          <t>Denise Montes</t>
        </is>
      </c>
      <c r="C241" s="4" t="inlineStr">
        <is>
          <t>Constellation Brands</t>
        </is>
      </c>
      <c r="D241" s="4" t="inlineStr">
        <is>
          <t>Corona Premier</t>
        </is>
      </c>
      <c r="E241" s="5" t="n">
        <v>760</v>
      </c>
      <c r="F241" s="5" t="n">
        <v>810</v>
      </c>
      <c r="G241" s="8">
        <f>MAX(0,$E241-$F241)</f>
        <v/>
      </c>
      <c r="H241" s="18">
        <f>IF(OR(ISNUMBER(SEARCH("fever",$D241)),ISNUMBER(SEARCH("mike",$D241)),ISNUMBER(SEARCH("mxd",$D241))),2,1)</f>
        <v/>
      </c>
      <c r="I241" s="18">
        <f>$H241*IFERROR(INDEX('Recap'!$O$5:$O$233,MATCH($K241,'Recap'!$P$5:$P$233,0)),0)</f>
        <v/>
      </c>
      <c r="J241" s="7">
        <f>$G241*$I241</f>
        <v/>
      </c>
      <c r="K241" s="4">
        <f>$A241&amp;"|"&amp;$C241</f>
        <v/>
      </c>
    </row>
    <row r="242">
      <c r="A242" s="4" t="inlineStr">
        <is>
          <t>Jim Heaney</t>
        </is>
      </c>
      <c r="B242" s="4" t="inlineStr">
        <is>
          <t>Denise Montes</t>
        </is>
      </c>
      <c r="C242" s="4" t="inlineStr">
        <is>
          <t>Constellation Brands</t>
        </is>
      </c>
      <c r="D242" s="4" t="inlineStr">
        <is>
          <t>Modelo Chelada</t>
        </is>
      </c>
      <c r="E242" s="5" t="n">
        <v>2428</v>
      </c>
      <c r="F242" s="5" t="n">
        <v>1923</v>
      </c>
      <c r="G242" s="8">
        <f>MAX(0,$E242-$F242)</f>
        <v/>
      </c>
      <c r="H242" s="18">
        <f>IF(OR(ISNUMBER(SEARCH("fever",$D242)),ISNUMBER(SEARCH("mike",$D242)),ISNUMBER(SEARCH("mxd",$D242))),2,1)</f>
        <v/>
      </c>
      <c r="I242" s="18">
        <f>$H242*IFERROR(INDEX('Recap'!$O$5:$O$233,MATCH($K242,'Recap'!$P$5:$P$233,0)),0)</f>
        <v/>
      </c>
      <c r="J242" s="7">
        <f>$G242*$I242</f>
        <v/>
      </c>
      <c r="K242" s="4">
        <f>$A242&amp;"|"&amp;$C242</f>
        <v/>
      </c>
    </row>
    <row r="243">
      <c r="A243" s="4" t="inlineStr">
        <is>
          <t>Jim Heaney</t>
        </is>
      </c>
      <c r="B243" s="4" t="inlineStr">
        <is>
          <t>Denise Montes</t>
        </is>
      </c>
      <c r="C243" s="4" t="inlineStr">
        <is>
          <t>Constellation Brands</t>
        </is>
      </c>
      <c r="D243" s="4" t="inlineStr">
        <is>
          <t>Pacifico</t>
        </is>
      </c>
      <c r="E243" s="5" t="n">
        <v>993</v>
      </c>
      <c r="F243" s="5" t="n">
        <v>853</v>
      </c>
      <c r="G243" s="8">
        <f>MAX(0,$E243-$F243)</f>
        <v/>
      </c>
      <c r="H243" s="18">
        <f>IF(OR(ISNUMBER(SEARCH("fever",$D243)),ISNUMBER(SEARCH("mike",$D243)),ISNUMBER(SEARCH("mxd",$D243))),2,1)</f>
        <v/>
      </c>
      <c r="I243" s="18">
        <f>$H243*IFERROR(INDEX('Recap'!$O$5:$O$233,MATCH($K243,'Recap'!$P$5:$P$233,0)),0)</f>
        <v/>
      </c>
      <c r="J243" s="7">
        <f>$G243*$I243</f>
        <v/>
      </c>
      <c r="K243" s="4">
        <f>$A243&amp;"|"&amp;$C243</f>
        <v/>
      </c>
    </row>
    <row r="244">
      <c r="A244" s="4" t="inlineStr">
        <is>
          <t>Jim Heaney</t>
        </is>
      </c>
      <c r="B244" s="4" t="inlineStr">
        <is>
          <t>Denise Montes</t>
        </is>
      </c>
      <c r="C244" s="4" t="inlineStr">
        <is>
          <t>Constellation Brands</t>
        </is>
      </c>
      <c r="D244" s="4" t="inlineStr">
        <is>
          <t>Victoria</t>
        </is>
      </c>
      <c r="E244" s="5" t="n">
        <v>1787</v>
      </c>
      <c r="F244" s="5" t="n">
        <v>1464</v>
      </c>
      <c r="G244" s="8">
        <f>MAX(0,$E244-$F244)</f>
        <v/>
      </c>
      <c r="H244" s="18">
        <f>IF(OR(ISNUMBER(SEARCH("fever",$D244)),ISNUMBER(SEARCH("mike",$D244)),ISNUMBER(SEARCH("mxd",$D244))),2,1)</f>
        <v/>
      </c>
      <c r="I244" s="18">
        <f>$H244*IFERROR(INDEX('Recap'!$O$5:$O$233,MATCH($K244,'Recap'!$P$5:$P$233,0)),0)</f>
        <v/>
      </c>
      <c r="J244" s="7">
        <f>$G244*$I244</f>
        <v/>
      </c>
      <c r="K244" s="4">
        <f>$A244&amp;"|"&amp;$C244</f>
        <v/>
      </c>
    </row>
    <row r="245">
      <c r="A245" s="4" t="inlineStr">
        <is>
          <t>Jim Heaney</t>
        </is>
      </c>
      <c r="B245" s="4" t="inlineStr">
        <is>
          <t>Denise Montes</t>
        </is>
      </c>
      <c r="C245" s="4" t="inlineStr">
        <is>
          <t>DG Yuengling Inc</t>
        </is>
      </c>
      <c r="D245" s="4" t="inlineStr">
        <is>
          <t>Yuengling Flight</t>
        </is>
      </c>
      <c r="E245" s="5" t="n">
        <v>51</v>
      </c>
      <c r="F245" s="5" t="n">
        <v>58</v>
      </c>
      <c r="G245" s="8">
        <f>MAX(0,$E245-$F245)</f>
        <v/>
      </c>
      <c r="H245" s="18">
        <f>IF(OR(ISNUMBER(SEARCH("fever",$D245)),ISNUMBER(SEARCH("mike",$D245)),ISNUMBER(SEARCH("mxd",$D245))),2,1)</f>
        <v/>
      </c>
      <c r="I245" s="18">
        <f>$H245*IFERROR(INDEX('Recap'!$O$5:$O$233,MATCH($K245,'Recap'!$P$5:$P$233,0)),0)</f>
        <v/>
      </c>
      <c r="J245" s="7">
        <f>$G245*$I245</f>
        <v/>
      </c>
      <c r="K245" s="4">
        <f>$A245&amp;"|"&amp;$C245</f>
        <v/>
      </c>
    </row>
    <row r="246">
      <c r="A246" s="4" t="inlineStr">
        <is>
          <t>Jim Heaney</t>
        </is>
      </c>
      <c r="B246" s="4" t="inlineStr">
        <is>
          <t>Denise Montes</t>
        </is>
      </c>
      <c r="C246" s="4" t="inlineStr">
        <is>
          <t>DG Yuengling Inc</t>
        </is>
      </c>
      <c r="D246" s="4" t="inlineStr">
        <is>
          <t>Yuengling Light Lager</t>
        </is>
      </c>
      <c r="E246" s="5" t="n">
        <v>67</v>
      </c>
      <c r="F246" s="5" t="n">
        <v>98</v>
      </c>
      <c r="G246" s="8">
        <f>MAX(0,$E246-$F246)</f>
        <v/>
      </c>
      <c r="H246" s="18">
        <f>IF(OR(ISNUMBER(SEARCH("fever",$D246)),ISNUMBER(SEARCH("mike",$D246)),ISNUMBER(SEARCH("mxd",$D246))),2,1)</f>
        <v/>
      </c>
      <c r="I246" s="18">
        <f>$H246*IFERROR(INDEX('Recap'!$O$5:$O$233,MATCH($K246,'Recap'!$P$5:$P$233,0)),0)</f>
        <v/>
      </c>
      <c r="J246" s="7">
        <f>$G246*$I246</f>
        <v/>
      </c>
      <c r="K246" s="4">
        <f>$A246&amp;"|"&amp;$C246</f>
        <v/>
      </c>
    </row>
    <row r="247">
      <c r="A247" s="4" t="inlineStr">
        <is>
          <t>Jim Heaney</t>
        </is>
      </c>
      <c r="B247" s="4" t="inlineStr">
        <is>
          <t>Denise Montes</t>
        </is>
      </c>
      <c r="C247" s="4" t="inlineStr">
        <is>
          <t>Heineken USA</t>
        </is>
      </c>
      <c r="D247" s="4" t="inlineStr">
        <is>
          <t>Heineken 0.0</t>
        </is>
      </c>
      <c r="E247" s="5" t="n">
        <v>493</v>
      </c>
      <c r="F247" s="5" t="n">
        <v>454</v>
      </c>
      <c r="G247" s="8">
        <f>MAX(0,$E247-$F247)</f>
        <v/>
      </c>
      <c r="H247" s="18">
        <f>IF(OR(ISNUMBER(SEARCH("fever",$D247)),ISNUMBER(SEARCH("mike",$D247)),ISNUMBER(SEARCH("mxd",$D247))),2,1)</f>
        <v/>
      </c>
      <c r="I247" s="18">
        <f>$H247*IFERROR(INDEX('Recap'!$O$5:$O$233,MATCH($K247,'Recap'!$P$5:$P$233,0)),0)</f>
        <v/>
      </c>
      <c r="J247" s="7">
        <f>$G247*$I247</f>
        <v/>
      </c>
      <c r="K247" s="4">
        <f>$A247&amp;"|"&amp;$C247</f>
        <v/>
      </c>
    </row>
    <row r="248">
      <c r="A248" s="4" t="inlineStr">
        <is>
          <t>Jim Heaney</t>
        </is>
      </c>
      <c r="B248" s="4" t="inlineStr">
        <is>
          <t>Denise Montes</t>
        </is>
      </c>
      <c r="C248" s="4" t="inlineStr">
        <is>
          <t>Heineken USA</t>
        </is>
      </c>
      <c r="D248" s="4" t="inlineStr">
        <is>
          <t>Heineken Light</t>
        </is>
      </c>
      <c r="E248" s="5" t="n">
        <v>549</v>
      </c>
      <c r="F248" s="5" t="n">
        <v>750</v>
      </c>
      <c r="G248" s="8">
        <f>MAX(0,$E248-$F248)</f>
        <v/>
      </c>
      <c r="H248" s="18">
        <f>IF(OR(ISNUMBER(SEARCH("fever",$D248)),ISNUMBER(SEARCH("mike",$D248)),ISNUMBER(SEARCH("mxd",$D248))),2,1)</f>
        <v/>
      </c>
      <c r="I248" s="18">
        <f>$H248*IFERROR(INDEX('Recap'!$O$5:$O$233,MATCH($K248,'Recap'!$P$5:$P$233,0)),0)</f>
        <v/>
      </c>
      <c r="J248" s="7">
        <f>$G248*$I248</f>
        <v/>
      </c>
      <c r="K248" s="4">
        <f>$A248&amp;"|"&amp;$C248</f>
        <v/>
      </c>
    </row>
    <row r="249">
      <c r="A249" s="4" t="inlineStr">
        <is>
          <t>Jim Heaney</t>
        </is>
      </c>
      <c r="B249" s="4" t="inlineStr">
        <is>
          <t>Denise Montes</t>
        </is>
      </c>
      <c r="C249" s="4" t="inlineStr">
        <is>
          <t>Mark Anthony</t>
        </is>
      </c>
      <c r="D249" s="4" t="inlineStr">
        <is>
          <t>Cayman Jack</t>
        </is>
      </c>
      <c r="E249" s="5" t="n">
        <v>1194</v>
      </c>
      <c r="F249" s="5" t="n">
        <v>1074</v>
      </c>
      <c r="G249" s="8">
        <f>MAX(0,$E249-$F249)</f>
        <v/>
      </c>
      <c r="H249" s="18">
        <f>IF(OR(ISNUMBER(SEARCH("fever",$D249)),ISNUMBER(SEARCH("mike",$D249)),ISNUMBER(SEARCH("mxd",$D249))),2,1)</f>
        <v/>
      </c>
      <c r="I249" s="18">
        <f>$H249*IFERROR(INDEX('Recap'!$O$5:$O$233,MATCH($K249,'Recap'!$P$5:$P$233,0)),0)</f>
        <v/>
      </c>
      <c r="J249" s="7">
        <f>$G249*$I249</f>
        <v/>
      </c>
      <c r="K249" s="4">
        <f>$A249&amp;"|"&amp;$C249</f>
        <v/>
      </c>
    </row>
    <row r="250">
      <c r="A250" s="4" t="inlineStr">
        <is>
          <t>Jim Heaney</t>
        </is>
      </c>
      <c r="B250" s="4" t="inlineStr">
        <is>
          <t>Denise Montes</t>
        </is>
      </c>
      <c r="C250" s="4" t="inlineStr">
        <is>
          <t>Mark Anthony</t>
        </is>
      </c>
      <c r="D250" s="4" t="inlineStr">
        <is>
          <t>Mike's Harder</t>
        </is>
      </c>
      <c r="E250" s="5" t="n">
        <v>122</v>
      </c>
      <c r="F250" s="5" t="n">
        <v>130</v>
      </c>
      <c r="G250" s="8">
        <f>MAX(0,$E250-$F250)</f>
        <v/>
      </c>
      <c r="H250" s="18">
        <f>IF(OR(ISNUMBER(SEARCH("fever",$D250)),ISNUMBER(SEARCH("mike",$D250)),ISNUMBER(SEARCH("mxd",$D250))),2,1)</f>
        <v/>
      </c>
      <c r="I250" s="18">
        <f>$H250*IFERROR(INDEX('Recap'!$O$5:$O$233,MATCH($K250,'Recap'!$P$5:$P$233,0)),0)</f>
        <v/>
      </c>
      <c r="J250" s="7">
        <f>$G250*$I250</f>
        <v/>
      </c>
      <c r="K250" s="4">
        <f>$A250&amp;"|"&amp;$C250</f>
        <v/>
      </c>
    </row>
    <row r="251">
      <c r="A251" s="4" t="inlineStr">
        <is>
          <t>Jim Heaney</t>
        </is>
      </c>
      <c r="B251" s="4" t="inlineStr">
        <is>
          <t>Denise Montes</t>
        </is>
      </c>
      <c r="C251" s="4" t="inlineStr">
        <is>
          <t>Mark Anthony</t>
        </is>
      </c>
      <c r="D251" s="4" t="inlineStr">
        <is>
          <t>Mxd Cocktails</t>
        </is>
      </c>
      <c r="E251" s="5" t="n">
        <v>5</v>
      </c>
      <c r="F251" s="5" t="n">
        <v>5</v>
      </c>
      <c r="G251" s="8">
        <f>MAX(0,$E251-$F251)</f>
        <v/>
      </c>
      <c r="H251" s="18">
        <f>IF(OR(ISNUMBER(SEARCH("fever",$D251)),ISNUMBER(SEARCH("mike",$D251)),ISNUMBER(SEARCH("mxd",$D251))),2,1)</f>
        <v/>
      </c>
      <c r="I251" s="18">
        <f>$H251*IFERROR(INDEX('Recap'!$O$5:$O$233,MATCH($K251,'Recap'!$P$5:$P$233,0)),0)</f>
        <v/>
      </c>
      <c r="J251" s="7">
        <f>$G251*$I251</f>
        <v/>
      </c>
      <c r="K251" s="4">
        <f>$A251&amp;"|"&amp;$C251</f>
        <v/>
      </c>
    </row>
    <row r="252">
      <c r="A252" s="4" t="inlineStr">
        <is>
          <t>Jim Heaney</t>
        </is>
      </c>
      <c r="B252" s="4" t="inlineStr">
        <is>
          <t>Denise Montes</t>
        </is>
      </c>
      <c r="C252" s="4" t="inlineStr">
        <is>
          <t>MolsonCoors Beverage Company</t>
        </is>
      </c>
      <c r="D252" s="4" t="inlineStr">
        <is>
          <t>Coors</t>
        </is>
      </c>
      <c r="E252" s="5" t="n">
        <v>1788</v>
      </c>
      <c r="F252" s="5" t="n">
        <v>2076</v>
      </c>
      <c r="G252" s="8">
        <f>MAX(0,$E252-$F252)</f>
        <v/>
      </c>
      <c r="H252" s="18">
        <f>IF(OR(ISNUMBER(SEARCH("fever",$D252)),ISNUMBER(SEARCH("mike",$D252)),ISNUMBER(SEARCH("mxd",$D252))),2,1)</f>
        <v/>
      </c>
      <c r="I252" s="18">
        <f>$H252*IFERROR(INDEX('Recap'!$O$5:$O$233,MATCH($K252,'Recap'!$P$5:$P$233,0)),0)</f>
        <v/>
      </c>
      <c r="J252" s="7">
        <f>$G252*$I252</f>
        <v/>
      </c>
      <c r="K252" s="4">
        <f>$A252&amp;"|"&amp;$C252</f>
        <v/>
      </c>
    </row>
    <row r="253">
      <c r="A253" s="4" t="inlineStr">
        <is>
          <t>Jim Heaney</t>
        </is>
      </c>
      <c r="B253" s="4" t="inlineStr">
        <is>
          <t>Denise Montes</t>
        </is>
      </c>
      <c r="C253" s="4" t="inlineStr">
        <is>
          <t>MolsonCoors Beverage Company</t>
        </is>
      </c>
      <c r="D253" s="4" t="inlineStr">
        <is>
          <t>Fever Tree</t>
        </is>
      </c>
      <c r="E253" s="5" t="n">
        <v>52</v>
      </c>
      <c r="F253" s="5" t="n">
        <v>41</v>
      </c>
      <c r="G253" s="8">
        <f>MAX(0,$E253-$F253)</f>
        <v/>
      </c>
      <c r="H253" s="18">
        <f>IF(OR(ISNUMBER(SEARCH("fever",$D253)),ISNUMBER(SEARCH("mike",$D253)),ISNUMBER(SEARCH("mxd",$D253))),2,1)</f>
        <v/>
      </c>
      <c r="I253" s="18">
        <f>$H253*IFERROR(INDEX('Recap'!$O$5:$O$233,MATCH($K253,'Recap'!$P$5:$P$233,0)),0)</f>
        <v/>
      </c>
      <c r="J253" s="7">
        <f>$G253*$I253</f>
        <v/>
      </c>
      <c r="K253" s="4">
        <f>$A253&amp;"|"&amp;$C253</f>
        <v/>
      </c>
    </row>
    <row r="254">
      <c r="A254" s="4" t="inlineStr">
        <is>
          <t>Jim Heaney</t>
        </is>
      </c>
      <c r="B254" s="4" t="inlineStr">
        <is>
          <t>Denise Montes</t>
        </is>
      </c>
      <c r="C254" s="4" t="inlineStr">
        <is>
          <t>MolsonCoors Beverage Company</t>
        </is>
      </c>
      <c r="D254" s="4" t="inlineStr">
        <is>
          <t>Peroni</t>
        </is>
      </c>
      <c r="E254" s="5" t="n">
        <v>1001</v>
      </c>
      <c r="F254" s="5" t="n">
        <v>1038</v>
      </c>
      <c r="G254" s="8">
        <f>MAX(0,$E254-$F254)</f>
        <v/>
      </c>
      <c r="H254" s="18">
        <f>IF(OR(ISNUMBER(SEARCH("fever",$D254)),ISNUMBER(SEARCH("mike",$D254)),ISNUMBER(SEARCH("mxd",$D254))),2,1)</f>
        <v/>
      </c>
      <c r="I254" s="18">
        <f>$H254*IFERROR(INDEX('Recap'!$O$5:$O$233,MATCH($K254,'Recap'!$P$5:$P$233,0)),0)</f>
        <v/>
      </c>
      <c r="J254" s="7">
        <f>$G254*$I254</f>
        <v/>
      </c>
      <c r="K254" s="4">
        <f>$A254&amp;"|"&amp;$C254</f>
        <v/>
      </c>
    </row>
    <row r="255">
      <c r="A255" s="4" t="inlineStr">
        <is>
          <t>Jim Heaney</t>
        </is>
      </c>
      <c r="B255" s="4" t="inlineStr">
        <is>
          <t>Denise Montes</t>
        </is>
      </c>
      <c r="C255" s="4" t="inlineStr">
        <is>
          <t>New Belgium Brewing Company</t>
        </is>
      </c>
      <c r="D255" s="4" t="inlineStr">
        <is>
          <t>Bell's</t>
        </is>
      </c>
      <c r="E255" s="5" t="n">
        <v>7</v>
      </c>
      <c r="F255" s="5" t="n">
        <v>22</v>
      </c>
      <c r="G255" s="8">
        <f>MAX(0,$E255-$F255)</f>
        <v/>
      </c>
      <c r="H255" s="18">
        <f>IF(OR(ISNUMBER(SEARCH("fever",$D255)),ISNUMBER(SEARCH("mike",$D255)),ISNUMBER(SEARCH("mxd",$D255))),2,1)</f>
        <v/>
      </c>
      <c r="I255" s="18">
        <f>$H255*IFERROR(INDEX('Recap'!$O$5:$O$233,MATCH($K255,'Recap'!$P$5:$P$233,0)),0)</f>
        <v/>
      </c>
      <c r="J255" s="7">
        <f>$G255*$I255</f>
        <v/>
      </c>
      <c r="K255" s="4">
        <f>$A255&amp;"|"&amp;$C255</f>
        <v/>
      </c>
    </row>
    <row r="256">
      <c r="A256" s="4" t="inlineStr">
        <is>
          <t>Jim Heaney</t>
        </is>
      </c>
      <c r="B256" s="4" t="inlineStr">
        <is>
          <t>Denise Montes</t>
        </is>
      </c>
      <c r="C256" s="4" t="inlineStr">
        <is>
          <t>New Belgium Brewing Company</t>
        </is>
      </c>
      <c r="D256" s="4" t="inlineStr">
        <is>
          <t>Fat Tire Family</t>
        </is>
      </c>
      <c r="E256" s="5" t="n">
        <v>56</v>
      </c>
      <c r="F256" s="5" t="n">
        <v>66</v>
      </c>
      <c r="G256" s="8">
        <f>MAX(0,$E256-$F256)</f>
        <v/>
      </c>
      <c r="H256" s="18">
        <f>IF(OR(ISNUMBER(SEARCH("fever",$D256)),ISNUMBER(SEARCH("mike",$D256)),ISNUMBER(SEARCH("mxd",$D256))),2,1)</f>
        <v/>
      </c>
      <c r="I256" s="18">
        <f>$H256*IFERROR(INDEX('Recap'!$O$5:$O$233,MATCH($K256,'Recap'!$P$5:$P$233,0)),0)</f>
        <v/>
      </c>
      <c r="J256" s="7">
        <f>$G256*$I256</f>
        <v/>
      </c>
      <c r="K256" s="4">
        <f>$A256&amp;"|"&amp;$C256</f>
        <v/>
      </c>
    </row>
    <row r="257">
      <c r="A257" s="4" t="inlineStr">
        <is>
          <t>Jim Heaney</t>
        </is>
      </c>
      <c r="B257" s="4" t="inlineStr">
        <is>
          <t>Denise Montes</t>
        </is>
      </c>
      <c r="C257" s="4" t="inlineStr">
        <is>
          <t>New Belgium Brewing Company</t>
        </is>
      </c>
      <c r="D257" s="4" t="inlineStr">
        <is>
          <t>Kirin Ichiban</t>
        </is>
      </c>
      <c r="E257" s="5" t="n">
        <v>18</v>
      </c>
      <c r="F257" s="5" t="n">
        <v>17</v>
      </c>
      <c r="G257" s="8">
        <f>MAX(0,$E257-$F257)</f>
        <v/>
      </c>
      <c r="H257" s="18">
        <f>IF(OR(ISNUMBER(SEARCH("fever",$D257)),ISNUMBER(SEARCH("mike",$D257)),ISNUMBER(SEARCH("mxd",$D257))),2,1)</f>
        <v/>
      </c>
      <c r="I257" s="18">
        <f>$H257*IFERROR(INDEX('Recap'!$O$5:$O$233,MATCH($K257,'Recap'!$P$5:$P$233,0)),0)</f>
        <v/>
      </c>
      <c r="J257" s="7">
        <f>$G257*$I257</f>
        <v/>
      </c>
      <c r="K257" s="4">
        <f>$A257&amp;"|"&amp;$C257</f>
        <v/>
      </c>
    </row>
    <row r="258">
      <c r="A258" s="4" t="inlineStr">
        <is>
          <t>Jim Heaney</t>
        </is>
      </c>
      <c r="B258" s="4" t="inlineStr">
        <is>
          <t>Denise Montes</t>
        </is>
      </c>
      <c r="C258" s="4" t="inlineStr">
        <is>
          <t>New Belgium Brewing Company</t>
        </is>
      </c>
      <c r="D258" s="4" t="inlineStr">
        <is>
          <t>Voodoo Family</t>
        </is>
      </c>
      <c r="E258" s="5" t="n">
        <v>765</v>
      </c>
      <c r="F258" s="5" t="n">
        <v>653</v>
      </c>
      <c r="G258" s="8">
        <f>MAX(0,$E258-$F258)</f>
        <v/>
      </c>
      <c r="H258" s="18">
        <f>IF(OR(ISNUMBER(SEARCH("fever",$D258)),ISNUMBER(SEARCH("mike",$D258)),ISNUMBER(SEARCH("mxd",$D258))),2,1)</f>
        <v/>
      </c>
      <c r="I258" s="18">
        <f>$H258*IFERROR(INDEX('Recap'!$O$5:$O$233,MATCH($K258,'Recap'!$P$5:$P$233,0)),0)</f>
        <v/>
      </c>
      <c r="J258" s="7">
        <f>$G258*$I258</f>
        <v/>
      </c>
      <c r="K258" s="4">
        <f>$A258&amp;"|"&amp;$C258</f>
        <v/>
      </c>
    </row>
    <row r="259">
      <c r="A259" s="4" t="inlineStr">
        <is>
          <t>Jim Heaney</t>
        </is>
      </c>
      <c r="B259" s="4" t="inlineStr">
        <is>
          <t>Denise Montes</t>
        </is>
      </c>
      <c r="C259" s="4" t="inlineStr">
        <is>
          <t>Sapporo</t>
        </is>
      </c>
      <c r="D259" s="4" t="inlineStr">
        <is>
          <t>Sapporo</t>
        </is>
      </c>
      <c r="E259" s="5" t="n">
        <v>532</v>
      </c>
      <c r="F259" s="5" t="n">
        <v>409</v>
      </c>
      <c r="G259" s="8">
        <f>MAX(0,$E259-$F259)</f>
        <v/>
      </c>
      <c r="H259" s="18">
        <f>IF(OR(ISNUMBER(SEARCH("fever",$D259)),ISNUMBER(SEARCH("mike",$D259)),ISNUMBER(SEARCH("mxd",$D259))),2,1)</f>
        <v/>
      </c>
      <c r="I259" s="18">
        <f>$H259*IFERROR(INDEX('Recap'!$O$5:$O$233,MATCH($K259,'Recap'!$P$5:$P$233,0)),0)</f>
        <v/>
      </c>
      <c r="J259" s="7">
        <f>$G259*$I259</f>
        <v/>
      </c>
      <c r="K259" s="4">
        <f>$A259&amp;"|"&amp;$C259</f>
        <v/>
      </c>
    </row>
    <row r="260">
      <c r="A260" s="4" t="inlineStr">
        <is>
          <t>John Neukum</t>
        </is>
      </c>
      <c r="B260" s="4" t="inlineStr"/>
      <c r="C260" s="4" t="inlineStr">
        <is>
          <t>Constellation Brands</t>
        </is>
      </c>
      <c r="D260" s="4" t="inlineStr">
        <is>
          <t>Corona Premier</t>
        </is>
      </c>
      <c r="E260" s="5" t="n">
        <v>336</v>
      </c>
      <c r="F260" s="5" t="n">
        <v>168</v>
      </c>
      <c r="G260" s="8">
        <f>MAX(0,$E260-$F260)</f>
        <v/>
      </c>
      <c r="H260" s="18">
        <f>IF(OR(ISNUMBER(SEARCH("fever",$D260)),ISNUMBER(SEARCH("mike",$D260)),ISNUMBER(SEARCH("mxd",$D260))),2,1)</f>
        <v/>
      </c>
      <c r="I260" s="18">
        <f>$H260*IFERROR(INDEX('Recap'!$O$5:$O$233,MATCH($K260,'Recap'!$P$5:$P$233,0)),0)</f>
        <v/>
      </c>
      <c r="J260" s="7">
        <f>$G260*$I260</f>
        <v/>
      </c>
      <c r="K260" s="4">
        <f>$A260&amp;"|"&amp;$C260</f>
        <v/>
      </c>
    </row>
    <row r="261">
      <c r="A261" s="4" t="inlineStr">
        <is>
          <t>John Neukum</t>
        </is>
      </c>
      <c r="B261" s="4" t="inlineStr"/>
      <c r="C261" s="4" t="inlineStr">
        <is>
          <t>Constellation Brands</t>
        </is>
      </c>
      <c r="D261" s="4" t="inlineStr">
        <is>
          <t>Modelo Chelada</t>
        </is>
      </c>
      <c r="E261" s="5" t="n">
        <v>2129</v>
      </c>
      <c r="F261" s="5" t="n">
        <v>987</v>
      </c>
      <c r="G261" s="8">
        <f>MAX(0,$E261-$F261)</f>
        <v/>
      </c>
      <c r="H261" s="18">
        <f>IF(OR(ISNUMBER(SEARCH("fever",$D261)),ISNUMBER(SEARCH("mike",$D261)),ISNUMBER(SEARCH("mxd",$D261))),2,1)</f>
        <v/>
      </c>
      <c r="I261" s="18">
        <f>$H261*IFERROR(INDEX('Recap'!$O$5:$O$233,MATCH($K261,'Recap'!$P$5:$P$233,0)),0)</f>
        <v/>
      </c>
      <c r="J261" s="7">
        <f>$G261*$I261</f>
        <v/>
      </c>
      <c r="K261" s="4">
        <f>$A261&amp;"|"&amp;$C261</f>
        <v/>
      </c>
    </row>
    <row r="262">
      <c r="A262" s="4" t="inlineStr">
        <is>
          <t>John Neukum</t>
        </is>
      </c>
      <c r="B262" s="4" t="inlineStr"/>
      <c r="C262" s="4" t="inlineStr">
        <is>
          <t>Constellation Brands</t>
        </is>
      </c>
      <c r="D262" s="4" t="inlineStr">
        <is>
          <t>Pacifico</t>
        </is>
      </c>
      <c r="E262" s="5" t="n">
        <v>794</v>
      </c>
      <c r="F262" s="5" t="n">
        <v>567</v>
      </c>
      <c r="G262" s="8">
        <f>MAX(0,$E262-$F262)</f>
        <v/>
      </c>
      <c r="H262" s="18">
        <f>IF(OR(ISNUMBER(SEARCH("fever",$D262)),ISNUMBER(SEARCH("mike",$D262)),ISNUMBER(SEARCH("mxd",$D262))),2,1)</f>
        <v/>
      </c>
      <c r="I262" s="18">
        <f>$H262*IFERROR(INDEX('Recap'!$O$5:$O$233,MATCH($K262,'Recap'!$P$5:$P$233,0)),0)</f>
        <v/>
      </c>
      <c r="J262" s="7">
        <f>$G262*$I262</f>
        <v/>
      </c>
      <c r="K262" s="4">
        <f>$A262&amp;"|"&amp;$C262</f>
        <v/>
      </c>
    </row>
    <row r="263">
      <c r="A263" s="4" t="inlineStr">
        <is>
          <t>John Neukum</t>
        </is>
      </c>
      <c r="B263" s="4" t="inlineStr"/>
      <c r="C263" s="4" t="inlineStr">
        <is>
          <t>Constellation Brands</t>
        </is>
      </c>
      <c r="D263" s="4" t="inlineStr">
        <is>
          <t>Victoria</t>
        </is>
      </c>
      <c r="E263" s="5" t="n">
        <v>3527</v>
      </c>
      <c r="F263" s="5" t="n">
        <v>2261</v>
      </c>
      <c r="G263" s="8">
        <f>MAX(0,$E263-$F263)</f>
        <v/>
      </c>
      <c r="H263" s="18">
        <f>IF(OR(ISNUMBER(SEARCH("fever",$D263)),ISNUMBER(SEARCH("mike",$D263)),ISNUMBER(SEARCH("mxd",$D263))),2,1)</f>
        <v/>
      </c>
      <c r="I263" s="18">
        <f>$H263*IFERROR(INDEX('Recap'!$O$5:$O$233,MATCH($K263,'Recap'!$P$5:$P$233,0)),0)</f>
        <v/>
      </c>
      <c r="J263" s="7">
        <f>$G263*$I263</f>
        <v/>
      </c>
      <c r="K263" s="4">
        <f>$A263&amp;"|"&amp;$C263</f>
        <v/>
      </c>
    </row>
    <row r="264">
      <c r="A264" s="4" t="inlineStr">
        <is>
          <t>John Neukum</t>
        </is>
      </c>
      <c r="B264" s="4" t="inlineStr"/>
      <c r="C264" s="4" t="inlineStr">
        <is>
          <t>Heineken USA</t>
        </is>
      </c>
      <c r="D264" s="4" t="inlineStr">
        <is>
          <t>Heineken 0.0</t>
        </is>
      </c>
      <c r="E264" s="5" t="n">
        <v>174</v>
      </c>
      <c r="F264" s="5" t="n">
        <v>375</v>
      </c>
      <c r="G264" s="8">
        <f>MAX(0,$E264-$F264)</f>
        <v/>
      </c>
      <c r="H264" s="18">
        <f>IF(OR(ISNUMBER(SEARCH("fever",$D264)),ISNUMBER(SEARCH("mike",$D264)),ISNUMBER(SEARCH("mxd",$D264))),2,1)</f>
        <v/>
      </c>
      <c r="I264" s="18">
        <f>$H264*IFERROR(INDEX('Recap'!$O$5:$O$233,MATCH($K264,'Recap'!$P$5:$P$233,0)),0)</f>
        <v/>
      </c>
      <c r="J264" s="7">
        <f>$G264*$I264</f>
        <v/>
      </c>
      <c r="K264" s="4">
        <f>$A264&amp;"|"&amp;$C264</f>
        <v/>
      </c>
    </row>
    <row r="265">
      <c r="A265" s="4" t="inlineStr">
        <is>
          <t>John Neukum</t>
        </is>
      </c>
      <c r="B265" s="4" t="inlineStr"/>
      <c r="C265" s="4" t="inlineStr">
        <is>
          <t>Heineken USA</t>
        </is>
      </c>
      <c r="D265" s="4" t="inlineStr">
        <is>
          <t>Heineken Light</t>
        </is>
      </c>
      <c r="E265" s="5" t="n">
        <v>756</v>
      </c>
      <c r="F265" s="5" t="n">
        <v>588</v>
      </c>
      <c r="G265" s="8">
        <f>MAX(0,$E265-$F265)</f>
        <v/>
      </c>
      <c r="H265" s="18">
        <f>IF(OR(ISNUMBER(SEARCH("fever",$D265)),ISNUMBER(SEARCH("mike",$D265)),ISNUMBER(SEARCH("mxd",$D265))),2,1)</f>
        <v/>
      </c>
      <c r="I265" s="18">
        <f>$H265*IFERROR(INDEX('Recap'!$O$5:$O$233,MATCH($K265,'Recap'!$P$5:$P$233,0)),0)</f>
        <v/>
      </c>
      <c r="J265" s="7">
        <f>$G265*$I265</f>
        <v/>
      </c>
      <c r="K265" s="4">
        <f>$A265&amp;"|"&amp;$C265</f>
        <v/>
      </c>
    </row>
    <row r="266">
      <c r="A266" s="4" t="inlineStr">
        <is>
          <t>John Neukum</t>
        </is>
      </c>
      <c r="B266" s="4" t="inlineStr"/>
      <c r="C266" s="4" t="inlineStr">
        <is>
          <t>Mark Anthony</t>
        </is>
      </c>
      <c r="D266" s="4" t="inlineStr">
        <is>
          <t>Cayman Jack</t>
        </is>
      </c>
      <c r="E266" s="5" t="n">
        <v>949</v>
      </c>
      <c r="F266" s="5" t="n">
        <v>943</v>
      </c>
      <c r="G266" s="8">
        <f>MAX(0,$E266-$F266)</f>
        <v/>
      </c>
      <c r="H266" s="18">
        <f>IF(OR(ISNUMBER(SEARCH("fever",$D266)),ISNUMBER(SEARCH("mike",$D266)),ISNUMBER(SEARCH("mxd",$D266))),2,1)</f>
        <v/>
      </c>
      <c r="I266" s="18">
        <f>$H266*IFERROR(INDEX('Recap'!$O$5:$O$233,MATCH($K266,'Recap'!$P$5:$P$233,0)),0)</f>
        <v/>
      </c>
      <c r="J266" s="7">
        <f>$G266*$I266</f>
        <v/>
      </c>
      <c r="K266" s="4">
        <f>$A266&amp;"|"&amp;$C266</f>
        <v/>
      </c>
    </row>
    <row r="267">
      <c r="A267" s="4" t="inlineStr">
        <is>
          <t>John Neukum</t>
        </is>
      </c>
      <c r="B267" s="4" t="inlineStr"/>
      <c r="C267" s="4" t="inlineStr">
        <is>
          <t>MolsonCoors Beverage Company</t>
        </is>
      </c>
      <c r="D267" s="4" t="inlineStr">
        <is>
          <t>Coors</t>
        </is>
      </c>
      <c r="E267" s="5" t="n">
        <v>1175</v>
      </c>
      <c r="F267" s="5" t="n">
        <v>1078</v>
      </c>
      <c r="G267" s="8">
        <f>MAX(0,$E267-$F267)</f>
        <v/>
      </c>
      <c r="H267" s="18">
        <f>IF(OR(ISNUMBER(SEARCH("fever",$D267)),ISNUMBER(SEARCH("mike",$D267)),ISNUMBER(SEARCH("mxd",$D267))),2,1)</f>
        <v/>
      </c>
      <c r="I267" s="18">
        <f>$H267*IFERROR(INDEX('Recap'!$O$5:$O$233,MATCH($K267,'Recap'!$P$5:$P$233,0)),0)</f>
        <v/>
      </c>
      <c r="J267" s="7">
        <f>$G267*$I267</f>
        <v/>
      </c>
      <c r="K267" s="4">
        <f>$A267&amp;"|"&amp;$C267</f>
        <v/>
      </c>
    </row>
    <row r="268">
      <c r="A268" s="4" t="inlineStr">
        <is>
          <t>John Neukum</t>
        </is>
      </c>
      <c r="B268" s="4" t="inlineStr"/>
      <c r="C268" s="4" t="inlineStr">
        <is>
          <t>MolsonCoors Beverage Company</t>
        </is>
      </c>
      <c r="D268" s="4" t="inlineStr">
        <is>
          <t>Fever Tree</t>
        </is>
      </c>
      <c r="E268" s="5" t="n">
        <v>39</v>
      </c>
      <c r="F268" s="5" t="n">
        <v>0</v>
      </c>
      <c r="G268" s="8">
        <f>MAX(0,$E268-$F268)</f>
        <v/>
      </c>
      <c r="H268" s="18">
        <f>IF(OR(ISNUMBER(SEARCH("fever",$D268)),ISNUMBER(SEARCH("mike",$D268)),ISNUMBER(SEARCH("mxd",$D268))),2,1)</f>
        <v/>
      </c>
      <c r="I268" s="18">
        <f>$H268*IFERROR(INDEX('Recap'!$O$5:$O$233,MATCH($K268,'Recap'!$P$5:$P$233,0)),0)</f>
        <v/>
      </c>
      <c r="J268" s="7">
        <f>$G268*$I268</f>
        <v/>
      </c>
      <c r="K268" s="4">
        <f>$A268&amp;"|"&amp;$C268</f>
        <v/>
      </c>
    </row>
    <row r="269">
      <c r="A269" s="4" t="inlineStr">
        <is>
          <t>John Neukum</t>
        </is>
      </c>
      <c r="B269" s="4" t="inlineStr"/>
      <c r="C269" s="4" t="inlineStr">
        <is>
          <t>MolsonCoors Beverage Company</t>
        </is>
      </c>
      <c r="D269" s="4" t="inlineStr">
        <is>
          <t>Peroni</t>
        </is>
      </c>
      <c r="E269" s="5" t="n">
        <v>1457</v>
      </c>
      <c r="F269" s="5" t="n">
        <v>1604</v>
      </c>
      <c r="G269" s="8">
        <f>MAX(0,$E269-$F269)</f>
        <v/>
      </c>
      <c r="H269" s="18">
        <f>IF(OR(ISNUMBER(SEARCH("fever",$D269)),ISNUMBER(SEARCH("mike",$D269)),ISNUMBER(SEARCH("mxd",$D269))),2,1)</f>
        <v/>
      </c>
      <c r="I269" s="18">
        <f>$H269*IFERROR(INDEX('Recap'!$O$5:$O$233,MATCH($K269,'Recap'!$P$5:$P$233,0)),0)</f>
        <v/>
      </c>
      <c r="J269" s="7">
        <f>$G269*$I269</f>
        <v/>
      </c>
      <c r="K269" s="4">
        <f>$A269&amp;"|"&amp;$C269</f>
        <v/>
      </c>
    </row>
    <row r="270">
      <c r="A270" s="4" t="inlineStr">
        <is>
          <t>John Neukum</t>
        </is>
      </c>
      <c r="B270" s="4" t="inlineStr"/>
      <c r="C270" s="4" t="inlineStr">
        <is>
          <t>New Belgium Brewing Company</t>
        </is>
      </c>
      <c r="D270" s="4" t="inlineStr">
        <is>
          <t>Voodoo Family</t>
        </is>
      </c>
      <c r="E270" s="5" t="n">
        <v>40</v>
      </c>
      <c r="F270" s="5" t="n">
        <v>60</v>
      </c>
      <c r="G270" s="8">
        <f>MAX(0,$E270-$F270)</f>
        <v/>
      </c>
      <c r="H270" s="18">
        <f>IF(OR(ISNUMBER(SEARCH("fever",$D270)),ISNUMBER(SEARCH("mike",$D270)),ISNUMBER(SEARCH("mxd",$D270))),2,1)</f>
        <v/>
      </c>
      <c r="I270" s="18">
        <f>$H270*IFERROR(INDEX('Recap'!$O$5:$O$233,MATCH($K270,'Recap'!$P$5:$P$233,0)),0)</f>
        <v/>
      </c>
      <c r="J270" s="7">
        <f>$G270*$I270</f>
        <v/>
      </c>
      <c r="K270" s="4">
        <f>$A270&amp;"|"&amp;$C270</f>
        <v/>
      </c>
    </row>
    <row r="271">
      <c r="A271" s="4" t="inlineStr">
        <is>
          <t>John Neukum</t>
        </is>
      </c>
      <c r="B271" s="4" t="inlineStr"/>
      <c r="C271" s="4" t="inlineStr">
        <is>
          <t>Sapporo</t>
        </is>
      </c>
      <c r="D271" s="4" t="inlineStr">
        <is>
          <t>Sapporo</t>
        </is>
      </c>
      <c r="E271" s="5" t="n">
        <v>4495</v>
      </c>
      <c r="F271" s="5" t="n">
        <v>3523</v>
      </c>
      <c r="G271" s="8">
        <f>MAX(0,$E271-$F271)</f>
        <v/>
      </c>
      <c r="H271" s="18">
        <f>IF(OR(ISNUMBER(SEARCH("fever",$D271)),ISNUMBER(SEARCH("mike",$D271)),ISNUMBER(SEARCH("mxd",$D271))),2,1)</f>
        <v/>
      </c>
      <c r="I271" s="18">
        <f>$H271*IFERROR(INDEX('Recap'!$O$5:$O$233,MATCH($K271,'Recap'!$P$5:$P$233,0)),0)</f>
        <v/>
      </c>
      <c r="J271" s="7">
        <f>$G271*$I271</f>
        <v/>
      </c>
      <c r="K271" s="4">
        <f>$A271&amp;"|"&amp;$C271</f>
        <v/>
      </c>
    </row>
    <row r="272">
      <c r="A272" s="4" t="inlineStr">
        <is>
          <t>John O'Donoghue</t>
        </is>
      </c>
      <c r="B272" s="4" t="inlineStr">
        <is>
          <t>Mike Kennedy</t>
        </is>
      </c>
      <c r="C272" s="4" t="inlineStr">
        <is>
          <t>Boston Beer Company</t>
        </is>
      </c>
      <c r="D272" s="4" t="inlineStr">
        <is>
          <t>Dogfish Head Beer</t>
        </is>
      </c>
      <c r="E272" s="5" t="n">
        <v>10</v>
      </c>
      <c r="F272" s="5" t="n">
        <v>0</v>
      </c>
      <c r="G272" s="8">
        <f>MAX(0,$E272-$F272)</f>
        <v/>
      </c>
      <c r="H272" s="18">
        <f>IF(OR(ISNUMBER(SEARCH("fever",$D272)),ISNUMBER(SEARCH("mike",$D272)),ISNUMBER(SEARCH("mxd",$D272))),2,1)</f>
        <v/>
      </c>
      <c r="I272" s="18">
        <f>$H272*IFERROR(INDEX('Recap'!$O$5:$O$233,MATCH($K272,'Recap'!$P$5:$P$233,0)),0)</f>
        <v/>
      </c>
      <c r="J272" s="7">
        <f>$G272*$I272</f>
        <v/>
      </c>
      <c r="K272" s="4">
        <f>$A272&amp;"|"&amp;$C272</f>
        <v/>
      </c>
    </row>
    <row r="273">
      <c r="A273" s="4" t="inlineStr">
        <is>
          <t>John O'Donoghue</t>
        </is>
      </c>
      <c r="B273" s="4" t="inlineStr">
        <is>
          <t>Mike Kennedy</t>
        </is>
      </c>
      <c r="C273" s="4" t="inlineStr">
        <is>
          <t>Cape May</t>
        </is>
      </c>
      <c r="D273" s="4" t="inlineStr">
        <is>
          <t>Cape May</t>
        </is>
      </c>
      <c r="E273" s="5" t="n">
        <v>4</v>
      </c>
      <c r="F273" s="5" t="n">
        <v>6</v>
      </c>
      <c r="G273" s="8">
        <f>MAX(0,$E273-$F273)</f>
        <v/>
      </c>
      <c r="H273" s="18">
        <f>IF(OR(ISNUMBER(SEARCH("fever",$D273)),ISNUMBER(SEARCH("mike",$D273)),ISNUMBER(SEARCH("mxd",$D273))),2,1)</f>
        <v/>
      </c>
      <c r="I273" s="18">
        <f>$H273*IFERROR(INDEX('Recap'!$O$5:$O$233,MATCH($K273,'Recap'!$P$5:$P$233,0)),0)</f>
        <v/>
      </c>
      <c r="J273" s="7">
        <f>$G273*$I273</f>
        <v/>
      </c>
      <c r="K273" s="4">
        <f>$A273&amp;"|"&amp;$C273</f>
        <v/>
      </c>
    </row>
    <row r="274">
      <c r="A274" s="4" t="inlineStr">
        <is>
          <t>John O'Donoghue</t>
        </is>
      </c>
      <c r="B274" s="4" t="inlineStr">
        <is>
          <t>Mike Kennedy</t>
        </is>
      </c>
      <c r="C274" s="4" t="inlineStr">
        <is>
          <t>Constellation Brands</t>
        </is>
      </c>
      <c r="D274" s="4" t="inlineStr">
        <is>
          <t>Corona Premier</t>
        </is>
      </c>
      <c r="E274" s="5" t="n">
        <v>1</v>
      </c>
      <c r="F274" s="5" t="n">
        <v>0</v>
      </c>
      <c r="G274" s="8">
        <f>MAX(0,$E274-$F274)</f>
        <v/>
      </c>
      <c r="H274" s="18">
        <f>IF(OR(ISNUMBER(SEARCH("fever",$D274)),ISNUMBER(SEARCH("mike",$D274)),ISNUMBER(SEARCH("mxd",$D274))),2,1)</f>
        <v/>
      </c>
      <c r="I274" s="18">
        <f>$H274*IFERROR(INDEX('Recap'!$O$5:$O$233,MATCH($K274,'Recap'!$P$5:$P$233,0)),0)</f>
        <v/>
      </c>
      <c r="J274" s="7">
        <f>$G274*$I274</f>
        <v/>
      </c>
      <c r="K274" s="4">
        <f>$A274&amp;"|"&amp;$C274</f>
        <v/>
      </c>
    </row>
    <row r="275">
      <c r="A275" s="4" t="inlineStr">
        <is>
          <t>John O'Donoghue</t>
        </is>
      </c>
      <c r="B275" s="4" t="inlineStr">
        <is>
          <t>Mike Kennedy</t>
        </is>
      </c>
      <c r="C275" s="4" t="inlineStr">
        <is>
          <t>Constellation Brands</t>
        </is>
      </c>
      <c r="D275" s="4" t="inlineStr">
        <is>
          <t>Modelo Chelada</t>
        </is>
      </c>
      <c r="E275" s="5" t="n">
        <v>25</v>
      </c>
      <c r="F275" s="5" t="n">
        <v>9</v>
      </c>
      <c r="G275" s="8">
        <f>MAX(0,$E275-$F275)</f>
        <v/>
      </c>
      <c r="H275" s="18">
        <f>IF(OR(ISNUMBER(SEARCH("fever",$D275)),ISNUMBER(SEARCH("mike",$D275)),ISNUMBER(SEARCH("mxd",$D275))),2,1)</f>
        <v/>
      </c>
      <c r="I275" s="18">
        <f>$H275*IFERROR(INDEX('Recap'!$O$5:$O$233,MATCH($K275,'Recap'!$P$5:$P$233,0)),0)</f>
        <v/>
      </c>
      <c r="J275" s="7">
        <f>$G275*$I275</f>
        <v/>
      </c>
      <c r="K275" s="4">
        <f>$A275&amp;"|"&amp;$C275</f>
        <v/>
      </c>
    </row>
    <row r="276">
      <c r="A276" s="4" t="inlineStr">
        <is>
          <t>John O'Donoghue</t>
        </is>
      </c>
      <c r="B276" s="4" t="inlineStr">
        <is>
          <t>Mike Kennedy</t>
        </is>
      </c>
      <c r="C276" s="4" t="inlineStr">
        <is>
          <t>Constellation Brands</t>
        </is>
      </c>
      <c r="D276" s="4" t="inlineStr">
        <is>
          <t>Pacifico</t>
        </is>
      </c>
      <c r="E276" s="5" t="n">
        <v>47</v>
      </c>
      <c r="F276" s="5" t="n">
        <v>1</v>
      </c>
      <c r="G276" s="8">
        <f>MAX(0,$E276-$F276)</f>
        <v/>
      </c>
      <c r="H276" s="18">
        <f>IF(OR(ISNUMBER(SEARCH("fever",$D276)),ISNUMBER(SEARCH("mike",$D276)),ISNUMBER(SEARCH("mxd",$D276))),2,1)</f>
        <v/>
      </c>
      <c r="I276" s="18">
        <f>$H276*IFERROR(INDEX('Recap'!$O$5:$O$233,MATCH($K276,'Recap'!$P$5:$P$233,0)),0)</f>
        <v/>
      </c>
      <c r="J276" s="7">
        <f>$G276*$I276</f>
        <v/>
      </c>
      <c r="K276" s="4">
        <f>$A276&amp;"|"&amp;$C276</f>
        <v/>
      </c>
    </row>
    <row r="277">
      <c r="A277" s="4" t="inlineStr">
        <is>
          <t>John O'Donoghue</t>
        </is>
      </c>
      <c r="B277" s="4" t="inlineStr">
        <is>
          <t>Mike Kennedy</t>
        </is>
      </c>
      <c r="C277" s="4" t="inlineStr">
        <is>
          <t>Constellation Brands</t>
        </is>
      </c>
      <c r="D277" s="4" t="inlineStr">
        <is>
          <t>Victoria</t>
        </is>
      </c>
      <c r="E277" s="5" t="n">
        <v>23</v>
      </c>
      <c r="F277" s="5" t="n">
        <v>1</v>
      </c>
      <c r="G277" s="8">
        <f>MAX(0,$E277-$F277)</f>
        <v/>
      </c>
      <c r="H277" s="18">
        <f>IF(OR(ISNUMBER(SEARCH("fever",$D277)),ISNUMBER(SEARCH("mike",$D277)),ISNUMBER(SEARCH("mxd",$D277))),2,1)</f>
        <v/>
      </c>
      <c r="I277" s="18">
        <f>$H277*IFERROR(INDEX('Recap'!$O$5:$O$233,MATCH($K277,'Recap'!$P$5:$P$233,0)),0)</f>
        <v/>
      </c>
      <c r="J277" s="7">
        <f>$G277*$I277</f>
        <v/>
      </c>
      <c r="K277" s="4">
        <f>$A277&amp;"|"&amp;$C277</f>
        <v/>
      </c>
    </row>
    <row r="278">
      <c r="A278" s="4" t="inlineStr">
        <is>
          <t>John O'Donoghue</t>
        </is>
      </c>
      <c r="B278" s="4" t="inlineStr">
        <is>
          <t>Mike Kennedy</t>
        </is>
      </c>
      <c r="C278" s="4" t="inlineStr">
        <is>
          <t>Heineken USA</t>
        </is>
      </c>
      <c r="D278" s="4" t="inlineStr">
        <is>
          <t>Heineken 0.0</t>
        </is>
      </c>
      <c r="E278" s="5" t="n">
        <v>3</v>
      </c>
      <c r="F278" s="5" t="n">
        <v>6</v>
      </c>
      <c r="G278" s="8">
        <f>MAX(0,$E278-$F278)</f>
        <v/>
      </c>
      <c r="H278" s="18">
        <f>IF(OR(ISNUMBER(SEARCH("fever",$D278)),ISNUMBER(SEARCH("mike",$D278)),ISNUMBER(SEARCH("mxd",$D278))),2,1)</f>
        <v/>
      </c>
      <c r="I278" s="18">
        <f>$H278*IFERROR(INDEX('Recap'!$O$5:$O$233,MATCH($K278,'Recap'!$P$5:$P$233,0)),0)</f>
        <v/>
      </c>
      <c r="J278" s="7">
        <f>$G278*$I278</f>
        <v/>
      </c>
      <c r="K278" s="4">
        <f>$A278&amp;"|"&amp;$C278</f>
        <v/>
      </c>
    </row>
    <row r="279">
      <c r="A279" s="4" t="inlineStr">
        <is>
          <t>John O'Donoghue</t>
        </is>
      </c>
      <c r="B279" s="4" t="inlineStr">
        <is>
          <t>Mike Kennedy</t>
        </is>
      </c>
      <c r="C279" s="4" t="inlineStr">
        <is>
          <t>Heineken USA</t>
        </is>
      </c>
      <c r="D279" s="4" t="inlineStr">
        <is>
          <t>Heineken Light</t>
        </is>
      </c>
      <c r="E279" s="5" t="n">
        <v>2</v>
      </c>
      <c r="F279" s="5" t="n">
        <v>0</v>
      </c>
      <c r="G279" s="8">
        <f>MAX(0,$E279-$F279)</f>
        <v/>
      </c>
      <c r="H279" s="18">
        <f>IF(OR(ISNUMBER(SEARCH("fever",$D279)),ISNUMBER(SEARCH("mike",$D279)),ISNUMBER(SEARCH("mxd",$D279))),2,1)</f>
        <v/>
      </c>
      <c r="I279" s="18">
        <f>$H279*IFERROR(INDEX('Recap'!$O$5:$O$233,MATCH($K279,'Recap'!$P$5:$P$233,0)),0)</f>
        <v/>
      </c>
      <c r="J279" s="7">
        <f>$G279*$I279</f>
        <v/>
      </c>
      <c r="K279" s="4">
        <f>$A279&amp;"|"&amp;$C279</f>
        <v/>
      </c>
    </row>
    <row r="280">
      <c r="A280" s="4" t="inlineStr">
        <is>
          <t>John O'Donoghue</t>
        </is>
      </c>
      <c r="B280" s="4" t="inlineStr">
        <is>
          <t>Mike Kennedy</t>
        </is>
      </c>
      <c r="C280" s="4" t="inlineStr">
        <is>
          <t>Mark Anthony</t>
        </is>
      </c>
      <c r="D280" s="4" t="inlineStr">
        <is>
          <t>Cayman Jack</t>
        </is>
      </c>
      <c r="E280" s="5" t="n">
        <v>12</v>
      </c>
      <c r="F280" s="5" t="n">
        <v>0</v>
      </c>
      <c r="G280" s="8">
        <f>MAX(0,$E280-$F280)</f>
        <v/>
      </c>
      <c r="H280" s="18">
        <f>IF(OR(ISNUMBER(SEARCH("fever",$D280)),ISNUMBER(SEARCH("mike",$D280)),ISNUMBER(SEARCH("mxd",$D280))),2,1)</f>
        <v/>
      </c>
      <c r="I280" s="18">
        <f>$H280*IFERROR(INDEX('Recap'!$O$5:$O$233,MATCH($K280,'Recap'!$P$5:$P$233,0)),0)</f>
        <v/>
      </c>
      <c r="J280" s="7">
        <f>$G280*$I280</f>
        <v/>
      </c>
      <c r="K280" s="4">
        <f>$A280&amp;"|"&amp;$C280</f>
        <v/>
      </c>
    </row>
    <row r="281">
      <c r="A281" s="4" t="inlineStr">
        <is>
          <t>John O'Donoghue</t>
        </is>
      </c>
      <c r="B281" s="4" t="inlineStr">
        <is>
          <t>Mike Kennedy</t>
        </is>
      </c>
      <c r="C281" s="4" t="inlineStr">
        <is>
          <t>Mark Anthony</t>
        </is>
      </c>
      <c r="D281" s="4" t="inlineStr">
        <is>
          <t>Mike's Harder</t>
        </is>
      </c>
      <c r="E281" s="5" t="n">
        <v>8</v>
      </c>
      <c r="F281" s="5" t="n">
        <v>3</v>
      </c>
      <c r="G281" s="8">
        <f>MAX(0,$E281-$F281)</f>
        <v/>
      </c>
      <c r="H281" s="18">
        <f>IF(OR(ISNUMBER(SEARCH("fever",$D281)),ISNUMBER(SEARCH("mike",$D281)),ISNUMBER(SEARCH("mxd",$D281))),2,1)</f>
        <v/>
      </c>
      <c r="I281" s="18">
        <f>$H281*IFERROR(INDEX('Recap'!$O$5:$O$233,MATCH($K281,'Recap'!$P$5:$P$233,0)),0)</f>
        <v/>
      </c>
      <c r="J281" s="7">
        <f>$G281*$I281</f>
        <v/>
      </c>
      <c r="K281" s="4">
        <f>$A281&amp;"|"&amp;$C281</f>
        <v/>
      </c>
    </row>
    <row r="282">
      <c r="A282" s="4" t="inlineStr">
        <is>
          <t>John O'Donoghue</t>
        </is>
      </c>
      <c r="B282" s="4" t="inlineStr">
        <is>
          <t>Mike Kennedy</t>
        </is>
      </c>
      <c r="C282" s="4" t="inlineStr">
        <is>
          <t>MolsonCoors Beverage Company</t>
        </is>
      </c>
      <c r="D282" s="4" t="inlineStr">
        <is>
          <t>Coors</t>
        </is>
      </c>
      <c r="E282" s="5" t="n">
        <v>5</v>
      </c>
      <c r="F282" s="5" t="n">
        <v>5</v>
      </c>
      <c r="G282" s="8">
        <f>MAX(0,$E282-$F282)</f>
        <v/>
      </c>
      <c r="H282" s="18">
        <f>IF(OR(ISNUMBER(SEARCH("fever",$D282)),ISNUMBER(SEARCH("mike",$D282)),ISNUMBER(SEARCH("mxd",$D282))),2,1)</f>
        <v/>
      </c>
      <c r="I282" s="18">
        <f>$H282*IFERROR(INDEX('Recap'!$O$5:$O$233,MATCH($K282,'Recap'!$P$5:$P$233,0)),0)</f>
        <v/>
      </c>
      <c r="J282" s="7">
        <f>$G282*$I282</f>
        <v/>
      </c>
      <c r="K282" s="4">
        <f>$A282&amp;"|"&amp;$C282</f>
        <v/>
      </c>
    </row>
    <row r="283">
      <c r="A283" s="4" t="inlineStr">
        <is>
          <t>John O'Donoghue</t>
        </is>
      </c>
      <c r="B283" s="4" t="inlineStr">
        <is>
          <t>Mike Kennedy</t>
        </is>
      </c>
      <c r="C283" s="4" t="inlineStr">
        <is>
          <t>MolsonCoors Beverage Company</t>
        </is>
      </c>
      <c r="D283" s="4" t="inlineStr">
        <is>
          <t>Fever Tree</t>
        </is>
      </c>
      <c r="E283" s="5" t="n">
        <v>0</v>
      </c>
      <c r="F283" s="5" t="n">
        <v>5</v>
      </c>
      <c r="G283" s="8">
        <f>MAX(0,$E283-$F283)</f>
        <v/>
      </c>
      <c r="H283" s="18">
        <f>IF(OR(ISNUMBER(SEARCH("fever",$D283)),ISNUMBER(SEARCH("mike",$D283)),ISNUMBER(SEARCH("mxd",$D283))),2,1)</f>
        <v/>
      </c>
      <c r="I283" s="18">
        <f>$H283*IFERROR(INDEX('Recap'!$O$5:$O$233,MATCH($K283,'Recap'!$P$5:$P$233,0)),0)</f>
        <v/>
      </c>
      <c r="J283" s="7">
        <f>$G283*$I283</f>
        <v/>
      </c>
      <c r="K283" s="4">
        <f>$A283&amp;"|"&amp;$C283</f>
        <v/>
      </c>
    </row>
    <row r="284">
      <c r="A284" s="4" t="inlineStr">
        <is>
          <t>John O'Donoghue</t>
        </is>
      </c>
      <c r="B284" s="4" t="inlineStr">
        <is>
          <t>Mike Kennedy</t>
        </is>
      </c>
      <c r="C284" s="4" t="inlineStr">
        <is>
          <t>MolsonCoors Beverage Company</t>
        </is>
      </c>
      <c r="D284" s="4" t="inlineStr">
        <is>
          <t>Peroni</t>
        </is>
      </c>
      <c r="E284" s="5" t="n">
        <v>9</v>
      </c>
      <c r="F284" s="5" t="n">
        <v>5</v>
      </c>
      <c r="G284" s="8">
        <f>MAX(0,$E284-$F284)</f>
        <v/>
      </c>
      <c r="H284" s="18">
        <f>IF(OR(ISNUMBER(SEARCH("fever",$D284)),ISNUMBER(SEARCH("mike",$D284)),ISNUMBER(SEARCH("mxd",$D284))),2,1)</f>
        <v/>
      </c>
      <c r="I284" s="18">
        <f>$H284*IFERROR(INDEX('Recap'!$O$5:$O$233,MATCH($K284,'Recap'!$P$5:$P$233,0)),0)</f>
        <v/>
      </c>
      <c r="J284" s="7">
        <f>$G284*$I284</f>
        <v/>
      </c>
      <c r="K284" s="4">
        <f>$A284&amp;"|"&amp;$C284</f>
        <v/>
      </c>
    </row>
    <row r="285">
      <c r="A285" s="4" t="inlineStr">
        <is>
          <t>John O'Donoghue</t>
        </is>
      </c>
      <c r="B285" s="4" t="inlineStr">
        <is>
          <t>Mike Kennedy</t>
        </is>
      </c>
      <c r="C285" s="4" t="inlineStr">
        <is>
          <t>New Belgium Brewing Company</t>
        </is>
      </c>
      <c r="D285" s="4" t="inlineStr">
        <is>
          <t>Kirin Ichiban</t>
        </is>
      </c>
      <c r="E285" s="5" t="n">
        <v>1</v>
      </c>
      <c r="F285" s="5" t="n">
        <v>1</v>
      </c>
      <c r="G285" s="8">
        <f>MAX(0,$E285-$F285)</f>
        <v/>
      </c>
      <c r="H285" s="18">
        <f>IF(OR(ISNUMBER(SEARCH("fever",$D285)),ISNUMBER(SEARCH("mike",$D285)),ISNUMBER(SEARCH("mxd",$D285))),2,1)</f>
        <v/>
      </c>
      <c r="I285" s="18">
        <f>$H285*IFERROR(INDEX('Recap'!$O$5:$O$233,MATCH($K285,'Recap'!$P$5:$P$233,0)),0)</f>
        <v/>
      </c>
      <c r="J285" s="7">
        <f>$G285*$I285</f>
        <v/>
      </c>
      <c r="K285" s="4">
        <f>$A285&amp;"|"&amp;$C285</f>
        <v/>
      </c>
    </row>
    <row r="286">
      <c r="A286" s="4" t="inlineStr">
        <is>
          <t>John O'Donoghue</t>
        </is>
      </c>
      <c r="B286" s="4" t="inlineStr">
        <is>
          <t>Mike Kennedy</t>
        </is>
      </c>
      <c r="C286" s="4" t="inlineStr">
        <is>
          <t>New Belgium Brewing Company</t>
        </is>
      </c>
      <c r="D286" s="4" t="inlineStr">
        <is>
          <t>Voodoo Family</t>
        </is>
      </c>
      <c r="E286" s="5" t="n">
        <v>0</v>
      </c>
      <c r="F286" s="5" t="n">
        <v>1</v>
      </c>
      <c r="G286" s="8">
        <f>MAX(0,$E286-$F286)</f>
        <v/>
      </c>
      <c r="H286" s="18">
        <f>IF(OR(ISNUMBER(SEARCH("fever",$D286)),ISNUMBER(SEARCH("mike",$D286)),ISNUMBER(SEARCH("mxd",$D286))),2,1)</f>
        <v/>
      </c>
      <c r="I286" s="18">
        <f>$H286*IFERROR(INDEX('Recap'!$O$5:$O$233,MATCH($K286,'Recap'!$P$5:$P$233,0)),0)</f>
        <v/>
      </c>
      <c r="J286" s="7">
        <f>$G286*$I286</f>
        <v/>
      </c>
      <c r="K286" s="4">
        <f>$A286&amp;"|"&amp;$C286</f>
        <v/>
      </c>
    </row>
    <row r="287">
      <c r="A287" s="4" t="inlineStr">
        <is>
          <t>John O'Donoghue</t>
        </is>
      </c>
      <c r="B287" s="4" t="inlineStr">
        <is>
          <t>Mike Kennedy</t>
        </is>
      </c>
      <c r="C287" s="4" t="inlineStr">
        <is>
          <t>Sapporo</t>
        </is>
      </c>
      <c r="D287" s="4" t="inlineStr">
        <is>
          <t>Sapporo</t>
        </is>
      </c>
      <c r="E287" s="5" t="n">
        <v>963</v>
      </c>
      <c r="F287" s="5" t="n">
        <v>1004</v>
      </c>
      <c r="G287" s="8">
        <f>MAX(0,$E287-$F287)</f>
        <v/>
      </c>
      <c r="H287" s="18">
        <f>IF(OR(ISNUMBER(SEARCH("fever",$D287)),ISNUMBER(SEARCH("mike",$D287)),ISNUMBER(SEARCH("mxd",$D287))),2,1)</f>
        <v/>
      </c>
      <c r="I287" s="18">
        <f>$H287*IFERROR(INDEX('Recap'!$O$5:$O$233,MATCH($K287,'Recap'!$P$5:$P$233,0)),0)</f>
        <v/>
      </c>
      <c r="J287" s="7">
        <f>$G287*$I287</f>
        <v/>
      </c>
      <c r="K287" s="4">
        <f>$A287&amp;"|"&amp;$C287</f>
        <v/>
      </c>
    </row>
    <row r="288">
      <c r="A288" s="4" t="inlineStr">
        <is>
          <t>Klejdi Lamo</t>
        </is>
      </c>
      <c r="B288" s="4" t="inlineStr">
        <is>
          <t>Paul Deady</t>
        </is>
      </c>
      <c r="C288" s="4" t="inlineStr">
        <is>
          <t>Boston Beer Company</t>
        </is>
      </c>
      <c r="D288" s="4" t="inlineStr">
        <is>
          <t>Dogfish Head Beer</t>
        </is>
      </c>
      <c r="E288" s="5" t="n">
        <v>1470</v>
      </c>
      <c r="F288" s="5" t="n">
        <v>1333</v>
      </c>
      <c r="G288" s="8">
        <f>MAX(0,$E288-$F288)</f>
        <v/>
      </c>
      <c r="H288" s="18">
        <f>IF(OR(ISNUMBER(SEARCH("fever",$D288)),ISNUMBER(SEARCH("mike",$D288)),ISNUMBER(SEARCH("mxd",$D288))),2,1)</f>
        <v/>
      </c>
      <c r="I288" s="18">
        <f>$H288*IFERROR(INDEX('Recap'!$O$5:$O$233,MATCH($K288,'Recap'!$P$5:$P$233,0)),0)</f>
        <v/>
      </c>
      <c r="J288" s="7">
        <f>$G288*$I288</f>
        <v/>
      </c>
      <c r="K288" s="4">
        <f>$A288&amp;"|"&amp;$C288</f>
        <v/>
      </c>
    </row>
    <row r="289">
      <c r="A289" s="4" t="inlineStr">
        <is>
          <t>Klejdi Lamo</t>
        </is>
      </c>
      <c r="B289" s="4" t="inlineStr">
        <is>
          <t>Paul Deady</t>
        </is>
      </c>
      <c r="C289" s="4" t="inlineStr">
        <is>
          <t>Boston Beer Company</t>
        </is>
      </c>
      <c r="D289" s="4" t="inlineStr">
        <is>
          <t>Dogfish Head Spirits</t>
        </is>
      </c>
      <c r="E289" s="5" t="n">
        <v>405</v>
      </c>
      <c r="F289" s="5" t="n">
        <v>441</v>
      </c>
      <c r="G289" s="8">
        <f>MAX(0,$E289-$F289)</f>
        <v/>
      </c>
      <c r="H289" s="18">
        <f>IF(OR(ISNUMBER(SEARCH("fever",$D289)),ISNUMBER(SEARCH("mike",$D289)),ISNUMBER(SEARCH("mxd",$D289))),2,1)</f>
        <v/>
      </c>
      <c r="I289" s="18">
        <f>$H289*IFERROR(INDEX('Recap'!$O$5:$O$233,MATCH($K289,'Recap'!$P$5:$P$233,0)),0)</f>
        <v/>
      </c>
      <c r="J289" s="7">
        <f>$G289*$I289</f>
        <v/>
      </c>
      <c r="K289" s="4">
        <f>$A289&amp;"|"&amp;$C289</f>
        <v/>
      </c>
    </row>
    <row r="290">
      <c r="A290" s="4" t="inlineStr">
        <is>
          <t>Klejdi Lamo</t>
        </is>
      </c>
      <c r="B290" s="4" t="inlineStr">
        <is>
          <t>Paul Deady</t>
        </is>
      </c>
      <c r="C290" s="4" t="inlineStr">
        <is>
          <t>Cape May</t>
        </is>
      </c>
      <c r="D290" s="4" t="inlineStr">
        <is>
          <t>Cape May</t>
        </is>
      </c>
      <c r="E290" s="5" t="n">
        <v>1315</v>
      </c>
      <c r="F290" s="5" t="n">
        <v>1198</v>
      </c>
      <c r="G290" s="8">
        <f>MAX(0,$E290-$F290)</f>
        <v/>
      </c>
      <c r="H290" s="18">
        <f>IF(OR(ISNUMBER(SEARCH("fever",$D290)),ISNUMBER(SEARCH("mike",$D290)),ISNUMBER(SEARCH("mxd",$D290))),2,1)</f>
        <v/>
      </c>
      <c r="I290" s="18">
        <f>$H290*IFERROR(INDEX('Recap'!$O$5:$O$233,MATCH($K290,'Recap'!$P$5:$P$233,0)),0)</f>
        <v/>
      </c>
      <c r="J290" s="7">
        <f>$G290*$I290</f>
        <v/>
      </c>
      <c r="K290" s="4">
        <f>$A290&amp;"|"&amp;$C290</f>
        <v/>
      </c>
    </row>
    <row r="291">
      <c r="A291" s="4" t="inlineStr">
        <is>
          <t>Klejdi Lamo</t>
        </is>
      </c>
      <c r="B291" s="4" t="inlineStr">
        <is>
          <t>Paul Deady</t>
        </is>
      </c>
      <c r="C291" s="4" t="inlineStr">
        <is>
          <t>Constellation Brands</t>
        </is>
      </c>
      <c r="D291" s="4" t="inlineStr">
        <is>
          <t>Corona Premier</t>
        </is>
      </c>
      <c r="E291" s="5" t="n">
        <v>989</v>
      </c>
      <c r="F291" s="5" t="n">
        <v>982</v>
      </c>
      <c r="G291" s="8">
        <f>MAX(0,$E291-$F291)</f>
        <v/>
      </c>
      <c r="H291" s="18">
        <f>IF(OR(ISNUMBER(SEARCH("fever",$D291)),ISNUMBER(SEARCH("mike",$D291)),ISNUMBER(SEARCH("mxd",$D291))),2,1)</f>
        <v/>
      </c>
      <c r="I291" s="18">
        <f>$H291*IFERROR(INDEX('Recap'!$O$5:$O$233,MATCH($K291,'Recap'!$P$5:$P$233,0)),0)</f>
        <v/>
      </c>
      <c r="J291" s="7">
        <f>$G291*$I291</f>
        <v/>
      </c>
      <c r="K291" s="4">
        <f>$A291&amp;"|"&amp;$C291</f>
        <v/>
      </c>
    </row>
    <row r="292">
      <c r="A292" s="4" t="inlineStr">
        <is>
          <t>Klejdi Lamo</t>
        </is>
      </c>
      <c r="B292" s="4" t="inlineStr">
        <is>
          <t>Paul Deady</t>
        </is>
      </c>
      <c r="C292" s="4" t="inlineStr">
        <is>
          <t>Constellation Brands</t>
        </is>
      </c>
      <c r="D292" s="4" t="inlineStr">
        <is>
          <t>Modelo Chelada</t>
        </is>
      </c>
      <c r="E292" s="5" t="n">
        <v>2197</v>
      </c>
      <c r="F292" s="5" t="n">
        <v>1919</v>
      </c>
      <c r="G292" s="8">
        <f>MAX(0,$E292-$F292)</f>
        <v/>
      </c>
      <c r="H292" s="18">
        <f>IF(OR(ISNUMBER(SEARCH("fever",$D292)),ISNUMBER(SEARCH("mike",$D292)),ISNUMBER(SEARCH("mxd",$D292))),2,1)</f>
        <v/>
      </c>
      <c r="I292" s="18">
        <f>$H292*IFERROR(INDEX('Recap'!$O$5:$O$233,MATCH($K292,'Recap'!$P$5:$P$233,0)),0)</f>
        <v/>
      </c>
      <c r="J292" s="7">
        <f>$G292*$I292</f>
        <v/>
      </c>
      <c r="K292" s="4">
        <f>$A292&amp;"|"&amp;$C292</f>
        <v/>
      </c>
    </row>
    <row r="293">
      <c r="A293" s="4" t="inlineStr">
        <is>
          <t>Klejdi Lamo</t>
        </is>
      </c>
      <c r="B293" s="4" t="inlineStr">
        <is>
          <t>Paul Deady</t>
        </is>
      </c>
      <c r="C293" s="4" t="inlineStr">
        <is>
          <t>Constellation Brands</t>
        </is>
      </c>
      <c r="D293" s="4" t="inlineStr">
        <is>
          <t>Pacifico</t>
        </is>
      </c>
      <c r="E293" s="5" t="n">
        <v>516</v>
      </c>
      <c r="F293" s="5" t="n">
        <v>459</v>
      </c>
      <c r="G293" s="8">
        <f>MAX(0,$E293-$F293)</f>
        <v/>
      </c>
      <c r="H293" s="18">
        <f>IF(OR(ISNUMBER(SEARCH("fever",$D293)),ISNUMBER(SEARCH("mike",$D293)),ISNUMBER(SEARCH("mxd",$D293))),2,1)</f>
        <v/>
      </c>
      <c r="I293" s="18">
        <f>$H293*IFERROR(INDEX('Recap'!$O$5:$O$233,MATCH($K293,'Recap'!$P$5:$P$233,0)),0)</f>
        <v/>
      </c>
      <c r="J293" s="7">
        <f>$G293*$I293</f>
        <v/>
      </c>
      <c r="K293" s="4">
        <f>$A293&amp;"|"&amp;$C293</f>
        <v/>
      </c>
    </row>
    <row r="294">
      <c r="A294" s="4" t="inlineStr">
        <is>
          <t>Klejdi Lamo</t>
        </is>
      </c>
      <c r="B294" s="4" t="inlineStr">
        <is>
          <t>Paul Deady</t>
        </is>
      </c>
      <c r="C294" s="4" t="inlineStr">
        <is>
          <t>Constellation Brands</t>
        </is>
      </c>
      <c r="D294" s="4" t="inlineStr">
        <is>
          <t>Victoria</t>
        </is>
      </c>
      <c r="E294" s="5" t="n">
        <v>799</v>
      </c>
      <c r="F294" s="5" t="n">
        <v>595</v>
      </c>
      <c r="G294" s="8">
        <f>MAX(0,$E294-$F294)</f>
        <v/>
      </c>
      <c r="H294" s="18">
        <f>IF(OR(ISNUMBER(SEARCH("fever",$D294)),ISNUMBER(SEARCH("mike",$D294)),ISNUMBER(SEARCH("mxd",$D294))),2,1)</f>
        <v/>
      </c>
      <c r="I294" s="18">
        <f>$H294*IFERROR(INDEX('Recap'!$O$5:$O$233,MATCH($K294,'Recap'!$P$5:$P$233,0)),0)</f>
        <v/>
      </c>
      <c r="J294" s="7">
        <f>$G294*$I294</f>
        <v/>
      </c>
      <c r="K294" s="4">
        <f>$A294&amp;"|"&amp;$C294</f>
        <v/>
      </c>
    </row>
    <row r="295">
      <c r="A295" s="4" t="inlineStr">
        <is>
          <t>Klejdi Lamo</t>
        </is>
      </c>
      <c r="B295" s="4" t="inlineStr">
        <is>
          <t>Paul Deady</t>
        </is>
      </c>
      <c r="C295" s="4" t="inlineStr">
        <is>
          <t>DG Yuengling Inc</t>
        </is>
      </c>
      <c r="D295" s="4" t="inlineStr">
        <is>
          <t>Yuengling Flight</t>
        </is>
      </c>
      <c r="E295" s="5" t="n">
        <v>444</v>
      </c>
      <c r="F295" s="5" t="n">
        <v>489</v>
      </c>
      <c r="G295" s="8">
        <f>MAX(0,$E295-$F295)</f>
        <v/>
      </c>
      <c r="H295" s="18">
        <f>IF(OR(ISNUMBER(SEARCH("fever",$D295)),ISNUMBER(SEARCH("mike",$D295)),ISNUMBER(SEARCH("mxd",$D295))),2,1)</f>
        <v/>
      </c>
      <c r="I295" s="18">
        <f>$H295*IFERROR(INDEX('Recap'!$O$5:$O$233,MATCH($K295,'Recap'!$P$5:$P$233,0)),0)</f>
        <v/>
      </c>
      <c r="J295" s="7">
        <f>$G295*$I295</f>
        <v/>
      </c>
      <c r="K295" s="4">
        <f>$A295&amp;"|"&amp;$C295</f>
        <v/>
      </c>
    </row>
    <row r="296">
      <c r="A296" s="4" t="inlineStr">
        <is>
          <t>Klejdi Lamo</t>
        </is>
      </c>
      <c r="B296" s="4" t="inlineStr">
        <is>
          <t>Paul Deady</t>
        </is>
      </c>
      <c r="C296" s="4" t="inlineStr">
        <is>
          <t>DG Yuengling Inc</t>
        </is>
      </c>
      <c r="D296" s="4" t="inlineStr">
        <is>
          <t>Yuengling Light Lager</t>
        </is>
      </c>
      <c r="E296" s="5" t="n">
        <v>326</v>
      </c>
      <c r="F296" s="5" t="n">
        <v>275</v>
      </c>
      <c r="G296" s="8">
        <f>MAX(0,$E296-$F296)</f>
        <v/>
      </c>
      <c r="H296" s="18">
        <f>IF(OR(ISNUMBER(SEARCH("fever",$D296)),ISNUMBER(SEARCH("mike",$D296)),ISNUMBER(SEARCH("mxd",$D296))),2,1)</f>
        <v/>
      </c>
      <c r="I296" s="18">
        <f>$H296*IFERROR(INDEX('Recap'!$O$5:$O$233,MATCH($K296,'Recap'!$P$5:$P$233,0)),0)</f>
        <v/>
      </c>
      <c r="J296" s="7">
        <f>$G296*$I296</f>
        <v/>
      </c>
      <c r="K296" s="4">
        <f>$A296&amp;"|"&amp;$C296</f>
        <v/>
      </c>
    </row>
    <row r="297">
      <c r="A297" s="4" t="inlineStr">
        <is>
          <t>Klejdi Lamo</t>
        </is>
      </c>
      <c r="B297" s="4" t="inlineStr">
        <is>
          <t>Paul Deady</t>
        </is>
      </c>
      <c r="C297" s="4" t="inlineStr">
        <is>
          <t>Heineken USA</t>
        </is>
      </c>
      <c r="D297" s="4" t="inlineStr">
        <is>
          <t>Heineken 0.0</t>
        </is>
      </c>
      <c r="E297" s="5" t="n">
        <v>22</v>
      </c>
      <c r="F297" s="5" t="n">
        <v>15</v>
      </c>
      <c r="G297" s="8">
        <f>MAX(0,$E297-$F297)</f>
        <v/>
      </c>
      <c r="H297" s="18">
        <f>IF(OR(ISNUMBER(SEARCH("fever",$D297)),ISNUMBER(SEARCH("mike",$D297)),ISNUMBER(SEARCH("mxd",$D297))),2,1)</f>
        <v/>
      </c>
      <c r="I297" s="18">
        <f>$H297*IFERROR(INDEX('Recap'!$O$5:$O$233,MATCH($K297,'Recap'!$P$5:$P$233,0)),0)</f>
        <v/>
      </c>
      <c r="J297" s="7">
        <f>$G297*$I297</f>
        <v/>
      </c>
      <c r="K297" s="4">
        <f>$A297&amp;"|"&amp;$C297</f>
        <v/>
      </c>
    </row>
    <row r="298">
      <c r="A298" s="4" t="inlineStr">
        <is>
          <t>Klejdi Lamo</t>
        </is>
      </c>
      <c r="B298" s="4" t="inlineStr">
        <is>
          <t>Paul Deady</t>
        </is>
      </c>
      <c r="C298" s="4" t="inlineStr">
        <is>
          <t>Heineken USA</t>
        </is>
      </c>
      <c r="D298" s="4" t="inlineStr">
        <is>
          <t>Heineken Light</t>
        </is>
      </c>
      <c r="E298" s="5" t="n">
        <v>17</v>
      </c>
      <c r="F298" s="5" t="n">
        <v>15</v>
      </c>
      <c r="G298" s="8">
        <f>MAX(0,$E298-$F298)</f>
        <v/>
      </c>
      <c r="H298" s="18">
        <f>IF(OR(ISNUMBER(SEARCH("fever",$D298)),ISNUMBER(SEARCH("mike",$D298)),ISNUMBER(SEARCH("mxd",$D298))),2,1)</f>
        <v/>
      </c>
      <c r="I298" s="18">
        <f>$H298*IFERROR(INDEX('Recap'!$O$5:$O$233,MATCH($K298,'Recap'!$P$5:$P$233,0)),0)</f>
        <v/>
      </c>
      <c r="J298" s="7">
        <f>$G298*$I298</f>
        <v/>
      </c>
      <c r="K298" s="4">
        <f>$A298&amp;"|"&amp;$C298</f>
        <v/>
      </c>
    </row>
    <row r="299">
      <c r="A299" s="4" t="inlineStr">
        <is>
          <t>Klejdi Lamo</t>
        </is>
      </c>
      <c r="B299" s="4" t="inlineStr">
        <is>
          <t>Paul Deady</t>
        </is>
      </c>
      <c r="C299" s="4" t="inlineStr">
        <is>
          <t>Mark Anthony</t>
        </is>
      </c>
      <c r="D299" s="4" t="inlineStr">
        <is>
          <t>Cayman Jack</t>
        </is>
      </c>
      <c r="E299" s="5" t="n">
        <v>695</v>
      </c>
      <c r="F299" s="5" t="n">
        <v>617</v>
      </c>
      <c r="G299" s="8">
        <f>MAX(0,$E299-$F299)</f>
        <v/>
      </c>
      <c r="H299" s="18">
        <f>IF(OR(ISNUMBER(SEARCH("fever",$D299)),ISNUMBER(SEARCH("mike",$D299)),ISNUMBER(SEARCH("mxd",$D299))),2,1)</f>
        <v/>
      </c>
      <c r="I299" s="18">
        <f>$H299*IFERROR(INDEX('Recap'!$O$5:$O$233,MATCH($K299,'Recap'!$P$5:$P$233,0)),0)</f>
        <v/>
      </c>
      <c r="J299" s="7">
        <f>$G299*$I299</f>
        <v/>
      </c>
      <c r="K299" s="4">
        <f>$A299&amp;"|"&amp;$C299</f>
        <v/>
      </c>
    </row>
    <row r="300">
      <c r="A300" s="4" t="inlineStr">
        <is>
          <t>Klejdi Lamo</t>
        </is>
      </c>
      <c r="B300" s="4" t="inlineStr">
        <is>
          <t>Paul Deady</t>
        </is>
      </c>
      <c r="C300" s="4" t="inlineStr">
        <is>
          <t>Mark Anthony</t>
        </is>
      </c>
      <c r="D300" s="4" t="inlineStr">
        <is>
          <t>Mike's Harder</t>
        </is>
      </c>
      <c r="E300" s="5" t="n">
        <v>423</v>
      </c>
      <c r="F300" s="5" t="n">
        <v>462</v>
      </c>
      <c r="G300" s="8">
        <f>MAX(0,$E300-$F300)</f>
        <v/>
      </c>
      <c r="H300" s="18">
        <f>IF(OR(ISNUMBER(SEARCH("fever",$D300)),ISNUMBER(SEARCH("mike",$D300)),ISNUMBER(SEARCH("mxd",$D300))),2,1)</f>
        <v/>
      </c>
      <c r="I300" s="18">
        <f>$H300*IFERROR(INDEX('Recap'!$O$5:$O$233,MATCH($K300,'Recap'!$P$5:$P$233,0)),0)</f>
        <v/>
      </c>
      <c r="J300" s="7">
        <f>$G300*$I300</f>
        <v/>
      </c>
      <c r="K300" s="4">
        <f>$A300&amp;"|"&amp;$C300</f>
        <v/>
      </c>
    </row>
    <row r="301">
      <c r="A301" s="4" t="inlineStr">
        <is>
          <t>Klejdi Lamo</t>
        </is>
      </c>
      <c r="B301" s="4" t="inlineStr">
        <is>
          <t>Paul Deady</t>
        </is>
      </c>
      <c r="C301" s="4" t="inlineStr">
        <is>
          <t>Mark Anthony</t>
        </is>
      </c>
      <c r="D301" s="4" t="inlineStr">
        <is>
          <t>Mxd Cocktails</t>
        </is>
      </c>
      <c r="E301" s="5" t="n">
        <v>4</v>
      </c>
      <c r="F301" s="5" t="n">
        <v>0</v>
      </c>
      <c r="G301" s="8">
        <f>MAX(0,$E301-$F301)</f>
        <v/>
      </c>
      <c r="H301" s="18">
        <f>IF(OR(ISNUMBER(SEARCH("fever",$D301)),ISNUMBER(SEARCH("mike",$D301)),ISNUMBER(SEARCH("mxd",$D301))),2,1)</f>
        <v/>
      </c>
      <c r="I301" s="18">
        <f>$H301*IFERROR(INDEX('Recap'!$O$5:$O$233,MATCH($K301,'Recap'!$P$5:$P$233,0)),0)</f>
        <v/>
      </c>
      <c r="J301" s="7">
        <f>$G301*$I301</f>
        <v/>
      </c>
      <c r="K301" s="4">
        <f>$A301&amp;"|"&amp;$C301</f>
        <v/>
      </c>
    </row>
    <row r="302">
      <c r="A302" s="4" t="inlineStr">
        <is>
          <t>Klejdi Lamo</t>
        </is>
      </c>
      <c r="B302" s="4" t="inlineStr">
        <is>
          <t>Paul Deady</t>
        </is>
      </c>
      <c r="C302" s="4" t="inlineStr">
        <is>
          <t>MolsonCoors Beverage Company</t>
        </is>
      </c>
      <c r="D302" s="4" t="inlineStr">
        <is>
          <t>Coors</t>
        </is>
      </c>
      <c r="E302" s="5" t="n">
        <v>2722</v>
      </c>
      <c r="F302" s="5" t="n">
        <v>2628</v>
      </c>
      <c r="G302" s="8">
        <f>MAX(0,$E302-$F302)</f>
        <v/>
      </c>
      <c r="H302" s="18">
        <f>IF(OR(ISNUMBER(SEARCH("fever",$D302)),ISNUMBER(SEARCH("mike",$D302)),ISNUMBER(SEARCH("mxd",$D302))),2,1)</f>
        <v/>
      </c>
      <c r="I302" s="18">
        <f>$H302*IFERROR(INDEX('Recap'!$O$5:$O$233,MATCH($K302,'Recap'!$P$5:$P$233,0)),0)</f>
        <v/>
      </c>
      <c r="J302" s="7">
        <f>$G302*$I302</f>
        <v/>
      </c>
      <c r="K302" s="4">
        <f>$A302&amp;"|"&amp;$C302</f>
        <v/>
      </c>
    </row>
    <row r="303">
      <c r="A303" s="4" t="inlineStr">
        <is>
          <t>Klejdi Lamo</t>
        </is>
      </c>
      <c r="B303" s="4" t="inlineStr">
        <is>
          <t>Paul Deady</t>
        </is>
      </c>
      <c r="C303" s="4" t="inlineStr">
        <is>
          <t>MolsonCoors Beverage Company</t>
        </is>
      </c>
      <c r="D303" s="4" t="inlineStr">
        <is>
          <t>Fever Tree</t>
        </is>
      </c>
      <c r="E303" s="5" t="n">
        <v>82</v>
      </c>
      <c r="F303" s="5" t="n">
        <v>44</v>
      </c>
      <c r="G303" s="8">
        <f>MAX(0,$E303-$F303)</f>
        <v/>
      </c>
      <c r="H303" s="18">
        <f>IF(OR(ISNUMBER(SEARCH("fever",$D303)),ISNUMBER(SEARCH("mike",$D303)),ISNUMBER(SEARCH("mxd",$D303))),2,1)</f>
        <v/>
      </c>
      <c r="I303" s="18">
        <f>$H303*IFERROR(INDEX('Recap'!$O$5:$O$233,MATCH($K303,'Recap'!$P$5:$P$233,0)),0)</f>
        <v/>
      </c>
      <c r="J303" s="7">
        <f>$G303*$I303</f>
        <v/>
      </c>
      <c r="K303" s="4">
        <f>$A303&amp;"|"&amp;$C303</f>
        <v/>
      </c>
    </row>
    <row r="304">
      <c r="A304" s="4" t="inlineStr">
        <is>
          <t>Klejdi Lamo</t>
        </is>
      </c>
      <c r="B304" s="4" t="inlineStr">
        <is>
          <t>Paul Deady</t>
        </is>
      </c>
      <c r="C304" s="4" t="inlineStr">
        <is>
          <t>MolsonCoors Beverage Company</t>
        </is>
      </c>
      <c r="D304" s="4" t="inlineStr">
        <is>
          <t>Peroni</t>
        </is>
      </c>
      <c r="E304" s="5" t="n">
        <v>692</v>
      </c>
      <c r="F304" s="5" t="n">
        <v>697</v>
      </c>
      <c r="G304" s="8">
        <f>MAX(0,$E304-$F304)</f>
        <v/>
      </c>
      <c r="H304" s="18">
        <f>IF(OR(ISNUMBER(SEARCH("fever",$D304)),ISNUMBER(SEARCH("mike",$D304)),ISNUMBER(SEARCH("mxd",$D304))),2,1)</f>
        <v/>
      </c>
      <c r="I304" s="18">
        <f>$H304*IFERROR(INDEX('Recap'!$O$5:$O$233,MATCH($K304,'Recap'!$P$5:$P$233,0)),0)</f>
        <v/>
      </c>
      <c r="J304" s="7">
        <f>$G304*$I304</f>
        <v/>
      </c>
      <c r="K304" s="4">
        <f>$A304&amp;"|"&amp;$C304</f>
        <v/>
      </c>
    </row>
    <row r="305">
      <c r="A305" s="4" t="inlineStr">
        <is>
          <t>Klejdi Lamo</t>
        </is>
      </c>
      <c r="B305" s="4" t="inlineStr">
        <is>
          <t>Paul Deady</t>
        </is>
      </c>
      <c r="C305" s="4" t="inlineStr">
        <is>
          <t>New Belgium Brewing Company</t>
        </is>
      </c>
      <c r="D305" s="4" t="inlineStr">
        <is>
          <t>Bell's</t>
        </is>
      </c>
      <c r="E305" s="5" t="n">
        <v>46</v>
      </c>
      <c r="F305" s="5" t="n">
        <v>67</v>
      </c>
      <c r="G305" s="8">
        <f>MAX(0,$E305-$F305)</f>
        <v/>
      </c>
      <c r="H305" s="18">
        <f>IF(OR(ISNUMBER(SEARCH("fever",$D305)),ISNUMBER(SEARCH("mike",$D305)),ISNUMBER(SEARCH("mxd",$D305))),2,1)</f>
        <v/>
      </c>
      <c r="I305" s="18">
        <f>$H305*IFERROR(INDEX('Recap'!$O$5:$O$233,MATCH($K305,'Recap'!$P$5:$P$233,0)),0)</f>
        <v/>
      </c>
      <c r="J305" s="7">
        <f>$G305*$I305</f>
        <v/>
      </c>
      <c r="K305" s="4">
        <f>$A305&amp;"|"&amp;$C305</f>
        <v/>
      </c>
    </row>
    <row r="306">
      <c r="A306" s="4" t="inlineStr">
        <is>
          <t>Klejdi Lamo</t>
        </is>
      </c>
      <c r="B306" s="4" t="inlineStr">
        <is>
          <t>Paul Deady</t>
        </is>
      </c>
      <c r="C306" s="4" t="inlineStr">
        <is>
          <t>New Belgium Brewing Company</t>
        </is>
      </c>
      <c r="D306" s="4" t="inlineStr">
        <is>
          <t>Fat Tire Family</t>
        </is>
      </c>
      <c r="E306" s="5" t="n">
        <v>128</v>
      </c>
      <c r="F306" s="5" t="n">
        <v>133</v>
      </c>
      <c r="G306" s="8">
        <f>MAX(0,$E306-$F306)</f>
        <v/>
      </c>
      <c r="H306" s="18">
        <f>IF(OR(ISNUMBER(SEARCH("fever",$D306)),ISNUMBER(SEARCH("mike",$D306)),ISNUMBER(SEARCH("mxd",$D306))),2,1)</f>
        <v/>
      </c>
      <c r="I306" s="18">
        <f>$H306*IFERROR(INDEX('Recap'!$O$5:$O$233,MATCH($K306,'Recap'!$P$5:$P$233,0)),0)</f>
        <v/>
      </c>
      <c r="J306" s="7">
        <f>$G306*$I306</f>
        <v/>
      </c>
      <c r="K306" s="4">
        <f>$A306&amp;"|"&amp;$C306</f>
        <v/>
      </c>
    </row>
    <row r="307">
      <c r="A307" s="4" t="inlineStr">
        <is>
          <t>Klejdi Lamo</t>
        </is>
      </c>
      <c r="B307" s="4" t="inlineStr">
        <is>
          <t>Paul Deady</t>
        </is>
      </c>
      <c r="C307" s="4" t="inlineStr">
        <is>
          <t>New Belgium Brewing Company</t>
        </is>
      </c>
      <c r="D307" s="4" t="inlineStr">
        <is>
          <t>Kirin Ichiban</t>
        </is>
      </c>
      <c r="E307" s="5" t="n">
        <v>26</v>
      </c>
      <c r="F307" s="5" t="n">
        <v>22</v>
      </c>
      <c r="G307" s="8">
        <f>MAX(0,$E307-$F307)</f>
        <v/>
      </c>
      <c r="H307" s="18">
        <f>IF(OR(ISNUMBER(SEARCH("fever",$D307)),ISNUMBER(SEARCH("mike",$D307)),ISNUMBER(SEARCH("mxd",$D307))),2,1)</f>
        <v/>
      </c>
      <c r="I307" s="18">
        <f>$H307*IFERROR(INDEX('Recap'!$O$5:$O$233,MATCH($K307,'Recap'!$P$5:$P$233,0)),0)</f>
        <v/>
      </c>
      <c r="J307" s="7">
        <f>$G307*$I307</f>
        <v/>
      </c>
      <c r="K307" s="4">
        <f>$A307&amp;"|"&amp;$C307</f>
        <v/>
      </c>
    </row>
    <row r="308">
      <c r="A308" s="4" t="inlineStr">
        <is>
          <t>Klejdi Lamo</t>
        </is>
      </c>
      <c r="B308" s="4" t="inlineStr">
        <is>
          <t>Paul Deady</t>
        </is>
      </c>
      <c r="C308" s="4" t="inlineStr">
        <is>
          <t>New Belgium Brewing Company</t>
        </is>
      </c>
      <c r="D308" s="4" t="inlineStr">
        <is>
          <t>Voodoo Family</t>
        </is>
      </c>
      <c r="E308" s="5" t="n">
        <v>1176</v>
      </c>
      <c r="F308" s="5" t="n">
        <v>1118</v>
      </c>
      <c r="G308" s="8">
        <f>MAX(0,$E308-$F308)</f>
        <v/>
      </c>
      <c r="H308" s="18">
        <f>IF(OR(ISNUMBER(SEARCH("fever",$D308)),ISNUMBER(SEARCH("mike",$D308)),ISNUMBER(SEARCH("mxd",$D308))),2,1)</f>
        <v/>
      </c>
      <c r="I308" s="18">
        <f>$H308*IFERROR(INDEX('Recap'!$O$5:$O$233,MATCH($K308,'Recap'!$P$5:$P$233,0)),0)</f>
        <v/>
      </c>
      <c r="J308" s="7">
        <f>$G308*$I308</f>
        <v/>
      </c>
      <c r="K308" s="4">
        <f>$A308&amp;"|"&amp;$C308</f>
        <v/>
      </c>
    </row>
    <row r="309">
      <c r="A309" s="4" t="inlineStr">
        <is>
          <t>Klejdi Lamo</t>
        </is>
      </c>
      <c r="B309" s="4" t="inlineStr">
        <is>
          <t>Paul Deady</t>
        </is>
      </c>
      <c r="C309" s="4" t="inlineStr">
        <is>
          <t>Sapporo</t>
        </is>
      </c>
      <c r="D309" s="4" t="inlineStr">
        <is>
          <t>Sapporo</t>
        </is>
      </c>
      <c r="E309" s="5" t="n">
        <v>403</v>
      </c>
      <c r="F309" s="5" t="n">
        <v>227</v>
      </c>
      <c r="G309" s="8">
        <f>MAX(0,$E309-$F309)</f>
        <v/>
      </c>
      <c r="H309" s="18">
        <f>IF(OR(ISNUMBER(SEARCH("fever",$D309)),ISNUMBER(SEARCH("mike",$D309)),ISNUMBER(SEARCH("mxd",$D309))),2,1)</f>
        <v/>
      </c>
      <c r="I309" s="18">
        <f>$H309*IFERROR(INDEX('Recap'!$O$5:$O$233,MATCH($K309,'Recap'!$P$5:$P$233,0)),0)</f>
        <v/>
      </c>
      <c r="J309" s="7">
        <f>$G309*$I309</f>
        <v/>
      </c>
      <c r="K309" s="4">
        <f>$A309&amp;"|"&amp;$C309</f>
        <v/>
      </c>
    </row>
    <row r="310">
      <c r="A310" s="4" t="inlineStr">
        <is>
          <t>Matt Powierski</t>
        </is>
      </c>
      <c r="B310" s="4" t="inlineStr">
        <is>
          <t>Denise Montes</t>
        </is>
      </c>
      <c r="C310" s="4" t="inlineStr">
        <is>
          <t>Boston Beer Company</t>
        </is>
      </c>
      <c r="D310" s="4" t="inlineStr">
        <is>
          <t>Dogfish Head Beer</t>
        </is>
      </c>
      <c r="E310" s="5" t="n">
        <v>220</v>
      </c>
      <c r="F310" s="5" t="n">
        <v>214</v>
      </c>
      <c r="G310" s="8">
        <f>MAX(0,$E310-$F310)</f>
        <v/>
      </c>
      <c r="H310" s="18">
        <f>IF(OR(ISNUMBER(SEARCH("fever",$D310)),ISNUMBER(SEARCH("mike",$D310)),ISNUMBER(SEARCH("mxd",$D310))),2,1)</f>
        <v/>
      </c>
      <c r="I310" s="18">
        <f>$H310*IFERROR(INDEX('Recap'!$O$5:$O$233,MATCH($K310,'Recap'!$P$5:$P$233,0)),0)</f>
        <v/>
      </c>
      <c r="J310" s="7">
        <f>$G310*$I310</f>
        <v/>
      </c>
      <c r="K310" s="4">
        <f>$A310&amp;"|"&amp;$C310</f>
        <v/>
      </c>
    </row>
    <row r="311">
      <c r="A311" s="4" t="inlineStr">
        <is>
          <t>Matt Powierski</t>
        </is>
      </c>
      <c r="B311" s="4" t="inlineStr">
        <is>
          <t>Denise Montes</t>
        </is>
      </c>
      <c r="C311" s="4" t="inlineStr">
        <is>
          <t>Boston Beer Company</t>
        </is>
      </c>
      <c r="D311" s="4" t="inlineStr">
        <is>
          <t>Dogfish Head Spirits</t>
        </is>
      </c>
      <c r="E311" s="5" t="n">
        <v>42</v>
      </c>
      <c r="F311" s="5" t="n">
        <v>45</v>
      </c>
      <c r="G311" s="8">
        <f>MAX(0,$E311-$F311)</f>
        <v/>
      </c>
      <c r="H311" s="18">
        <f>IF(OR(ISNUMBER(SEARCH("fever",$D311)),ISNUMBER(SEARCH("mike",$D311)),ISNUMBER(SEARCH("mxd",$D311))),2,1)</f>
        <v/>
      </c>
      <c r="I311" s="18">
        <f>$H311*IFERROR(INDEX('Recap'!$O$5:$O$233,MATCH($K311,'Recap'!$P$5:$P$233,0)),0)</f>
        <v/>
      </c>
      <c r="J311" s="7">
        <f>$G311*$I311</f>
        <v/>
      </c>
      <c r="K311" s="4">
        <f>$A311&amp;"|"&amp;$C311</f>
        <v/>
      </c>
    </row>
    <row r="312">
      <c r="A312" s="4" t="inlineStr">
        <is>
          <t>Matt Powierski</t>
        </is>
      </c>
      <c r="B312" s="4" t="inlineStr">
        <is>
          <t>Denise Montes</t>
        </is>
      </c>
      <c r="C312" s="4" t="inlineStr">
        <is>
          <t>Cape May</t>
        </is>
      </c>
      <c r="D312" s="4" t="inlineStr">
        <is>
          <t>Cape May</t>
        </is>
      </c>
      <c r="E312" s="5" t="n">
        <v>241</v>
      </c>
      <c r="F312" s="5" t="n">
        <v>209</v>
      </c>
      <c r="G312" s="8">
        <f>MAX(0,$E312-$F312)</f>
        <v/>
      </c>
      <c r="H312" s="18">
        <f>IF(OR(ISNUMBER(SEARCH("fever",$D312)),ISNUMBER(SEARCH("mike",$D312)),ISNUMBER(SEARCH("mxd",$D312))),2,1)</f>
        <v/>
      </c>
      <c r="I312" s="18">
        <f>$H312*IFERROR(INDEX('Recap'!$O$5:$O$233,MATCH($K312,'Recap'!$P$5:$P$233,0)),0)</f>
        <v/>
      </c>
      <c r="J312" s="7">
        <f>$G312*$I312</f>
        <v/>
      </c>
      <c r="K312" s="4">
        <f>$A312&amp;"|"&amp;$C312</f>
        <v/>
      </c>
    </row>
    <row r="313">
      <c r="A313" s="4" t="inlineStr">
        <is>
          <t>Matt Powierski</t>
        </is>
      </c>
      <c r="B313" s="4" t="inlineStr">
        <is>
          <t>Denise Montes</t>
        </is>
      </c>
      <c r="C313" s="4" t="inlineStr">
        <is>
          <t>Constellation Brands</t>
        </is>
      </c>
      <c r="D313" s="4" t="inlineStr">
        <is>
          <t>Corona Premier</t>
        </is>
      </c>
      <c r="E313" s="5" t="n">
        <v>656</v>
      </c>
      <c r="F313" s="5" t="n">
        <v>619</v>
      </c>
      <c r="G313" s="8">
        <f>MAX(0,$E313-$F313)</f>
        <v/>
      </c>
      <c r="H313" s="18">
        <f>IF(OR(ISNUMBER(SEARCH("fever",$D313)),ISNUMBER(SEARCH("mike",$D313)),ISNUMBER(SEARCH("mxd",$D313))),2,1)</f>
        <v/>
      </c>
      <c r="I313" s="18">
        <f>$H313*IFERROR(INDEX('Recap'!$O$5:$O$233,MATCH($K313,'Recap'!$P$5:$P$233,0)),0)</f>
        <v/>
      </c>
      <c r="J313" s="7">
        <f>$G313*$I313</f>
        <v/>
      </c>
      <c r="K313" s="4">
        <f>$A313&amp;"|"&amp;$C313</f>
        <v/>
      </c>
    </row>
    <row r="314">
      <c r="A314" s="4" t="inlineStr">
        <is>
          <t>Matt Powierski</t>
        </is>
      </c>
      <c r="B314" s="4" t="inlineStr">
        <is>
          <t>Denise Montes</t>
        </is>
      </c>
      <c r="C314" s="4" t="inlineStr">
        <is>
          <t>Constellation Brands</t>
        </is>
      </c>
      <c r="D314" s="4" t="inlineStr">
        <is>
          <t>Modelo Chelada</t>
        </is>
      </c>
      <c r="E314" s="5" t="n">
        <v>2119</v>
      </c>
      <c r="F314" s="5" t="n">
        <v>1608</v>
      </c>
      <c r="G314" s="8">
        <f>MAX(0,$E314-$F314)</f>
        <v/>
      </c>
      <c r="H314" s="18">
        <f>IF(OR(ISNUMBER(SEARCH("fever",$D314)),ISNUMBER(SEARCH("mike",$D314)),ISNUMBER(SEARCH("mxd",$D314))),2,1)</f>
        <v/>
      </c>
      <c r="I314" s="18">
        <f>$H314*IFERROR(INDEX('Recap'!$O$5:$O$233,MATCH($K314,'Recap'!$P$5:$P$233,0)),0)</f>
        <v/>
      </c>
      <c r="J314" s="7">
        <f>$G314*$I314</f>
        <v/>
      </c>
      <c r="K314" s="4">
        <f>$A314&amp;"|"&amp;$C314</f>
        <v/>
      </c>
    </row>
    <row r="315">
      <c r="A315" s="4" t="inlineStr">
        <is>
          <t>Matt Powierski</t>
        </is>
      </c>
      <c r="B315" s="4" t="inlineStr">
        <is>
          <t>Denise Montes</t>
        </is>
      </c>
      <c r="C315" s="4" t="inlineStr">
        <is>
          <t>Constellation Brands</t>
        </is>
      </c>
      <c r="D315" s="4" t="inlineStr">
        <is>
          <t>Pacifico</t>
        </is>
      </c>
      <c r="E315" s="5" t="n">
        <v>870</v>
      </c>
      <c r="F315" s="5" t="n">
        <v>651</v>
      </c>
      <c r="G315" s="8">
        <f>MAX(0,$E315-$F315)</f>
        <v/>
      </c>
      <c r="H315" s="18">
        <f>IF(OR(ISNUMBER(SEARCH("fever",$D315)),ISNUMBER(SEARCH("mike",$D315)),ISNUMBER(SEARCH("mxd",$D315))),2,1)</f>
        <v/>
      </c>
      <c r="I315" s="18">
        <f>$H315*IFERROR(INDEX('Recap'!$O$5:$O$233,MATCH($K315,'Recap'!$P$5:$P$233,0)),0)</f>
        <v/>
      </c>
      <c r="J315" s="7">
        <f>$G315*$I315</f>
        <v/>
      </c>
      <c r="K315" s="4">
        <f>$A315&amp;"|"&amp;$C315</f>
        <v/>
      </c>
    </row>
    <row r="316">
      <c r="A316" s="4" t="inlineStr">
        <is>
          <t>Matt Powierski</t>
        </is>
      </c>
      <c r="B316" s="4" t="inlineStr">
        <is>
          <t>Denise Montes</t>
        </is>
      </c>
      <c r="C316" s="4" t="inlineStr">
        <is>
          <t>Constellation Brands</t>
        </is>
      </c>
      <c r="D316" s="4" t="inlineStr">
        <is>
          <t>Victoria</t>
        </is>
      </c>
      <c r="E316" s="5" t="n">
        <v>1179</v>
      </c>
      <c r="F316" s="5" t="n">
        <v>1035</v>
      </c>
      <c r="G316" s="8">
        <f>MAX(0,$E316-$F316)</f>
        <v/>
      </c>
      <c r="H316" s="18">
        <f>IF(OR(ISNUMBER(SEARCH("fever",$D316)),ISNUMBER(SEARCH("mike",$D316)),ISNUMBER(SEARCH("mxd",$D316))),2,1)</f>
        <v/>
      </c>
      <c r="I316" s="18">
        <f>$H316*IFERROR(INDEX('Recap'!$O$5:$O$233,MATCH($K316,'Recap'!$P$5:$P$233,0)),0)</f>
        <v/>
      </c>
      <c r="J316" s="7">
        <f>$G316*$I316</f>
        <v/>
      </c>
      <c r="K316" s="4">
        <f>$A316&amp;"|"&amp;$C316</f>
        <v/>
      </c>
    </row>
    <row r="317">
      <c r="A317" s="4" t="inlineStr">
        <is>
          <t>Matt Powierski</t>
        </is>
      </c>
      <c r="B317" s="4" t="inlineStr">
        <is>
          <t>Denise Montes</t>
        </is>
      </c>
      <c r="C317" s="4" t="inlineStr">
        <is>
          <t>DG Yuengling Inc</t>
        </is>
      </c>
      <c r="D317" s="4" t="inlineStr">
        <is>
          <t>Yuengling Flight</t>
        </is>
      </c>
      <c r="E317" s="5" t="n">
        <v>112</v>
      </c>
      <c r="F317" s="5" t="n">
        <v>134</v>
      </c>
      <c r="G317" s="8">
        <f>MAX(0,$E317-$F317)</f>
        <v/>
      </c>
      <c r="H317" s="18">
        <f>IF(OR(ISNUMBER(SEARCH("fever",$D317)),ISNUMBER(SEARCH("mike",$D317)),ISNUMBER(SEARCH("mxd",$D317))),2,1)</f>
        <v/>
      </c>
      <c r="I317" s="18">
        <f>$H317*IFERROR(INDEX('Recap'!$O$5:$O$233,MATCH($K317,'Recap'!$P$5:$P$233,0)),0)</f>
        <v/>
      </c>
      <c r="J317" s="7">
        <f>$G317*$I317</f>
        <v/>
      </c>
      <c r="K317" s="4">
        <f>$A317&amp;"|"&amp;$C317</f>
        <v/>
      </c>
    </row>
    <row r="318">
      <c r="A318" s="4" t="inlineStr">
        <is>
          <t>Matt Powierski</t>
        </is>
      </c>
      <c r="B318" s="4" t="inlineStr">
        <is>
          <t>Denise Montes</t>
        </is>
      </c>
      <c r="C318" s="4" t="inlineStr">
        <is>
          <t>DG Yuengling Inc</t>
        </is>
      </c>
      <c r="D318" s="4" t="inlineStr">
        <is>
          <t>Yuengling Light Lager</t>
        </is>
      </c>
      <c r="E318" s="5" t="n">
        <v>39</v>
      </c>
      <c r="F318" s="5" t="n">
        <v>31</v>
      </c>
      <c r="G318" s="8">
        <f>MAX(0,$E318-$F318)</f>
        <v/>
      </c>
      <c r="H318" s="18">
        <f>IF(OR(ISNUMBER(SEARCH("fever",$D318)),ISNUMBER(SEARCH("mike",$D318)),ISNUMBER(SEARCH("mxd",$D318))),2,1)</f>
        <v/>
      </c>
      <c r="I318" s="18">
        <f>$H318*IFERROR(INDEX('Recap'!$O$5:$O$233,MATCH($K318,'Recap'!$P$5:$P$233,0)),0)</f>
        <v/>
      </c>
      <c r="J318" s="7">
        <f>$G318*$I318</f>
        <v/>
      </c>
      <c r="K318" s="4">
        <f>$A318&amp;"|"&amp;$C318</f>
        <v/>
      </c>
    </row>
    <row r="319">
      <c r="A319" s="4" t="inlineStr">
        <is>
          <t>Matt Powierski</t>
        </is>
      </c>
      <c r="B319" s="4" t="inlineStr">
        <is>
          <t>Denise Montes</t>
        </is>
      </c>
      <c r="C319" s="4" t="inlineStr">
        <is>
          <t>Heineken USA</t>
        </is>
      </c>
      <c r="D319" s="4" t="inlineStr">
        <is>
          <t>Heineken 0.0</t>
        </is>
      </c>
      <c r="E319" s="5" t="n">
        <v>492</v>
      </c>
      <c r="F319" s="5" t="n">
        <v>570</v>
      </c>
      <c r="G319" s="8">
        <f>MAX(0,$E319-$F319)</f>
        <v/>
      </c>
      <c r="H319" s="18">
        <f>IF(OR(ISNUMBER(SEARCH("fever",$D319)),ISNUMBER(SEARCH("mike",$D319)),ISNUMBER(SEARCH("mxd",$D319))),2,1)</f>
        <v/>
      </c>
      <c r="I319" s="18">
        <f>$H319*IFERROR(INDEX('Recap'!$O$5:$O$233,MATCH($K319,'Recap'!$P$5:$P$233,0)),0)</f>
        <v/>
      </c>
      <c r="J319" s="7">
        <f>$G319*$I319</f>
        <v/>
      </c>
      <c r="K319" s="4">
        <f>$A319&amp;"|"&amp;$C319</f>
        <v/>
      </c>
    </row>
    <row r="320">
      <c r="A320" s="4" t="inlineStr">
        <is>
          <t>Matt Powierski</t>
        </is>
      </c>
      <c r="B320" s="4" t="inlineStr">
        <is>
          <t>Denise Montes</t>
        </is>
      </c>
      <c r="C320" s="4" t="inlineStr">
        <is>
          <t>Heineken USA</t>
        </is>
      </c>
      <c r="D320" s="4" t="inlineStr">
        <is>
          <t>Heineken Light</t>
        </is>
      </c>
      <c r="E320" s="5" t="n">
        <v>387</v>
      </c>
      <c r="F320" s="5" t="n">
        <v>374</v>
      </c>
      <c r="G320" s="8">
        <f>MAX(0,$E320-$F320)</f>
        <v/>
      </c>
      <c r="H320" s="18">
        <f>IF(OR(ISNUMBER(SEARCH("fever",$D320)),ISNUMBER(SEARCH("mike",$D320)),ISNUMBER(SEARCH("mxd",$D320))),2,1)</f>
        <v/>
      </c>
      <c r="I320" s="18">
        <f>$H320*IFERROR(INDEX('Recap'!$O$5:$O$233,MATCH($K320,'Recap'!$P$5:$P$233,0)),0)</f>
        <v/>
      </c>
      <c r="J320" s="7">
        <f>$G320*$I320</f>
        <v/>
      </c>
      <c r="K320" s="4">
        <f>$A320&amp;"|"&amp;$C320</f>
        <v/>
      </c>
    </row>
    <row r="321">
      <c r="A321" s="4" t="inlineStr">
        <is>
          <t>Matt Powierski</t>
        </is>
      </c>
      <c r="B321" s="4" t="inlineStr">
        <is>
          <t>Denise Montes</t>
        </is>
      </c>
      <c r="C321" s="4" t="inlineStr">
        <is>
          <t>Mark Anthony</t>
        </is>
      </c>
      <c r="D321" s="4" t="inlineStr">
        <is>
          <t>Cayman Jack</t>
        </is>
      </c>
      <c r="E321" s="5" t="n">
        <v>1044</v>
      </c>
      <c r="F321" s="5" t="n">
        <v>833</v>
      </c>
      <c r="G321" s="8">
        <f>MAX(0,$E321-$F321)</f>
        <v/>
      </c>
      <c r="H321" s="18">
        <f>IF(OR(ISNUMBER(SEARCH("fever",$D321)),ISNUMBER(SEARCH("mike",$D321)),ISNUMBER(SEARCH("mxd",$D321))),2,1)</f>
        <v/>
      </c>
      <c r="I321" s="18">
        <f>$H321*IFERROR(INDEX('Recap'!$O$5:$O$233,MATCH($K321,'Recap'!$P$5:$P$233,0)),0)</f>
        <v/>
      </c>
      <c r="J321" s="7">
        <f>$G321*$I321</f>
        <v/>
      </c>
      <c r="K321" s="4">
        <f>$A321&amp;"|"&amp;$C321</f>
        <v/>
      </c>
    </row>
    <row r="322">
      <c r="A322" s="4" t="inlineStr">
        <is>
          <t>Matt Powierski</t>
        </is>
      </c>
      <c r="B322" s="4" t="inlineStr">
        <is>
          <t>Denise Montes</t>
        </is>
      </c>
      <c r="C322" s="4" t="inlineStr">
        <is>
          <t>Mark Anthony</t>
        </is>
      </c>
      <c r="D322" s="4" t="inlineStr">
        <is>
          <t>Mike's Harder</t>
        </is>
      </c>
      <c r="E322" s="5" t="n">
        <v>162</v>
      </c>
      <c r="F322" s="5" t="n">
        <v>196</v>
      </c>
      <c r="G322" s="8">
        <f>MAX(0,$E322-$F322)</f>
        <v/>
      </c>
      <c r="H322" s="18">
        <f>IF(OR(ISNUMBER(SEARCH("fever",$D322)),ISNUMBER(SEARCH("mike",$D322)),ISNUMBER(SEARCH("mxd",$D322))),2,1)</f>
        <v/>
      </c>
      <c r="I322" s="18">
        <f>$H322*IFERROR(INDEX('Recap'!$O$5:$O$233,MATCH($K322,'Recap'!$P$5:$P$233,0)),0)</f>
        <v/>
      </c>
      <c r="J322" s="7">
        <f>$G322*$I322</f>
        <v/>
      </c>
      <c r="K322" s="4">
        <f>$A322&amp;"|"&amp;$C322</f>
        <v/>
      </c>
    </row>
    <row r="323">
      <c r="A323" s="4" t="inlineStr">
        <is>
          <t>Matt Powierski</t>
        </is>
      </c>
      <c r="B323" s="4" t="inlineStr">
        <is>
          <t>Denise Montes</t>
        </is>
      </c>
      <c r="C323" s="4" t="inlineStr">
        <is>
          <t>Mark Anthony</t>
        </is>
      </c>
      <c r="D323" s="4" t="inlineStr">
        <is>
          <t>Mxd Cocktails</t>
        </is>
      </c>
      <c r="E323" s="5" t="n">
        <v>48</v>
      </c>
      <c r="F323" s="5" t="n">
        <v>23</v>
      </c>
      <c r="G323" s="8">
        <f>MAX(0,$E323-$F323)</f>
        <v/>
      </c>
      <c r="H323" s="18">
        <f>IF(OR(ISNUMBER(SEARCH("fever",$D323)),ISNUMBER(SEARCH("mike",$D323)),ISNUMBER(SEARCH("mxd",$D323))),2,1)</f>
        <v/>
      </c>
      <c r="I323" s="18">
        <f>$H323*IFERROR(INDEX('Recap'!$O$5:$O$233,MATCH($K323,'Recap'!$P$5:$P$233,0)),0)</f>
        <v/>
      </c>
      <c r="J323" s="7">
        <f>$G323*$I323</f>
        <v/>
      </c>
      <c r="K323" s="4">
        <f>$A323&amp;"|"&amp;$C323</f>
        <v/>
      </c>
    </row>
    <row r="324">
      <c r="A324" s="4" t="inlineStr">
        <is>
          <t>Matt Powierski</t>
        </is>
      </c>
      <c r="B324" s="4" t="inlineStr">
        <is>
          <t>Denise Montes</t>
        </is>
      </c>
      <c r="C324" s="4" t="inlineStr">
        <is>
          <t>MolsonCoors Beverage Company</t>
        </is>
      </c>
      <c r="D324" s="4" t="inlineStr">
        <is>
          <t>Coors</t>
        </is>
      </c>
      <c r="E324" s="5" t="n">
        <v>1855</v>
      </c>
      <c r="F324" s="5" t="n">
        <v>1701</v>
      </c>
      <c r="G324" s="8">
        <f>MAX(0,$E324-$F324)</f>
        <v/>
      </c>
      <c r="H324" s="18">
        <f>IF(OR(ISNUMBER(SEARCH("fever",$D324)),ISNUMBER(SEARCH("mike",$D324)),ISNUMBER(SEARCH("mxd",$D324))),2,1)</f>
        <v/>
      </c>
      <c r="I324" s="18">
        <f>$H324*IFERROR(INDEX('Recap'!$O$5:$O$233,MATCH($K324,'Recap'!$P$5:$P$233,0)),0)</f>
        <v/>
      </c>
      <c r="J324" s="7">
        <f>$G324*$I324</f>
        <v/>
      </c>
      <c r="K324" s="4">
        <f>$A324&amp;"|"&amp;$C324</f>
        <v/>
      </c>
    </row>
    <row r="325">
      <c r="A325" s="4" t="inlineStr">
        <is>
          <t>Matt Powierski</t>
        </is>
      </c>
      <c r="B325" s="4" t="inlineStr">
        <is>
          <t>Denise Montes</t>
        </is>
      </c>
      <c r="C325" s="4" t="inlineStr">
        <is>
          <t>MolsonCoors Beverage Company</t>
        </is>
      </c>
      <c r="D325" s="4" t="inlineStr">
        <is>
          <t>Fever Tree</t>
        </is>
      </c>
      <c r="E325" s="5" t="n">
        <v>44</v>
      </c>
      <c r="F325" s="5" t="n">
        <v>36</v>
      </c>
      <c r="G325" s="8">
        <f>MAX(0,$E325-$F325)</f>
        <v/>
      </c>
      <c r="H325" s="18">
        <f>IF(OR(ISNUMBER(SEARCH("fever",$D325)),ISNUMBER(SEARCH("mike",$D325)),ISNUMBER(SEARCH("mxd",$D325))),2,1)</f>
        <v/>
      </c>
      <c r="I325" s="18">
        <f>$H325*IFERROR(INDEX('Recap'!$O$5:$O$233,MATCH($K325,'Recap'!$P$5:$P$233,0)),0)</f>
        <v/>
      </c>
      <c r="J325" s="7">
        <f>$G325*$I325</f>
        <v/>
      </c>
      <c r="K325" s="4">
        <f>$A325&amp;"|"&amp;$C325</f>
        <v/>
      </c>
    </row>
    <row r="326">
      <c r="A326" s="4" t="inlineStr">
        <is>
          <t>Matt Powierski</t>
        </is>
      </c>
      <c r="B326" s="4" t="inlineStr">
        <is>
          <t>Denise Montes</t>
        </is>
      </c>
      <c r="C326" s="4" t="inlineStr">
        <is>
          <t>MolsonCoors Beverage Company</t>
        </is>
      </c>
      <c r="D326" s="4" t="inlineStr">
        <is>
          <t>Peroni</t>
        </is>
      </c>
      <c r="E326" s="5" t="n">
        <v>1169</v>
      </c>
      <c r="F326" s="5" t="n">
        <v>998</v>
      </c>
      <c r="G326" s="8">
        <f>MAX(0,$E326-$F326)</f>
        <v/>
      </c>
      <c r="H326" s="18">
        <f>IF(OR(ISNUMBER(SEARCH("fever",$D326)),ISNUMBER(SEARCH("mike",$D326)),ISNUMBER(SEARCH("mxd",$D326))),2,1)</f>
        <v/>
      </c>
      <c r="I326" s="18">
        <f>$H326*IFERROR(INDEX('Recap'!$O$5:$O$233,MATCH($K326,'Recap'!$P$5:$P$233,0)),0)</f>
        <v/>
      </c>
      <c r="J326" s="7">
        <f>$G326*$I326</f>
        <v/>
      </c>
      <c r="K326" s="4">
        <f>$A326&amp;"|"&amp;$C326</f>
        <v/>
      </c>
    </row>
    <row r="327">
      <c r="A327" s="4" t="inlineStr">
        <is>
          <t>Matt Powierski</t>
        </is>
      </c>
      <c r="B327" s="4" t="inlineStr">
        <is>
          <t>Denise Montes</t>
        </is>
      </c>
      <c r="C327" s="4" t="inlineStr">
        <is>
          <t>New Belgium Brewing Company</t>
        </is>
      </c>
      <c r="D327" s="4" t="inlineStr">
        <is>
          <t>Bell's</t>
        </is>
      </c>
      <c r="E327" s="5" t="n">
        <v>0</v>
      </c>
      <c r="F327" s="5" t="n">
        <v>3</v>
      </c>
      <c r="G327" s="8">
        <f>MAX(0,$E327-$F327)</f>
        <v/>
      </c>
      <c r="H327" s="18">
        <f>IF(OR(ISNUMBER(SEARCH("fever",$D327)),ISNUMBER(SEARCH("mike",$D327)),ISNUMBER(SEARCH("mxd",$D327))),2,1)</f>
        <v/>
      </c>
      <c r="I327" s="18">
        <f>$H327*IFERROR(INDEX('Recap'!$O$5:$O$233,MATCH($K327,'Recap'!$P$5:$P$233,0)),0)</f>
        <v/>
      </c>
      <c r="J327" s="7">
        <f>$G327*$I327</f>
        <v/>
      </c>
      <c r="K327" s="4">
        <f>$A327&amp;"|"&amp;$C327</f>
        <v/>
      </c>
    </row>
    <row r="328">
      <c r="A328" s="4" t="inlineStr">
        <is>
          <t>Matt Powierski</t>
        </is>
      </c>
      <c r="B328" s="4" t="inlineStr">
        <is>
          <t>Denise Montes</t>
        </is>
      </c>
      <c r="C328" s="4" t="inlineStr">
        <is>
          <t>New Belgium Brewing Company</t>
        </is>
      </c>
      <c r="D328" s="4" t="inlineStr">
        <is>
          <t>Fat Tire Family</t>
        </is>
      </c>
      <c r="E328" s="5" t="n">
        <v>28</v>
      </c>
      <c r="F328" s="5" t="n">
        <v>33</v>
      </c>
      <c r="G328" s="8">
        <f>MAX(0,$E328-$F328)</f>
        <v/>
      </c>
      <c r="H328" s="18">
        <f>IF(OR(ISNUMBER(SEARCH("fever",$D328)),ISNUMBER(SEARCH("mike",$D328)),ISNUMBER(SEARCH("mxd",$D328))),2,1)</f>
        <v/>
      </c>
      <c r="I328" s="18">
        <f>$H328*IFERROR(INDEX('Recap'!$O$5:$O$233,MATCH($K328,'Recap'!$P$5:$P$233,0)),0)</f>
        <v/>
      </c>
      <c r="J328" s="7">
        <f>$G328*$I328</f>
        <v/>
      </c>
      <c r="K328" s="4">
        <f>$A328&amp;"|"&amp;$C328</f>
        <v/>
      </c>
    </row>
    <row r="329">
      <c r="A329" s="4" t="inlineStr">
        <is>
          <t>Matt Powierski</t>
        </is>
      </c>
      <c r="B329" s="4" t="inlineStr">
        <is>
          <t>Denise Montes</t>
        </is>
      </c>
      <c r="C329" s="4" t="inlineStr">
        <is>
          <t>New Belgium Brewing Company</t>
        </is>
      </c>
      <c r="D329" s="4" t="inlineStr">
        <is>
          <t>Kirin Ichiban</t>
        </is>
      </c>
      <c r="E329" s="5" t="n">
        <v>47</v>
      </c>
      <c r="F329" s="5" t="n">
        <v>47</v>
      </c>
      <c r="G329" s="8">
        <f>MAX(0,$E329-$F329)</f>
        <v/>
      </c>
      <c r="H329" s="18">
        <f>IF(OR(ISNUMBER(SEARCH("fever",$D329)),ISNUMBER(SEARCH("mike",$D329)),ISNUMBER(SEARCH("mxd",$D329))),2,1)</f>
        <v/>
      </c>
      <c r="I329" s="18">
        <f>$H329*IFERROR(INDEX('Recap'!$O$5:$O$233,MATCH($K329,'Recap'!$P$5:$P$233,0)),0)</f>
        <v/>
      </c>
      <c r="J329" s="7">
        <f>$G329*$I329</f>
        <v/>
      </c>
      <c r="K329" s="4">
        <f>$A329&amp;"|"&amp;$C329</f>
        <v/>
      </c>
    </row>
    <row r="330">
      <c r="A330" s="4" t="inlineStr">
        <is>
          <t>Matt Powierski</t>
        </is>
      </c>
      <c r="B330" s="4" t="inlineStr">
        <is>
          <t>Denise Montes</t>
        </is>
      </c>
      <c r="C330" s="4" t="inlineStr">
        <is>
          <t>New Belgium Brewing Company</t>
        </is>
      </c>
      <c r="D330" s="4" t="inlineStr">
        <is>
          <t>Voodoo Family</t>
        </is>
      </c>
      <c r="E330" s="5" t="n">
        <v>594</v>
      </c>
      <c r="F330" s="5" t="n">
        <v>482</v>
      </c>
      <c r="G330" s="8">
        <f>MAX(0,$E330-$F330)</f>
        <v/>
      </c>
      <c r="H330" s="18">
        <f>IF(OR(ISNUMBER(SEARCH("fever",$D330)),ISNUMBER(SEARCH("mike",$D330)),ISNUMBER(SEARCH("mxd",$D330))),2,1)</f>
        <v/>
      </c>
      <c r="I330" s="18">
        <f>$H330*IFERROR(INDEX('Recap'!$O$5:$O$233,MATCH($K330,'Recap'!$P$5:$P$233,0)),0)</f>
        <v/>
      </c>
      <c r="J330" s="7">
        <f>$G330*$I330</f>
        <v/>
      </c>
      <c r="K330" s="4">
        <f>$A330&amp;"|"&amp;$C330</f>
        <v/>
      </c>
    </row>
    <row r="331">
      <c r="A331" s="4" t="inlineStr">
        <is>
          <t>Matt Powierski</t>
        </is>
      </c>
      <c r="B331" s="4" t="inlineStr">
        <is>
          <t>Denise Montes</t>
        </is>
      </c>
      <c r="C331" s="4" t="inlineStr">
        <is>
          <t>Sapporo</t>
        </is>
      </c>
      <c r="D331" s="4" t="inlineStr">
        <is>
          <t>Sapporo</t>
        </is>
      </c>
      <c r="E331" s="5" t="n">
        <v>878</v>
      </c>
      <c r="F331" s="5" t="n">
        <v>643</v>
      </c>
      <c r="G331" s="8">
        <f>MAX(0,$E331-$F331)</f>
        <v/>
      </c>
      <c r="H331" s="18">
        <f>IF(OR(ISNUMBER(SEARCH("fever",$D331)),ISNUMBER(SEARCH("mike",$D331)),ISNUMBER(SEARCH("mxd",$D331))),2,1)</f>
        <v/>
      </c>
      <c r="I331" s="18">
        <f>$H331*IFERROR(INDEX('Recap'!$O$5:$O$233,MATCH($K331,'Recap'!$P$5:$P$233,0)),0)</f>
        <v/>
      </c>
      <c r="J331" s="7">
        <f>$G331*$I331</f>
        <v/>
      </c>
      <c r="K331" s="4">
        <f>$A331&amp;"|"&amp;$C331</f>
        <v/>
      </c>
    </row>
    <row r="332">
      <c r="A332" s="4" t="inlineStr">
        <is>
          <t>Michael Harboy</t>
        </is>
      </c>
      <c r="B332" s="4" t="inlineStr">
        <is>
          <t>Mike Kennedy</t>
        </is>
      </c>
      <c r="C332" s="4" t="inlineStr">
        <is>
          <t>Boston Beer Company</t>
        </is>
      </c>
      <c r="D332" s="4" t="inlineStr">
        <is>
          <t>Dogfish Head Beer</t>
        </is>
      </c>
      <c r="E332" s="5" t="n">
        <v>128</v>
      </c>
      <c r="F332" s="5" t="n">
        <v>99</v>
      </c>
      <c r="G332" s="8">
        <f>MAX(0,$E332-$F332)</f>
        <v/>
      </c>
      <c r="H332" s="18">
        <f>IF(OR(ISNUMBER(SEARCH("fever",$D332)),ISNUMBER(SEARCH("mike",$D332)),ISNUMBER(SEARCH("mxd",$D332))),2,1)</f>
        <v/>
      </c>
      <c r="I332" s="18">
        <f>$H332*IFERROR(INDEX('Recap'!$O$5:$O$233,MATCH($K332,'Recap'!$P$5:$P$233,0)),0)</f>
        <v/>
      </c>
      <c r="J332" s="7">
        <f>$G332*$I332</f>
        <v/>
      </c>
      <c r="K332" s="4">
        <f>$A332&amp;"|"&amp;$C332</f>
        <v/>
      </c>
    </row>
    <row r="333">
      <c r="A333" s="4" t="inlineStr">
        <is>
          <t>Michael Harboy</t>
        </is>
      </c>
      <c r="B333" s="4" t="inlineStr">
        <is>
          <t>Mike Kennedy</t>
        </is>
      </c>
      <c r="C333" s="4" t="inlineStr">
        <is>
          <t>Boston Beer Company</t>
        </is>
      </c>
      <c r="D333" s="4" t="inlineStr">
        <is>
          <t>Dogfish Head Spirits</t>
        </is>
      </c>
      <c r="E333" s="5" t="n">
        <v>23</v>
      </c>
      <c r="F333" s="5" t="n">
        <v>51</v>
      </c>
      <c r="G333" s="8">
        <f>MAX(0,$E333-$F333)</f>
        <v/>
      </c>
      <c r="H333" s="18">
        <f>IF(OR(ISNUMBER(SEARCH("fever",$D333)),ISNUMBER(SEARCH("mike",$D333)),ISNUMBER(SEARCH("mxd",$D333))),2,1)</f>
        <v/>
      </c>
      <c r="I333" s="18">
        <f>$H333*IFERROR(INDEX('Recap'!$O$5:$O$233,MATCH($K333,'Recap'!$P$5:$P$233,0)),0)</f>
        <v/>
      </c>
      <c r="J333" s="7">
        <f>$G333*$I333</f>
        <v/>
      </c>
      <c r="K333" s="4">
        <f>$A333&amp;"|"&amp;$C333</f>
        <v/>
      </c>
    </row>
    <row r="334">
      <c r="A334" s="4" t="inlineStr">
        <is>
          <t>Michael Harboy</t>
        </is>
      </c>
      <c r="B334" s="4" t="inlineStr">
        <is>
          <t>Mike Kennedy</t>
        </is>
      </c>
      <c r="C334" s="4" t="inlineStr">
        <is>
          <t>Cape May</t>
        </is>
      </c>
      <c r="D334" s="4" t="inlineStr">
        <is>
          <t>Cape May</t>
        </is>
      </c>
      <c r="E334" s="5" t="n">
        <v>115</v>
      </c>
      <c r="F334" s="5" t="n">
        <v>115</v>
      </c>
      <c r="G334" s="8">
        <f>MAX(0,$E334-$F334)</f>
        <v/>
      </c>
      <c r="H334" s="18">
        <f>IF(OR(ISNUMBER(SEARCH("fever",$D334)),ISNUMBER(SEARCH("mike",$D334)),ISNUMBER(SEARCH("mxd",$D334))),2,1)</f>
        <v/>
      </c>
      <c r="I334" s="18">
        <f>$H334*IFERROR(INDEX('Recap'!$O$5:$O$233,MATCH($K334,'Recap'!$P$5:$P$233,0)),0)</f>
        <v/>
      </c>
      <c r="J334" s="7">
        <f>$G334*$I334</f>
        <v/>
      </c>
      <c r="K334" s="4">
        <f>$A334&amp;"|"&amp;$C334</f>
        <v/>
      </c>
    </row>
    <row r="335">
      <c r="A335" s="4" t="inlineStr">
        <is>
          <t>Michael Harboy</t>
        </is>
      </c>
      <c r="B335" s="4" t="inlineStr">
        <is>
          <t>Mike Kennedy</t>
        </is>
      </c>
      <c r="C335" s="4" t="inlineStr">
        <is>
          <t>Constellation Brands</t>
        </is>
      </c>
      <c r="D335" s="4" t="inlineStr">
        <is>
          <t>Corona Premier</t>
        </is>
      </c>
      <c r="E335" s="5" t="n">
        <v>202</v>
      </c>
      <c r="F335" s="5" t="n">
        <v>210</v>
      </c>
      <c r="G335" s="8">
        <f>MAX(0,$E335-$F335)</f>
        <v/>
      </c>
      <c r="H335" s="18">
        <f>IF(OR(ISNUMBER(SEARCH("fever",$D335)),ISNUMBER(SEARCH("mike",$D335)),ISNUMBER(SEARCH("mxd",$D335))),2,1)</f>
        <v/>
      </c>
      <c r="I335" s="18">
        <f>$H335*IFERROR(INDEX('Recap'!$O$5:$O$233,MATCH($K335,'Recap'!$P$5:$P$233,0)),0)</f>
        <v/>
      </c>
      <c r="J335" s="7">
        <f>$G335*$I335</f>
        <v/>
      </c>
      <c r="K335" s="4">
        <f>$A335&amp;"|"&amp;$C335</f>
        <v/>
      </c>
    </row>
    <row r="336">
      <c r="A336" s="4" t="inlineStr">
        <is>
          <t>Michael Harboy</t>
        </is>
      </c>
      <c r="B336" s="4" t="inlineStr">
        <is>
          <t>Mike Kennedy</t>
        </is>
      </c>
      <c r="C336" s="4" t="inlineStr">
        <is>
          <t>Constellation Brands</t>
        </is>
      </c>
      <c r="D336" s="4" t="inlineStr">
        <is>
          <t>Modelo Chelada</t>
        </is>
      </c>
      <c r="E336" s="5" t="n">
        <v>268</v>
      </c>
      <c r="F336" s="5" t="n">
        <v>290</v>
      </c>
      <c r="G336" s="8">
        <f>MAX(0,$E336-$F336)</f>
        <v/>
      </c>
      <c r="H336" s="18">
        <f>IF(OR(ISNUMBER(SEARCH("fever",$D336)),ISNUMBER(SEARCH("mike",$D336)),ISNUMBER(SEARCH("mxd",$D336))),2,1)</f>
        <v/>
      </c>
      <c r="I336" s="18">
        <f>$H336*IFERROR(INDEX('Recap'!$O$5:$O$233,MATCH($K336,'Recap'!$P$5:$P$233,0)),0)</f>
        <v/>
      </c>
      <c r="J336" s="7">
        <f>$G336*$I336</f>
        <v/>
      </c>
      <c r="K336" s="4">
        <f>$A336&amp;"|"&amp;$C336</f>
        <v/>
      </c>
    </row>
    <row r="337">
      <c r="A337" s="4" t="inlineStr">
        <is>
          <t>Michael Harboy</t>
        </is>
      </c>
      <c r="B337" s="4" t="inlineStr">
        <is>
          <t>Mike Kennedy</t>
        </is>
      </c>
      <c r="C337" s="4" t="inlineStr">
        <is>
          <t>Constellation Brands</t>
        </is>
      </c>
      <c r="D337" s="4" t="inlineStr">
        <is>
          <t>Pacifico</t>
        </is>
      </c>
      <c r="E337" s="5" t="n">
        <v>102</v>
      </c>
      <c r="F337" s="5" t="n">
        <v>89</v>
      </c>
      <c r="G337" s="8">
        <f>MAX(0,$E337-$F337)</f>
        <v/>
      </c>
      <c r="H337" s="18">
        <f>IF(OR(ISNUMBER(SEARCH("fever",$D337)),ISNUMBER(SEARCH("mike",$D337)),ISNUMBER(SEARCH("mxd",$D337))),2,1)</f>
        <v/>
      </c>
      <c r="I337" s="18">
        <f>$H337*IFERROR(INDEX('Recap'!$O$5:$O$233,MATCH($K337,'Recap'!$P$5:$P$233,0)),0)</f>
        <v/>
      </c>
      <c r="J337" s="7">
        <f>$G337*$I337</f>
        <v/>
      </c>
      <c r="K337" s="4">
        <f>$A337&amp;"|"&amp;$C337</f>
        <v/>
      </c>
    </row>
    <row r="338">
      <c r="A338" s="4" t="inlineStr">
        <is>
          <t>Michael Harboy</t>
        </is>
      </c>
      <c r="B338" s="4" t="inlineStr">
        <is>
          <t>Mike Kennedy</t>
        </is>
      </c>
      <c r="C338" s="4" t="inlineStr">
        <is>
          <t>Constellation Brands</t>
        </is>
      </c>
      <c r="D338" s="4" t="inlineStr">
        <is>
          <t>Victoria</t>
        </is>
      </c>
      <c r="E338" s="5" t="n">
        <v>134</v>
      </c>
      <c r="F338" s="5" t="n">
        <v>160</v>
      </c>
      <c r="G338" s="8">
        <f>MAX(0,$E338-$F338)</f>
        <v/>
      </c>
      <c r="H338" s="18">
        <f>IF(OR(ISNUMBER(SEARCH("fever",$D338)),ISNUMBER(SEARCH("mike",$D338)),ISNUMBER(SEARCH("mxd",$D338))),2,1)</f>
        <v/>
      </c>
      <c r="I338" s="18">
        <f>$H338*IFERROR(INDEX('Recap'!$O$5:$O$233,MATCH($K338,'Recap'!$P$5:$P$233,0)),0)</f>
        <v/>
      </c>
      <c r="J338" s="7">
        <f>$G338*$I338</f>
        <v/>
      </c>
      <c r="K338" s="4">
        <f>$A338&amp;"|"&amp;$C338</f>
        <v/>
      </c>
    </row>
    <row r="339">
      <c r="A339" s="4" t="inlineStr">
        <is>
          <t>Michael Harboy</t>
        </is>
      </c>
      <c r="B339" s="4" t="inlineStr">
        <is>
          <t>Mike Kennedy</t>
        </is>
      </c>
      <c r="C339" s="4" t="inlineStr">
        <is>
          <t>DG Yuengling Inc</t>
        </is>
      </c>
      <c r="D339" s="4" t="inlineStr">
        <is>
          <t>Yuengling Flight</t>
        </is>
      </c>
      <c r="E339" s="5" t="n">
        <v>34</v>
      </c>
      <c r="F339" s="5" t="n">
        <v>26</v>
      </c>
      <c r="G339" s="8">
        <f>MAX(0,$E339-$F339)</f>
        <v/>
      </c>
      <c r="H339" s="18">
        <f>IF(OR(ISNUMBER(SEARCH("fever",$D339)),ISNUMBER(SEARCH("mike",$D339)),ISNUMBER(SEARCH("mxd",$D339))),2,1)</f>
        <v/>
      </c>
      <c r="I339" s="18">
        <f>$H339*IFERROR(INDEX('Recap'!$O$5:$O$233,MATCH($K339,'Recap'!$P$5:$P$233,0)),0)</f>
        <v/>
      </c>
      <c r="J339" s="7">
        <f>$G339*$I339</f>
        <v/>
      </c>
      <c r="K339" s="4">
        <f>$A339&amp;"|"&amp;$C339</f>
        <v/>
      </c>
    </row>
    <row r="340">
      <c r="A340" s="4" t="inlineStr">
        <is>
          <t>Michael Harboy</t>
        </is>
      </c>
      <c r="B340" s="4" t="inlineStr">
        <is>
          <t>Mike Kennedy</t>
        </is>
      </c>
      <c r="C340" s="4" t="inlineStr">
        <is>
          <t>DG Yuengling Inc</t>
        </is>
      </c>
      <c r="D340" s="4" t="inlineStr">
        <is>
          <t>Yuengling Light Lager</t>
        </is>
      </c>
      <c r="E340" s="5" t="n">
        <v>20</v>
      </c>
      <c r="F340" s="5" t="n">
        <v>44</v>
      </c>
      <c r="G340" s="8">
        <f>MAX(0,$E340-$F340)</f>
        <v/>
      </c>
      <c r="H340" s="18">
        <f>IF(OR(ISNUMBER(SEARCH("fever",$D340)),ISNUMBER(SEARCH("mike",$D340)),ISNUMBER(SEARCH("mxd",$D340))),2,1)</f>
        <v/>
      </c>
      <c r="I340" s="18">
        <f>$H340*IFERROR(INDEX('Recap'!$O$5:$O$233,MATCH($K340,'Recap'!$P$5:$P$233,0)),0)</f>
        <v/>
      </c>
      <c r="J340" s="7">
        <f>$G340*$I340</f>
        <v/>
      </c>
      <c r="K340" s="4">
        <f>$A340&amp;"|"&amp;$C340</f>
        <v/>
      </c>
    </row>
    <row r="341">
      <c r="A341" s="4" t="inlineStr">
        <is>
          <t>Michael Harboy</t>
        </is>
      </c>
      <c r="B341" s="4" t="inlineStr">
        <is>
          <t>Mike Kennedy</t>
        </is>
      </c>
      <c r="C341" s="4" t="inlineStr">
        <is>
          <t>Heineken USA</t>
        </is>
      </c>
      <c r="D341" s="4" t="inlineStr">
        <is>
          <t>Heineken 0.0</t>
        </is>
      </c>
      <c r="E341" s="5" t="n">
        <v>78</v>
      </c>
      <c r="F341" s="5" t="n">
        <v>77</v>
      </c>
      <c r="G341" s="8">
        <f>MAX(0,$E341-$F341)</f>
        <v/>
      </c>
      <c r="H341" s="18">
        <f>IF(OR(ISNUMBER(SEARCH("fever",$D341)),ISNUMBER(SEARCH("mike",$D341)),ISNUMBER(SEARCH("mxd",$D341))),2,1)</f>
        <v/>
      </c>
      <c r="I341" s="18">
        <f>$H341*IFERROR(INDEX('Recap'!$O$5:$O$233,MATCH($K341,'Recap'!$P$5:$P$233,0)),0)</f>
        <v/>
      </c>
      <c r="J341" s="7">
        <f>$G341*$I341</f>
        <v/>
      </c>
      <c r="K341" s="4">
        <f>$A341&amp;"|"&amp;$C341</f>
        <v/>
      </c>
    </row>
    <row r="342">
      <c r="A342" s="4" t="inlineStr">
        <is>
          <t>Michael Harboy</t>
        </is>
      </c>
      <c r="B342" s="4" t="inlineStr">
        <is>
          <t>Mike Kennedy</t>
        </is>
      </c>
      <c r="C342" s="4" t="inlineStr">
        <is>
          <t>Heineken USA</t>
        </is>
      </c>
      <c r="D342" s="4" t="inlineStr">
        <is>
          <t>Heineken Light</t>
        </is>
      </c>
      <c r="E342" s="5" t="n">
        <v>36</v>
      </c>
      <c r="F342" s="5" t="n">
        <v>137</v>
      </c>
      <c r="G342" s="8">
        <f>MAX(0,$E342-$F342)</f>
        <v/>
      </c>
      <c r="H342" s="18">
        <f>IF(OR(ISNUMBER(SEARCH("fever",$D342)),ISNUMBER(SEARCH("mike",$D342)),ISNUMBER(SEARCH("mxd",$D342))),2,1)</f>
        <v/>
      </c>
      <c r="I342" s="18">
        <f>$H342*IFERROR(INDEX('Recap'!$O$5:$O$233,MATCH($K342,'Recap'!$P$5:$P$233,0)),0)</f>
        <v/>
      </c>
      <c r="J342" s="7">
        <f>$G342*$I342</f>
        <v/>
      </c>
      <c r="K342" s="4">
        <f>$A342&amp;"|"&amp;$C342</f>
        <v/>
      </c>
    </row>
    <row r="343">
      <c r="A343" s="4" t="inlineStr">
        <is>
          <t>Michael Harboy</t>
        </is>
      </c>
      <c r="B343" s="4" t="inlineStr">
        <is>
          <t>Mike Kennedy</t>
        </is>
      </c>
      <c r="C343" s="4" t="inlineStr">
        <is>
          <t>Mark Anthony</t>
        </is>
      </c>
      <c r="D343" s="4" t="inlineStr">
        <is>
          <t>Cayman Jack</t>
        </is>
      </c>
      <c r="E343" s="5" t="n">
        <v>92</v>
      </c>
      <c r="F343" s="5" t="n">
        <v>125</v>
      </c>
      <c r="G343" s="8">
        <f>MAX(0,$E343-$F343)</f>
        <v/>
      </c>
      <c r="H343" s="18">
        <f>IF(OR(ISNUMBER(SEARCH("fever",$D343)),ISNUMBER(SEARCH("mike",$D343)),ISNUMBER(SEARCH("mxd",$D343))),2,1)</f>
        <v/>
      </c>
      <c r="I343" s="18">
        <f>$H343*IFERROR(INDEX('Recap'!$O$5:$O$233,MATCH($K343,'Recap'!$P$5:$P$233,0)),0)</f>
        <v/>
      </c>
      <c r="J343" s="7">
        <f>$G343*$I343</f>
        <v/>
      </c>
      <c r="K343" s="4">
        <f>$A343&amp;"|"&amp;$C343</f>
        <v/>
      </c>
    </row>
    <row r="344">
      <c r="A344" s="4" t="inlineStr">
        <is>
          <t>Michael Harboy</t>
        </is>
      </c>
      <c r="B344" s="4" t="inlineStr">
        <is>
          <t>Mike Kennedy</t>
        </is>
      </c>
      <c r="C344" s="4" t="inlineStr">
        <is>
          <t>Mark Anthony</t>
        </is>
      </c>
      <c r="D344" s="4" t="inlineStr">
        <is>
          <t>Mike's Harder</t>
        </is>
      </c>
      <c r="E344" s="5" t="n">
        <v>50</v>
      </c>
      <c r="F344" s="5" t="n">
        <v>38</v>
      </c>
      <c r="G344" s="8">
        <f>MAX(0,$E344-$F344)</f>
        <v/>
      </c>
      <c r="H344" s="18">
        <f>IF(OR(ISNUMBER(SEARCH("fever",$D344)),ISNUMBER(SEARCH("mike",$D344)),ISNUMBER(SEARCH("mxd",$D344))),2,1)</f>
        <v/>
      </c>
      <c r="I344" s="18">
        <f>$H344*IFERROR(INDEX('Recap'!$O$5:$O$233,MATCH($K344,'Recap'!$P$5:$P$233,0)),0)</f>
        <v/>
      </c>
      <c r="J344" s="7">
        <f>$G344*$I344</f>
        <v/>
      </c>
      <c r="K344" s="4">
        <f>$A344&amp;"|"&amp;$C344</f>
        <v/>
      </c>
    </row>
    <row r="345">
      <c r="A345" s="4" t="inlineStr">
        <is>
          <t>Michael Harboy</t>
        </is>
      </c>
      <c r="B345" s="4" t="inlineStr">
        <is>
          <t>Mike Kennedy</t>
        </is>
      </c>
      <c r="C345" s="4" t="inlineStr">
        <is>
          <t>MolsonCoors Beverage Company</t>
        </is>
      </c>
      <c r="D345" s="4" t="inlineStr">
        <is>
          <t>Coors</t>
        </is>
      </c>
      <c r="E345" s="5" t="n">
        <v>415</v>
      </c>
      <c r="F345" s="5" t="n">
        <v>314</v>
      </c>
      <c r="G345" s="8">
        <f>MAX(0,$E345-$F345)</f>
        <v/>
      </c>
      <c r="H345" s="18">
        <f>IF(OR(ISNUMBER(SEARCH("fever",$D345)),ISNUMBER(SEARCH("mike",$D345)),ISNUMBER(SEARCH("mxd",$D345))),2,1)</f>
        <v/>
      </c>
      <c r="I345" s="18">
        <f>$H345*IFERROR(INDEX('Recap'!$O$5:$O$233,MATCH($K345,'Recap'!$P$5:$P$233,0)),0)</f>
        <v/>
      </c>
      <c r="J345" s="7">
        <f>$G345*$I345</f>
        <v/>
      </c>
      <c r="K345" s="4">
        <f>$A345&amp;"|"&amp;$C345</f>
        <v/>
      </c>
    </row>
    <row r="346">
      <c r="A346" s="4" t="inlineStr">
        <is>
          <t>Michael Harboy</t>
        </is>
      </c>
      <c r="B346" s="4" t="inlineStr">
        <is>
          <t>Mike Kennedy</t>
        </is>
      </c>
      <c r="C346" s="4" t="inlineStr">
        <is>
          <t>MolsonCoors Beverage Company</t>
        </is>
      </c>
      <c r="D346" s="4" t="inlineStr">
        <is>
          <t>Fever Tree</t>
        </is>
      </c>
      <c r="E346" s="5" t="n">
        <v>13</v>
      </c>
      <c r="F346" s="5" t="n">
        <v>14</v>
      </c>
      <c r="G346" s="8">
        <f>MAX(0,$E346-$F346)</f>
        <v/>
      </c>
      <c r="H346" s="18">
        <f>IF(OR(ISNUMBER(SEARCH("fever",$D346)),ISNUMBER(SEARCH("mike",$D346)),ISNUMBER(SEARCH("mxd",$D346))),2,1)</f>
        <v/>
      </c>
      <c r="I346" s="18">
        <f>$H346*IFERROR(INDEX('Recap'!$O$5:$O$233,MATCH($K346,'Recap'!$P$5:$P$233,0)),0)</f>
        <v/>
      </c>
      <c r="J346" s="7">
        <f>$G346*$I346</f>
        <v/>
      </c>
      <c r="K346" s="4">
        <f>$A346&amp;"|"&amp;$C346</f>
        <v/>
      </c>
    </row>
    <row r="347">
      <c r="A347" s="4" t="inlineStr">
        <is>
          <t>Michael Harboy</t>
        </is>
      </c>
      <c r="B347" s="4" t="inlineStr">
        <is>
          <t>Mike Kennedy</t>
        </is>
      </c>
      <c r="C347" s="4" t="inlineStr">
        <is>
          <t>MolsonCoors Beverage Company</t>
        </is>
      </c>
      <c r="D347" s="4" t="inlineStr">
        <is>
          <t>Peroni</t>
        </is>
      </c>
      <c r="E347" s="5" t="n">
        <v>265</v>
      </c>
      <c r="F347" s="5" t="n">
        <v>216</v>
      </c>
      <c r="G347" s="8">
        <f>MAX(0,$E347-$F347)</f>
        <v/>
      </c>
      <c r="H347" s="18">
        <f>IF(OR(ISNUMBER(SEARCH("fever",$D347)),ISNUMBER(SEARCH("mike",$D347)),ISNUMBER(SEARCH("mxd",$D347))),2,1)</f>
        <v/>
      </c>
      <c r="I347" s="18">
        <f>$H347*IFERROR(INDEX('Recap'!$O$5:$O$233,MATCH($K347,'Recap'!$P$5:$P$233,0)),0)</f>
        <v/>
      </c>
      <c r="J347" s="7">
        <f>$G347*$I347</f>
        <v/>
      </c>
      <c r="K347" s="4">
        <f>$A347&amp;"|"&amp;$C347</f>
        <v/>
      </c>
    </row>
    <row r="348">
      <c r="A348" s="4" t="inlineStr">
        <is>
          <t>Michael Harboy</t>
        </is>
      </c>
      <c r="B348" s="4" t="inlineStr">
        <is>
          <t>Mike Kennedy</t>
        </is>
      </c>
      <c r="C348" s="4" t="inlineStr">
        <is>
          <t>New Belgium Brewing Company</t>
        </is>
      </c>
      <c r="D348" s="4" t="inlineStr">
        <is>
          <t>Bell's</t>
        </is>
      </c>
      <c r="E348" s="5" t="n">
        <v>0</v>
      </c>
      <c r="F348" s="5" t="n">
        <v>-1</v>
      </c>
      <c r="G348" s="8">
        <f>MAX(0,$E348-$F348)</f>
        <v/>
      </c>
      <c r="H348" s="18">
        <f>IF(OR(ISNUMBER(SEARCH("fever",$D348)),ISNUMBER(SEARCH("mike",$D348)),ISNUMBER(SEARCH("mxd",$D348))),2,1)</f>
        <v/>
      </c>
      <c r="I348" s="18">
        <f>$H348*IFERROR(INDEX('Recap'!$O$5:$O$233,MATCH($K348,'Recap'!$P$5:$P$233,0)),0)</f>
        <v/>
      </c>
      <c r="J348" s="7">
        <f>$G348*$I348</f>
        <v/>
      </c>
      <c r="K348" s="4">
        <f>$A348&amp;"|"&amp;$C348</f>
        <v/>
      </c>
    </row>
    <row r="349">
      <c r="A349" s="4" t="inlineStr">
        <is>
          <t>Michael Harboy</t>
        </is>
      </c>
      <c r="B349" s="4" t="inlineStr">
        <is>
          <t>Mike Kennedy</t>
        </is>
      </c>
      <c r="C349" s="4" t="inlineStr">
        <is>
          <t>New Belgium Brewing Company</t>
        </is>
      </c>
      <c r="D349" s="4" t="inlineStr">
        <is>
          <t>Fat Tire Family</t>
        </is>
      </c>
      <c r="E349" s="5" t="n">
        <v>6</v>
      </c>
      <c r="F349" s="5" t="n">
        <v>14</v>
      </c>
      <c r="G349" s="8">
        <f>MAX(0,$E349-$F349)</f>
        <v/>
      </c>
      <c r="H349" s="18">
        <f>IF(OR(ISNUMBER(SEARCH("fever",$D349)),ISNUMBER(SEARCH("mike",$D349)),ISNUMBER(SEARCH("mxd",$D349))),2,1)</f>
        <v/>
      </c>
      <c r="I349" s="18">
        <f>$H349*IFERROR(INDEX('Recap'!$O$5:$O$233,MATCH($K349,'Recap'!$P$5:$P$233,0)),0)</f>
        <v/>
      </c>
      <c r="J349" s="7">
        <f>$G349*$I349</f>
        <v/>
      </c>
      <c r="K349" s="4">
        <f>$A349&amp;"|"&amp;$C349</f>
        <v/>
      </c>
    </row>
    <row r="350">
      <c r="A350" s="4" t="inlineStr">
        <is>
          <t>Michael Harboy</t>
        </is>
      </c>
      <c r="B350" s="4" t="inlineStr">
        <is>
          <t>Mike Kennedy</t>
        </is>
      </c>
      <c r="C350" s="4" t="inlineStr">
        <is>
          <t>New Belgium Brewing Company</t>
        </is>
      </c>
      <c r="D350" s="4" t="inlineStr">
        <is>
          <t>Kirin Ichiban</t>
        </is>
      </c>
      <c r="E350" s="5" t="n">
        <v>5</v>
      </c>
      <c r="F350" s="5" t="n">
        <v>5</v>
      </c>
      <c r="G350" s="8">
        <f>MAX(0,$E350-$F350)</f>
        <v/>
      </c>
      <c r="H350" s="18">
        <f>IF(OR(ISNUMBER(SEARCH("fever",$D350)),ISNUMBER(SEARCH("mike",$D350)),ISNUMBER(SEARCH("mxd",$D350))),2,1)</f>
        <v/>
      </c>
      <c r="I350" s="18">
        <f>$H350*IFERROR(INDEX('Recap'!$O$5:$O$233,MATCH($K350,'Recap'!$P$5:$P$233,0)),0)</f>
        <v/>
      </c>
      <c r="J350" s="7">
        <f>$G350*$I350</f>
        <v/>
      </c>
      <c r="K350" s="4">
        <f>$A350&amp;"|"&amp;$C350</f>
        <v/>
      </c>
    </row>
    <row r="351">
      <c r="A351" s="4" t="inlineStr">
        <is>
          <t>Michael Harboy</t>
        </is>
      </c>
      <c r="B351" s="4" t="inlineStr">
        <is>
          <t>Mike Kennedy</t>
        </is>
      </c>
      <c r="C351" s="4" t="inlineStr">
        <is>
          <t>New Belgium Brewing Company</t>
        </is>
      </c>
      <c r="D351" s="4" t="inlineStr">
        <is>
          <t>Voodoo Family</t>
        </is>
      </c>
      <c r="E351" s="5" t="n">
        <v>163</v>
      </c>
      <c r="F351" s="5" t="n">
        <v>216</v>
      </c>
      <c r="G351" s="8">
        <f>MAX(0,$E351-$F351)</f>
        <v/>
      </c>
      <c r="H351" s="18">
        <f>IF(OR(ISNUMBER(SEARCH("fever",$D351)),ISNUMBER(SEARCH("mike",$D351)),ISNUMBER(SEARCH("mxd",$D351))),2,1)</f>
        <v/>
      </c>
      <c r="I351" s="18">
        <f>$H351*IFERROR(INDEX('Recap'!$O$5:$O$233,MATCH($K351,'Recap'!$P$5:$P$233,0)),0)</f>
        <v/>
      </c>
      <c r="J351" s="7">
        <f>$G351*$I351</f>
        <v/>
      </c>
      <c r="K351" s="4">
        <f>$A351&amp;"|"&amp;$C351</f>
        <v/>
      </c>
    </row>
    <row r="352">
      <c r="A352" s="4" t="inlineStr">
        <is>
          <t>Michael Harboy</t>
        </is>
      </c>
      <c r="B352" s="4" t="inlineStr">
        <is>
          <t>Mike Kennedy</t>
        </is>
      </c>
      <c r="C352" s="4" t="inlineStr">
        <is>
          <t>Sapporo</t>
        </is>
      </c>
      <c r="D352" s="4" t="inlineStr">
        <is>
          <t>Sapporo</t>
        </is>
      </c>
      <c r="E352" s="5" t="n">
        <v>621</v>
      </c>
      <c r="F352" s="5" t="n">
        <v>422</v>
      </c>
      <c r="G352" s="8">
        <f>MAX(0,$E352-$F352)</f>
        <v/>
      </c>
      <c r="H352" s="18">
        <f>IF(OR(ISNUMBER(SEARCH("fever",$D352)),ISNUMBER(SEARCH("mike",$D352)),ISNUMBER(SEARCH("mxd",$D352))),2,1)</f>
        <v/>
      </c>
      <c r="I352" s="18">
        <f>$H352*IFERROR(INDEX('Recap'!$O$5:$O$233,MATCH($K352,'Recap'!$P$5:$P$233,0)),0)</f>
        <v/>
      </c>
      <c r="J352" s="7">
        <f>$G352*$I352</f>
        <v/>
      </c>
      <c r="K352" s="4">
        <f>$A352&amp;"|"&amp;$C352</f>
        <v/>
      </c>
    </row>
    <row r="353">
      <c r="A353" s="4" t="inlineStr">
        <is>
          <t>Mike Ast</t>
        </is>
      </c>
      <c r="B353" s="4" t="inlineStr">
        <is>
          <t>Paul Deady</t>
        </is>
      </c>
      <c r="C353" s="4" t="inlineStr">
        <is>
          <t>Boston Beer Company</t>
        </is>
      </c>
      <c r="D353" s="4" t="inlineStr">
        <is>
          <t>Dogfish Head Beer</t>
        </is>
      </c>
      <c r="E353" s="5" t="n">
        <v>954</v>
      </c>
      <c r="F353" s="5" t="n">
        <v>848</v>
      </c>
      <c r="G353" s="8">
        <f>MAX(0,$E353-$F353)</f>
        <v/>
      </c>
      <c r="H353" s="18">
        <f>IF(OR(ISNUMBER(SEARCH("fever",$D353)),ISNUMBER(SEARCH("mike",$D353)),ISNUMBER(SEARCH("mxd",$D353))),2,1)</f>
        <v/>
      </c>
      <c r="I353" s="18">
        <f>$H353*IFERROR(INDEX('Recap'!$O$5:$O$233,MATCH($K353,'Recap'!$P$5:$P$233,0)),0)</f>
        <v/>
      </c>
      <c r="J353" s="7">
        <f>$G353*$I353</f>
        <v/>
      </c>
      <c r="K353" s="4">
        <f>$A353&amp;"|"&amp;$C353</f>
        <v/>
      </c>
    </row>
    <row r="354">
      <c r="A354" s="4" t="inlineStr">
        <is>
          <t>Mike Ast</t>
        </is>
      </c>
      <c r="B354" s="4" t="inlineStr">
        <is>
          <t>Paul Deady</t>
        </is>
      </c>
      <c r="C354" s="4" t="inlineStr">
        <is>
          <t>Boston Beer Company</t>
        </is>
      </c>
      <c r="D354" s="4" t="inlineStr">
        <is>
          <t>Dogfish Head Spirits</t>
        </is>
      </c>
      <c r="E354" s="5" t="n">
        <v>183</v>
      </c>
      <c r="F354" s="5" t="n">
        <v>257</v>
      </c>
      <c r="G354" s="8">
        <f>MAX(0,$E354-$F354)</f>
        <v/>
      </c>
      <c r="H354" s="18">
        <f>IF(OR(ISNUMBER(SEARCH("fever",$D354)),ISNUMBER(SEARCH("mike",$D354)),ISNUMBER(SEARCH("mxd",$D354))),2,1)</f>
        <v/>
      </c>
      <c r="I354" s="18">
        <f>$H354*IFERROR(INDEX('Recap'!$O$5:$O$233,MATCH($K354,'Recap'!$P$5:$P$233,0)),0)</f>
        <v/>
      </c>
      <c r="J354" s="7">
        <f>$G354*$I354</f>
        <v/>
      </c>
      <c r="K354" s="4">
        <f>$A354&amp;"|"&amp;$C354</f>
        <v/>
      </c>
    </row>
    <row r="355">
      <c r="A355" s="4" t="inlineStr">
        <is>
          <t>Mike Ast</t>
        </is>
      </c>
      <c r="B355" s="4" t="inlineStr">
        <is>
          <t>Paul Deady</t>
        </is>
      </c>
      <c r="C355" s="4" t="inlineStr">
        <is>
          <t>Cape May</t>
        </is>
      </c>
      <c r="D355" s="4" t="inlineStr">
        <is>
          <t>Cape May</t>
        </is>
      </c>
      <c r="E355" s="5" t="n">
        <v>1030</v>
      </c>
      <c r="F355" s="5" t="n">
        <v>1034</v>
      </c>
      <c r="G355" s="8">
        <f>MAX(0,$E355-$F355)</f>
        <v/>
      </c>
      <c r="H355" s="18">
        <f>IF(OR(ISNUMBER(SEARCH("fever",$D355)),ISNUMBER(SEARCH("mike",$D355)),ISNUMBER(SEARCH("mxd",$D355))),2,1)</f>
        <v/>
      </c>
      <c r="I355" s="18">
        <f>$H355*IFERROR(INDEX('Recap'!$O$5:$O$233,MATCH($K355,'Recap'!$P$5:$P$233,0)),0)</f>
        <v/>
      </c>
      <c r="J355" s="7">
        <f>$G355*$I355</f>
        <v/>
      </c>
      <c r="K355" s="4">
        <f>$A355&amp;"|"&amp;$C355</f>
        <v/>
      </c>
    </row>
    <row r="356">
      <c r="A356" s="4" t="inlineStr">
        <is>
          <t>Mike Ast</t>
        </is>
      </c>
      <c r="B356" s="4" t="inlineStr">
        <is>
          <t>Paul Deady</t>
        </is>
      </c>
      <c r="C356" s="4" t="inlineStr">
        <is>
          <t>Constellation Brands</t>
        </is>
      </c>
      <c r="D356" s="4" t="inlineStr">
        <is>
          <t>Corona Premier</t>
        </is>
      </c>
      <c r="E356" s="5" t="n">
        <v>799</v>
      </c>
      <c r="F356" s="5" t="n">
        <v>832</v>
      </c>
      <c r="G356" s="8">
        <f>MAX(0,$E356-$F356)</f>
        <v/>
      </c>
      <c r="H356" s="18">
        <f>IF(OR(ISNUMBER(SEARCH("fever",$D356)),ISNUMBER(SEARCH("mike",$D356)),ISNUMBER(SEARCH("mxd",$D356))),2,1)</f>
        <v/>
      </c>
      <c r="I356" s="18">
        <f>$H356*IFERROR(INDEX('Recap'!$O$5:$O$233,MATCH($K356,'Recap'!$P$5:$P$233,0)),0)</f>
        <v/>
      </c>
      <c r="J356" s="7">
        <f>$G356*$I356</f>
        <v/>
      </c>
      <c r="K356" s="4">
        <f>$A356&amp;"|"&amp;$C356</f>
        <v/>
      </c>
    </row>
    <row r="357">
      <c r="A357" s="4" t="inlineStr">
        <is>
          <t>Mike Ast</t>
        </is>
      </c>
      <c r="B357" s="4" t="inlineStr">
        <is>
          <t>Paul Deady</t>
        </is>
      </c>
      <c r="C357" s="4" t="inlineStr">
        <is>
          <t>Constellation Brands</t>
        </is>
      </c>
      <c r="D357" s="4" t="inlineStr">
        <is>
          <t>Modelo Chelada</t>
        </is>
      </c>
      <c r="E357" s="5" t="n">
        <v>1204</v>
      </c>
      <c r="F357" s="5" t="n">
        <v>783</v>
      </c>
      <c r="G357" s="8">
        <f>MAX(0,$E357-$F357)</f>
        <v/>
      </c>
      <c r="H357" s="18">
        <f>IF(OR(ISNUMBER(SEARCH("fever",$D357)),ISNUMBER(SEARCH("mike",$D357)),ISNUMBER(SEARCH("mxd",$D357))),2,1)</f>
        <v/>
      </c>
      <c r="I357" s="18">
        <f>$H357*IFERROR(INDEX('Recap'!$O$5:$O$233,MATCH($K357,'Recap'!$P$5:$P$233,0)),0)</f>
        <v/>
      </c>
      <c r="J357" s="7">
        <f>$G357*$I357</f>
        <v/>
      </c>
      <c r="K357" s="4">
        <f>$A357&amp;"|"&amp;$C357</f>
        <v/>
      </c>
    </row>
    <row r="358">
      <c r="A358" s="4" t="inlineStr">
        <is>
          <t>Mike Ast</t>
        </is>
      </c>
      <c r="B358" s="4" t="inlineStr">
        <is>
          <t>Paul Deady</t>
        </is>
      </c>
      <c r="C358" s="4" t="inlineStr">
        <is>
          <t>Constellation Brands</t>
        </is>
      </c>
      <c r="D358" s="4" t="inlineStr">
        <is>
          <t>Pacifico</t>
        </is>
      </c>
      <c r="E358" s="5" t="n">
        <v>818</v>
      </c>
      <c r="F358" s="5" t="n">
        <v>590</v>
      </c>
      <c r="G358" s="8">
        <f>MAX(0,$E358-$F358)</f>
        <v/>
      </c>
      <c r="H358" s="18">
        <f>IF(OR(ISNUMBER(SEARCH("fever",$D358)),ISNUMBER(SEARCH("mike",$D358)),ISNUMBER(SEARCH("mxd",$D358))),2,1)</f>
        <v/>
      </c>
      <c r="I358" s="18">
        <f>$H358*IFERROR(INDEX('Recap'!$O$5:$O$233,MATCH($K358,'Recap'!$P$5:$P$233,0)),0)</f>
        <v/>
      </c>
      <c r="J358" s="7">
        <f>$G358*$I358</f>
        <v/>
      </c>
      <c r="K358" s="4">
        <f>$A358&amp;"|"&amp;$C358</f>
        <v/>
      </c>
    </row>
    <row r="359">
      <c r="A359" s="4" t="inlineStr">
        <is>
          <t>Mike Ast</t>
        </is>
      </c>
      <c r="B359" s="4" t="inlineStr">
        <is>
          <t>Paul Deady</t>
        </is>
      </c>
      <c r="C359" s="4" t="inlineStr">
        <is>
          <t>Constellation Brands</t>
        </is>
      </c>
      <c r="D359" s="4" t="inlineStr">
        <is>
          <t>Victoria</t>
        </is>
      </c>
      <c r="E359" s="5" t="n">
        <v>335</v>
      </c>
      <c r="F359" s="5" t="n">
        <v>292</v>
      </c>
      <c r="G359" s="8">
        <f>MAX(0,$E359-$F359)</f>
        <v/>
      </c>
      <c r="H359" s="18">
        <f>IF(OR(ISNUMBER(SEARCH("fever",$D359)),ISNUMBER(SEARCH("mike",$D359)),ISNUMBER(SEARCH("mxd",$D359))),2,1)</f>
        <v/>
      </c>
      <c r="I359" s="18">
        <f>$H359*IFERROR(INDEX('Recap'!$O$5:$O$233,MATCH($K359,'Recap'!$P$5:$P$233,0)),0)</f>
        <v/>
      </c>
      <c r="J359" s="7">
        <f>$G359*$I359</f>
        <v/>
      </c>
      <c r="K359" s="4">
        <f>$A359&amp;"|"&amp;$C359</f>
        <v/>
      </c>
    </row>
    <row r="360">
      <c r="A360" s="4" t="inlineStr">
        <is>
          <t>Mike Ast</t>
        </is>
      </c>
      <c r="B360" s="4" t="inlineStr">
        <is>
          <t>Paul Deady</t>
        </is>
      </c>
      <c r="C360" s="4" t="inlineStr">
        <is>
          <t>DG Yuengling Inc</t>
        </is>
      </c>
      <c r="D360" s="4" t="inlineStr">
        <is>
          <t>Yuengling Flight</t>
        </is>
      </c>
      <c r="E360" s="5" t="n">
        <v>111</v>
      </c>
      <c r="F360" s="5" t="n">
        <v>160</v>
      </c>
      <c r="G360" s="8">
        <f>MAX(0,$E360-$F360)</f>
        <v/>
      </c>
      <c r="H360" s="18">
        <f>IF(OR(ISNUMBER(SEARCH("fever",$D360)),ISNUMBER(SEARCH("mike",$D360)),ISNUMBER(SEARCH("mxd",$D360))),2,1)</f>
        <v/>
      </c>
      <c r="I360" s="18">
        <f>$H360*IFERROR(INDEX('Recap'!$O$5:$O$233,MATCH($K360,'Recap'!$P$5:$P$233,0)),0)</f>
        <v/>
      </c>
      <c r="J360" s="7">
        <f>$G360*$I360</f>
        <v/>
      </c>
      <c r="K360" s="4">
        <f>$A360&amp;"|"&amp;$C360</f>
        <v/>
      </c>
    </row>
    <row r="361">
      <c r="A361" s="4" t="inlineStr">
        <is>
          <t>Mike Ast</t>
        </is>
      </c>
      <c r="B361" s="4" t="inlineStr">
        <is>
          <t>Paul Deady</t>
        </is>
      </c>
      <c r="C361" s="4" t="inlineStr">
        <is>
          <t>DG Yuengling Inc</t>
        </is>
      </c>
      <c r="D361" s="4" t="inlineStr">
        <is>
          <t>Yuengling Light Lager</t>
        </is>
      </c>
      <c r="E361" s="5" t="n">
        <v>124</v>
      </c>
      <c r="F361" s="5" t="n">
        <v>143</v>
      </c>
      <c r="G361" s="8">
        <f>MAX(0,$E361-$F361)</f>
        <v/>
      </c>
      <c r="H361" s="18">
        <f>IF(OR(ISNUMBER(SEARCH("fever",$D361)),ISNUMBER(SEARCH("mike",$D361)),ISNUMBER(SEARCH("mxd",$D361))),2,1)</f>
        <v/>
      </c>
      <c r="I361" s="18">
        <f>$H361*IFERROR(INDEX('Recap'!$O$5:$O$233,MATCH($K361,'Recap'!$P$5:$P$233,0)),0)</f>
        <v/>
      </c>
      <c r="J361" s="7">
        <f>$G361*$I361</f>
        <v/>
      </c>
      <c r="K361" s="4">
        <f>$A361&amp;"|"&amp;$C361</f>
        <v/>
      </c>
    </row>
    <row r="362">
      <c r="A362" s="4" t="inlineStr">
        <is>
          <t>Mike Ast</t>
        </is>
      </c>
      <c r="B362" s="4" t="inlineStr">
        <is>
          <t>Paul Deady</t>
        </is>
      </c>
      <c r="C362" s="4" t="inlineStr">
        <is>
          <t>Heineken USA</t>
        </is>
      </c>
      <c r="D362" s="4" t="inlineStr">
        <is>
          <t>Heineken 0.0</t>
        </is>
      </c>
      <c r="E362" s="5" t="n">
        <v>613</v>
      </c>
      <c r="F362" s="5" t="n">
        <v>662</v>
      </c>
      <c r="G362" s="8">
        <f>MAX(0,$E362-$F362)</f>
        <v/>
      </c>
      <c r="H362" s="18">
        <f>IF(OR(ISNUMBER(SEARCH("fever",$D362)),ISNUMBER(SEARCH("mike",$D362)),ISNUMBER(SEARCH("mxd",$D362))),2,1)</f>
        <v/>
      </c>
      <c r="I362" s="18">
        <f>$H362*IFERROR(INDEX('Recap'!$O$5:$O$233,MATCH($K362,'Recap'!$P$5:$P$233,0)),0)</f>
        <v/>
      </c>
      <c r="J362" s="7">
        <f>$G362*$I362</f>
        <v/>
      </c>
      <c r="K362" s="4">
        <f>$A362&amp;"|"&amp;$C362</f>
        <v/>
      </c>
    </row>
    <row r="363">
      <c r="A363" s="4" t="inlineStr">
        <is>
          <t>Mike Ast</t>
        </is>
      </c>
      <c r="B363" s="4" t="inlineStr">
        <is>
          <t>Paul Deady</t>
        </is>
      </c>
      <c r="C363" s="4" t="inlineStr">
        <is>
          <t>Heineken USA</t>
        </is>
      </c>
      <c r="D363" s="4" t="inlineStr">
        <is>
          <t>Heineken Light</t>
        </is>
      </c>
      <c r="E363" s="5" t="n">
        <v>619</v>
      </c>
      <c r="F363" s="5" t="n">
        <v>850</v>
      </c>
      <c r="G363" s="8">
        <f>MAX(0,$E363-$F363)</f>
        <v/>
      </c>
      <c r="H363" s="18">
        <f>IF(OR(ISNUMBER(SEARCH("fever",$D363)),ISNUMBER(SEARCH("mike",$D363)),ISNUMBER(SEARCH("mxd",$D363))),2,1)</f>
        <v/>
      </c>
      <c r="I363" s="18">
        <f>$H363*IFERROR(INDEX('Recap'!$O$5:$O$233,MATCH($K363,'Recap'!$P$5:$P$233,0)),0)</f>
        <v/>
      </c>
      <c r="J363" s="7">
        <f>$G363*$I363</f>
        <v/>
      </c>
      <c r="K363" s="4">
        <f>$A363&amp;"|"&amp;$C363</f>
        <v/>
      </c>
    </row>
    <row r="364">
      <c r="A364" s="4" t="inlineStr">
        <is>
          <t>Mike Ast</t>
        </is>
      </c>
      <c r="B364" s="4" t="inlineStr">
        <is>
          <t>Paul Deady</t>
        </is>
      </c>
      <c r="C364" s="4" t="inlineStr">
        <is>
          <t>Mark Anthony</t>
        </is>
      </c>
      <c r="D364" s="4" t="inlineStr">
        <is>
          <t>Cayman Jack</t>
        </is>
      </c>
      <c r="E364" s="5" t="n">
        <v>555</v>
      </c>
      <c r="F364" s="5" t="n">
        <v>567</v>
      </c>
      <c r="G364" s="8">
        <f>MAX(0,$E364-$F364)</f>
        <v/>
      </c>
      <c r="H364" s="18">
        <f>IF(OR(ISNUMBER(SEARCH("fever",$D364)),ISNUMBER(SEARCH("mike",$D364)),ISNUMBER(SEARCH("mxd",$D364))),2,1)</f>
        <v/>
      </c>
      <c r="I364" s="18">
        <f>$H364*IFERROR(INDEX('Recap'!$O$5:$O$233,MATCH($K364,'Recap'!$P$5:$P$233,0)),0)</f>
        <v/>
      </c>
      <c r="J364" s="7">
        <f>$G364*$I364</f>
        <v/>
      </c>
      <c r="K364" s="4">
        <f>$A364&amp;"|"&amp;$C364</f>
        <v/>
      </c>
    </row>
    <row r="365">
      <c r="A365" s="4" t="inlineStr">
        <is>
          <t>Mike Ast</t>
        </is>
      </c>
      <c r="B365" s="4" t="inlineStr">
        <is>
          <t>Paul Deady</t>
        </is>
      </c>
      <c r="C365" s="4" t="inlineStr">
        <is>
          <t>Mark Anthony</t>
        </is>
      </c>
      <c r="D365" s="4" t="inlineStr">
        <is>
          <t>Mike's Harder</t>
        </is>
      </c>
      <c r="E365" s="5" t="n">
        <v>131</v>
      </c>
      <c r="F365" s="5" t="n">
        <v>147</v>
      </c>
      <c r="G365" s="8">
        <f>MAX(0,$E365-$F365)</f>
        <v/>
      </c>
      <c r="H365" s="18">
        <f>IF(OR(ISNUMBER(SEARCH("fever",$D365)),ISNUMBER(SEARCH("mike",$D365)),ISNUMBER(SEARCH("mxd",$D365))),2,1)</f>
        <v/>
      </c>
      <c r="I365" s="18">
        <f>$H365*IFERROR(INDEX('Recap'!$O$5:$O$233,MATCH($K365,'Recap'!$P$5:$P$233,0)),0)</f>
        <v/>
      </c>
      <c r="J365" s="7">
        <f>$G365*$I365</f>
        <v/>
      </c>
      <c r="K365" s="4">
        <f>$A365&amp;"|"&amp;$C365</f>
        <v/>
      </c>
    </row>
    <row r="366">
      <c r="A366" s="4" t="inlineStr">
        <is>
          <t>Mike Ast</t>
        </is>
      </c>
      <c r="B366" s="4" t="inlineStr">
        <is>
          <t>Paul Deady</t>
        </is>
      </c>
      <c r="C366" s="4" t="inlineStr">
        <is>
          <t>Mark Anthony</t>
        </is>
      </c>
      <c r="D366" s="4" t="inlineStr">
        <is>
          <t>Mxd Cocktails</t>
        </is>
      </c>
      <c r="E366" s="5" t="n">
        <v>4</v>
      </c>
      <c r="F366" s="5" t="n">
        <v>17</v>
      </c>
      <c r="G366" s="8">
        <f>MAX(0,$E366-$F366)</f>
        <v/>
      </c>
      <c r="H366" s="18">
        <f>IF(OR(ISNUMBER(SEARCH("fever",$D366)),ISNUMBER(SEARCH("mike",$D366)),ISNUMBER(SEARCH("mxd",$D366))),2,1)</f>
        <v/>
      </c>
      <c r="I366" s="18">
        <f>$H366*IFERROR(INDEX('Recap'!$O$5:$O$233,MATCH($K366,'Recap'!$P$5:$P$233,0)),0)</f>
        <v/>
      </c>
      <c r="J366" s="7">
        <f>$G366*$I366</f>
        <v/>
      </c>
      <c r="K366" s="4">
        <f>$A366&amp;"|"&amp;$C366</f>
        <v/>
      </c>
    </row>
    <row r="367">
      <c r="A367" s="4" t="inlineStr">
        <is>
          <t>Mike Ast</t>
        </is>
      </c>
      <c r="B367" s="4" t="inlineStr">
        <is>
          <t>Paul Deady</t>
        </is>
      </c>
      <c r="C367" s="4" t="inlineStr">
        <is>
          <t>MolsonCoors Beverage Company</t>
        </is>
      </c>
      <c r="D367" s="4" t="inlineStr">
        <is>
          <t>Coors</t>
        </is>
      </c>
      <c r="E367" s="5" t="n">
        <v>2008</v>
      </c>
      <c r="F367" s="5" t="n">
        <v>2060</v>
      </c>
      <c r="G367" s="8">
        <f>MAX(0,$E367-$F367)</f>
        <v/>
      </c>
      <c r="H367" s="18">
        <f>IF(OR(ISNUMBER(SEARCH("fever",$D367)),ISNUMBER(SEARCH("mike",$D367)),ISNUMBER(SEARCH("mxd",$D367))),2,1)</f>
        <v/>
      </c>
      <c r="I367" s="18">
        <f>$H367*IFERROR(INDEX('Recap'!$O$5:$O$233,MATCH($K367,'Recap'!$P$5:$P$233,0)),0)</f>
        <v/>
      </c>
      <c r="J367" s="7">
        <f>$G367*$I367</f>
        <v/>
      </c>
      <c r="K367" s="4">
        <f>$A367&amp;"|"&amp;$C367</f>
        <v/>
      </c>
    </row>
    <row r="368">
      <c r="A368" s="4" t="inlineStr">
        <is>
          <t>Mike Ast</t>
        </is>
      </c>
      <c r="B368" s="4" t="inlineStr">
        <is>
          <t>Paul Deady</t>
        </is>
      </c>
      <c r="C368" s="4" t="inlineStr">
        <is>
          <t>MolsonCoors Beverage Company</t>
        </is>
      </c>
      <c r="D368" s="4" t="inlineStr">
        <is>
          <t>Fever Tree</t>
        </is>
      </c>
      <c r="E368" s="5" t="n">
        <v>198</v>
      </c>
      <c r="F368" s="5" t="n">
        <v>129</v>
      </c>
      <c r="G368" s="8">
        <f>MAX(0,$E368-$F368)</f>
        <v/>
      </c>
      <c r="H368" s="18">
        <f>IF(OR(ISNUMBER(SEARCH("fever",$D368)),ISNUMBER(SEARCH("mike",$D368)),ISNUMBER(SEARCH("mxd",$D368))),2,1)</f>
        <v/>
      </c>
      <c r="I368" s="18">
        <f>$H368*IFERROR(INDEX('Recap'!$O$5:$O$233,MATCH($K368,'Recap'!$P$5:$P$233,0)),0)</f>
        <v/>
      </c>
      <c r="J368" s="7">
        <f>$G368*$I368</f>
        <v/>
      </c>
      <c r="K368" s="4">
        <f>$A368&amp;"|"&amp;$C368</f>
        <v/>
      </c>
    </row>
    <row r="369">
      <c r="A369" s="4" t="inlineStr">
        <is>
          <t>Mike Ast</t>
        </is>
      </c>
      <c r="B369" s="4" t="inlineStr">
        <is>
          <t>Paul Deady</t>
        </is>
      </c>
      <c r="C369" s="4" t="inlineStr">
        <is>
          <t>MolsonCoors Beverage Company</t>
        </is>
      </c>
      <c r="D369" s="4" t="inlineStr">
        <is>
          <t>Peroni</t>
        </is>
      </c>
      <c r="E369" s="5" t="n">
        <v>1476</v>
      </c>
      <c r="F369" s="5" t="n">
        <v>1309</v>
      </c>
      <c r="G369" s="8">
        <f>MAX(0,$E369-$F369)</f>
        <v/>
      </c>
      <c r="H369" s="18">
        <f>IF(OR(ISNUMBER(SEARCH("fever",$D369)),ISNUMBER(SEARCH("mike",$D369)),ISNUMBER(SEARCH("mxd",$D369))),2,1)</f>
        <v/>
      </c>
      <c r="I369" s="18">
        <f>$H369*IFERROR(INDEX('Recap'!$O$5:$O$233,MATCH($K369,'Recap'!$P$5:$P$233,0)),0)</f>
        <v/>
      </c>
      <c r="J369" s="7">
        <f>$G369*$I369</f>
        <v/>
      </c>
      <c r="K369" s="4">
        <f>$A369&amp;"|"&amp;$C369</f>
        <v/>
      </c>
    </row>
    <row r="370">
      <c r="A370" s="4" t="inlineStr">
        <is>
          <t>Mike Ast</t>
        </is>
      </c>
      <c r="B370" s="4" t="inlineStr">
        <is>
          <t>Paul Deady</t>
        </is>
      </c>
      <c r="C370" s="4" t="inlineStr">
        <is>
          <t>New Belgium Brewing Company</t>
        </is>
      </c>
      <c r="D370" s="4" t="inlineStr">
        <is>
          <t>Bell's</t>
        </is>
      </c>
      <c r="E370" s="5" t="n">
        <v>28</v>
      </c>
      <c r="F370" s="5" t="n">
        <v>34</v>
      </c>
      <c r="G370" s="8">
        <f>MAX(0,$E370-$F370)</f>
        <v/>
      </c>
      <c r="H370" s="18">
        <f>IF(OR(ISNUMBER(SEARCH("fever",$D370)),ISNUMBER(SEARCH("mike",$D370)),ISNUMBER(SEARCH("mxd",$D370))),2,1)</f>
        <v/>
      </c>
      <c r="I370" s="18">
        <f>$H370*IFERROR(INDEX('Recap'!$O$5:$O$233,MATCH($K370,'Recap'!$P$5:$P$233,0)),0)</f>
        <v/>
      </c>
      <c r="J370" s="7">
        <f>$G370*$I370</f>
        <v/>
      </c>
      <c r="K370" s="4">
        <f>$A370&amp;"|"&amp;$C370</f>
        <v/>
      </c>
    </row>
    <row r="371">
      <c r="A371" s="4" t="inlineStr">
        <is>
          <t>Mike Ast</t>
        </is>
      </c>
      <c r="B371" s="4" t="inlineStr">
        <is>
          <t>Paul Deady</t>
        </is>
      </c>
      <c r="C371" s="4" t="inlineStr">
        <is>
          <t>New Belgium Brewing Company</t>
        </is>
      </c>
      <c r="D371" s="4" t="inlineStr">
        <is>
          <t>Fat Tire Family</t>
        </is>
      </c>
      <c r="E371" s="5" t="n">
        <v>99</v>
      </c>
      <c r="F371" s="5" t="n">
        <v>136</v>
      </c>
      <c r="G371" s="8">
        <f>MAX(0,$E371-$F371)</f>
        <v/>
      </c>
      <c r="H371" s="18">
        <f>IF(OR(ISNUMBER(SEARCH("fever",$D371)),ISNUMBER(SEARCH("mike",$D371)),ISNUMBER(SEARCH("mxd",$D371))),2,1)</f>
        <v/>
      </c>
      <c r="I371" s="18">
        <f>$H371*IFERROR(INDEX('Recap'!$O$5:$O$233,MATCH($K371,'Recap'!$P$5:$P$233,0)),0)</f>
        <v/>
      </c>
      <c r="J371" s="7">
        <f>$G371*$I371</f>
        <v/>
      </c>
      <c r="K371" s="4">
        <f>$A371&amp;"|"&amp;$C371</f>
        <v/>
      </c>
    </row>
    <row r="372">
      <c r="A372" s="4" t="inlineStr">
        <is>
          <t>Mike Ast</t>
        </is>
      </c>
      <c r="B372" s="4" t="inlineStr">
        <is>
          <t>Paul Deady</t>
        </is>
      </c>
      <c r="C372" s="4" t="inlineStr">
        <is>
          <t>New Belgium Brewing Company</t>
        </is>
      </c>
      <c r="D372" s="4" t="inlineStr">
        <is>
          <t>Kirin Ichiban</t>
        </is>
      </c>
      <c r="E372" s="5" t="n">
        <v>21</v>
      </c>
      <c r="F372" s="5" t="n">
        <v>2</v>
      </c>
      <c r="G372" s="8">
        <f>MAX(0,$E372-$F372)</f>
        <v/>
      </c>
      <c r="H372" s="18">
        <f>IF(OR(ISNUMBER(SEARCH("fever",$D372)),ISNUMBER(SEARCH("mike",$D372)),ISNUMBER(SEARCH("mxd",$D372))),2,1)</f>
        <v/>
      </c>
      <c r="I372" s="18">
        <f>$H372*IFERROR(INDEX('Recap'!$O$5:$O$233,MATCH($K372,'Recap'!$P$5:$P$233,0)),0)</f>
        <v/>
      </c>
      <c r="J372" s="7">
        <f>$G372*$I372</f>
        <v/>
      </c>
      <c r="K372" s="4">
        <f>$A372&amp;"|"&amp;$C372</f>
        <v/>
      </c>
    </row>
    <row r="373">
      <c r="A373" s="4" t="inlineStr">
        <is>
          <t>Mike Ast</t>
        </is>
      </c>
      <c r="B373" s="4" t="inlineStr">
        <is>
          <t>Paul Deady</t>
        </is>
      </c>
      <c r="C373" s="4" t="inlineStr">
        <is>
          <t>New Belgium Brewing Company</t>
        </is>
      </c>
      <c r="D373" s="4" t="inlineStr">
        <is>
          <t>Voodoo Family</t>
        </is>
      </c>
      <c r="E373" s="5" t="n">
        <v>721</v>
      </c>
      <c r="F373" s="5" t="n">
        <v>669</v>
      </c>
      <c r="G373" s="8">
        <f>MAX(0,$E373-$F373)</f>
        <v/>
      </c>
      <c r="H373" s="18">
        <f>IF(OR(ISNUMBER(SEARCH("fever",$D373)),ISNUMBER(SEARCH("mike",$D373)),ISNUMBER(SEARCH("mxd",$D373))),2,1)</f>
        <v/>
      </c>
      <c r="I373" s="18">
        <f>$H373*IFERROR(INDEX('Recap'!$O$5:$O$233,MATCH($K373,'Recap'!$P$5:$P$233,0)),0)</f>
        <v/>
      </c>
      <c r="J373" s="7">
        <f>$G373*$I373</f>
        <v/>
      </c>
      <c r="K373" s="4">
        <f>$A373&amp;"|"&amp;$C373</f>
        <v/>
      </c>
    </row>
    <row r="374">
      <c r="A374" s="4" t="inlineStr">
        <is>
          <t>Mike Ast</t>
        </is>
      </c>
      <c r="B374" s="4" t="inlineStr">
        <is>
          <t>Paul Deady</t>
        </is>
      </c>
      <c r="C374" s="4" t="inlineStr">
        <is>
          <t>Sapporo</t>
        </is>
      </c>
      <c r="D374" s="4" t="inlineStr">
        <is>
          <t>Sapporo</t>
        </is>
      </c>
      <c r="E374" s="5" t="n">
        <v>467</v>
      </c>
      <c r="F374" s="5" t="n">
        <v>454</v>
      </c>
      <c r="G374" s="8">
        <f>MAX(0,$E374-$F374)</f>
        <v/>
      </c>
      <c r="H374" s="18">
        <f>IF(OR(ISNUMBER(SEARCH("fever",$D374)),ISNUMBER(SEARCH("mike",$D374)),ISNUMBER(SEARCH("mxd",$D374))),2,1)</f>
        <v/>
      </c>
      <c r="I374" s="18">
        <f>$H374*IFERROR(INDEX('Recap'!$O$5:$O$233,MATCH($K374,'Recap'!$P$5:$P$233,0)),0)</f>
        <v/>
      </c>
      <c r="J374" s="7">
        <f>$G374*$I374</f>
        <v/>
      </c>
      <c r="K374" s="4">
        <f>$A374&amp;"|"&amp;$C374</f>
        <v/>
      </c>
    </row>
    <row r="375">
      <c r="A375" s="4" t="inlineStr">
        <is>
          <t>Nick Melissari</t>
        </is>
      </c>
      <c r="B375" s="4" t="inlineStr">
        <is>
          <t>Chris McCrohan</t>
        </is>
      </c>
      <c r="C375" s="4" t="inlineStr">
        <is>
          <t>Boston Beer Company</t>
        </is>
      </c>
      <c r="D375" s="4" t="inlineStr">
        <is>
          <t>Dogfish Head Beer</t>
        </is>
      </c>
      <c r="E375" s="5" t="n">
        <v>608</v>
      </c>
      <c r="F375" s="5" t="n">
        <v>640</v>
      </c>
      <c r="G375" s="8">
        <f>MAX(0,$E375-$F375)</f>
        <v/>
      </c>
      <c r="H375" s="18">
        <f>IF(OR(ISNUMBER(SEARCH("fever",$D375)),ISNUMBER(SEARCH("mike",$D375)),ISNUMBER(SEARCH("mxd",$D375))),2,1)</f>
        <v/>
      </c>
      <c r="I375" s="18">
        <f>$H375*IFERROR(INDEX('Recap'!$O$5:$O$233,MATCH($K375,'Recap'!$P$5:$P$233,0)),0)</f>
        <v/>
      </c>
      <c r="J375" s="7">
        <f>$G375*$I375</f>
        <v/>
      </c>
      <c r="K375" s="4">
        <f>$A375&amp;"|"&amp;$C375</f>
        <v/>
      </c>
    </row>
    <row r="376">
      <c r="A376" s="4" t="inlineStr">
        <is>
          <t>Nick Melissari</t>
        </is>
      </c>
      <c r="B376" s="4" t="inlineStr">
        <is>
          <t>Chris McCrohan</t>
        </is>
      </c>
      <c r="C376" s="4" t="inlineStr">
        <is>
          <t>Boston Beer Company</t>
        </is>
      </c>
      <c r="D376" s="4" t="inlineStr">
        <is>
          <t>Dogfish Head Spirits</t>
        </is>
      </c>
      <c r="E376" s="5" t="n">
        <v>155</v>
      </c>
      <c r="F376" s="5" t="n">
        <v>40</v>
      </c>
      <c r="G376" s="8">
        <f>MAX(0,$E376-$F376)</f>
        <v/>
      </c>
      <c r="H376" s="18">
        <f>IF(OR(ISNUMBER(SEARCH("fever",$D376)),ISNUMBER(SEARCH("mike",$D376)),ISNUMBER(SEARCH("mxd",$D376))),2,1)</f>
        <v/>
      </c>
      <c r="I376" s="18">
        <f>$H376*IFERROR(INDEX('Recap'!$O$5:$O$233,MATCH($K376,'Recap'!$P$5:$P$233,0)),0)</f>
        <v/>
      </c>
      <c r="J376" s="7">
        <f>$G376*$I376</f>
        <v/>
      </c>
      <c r="K376" s="4">
        <f>$A376&amp;"|"&amp;$C376</f>
        <v/>
      </c>
    </row>
    <row r="377">
      <c r="A377" s="4" t="inlineStr">
        <is>
          <t>Nick Melissari</t>
        </is>
      </c>
      <c r="B377" s="4" t="inlineStr">
        <is>
          <t>Chris McCrohan</t>
        </is>
      </c>
      <c r="C377" s="4" t="inlineStr">
        <is>
          <t>Cape May</t>
        </is>
      </c>
      <c r="D377" s="4" t="inlineStr">
        <is>
          <t>Cape May</t>
        </is>
      </c>
      <c r="E377" s="5" t="n">
        <v>317</v>
      </c>
      <c r="F377" s="5" t="n">
        <v>244</v>
      </c>
      <c r="G377" s="8">
        <f>MAX(0,$E377-$F377)</f>
        <v/>
      </c>
      <c r="H377" s="18">
        <f>IF(OR(ISNUMBER(SEARCH("fever",$D377)),ISNUMBER(SEARCH("mike",$D377)),ISNUMBER(SEARCH("mxd",$D377))),2,1)</f>
        <v/>
      </c>
      <c r="I377" s="18">
        <f>$H377*IFERROR(INDEX('Recap'!$O$5:$O$233,MATCH($K377,'Recap'!$P$5:$P$233,0)),0)</f>
        <v/>
      </c>
      <c r="J377" s="7">
        <f>$G377*$I377</f>
        <v/>
      </c>
      <c r="K377" s="4">
        <f>$A377&amp;"|"&amp;$C377</f>
        <v/>
      </c>
    </row>
    <row r="378">
      <c r="A378" s="4" t="inlineStr">
        <is>
          <t>Nick Melissari</t>
        </is>
      </c>
      <c r="B378" s="4" t="inlineStr">
        <is>
          <t>Chris McCrohan</t>
        </is>
      </c>
      <c r="C378" s="4" t="inlineStr">
        <is>
          <t>Constellation Brands</t>
        </is>
      </c>
      <c r="D378" s="4" t="inlineStr">
        <is>
          <t>Corona Premier</t>
        </is>
      </c>
      <c r="E378" s="5" t="n">
        <v>212</v>
      </c>
      <c r="F378" s="5" t="n">
        <v>209</v>
      </c>
      <c r="G378" s="8">
        <f>MAX(0,$E378-$F378)</f>
        <v/>
      </c>
      <c r="H378" s="18">
        <f>IF(OR(ISNUMBER(SEARCH("fever",$D378)),ISNUMBER(SEARCH("mike",$D378)),ISNUMBER(SEARCH("mxd",$D378))),2,1)</f>
        <v/>
      </c>
      <c r="I378" s="18">
        <f>$H378*IFERROR(INDEX('Recap'!$O$5:$O$233,MATCH($K378,'Recap'!$P$5:$P$233,0)),0)</f>
        <v/>
      </c>
      <c r="J378" s="7">
        <f>$G378*$I378</f>
        <v/>
      </c>
      <c r="K378" s="4">
        <f>$A378&amp;"|"&amp;$C378</f>
        <v/>
      </c>
    </row>
    <row r="379">
      <c r="A379" s="4" t="inlineStr">
        <is>
          <t>Nick Melissari</t>
        </is>
      </c>
      <c r="B379" s="4" t="inlineStr">
        <is>
          <t>Chris McCrohan</t>
        </is>
      </c>
      <c r="C379" s="4" t="inlineStr">
        <is>
          <t>Constellation Brands</t>
        </is>
      </c>
      <c r="D379" s="4" t="inlineStr">
        <is>
          <t>Modelo Chelada</t>
        </is>
      </c>
      <c r="E379" s="5" t="n">
        <v>22</v>
      </c>
      <c r="F379" s="5" t="n">
        <v>24</v>
      </c>
      <c r="G379" s="8">
        <f>MAX(0,$E379-$F379)</f>
        <v/>
      </c>
      <c r="H379" s="18">
        <f>IF(OR(ISNUMBER(SEARCH("fever",$D379)),ISNUMBER(SEARCH("mike",$D379)),ISNUMBER(SEARCH("mxd",$D379))),2,1)</f>
        <v/>
      </c>
      <c r="I379" s="18">
        <f>$H379*IFERROR(INDEX('Recap'!$O$5:$O$233,MATCH($K379,'Recap'!$P$5:$P$233,0)),0)</f>
        <v/>
      </c>
      <c r="J379" s="7">
        <f>$G379*$I379</f>
        <v/>
      </c>
      <c r="K379" s="4">
        <f>$A379&amp;"|"&amp;$C379</f>
        <v/>
      </c>
    </row>
    <row r="380">
      <c r="A380" s="4" t="inlineStr">
        <is>
          <t>Nick Melissari</t>
        </is>
      </c>
      <c r="B380" s="4" t="inlineStr">
        <is>
          <t>Chris McCrohan</t>
        </is>
      </c>
      <c r="C380" s="4" t="inlineStr">
        <is>
          <t>Constellation Brands</t>
        </is>
      </c>
      <c r="D380" s="4" t="inlineStr">
        <is>
          <t>Pacifico</t>
        </is>
      </c>
      <c r="E380" s="5" t="n">
        <v>415</v>
      </c>
      <c r="F380" s="5" t="n">
        <v>218</v>
      </c>
      <c r="G380" s="8">
        <f>MAX(0,$E380-$F380)</f>
        <v/>
      </c>
      <c r="H380" s="18">
        <f>IF(OR(ISNUMBER(SEARCH("fever",$D380)),ISNUMBER(SEARCH("mike",$D380)),ISNUMBER(SEARCH("mxd",$D380))),2,1)</f>
        <v/>
      </c>
      <c r="I380" s="18">
        <f>$H380*IFERROR(INDEX('Recap'!$O$5:$O$233,MATCH($K380,'Recap'!$P$5:$P$233,0)),0)</f>
        <v/>
      </c>
      <c r="J380" s="7">
        <f>$G380*$I380</f>
        <v/>
      </c>
      <c r="K380" s="4">
        <f>$A380&amp;"|"&amp;$C380</f>
        <v/>
      </c>
    </row>
    <row r="381">
      <c r="A381" s="4" t="inlineStr">
        <is>
          <t>Nick Melissari</t>
        </is>
      </c>
      <c r="B381" s="4" t="inlineStr">
        <is>
          <t>Chris McCrohan</t>
        </is>
      </c>
      <c r="C381" s="4" t="inlineStr">
        <is>
          <t>Constellation Brands</t>
        </is>
      </c>
      <c r="D381" s="4" t="inlineStr">
        <is>
          <t>Victoria</t>
        </is>
      </c>
      <c r="E381" s="5" t="n">
        <v>76</v>
      </c>
      <c r="F381" s="5" t="n">
        <v>56</v>
      </c>
      <c r="G381" s="8">
        <f>MAX(0,$E381-$F381)</f>
        <v/>
      </c>
      <c r="H381" s="18">
        <f>IF(OR(ISNUMBER(SEARCH("fever",$D381)),ISNUMBER(SEARCH("mike",$D381)),ISNUMBER(SEARCH("mxd",$D381))),2,1)</f>
        <v/>
      </c>
      <c r="I381" s="18">
        <f>$H381*IFERROR(INDEX('Recap'!$O$5:$O$233,MATCH($K381,'Recap'!$P$5:$P$233,0)),0)</f>
        <v/>
      </c>
      <c r="J381" s="7">
        <f>$G381*$I381</f>
        <v/>
      </c>
      <c r="K381" s="4">
        <f>$A381&amp;"|"&amp;$C381</f>
        <v/>
      </c>
    </row>
    <row r="382">
      <c r="A382" s="4" t="inlineStr">
        <is>
          <t>Nick Melissari</t>
        </is>
      </c>
      <c r="B382" s="4" t="inlineStr">
        <is>
          <t>Chris McCrohan</t>
        </is>
      </c>
      <c r="C382" s="4" t="inlineStr">
        <is>
          <t>DG Yuengling Inc</t>
        </is>
      </c>
      <c r="D382" s="4" t="inlineStr">
        <is>
          <t>Yuengling Flight</t>
        </is>
      </c>
      <c r="E382" s="5" t="n">
        <v>10</v>
      </c>
      <c r="F382" s="5" t="n">
        <v>18</v>
      </c>
      <c r="G382" s="8">
        <f>MAX(0,$E382-$F382)</f>
        <v/>
      </c>
      <c r="H382" s="18">
        <f>IF(OR(ISNUMBER(SEARCH("fever",$D382)),ISNUMBER(SEARCH("mike",$D382)),ISNUMBER(SEARCH("mxd",$D382))),2,1)</f>
        <v/>
      </c>
      <c r="I382" s="18">
        <f>$H382*IFERROR(INDEX('Recap'!$O$5:$O$233,MATCH($K382,'Recap'!$P$5:$P$233,0)),0)</f>
        <v/>
      </c>
      <c r="J382" s="7">
        <f>$G382*$I382</f>
        <v/>
      </c>
      <c r="K382" s="4">
        <f>$A382&amp;"|"&amp;$C382</f>
        <v/>
      </c>
    </row>
    <row r="383">
      <c r="A383" s="4" t="inlineStr">
        <is>
          <t>Nick Melissari</t>
        </is>
      </c>
      <c r="B383" s="4" t="inlineStr">
        <is>
          <t>Chris McCrohan</t>
        </is>
      </c>
      <c r="C383" s="4" t="inlineStr">
        <is>
          <t>DG Yuengling Inc</t>
        </is>
      </c>
      <c r="D383" s="4" t="inlineStr">
        <is>
          <t>Yuengling Light Lager</t>
        </is>
      </c>
      <c r="E383" s="5" t="n">
        <v>2</v>
      </c>
      <c r="F383" s="5" t="n">
        <v>1</v>
      </c>
      <c r="G383" s="8">
        <f>MAX(0,$E383-$F383)</f>
        <v/>
      </c>
      <c r="H383" s="18">
        <f>IF(OR(ISNUMBER(SEARCH("fever",$D383)),ISNUMBER(SEARCH("mike",$D383)),ISNUMBER(SEARCH("mxd",$D383))),2,1)</f>
        <v/>
      </c>
      <c r="I383" s="18">
        <f>$H383*IFERROR(INDEX('Recap'!$O$5:$O$233,MATCH($K383,'Recap'!$P$5:$P$233,0)),0)</f>
        <v/>
      </c>
      <c r="J383" s="7">
        <f>$G383*$I383</f>
        <v/>
      </c>
      <c r="K383" s="4">
        <f>$A383&amp;"|"&amp;$C383</f>
        <v/>
      </c>
    </row>
    <row r="384">
      <c r="A384" s="4" t="inlineStr">
        <is>
          <t>Nick Melissari</t>
        </is>
      </c>
      <c r="B384" s="4" t="inlineStr">
        <is>
          <t>Chris McCrohan</t>
        </is>
      </c>
      <c r="C384" s="4" t="inlineStr">
        <is>
          <t>Heineken USA</t>
        </is>
      </c>
      <c r="D384" s="4" t="inlineStr">
        <is>
          <t>Heineken 0.0</t>
        </is>
      </c>
      <c r="E384" s="5" t="n">
        <v>335</v>
      </c>
      <c r="F384" s="5" t="n">
        <v>293</v>
      </c>
      <c r="G384" s="8">
        <f>MAX(0,$E384-$F384)</f>
        <v/>
      </c>
      <c r="H384" s="18">
        <f>IF(OR(ISNUMBER(SEARCH("fever",$D384)),ISNUMBER(SEARCH("mike",$D384)),ISNUMBER(SEARCH("mxd",$D384))),2,1)</f>
        <v/>
      </c>
      <c r="I384" s="18">
        <f>$H384*IFERROR(INDEX('Recap'!$O$5:$O$233,MATCH($K384,'Recap'!$P$5:$P$233,0)),0)</f>
        <v/>
      </c>
      <c r="J384" s="7">
        <f>$G384*$I384</f>
        <v/>
      </c>
      <c r="K384" s="4">
        <f>$A384&amp;"|"&amp;$C384</f>
        <v/>
      </c>
    </row>
    <row r="385">
      <c r="A385" s="4" t="inlineStr">
        <is>
          <t>Nick Melissari</t>
        </is>
      </c>
      <c r="B385" s="4" t="inlineStr">
        <is>
          <t>Chris McCrohan</t>
        </is>
      </c>
      <c r="C385" s="4" t="inlineStr">
        <is>
          <t>Heineken USA</t>
        </is>
      </c>
      <c r="D385" s="4" t="inlineStr">
        <is>
          <t>Heineken Light</t>
        </is>
      </c>
      <c r="E385" s="5" t="n">
        <v>130</v>
      </c>
      <c r="F385" s="5" t="n">
        <v>103</v>
      </c>
      <c r="G385" s="8">
        <f>MAX(0,$E385-$F385)</f>
        <v/>
      </c>
      <c r="H385" s="18">
        <f>IF(OR(ISNUMBER(SEARCH("fever",$D385)),ISNUMBER(SEARCH("mike",$D385)),ISNUMBER(SEARCH("mxd",$D385))),2,1)</f>
        <v/>
      </c>
      <c r="I385" s="18">
        <f>$H385*IFERROR(INDEX('Recap'!$O$5:$O$233,MATCH($K385,'Recap'!$P$5:$P$233,0)),0)</f>
        <v/>
      </c>
      <c r="J385" s="7">
        <f>$G385*$I385</f>
        <v/>
      </c>
      <c r="K385" s="4">
        <f>$A385&amp;"|"&amp;$C385</f>
        <v/>
      </c>
    </row>
    <row r="386">
      <c r="A386" s="4" t="inlineStr">
        <is>
          <t>Nick Melissari</t>
        </is>
      </c>
      <c r="B386" s="4" t="inlineStr">
        <is>
          <t>Chris McCrohan</t>
        </is>
      </c>
      <c r="C386" s="4" t="inlineStr">
        <is>
          <t>Mark Anthony</t>
        </is>
      </c>
      <c r="D386" s="4" t="inlineStr">
        <is>
          <t>Cayman Jack</t>
        </is>
      </c>
      <c r="E386" s="5" t="n">
        <v>4</v>
      </c>
      <c r="F386" s="5" t="n">
        <v>3</v>
      </c>
      <c r="G386" s="8">
        <f>MAX(0,$E386-$F386)</f>
        <v/>
      </c>
      <c r="H386" s="18">
        <f>IF(OR(ISNUMBER(SEARCH("fever",$D386)),ISNUMBER(SEARCH("mike",$D386)),ISNUMBER(SEARCH("mxd",$D386))),2,1)</f>
        <v/>
      </c>
      <c r="I386" s="18">
        <f>$H386*IFERROR(INDEX('Recap'!$O$5:$O$233,MATCH($K386,'Recap'!$P$5:$P$233,0)),0)</f>
        <v/>
      </c>
      <c r="J386" s="7">
        <f>$G386*$I386</f>
        <v/>
      </c>
      <c r="K386" s="4">
        <f>$A386&amp;"|"&amp;$C386</f>
        <v/>
      </c>
    </row>
    <row r="387">
      <c r="A387" s="4" t="inlineStr">
        <is>
          <t>Nick Melissari</t>
        </is>
      </c>
      <c r="B387" s="4" t="inlineStr">
        <is>
          <t>Chris McCrohan</t>
        </is>
      </c>
      <c r="C387" s="4" t="inlineStr">
        <is>
          <t>Mark Anthony</t>
        </is>
      </c>
      <c r="D387" s="4" t="inlineStr">
        <is>
          <t>Mike's Harder</t>
        </is>
      </c>
      <c r="E387" s="5" t="n">
        <v>0</v>
      </c>
      <c r="F387" s="5" t="n">
        <v>7</v>
      </c>
      <c r="G387" s="8">
        <f>MAX(0,$E387-$F387)</f>
        <v/>
      </c>
      <c r="H387" s="18">
        <f>IF(OR(ISNUMBER(SEARCH("fever",$D387)),ISNUMBER(SEARCH("mike",$D387)),ISNUMBER(SEARCH("mxd",$D387))),2,1)</f>
        <v/>
      </c>
      <c r="I387" s="18">
        <f>$H387*IFERROR(INDEX('Recap'!$O$5:$O$233,MATCH($K387,'Recap'!$P$5:$P$233,0)),0)</f>
        <v/>
      </c>
      <c r="J387" s="7">
        <f>$G387*$I387</f>
        <v/>
      </c>
      <c r="K387" s="4">
        <f>$A387&amp;"|"&amp;$C387</f>
        <v/>
      </c>
    </row>
    <row r="388">
      <c r="A388" s="4" t="inlineStr">
        <is>
          <t>Nick Melissari</t>
        </is>
      </c>
      <c r="B388" s="4" t="inlineStr">
        <is>
          <t>Chris McCrohan</t>
        </is>
      </c>
      <c r="C388" s="4" t="inlineStr">
        <is>
          <t>Mark Anthony</t>
        </is>
      </c>
      <c r="D388" s="4" t="inlineStr">
        <is>
          <t>Mxd Cocktails</t>
        </is>
      </c>
      <c r="E388" s="5" t="n">
        <v>3</v>
      </c>
      <c r="F388" s="5" t="n">
        <v>4</v>
      </c>
      <c r="G388" s="8">
        <f>MAX(0,$E388-$F388)</f>
        <v/>
      </c>
      <c r="H388" s="18">
        <f>IF(OR(ISNUMBER(SEARCH("fever",$D388)),ISNUMBER(SEARCH("mike",$D388)),ISNUMBER(SEARCH("mxd",$D388))),2,1)</f>
        <v/>
      </c>
      <c r="I388" s="18">
        <f>$H388*IFERROR(INDEX('Recap'!$O$5:$O$233,MATCH($K388,'Recap'!$P$5:$P$233,0)),0)</f>
        <v/>
      </c>
      <c r="J388" s="7">
        <f>$G388*$I388</f>
        <v/>
      </c>
      <c r="K388" s="4">
        <f>$A388&amp;"|"&amp;$C388</f>
        <v/>
      </c>
    </row>
    <row r="389">
      <c r="A389" s="4" t="inlineStr">
        <is>
          <t>Nick Melissari</t>
        </is>
      </c>
      <c r="B389" s="4" t="inlineStr">
        <is>
          <t>Chris McCrohan</t>
        </is>
      </c>
      <c r="C389" s="4" t="inlineStr">
        <is>
          <t>MolsonCoors Beverage Company</t>
        </is>
      </c>
      <c r="D389" s="4" t="inlineStr">
        <is>
          <t>Coors</t>
        </is>
      </c>
      <c r="E389" s="5" t="n">
        <v>165</v>
      </c>
      <c r="F389" s="5" t="n">
        <v>157</v>
      </c>
      <c r="G389" s="8">
        <f>MAX(0,$E389-$F389)</f>
        <v/>
      </c>
      <c r="H389" s="18">
        <f>IF(OR(ISNUMBER(SEARCH("fever",$D389)),ISNUMBER(SEARCH("mike",$D389)),ISNUMBER(SEARCH("mxd",$D389))),2,1)</f>
        <v/>
      </c>
      <c r="I389" s="18">
        <f>$H389*IFERROR(INDEX('Recap'!$O$5:$O$233,MATCH($K389,'Recap'!$P$5:$P$233,0)),0)</f>
        <v/>
      </c>
      <c r="J389" s="7">
        <f>$G389*$I389</f>
        <v/>
      </c>
      <c r="K389" s="4">
        <f>$A389&amp;"|"&amp;$C389</f>
        <v/>
      </c>
    </row>
    <row r="390">
      <c r="A390" s="4" t="inlineStr">
        <is>
          <t>Nick Melissari</t>
        </is>
      </c>
      <c r="B390" s="4" t="inlineStr">
        <is>
          <t>Chris McCrohan</t>
        </is>
      </c>
      <c r="C390" s="4" t="inlineStr">
        <is>
          <t>MolsonCoors Beverage Company</t>
        </is>
      </c>
      <c r="D390" s="4" t="inlineStr">
        <is>
          <t>Fever Tree</t>
        </is>
      </c>
      <c r="E390" s="5" t="n">
        <v>173</v>
      </c>
      <c r="F390" s="5" t="n">
        <v>112</v>
      </c>
      <c r="G390" s="8">
        <f>MAX(0,$E390-$F390)</f>
        <v/>
      </c>
      <c r="H390" s="18">
        <f>IF(OR(ISNUMBER(SEARCH("fever",$D390)),ISNUMBER(SEARCH("mike",$D390)),ISNUMBER(SEARCH("mxd",$D390))),2,1)</f>
        <v/>
      </c>
      <c r="I390" s="18">
        <f>$H390*IFERROR(INDEX('Recap'!$O$5:$O$233,MATCH($K390,'Recap'!$P$5:$P$233,0)),0)</f>
        <v/>
      </c>
      <c r="J390" s="7">
        <f>$G390*$I390</f>
        <v/>
      </c>
      <c r="K390" s="4">
        <f>$A390&amp;"|"&amp;$C390</f>
        <v/>
      </c>
    </row>
    <row r="391">
      <c r="A391" s="4" t="inlineStr">
        <is>
          <t>Nick Melissari</t>
        </is>
      </c>
      <c r="B391" s="4" t="inlineStr">
        <is>
          <t>Chris McCrohan</t>
        </is>
      </c>
      <c r="C391" s="4" t="inlineStr">
        <is>
          <t>MolsonCoors Beverage Company</t>
        </is>
      </c>
      <c r="D391" s="4" t="inlineStr">
        <is>
          <t>Peroni</t>
        </is>
      </c>
      <c r="E391" s="5" t="n">
        <v>1195</v>
      </c>
      <c r="F391" s="5" t="n">
        <v>769</v>
      </c>
      <c r="G391" s="8">
        <f>MAX(0,$E391-$F391)</f>
        <v/>
      </c>
      <c r="H391" s="18">
        <f>IF(OR(ISNUMBER(SEARCH("fever",$D391)),ISNUMBER(SEARCH("mike",$D391)),ISNUMBER(SEARCH("mxd",$D391))),2,1)</f>
        <v/>
      </c>
      <c r="I391" s="18">
        <f>$H391*IFERROR(INDEX('Recap'!$O$5:$O$233,MATCH($K391,'Recap'!$P$5:$P$233,0)),0)</f>
        <v/>
      </c>
      <c r="J391" s="7">
        <f>$G391*$I391</f>
        <v/>
      </c>
      <c r="K391" s="4">
        <f>$A391&amp;"|"&amp;$C391</f>
        <v/>
      </c>
    </row>
    <row r="392">
      <c r="A392" s="4" t="inlineStr">
        <is>
          <t>Nick Melissari</t>
        </is>
      </c>
      <c r="B392" s="4" t="inlineStr">
        <is>
          <t>Chris McCrohan</t>
        </is>
      </c>
      <c r="C392" s="4" t="inlineStr">
        <is>
          <t>New Belgium Brewing Company</t>
        </is>
      </c>
      <c r="D392" s="4" t="inlineStr">
        <is>
          <t>Fat Tire Family</t>
        </is>
      </c>
      <c r="E392" s="5" t="n">
        <v>141</v>
      </c>
      <c r="F392" s="5" t="n">
        <v>160</v>
      </c>
      <c r="G392" s="8">
        <f>MAX(0,$E392-$F392)</f>
        <v/>
      </c>
      <c r="H392" s="18">
        <f>IF(OR(ISNUMBER(SEARCH("fever",$D392)),ISNUMBER(SEARCH("mike",$D392)),ISNUMBER(SEARCH("mxd",$D392))),2,1)</f>
        <v/>
      </c>
      <c r="I392" s="18">
        <f>$H392*IFERROR(INDEX('Recap'!$O$5:$O$233,MATCH($K392,'Recap'!$P$5:$P$233,0)),0)</f>
        <v/>
      </c>
      <c r="J392" s="7">
        <f>$G392*$I392</f>
        <v/>
      </c>
      <c r="K392" s="4">
        <f>$A392&amp;"|"&amp;$C392</f>
        <v/>
      </c>
    </row>
    <row r="393">
      <c r="A393" s="4" t="inlineStr">
        <is>
          <t>Nick Melissari</t>
        </is>
      </c>
      <c r="B393" s="4" t="inlineStr">
        <is>
          <t>Chris McCrohan</t>
        </is>
      </c>
      <c r="C393" s="4" t="inlineStr">
        <is>
          <t>New Belgium Brewing Company</t>
        </is>
      </c>
      <c r="D393" s="4" t="inlineStr">
        <is>
          <t>Kirin Ichiban</t>
        </is>
      </c>
      <c r="E393" s="5" t="n">
        <v>38</v>
      </c>
      <c r="F393" s="5" t="n">
        <v>54</v>
      </c>
      <c r="G393" s="8">
        <f>MAX(0,$E393-$F393)</f>
        <v/>
      </c>
      <c r="H393" s="18">
        <f>IF(OR(ISNUMBER(SEARCH("fever",$D393)),ISNUMBER(SEARCH("mike",$D393)),ISNUMBER(SEARCH("mxd",$D393))),2,1)</f>
        <v/>
      </c>
      <c r="I393" s="18">
        <f>$H393*IFERROR(INDEX('Recap'!$O$5:$O$233,MATCH($K393,'Recap'!$P$5:$P$233,0)),0)</f>
        <v/>
      </c>
      <c r="J393" s="7">
        <f>$G393*$I393</f>
        <v/>
      </c>
      <c r="K393" s="4">
        <f>$A393&amp;"|"&amp;$C393</f>
        <v/>
      </c>
    </row>
    <row r="394">
      <c r="A394" s="4" t="inlineStr">
        <is>
          <t>Nick Melissari</t>
        </is>
      </c>
      <c r="B394" s="4" t="inlineStr">
        <is>
          <t>Chris McCrohan</t>
        </is>
      </c>
      <c r="C394" s="4" t="inlineStr">
        <is>
          <t>New Belgium Brewing Company</t>
        </is>
      </c>
      <c r="D394" s="4" t="inlineStr">
        <is>
          <t>Voodoo Family</t>
        </is>
      </c>
      <c r="E394" s="5" t="n">
        <v>572</v>
      </c>
      <c r="F394" s="5" t="n">
        <v>316</v>
      </c>
      <c r="G394" s="8">
        <f>MAX(0,$E394-$F394)</f>
        <v/>
      </c>
      <c r="H394" s="18">
        <f>IF(OR(ISNUMBER(SEARCH("fever",$D394)),ISNUMBER(SEARCH("mike",$D394)),ISNUMBER(SEARCH("mxd",$D394))),2,1)</f>
        <v/>
      </c>
      <c r="I394" s="18">
        <f>$H394*IFERROR(INDEX('Recap'!$O$5:$O$233,MATCH($K394,'Recap'!$P$5:$P$233,0)),0)</f>
        <v/>
      </c>
      <c r="J394" s="7">
        <f>$G394*$I394</f>
        <v/>
      </c>
      <c r="K394" s="4">
        <f>$A394&amp;"|"&amp;$C394</f>
        <v/>
      </c>
    </row>
    <row r="395">
      <c r="A395" s="4" t="inlineStr">
        <is>
          <t>Nick Melissari</t>
        </is>
      </c>
      <c r="B395" s="4" t="inlineStr">
        <is>
          <t>Chris McCrohan</t>
        </is>
      </c>
      <c r="C395" s="4" t="inlineStr">
        <is>
          <t>Sapporo</t>
        </is>
      </c>
      <c r="D395" s="4" t="inlineStr">
        <is>
          <t>Sapporo</t>
        </is>
      </c>
      <c r="E395" s="5" t="n">
        <v>259</v>
      </c>
      <c r="F395" s="5" t="n">
        <v>142</v>
      </c>
      <c r="G395" s="8">
        <f>MAX(0,$E395-$F395)</f>
        <v/>
      </c>
      <c r="H395" s="18">
        <f>IF(OR(ISNUMBER(SEARCH("fever",$D395)),ISNUMBER(SEARCH("mike",$D395)),ISNUMBER(SEARCH("mxd",$D395))),2,1)</f>
        <v/>
      </c>
      <c r="I395" s="18">
        <f>$H395*IFERROR(INDEX('Recap'!$O$5:$O$233,MATCH($K395,'Recap'!$P$5:$P$233,0)),0)</f>
        <v/>
      </c>
      <c r="J395" s="7">
        <f>$G395*$I395</f>
        <v/>
      </c>
      <c r="K395" s="4">
        <f>$A395&amp;"|"&amp;$C395</f>
        <v/>
      </c>
    </row>
    <row r="396">
      <c r="A396" s="4" t="inlineStr">
        <is>
          <t>Pablo Lopez</t>
        </is>
      </c>
      <c r="B396" s="4" t="inlineStr">
        <is>
          <t>Denise Montes</t>
        </is>
      </c>
      <c r="C396" s="4" t="inlineStr">
        <is>
          <t>Boston Beer Company</t>
        </is>
      </c>
      <c r="D396" s="4" t="inlineStr">
        <is>
          <t>Dogfish Head Beer</t>
        </is>
      </c>
      <c r="E396" s="5" t="n">
        <v>15</v>
      </c>
      <c r="F396" s="5" t="n">
        <v>17</v>
      </c>
      <c r="G396" s="8">
        <f>MAX(0,$E396-$F396)</f>
        <v/>
      </c>
      <c r="H396" s="18">
        <f>IF(OR(ISNUMBER(SEARCH("fever",$D396)),ISNUMBER(SEARCH("mike",$D396)),ISNUMBER(SEARCH("mxd",$D396))),2,1)</f>
        <v/>
      </c>
      <c r="I396" s="18">
        <f>$H396*IFERROR(INDEX('Recap'!$O$5:$O$233,MATCH($K396,'Recap'!$P$5:$P$233,0)),0)</f>
        <v/>
      </c>
      <c r="J396" s="7">
        <f>$G396*$I396</f>
        <v/>
      </c>
      <c r="K396" s="4">
        <f>$A396&amp;"|"&amp;$C396</f>
        <v/>
      </c>
    </row>
    <row r="397">
      <c r="A397" s="4" t="inlineStr">
        <is>
          <t>Pablo Lopez</t>
        </is>
      </c>
      <c r="B397" s="4" t="inlineStr">
        <is>
          <t>Denise Montes</t>
        </is>
      </c>
      <c r="C397" s="4" t="inlineStr">
        <is>
          <t>Cape May</t>
        </is>
      </c>
      <c r="D397" s="4" t="inlineStr">
        <is>
          <t>Cape May</t>
        </is>
      </c>
      <c r="E397" s="5" t="n">
        <v>0</v>
      </c>
      <c r="F397" s="5" t="n">
        <v>7</v>
      </c>
      <c r="G397" s="8">
        <f>MAX(0,$E397-$F397)</f>
        <v/>
      </c>
      <c r="H397" s="18">
        <f>IF(OR(ISNUMBER(SEARCH("fever",$D397)),ISNUMBER(SEARCH("mike",$D397)),ISNUMBER(SEARCH("mxd",$D397))),2,1)</f>
        <v/>
      </c>
      <c r="I397" s="18">
        <f>$H397*IFERROR(INDEX('Recap'!$O$5:$O$233,MATCH($K397,'Recap'!$P$5:$P$233,0)),0)</f>
        <v/>
      </c>
      <c r="J397" s="7">
        <f>$G397*$I397</f>
        <v/>
      </c>
      <c r="K397" s="4">
        <f>$A397&amp;"|"&amp;$C397</f>
        <v/>
      </c>
    </row>
    <row r="398">
      <c r="A398" s="4" t="inlineStr">
        <is>
          <t>Pablo Lopez</t>
        </is>
      </c>
      <c r="B398" s="4" t="inlineStr">
        <is>
          <t>Denise Montes</t>
        </is>
      </c>
      <c r="C398" s="4" t="inlineStr">
        <is>
          <t>Constellation Brands</t>
        </is>
      </c>
      <c r="D398" s="4" t="inlineStr">
        <is>
          <t>Corona Premier</t>
        </is>
      </c>
      <c r="E398" s="5" t="n">
        <v>129</v>
      </c>
      <c r="F398" s="5" t="n">
        <v>165</v>
      </c>
      <c r="G398" s="8">
        <f>MAX(0,$E398-$F398)</f>
        <v/>
      </c>
      <c r="H398" s="18">
        <f>IF(OR(ISNUMBER(SEARCH("fever",$D398)),ISNUMBER(SEARCH("mike",$D398)),ISNUMBER(SEARCH("mxd",$D398))),2,1)</f>
        <v/>
      </c>
      <c r="I398" s="18">
        <f>$H398*IFERROR(INDEX('Recap'!$O$5:$O$233,MATCH($K398,'Recap'!$P$5:$P$233,0)),0)</f>
        <v/>
      </c>
      <c r="J398" s="7">
        <f>$G398*$I398</f>
        <v/>
      </c>
      <c r="K398" s="4">
        <f>$A398&amp;"|"&amp;$C398</f>
        <v/>
      </c>
    </row>
    <row r="399">
      <c r="A399" s="4" t="inlineStr">
        <is>
          <t>Pablo Lopez</t>
        </is>
      </c>
      <c r="B399" s="4" t="inlineStr">
        <is>
          <t>Denise Montes</t>
        </is>
      </c>
      <c r="C399" s="4" t="inlineStr">
        <is>
          <t>Constellation Brands</t>
        </is>
      </c>
      <c r="D399" s="4" t="inlineStr">
        <is>
          <t>Modelo Chelada</t>
        </is>
      </c>
      <c r="E399" s="5" t="n">
        <v>2755</v>
      </c>
      <c r="F399" s="5" t="n">
        <v>2440</v>
      </c>
      <c r="G399" s="8">
        <f>MAX(0,$E399-$F399)</f>
        <v/>
      </c>
      <c r="H399" s="18">
        <f>IF(OR(ISNUMBER(SEARCH("fever",$D399)),ISNUMBER(SEARCH("mike",$D399)),ISNUMBER(SEARCH("mxd",$D399))),2,1)</f>
        <v/>
      </c>
      <c r="I399" s="18">
        <f>$H399*IFERROR(INDEX('Recap'!$O$5:$O$233,MATCH($K399,'Recap'!$P$5:$P$233,0)),0)</f>
        <v/>
      </c>
      <c r="J399" s="7">
        <f>$G399*$I399</f>
        <v/>
      </c>
      <c r="K399" s="4">
        <f>$A399&amp;"|"&amp;$C399</f>
        <v/>
      </c>
    </row>
    <row r="400">
      <c r="A400" s="4" t="inlineStr">
        <is>
          <t>Pablo Lopez</t>
        </is>
      </c>
      <c r="B400" s="4" t="inlineStr">
        <is>
          <t>Denise Montes</t>
        </is>
      </c>
      <c r="C400" s="4" t="inlineStr">
        <is>
          <t>Constellation Brands</t>
        </is>
      </c>
      <c r="D400" s="4" t="inlineStr">
        <is>
          <t>Pacifico</t>
        </is>
      </c>
      <c r="E400" s="5" t="n">
        <v>859</v>
      </c>
      <c r="F400" s="5" t="n">
        <v>735</v>
      </c>
      <c r="G400" s="8">
        <f>MAX(0,$E400-$F400)</f>
        <v/>
      </c>
      <c r="H400" s="18">
        <f>IF(OR(ISNUMBER(SEARCH("fever",$D400)),ISNUMBER(SEARCH("mike",$D400)),ISNUMBER(SEARCH("mxd",$D400))),2,1)</f>
        <v/>
      </c>
      <c r="I400" s="18">
        <f>$H400*IFERROR(INDEX('Recap'!$O$5:$O$233,MATCH($K400,'Recap'!$P$5:$P$233,0)),0)</f>
        <v/>
      </c>
      <c r="J400" s="7">
        <f>$G400*$I400</f>
        <v/>
      </c>
      <c r="K400" s="4">
        <f>$A400&amp;"|"&amp;$C400</f>
        <v/>
      </c>
    </row>
    <row r="401">
      <c r="A401" s="4" t="inlineStr">
        <is>
          <t>Pablo Lopez</t>
        </is>
      </c>
      <c r="B401" s="4" t="inlineStr">
        <is>
          <t>Denise Montes</t>
        </is>
      </c>
      <c r="C401" s="4" t="inlineStr">
        <is>
          <t>Constellation Brands</t>
        </is>
      </c>
      <c r="D401" s="4" t="inlineStr">
        <is>
          <t>Victoria</t>
        </is>
      </c>
      <c r="E401" s="5" t="n">
        <v>2368</v>
      </c>
      <c r="F401" s="5" t="n">
        <v>2491</v>
      </c>
      <c r="G401" s="8">
        <f>MAX(0,$E401-$F401)</f>
        <v/>
      </c>
      <c r="H401" s="18">
        <f>IF(OR(ISNUMBER(SEARCH("fever",$D401)),ISNUMBER(SEARCH("mike",$D401)),ISNUMBER(SEARCH("mxd",$D401))),2,1)</f>
        <v/>
      </c>
      <c r="I401" s="18">
        <f>$H401*IFERROR(INDEX('Recap'!$O$5:$O$233,MATCH($K401,'Recap'!$P$5:$P$233,0)),0)</f>
        <v/>
      </c>
      <c r="J401" s="7">
        <f>$G401*$I401</f>
        <v/>
      </c>
      <c r="K401" s="4">
        <f>$A401&amp;"|"&amp;$C401</f>
        <v/>
      </c>
    </row>
    <row r="402">
      <c r="A402" s="4" t="inlineStr">
        <is>
          <t>Pablo Lopez</t>
        </is>
      </c>
      <c r="B402" s="4" t="inlineStr">
        <is>
          <t>Denise Montes</t>
        </is>
      </c>
      <c r="C402" s="4" t="inlineStr">
        <is>
          <t>DG Yuengling Inc</t>
        </is>
      </c>
      <c r="D402" s="4" t="inlineStr">
        <is>
          <t>Yuengling Flight</t>
        </is>
      </c>
      <c r="E402" s="5" t="n">
        <v>14</v>
      </c>
      <c r="F402" s="5" t="n">
        <v>7</v>
      </c>
      <c r="G402" s="8">
        <f>MAX(0,$E402-$F402)</f>
        <v/>
      </c>
      <c r="H402" s="18">
        <f>IF(OR(ISNUMBER(SEARCH("fever",$D402)),ISNUMBER(SEARCH("mike",$D402)),ISNUMBER(SEARCH("mxd",$D402))),2,1)</f>
        <v/>
      </c>
      <c r="I402" s="18">
        <f>$H402*IFERROR(INDEX('Recap'!$O$5:$O$233,MATCH($K402,'Recap'!$P$5:$P$233,0)),0)</f>
        <v/>
      </c>
      <c r="J402" s="7">
        <f>$G402*$I402</f>
        <v/>
      </c>
      <c r="K402" s="4">
        <f>$A402&amp;"|"&amp;$C402</f>
        <v/>
      </c>
    </row>
    <row r="403">
      <c r="A403" s="4" t="inlineStr">
        <is>
          <t>Pablo Lopez</t>
        </is>
      </c>
      <c r="B403" s="4" t="inlineStr">
        <is>
          <t>Denise Montes</t>
        </is>
      </c>
      <c r="C403" s="4" t="inlineStr">
        <is>
          <t>Heineken USA</t>
        </is>
      </c>
      <c r="D403" s="4" t="inlineStr">
        <is>
          <t>Heineken 0.0</t>
        </is>
      </c>
      <c r="E403" s="5" t="n">
        <v>637</v>
      </c>
      <c r="F403" s="5" t="n">
        <v>385</v>
      </c>
      <c r="G403" s="8">
        <f>MAX(0,$E403-$F403)</f>
        <v/>
      </c>
      <c r="H403" s="18">
        <f>IF(OR(ISNUMBER(SEARCH("fever",$D403)),ISNUMBER(SEARCH("mike",$D403)),ISNUMBER(SEARCH("mxd",$D403))),2,1)</f>
        <v/>
      </c>
      <c r="I403" s="18">
        <f>$H403*IFERROR(INDEX('Recap'!$O$5:$O$233,MATCH($K403,'Recap'!$P$5:$P$233,0)),0)</f>
        <v/>
      </c>
      <c r="J403" s="7">
        <f>$G403*$I403</f>
        <v/>
      </c>
      <c r="K403" s="4">
        <f>$A403&amp;"|"&amp;$C403</f>
        <v/>
      </c>
    </row>
    <row r="404">
      <c r="A404" s="4" t="inlineStr">
        <is>
          <t>Pablo Lopez</t>
        </is>
      </c>
      <c r="B404" s="4" t="inlineStr">
        <is>
          <t>Denise Montes</t>
        </is>
      </c>
      <c r="C404" s="4" t="inlineStr">
        <is>
          <t>Heineken USA</t>
        </is>
      </c>
      <c r="D404" s="4" t="inlineStr">
        <is>
          <t>Heineken Light</t>
        </is>
      </c>
      <c r="E404" s="5" t="n">
        <v>829</v>
      </c>
      <c r="F404" s="5" t="n">
        <v>1031</v>
      </c>
      <c r="G404" s="8">
        <f>MAX(0,$E404-$F404)</f>
        <v/>
      </c>
      <c r="H404" s="18">
        <f>IF(OR(ISNUMBER(SEARCH("fever",$D404)),ISNUMBER(SEARCH("mike",$D404)),ISNUMBER(SEARCH("mxd",$D404))),2,1)</f>
        <v/>
      </c>
      <c r="I404" s="18">
        <f>$H404*IFERROR(INDEX('Recap'!$O$5:$O$233,MATCH($K404,'Recap'!$P$5:$P$233,0)),0)</f>
        <v/>
      </c>
      <c r="J404" s="7">
        <f>$G404*$I404</f>
        <v/>
      </c>
      <c r="K404" s="4">
        <f>$A404&amp;"|"&amp;$C404</f>
        <v/>
      </c>
    </row>
    <row r="405">
      <c r="A405" s="4" t="inlineStr">
        <is>
          <t>Pablo Lopez</t>
        </is>
      </c>
      <c r="B405" s="4" t="inlineStr">
        <is>
          <t>Denise Montes</t>
        </is>
      </c>
      <c r="C405" s="4" t="inlineStr">
        <is>
          <t>Mark Anthony</t>
        </is>
      </c>
      <c r="D405" s="4" t="inlineStr">
        <is>
          <t>Cayman Jack</t>
        </is>
      </c>
      <c r="E405" s="5" t="n">
        <v>577</v>
      </c>
      <c r="F405" s="5" t="n">
        <v>414</v>
      </c>
      <c r="G405" s="8">
        <f>MAX(0,$E405-$F405)</f>
        <v/>
      </c>
      <c r="H405" s="18">
        <f>IF(OR(ISNUMBER(SEARCH("fever",$D405)),ISNUMBER(SEARCH("mike",$D405)),ISNUMBER(SEARCH("mxd",$D405))),2,1)</f>
        <v/>
      </c>
      <c r="I405" s="18">
        <f>$H405*IFERROR(INDEX('Recap'!$O$5:$O$233,MATCH($K405,'Recap'!$P$5:$P$233,0)),0)</f>
        <v/>
      </c>
      <c r="J405" s="7">
        <f>$G405*$I405</f>
        <v/>
      </c>
      <c r="K405" s="4">
        <f>$A405&amp;"|"&amp;$C405</f>
        <v/>
      </c>
    </row>
    <row r="406">
      <c r="A406" s="4" t="inlineStr">
        <is>
          <t>Pablo Lopez</t>
        </is>
      </c>
      <c r="B406" s="4" t="inlineStr">
        <is>
          <t>Denise Montes</t>
        </is>
      </c>
      <c r="C406" s="4" t="inlineStr">
        <is>
          <t>Mark Anthony</t>
        </is>
      </c>
      <c r="D406" s="4" t="inlineStr">
        <is>
          <t>Mike's Harder</t>
        </is>
      </c>
      <c r="E406" s="5" t="n">
        <v>45</v>
      </c>
      <c r="F406" s="5" t="n">
        <v>52</v>
      </c>
      <c r="G406" s="8">
        <f>MAX(0,$E406-$F406)</f>
        <v/>
      </c>
      <c r="H406" s="18">
        <f>IF(OR(ISNUMBER(SEARCH("fever",$D406)),ISNUMBER(SEARCH("mike",$D406)),ISNUMBER(SEARCH("mxd",$D406))),2,1)</f>
        <v/>
      </c>
      <c r="I406" s="18">
        <f>$H406*IFERROR(INDEX('Recap'!$O$5:$O$233,MATCH($K406,'Recap'!$P$5:$P$233,0)),0)</f>
        <v/>
      </c>
      <c r="J406" s="7">
        <f>$G406*$I406</f>
        <v/>
      </c>
      <c r="K406" s="4">
        <f>$A406&amp;"|"&amp;$C406</f>
        <v/>
      </c>
    </row>
    <row r="407">
      <c r="A407" s="4" t="inlineStr">
        <is>
          <t>Pablo Lopez</t>
        </is>
      </c>
      <c r="B407" s="4" t="inlineStr">
        <is>
          <t>Denise Montes</t>
        </is>
      </c>
      <c r="C407" s="4" t="inlineStr">
        <is>
          <t>Mark Anthony</t>
        </is>
      </c>
      <c r="D407" s="4" t="inlineStr">
        <is>
          <t>Mxd Cocktails</t>
        </is>
      </c>
      <c r="E407" s="5" t="n">
        <v>364</v>
      </c>
      <c r="F407" s="5" t="n">
        <v>284</v>
      </c>
      <c r="G407" s="8">
        <f>MAX(0,$E407-$F407)</f>
        <v/>
      </c>
      <c r="H407" s="18">
        <f>IF(OR(ISNUMBER(SEARCH("fever",$D407)),ISNUMBER(SEARCH("mike",$D407)),ISNUMBER(SEARCH("mxd",$D407))),2,1)</f>
        <v/>
      </c>
      <c r="I407" s="18">
        <f>$H407*IFERROR(INDEX('Recap'!$O$5:$O$233,MATCH($K407,'Recap'!$P$5:$P$233,0)),0)</f>
        <v/>
      </c>
      <c r="J407" s="7">
        <f>$G407*$I407</f>
        <v/>
      </c>
      <c r="K407" s="4">
        <f>$A407&amp;"|"&amp;$C407</f>
        <v/>
      </c>
    </row>
    <row r="408">
      <c r="A408" s="4" t="inlineStr">
        <is>
          <t>Pablo Lopez</t>
        </is>
      </c>
      <c r="B408" s="4" t="inlineStr">
        <is>
          <t>Denise Montes</t>
        </is>
      </c>
      <c r="C408" s="4" t="inlineStr">
        <is>
          <t>MolsonCoors Beverage Company</t>
        </is>
      </c>
      <c r="D408" s="4" t="inlineStr">
        <is>
          <t>Coors</t>
        </is>
      </c>
      <c r="E408" s="5" t="n">
        <v>1250</v>
      </c>
      <c r="F408" s="5" t="n">
        <v>1139</v>
      </c>
      <c r="G408" s="8">
        <f>MAX(0,$E408-$F408)</f>
        <v/>
      </c>
      <c r="H408" s="18">
        <f>IF(OR(ISNUMBER(SEARCH("fever",$D408)),ISNUMBER(SEARCH("mike",$D408)),ISNUMBER(SEARCH("mxd",$D408))),2,1)</f>
        <v/>
      </c>
      <c r="I408" s="18">
        <f>$H408*IFERROR(INDEX('Recap'!$O$5:$O$233,MATCH($K408,'Recap'!$P$5:$P$233,0)),0)</f>
        <v/>
      </c>
      <c r="J408" s="7">
        <f>$G408*$I408</f>
        <v/>
      </c>
      <c r="K408" s="4">
        <f>$A408&amp;"|"&amp;$C408</f>
        <v/>
      </c>
    </row>
    <row r="409">
      <c r="A409" s="4" t="inlineStr">
        <is>
          <t>Pablo Lopez</t>
        </is>
      </c>
      <c r="B409" s="4" t="inlineStr">
        <is>
          <t>Denise Montes</t>
        </is>
      </c>
      <c r="C409" s="4" t="inlineStr">
        <is>
          <t>MolsonCoors Beverage Company</t>
        </is>
      </c>
      <c r="D409" s="4" t="inlineStr">
        <is>
          <t>Fever Tree</t>
        </is>
      </c>
      <c r="E409" s="5" t="n">
        <v>2</v>
      </c>
      <c r="F409" s="5" t="n">
        <v>1</v>
      </c>
      <c r="G409" s="8">
        <f>MAX(0,$E409-$F409)</f>
        <v/>
      </c>
      <c r="H409" s="18">
        <f>IF(OR(ISNUMBER(SEARCH("fever",$D409)),ISNUMBER(SEARCH("mike",$D409)),ISNUMBER(SEARCH("mxd",$D409))),2,1)</f>
        <v/>
      </c>
      <c r="I409" s="18">
        <f>$H409*IFERROR(INDEX('Recap'!$O$5:$O$233,MATCH($K409,'Recap'!$P$5:$P$233,0)),0)</f>
        <v/>
      </c>
      <c r="J409" s="7">
        <f>$G409*$I409</f>
        <v/>
      </c>
      <c r="K409" s="4">
        <f>$A409&amp;"|"&amp;$C409</f>
        <v/>
      </c>
    </row>
    <row r="410">
      <c r="A410" s="4" t="inlineStr">
        <is>
          <t>Pablo Lopez</t>
        </is>
      </c>
      <c r="B410" s="4" t="inlineStr">
        <is>
          <t>Denise Montes</t>
        </is>
      </c>
      <c r="C410" s="4" t="inlineStr">
        <is>
          <t>MolsonCoors Beverage Company</t>
        </is>
      </c>
      <c r="D410" s="4" t="inlineStr">
        <is>
          <t>Peroni</t>
        </is>
      </c>
      <c r="E410" s="5" t="n">
        <v>61</v>
      </c>
      <c r="F410" s="5" t="n">
        <v>61</v>
      </c>
      <c r="G410" s="8">
        <f>MAX(0,$E410-$F410)</f>
        <v/>
      </c>
      <c r="H410" s="18">
        <f>IF(OR(ISNUMBER(SEARCH("fever",$D410)),ISNUMBER(SEARCH("mike",$D410)),ISNUMBER(SEARCH("mxd",$D410))),2,1)</f>
        <v/>
      </c>
      <c r="I410" s="18">
        <f>$H410*IFERROR(INDEX('Recap'!$O$5:$O$233,MATCH($K410,'Recap'!$P$5:$P$233,0)),0)</f>
        <v/>
      </c>
      <c r="J410" s="7">
        <f>$G410*$I410</f>
        <v/>
      </c>
      <c r="K410" s="4">
        <f>$A410&amp;"|"&amp;$C410</f>
        <v/>
      </c>
    </row>
    <row r="411">
      <c r="A411" s="4" t="inlineStr">
        <is>
          <t>Pablo Lopez</t>
        </is>
      </c>
      <c r="B411" s="4" t="inlineStr">
        <is>
          <t>Denise Montes</t>
        </is>
      </c>
      <c r="C411" s="4" t="inlineStr">
        <is>
          <t>New Belgium Brewing Company</t>
        </is>
      </c>
      <c r="D411" s="4" t="inlineStr">
        <is>
          <t>Fat Tire Family</t>
        </is>
      </c>
      <c r="E411" s="5" t="n">
        <v>0</v>
      </c>
      <c r="F411" s="5" t="n">
        <v>3</v>
      </c>
      <c r="G411" s="8">
        <f>MAX(0,$E411-$F411)</f>
        <v/>
      </c>
      <c r="H411" s="18">
        <f>IF(OR(ISNUMBER(SEARCH("fever",$D411)),ISNUMBER(SEARCH("mike",$D411)),ISNUMBER(SEARCH("mxd",$D411))),2,1)</f>
        <v/>
      </c>
      <c r="I411" s="18">
        <f>$H411*IFERROR(INDEX('Recap'!$O$5:$O$233,MATCH($K411,'Recap'!$P$5:$P$233,0)),0)</f>
        <v/>
      </c>
      <c r="J411" s="7">
        <f>$G411*$I411</f>
        <v/>
      </c>
      <c r="K411" s="4">
        <f>$A411&amp;"|"&amp;$C411</f>
        <v/>
      </c>
    </row>
    <row r="412">
      <c r="A412" s="4" t="inlineStr">
        <is>
          <t>Pablo Lopez</t>
        </is>
      </c>
      <c r="B412" s="4" t="inlineStr">
        <is>
          <t>Denise Montes</t>
        </is>
      </c>
      <c r="C412" s="4" t="inlineStr">
        <is>
          <t>New Belgium Brewing Company</t>
        </is>
      </c>
      <c r="D412" s="4" t="inlineStr">
        <is>
          <t>Kirin Ichiban</t>
        </is>
      </c>
      <c r="E412" s="5" t="n">
        <v>4</v>
      </c>
      <c r="F412" s="5" t="n">
        <v>0</v>
      </c>
      <c r="G412" s="8">
        <f>MAX(0,$E412-$F412)</f>
        <v/>
      </c>
      <c r="H412" s="18">
        <f>IF(OR(ISNUMBER(SEARCH("fever",$D412)),ISNUMBER(SEARCH("mike",$D412)),ISNUMBER(SEARCH("mxd",$D412))),2,1)</f>
        <v/>
      </c>
      <c r="I412" s="18">
        <f>$H412*IFERROR(INDEX('Recap'!$O$5:$O$233,MATCH($K412,'Recap'!$P$5:$P$233,0)),0)</f>
        <v/>
      </c>
      <c r="J412" s="7">
        <f>$G412*$I412</f>
        <v/>
      </c>
      <c r="K412" s="4">
        <f>$A412&amp;"|"&amp;$C412</f>
        <v/>
      </c>
    </row>
    <row r="413">
      <c r="A413" s="4" t="inlineStr">
        <is>
          <t>Pablo Lopez</t>
        </is>
      </c>
      <c r="B413" s="4" t="inlineStr">
        <is>
          <t>Denise Montes</t>
        </is>
      </c>
      <c r="C413" s="4" t="inlineStr">
        <is>
          <t>New Belgium Brewing Company</t>
        </is>
      </c>
      <c r="D413" s="4" t="inlineStr">
        <is>
          <t>Voodoo Family</t>
        </is>
      </c>
      <c r="E413" s="5" t="n">
        <v>55</v>
      </c>
      <c r="F413" s="5" t="n">
        <v>54</v>
      </c>
      <c r="G413" s="8">
        <f>MAX(0,$E413-$F413)</f>
        <v/>
      </c>
      <c r="H413" s="18">
        <f>IF(OR(ISNUMBER(SEARCH("fever",$D413)),ISNUMBER(SEARCH("mike",$D413)),ISNUMBER(SEARCH("mxd",$D413))),2,1)</f>
        <v/>
      </c>
      <c r="I413" s="18">
        <f>$H413*IFERROR(INDEX('Recap'!$O$5:$O$233,MATCH($K413,'Recap'!$P$5:$P$233,0)),0)</f>
        <v/>
      </c>
      <c r="J413" s="7">
        <f>$G413*$I413</f>
        <v/>
      </c>
      <c r="K413" s="4">
        <f>$A413&amp;"|"&amp;$C413</f>
        <v/>
      </c>
    </row>
    <row r="414">
      <c r="A414" s="4" t="inlineStr">
        <is>
          <t>Pablo Lopez</t>
        </is>
      </c>
      <c r="B414" s="4" t="inlineStr">
        <is>
          <t>Denise Montes</t>
        </is>
      </c>
      <c r="C414" s="4" t="inlineStr">
        <is>
          <t>Sapporo</t>
        </is>
      </c>
      <c r="D414" s="4" t="inlineStr">
        <is>
          <t>Sapporo</t>
        </is>
      </c>
      <c r="E414" s="5" t="n">
        <v>179</v>
      </c>
      <c r="F414" s="5" t="n">
        <v>103</v>
      </c>
      <c r="G414" s="8">
        <f>MAX(0,$E414-$F414)</f>
        <v/>
      </c>
      <c r="H414" s="18">
        <f>IF(OR(ISNUMBER(SEARCH("fever",$D414)),ISNUMBER(SEARCH("mike",$D414)),ISNUMBER(SEARCH("mxd",$D414))),2,1)</f>
        <v/>
      </c>
      <c r="I414" s="18">
        <f>$H414*IFERROR(INDEX('Recap'!$O$5:$O$233,MATCH($K414,'Recap'!$P$5:$P$233,0)),0)</f>
        <v/>
      </c>
      <c r="J414" s="7">
        <f>$G414*$I414</f>
        <v/>
      </c>
      <c r="K414" s="4">
        <f>$A414&amp;"|"&amp;$C414</f>
        <v/>
      </c>
    </row>
    <row r="415">
      <c r="A415" s="4" t="inlineStr">
        <is>
          <t>Paul Mclaughlin</t>
        </is>
      </c>
      <c r="B415" s="4" t="inlineStr">
        <is>
          <t>Chris McCrohan</t>
        </is>
      </c>
      <c r="C415" s="4" t="inlineStr">
        <is>
          <t>Boston Beer Company</t>
        </is>
      </c>
      <c r="D415" s="4" t="inlineStr">
        <is>
          <t>Dogfish Head Beer</t>
        </is>
      </c>
      <c r="E415" s="5" t="n">
        <v>446</v>
      </c>
      <c r="F415" s="5" t="n">
        <v>392</v>
      </c>
      <c r="G415" s="8">
        <f>MAX(0,$E415-$F415)</f>
        <v/>
      </c>
      <c r="H415" s="18">
        <f>IF(OR(ISNUMBER(SEARCH("fever",$D415)),ISNUMBER(SEARCH("mike",$D415)),ISNUMBER(SEARCH("mxd",$D415))),2,1)</f>
        <v/>
      </c>
      <c r="I415" s="18">
        <f>$H415*IFERROR(INDEX('Recap'!$O$5:$O$233,MATCH($K415,'Recap'!$P$5:$P$233,0)),0)</f>
        <v/>
      </c>
      <c r="J415" s="7">
        <f>$G415*$I415</f>
        <v/>
      </c>
      <c r="K415" s="4">
        <f>$A415&amp;"|"&amp;$C415</f>
        <v/>
      </c>
    </row>
    <row r="416">
      <c r="A416" s="4" t="inlineStr">
        <is>
          <t>Paul Mclaughlin</t>
        </is>
      </c>
      <c r="B416" s="4" t="inlineStr">
        <is>
          <t>Chris McCrohan</t>
        </is>
      </c>
      <c r="C416" s="4" t="inlineStr">
        <is>
          <t>Boston Beer Company</t>
        </is>
      </c>
      <c r="D416" s="4" t="inlineStr">
        <is>
          <t>Dogfish Head Spirits</t>
        </is>
      </c>
      <c r="E416" s="5" t="n">
        <v>18</v>
      </c>
      <c r="F416" s="5" t="n">
        <v>6</v>
      </c>
      <c r="G416" s="8">
        <f>MAX(0,$E416-$F416)</f>
        <v/>
      </c>
      <c r="H416" s="18">
        <f>IF(OR(ISNUMBER(SEARCH("fever",$D416)),ISNUMBER(SEARCH("mike",$D416)),ISNUMBER(SEARCH("mxd",$D416))),2,1)</f>
        <v/>
      </c>
      <c r="I416" s="18">
        <f>$H416*IFERROR(INDEX('Recap'!$O$5:$O$233,MATCH($K416,'Recap'!$P$5:$P$233,0)),0)</f>
        <v/>
      </c>
      <c r="J416" s="7">
        <f>$G416*$I416</f>
        <v/>
      </c>
      <c r="K416" s="4">
        <f>$A416&amp;"|"&amp;$C416</f>
        <v/>
      </c>
    </row>
    <row r="417">
      <c r="A417" s="4" t="inlineStr">
        <is>
          <t>Paul Mclaughlin</t>
        </is>
      </c>
      <c r="B417" s="4" t="inlineStr">
        <is>
          <t>Chris McCrohan</t>
        </is>
      </c>
      <c r="C417" s="4" t="inlineStr">
        <is>
          <t>Cape May</t>
        </is>
      </c>
      <c r="D417" s="4" t="inlineStr">
        <is>
          <t>Cape May</t>
        </is>
      </c>
      <c r="E417" s="5" t="n">
        <v>212</v>
      </c>
      <c r="F417" s="5" t="n">
        <v>119</v>
      </c>
      <c r="G417" s="8">
        <f>MAX(0,$E417-$F417)</f>
        <v/>
      </c>
      <c r="H417" s="18">
        <f>IF(OR(ISNUMBER(SEARCH("fever",$D417)),ISNUMBER(SEARCH("mike",$D417)),ISNUMBER(SEARCH("mxd",$D417))),2,1)</f>
        <v/>
      </c>
      <c r="I417" s="18">
        <f>$H417*IFERROR(INDEX('Recap'!$O$5:$O$233,MATCH($K417,'Recap'!$P$5:$P$233,0)),0)</f>
        <v/>
      </c>
      <c r="J417" s="7">
        <f>$G417*$I417</f>
        <v/>
      </c>
      <c r="K417" s="4">
        <f>$A417&amp;"|"&amp;$C417</f>
        <v/>
      </c>
    </row>
    <row r="418">
      <c r="A418" s="4" t="inlineStr">
        <is>
          <t>Paul Mclaughlin</t>
        </is>
      </c>
      <c r="B418" s="4" t="inlineStr">
        <is>
          <t>Chris McCrohan</t>
        </is>
      </c>
      <c r="C418" s="4" t="inlineStr">
        <is>
          <t>Constellation Brands</t>
        </is>
      </c>
      <c r="D418" s="4" t="inlineStr">
        <is>
          <t>Corona Premier</t>
        </is>
      </c>
      <c r="E418" s="5" t="n">
        <v>20</v>
      </c>
      <c r="F418" s="5" t="n">
        <v>13</v>
      </c>
      <c r="G418" s="8">
        <f>MAX(0,$E418-$F418)</f>
        <v/>
      </c>
      <c r="H418" s="18">
        <f>IF(OR(ISNUMBER(SEARCH("fever",$D418)),ISNUMBER(SEARCH("mike",$D418)),ISNUMBER(SEARCH("mxd",$D418))),2,1)</f>
        <v/>
      </c>
      <c r="I418" s="18">
        <f>$H418*IFERROR(INDEX('Recap'!$O$5:$O$233,MATCH($K418,'Recap'!$P$5:$P$233,0)),0)</f>
        <v/>
      </c>
      <c r="J418" s="7">
        <f>$G418*$I418</f>
        <v/>
      </c>
      <c r="K418" s="4">
        <f>$A418&amp;"|"&amp;$C418</f>
        <v/>
      </c>
    </row>
    <row r="419">
      <c r="A419" s="4" t="inlineStr">
        <is>
          <t>Paul Mclaughlin</t>
        </is>
      </c>
      <c r="B419" s="4" t="inlineStr">
        <is>
          <t>Chris McCrohan</t>
        </is>
      </c>
      <c r="C419" s="4" t="inlineStr">
        <is>
          <t>Constellation Brands</t>
        </is>
      </c>
      <c r="D419" s="4" t="inlineStr">
        <is>
          <t>Modelo Chelada</t>
        </is>
      </c>
      <c r="E419" s="5" t="n">
        <v>6</v>
      </c>
      <c r="F419" s="5" t="n">
        <v>3</v>
      </c>
      <c r="G419" s="8">
        <f>MAX(0,$E419-$F419)</f>
        <v/>
      </c>
      <c r="H419" s="18">
        <f>IF(OR(ISNUMBER(SEARCH("fever",$D419)),ISNUMBER(SEARCH("mike",$D419)),ISNUMBER(SEARCH("mxd",$D419))),2,1)</f>
        <v/>
      </c>
      <c r="I419" s="18">
        <f>$H419*IFERROR(INDEX('Recap'!$O$5:$O$233,MATCH($K419,'Recap'!$P$5:$P$233,0)),0)</f>
        <v/>
      </c>
      <c r="J419" s="7">
        <f>$G419*$I419</f>
        <v/>
      </c>
      <c r="K419" s="4">
        <f>$A419&amp;"|"&amp;$C419</f>
        <v/>
      </c>
    </row>
    <row r="420">
      <c r="A420" s="4" t="inlineStr">
        <is>
          <t>Paul Mclaughlin</t>
        </is>
      </c>
      <c r="B420" s="4" t="inlineStr">
        <is>
          <t>Chris McCrohan</t>
        </is>
      </c>
      <c r="C420" s="4" t="inlineStr">
        <is>
          <t>Constellation Brands</t>
        </is>
      </c>
      <c r="D420" s="4" t="inlineStr">
        <is>
          <t>Pacifico</t>
        </is>
      </c>
      <c r="E420" s="5" t="n">
        <v>189</v>
      </c>
      <c r="F420" s="5" t="n">
        <v>133</v>
      </c>
      <c r="G420" s="8">
        <f>MAX(0,$E420-$F420)</f>
        <v/>
      </c>
      <c r="H420" s="18">
        <f>IF(OR(ISNUMBER(SEARCH("fever",$D420)),ISNUMBER(SEARCH("mike",$D420)),ISNUMBER(SEARCH("mxd",$D420))),2,1)</f>
        <v/>
      </c>
      <c r="I420" s="18">
        <f>$H420*IFERROR(INDEX('Recap'!$O$5:$O$233,MATCH($K420,'Recap'!$P$5:$P$233,0)),0)</f>
        <v/>
      </c>
      <c r="J420" s="7">
        <f>$G420*$I420</f>
        <v/>
      </c>
      <c r="K420" s="4">
        <f>$A420&amp;"|"&amp;$C420</f>
        <v/>
      </c>
    </row>
    <row r="421">
      <c r="A421" s="4" t="inlineStr">
        <is>
          <t>Paul Mclaughlin</t>
        </is>
      </c>
      <c r="B421" s="4" t="inlineStr">
        <is>
          <t>Chris McCrohan</t>
        </is>
      </c>
      <c r="C421" s="4" t="inlineStr">
        <is>
          <t>Constellation Brands</t>
        </is>
      </c>
      <c r="D421" s="4" t="inlineStr">
        <is>
          <t>Victoria</t>
        </is>
      </c>
      <c r="E421" s="5" t="n">
        <v>74</v>
      </c>
      <c r="F421" s="5" t="n">
        <v>59</v>
      </c>
      <c r="G421" s="8">
        <f>MAX(0,$E421-$F421)</f>
        <v/>
      </c>
      <c r="H421" s="18">
        <f>IF(OR(ISNUMBER(SEARCH("fever",$D421)),ISNUMBER(SEARCH("mike",$D421)),ISNUMBER(SEARCH("mxd",$D421))),2,1)</f>
        <v/>
      </c>
      <c r="I421" s="18">
        <f>$H421*IFERROR(INDEX('Recap'!$O$5:$O$233,MATCH($K421,'Recap'!$P$5:$P$233,0)),0)</f>
        <v/>
      </c>
      <c r="J421" s="7">
        <f>$G421*$I421</f>
        <v/>
      </c>
      <c r="K421" s="4">
        <f>$A421&amp;"|"&amp;$C421</f>
        <v/>
      </c>
    </row>
    <row r="422">
      <c r="A422" s="4" t="inlineStr">
        <is>
          <t>Paul Mclaughlin</t>
        </is>
      </c>
      <c r="B422" s="4" t="inlineStr">
        <is>
          <t>Chris McCrohan</t>
        </is>
      </c>
      <c r="C422" s="4" t="inlineStr">
        <is>
          <t>DG Yuengling Inc</t>
        </is>
      </c>
      <c r="D422" s="4" t="inlineStr">
        <is>
          <t>Yuengling Flight</t>
        </is>
      </c>
      <c r="E422" s="5" t="n">
        <v>0</v>
      </c>
      <c r="F422" s="5" t="n">
        <v>3</v>
      </c>
      <c r="G422" s="8">
        <f>MAX(0,$E422-$F422)</f>
        <v/>
      </c>
      <c r="H422" s="18">
        <f>IF(OR(ISNUMBER(SEARCH("fever",$D422)),ISNUMBER(SEARCH("mike",$D422)),ISNUMBER(SEARCH("mxd",$D422))),2,1)</f>
        <v/>
      </c>
      <c r="I422" s="18">
        <f>$H422*IFERROR(INDEX('Recap'!$O$5:$O$233,MATCH($K422,'Recap'!$P$5:$P$233,0)),0)</f>
        <v/>
      </c>
      <c r="J422" s="7">
        <f>$G422*$I422</f>
        <v/>
      </c>
      <c r="K422" s="4">
        <f>$A422&amp;"|"&amp;$C422</f>
        <v/>
      </c>
    </row>
    <row r="423">
      <c r="A423" s="4" t="inlineStr">
        <is>
          <t>Paul Mclaughlin</t>
        </is>
      </c>
      <c r="B423" s="4" t="inlineStr">
        <is>
          <t>Chris McCrohan</t>
        </is>
      </c>
      <c r="C423" s="4" t="inlineStr">
        <is>
          <t>Heineken USA</t>
        </is>
      </c>
      <c r="D423" s="4" t="inlineStr">
        <is>
          <t>Heineken 0.0</t>
        </is>
      </c>
      <c r="E423" s="5" t="n">
        <v>223</v>
      </c>
      <c r="F423" s="5" t="n">
        <v>234</v>
      </c>
      <c r="G423" s="8">
        <f>MAX(0,$E423-$F423)</f>
        <v/>
      </c>
      <c r="H423" s="18">
        <f>IF(OR(ISNUMBER(SEARCH("fever",$D423)),ISNUMBER(SEARCH("mike",$D423)),ISNUMBER(SEARCH("mxd",$D423))),2,1)</f>
        <v/>
      </c>
      <c r="I423" s="18">
        <f>$H423*IFERROR(INDEX('Recap'!$O$5:$O$233,MATCH($K423,'Recap'!$P$5:$P$233,0)),0)</f>
        <v/>
      </c>
      <c r="J423" s="7">
        <f>$G423*$I423</f>
        <v/>
      </c>
      <c r="K423" s="4">
        <f>$A423&amp;"|"&amp;$C423</f>
        <v/>
      </c>
    </row>
    <row r="424">
      <c r="A424" s="4" t="inlineStr">
        <is>
          <t>Paul Mclaughlin</t>
        </is>
      </c>
      <c r="B424" s="4" t="inlineStr">
        <is>
          <t>Chris McCrohan</t>
        </is>
      </c>
      <c r="C424" s="4" t="inlineStr">
        <is>
          <t>Heineken USA</t>
        </is>
      </c>
      <c r="D424" s="4" t="inlineStr">
        <is>
          <t>Heineken Light</t>
        </is>
      </c>
      <c r="E424" s="5" t="n">
        <v>174</v>
      </c>
      <c r="F424" s="5" t="n">
        <v>211</v>
      </c>
      <c r="G424" s="8">
        <f>MAX(0,$E424-$F424)</f>
        <v/>
      </c>
      <c r="H424" s="18">
        <f>IF(OR(ISNUMBER(SEARCH("fever",$D424)),ISNUMBER(SEARCH("mike",$D424)),ISNUMBER(SEARCH("mxd",$D424))),2,1)</f>
        <v/>
      </c>
      <c r="I424" s="18">
        <f>$H424*IFERROR(INDEX('Recap'!$O$5:$O$233,MATCH($K424,'Recap'!$P$5:$P$233,0)),0)</f>
        <v/>
      </c>
      <c r="J424" s="7">
        <f>$G424*$I424</f>
        <v/>
      </c>
      <c r="K424" s="4">
        <f>$A424&amp;"|"&amp;$C424</f>
        <v/>
      </c>
    </row>
    <row r="425">
      <c r="A425" s="4" t="inlineStr">
        <is>
          <t>Paul Mclaughlin</t>
        </is>
      </c>
      <c r="B425" s="4" t="inlineStr">
        <is>
          <t>Chris McCrohan</t>
        </is>
      </c>
      <c r="C425" s="4" t="inlineStr">
        <is>
          <t>Mark Anthony</t>
        </is>
      </c>
      <c r="D425" s="4" t="inlineStr">
        <is>
          <t>Cayman Jack</t>
        </is>
      </c>
      <c r="E425" s="5" t="n">
        <v>3</v>
      </c>
      <c r="F425" s="5" t="n">
        <v>2</v>
      </c>
      <c r="G425" s="8">
        <f>MAX(0,$E425-$F425)</f>
        <v/>
      </c>
      <c r="H425" s="18">
        <f>IF(OR(ISNUMBER(SEARCH("fever",$D425)),ISNUMBER(SEARCH("mike",$D425)),ISNUMBER(SEARCH("mxd",$D425))),2,1)</f>
        <v/>
      </c>
      <c r="I425" s="18">
        <f>$H425*IFERROR(INDEX('Recap'!$O$5:$O$233,MATCH($K425,'Recap'!$P$5:$P$233,0)),0)</f>
        <v/>
      </c>
      <c r="J425" s="7">
        <f>$G425*$I425</f>
        <v/>
      </c>
      <c r="K425" s="4">
        <f>$A425&amp;"|"&amp;$C425</f>
        <v/>
      </c>
    </row>
    <row r="426">
      <c r="A426" s="4" t="inlineStr">
        <is>
          <t>Paul Mclaughlin</t>
        </is>
      </c>
      <c r="B426" s="4" t="inlineStr">
        <is>
          <t>Chris McCrohan</t>
        </is>
      </c>
      <c r="C426" s="4" t="inlineStr">
        <is>
          <t>MolsonCoors Beverage Company</t>
        </is>
      </c>
      <c r="D426" s="4" t="inlineStr">
        <is>
          <t>Coors</t>
        </is>
      </c>
      <c r="E426" s="5" t="n">
        <v>63</v>
      </c>
      <c r="F426" s="5" t="n">
        <v>88</v>
      </c>
      <c r="G426" s="8">
        <f>MAX(0,$E426-$F426)</f>
        <v/>
      </c>
      <c r="H426" s="18">
        <f>IF(OR(ISNUMBER(SEARCH("fever",$D426)),ISNUMBER(SEARCH("mike",$D426)),ISNUMBER(SEARCH("mxd",$D426))),2,1)</f>
        <v/>
      </c>
      <c r="I426" s="18">
        <f>$H426*IFERROR(INDEX('Recap'!$O$5:$O$233,MATCH($K426,'Recap'!$P$5:$P$233,0)),0)</f>
        <v/>
      </c>
      <c r="J426" s="7">
        <f>$G426*$I426</f>
        <v/>
      </c>
      <c r="K426" s="4">
        <f>$A426&amp;"|"&amp;$C426</f>
        <v/>
      </c>
    </row>
    <row r="427">
      <c r="A427" s="4" t="inlineStr">
        <is>
          <t>Paul Mclaughlin</t>
        </is>
      </c>
      <c r="B427" s="4" t="inlineStr">
        <is>
          <t>Chris McCrohan</t>
        </is>
      </c>
      <c r="C427" s="4" t="inlineStr">
        <is>
          <t>MolsonCoors Beverage Company</t>
        </is>
      </c>
      <c r="D427" s="4" t="inlineStr">
        <is>
          <t>Fever Tree</t>
        </is>
      </c>
      <c r="E427" s="5" t="n">
        <v>90</v>
      </c>
      <c r="F427" s="5" t="n">
        <v>78</v>
      </c>
      <c r="G427" s="8">
        <f>MAX(0,$E427-$F427)</f>
        <v/>
      </c>
      <c r="H427" s="18">
        <f>IF(OR(ISNUMBER(SEARCH("fever",$D427)),ISNUMBER(SEARCH("mike",$D427)),ISNUMBER(SEARCH("mxd",$D427))),2,1)</f>
        <v/>
      </c>
      <c r="I427" s="18">
        <f>$H427*IFERROR(INDEX('Recap'!$O$5:$O$233,MATCH($K427,'Recap'!$P$5:$P$233,0)),0)</f>
        <v/>
      </c>
      <c r="J427" s="7">
        <f>$G427*$I427</f>
        <v/>
      </c>
      <c r="K427" s="4">
        <f>$A427&amp;"|"&amp;$C427</f>
        <v/>
      </c>
    </row>
    <row r="428">
      <c r="A428" s="4" t="inlineStr">
        <is>
          <t>Paul Mclaughlin</t>
        </is>
      </c>
      <c r="B428" s="4" t="inlineStr">
        <is>
          <t>Chris McCrohan</t>
        </is>
      </c>
      <c r="C428" s="4" t="inlineStr">
        <is>
          <t>MolsonCoors Beverage Company</t>
        </is>
      </c>
      <c r="D428" s="4" t="inlineStr">
        <is>
          <t>Peroni</t>
        </is>
      </c>
      <c r="E428" s="5" t="n">
        <v>1091</v>
      </c>
      <c r="F428" s="5" t="n">
        <v>1086</v>
      </c>
      <c r="G428" s="8">
        <f>MAX(0,$E428-$F428)</f>
        <v/>
      </c>
      <c r="H428" s="18">
        <f>IF(OR(ISNUMBER(SEARCH("fever",$D428)),ISNUMBER(SEARCH("mike",$D428)),ISNUMBER(SEARCH("mxd",$D428))),2,1)</f>
        <v/>
      </c>
      <c r="I428" s="18">
        <f>$H428*IFERROR(INDEX('Recap'!$O$5:$O$233,MATCH($K428,'Recap'!$P$5:$P$233,0)),0)</f>
        <v/>
      </c>
      <c r="J428" s="7">
        <f>$G428*$I428</f>
        <v/>
      </c>
      <c r="K428" s="4">
        <f>$A428&amp;"|"&amp;$C428</f>
        <v/>
      </c>
    </row>
    <row r="429">
      <c r="A429" s="4" t="inlineStr">
        <is>
          <t>Paul Mclaughlin</t>
        </is>
      </c>
      <c r="B429" s="4" t="inlineStr">
        <is>
          <t>Chris McCrohan</t>
        </is>
      </c>
      <c r="C429" s="4" t="inlineStr">
        <is>
          <t>New Belgium Brewing Company</t>
        </is>
      </c>
      <c r="D429" s="4" t="inlineStr">
        <is>
          <t>Bell's</t>
        </is>
      </c>
      <c r="E429" s="5" t="n">
        <v>0</v>
      </c>
      <c r="F429" s="5" t="n">
        <v>0</v>
      </c>
      <c r="G429" s="8">
        <f>MAX(0,$E429-$F429)</f>
        <v/>
      </c>
      <c r="H429" s="18">
        <f>IF(OR(ISNUMBER(SEARCH("fever",$D429)),ISNUMBER(SEARCH("mike",$D429)),ISNUMBER(SEARCH("mxd",$D429))),2,1)</f>
        <v/>
      </c>
      <c r="I429" s="18">
        <f>$H429*IFERROR(INDEX('Recap'!$O$5:$O$233,MATCH($K429,'Recap'!$P$5:$P$233,0)),0)</f>
        <v/>
      </c>
      <c r="J429" s="7">
        <f>$G429*$I429</f>
        <v/>
      </c>
      <c r="K429" s="4">
        <f>$A429&amp;"|"&amp;$C429</f>
        <v/>
      </c>
    </row>
    <row r="430">
      <c r="A430" s="4" t="inlineStr">
        <is>
          <t>Paul Mclaughlin</t>
        </is>
      </c>
      <c r="B430" s="4" t="inlineStr">
        <is>
          <t>Chris McCrohan</t>
        </is>
      </c>
      <c r="C430" s="4" t="inlineStr">
        <is>
          <t>New Belgium Brewing Company</t>
        </is>
      </c>
      <c r="D430" s="4" t="inlineStr">
        <is>
          <t>Fat Tire Family</t>
        </is>
      </c>
      <c r="E430" s="5" t="n">
        <v>120</v>
      </c>
      <c r="F430" s="5" t="n">
        <v>113</v>
      </c>
      <c r="G430" s="8">
        <f>MAX(0,$E430-$F430)</f>
        <v/>
      </c>
      <c r="H430" s="18">
        <f>IF(OR(ISNUMBER(SEARCH("fever",$D430)),ISNUMBER(SEARCH("mike",$D430)),ISNUMBER(SEARCH("mxd",$D430))),2,1)</f>
        <v/>
      </c>
      <c r="I430" s="18">
        <f>$H430*IFERROR(INDEX('Recap'!$O$5:$O$233,MATCH($K430,'Recap'!$P$5:$P$233,0)),0)</f>
        <v/>
      </c>
      <c r="J430" s="7">
        <f>$G430*$I430</f>
        <v/>
      </c>
      <c r="K430" s="4">
        <f>$A430&amp;"|"&amp;$C430</f>
        <v/>
      </c>
    </row>
    <row r="431">
      <c r="A431" s="4" t="inlineStr">
        <is>
          <t>Paul Mclaughlin</t>
        </is>
      </c>
      <c r="B431" s="4" t="inlineStr">
        <is>
          <t>Chris McCrohan</t>
        </is>
      </c>
      <c r="C431" s="4" t="inlineStr">
        <is>
          <t>New Belgium Brewing Company</t>
        </is>
      </c>
      <c r="D431" s="4" t="inlineStr">
        <is>
          <t>Kirin Ichiban</t>
        </is>
      </c>
      <c r="E431" s="5" t="n">
        <v>2</v>
      </c>
      <c r="F431" s="5" t="n">
        <v>26</v>
      </c>
      <c r="G431" s="8">
        <f>MAX(0,$E431-$F431)</f>
        <v/>
      </c>
      <c r="H431" s="18">
        <f>IF(OR(ISNUMBER(SEARCH("fever",$D431)),ISNUMBER(SEARCH("mike",$D431)),ISNUMBER(SEARCH("mxd",$D431))),2,1)</f>
        <v/>
      </c>
      <c r="I431" s="18">
        <f>$H431*IFERROR(INDEX('Recap'!$O$5:$O$233,MATCH($K431,'Recap'!$P$5:$P$233,0)),0)</f>
        <v/>
      </c>
      <c r="J431" s="7">
        <f>$G431*$I431</f>
        <v/>
      </c>
      <c r="K431" s="4">
        <f>$A431&amp;"|"&amp;$C431</f>
        <v/>
      </c>
    </row>
    <row r="432">
      <c r="A432" s="4" t="inlineStr">
        <is>
          <t>Paul Mclaughlin</t>
        </is>
      </c>
      <c r="B432" s="4" t="inlineStr">
        <is>
          <t>Chris McCrohan</t>
        </is>
      </c>
      <c r="C432" s="4" t="inlineStr">
        <is>
          <t>New Belgium Brewing Company</t>
        </is>
      </c>
      <c r="D432" s="4" t="inlineStr">
        <is>
          <t>Voodoo Family</t>
        </is>
      </c>
      <c r="E432" s="5" t="n">
        <v>234</v>
      </c>
      <c r="F432" s="5" t="n">
        <v>265</v>
      </c>
      <c r="G432" s="8">
        <f>MAX(0,$E432-$F432)</f>
        <v/>
      </c>
      <c r="H432" s="18">
        <f>IF(OR(ISNUMBER(SEARCH("fever",$D432)),ISNUMBER(SEARCH("mike",$D432)),ISNUMBER(SEARCH("mxd",$D432))),2,1)</f>
        <v/>
      </c>
      <c r="I432" s="18">
        <f>$H432*IFERROR(INDEX('Recap'!$O$5:$O$233,MATCH($K432,'Recap'!$P$5:$P$233,0)),0)</f>
        <v/>
      </c>
      <c r="J432" s="7">
        <f>$G432*$I432</f>
        <v/>
      </c>
      <c r="K432" s="4">
        <f>$A432&amp;"|"&amp;$C432</f>
        <v/>
      </c>
    </row>
    <row r="433">
      <c r="A433" s="4" t="inlineStr">
        <is>
          <t>Paul Mclaughlin</t>
        </is>
      </c>
      <c r="B433" s="4" t="inlineStr">
        <is>
          <t>Chris McCrohan</t>
        </is>
      </c>
      <c r="C433" s="4" t="inlineStr">
        <is>
          <t>Sapporo</t>
        </is>
      </c>
      <c r="D433" s="4" t="inlineStr">
        <is>
          <t>Sapporo</t>
        </is>
      </c>
      <c r="E433" s="5" t="n">
        <v>51</v>
      </c>
      <c r="F433" s="5" t="n">
        <v>45</v>
      </c>
      <c r="G433" s="8">
        <f>MAX(0,$E433-$F433)</f>
        <v/>
      </c>
      <c r="H433" s="18">
        <f>IF(OR(ISNUMBER(SEARCH("fever",$D433)),ISNUMBER(SEARCH("mike",$D433)),ISNUMBER(SEARCH("mxd",$D433))),2,1)</f>
        <v/>
      </c>
      <c r="I433" s="18">
        <f>$H433*IFERROR(INDEX('Recap'!$O$5:$O$233,MATCH($K433,'Recap'!$P$5:$P$233,0)),0)</f>
        <v/>
      </c>
      <c r="J433" s="7">
        <f>$G433*$I433</f>
        <v/>
      </c>
      <c r="K433" s="4">
        <f>$A433&amp;"|"&amp;$C433</f>
        <v/>
      </c>
    </row>
    <row r="434">
      <c r="A434" s="4" t="inlineStr">
        <is>
          <t>Phil Ernst</t>
        </is>
      </c>
      <c r="B434" s="4" t="inlineStr">
        <is>
          <t>Mike Engel</t>
        </is>
      </c>
      <c r="C434" s="4" t="inlineStr">
        <is>
          <t>Boston Beer Company</t>
        </is>
      </c>
      <c r="D434" s="4" t="inlineStr">
        <is>
          <t>Dogfish Head Beer</t>
        </is>
      </c>
      <c r="E434" s="5" t="n">
        <v>690</v>
      </c>
      <c r="F434" s="5" t="n">
        <v>705</v>
      </c>
      <c r="G434" s="8">
        <f>MAX(0,$E434-$F434)</f>
        <v/>
      </c>
      <c r="H434" s="18">
        <f>IF(OR(ISNUMBER(SEARCH("fever",$D434)),ISNUMBER(SEARCH("mike",$D434)),ISNUMBER(SEARCH("mxd",$D434))),2,1)</f>
        <v/>
      </c>
      <c r="I434" s="18">
        <f>$H434*IFERROR(INDEX('Recap'!$O$5:$O$233,MATCH($K434,'Recap'!$P$5:$P$233,0)),0)</f>
        <v/>
      </c>
      <c r="J434" s="7">
        <f>$G434*$I434</f>
        <v/>
      </c>
      <c r="K434" s="4">
        <f>$A434&amp;"|"&amp;$C434</f>
        <v/>
      </c>
    </row>
    <row r="435">
      <c r="A435" s="4" t="inlineStr">
        <is>
          <t>Phil Ernst</t>
        </is>
      </c>
      <c r="B435" s="4" t="inlineStr">
        <is>
          <t>Mike Engel</t>
        </is>
      </c>
      <c r="C435" s="4" t="inlineStr">
        <is>
          <t>Boston Beer Company</t>
        </is>
      </c>
      <c r="D435" s="4" t="inlineStr">
        <is>
          <t>Dogfish Head Spirits</t>
        </is>
      </c>
      <c r="E435" s="5" t="n">
        <v>78</v>
      </c>
      <c r="F435" s="5" t="n">
        <v>128</v>
      </c>
      <c r="G435" s="8">
        <f>MAX(0,$E435-$F435)</f>
        <v/>
      </c>
      <c r="H435" s="18">
        <f>IF(OR(ISNUMBER(SEARCH("fever",$D435)),ISNUMBER(SEARCH("mike",$D435)),ISNUMBER(SEARCH("mxd",$D435))),2,1)</f>
        <v/>
      </c>
      <c r="I435" s="18">
        <f>$H435*IFERROR(INDEX('Recap'!$O$5:$O$233,MATCH($K435,'Recap'!$P$5:$P$233,0)),0)</f>
        <v/>
      </c>
      <c r="J435" s="7">
        <f>$G435*$I435</f>
        <v/>
      </c>
      <c r="K435" s="4">
        <f>$A435&amp;"|"&amp;$C435</f>
        <v/>
      </c>
    </row>
    <row r="436">
      <c r="A436" s="4" t="inlineStr">
        <is>
          <t>Phil Ernst</t>
        </is>
      </c>
      <c r="B436" s="4" t="inlineStr">
        <is>
          <t>Mike Engel</t>
        </is>
      </c>
      <c r="C436" s="4" t="inlineStr">
        <is>
          <t>Cape May</t>
        </is>
      </c>
      <c r="D436" s="4" t="inlineStr">
        <is>
          <t>Cape May</t>
        </is>
      </c>
      <c r="E436" s="5" t="n">
        <v>602</v>
      </c>
      <c r="F436" s="5" t="n">
        <v>635</v>
      </c>
      <c r="G436" s="8">
        <f>MAX(0,$E436-$F436)</f>
        <v/>
      </c>
      <c r="H436" s="18">
        <f>IF(OR(ISNUMBER(SEARCH("fever",$D436)),ISNUMBER(SEARCH("mike",$D436)),ISNUMBER(SEARCH("mxd",$D436))),2,1)</f>
        <v/>
      </c>
      <c r="I436" s="18">
        <f>$H436*IFERROR(INDEX('Recap'!$O$5:$O$233,MATCH($K436,'Recap'!$P$5:$P$233,0)),0)</f>
        <v/>
      </c>
      <c r="J436" s="7">
        <f>$G436*$I436</f>
        <v/>
      </c>
      <c r="K436" s="4">
        <f>$A436&amp;"|"&amp;$C436</f>
        <v/>
      </c>
    </row>
    <row r="437">
      <c r="A437" s="4" t="inlineStr">
        <is>
          <t>Phil Ernst</t>
        </is>
      </c>
      <c r="B437" s="4" t="inlineStr">
        <is>
          <t>Mike Engel</t>
        </is>
      </c>
      <c r="C437" s="4" t="inlineStr">
        <is>
          <t>Constellation Brands</t>
        </is>
      </c>
      <c r="D437" s="4" t="inlineStr">
        <is>
          <t>Corona Premier</t>
        </is>
      </c>
      <c r="E437" s="5" t="n">
        <v>1037</v>
      </c>
      <c r="F437" s="5" t="n">
        <v>1217</v>
      </c>
      <c r="G437" s="8">
        <f>MAX(0,$E437-$F437)</f>
        <v/>
      </c>
      <c r="H437" s="18">
        <f>IF(OR(ISNUMBER(SEARCH("fever",$D437)),ISNUMBER(SEARCH("mike",$D437)),ISNUMBER(SEARCH("mxd",$D437))),2,1)</f>
        <v/>
      </c>
      <c r="I437" s="18">
        <f>$H437*IFERROR(INDEX('Recap'!$O$5:$O$233,MATCH($K437,'Recap'!$P$5:$P$233,0)),0)</f>
        <v/>
      </c>
      <c r="J437" s="7">
        <f>$G437*$I437</f>
        <v/>
      </c>
      <c r="K437" s="4">
        <f>$A437&amp;"|"&amp;$C437</f>
        <v/>
      </c>
    </row>
    <row r="438">
      <c r="A438" s="4" t="inlineStr">
        <is>
          <t>Phil Ernst</t>
        </is>
      </c>
      <c r="B438" s="4" t="inlineStr">
        <is>
          <t>Mike Engel</t>
        </is>
      </c>
      <c r="C438" s="4" t="inlineStr">
        <is>
          <t>Constellation Brands</t>
        </is>
      </c>
      <c r="D438" s="4" t="inlineStr">
        <is>
          <t>Modelo Chelada</t>
        </is>
      </c>
      <c r="E438" s="5" t="n">
        <v>1375</v>
      </c>
      <c r="F438" s="5" t="n">
        <v>1081</v>
      </c>
      <c r="G438" s="8">
        <f>MAX(0,$E438-$F438)</f>
        <v/>
      </c>
      <c r="H438" s="18">
        <f>IF(OR(ISNUMBER(SEARCH("fever",$D438)),ISNUMBER(SEARCH("mike",$D438)),ISNUMBER(SEARCH("mxd",$D438))),2,1)</f>
        <v/>
      </c>
      <c r="I438" s="18">
        <f>$H438*IFERROR(INDEX('Recap'!$O$5:$O$233,MATCH($K438,'Recap'!$P$5:$P$233,0)),0)</f>
        <v/>
      </c>
      <c r="J438" s="7">
        <f>$G438*$I438</f>
        <v/>
      </c>
      <c r="K438" s="4">
        <f>$A438&amp;"|"&amp;$C438</f>
        <v/>
      </c>
    </row>
    <row r="439">
      <c r="A439" s="4" t="inlineStr">
        <is>
          <t>Phil Ernst</t>
        </is>
      </c>
      <c r="B439" s="4" t="inlineStr">
        <is>
          <t>Mike Engel</t>
        </is>
      </c>
      <c r="C439" s="4" t="inlineStr">
        <is>
          <t>Constellation Brands</t>
        </is>
      </c>
      <c r="D439" s="4" t="inlineStr">
        <is>
          <t>Pacifico</t>
        </is>
      </c>
      <c r="E439" s="5" t="n">
        <v>465</v>
      </c>
      <c r="F439" s="5" t="n">
        <v>433</v>
      </c>
      <c r="G439" s="8">
        <f>MAX(0,$E439-$F439)</f>
        <v/>
      </c>
      <c r="H439" s="18">
        <f>IF(OR(ISNUMBER(SEARCH("fever",$D439)),ISNUMBER(SEARCH("mike",$D439)),ISNUMBER(SEARCH("mxd",$D439))),2,1)</f>
        <v/>
      </c>
      <c r="I439" s="18">
        <f>$H439*IFERROR(INDEX('Recap'!$O$5:$O$233,MATCH($K439,'Recap'!$P$5:$P$233,0)),0)</f>
        <v/>
      </c>
      <c r="J439" s="7">
        <f>$G439*$I439</f>
        <v/>
      </c>
      <c r="K439" s="4">
        <f>$A439&amp;"|"&amp;$C439</f>
        <v/>
      </c>
    </row>
    <row r="440">
      <c r="A440" s="4" t="inlineStr">
        <is>
          <t>Phil Ernst</t>
        </is>
      </c>
      <c r="B440" s="4" t="inlineStr">
        <is>
          <t>Mike Engel</t>
        </is>
      </c>
      <c r="C440" s="4" t="inlineStr">
        <is>
          <t>Constellation Brands</t>
        </is>
      </c>
      <c r="D440" s="4" t="inlineStr">
        <is>
          <t>Victoria</t>
        </is>
      </c>
      <c r="E440" s="5" t="n">
        <v>421</v>
      </c>
      <c r="F440" s="5" t="n">
        <v>539</v>
      </c>
      <c r="G440" s="8">
        <f>MAX(0,$E440-$F440)</f>
        <v/>
      </c>
      <c r="H440" s="18">
        <f>IF(OR(ISNUMBER(SEARCH("fever",$D440)),ISNUMBER(SEARCH("mike",$D440)),ISNUMBER(SEARCH("mxd",$D440))),2,1)</f>
        <v/>
      </c>
      <c r="I440" s="18">
        <f>$H440*IFERROR(INDEX('Recap'!$O$5:$O$233,MATCH($K440,'Recap'!$P$5:$P$233,0)),0)</f>
        <v/>
      </c>
      <c r="J440" s="7">
        <f>$G440*$I440</f>
        <v/>
      </c>
      <c r="K440" s="4">
        <f>$A440&amp;"|"&amp;$C440</f>
        <v/>
      </c>
    </row>
    <row r="441">
      <c r="A441" s="4" t="inlineStr">
        <is>
          <t>Phil Ernst</t>
        </is>
      </c>
      <c r="B441" s="4" t="inlineStr">
        <is>
          <t>Mike Engel</t>
        </is>
      </c>
      <c r="C441" s="4" t="inlineStr">
        <is>
          <t>DG Yuengling Inc</t>
        </is>
      </c>
      <c r="D441" s="4" t="inlineStr">
        <is>
          <t>Yuengling Flight</t>
        </is>
      </c>
      <c r="E441" s="5" t="n">
        <v>220</v>
      </c>
      <c r="F441" s="5" t="n">
        <v>380</v>
      </c>
      <c r="G441" s="8">
        <f>MAX(0,$E441-$F441)</f>
        <v/>
      </c>
      <c r="H441" s="18">
        <f>IF(OR(ISNUMBER(SEARCH("fever",$D441)),ISNUMBER(SEARCH("mike",$D441)),ISNUMBER(SEARCH("mxd",$D441))),2,1)</f>
        <v/>
      </c>
      <c r="I441" s="18">
        <f>$H441*IFERROR(INDEX('Recap'!$O$5:$O$233,MATCH($K441,'Recap'!$P$5:$P$233,0)),0)</f>
        <v/>
      </c>
      <c r="J441" s="7">
        <f>$G441*$I441</f>
        <v/>
      </c>
      <c r="K441" s="4">
        <f>$A441&amp;"|"&amp;$C441</f>
        <v/>
      </c>
    </row>
    <row r="442">
      <c r="A442" s="4" t="inlineStr">
        <is>
          <t>Phil Ernst</t>
        </is>
      </c>
      <c r="B442" s="4" t="inlineStr">
        <is>
          <t>Mike Engel</t>
        </is>
      </c>
      <c r="C442" s="4" t="inlineStr">
        <is>
          <t>DG Yuengling Inc</t>
        </is>
      </c>
      <c r="D442" s="4" t="inlineStr">
        <is>
          <t>Yuengling Light Lager</t>
        </is>
      </c>
      <c r="E442" s="5" t="n">
        <v>167</v>
      </c>
      <c r="F442" s="5" t="n">
        <v>212</v>
      </c>
      <c r="G442" s="8">
        <f>MAX(0,$E442-$F442)</f>
        <v/>
      </c>
      <c r="H442" s="18">
        <f>IF(OR(ISNUMBER(SEARCH("fever",$D442)),ISNUMBER(SEARCH("mike",$D442)),ISNUMBER(SEARCH("mxd",$D442))),2,1)</f>
        <v/>
      </c>
      <c r="I442" s="18">
        <f>$H442*IFERROR(INDEX('Recap'!$O$5:$O$233,MATCH($K442,'Recap'!$P$5:$P$233,0)),0)</f>
        <v/>
      </c>
      <c r="J442" s="7">
        <f>$G442*$I442</f>
        <v/>
      </c>
      <c r="K442" s="4">
        <f>$A442&amp;"|"&amp;$C442</f>
        <v/>
      </c>
    </row>
    <row r="443">
      <c r="A443" s="4" t="inlineStr">
        <is>
          <t>Phil Ernst</t>
        </is>
      </c>
      <c r="B443" s="4" t="inlineStr">
        <is>
          <t>Mike Engel</t>
        </is>
      </c>
      <c r="C443" s="4" t="inlineStr">
        <is>
          <t>Heineken USA</t>
        </is>
      </c>
      <c r="D443" s="4" t="inlineStr">
        <is>
          <t>Heineken 0.0</t>
        </is>
      </c>
      <c r="E443" s="5" t="n">
        <v>667</v>
      </c>
      <c r="F443" s="5" t="n">
        <v>731</v>
      </c>
      <c r="G443" s="8">
        <f>MAX(0,$E443-$F443)</f>
        <v/>
      </c>
      <c r="H443" s="18">
        <f>IF(OR(ISNUMBER(SEARCH("fever",$D443)),ISNUMBER(SEARCH("mike",$D443)),ISNUMBER(SEARCH("mxd",$D443))),2,1)</f>
        <v/>
      </c>
      <c r="I443" s="18">
        <f>$H443*IFERROR(INDEX('Recap'!$O$5:$O$233,MATCH($K443,'Recap'!$P$5:$P$233,0)),0)</f>
        <v/>
      </c>
      <c r="J443" s="7">
        <f>$G443*$I443</f>
        <v/>
      </c>
      <c r="K443" s="4">
        <f>$A443&amp;"|"&amp;$C443</f>
        <v/>
      </c>
    </row>
    <row r="444">
      <c r="A444" s="4" t="inlineStr">
        <is>
          <t>Phil Ernst</t>
        </is>
      </c>
      <c r="B444" s="4" t="inlineStr">
        <is>
          <t>Mike Engel</t>
        </is>
      </c>
      <c r="C444" s="4" t="inlineStr">
        <is>
          <t>Heineken USA</t>
        </is>
      </c>
      <c r="D444" s="4" t="inlineStr">
        <is>
          <t>Heineken Light</t>
        </is>
      </c>
      <c r="E444" s="5" t="n">
        <v>1099</v>
      </c>
      <c r="F444" s="5" t="n">
        <v>1273</v>
      </c>
      <c r="G444" s="8">
        <f>MAX(0,$E444-$F444)</f>
        <v/>
      </c>
      <c r="H444" s="18">
        <f>IF(OR(ISNUMBER(SEARCH("fever",$D444)),ISNUMBER(SEARCH("mike",$D444)),ISNUMBER(SEARCH("mxd",$D444))),2,1)</f>
        <v/>
      </c>
      <c r="I444" s="18">
        <f>$H444*IFERROR(INDEX('Recap'!$O$5:$O$233,MATCH($K444,'Recap'!$P$5:$P$233,0)),0)</f>
        <v/>
      </c>
      <c r="J444" s="7">
        <f>$G444*$I444</f>
        <v/>
      </c>
      <c r="K444" s="4">
        <f>$A444&amp;"|"&amp;$C444</f>
        <v/>
      </c>
    </row>
    <row r="445">
      <c r="A445" s="4" t="inlineStr">
        <is>
          <t>Phil Ernst</t>
        </is>
      </c>
      <c r="B445" s="4" t="inlineStr">
        <is>
          <t>Mike Engel</t>
        </is>
      </c>
      <c r="C445" s="4" t="inlineStr">
        <is>
          <t>Mark Anthony</t>
        </is>
      </c>
      <c r="D445" s="4" t="inlineStr">
        <is>
          <t>Cayman Jack</t>
        </is>
      </c>
      <c r="E445" s="5" t="n">
        <v>869</v>
      </c>
      <c r="F445" s="5" t="n">
        <v>795</v>
      </c>
      <c r="G445" s="8">
        <f>MAX(0,$E445-$F445)</f>
        <v/>
      </c>
      <c r="H445" s="18">
        <f>IF(OR(ISNUMBER(SEARCH("fever",$D445)),ISNUMBER(SEARCH("mike",$D445)),ISNUMBER(SEARCH("mxd",$D445))),2,1)</f>
        <v/>
      </c>
      <c r="I445" s="18">
        <f>$H445*IFERROR(INDEX('Recap'!$O$5:$O$233,MATCH($K445,'Recap'!$P$5:$P$233,0)),0)</f>
        <v/>
      </c>
      <c r="J445" s="7">
        <f>$G445*$I445</f>
        <v/>
      </c>
      <c r="K445" s="4">
        <f>$A445&amp;"|"&amp;$C445</f>
        <v/>
      </c>
    </row>
    <row r="446">
      <c r="A446" s="4" t="inlineStr">
        <is>
          <t>Phil Ernst</t>
        </is>
      </c>
      <c r="B446" s="4" t="inlineStr">
        <is>
          <t>Mike Engel</t>
        </is>
      </c>
      <c r="C446" s="4" t="inlineStr">
        <is>
          <t>Mark Anthony</t>
        </is>
      </c>
      <c r="D446" s="4" t="inlineStr">
        <is>
          <t>Mike's Harder</t>
        </is>
      </c>
      <c r="E446" s="5" t="n">
        <v>159</v>
      </c>
      <c r="F446" s="5" t="n">
        <v>184</v>
      </c>
      <c r="G446" s="8">
        <f>MAX(0,$E446-$F446)</f>
        <v/>
      </c>
      <c r="H446" s="18">
        <f>IF(OR(ISNUMBER(SEARCH("fever",$D446)),ISNUMBER(SEARCH("mike",$D446)),ISNUMBER(SEARCH("mxd",$D446))),2,1)</f>
        <v/>
      </c>
      <c r="I446" s="18">
        <f>$H446*IFERROR(INDEX('Recap'!$O$5:$O$233,MATCH($K446,'Recap'!$P$5:$P$233,0)),0)</f>
        <v/>
      </c>
      <c r="J446" s="7">
        <f>$G446*$I446</f>
        <v/>
      </c>
      <c r="K446" s="4">
        <f>$A446&amp;"|"&amp;$C446</f>
        <v/>
      </c>
    </row>
    <row r="447">
      <c r="A447" s="4" t="inlineStr">
        <is>
          <t>Phil Ernst</t>
        </is>
      </c>
      <c r="B447" s="4" t="inlineStr">
        <is>
          <t>Mike Engel</t>
        </is>
      </c>
      <c r="C447" s="4" t="inlineStr">
        <is>
          <t>Mark Anthony</t>
        </is>
      </c>
      <c r="D447" s="4" t="inlineStr">
        <is>
          <t>Mxd Cocktails</t>
        </is>
      </c>
      <c r="E447" s="5" t="n">
        <v>9</v>
      </c>
      <c r="F447" s="5" t="n">
        <v>16</v>
      </c>
      <c r="G447" s="8">
        <f>MAX(0,$E447-$F447)</f>
        <v/>
      </c>
      <c r="H447" s="18">
        <f>IF(OR(ISNUMBER(SEARCH("fever",$D447)),ISNUMBER(SEARCH("mike",$D447)),ISNUMBER(SEARCH("mxd",$D447))),2,1)</f>
        <v/>
      </c>
      <c r="I447" s="18">
        <f>$H447*IFERROR(INDEX('Recap'!$O$5:$O$233,MATCH($K447,'Recap'!$P$5:$P$233,0)),0)</f>
        <v/>
      </c>
      <c r="J447" s="7">
        <f>$G447*$I447</f>
        <v/>
      </c>
      <c r="K447" s="4">
        <f>$A447&amp;"|"&amp;$C447</f>
        <v/>
      </c>
    </row>
    <row r="448">
      <c r="A448" s="4" t="inlineStr">
        <is>
          <t>Phil Ernst</t>
        </is>
      </c>
      <c r="B448" s="4" t="inlineStr">
        <is>
          <t>Mike Engel</t>
        </is>
      </c>
      <c r="C448" s="4" t="inlineStr">
        <is>
          <t>MolsonCoors Beverage Company</t>
        </is>
      </c>
      <c r="D448" s="4" t="inlineStr">
        <is>
          <t>Coors</t>
        </is>
      </c>
      <c r="E448" s="5" t="n">
        <v>4079</v>
      </c>
      <c r="F448" s="5" t="n">
        <v>2177</v>
      </c>
      <c r="G448" s="8">
        <f>MAX(0,$E448-$F448)</f>
        <v/>
      </c>
      <c r="H448" s="18">
        <f>IF(OR(ISNUMBER(SEARCH("fever",$D448)),ISNUMBER(SEARCH("mike",$D448)),ISNUMBER(SEARCH("mxd",$D448))),2,1)</f>
        <v/>
      </c>
      <c r="I448" s="18">
        <f>$H448*IFERROR(INDEX('Recap'!$O$5:$O$233,MATCH($K448,'Recap'!$P$5:$P$233,0)),0)</f>
        <v/>
      </c>
      <c r="J448" s="7">
        <f>$G448*$I448</f>
        <v/>
      </c>
      <c r="K448" s="4">
        <f>$A448&amp;"|"&amp;$C448</f>
        <v/>
      </c>
    </row>
    <row r="449">
      <c r="A449" s="4" t="inlineStr">
        <is>
          <t>Phil Ernst</t>
        </is>
      </c>
      <c r="B449" s="4" t="inlineStr">
        <is>
          <t>Mike Engel</t>
        </is>
      </c>
      <c r="C449" s="4" t="inlineStr">
        <is>
          <t>MolsonCoors Beverage Company</t>
        </is>
      </c>
      <c r="D449" s="4" t="inlineStr">
        <is>
          <t>Fever Tree</t>
        </is>
      </c>
      <c r="E449" s="5" t="n">
        <v>327</v>
      </c>
      <c r="F449" s="5" t="n">
        <v>244</v>
      </c>
      <c r="G449" s="8">
        <f>MAX(0,$E449-$F449)</f>
        <v/>
      </c>
      <c r="H449" s="18">
        <f>IF(OR(ISNUMBER(SEARCH("fever",$D449)),ISNUMBER(SEARCH("mike",$D449)),ISNUMBER(SEARCH("mxd",$D449))),2,1)</f>
        <v/>
      </c>
      <c r="I449" s="18">
        <f>$H449*IFERROR(INDEX('Recap'!$O$5:$O$233,MATCH($K449,'Recap'!$P$5:$P$233,0)),0)</f>
        <v/>
      </c>
      <c r="J449" s="7">
        <f>$G449*$I449</f>
        <v/>
      </c>
      <c r="K449" s="4">
        <f>$A449&amp;"|"&amp;$C449</f>
        <v/>
      </c>
    </row>
    <row r="450">
      <c r="A450" s="4" t="inlineStr">
        <is>
          <t>Phil Ernst</t>
        </is>
      </c>
      <c r="B450" s="4" t="inlineStr">
        <is>
          <t>Mike Engel</t>
        </is>
      </c>
      <c r="C450" s="4" t="inlineStr">
        <is>
          <t>MolsonCoors Beverage Company</t>
        </is>
      </c>
      <c r="D450" s="4" t="inlineStr">
        <is>
          <t>Peroni</t>
        </is>
      </c>
      <c r="E450" s="5" t="n">
        <v>1492</v>
      </c>
      <c r="F450" s="5" t="n">
        <v>1625</v>
      </c>
      <c r="G450" s="8">
        <f>MAX(0,$E450-$F450)</f>
        <v/>
      </c>
      <c r="H450" s="18">
        <f>IF(OR(ISNUMBER(SEARCH("fever",$D450)),ISNUMBER(SEARCH("mike",$D450)),ISNUMBER(SEARCH("mxd",$D450))),2,1)</f>
        <v/>
      </c>
      <c r="I450" s="18">
        <f>$H450*IFERROR(INDEX('Recap'!$O$5:$O$233,MATCH($K450,'Recap'!$P$5:$P$233,0)),0)</f>
        <v/>
      </c>
      <c r="J450" s="7">
        <f>$G450*$I450</f>
        <v/>
      </c>
      <c r="K450" s="4">
        <f>$A450&amp;"|"&amp;$C450</f>
        <v/>
      </c>
    </row>
    <row r="451">
      <c r="A451" s="4" t="inlineStr">
        <is>
          <t>Phil Ernst</t>
        </is>
      </c>
      <c r="B451" s="4" t="inlineStr">
        <is>
          <t>Mike Engel</t>
        </is>
      </c>
      <c r="C451" s="4" t="inlineStr">
        <is>
          <t>New Belgium Brewing Company</t>
        </is>
      </c>
      <c r="D451" s="4" t="inlineStr">
        <is>
          <t>Bell's</t>
        </is>
      </c>
      <c r="E451" s="5" t="n">
        <v>30</v>
      </c>
      <c r="F451" s="5" t="n">
        <v>38</v>
      </c>
      <c r="G451" s="8">
        <f>MAX(0,$E451-$F451)</f>
        <v/>
      </c>
      <c r="H451" s="18">
        <f>IF(OR(ISNUMBER(SEARCH("fever",$D451)),ISNUMBER(SEARCH("mike",$D451)),ISNUMBER(SEARCH("mxd",$D451))),2,1)</f>
        <v/>
      </c>
      <c r="I451" s="18">
        <f>$H451*IFERROR(INDEX('Recap'!$O$5:$O$233,MATCH($K451,'Recap'!$P$5:$P$233,0)),0)</f>
        <v/>
      </c>
      <c r="J451" s="7">
        <f>$G451*$I451</f>
        <v/>
      </c>
      <c r="K451" s="4">
        <f>$A451&amp;"|"&amp;$C451</f>
        <v/>
      </c>
    </row>
    <row r="452">
      <c r="A452" s="4" t="inlineStr">
        <is>
          <t>Phil Ernst</t>
        </is>
      </c>
      <c r="B452" s="4" t="inlineStr">
        <is>
          <t>Mike Engel</t>
        </is>
      </c>
      <c r="C452" s="4" t="inlineStr">
        <is>
          <t>New Belgium Brewing Company</t>
        </is>
      </c>
      <c r="D452" s="4" t="inlineStr">
        <is>
          <t>Fat Tire Family</t>
        </is>
      </c>
      <c r="E452" s="5" t="n">
        <v>120</v>
      </c>
      <c r="F452" s="5" t="n">
        <v>134</v>
      </c>
      <c r="G452" s="8">
        <f>MAX(0,$E452-$F452)</f>
        <v/>
      </c>
      <c r="H452" s="18">
        <f>IF(OR(ISNUMBER(SEARCH("fever",$D452)),ISNUMBER(SEARCH("mike",$D452)),ISNUMBER(SEARCH("mxd",$D452))),2,1)</f>
        <v/>
      </c>
      <c r="I452" s="18">
        <f>$H452*IFERROR(INDEX('Recap'!$O$5:$O$233,MATCH($K452,'Recap'!$P$5:$P$233,0)),0)</f>
        <v/>
      </c>
      <c r="J452" s="7">
        <f>$G452*$I452</f>
        <v/>
      </c>
      <c r="K452" s="4">
        <f>$A452&amp;"|"&amp;$C452</f>
        <v/>
      </c>
    </row>
    <row r="453">
      <c r="A453" s="4" t="inlineStr">
        <is>
          <t>Phil Ernst</t>
        </is>
      </c>
      <c r="B453" s="4" t="inlineStr">
        <is>
          <t>Mike Engel</t>
        </is>
      </c>
      <c r="C453" s="4" t="inlineStr">
        <is>
          <t>New Belgium Brewing Company</t>
        </is>
      </c>
      <c r="D453" s="4" t="inlineStr">
        <is>
          <t>Kirin Ichiban</t>
        </is>
      </c>
      <c r="E453" s="5" t="n">
        <v>38</v>
      </c>
      <c r="F453" s="5" t="n">
        <v>21</v>
      </c>
      <c r="G453" s="8">
        <f>MAX(0,$E453-$F453)</f>
        <v/>
      </c>
      <c r="H453" s="18">
        <f>IF(OR(ISNUMBER(SEARCH("fever",$D453)),ISNUMBER(SEARCH("mike",$D453)),ISNUMBER(SEARCH("mxd",$D453))),2,1)</f>
        <v/>
      </c>
      <c r="I453" s="18">
        <f>$H453*IFERROR(INDEX('Recap'!$O$5:$O$233,MATCH($K453,'Recap'!$P$5:$P$233,0)),0)</f>
        <v/>
      </c>
      <c r="J453" s="7">
        <f>$G453*$I453</f>
        <v/>
      </c>
      <c r="K453" s="4">
        <f>$A453&amp;"|"&amp;$C453</f>
        <v/>
      </c>
    </row>
    <row r="454">
      <c r="A454" s="4" t="inlineStr">
        <is>
          <t>Phil Ernst</t>
        </is>
      </c>
      <c r="B454" s="4" t="inlineStr">
        <is>
          <t>Mike Engel</t>
        </is>
      </c>
      <c r="C454" s="4" t="inlineStr">
        <is>
          <t>New Belgium Brewing Company</t>
        </is>
      </c>
      <c r="D454" s="4" t="inlineStr">
        <is>
          <t>Voodoo Family</t>
        </is>
      </c>
      <c r="E454" s="5" t="n">
        <v>872</v>
      </c>
      <c r="F454" s="5" t="n">
        <v>775</v>
      </c>
      <c r="G454" s="8">
        <f>MAX(0,$E454-$F454)</f>
        <v/>
      </c>
      <c r="H454" s="18">
        <f>IF(OR(ISNUMBER(SEARCH("fever",$D454)),ISNUMBER(SEARCH("mike",$D454)),ISNUMBER(SEARCH("mxd",$D454))),2,1)</f>
        <v/>
      </c>
      <c r="I454" s="18">
        <f>$H454*IFERROR(INDEX('Recap'!$O$5:$O$233,MATCH($K454,'Recap'!$P$5:$P$233,0)),0)</f>
        <v/>
      </c>
      <c r="J454" s="7">
        <f>$G454*$I454</f>
        <v/>
      </c>
      <c r="K454" s="4">
        <f>$A454&amp;"|"&amp;$C454</f>
        <v/>
      </c>
    </row>
    <row r="455">
      <c r="A455" s="4" t="inlineStr">
        <is>
          <t>Phil Ernst</t>
        </is>
      </c>
      <c r="B455" s="4" t="inlineStr">
        <is>
          <t>Mike Engel</t>
        </is>
      </c>
      <c r="C455" s="4" t="inlineStr">
        <is>
          <t>Sapporo</t>
        </is>
      </c>
      <c r="D455" s="4" t="inlineStr">
        <is>
          <t>Sapporo</t>
        </is>
      </c>
      <c r="E455" s="5" t="n">
        <v>901</v>
      </c>
      <c r="F455" s="5" t="n">
        <v>769</v>
      </c>
      <c r="G455" s="8">
        <f>MAX(0,$E455-$F455)</f>
        <v/>
      </c>
      <c r="H455" s="18">
        <f>IF(OR(ISNUMBER(SEARCH("fever",$D455)),ISNUMBER(SEARCH("mike",$D455)),ISNUMBER(SEARCH("mxd",$D455))),2,1)</f>
        <v/>
      </c>
      <c r="I455" s="18">
        <f>$H455*IFERROR(INDEX('Recap'!$O$5:$O$233,MATCH($K455,'Recap'!$P$5:$P$233,0)),0)</f>
        <v/>
      </c>
      <c r="J455" s="7">
        <f>$G455*$I455</f>
        <v/>
      </c>
      <c r="K455" s="4">
        <f>$A455&amp;"|"&amp;$C455</f>
        <v/>
      </c>
    </row>
    <row r="456">
      <c r="A456" s="4" t="inlineStr">
        <is>
          <t>Robin Feldman</t>
        </is>
      </c>
      <c r="B456" s="4" t="inlineStr">
        <is>
          <t>Chris McCrohan</t>
        </is>
      </c>
      <c r="C456" s="4" t="inlineStr">
        <is>
          <t>Boston Beer Company</t>
        </is>
      </c>
      <c r="D456" s="4" t="inlineStr">
        <is>
          <t>Dogfish Head Beer</t>
        </is>
      </c>
      <c r="E456" s="5" t="n">
        <v>373</v>
      </c>
      <c r="F456" s="5" t="n">
        <v>312</v>
      </c>
      <c r="G456" s="8">
        <f>MAX(0,$E456-$F456)</f>
        <v/>
      </c>
      <c r="H456" s="18">
        <f>IF(OR(ISNUMBER(SEARCH("fever",$D456)),ISNUMBER(SEARCH("mike",$D456)),ISNUMBER(SEARCH("mxd",$D456))),2,1)</f>
        <v/>
      </c>
      <c r="I456" s="18">
        <f>$H456*IFERROR(INDEX('Recap'!$O$5:$O$233,MATCH($K456,'Recap'!$P$5:$P$233,0)),0)</f>
        <v/>
      </c>
      <c r="J456" s="7">
        <f>$G456*$I456</f>
        <v/>
      </c>
      <c r="K456" s="4">
        <f>$A456&amp;"|"&amp;$C456</f>
        <v/>
      </c>
    </row>
    <row r="457">
      <c r="A457" s="4" t="inlineStr">
        <is>
          <t>Robin Feldman</t>
        </is>
      </c>
      <c r="B457" s="4" t="inlineStr">
        <is>
          <t>Chris McCrohan</t>
        </is>
      </c>
      <c r="C457" s="4" t="inlineStr">
        <is>
          <t>Boston Beer Company</t>
        </is>
      </c>
      <c r="D457" s="4" t="inlineStr">
        <is>
          <t>Dogfish Head Spirits</t>
        </is>
      </c>
      <c r="E457" s="5" t="n">
        <v>0</v>
      </c>
      <c r="F457" s="5" t="n">
        <v>1</v>
      </c>
      <c r="G457" s="8">
        <f>MAX(0,$E457-$F457)</f>
        <v/>
      </c>
      <c r="H457" s="18">
        <f>IF(OR(ISNUMBER(SEARCH("fever",$D457)),ISNUMBER(SEARCH("mike",$D457)),ISNUMBER(SEARCH("mxd",$D457))),2,1)</f>
        <v/>
      </c>
      <c r="I457" s="18">
        <f>$H457*IFERROR(INDEX('Recap'!$O$5:$O$233,MATCH($K457,'Recap'!$P$5:$P$233,0)),0)</f>
        <v/>
      </c>
      <c r="J457" s="7">
        <f>$G457*$I457</f>
        <v/>
      </c>
      <c r="K457" s="4">
        <f>$A457&amp;"|"&amp;$C457</f>
        <v/>
      </c>
    </row>
    <row r="458">
      <c r="A458" s="4" t="inlineStr">
        <is>
          <t>Robin Feldman</t>
        </is>
      </c>
      <c r="B458" s="4" t="inlineStr">
        <is>
          <t>Chris McCrohan</t>
        </is>
      </c>
      <c r="C458" s="4" t="inlineStr">
        <is>
          <t>Cape May</t>
        </is>
      </c>
      <c r="D458" s="4" t="inlineStr">
        <is>
          <t>Cape May</t>
        </is>
      </c>
      <c r="E458" s="5" t="n">
        <v>99</v>
      </c>
      <c r="F458" s="5" t="n">
        <v>62</v>
      </c>
      <c r="G458" s="8">
        <f>MAX(0,$E458-$F458)</f>
        <v/>
      </c>
      <c r="H458" s="18">
        <f>IF(OR(ISNUMBER(SEARCH("fever",$D458)),ISNUMBER(SEARCH("mike",$D458)),ISNUMBER(SEARCH("mxd",$D458))),2,1)</f>
        <v/>
      </c>
      <c r="I458" s="18">
        <f>$H458*IFERROR(INDEX('Recap'!$O$5:$O$233,MATCH($K458,'Recap'!$P$5:$P$233,0)),0)</f>
        <v/>
      </c>
      <c r="J458" s="7">
        <f>$G458*$I458</f>
        <v/>
      </c>
      <c r="K458" s="4">
        <f>$A458&amp;"|"&amp;$C458</f>
        <v/>
      </c>
    </row>
    <row r="459">
      <c r="A459" s="4" t="inlineStr">
        <is>
          <t>Robin Feldman</t>
        </is>
      </c>
      <c r="B459" s="4" t="inlineStr">
        <is>
          <t>Chris McCrohan</t>
        </is>
      </c>
      <c r="C459" s="4" t="inlineStr">
        <is>
          <t>Constellation Brands</t>
        </is>
      </c>
      <c r="D459" s="4" t="inlineStr">
        <is>
          <t>Corona Premier</t>
        </is>
      </c>
      <c r="E459" s="5" t="n">
        <v>7</v>
      </c>
      <c r="F459" s="5" t="n">
        <v>26</v>
      </c>
      <c r="G459" s="8">
        <f>MAX(0,$E459-$F459)</f>
        <v/>
      </c>
      <c r="H459" s="18">
        <f>IF(OR(ISNUMBER(SEARCH("fever",$D459)),ISNUMBER(SEARCH("mike",$D459)),ISNUMBER(SEARCH("mxd",$D459))),2,1)</f>
        <v/>
      </c>
      <c r="I459" s="18">
        <f>$H459*IFERROR(INDEX('Recap'!$O$5:$O$233,MATCH($K459,'Recap'!$P$5:$P$233,0)),0)</f>
        <v/>
      </c>
      <c r="J459" s="7">
        <f>$G459*$I459</f>
        <v/>
      </c>
      <c r="K459" s="4">
        <f>$A459&amp;"|"&amp;$C459</f>
        <v/>
      </c>
    </row>
    <row r="460">
      <c r="A460" s="4" t="inlineStr">
        <is>
          <t>Robin Feldman</t>
        </is>
      </c>
      <c r="B460" s="4" t="inlineStr">
        <is>
          <t>Chris McCrohan</t>
        </is>
      </c>
      <c r="C460" s="4" t="inlineStr">
        <is>
          <t>Constellation Brands</t>
        </is>
      </c>
      <c r="D460" s="4" t="inlineStr">
        <is>
          <t>Modelo Chelada</t>
        </is>
      </c>
      <c r="E460" s="5" t="n">
        <v>0</v>
      </c>
      <c r="F460" s="5" t="n">
        <v>6</v>
      </c>
      <c r="G460" s="8">
        <f>MAX(0,$E460-$F460)</f>
        <v/>
      </c>
      <c r="H460" s="18">
        <f>IF(OR(ISNUMBER(SEARCH("fever",$D460)),ISNUMBER(SEARCH("mike",$D460)),ISNUMBER(SEARCH("mxd",$D460))),2,1)</f>
        <v/>
      </c>
      <c r="I460" s="18">
        <f>$H460*IFERROR(INDEX('Recap'!$O$5:$O$233,MATCH($K460,'Recap'!$P$5:$P$233,0)),0)</f>
        <v/>
      </c>
      <c r="J460" s="7">
        <f>$G460*$I460</f>
        <v/>
      </c>
      <c r="K460" s="4">
        <f>$A460&amp;"|"&amp;$C460</f>
        <v/>
      </c>
    </row>
    <row r="461">
      <c r="A461" s="4" t="inlineStr">
        <is>
          <t>Robin Feldman</t>
        </is>
      </c>
      <c r="B461" s="4" t="inlineStr">
        <is>
          <t>Chris McCrohan</t>
        </is>
      </c>
      <c r="C461" s="4" t="inlineStr">
        <is>
          <t>Constellation Brands</t>
        </is>
      </c>
      <c r="D461" s="4" t="inlineStr">
        <is>
          <t>Pacifico</t>
        </is>
      </c>
      <c r="E461" s="5" t="n">
        <v>10</v>
      </c>
      <c r="F461" s="5" t="n">
        <v>4</v>
      </c>
      <c r="G461" s="8">
        <f>MAX(0,$E461-$F461)</f>
        <v/>
      </c>
      <c r="H461" s="18">
        <f>IF(OR(ISNUMBER(SEARCH("fever",$D461)),ISNUMBER(SEARCH("mike",$D461)),ISNUMBER(SEARCH("mxd",$D461))),2,1)</f>
        <v/>
      </c>
      <c r="I461" s="18">
        <f>$H461*IFERROR(INDEX('Recap'!$O$5:$O$233,MATCH($K461,'Recap'!$P$5:$P$233,0)),0)</f>
        <v/>
      </c>
      <c r="J461" s="7">
        <f>$G461*$I461</f>
        <v/>
      </c>
      <c r="K461" s="4">
        <f>$A461&amp;"|"&amp;$C461</f>
        <v/>
      </c>
    </row>
    <row r="462">
      <c r="A462" s="4" t="inlineStr">
        <is>
          <t>Robin Feldman</t>
        </is>
      </c>
      <c r="B462" s="4" t="inlineStr">
        <is>
          <t>Chris McCrohan</t>
        </is>
      </c>
      <c r="C462" s="4" t="inlineStr">
        <is>
          <t>Constellation Brands</t>
        </is>
      </c>
      <c r="D462" s="4" t="inlineStr">
        <is>
          <t>Victoria</t>
        </is>
      </c>
      <c r="E462" s="5" t="n">
        <v>8</v>
      </c>
      <c r="F462" s="5" t="n">
        <v>2</v>
      </c>
      <c r="G462" s="8">
        <f>MAX(0,$E462-$F462)</f>
        <v/>
      </c>
      <c r="H462" s="18">
        <f>IF(OR(ISNUMBER(SEARCH("fever",$D462)),ISNUMBER(SEARCH("mike",$D462)),ISNUMBER(SEARCH("mxd",$D462))),2,1)</f>
        <v/>
      </c>
      <c r="I462" s="18">
        <f>$H462*IFERROR(INDEX('Recap'!$O$5:$O$233,MATCH($K462,'Recap'!$P$5:$P$233,0)),0)</f>
        <v/>
      </c>
      <c r="J462" s="7">
        <f>$G462*$I462</f>
        <v/>
      </c>
      <c r="K462" s="4">
        <f>$A462&amp;"|"&amp;$C462</f>
        <v/>
      </c>
    </row>
    <row r="463">
      <c r="A463" s="4" t="inlineStr">
        <is>
          <t>Robin Feldman</t>
        </is>
      </c>
      <c r="B463" s="4" t="inlineStr">
        <is>
          <t>Chris McCrohan</t>
        </is>
      </c>
      <c r="C463" s="4" t="inlineStr">
        <is>
          <t>DG Yuengling Inc</t>
        </is>
      </c>
      <c r="D463" s="4" t="inlineStr">
        <is>
          <t>Yuengling Flight</t>
        </is>
      </c>
      <c r="E463" s="5" t="n">
        <v>55</v>
      </c>
      <c r="F463" s="5" t="n">
        <v>54</v>
      </c>
      <c r="G463" s="8">
        <f>MAX(0,$E463-$F463)</f>
        <v/>
      </c>
      <c r="H463" s="18">
        <f>IF(OR(ISNUMBER(SEARCH("fever",$D463)),ISNUMBER(SEARCH("mike",$D463)),ISNUMBER(SEARCH("mxd",$D463))),2,1)</f>
        <v/>
      </c>
      <c r="I463" s="18">
        <f>$H463*IFERROR(INDEX('Recap'!$O$5:$O$233,MATCH($K463,'Recap'!$P$5:$P$233,0)),0)</f>
        <v/>
      </c>
      <c r="J463" s="7">
        <f>$G463*$I463</f>
        <v/>
      </c>
      <c r="K463" s="4">
        <f>$A463&amp;"|"&amp;$C463</f>
        <v/>
      </c>
    </row>
    <row r="464">
      <c r="A464" s="4" t="inlineStr">
        <is>
          <t>Robin Feldman</t>
        </is>
      </c>
      <c r="B464" s="4" t="inlineStr">
        <is>
          <t>Chris McCrohan</t>
        </is>
      </c>
      <c r="C464" s="4" t="inlineStr">
        <is>
          <t>DG Yuengling Inc</t>
        </is>
      </c>
      <c r="D464" s="4" t="inlineStr">
        <is>
          <t>Yuengling Light Lager</t>
        </is>
      </c>
      <c r="E464" s="5" t="n">
        <v>10</v>
      </c>
      <c r="F464" s="5" t="n">
        <v>9</v>
      </c>
      <c r="G464" s="8">
        <f>MAX(0,$E464-$F464)</f>
        <v/>
      </c>
      <c r="H464" s="18">
        <f>IF(OR(ISNUMBER(SEARCH("fever",$D464)),ISNUMBER(SEARCH("mike",$D464)),ISNUMBER(SEARCH("mxd",$D464))),2,1)</f>
        <v/>
      </c>
      <c r="I464" s="18">
        <f>$H464*IFERROR(INDEX('Recap'!$O$5:$O$233,MATCH($K464,'Recap'!$P$5:$P$233,0)),0)</f>
        <v/>
      </c>
      <c r="J464" s="7">
        <f>$G464*$I464</f>
        <v/>
      </c>
      <c r="K464" s="4">
        <f>$A464&amp;"|"&amp;$C464</f>
        <v/>
      </c>
    </row>
    <row r="465">
      <c r="A465" s="4" t="inlineStr">
        <is>
          <t>Robin Feldman</t>
        </is>
      </c>
      <c r="B465" s="4" t="inlineStr">
        <is>
          <t>Chris McCrohan</t>
        </is>
      </c>
      <c r="C465" s="4" t="inlineStr">
        <is>
          <t>Heineken USA</t>
        </is>
      </c>
      <c r="D465" s="4" t="inlineStr">
        <is>
          <t>Heineken 0.0</t>
        </is>
      </c>
      <c r="E465" s="5" t="n">
        <v>120</v>
      </c>
      <c r="F465" s="5" t="n">
        <v>89</v>
      </c>
      <c r="G465" s="8">
        <f>MAX(0,$E465-$F465)</f>
        <v/>
      </c>
      <c r="H465" s="18">
        <f>IF(OR(ISNUMBER(SEARCH("fever",$D465)),ISNUMBER(SEARCH("mike",$D465)),ISNUMBER(SEARCH("mxd",$D465))),2,1)</f>
        <v/>
      </c>
      <c r="I465" s="18">
        <f>$H465*IFERROR(INDEX('Recap'!$O$5:$O$233,MATCH($K465,'Recap'!$P$5:$P$233,0)),0)</f>
        <v/>
      </c>
      <c r="J465" s="7">
        <f>$G465*$I465</f>
        <v/>
      </c>
      <c r="K465" s="4">
        <f>$A465&amp;"|"&amp;$C465</f>
        <v/>
      </c>
    </row>
    <row r="466">
      <c r="A466" s="4" t="inlineStr">
        <is>
          <t>Robin Feldman</t>
        </is>
      </c>
      <c r="B466" s="4" t="inlineStr">
        <is>
          <t>Chris McCrohan</t>
        </is>
      </c>
      <c r="C466" s="4" t="inlineStr">
        <is>
          <t>Heineken USA</t>
        </is>
      </c>
      <c r="D466" s="4" t="inlineStr">
        <is>
          <t>Heineken Light</t>
        </is>
      </c>
      <c r="E466" s="5" t="n">
        <v>54</v>
      </c>
      <c r="F466" s="5" t="n">
        <v>60</v>
      </c>
      <c r="G466" s="8">
        <f>MAX(0,$E466-$F466)</f>
        <v/>
      </c>
      <c r="H466" s="18">
        <f>IF(OR(ISNUMBER(SEARCH("fever",$D466)),ISNUMBER(SEARCH("mike",$D466)),ISNUMBER(SEARCH("mxd",$D466))),2,1)</f>
        <v/>
      </c>
      <c r="I466" s="18">
        <f>$H466*IFERROR(INDEX('Recap'!$O$5:$O$233,MATCH($K466,'Recap'!$P$5:$P$233,0)),0)</f>
        <v/>
      </c>
      <c r="J466" s="7">
        <f>$G466*$I466</f>
        <v/>
      </c>
      <c r="K466" s="4">
        <f>$A466&amp;"|"&amp;$C466</f>
        <v/>
      </c>
    </row>
    <row r="467">
      <c r="A467" s="4" t="inlineStr">
        <is>
          <t>Robin Feldman</t>
        </is>
      </c>
      <c r="B467" s="4" t="inlineStr">
        <is>
          <t>Chris McCrohan</t>
        </is>
      </c>
      <c r="C467" s="4" t="inlineStr">
        <is>
          <t>MolsonCoors Beverage Company</t>
        </is>
      </c>
      <c r="D467" s="4" t="inlineStr">
        <is>
          <t>Coors</t>
        </is>
      </c>
      <c r="E467" s="5" t="n">
        <v>97</v>
      </c>
      <c r="F467" s="5" t="n">
        <v>122</v>
      </c>
      <c r="G467" s="8">
        <f>MAX(0,$E467-$F467)</f>
        <v/>
      </c>
      <c r="H467" s="18">
        <f>IF(OR(ISNUMBER(SEARCH("fever",$D467)),ISNUMBER(SEARCH("mike",$D467)),ISNUMBER(SEARCH("mxd",$D467))),2,1)</f>
        <v/>
      </c>
      <c r="I467" s="18">
        <f>$H467*IFERROR(INDEX('Recap'!$O$5:$O$233,MATCH($K467,'Recap'!$P$5:$P$233,0)),0)</f>
        <v/>
      </c>
      <c r="J467" s="7">
        <f>$G467*$I467</f>
        <v/>
      </c>
      <c r="K467" s="4">
        <f>$A467&amp;"|"&amp;$C467</f>
        <v/>
      </c>
    </row>
    <row r="468">
      <c r="A468" s="4" t="inlineStr">
        <is>
          <t>Robin Feldman</t>
        </is>
      </c>
      <c r="B468" s="4" t="inlineStr">
        <is>
          <t>Chris McCrohan</t>
        </is>
      </c>
      <c r="C468" s="4" t="inlineStr">
        <is>
          <t>MolsonCoors Beverage Company</t>
        </is>
      </c>
      <c r="D468" s="4" t="inlineStr">
        <is>
          <t>Fever Tree</t>
        </is>
      </c>
      <c r="E468" s="5" t="n">
        <v>14</v>
      </c>
      <c r="F468" s="5" t="n">
        <v>4</v>
      </c>
      <c r="G468" s="8">
        <f>MAX(0,$E468-$F468)</f>
        <v/>
      </c>
      <c r="H468" s="18">
        <f>IF(OR(ISNUMBER(SEARCH("fever",$D468)),ISNUMBER(SEARCH("mike",$D468)),ISNUMBER(SEARCH("mxd",$D468))),2,1)</f>
        <v/>
      </c>
      <c r="I468" s="18">
        <f>$H468*IFERROR(INDEX('Recap'!$O$5:$O$233,MATCH($K468,'Recap'!$P$5:$P$233,0)),0)</f>
        <v/>
      </c>
      <c r="J468" s="7">
        <f>$G468*$I468</f>
        <v/>
      </c>
      <c r="K468" s="4">
        <f>$A468&amp;"|"&amp;$C468</f>
        <v/>
      </c>
    </row>
    <row r="469">
      <c r="A469" s="4" t="inlineStr">
        <is>
          <t>Robin Feldman</t>
        </is>
      </c>
      <c r="B469" s="4" t="inlineStr">
        <is>
          <t>Chris McCrohan</t>
        </is>
      </c>
      <c r="C469" s="4" t="inlineStr">
        <is>
          <t>MolsonCoors Beverage Company</t>
        </is>
      </c>
      <c r="D469" s="4" t="inlineStr">
        <is>
          <t>Peroni</t>
        </is>
      </c>
      <c r="E469" s="5" t="n">
        <v>467</v>
      </c>
      <c r="F469" s="5" t="n">
        <v>416</v>
      </c>
      <c r="G469" s="8">
        <f>MAX(0,$E469-$F469)</f>
        <v/>
      </c>
      <c r="H469" s="18">
        <f>IF(OR(ISNUMBER(SEARCH("fever",$D469)),ISNUMBER(SEARCH("mike",$D469)),ISNUMBER(SEARCH("mxd",$D469))),2,1)</f>
        <v/>
      </c>
      <c r="I469" s="18">
        <f>$H469*IFERROR(INDEX('Recap'!$O$5:$O$233,MATCH($K469,'Recap'!$P$5:$P$233,0)),0)</f>
        <v/>
      </c>
      <c r="J469" s="7">
        <f>$G469*$I469</f>
        <v/>
      </c>
      <c r="K469" s="4">
        <f>$A469&amp;"|"&amp;$C469</f>
        <v/>
      </c>
    </row>
    <row r="470">
      <c r="A470" s="4" t="inlineStr">
        <is>
          <t>Robin Feldman</t>
        </is>
      </c>
      <c r="B470" s="4" t="inlineStr">
        <is>
          <t>Chris McCrohan</t>
        </is>
      </c>
      <c r="C470" s="4" t="inlineStr">
        <is>
          <t>New Belgium Brewing Company</t>
        </is>
      </c>
      <c r="D470" s="4" t="inlineStr">
        <is>
          <t>Bell's</t>
        </is>
      </c>
      <c r="E470" s="5" t="n">
        <v>0</v>
      </c>
      <c r="F470" s="5" t="n">
        <v>1</v>
      </c>
      <c r="G470" s="8">
        <f>MAX(0,$E470-$F470)</f>
        <v/>
      </c>
      <c r="H470" s="18">
        <f>IF(OR(ISNUMBER(SEARCH("fever",$D470)),ISNUMBER(SEARCH("mike",$D470)),ISNUMBER(SEARCH("mxd",$D470))),2,1)</f>
        <v/>
      </c>
      <c r="I470" s="18">
        <f>$H470*IFERROR(INDEX('Recap'!$O$5:$O$233,MATCH($K470,'Recap'!$P$5:$P$233,0)),0)</f>
        <v/>
      </c>
      <c r="J470" s="7">
        <f>$G470*$I470</f>
        <v/>
      </c>
      <c r="K470" s="4">
        <f>$A470&amp;"|"&amp;$C470</f>
        <v/>
      </c>
    </row>
    <row r="471">
      <c r="A471" s="4" t="inlineStr">
        <is>
          <t>Robin Feldman</t>
        </is>
      </c>
      <c r="B471" s="4" t="inlineStr">
        <is>
          <t>Chris McCrohan</t>
        </is>
      </c>
      <c r="C471" s="4" t="inlineStr">
        <is>
          <t>New Belgium Brewing Company</t>
        </is>
      </c>
      <c r="D471" s="4" t="inlineStr">
        <is>
          <t>Fat Tire Family</t>
        </is>
      </c>
      <c r="E471" s="5" t="n">
        <v>73</v>
      </c>
      <c r="F471" s="5" t="n">
        <v>54</v>
      </c>
      <c r="G471" s="8">
        <f>MAX(0,$E471-$F471)</f>
        <v/>
      </c>
      <c r="H471" s="18">
        <f>IF(OR(ISNUMBER(SEARCH("fever",$D471)),ISNUMBER(SEARCH("mike",$D471)),ISNUMBER(SEARCH("mxd",$D471))),2,1)</f>
        <v/>
      </c>
      <c r="I471" s="18">
        <f>$H471*IFERROR(INDEX('Recap'!$O$5:$O$233,MATCH($K471,'Recap'!$P$5:$P$233,0)),0)</f>
        <v/>
      </c>
      <c r="J471" s="7">
        <f>$G471*$I471</f>
        <v/>
      </c>
      <c r="K471" s="4">
        <f>$A471&amp;"|"&amp;$C471</f>
        <v/>
      </c>
    </row>
    <row r="472">
      <c r="A472" s="4" t="inlineStr">
        <is>
          <t>Robin Feldman</t>
        </is>
      </c>
      <c r="B472" s="4" t="inlineStr">
        <is>
          <t>Chris McCrohan</t>
        </is>
      </c>
      <c r="C472" s="4" t="inlineStr">
        <is>
          <t>New Belgium Brewing Company</t>
        </is>
      </c>
      <c r="D472" s="4" t="inlineStr">
        <is>
          <t>Kirin Ichiban</t>
        </is>
      </c>
      <c r="E472" s="5" t="n">
        <v>199</v>
      </c>
      <c r="F472" s="5" t="n">
        <v>21</v>
      </c>
      <c r="G472" s="8">
        <f>MAX(0,$E472-$F472)</f>
        <v/>
      </c>
      <c r="H472" s="18">
        <f>IF(OR(ISNUMBER(SEARCH("fever",$D472)),ISNUMBER(SEARCH("mike",$D472)),ISNUMBER(SEARCH("mxd",$D472))),2,1)</f>
        <v/>
      </c>
      <c r="I472" s="18">
        <f>$H472*IFERROR(INDEX('Recap'!$O$5:$O$233,MATCH($K472,'Recap'!$P$5:$P$233,0)),0)</f>
        <v/>
      </c>
      <c r="J472" s="7">
        <f>$G472*$I472</f>
        <v/>
      </c>
      <c r="K472" s="4">
        <f>$A472&amp;"|"&amp;$C472</f>
        <v/>
      </c>
    </row>
    <row r="473">
      <c r="A473" s="4" t="inlineStr">
        <is>
          <t>Robin Feldman</t>
        </is>
      </c>
      <c r="B473" s="4" t="inlineStr">
        <is>
          <t>Chris McCrohan</t>
        </is>
      </c>
      <c r="C473" s="4" t="inlineStr">
        <is>
          <t>New Belgium Brewing Company</t>
        </is>
      </c>
      <c r="D473" s="4" t="inlineStr">
        <is>
          <t>Voodoo Family</t>
        </is>
      </c>
      <c r="E473" s="5" t="n">
        <v>31</v>
      </c>
      <c r="F473" s="5" t="n">
        <v>77</v>
      </c>
      <c r="G473" s="8">
        <f>MAX(0,$E473-$F473)</f>
        <v/>
      </c>
      <c r="H473" s="18">
        <f>IF(OR(ISNUMBER(SEARCH("fever",$D473)),ISNUMBER(SEARCH("mike",$D473)),ISNUMBER(SEARCH("mxd",$D473))),2,1)</f>
        <v/>
      </c>
      <c r="I473" s="18">
        <f>$H473*IFERROR(INDEX('Recap'!$O$5:$O$233,MATCH($K473,'Recap'!$P$5:$P$233,0)),0)</f>
        <v/>
      </c>
      <c r="J473" s="7">
        <f>$G473*$I473</f>
        <v/>
      </c>
      <c r="K473" s="4">
        <f>$A473&amp;"|"&amp;$C473</f>
        <v/>
      </c>
    </row>
    <row r="474">
      <c r="A474" s="4" t="inlineStr">
        <is>
          <t>Robin Feldman</t>
        </is>
      </c>
      <c r="B474" s="4" t="inlineStr">
        <is>
          <t>Chris McCrohan</t>
        </is>
      </c>
      <c r="C474" s="4" t="inlineStr">
        <is>
          <t>Sapporo</t>
        </is>
      </c>
      <c r="D474" s="4" t="inlineStr">
        <is>
          <t>Sapporo</t>
        </is>
      </c>
      <c r="E474" s="5" t="n">
        <v>158</v>
      </c>
      <c r="F474" s="5" t="n">
        <v>190</v>
      </c>
      <c r="G474" s="8">
        <f>MAX(0,$E474-$F474)</f>
        <v/>
      </c>
      <c r="H474" s="18">
        <f>IF(OR(ISNUMBER(SEARCH("fever",$D474)),ISNUMBER(SEARCH("mike",$D474)),ISNUMBER(SEARCH("mxd",$D474))),2,1)</f>
        <v/>
      </c>
      <c r="I474" s="18">
        <f>$H474*IFERROR(INDEX('Recap'!$O$5:$O$233,MATCH($K474,'Recap'!$P$5:$P$233,0)),0)</f>
        <v/>
      </c>
      <c r="J474" s="7">
        <f>$G474*$I474</f>
        <v/>
      </c>
      <c r="K474" s="4">
        <f>$A474&amp;"|"&amp;$C474</f>
        <v/>
      </c>
    </row>
    <row r="475">
      <c r="A475" s="4" t="inlineStr">
        <is>
          <t>Shane Barreca</t>
        </is>
      </c>
      <c r="B475" s="4" t="inlineStr">
        <is>
          <t>Paul Deady</t>
        </is>
      </c>
      <c r="C475" s="4" t="inlineStr">
        <is>
          <t>Boston Beer Company</t>
        </is>
      </c>
      <c r="D475" s="4" t="inlineStr">
        <is>
          <t>Dogfish Head Beer</t>
        </is>
      </c>
      <c r="E475" s="5" t="n">
        <v>1252</v>
      </c>
      <c r="F475" s="5" t="n">
        <v>1286</v>
      </c>
      <c r="G475" s="8">
        <f>MAX(0,$E475-$F475)</f>
        <v/>
      </c>
      <c r="H475" s="18">
        <f>IF(OR(ISNUMBER(SEARCH("fever",$D475)),ISNUMBER(SEARCH("mike",$D475)),ISNUMBER(SEARCH("mxd",$D475))),2,1)</f>
        <v/>
      </c>
      <c r="I475" s="18">
        <f>$H475*IFERROR(INDEX('Recap'!$O$5:$O$233,MATCH($K475,'Recap'!$P$5:$P$233,0)),0)</f>
        <v/>
      </c>
      <c r="J475" s="7">
        <f>$G475*$I475</f>
        <v/>
      </c>
      <c r="K475" s="4">
        <f>$A475&amp;"|"&amp;$C475</f>
        <v/>
      </c>
    </row>
    <row r="476">
      <c r="A476" s="4" t="inlineStr">
        <is>
          <t>Shane Barreca</t>
        </is>
      </c>
      <c r="B476" s="4" t="inlineStr">
        <is>
          <t>Paul Deady</t>
        </is>
      </c>
      <c r="C476" s="4" t="inlineStr">
        <is>
          <t>Boston Beer Company</t>
        </is>
      </c>
      <c r="D476" s="4" t="inlineStr">
        <is>
          <t>Dogfish Head Spirits</t>
        </is>
      </c>
      <c r="E476" s="5" t="n">
        <v>220</v>
      </c>
      <c r="F476" s="5" t="n">
        <v>195</v>
      </c>
      <c r="G476" s="8">
        <f>MAX(0,$E476-$F476)</f>
        <v/>
      </c>
      <c r="H476" s="18">
        <f>IF(OR(ISNUMBER(SEARCH("fever",$D476)),ISNUMBER(SEARCH("mike",$D476)),ISNUMBER(SEARCH("mxd",$D476))),2,1)</f>
        <v/>
      </c>
      <c r="I476" s="18">
        <f>$H476*IFERROR(INDEX('Recap'!$O$5:$O$233,MATCH($K476,'Recap'!$P$5:$P$233,0)),0)</f>
        <v/>
      </c>
      <c r="J476" s="7">
        <f>$G476*$I476</f>
        <v/>
      </c>
      <c r="K476" s="4">
        <f>$A476&amp;"|"&amp;$C476</f>
        <v/>
      </c>
    </row>
    <row r="477">
      <c r="A477" s="4" t="inlineStr">
        <is>
          <t>Shane Barreca</t>
        </is>
      </c>
      <c r="B477" s="4" t="inlineStr">
        <is>
          <t>Paul Deady</t>
        </is>
      </c>
      <c r="C477" s="4" t="inlineStr">
        <is>
          <t>Cape May</t>
        </is>
      </c>
      <c r="D477" s="4" t="inlineStr">
        <is>
          <t>Cape May</t>
        </is>
      </c>
      <c r="E477" s="5" t="n">
        <v>965</v>
      </c>
      <c r="F477" s="5" t="n">
        <v>971</v>
      </c>
      <c r="G477" s="8">
        <f>MAX(0,$E477-$F477)</f>
        <v/>
      </c>
      <c r="H477" s="18">
        <f>IF(OR(ISNUMBER(SEARCH("fever",$D477)),ISNUMBER(SEARCH("mike",$D477)),ISNUMBER(SEARCH("mxd",$D477))),2,1)</f>
        <v/>
      </c>
      <c r="I477" s="18">
        <f>$H477*IFERROR(INDEX('Recap'!$O$5:$O$233,MATCH($K477,'Recap'!$P$5:$P$233,0)),0)</f>
        <v/>
      </c>
      <c r="J477" s="7">
        <f>$G477*$I477</f>
        <v/>
      </c>
      <c r="K477" s="4">
        <f>$A477&amp;"|"&amp;$C477</f>
        <v/>
      </c>
    </row>
    <row r="478">
      <c r="A478" s="4" t="inlineStr">
        <is>
          <t>Shane Barreca</t>
        </is>
      </c>
      <c r="B478" s="4" t="inlineStr">
        <is>
          <t>Paul Deady</t>
        </is>
      </c>
      <c r="C478" s="4" t="inlineStr">
        <is>
          <t>Constellation Brands</t>
        </is>
      </c>
      <c r="D478" s="4" t="inlineStr">
        <is>
          <t>Corona Premier</t>
        </is>
      </c>
      <c r="E478" s="5" t="n">
        <v>1067</v>
      </c>
      <c r="F478" s="5" t="n">
        <v>1059</v>
      </c>
      <c r="G478" s="8">
        <f>MAX(0,$E478-$F478)</f>
        <v/>
      </c>
      <c r="H478" s="18">
        <f>IF(OR(ISNUMBER(SEARCH("fever",$D478)),ISNUMBER(SEARCH("mike",$D478)),ISNUMBER(SEARCH("mxd",$D478))),2,1)</f>
        <v/>
      </c>
      <c r="I478" s="18">
        <f>$H478*IFERROR(INDEX('Recap'!$O$5:$O$233,MATCH($K478,'Recap'!$P$5:$P$233,0)),0)</f>
        <v/>
      </c>
      <c r="J478" s="7">
        <f>$G478*$I478</f>
        <v/>
      </c>
      <c r="K478" s="4">
        <f>$A478&amp;"|"&amp;$C478</f>
        <v/>
      </c>
    </row>
    <row r="479">
      <c r="A479" s="4" t="inlineStr">
        <is>
          <t>Shane Barreca</t>
        </is>
      </c>
      <c r="B479" s="4" t="inlineStr">
        <is>
          <t>Paul Deady</t>
        </is>
      </c>
      <c r="C479" s="4" t="inlineStr">
        <is>
          <t>Constellation Brands</t>
        </is>
      </c>
      <c r="D479" s="4" t="inlineStr">
        <is>
          <t>Modelo Chelada</t>
        </is>
      </c>
      <c r="E479" s="5" t="n">
        <v>3461</v>
      </c>
      <c r="F479" s="5" t="n">
        <v>2071</v>
      </c>
      <c r="G479" s="8">
        <f>MAX(0,$E479-$F479)</f>
        <v/>
      </c>
      <c r="H479" s="18">
        <f>IF(OR(ISNUMBER(SEARCH("fever",$D479)),ISNUMBER(SEARCH("mike",$D479)),ISNUMBER(SEARCH("mxd",$D479))),2,1)</f>
        <v/>
      </c>
      <c r="I479" s="18">
        <f>$H479*IFERROR(INDEX('Recap'!$O$5:$O$233,MATCH($K479,'Recap'!$P$5:$P$233,0)),0)</f>
        <v/>
      </c>
      <c r="J479" s="7">
        <f>$G479*$I479</f>
        <v/>
      </c>
      <c r="K479" s="4">
        <f>$A479&amp;"|"&amp;$C479</f>
        <v/>
      </c>
    </row>
    <row r="480">
      <c r="A480" s="4" t="inlineStr">
        <is>
          <t>Shane Barreca</t>
        </is>
      </c>
      <c r="B480" s="4" t="inlineStr">
        <is>
          <t>Paul Deady</t>
        </is>
      </c>
      <c r="C480" s="4" t="inlineStr">
        <is>
          <t>Constellation Brands</t>
        </is>
      </c>
      <c r="D480" s="4" t="inlineStr">
        <is>
          <t>Pacifico</t>
        </is>
      </c>
      <c r="E480" s="5" t="n">
        <v>1713</v>
      </c>
      <c r="F480" s="5" t="n">
        <v>1367</v>
      </c>
      <c r="G480" s="8">
        <f>MAX(0,$E480-$F480)</f>
        <v/>
      </c>
      <c r="H480" s="18">
        <f>IF(OR(ISNUMBER(SEARCH("fever",$D480)),ISNUMBER(SEARCH("mike",$D480)),ISNUMBER(SEARCH("mxd",$D480))),2,1)</f>
        <v/>
      </c>
      <c r="I480" s="18">
        <f>$H480*IFERROR(INDEX('Recap'!$O$5:$O$233,MATCH($K480,'Recap'!$P$5:$P$233,0)),0)</f>
        <v/>
      </c>
      <c r="J480" s="7">
        <f>$G480*$I480</f>
        <v/>
      </c>
      <c r="K480" s="4">
        <f>$A480&amp;"|"&amp;$C480</f>
        <v/>
      </c>
    </row>
    <row r="481">
      <c r="A481" s="4" t="inlineStr">
        <is>
          <t>Shane Barreca</t>
        </is>
      </c>
      <c r="B481" s="4" t="inlineStr">
        <is>
          <t>Paul Deady</t>
        </is>
      </c>
      <c r="C481" s="4" t="inlineStr">
        <is>
          <t>Constellation Brands</t>
        </is>
      </c>
      <c r="D481" s="4" t="inlineStr">
        <is>
          <t>Victoria</t>
        </is>
      </c>
      <c r="E481" s="5" t="n">
        <v>803</v>
      </c>
      <c r="F481" s="5" t="n">
        <v>891</v>
      </c>
      <c r="G481" s="8">
        <f>MAX(0,$E481-$F481)</f>
        <v/>
      </c>
      <c r="H481" s="18">
        <f>IF(OR(ISNUMBER(SEARCH("fever",$D481)),ISNUMBER(SEARCH("mike",$D481)),ISNUMBER(SEARCH("mxd",$D481))),2,1)</f>
        <v/>
      </c>
      <c r="I481" s="18">
        <f>$H481*IFERROR(INDEX('Recap'!$O$5:$O$233,MATCH($K481,'Recap'!$P$5:$P$233,0)),0)</f>
        <v/>
      </c>
      <c r="J481" s="7">
        <f>$G481*$I481</f>
        <v/>
      </c>
      <c r="K481" s="4">
        <f>$A481&amp;"|"&amp;$C481</f>
        <v/>
      </c>
    </row>
    <row r="482">
      <c r="A482" s="4" t="inlineStr">
        <is>
          <t>Shane Barreca</t>
        </is>
      </c>
      <c r="B482" s="4" t="inlineStr">
        <is>
          <t>Paul Deady</t>
        </is>
      </c>
      <c r="C482" s="4" t="inlineStr">
        <is>
          <t>DG Yuengling Inc</t>
        </is>
      </c>
      <c r="D482" s="4" t="inlineStr">
        <is>
          <t>Yuengling Flight</t>
        </is>
      </c>
      <c r="E482" s="5" t="n">
        <v>327</v>
      </c>
      <c r="F482" s="5" t="n">
        <v>385</v>
      </c>
      <c r="G482" s="8">
        <f>MAX(0,$E482-$F482)</f>
        <v/>
      </c>
      <c r="H482" s="18">
        <f>IF(OR(ISNUMBER(SEARCH("fever",$D482)),ISNUMBER(SEARCH("mike",$D482)),ISNUMBER(SEARCH("mxd",$D482))),2,1)</f>
        <v/>
      </c>
      <c r="I482" s="18">
        <f>$H482*IFERROR(INDEX('Recap'!$O$5:$O$233,MATCH($K482,'Recap'!$P$5:$P$233,0)),0)</f>
        <v/>
      </c>
      <c r="J482" s="7">
        <f>$G482*$I482</f>
        <v/>
      </c>
      <c r="K482" s="4">
        <f>$A482&amp;"|"&amp;$C482</f>
        <v/>
      </c>
    </row>
    <row r="483">
      <c r="A483" s="4" t="inlineStr">
        <is>
          <t>Shane Barreca</t>
        </is>
      </c>
      <c r="B483" s="4" t="inlineStr">
        <is>
          <t>Paul Deady</t>
        </is>
      </c>
      <c r="C483" s="4" t="inlineStr">
        <is>
          <t>DG Yuengling Inc</t>
        </is>
      </c>
      <c r="D483" s="4" t="inlineStr">
        <is>
          <t>Yuengling Light Lager</t>
        </is>
      </c>
      <c r="E483" s="5" t="n">
        <v>190</v>
      </c>
      <c r="F483" s="5" t="n">
        <v>226</v>
      </c>
      <c r="G483" s="8">
        <f>MAX(0,$E483-$F483)</f>
        <v/>
      </c>
      <c r="H483" s="18">
        <f>IF(OR(ISNUMBER(SEARCH("fever",$D483)),ISNUMBER(SEARCH("mike",$D483)),ISNUMBER(SEARCH("mxd",$D483))),2,1)</f>
        <v/>
      </c>
      <c r="I483" s="18">
        <f>$H483*IFERROR(INDEX('Recap'!$O$5:$O$233,MATCH($K483,'Recap'!$P$5:$P$233,0)),0)</f>
        <v/>
      </c>
      <c r="J483" s="7">
        <f>$G483*$I483</f>
        <v/>
      </c>
      <c r="K483" s="4">
        <f>$A483&amp;"|"&amp;$C483</f>
        <v/>
      </c>
    </row>
    <row r="484">
      <c r="A484" s="4" t="inlineStr">
        <is>
          <t>Shane Barreca</t>
        </is>
      </c>
      <c r="B484" s="4" t="inlineStr">
        <is>
          <t>Paul Deady</t>
        </is>
      </c>
      <c r="C484" s="4" t="inlineStr">
        <is>
          <t>Heineken USA</t>
        </is>
      </c>
      <c r="D484" s="4" t="inlineStr">
        <is>
          <t>Heineken 0.0</t>
        </is>
      </c>
      <c r="E484" s="5" t="n">
        <v>717</v>
      </c>
      <c r="F484" s="5" t="n">
        <v>784</v>
      </c>
      <c r="G484" s="8">
        <f>MAX(0,$E484-$F484)</f>
        <v/>
      </c>
      <c r="H484" s="18">
        <f>IF(OR(ISNUMBER(SEARCH("fever",$D484)),ISNUMBER(SEARCH("mike",$D484)),ISNUMBER(SEARCH("mxd",$D484))),2,1)</f>
        <v/>
      </c>
      <c r="I484" s="18">
        <f>$H484*IFERROR(INDEX('Recap'!$O$5:$O$233,MATCH($K484,'Recap'!$P$5:$P$233,0)),0)</f>
        <v/>
      </c>
      <c r="J484" s="7">
        <f>$G484*$I484</f>
        <v/>
      </c>
      <c r="K484" s="4">
        <f>$A484&amp;"|"&amp;$C484</f>
        <v/>
      </c>
    </row>
    <row r="485">
      <c r="A485" s="4" t="inlineStr">
        <is>
          <t>Shane Barreca</t>
        </is>
      </c>
      <c r="B485" s="4" t="inlineStr">
        <is>
          <t>Paul Deady</t>
        </is>
      </c>
      <c r="C485" s="4" t="inlineStr">
        <is>
          <t>Heineken USA</t>
        </is>
      </c>
      <c r="D485" s="4" t="inlineStr">
        <is>
          <t>Heineken Light</t>
        </is>
      </c>
      <c r="E485" s="5" t="n">
        <v>768</v>
      </c>
      <c r="F485" s="5" t="n">
        <v>843</v>
      </c>
      <c r="G485" s="8">
        <f>MAX(0,$E485-$F485)</f>
        <v/>
      </c>
      <c r="H485" s="18">
        <f>IF(OR(ISNUMBER(SEARCH("fever",$D485)),ISNUMBER(SEARCH("mike",$D485)),ISNUMBER(SEARCH("mxd",$D485))),2,1)</f>
        <v/>
      </c>
      <c r="I485" s="18">
        <f>$H485*IFERROR(INDEX('Recap'!$O$5:$O$233,MATCH($K485,'Recap'!$P$5:$P$233,0)),0)</f>
        <v/>
      </c>
      <c r="J485" s="7">
        <f>$G485*$I485</f>
        <v/>
      </c>
      <c r="K485" s="4">
        <f>$A485&amp;"|"&amp;$C485</f>
        <v/>
      </c>
    </row>
    <row r="486">
      <c r="A486" s="4" t="inlineStr">
        <is>
          <t>Shane Barreca</t>
        </is>
      </c>
      <c r="B486" s="4" t="inlineStr">
        <is>
          <t>Paul Deady</t>
        </is>
      </c>
      <c r="C486" s="4" t="inlineStr">
        <is>
          <t>Mark Anthony</t>
        </is>
      </c>
      <c r="D486" s="4" t="inlineStr">
        <is>
          <t>Cayman Jack</t>
        </is>
      </c>
      <c r="E486" s="5" t="n">
        <v>477</v>
      </c>
      <c r="F486" s="5" t="n">
        <v>487</v>
      </c>
      <c r="G486" s="8">
        <f>MAX(0,$E486-$F486)</f>
        <v/>
      </c>
      <c r="H486" s="18">
        <f>IF(OR(ISNUMBER(SEARCH("fever",$D486)),ISNUMBER(SEARCH("mike",$D486)),ISNUMBER(SEARCH("mxd",$D486))),2,1)</f>
        <v/>
      </c>
      <c r="I486" s="18">
        <f>$H486*IFERROR(INDEX('Recap'!$O$5:$O$233,MATCH($K486,'Recap'!$P$5:$P$233,0)),0)</f>
        <v/>
      </c>
      <c r="J486" s="7">
        <f>$G486*$I486</f>
        <v/>
      </c>
      <c r="K486" s="4">
        <f>$A486&amp;"|"&amp;$C486</f>
        <v/>
      </c>
    </row>
    <row r="487">
      <c r="A487" s="4" t="inlineStr">
        <is>
          <t>Shane Barreca</t>
        </is>
      </c>
      <c r="B487" s="4" t="inlineStr">
        <is>
          <t>Paul Deady</t>
        </is>
      </c>
      <c r="C487" s="4" t="inlineStr">
        <is>
          <t>Mark Anthony</t>
        </is>
      </c>
      <c r="D487" s="4" t="inlineStr">
        <is>
          <t>Mike's Harder</t>
        </is>
      </c>
      <c r="E487" s="5" t="n">
        <v>323</v>
      </c>
      <c r="F487" s="5" t="n">
        <v>268</v>
      </c>
      <c r="G487" s="8">
        <f>MAX(0,$E487-$F487)</f>
        <v/>
      </c>
      <c r="H487" s="18">
        <f>IF(OR(ISNUMBER(SEARCH("fever",$D487)),ISNUMBER(SEARCH("mike",$D487)),ISNUMBER(SEARCH("mxd",$D487))),2,1)</f>
        <v/>
      </c>
      <c r="I487" s="18">
        <f>$H487*IFERROR(INDEX('Recap'!$O$5:$O$233,MATCH($K487,'Recap'!$P$5:$P$233,0)),0)</f>
        <v/>
      </c>
      <c r="J487" s="7">
        <f>$G487*$I487</f>
        <v/>
      </c>
      <c r="K487" s="4">
        <f>$A487&amp;"|"&amp;$C487</f>
        <v/>
      </c>
    </row>
    <row r="488">
      <c r="A488" s="4" t="inlineStr">
        <is>
          <t>Shane Barreca</t>
        </is>
      </c>
      <c r="B488" s="4" t="inlineStr">
        <is>
          <t>Paul Deady</t>
        </is>
      </c>
      <c r="C488" s="4" t="inlineStr">
        <is>
          <t>Mark Anthony</t>
        </is>
      </c>
      <c r="D488" s="4" t="inlineStr">
        <is>
          <t>Mxd Cocktails</t>
        </is>
      </c>
      <c r="E488" s="5" t="n">
        <v>-1</v>
      </c>
      <c r="F488" s="5" t="n">
        <v>0</v>
      </c>
      <c r="G488" s="8">
        <f>MAX(0,$E488-$F488)</f>
        <v/>
      </c>
      <c r="H488" s="18">
        <f>IF(OR(ISNUMBER(SEARCH("fever",$D488)),ISNUMBER(SEARCH("mike",$D488)),ISNUMBER(SEARCH("mxd",$D488))),2,1)</f>
        <v/>
      </c>
      <c r="I488" s="18">
        <f>$H488*IFERROR(INDEX('Recap'!$O$5:$O$233,MATCH($K488,'Recap'!$P$5:$P$233,0)),0)</f>
        <v/>
      </c>
      <c r="J488" s="7">
        <f>$G488*$I488</f>
        <v/>
      </c>
      <c r="K488" s="4">
        <f>$A488&amp;"|"&amp;$C488</f>
        <v/>
      </c>
    </row>
    <row r="489">
      <c r="A489" s="4" t="inlineStr">
        <is>
          <t>Shane Barreca</t>
        </is>
      </c>
      <c r="B489" s="4" t="inlineStr">
        <is>
          <t>Paul Deady</t>
        </is>
      </c>
      <c r="C489" s="4" t="inlineStr">
        <is>
          <t>MolsonCoors Beverage Company</t>
        </is>
      </c>
      <c r="D489" s="4" t="inlineStr">
        <is>
          <t>Coors</t>
        </is>
      </c>
      <c r="E489" s="5" t="n">
        <v>3961</v>
      </c>
      <c r="F489" s="5" t="n">
        <v>3452</v>
      </c>
      <c r="G489" s="8">
        <f>MAX(0,$E489-$F489)</f>
        <v/>
      </c>
      <c r="H489" s="18">
        <f>IF(OR(ISNUMBER(SEARCH("fever",$D489)),ISNUMBER(SEARCH("mike",$D489)),ISNUMBER(SEARCH("mxd",$D489))),2,1)</f>
        <v/>
      </c>
      <c r="I489" s="18">
        <f>$H489*IFERROR(INDEX('Recap'!$O$5:$O$233,MATCH($K489,'Recap'!$P$5:$P$233,0)),0)</f>
        <v/>
      </c>
      <c r="J489" s="7">
        <f>$G489*$I489</f>
        <v/>
      </c>
      <c r="K489" s="4">
        <f>$A489&amp;"|"&amp;$C489</f>
        <v/>
      </c>
    </row>
    <row r="490">
      <c r="A490" s="4" t="inlineStr">
        <is>
          <t>Shane Barreca</t>
        </is>
      </c>
      <c r="B490" s="4" t="inlineStr">
        <is>
          <t>Paul Deady</t>
        </is>
      </c>
      <c r="C490" s="4" t="inlineStr">
        <is>
          <t>MolsonCoors Beverage Company</t>
        </is>
      </c>
      <c r="D490" s="4" t="inlineStr">
        <is>
          <t>Fever Tree</t>
        </is>
      </c>
      <c r="E490" s="5" t="n">
        <v>375</v>
      </c>
      <c r="F490" s="5" t="n">
        <v>241</v>
      </c>
      <c r="G490" s="8">
        <f>MAX(0,$E490-$F490)</f>
        <v/>
      </c>
      <c r="H490" s="18">
        <f>IF(OR(ISNUMBER(SEARCH("fever",$D490)),ISNUMBER(SEARCH("mike",$D490)),ISNUMBER(SEARCH("mxd",$D490))),2,1)</f>
        <v/>
      </c>
      <c r="I490" s="18">
        <f>$H490*IFERROR(INDEX('Recap'!$O$5:$O$233,MATCH($K490,'Recap'!$P$5:$P$233,0)),0)</f>
        <v/>
      </c>
      <c r="J490" s="7">
        <f>$G490*$I490</f>
        <v/>
      </c>
      <c r="K490" s="4">
        <f>$A490&amp;"|"&amp;$C490</f>
        <v/>
      </c>
    </row>
    <row r="491">
      <c r="A491" s="4" t="inlineStr">
        <is>
          <t>Shane Barreca</t>
        </is>
      </c>
      <c r="B491" s="4" t="inlineStr">
        <is>
          <t>Paul Deady</t>
        </is>
      </c>
      <c r="C491" s="4" t="inlineStr">
        <is>
          <t>MolsonCoors Beverage Company</t>
        </is>
      </c>
      <c r="D491" s="4" t="inlineStr">
        <is>
          <t>Peroni</t>
        </is>
      </c>
      <c r="E491" s="5" t="n">
        <v>2496</v>
      </c>
      <c r="F491" s="5" t="n">
        <v>2339</v>
      </c>
      <c r="G491" s="8">
        <f>MAX(0,$E491-$F491)</f>
        <v/>
      </c>
      <c r="H491" s="18">
        <f>IF(OR(ISNUMBER(SEARCH("fever",$D491)),ISNUMBER(SEARCH("mike",$D491)),ISNUMBER(SEARCH("mxd",$D491))),2,1)</f>
        <v/>
      </c>
      <c r="I491" s="18">
        <f>$H491*IFERROR(INDEX('Recap'!$O$5:$O$233,MATCH($K491,'Recap'!$P$5:$P$233,0)),0)</f>
        <v/>
      </c>
      <c r="J491" s="7">
        <f>$G491*$I491</f>
        <v/>
      </c>
      <c r="K491" s="4">
        <f>$A491&amp;"|"&amp;$C491</f>
        <v/>
      </c>
    </row>
    <row r="492">
      <c r="A492" s="4" t="inlineStr">
        <is>
          <t>Shane Barreca</t>
        </is>
      </c>
      <c r="B492" s="4" t="inlineStr">
        <is>
          <t>Paul Deady</t>
        </is>
      </c>
      <c r="C492" s="4" t="inlineStr">
        <is>
          <t>New Belgium Brewing Company</t>
        </is>
      </c>
      <c r="D492" s="4" t="inlineStr">
        <is>
          <t>Bell's</t>
        </is>
      </c>
      <c r="E492" s="5" t="n">
        <v>77</v>
      </c>
      <c r="F492" s="5" t="n">
        <v>68</v>
      </c>
      <c r="G492" s="8">
        <f>MAX(0,$E492-$F492)</f>
        <v/>
      </c>
      <c r="H492" s="18">
        <f>IF(OR(ISNUMBER(SEARCH("fever",$D492)),ISNUMBER(SEARCH("mike",$D492)),ISNUMBER(SEARCH("mxd",$D492))),2,1)</f>
        <v/>
      </c>
      <c r="I492" s="18">
        <f>$H492*IFERROR(INDEX('Recap'!$O$5:$O$233,MATCH($K492,'Recap'!$P$5:$P$233,0)),0)</f>
        <v/>
      </c>
      <c r="J492" s="7">
        <f>$G492*$I492</f>
        <v/>
      </c>
      <c r="K492" s="4">
        <f>$A492&amp;"|"&amp;$C492</f>
        <v/>
      </c>
    </row>
    <row r="493">
      <c r="A493" s="4" t="inlineStr">
        <is>
          <t>Shane Barreca</t>
        </is>
      </c>
      <c r="B493" s="4" t="inlineStr">
        <is>
          <t>Paul Deady</t>
        </is>
      </c>
      <c r="C493" s="4" t="inlineStr">
        <is>
          <t>New Belgium Brewing Company</t>
        </is>
      </c>
      <c r="D493" s="4" t="inlineStr">
        <is>
          <t>Fat Tire Family</t>
        </is>
      </c>
      <c r="E493" s="5" t="n">
        <v>208</v>
      </c>
      <c r="F493" s="5" t="n">
        <v>306</v>
      </c>
      <c r="G493" s="8">
        <f>MAX(0,$E493-$F493)</f>
        <v/>
      </c>
      <c r="H493" s="18">
        <f>IF(OR(ISNUMBER(SEARCH("fever",$D493)),ISNUMBER(SEARCH("mike",$D493)),ISNUMBER(SEARCH("mxd",$D493))),2,1)</f>
        <v/>
      </c>
      <c r="I493" s="18">
        <f>$H493*IFERROR(INDEX('Recap'!$O$5:$O$233,MATCH($K493,'Recap'!$P$5:$P$233,0)),0)</f>
        <v/>
      </c>
      <c r="J493" s="7">
        <f>$G493*$I493</f>
        <v/>
      </c>
      <c r="K493" s="4">
        <f>$A493&amp;"|"&amp;$C493</f>
        <v/>
      </c>
    </row>
    <row r="494">
      <c r="A494" s="4" t="inlineStr">
        <is>
          <t>Shane Barreca</t>
        </is>
      </c>
      <c r="B494" s="4" t="inlineStr">
        <is>
          <t>Paul Deady</t>
        </is>
      </c>
      <c r="C494" s="4" t="inlineStr">
        <is>
          <t>New Belgium Brewing Company</t>
        </is>
      </c>
      <c r="D494" s="4" t="inlineStr">
        <is>
          <t>Kirin Ichiban</t>
        </is>
      </c>
      <c r="E494" s="5" t="n">
        <v>117</v>
      </c>
      <c r="F494" s="5" t="n">
        <v>80</v>
      </c>
      <c r="G494" s="8">
        <f>MAX(0,$E494-$F494)</f>
        <v/>
      </c>
      <c r="H494" s="18">
        <f>IF(OR(ISNUMBER(SEARCH("fever",$D494)),ISNUMBER(SEARCH("mike",$D494)),ISNUMBER(SEARCH("mxd",$D494))),2,1)</f>
        <v/>
      </c>
      <c r="I494" s="18">
        <f>$H494*IFERROR(INDEX('Recap'!$O$5:$O$233,MATCH($K494,'Recap'!$P$5:$P$233,0)),0)</f>
        <v/>
      </c>
      <c r="J494" s="7">
        <f>$G494*$I494</f>
        <v/>
      </c>
      <c r="K494" s="4">
        <f>$A494&amp;"|"&amp;$C494</f>
        <v/>
      </c>
    </row>
    <row r="495">
      <c r="A495" s="4" t="inlineStr">
        <is>
          <t>Shane Barreca</t>
        </is>
      </c>
      <c r="B495" s="4" t="inlineStr">
        <is>
          <t>Paul Deady</t>
        </is>
      </c>
      <c r="C495" s="4" t="inlineStr">
        <is>
          <t>New Belgium Brewing Company</t>
        </is>
      </c>
      <c r="D495" s="4" t="inlineStr">
        <is>
          <t>Voodoo Family</t>
        </is>
      </c>
      <c r="E495" s="5" t="n">
        <v>1314</v>
      </c>
      <c r="F495" s="5" t="n">
        <v>1334</v>
      </c>
      <c r="G495" s="8">
        <f>MAX(0,$E495-$F495)</f>
        <v/>
      </c>
      <c r="H495" s="18">
        <f>IF(OR(ISNUMBER(SEARCH("fever",$D495)),ISNUMBER(SEARCH("mike",$D495)),ISNUMBER(SEARCH("mxd",$D495))),2,1)</f>
        <v/>
      </c>
      <c r="I495" s="18">
        <f>$H495*IFERROR(INDEX('Recap'!$O$5:$O$233,MATCH($K495,'Recap'!$P$5:$P$233,0)),0)</f>
        <v/>
      </c>
      <c r="J495" s="7">
        <f>$G495*$I495</f>
        <v/>
      </c>
      <c r="K495" s="4">
        <f>$A495&amp;"|"&amp;$C495</f>
        <v/>
      </c>
    </row>
    <row r="496">
      <c r="A496" s="4" t="inlineStr">
        <is>
          <t>Shane Barreca</t>
        </is>
      </c>
      <c r="B496" s="4" t="inlineStr">
        <is>
          <t>Paul Deady</t>
        </is>
      </c>
      <c r="C496" s="4" t="inlineStr">
        <is>
          <t>Sapporo</t>
        </is>
      </c>
      <c r="D496" s="4" t="inlineStr">
        <is>
          <t>Sapporo</t>
        </is>
      </c>
      <c r="E496" s="5" t="n">
        <v>1026</v>
      </c>
      <c r="F496" s="5" t="n">
        <v>991</v>
      </c>
      <c r="G496" s="8">
        <f>MAX(0,$E496-$F496)</f>
        <v/>
      </c>
      <c r="H496" s="18">
        <f>IF(OR(ISNUMBER(SEARCH("fever",$D496)),ISNUMBER(SEARCH("mike",$D496)),ISNUMBER(SEARCH("mxd",$D496))),2,1)</f>
        <v/>
      </c>
      <c r="I496" s="18">
        <f>$H496*IFERROR(INDEX('Recap'!$O$5:$O$233,MATCH($K496,'Recap'!$P$5:$P$233,0)),0)</f>
        <v/>
      </c>
      <c r="J496" s="7">
        <f>$G496*$I496</f>
        <v/>
      </c>
      <c r="K496" s="4">
        <f>$A496&amp;"|"&amp;$C496</f>
        <v/>
      </c>
    </row>
    <row r="497">
      <c r="A497" s="10" t="inlineStr">
        <is>
          <t>TOTAL</t>
        </is>
      </c>
      <c r="G497" s="12">
        <f>SUM(G5:G496)</f>
        <v/>
      </c>
      <c r="J497" s="11">
        <f>SUM(J5:J496)</f>
        <v/>
      </c>
    </row>
  </sheetData>
  <autoFilter ref="A4:J49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3"/>
  <sheetViews>
    <sheetView workbookViewId="0">
      <pane ySplit="4" topLeftCell="A5" activePane="bottomLeft" state="frozen"/>
      <selection pane="bottomLeft" activeCell="A1" sqref="A1"/>
    </sheetView>
  </sheetViews>
  <sheetFormatPr baseColWidth="8" defaultRowHeight="15"/>
  <cols>
    <col width="20" customWidth="1" min="1" max="1"/>
    <col width="16" customWidth="1" min="2" max="2"/>
    <col width="20" customWidth="1" min="3" max="3"/>
    <col width="12" customWidth="1" min="4" max="4"/>
    <col width="13" customWidth="1" min="5" max="5"/>
    <col width="17" customWidth="1" min="6" max="6"/>
    <col width="14" customWidth="1" min="7" max="7"/>
    <col width="15" customWidth="1" min="8" max="8"/>
    <col width="15" customWidth="1" min="9" max="9"/>
  </cols>
  <sheetData>
    <row r="1">
      <c r="A1" s="13" t="inlineStr">
        <is>
          <t>Total payout by rep</t>
        </is>
      </c>
    </row>
    <row r="2">
      <c r="A2" s="2" t="inlineStr">
        <is>
          <t>Rolls up the Recap tab.</t>
        </is>
      </c>
    </row>
    <row r="4">
      <c r="A4" s="3" t="inlineStr">
        <is>
          <t>Rep</t>
        </is>
      </c>
      <c r="B4" s="3" t="inlineStr">
        <is>
          <t>Manager</t>
        </is>
      </c>
      <c r="C4" s="3" t="inlineStr">
        <is>
          <t>Suppliers with a goal</t>
        </is>
      </c>
      <c r="D4" s="3" t="inlineStr">
        <is>
          <t>Qualified</t>
        </is>
      </c>
      <c r="E4" s="3" t="inlineStr">
        <is>
          <t>90% partial</t>
        </is>
      </c>
      <c r="F4" s="3" t="inlineStr">
        <is>
          <t>Eligible amplify CE</t>
        </is>
      </c>
      <c r="G4" s="3" t="inlineStr">
        <is>
          <t>Tier payout</t>
        </is>
      </c>
      <c r="H4" s="3" t="inlineStr">
        <is>
          <t>Amplify payout</t>
        </is>
      </c>
      <c r="I4" s="3" t="inlineStr">
        <is>
          <t>Total payout</t>
        </is>
      </c>
    </row>
    <row r="5">
      <c r="A5" s="4" t="inlineStr">
        <is>
          <t>Alex Rodriguez</t>
        </is>
      </c>
      <c r="B5" s="4" t="inlineStr">
        <is>
          <t>Mike Kennedy</t>
        </is>
      </c>
      <c r="C5" s="8">
        <f>COUNTIFS('Recap'!$A$5:$A$233,$A5,'Recap'!$D$5:$D$233,"&gt;0")</f>
        <v/>
      </c>
      <c r="D5" s="8">
        <f>COUNTIFS('Recap'!$A$5:$A$233,$A5,'Recap'!$G$5:$G$233,"Qualified")</f>
        <v/>
      </c>
      <c r="E5" s="8">
        <f>COUNTIFS('Recap'!$A$5:$A$233,$A5,'Recap'!$G$5:$G$233,"90% Partial Amplify")</f>
        <v/>
      </c>
      <c r="F5" s="8">
        <f>SUMIFS('Recap'!$L$5:$L$233,'Recap'!$A$5:$A$233,$A5)</f>
        <v/>
      </c>
      <c r="G5" s="7">
        <f>SUMIFS('Recap'!$I$5:$I$233,'Recap'!$A$5:$A$233,$A5)</f>
        <v/>
      </c>
      <c r="H5" s="7">
        <f>SUMIFS('Recap'!$M$5:$M$233,'Recap'!$A$5:$A$233,$A5)</f>
        <v/>
      </c>
      <c r="I5" s="7">
        <f>$G5+$H5</f>
        <v/>
      </c>
    </row>
    <row r="6">
      <c r="A6" s="4" t="inlineStr">
        <is>
          <t>Alisa Acciardi</t>
        </is>
      </c>
      <c r="B6" s="4" t="inlineStr">
        <is>
          <t>Mike Kennedy</t>
        </is>
      </c>
      <c r="C6" s="8">
        <f>COUNTIFS('Recap'!$A$5:$A$233,$A6,'Recap'!$D$5:$D$233,"&gt;0")</f>
        <v/>
      </c>
      <c r="D6" s="8">
        <f>COUNTIFS('Recap'!$A$5:$A$233,$A6,'Recap'!$G$5:$G$233,"Qualified")</f>
        <v/>
      </c>
      <c r="E6" s="8">
        <f>COUNTIFS('Recap'!$A$5:$A$233,$A6,'Recap'!$G$5:$G$233,"90% Partial Amplify")</f>
        <v/>
      </c>
      <c r="F6" s="8">
        <f>SUMIFS('Recap'!$L$5:$L$233,'Recap'!$A$5:$A$233,$A6)</f>
        <v/>
      </c>
      <c r="G6" s="7">
        <f>SUMIFS('Recap'!$I$5:$I$233,'Recap'!$A$5:$A$233,$A6)</f>
        <v/>
      </c>
      <c r="H6" s="7">
        <f>SUMIFS('Recap'!$M$5:$M$233,'Recap'!$A$5:$A$233,$A6)</f>
        <v/>
      </c>
      <c r="I6" s="7">
        <f>$G6+$H6</f>
        <v/>
      </c>
    </row>
    <row r="7">
      <c r="A7" s="4" t="inlineStr">
        <is>
          <t>Allison Scott</t>
        </is>
      </c>
      <c r="B7" s="4" t="inlineStr">
        <is>
          <t>Chris McCrohan</t>
        </is>
      </c>
      <c r="C7" s="8">
        <f>COUNTIFS('Recap'!$A$5:$A$233,$A7,'Recap'!$D$5:$D$233,"&gt;0")</f>
        <v/>
      </c>
      <c r="D7" s="8">
        <f>COUNTIFS('Recap'!$A$5:$A$233,$A7,'Recap'!$G$5:$G$233,"Qualified")</f>
        <v/>
      </c>
      <c r="E7" s="8">
        <f>COUNTIFS('Recap'!$A$5:$A$233,$A7,'Recap'!$G$5:$G$233,"90% Partial Amplify")</f>
        <v/>
      </c>
      <c r="F7" s="8">
        <f>SUMIFS('Recap'!$L$5:$L$233,'Recap'!$A$5:$A$233,$A7)</f>
        <v/>
      </c>
      <c r="G7" s="7">
        <f>SUMIFS('Recap'!$I$5:$I$233,'Recap'!$A$5:$A$233,$A7)</f>
        <v/>
      </c>
      <c r="H7" s="7">
        <f>SUMIFS('Recap'!$M$5:$M$233,'Recap'!$A$5:$A$233,$A7)</f>
        <v/>
      </c>
      <c r="I7" s="7">
        <f>$G7+$H7</f>
        <v/>
      </c>
    </row>
    <row r="8">
      <c r="A8" s="4" t="inlineStr">
        <is>
          <t>Andrew Lundy</t>
        </is>
      </c>
      <c r="B8" s="4" t="inlineStr">
        <is>
          <t>Mike Kennedy</t>
        </is>
      </c>
      <c r="C8" s="8">
        <f>COUNTIFS('Recap'!$A$5:$A$233,$A8,'Recap'!$D$5:$D$233,"&gt;0")</f>
        <v/>
      </c>
      <c r="D8" s="8">
        <f>COUNTIFS('Recap'!$A$5:$A$233,$A8,'Recap'!$G$5:$G$233,"Qualified")</f>
        <v/>
      </c>
      <c r="E8" s="8">
        <f>COUNTIFS('Recap'!$A$5:$A$233,$A8,'Recap'!$G$5:$G$233,"90% Partial Amplify")</f>
        <v/>
      </c>
      <c r="F8" s="8">
        <f>SUMIFS('Recap'!$L$5:$L$233,'Recap'!$A$5:$A$233,$A8)</f>
        <v/>
      </c>
      <c r="G8" s="7">
        <f>SUMIFS('Recap'!$I$5:$I$233,'Recap'!$A$5:$A$233,$A8)</f>
        <v/>
      </c>
      <c r="H8" s="7">
        <f>SUMIFS('Recap'!$M$5:$M$233,'Recap'!$A$5:$A$233,$A8)</f>
        <v/>
      </c>
      <c r="I8" s="7">
        <f>$G8+$H8</f>
        <v/>
      </c>
    </row>
    <row r="9">
      <c r="A9" s="4" t="inlineStr">
        <is>
          <t>Anthony Palmisano</t>
        </is>
      </c>
      <c r="B9" s="4" t="inlineStr">
        <is>
          <t>Chris McCrohan</t>
        </is>
      </c>
      <c r="C9" s="8">
        <f>COUNTIFS('Recap'!$A$5:$A$233,$A9,'Recap'!$D$5:$D$233,"&gt;0")</f>
        <v/>
      </c>
      <c r="D9" s="8">
        <f>COUNTIFS('Recap'!$A$5:$A$233,$A9,'Recap'!$G$5:$G$233,"Qualified")</f>
        <v/>
      </c>
      <c r="E9" s="8">
        <f>COUNTIFS('Recap'!$A$5:$A$233,$A9,'Recap'!$G$5:$G$233,"90% Partial Amplify")</f>
        <v/>
      </c>
      <c r="F9" s="8">
        <f>SUMIFS('Recap'!$L$5:$L$233,'Recap'!$A$5:$A$233,$A9)</f>
        <v/>
      </c>
      <c r="G9" s="7">
        <f>SUMIFS('Recap'!$I$5:$I$233,'Recap'!$A$5:$A$233,$A9)</f>
        <v/>
      </c>
      <c r="H9" s="7">
        <f>SUMIFS('Recap'!$M$5:$M$233,'Recap'!$A$5:$A$233,$A9)</f>
        <v/>
      </c>
      <c r="I9" s="7">
        <f>$G9+$H9</f>
        <v/>
      </c>
    </row>
    <row r="10">
      <c r="A10" s="4" t="inlineStr">
        <is>
          <t>Brian Sengebush</t>
        </is>
      </c>
      <c r="B10" s="4" t="inlineStr">
        <is>
          <t>Chris McCrohan</t>
        </is>
      </c>
      <c r="C10" s="8">
        <f>COUNTIFS('Recap'!$A$5:$A$233,$A10,'Recap'!$D$5:$D$233,"&gt;0")</f>
        <v/>
      </c>
      <c r="D10" s="8">
        <f>COUNTIFS('Recap'!$A$5:$A$233,$A10,'Recap'!$G$5:$G$233,"Qualified")</f>
        <v/>
      </c>
      <c r="E10" s="8">
        <f>COUNTIFS('Recap'!$A$5:$A$233,$A10,'Recap'!$G$5:$G$233,"90% Partial Amplify")</f>
        <v/>
      </c>
      <c r="F10" s="8">
        <f>SUMIFS('Recap'!$L$5:$L$233,'Recap'!$A$5:$A$233,$A10)</f>
        <v/>
      </c>
      <c r="G10" s="7">
        <f>SUMIFS('Recap'!$I$5:$I$233,'Recap'!$A$5:$A$233,$A10)</f>
        <v/>
      </c>
      <c r="H10" s="7">
        <f>SUMIFS('Recap'!$M$5:$M$233,'Recap'!$A$5:$A$233,$A10)</f>
        <v/>
      </c>
      <c r="I10" s="7">
        <f>$G10+$H10</f>
        <v/>
      </c>
    </row>
    <row r="11">
      <c r="A11" s="4" t="inlineStr">
        <is>
          <t>Chris Payton</t>
        </is>
      </c>
      <c r="B11" s="4" t="inlineStr">
        <is>
          <t>Mike Engel</t>
        </is>
      </c>
      <c r="C11" s="8">
        <f>COUNTIFS('Recap'!$A$5:$A$233,$A11,'Recap'!$D$5:$D$233,"&gt;0")</f>
        <v/>
      </c>
      <c r="D11" s="8">
        <f>COUNTIFS('Recap'!$A$5:$A$233,$A11,'Recap'!$G$5:$G$233,"Qualified")</f>
        <v/>
      </c>
      <c r="E11" s="8">
        <f>COUNTIFS('Recap'!$A$5:$A$233,$A11,'Recap'!$G$5:$G$233,"90% Partial Amplify")</f>
        <v/>
      </c>
      <c r="F11" s="8">
        <f>SUMIFS('Recap'!$L$5:$L$233,'Recap'!$A$5:$A$233,$A11)</f>
        <v/>
      </c>
      <c r="G11" s="7">
        <f>SUMIFS('Recap'!$I$5:$I$233,'Recap'!$A$5:$A$233,$A11)</f>
        <v/>
      </c>
      <c r="H11" s="7">
        <f>SUMIFS('Recap'!$M$5:$M$233,'Recap'!$A$5:$A$233,$A11)</f>
        <v/>
      </c>
      <c r="I11" s="7">
        <f>$G11+$H11</f>
        <v/>
      </c>
    </row>
    <row r="12">
      <c r="A12" s="4" t="inlineStr">
        <is>
          <t>Dan Lagala</t>
        </is>
      </c>
      <c r="B12" s="4" t="inlineStr">
        <is>
          <t>Mike Engel</t>
        </is>
      </c>
      <c r="C12" s="8">
        <f>COUNTIFS('Recap'!$A$5:$A$233,$A12,'Recap'!$D$5:$D$233,"&gt;0")</f>
        <v/>
      </c>
      <c r="D12" s="8">
        <f>COUNTIFS('Recap'!$A$5:$A$233,$A12,'Recap'!$G$5:$G$233,"Qualified")</f>
        <v/>
      </c>
      <c r="E12" s="8">
        <f>COUNTIFS('Recap'!$A$5:$A$233,$A12,'Recap'!$G$5:$G$233,"90% Partial Amplify")</f>
        <v/>
      </c>
      <c r="F12" s="8">
        <f>SUMIFS('Recap'!$L$5:$L$233,'Recap'!$A$5:$A$233,$A12)</f>
        <v/>
      </c>
      <c r="G12" s="7">
        <f>SUMIFS('Recap'!$I$5:$I$233,'Recap'!$A$5:$A$233,$A12)</f>
        <v/>
      </c>
      <c r="H12" s="7">
        <f>SUMIFS('Recap'!$M$5:$M$233,'Recap'!$A$5:$A$233,$A12)</f>
        <v/>
      </c>
      <c r="I12" s="7">
        <f>$G12+$H12</f>
        <v/>
      </c>
    </row>
    <row r="13">
      <c r="A13" s="4" t="inlineStr">
        <is>
          <t>Dave Ehlers</t>
        </is>
      </c>
      <c r="B13" s="4" t="inlineStr">
        <is>
          <t>Mike Engel</t>
        </is>
      </c>
      <c r="C13" s="8">
        <f>COUNTIFS('Recap'!$A$5:$A$233,$A13,'Recap'!$D$5:$D$233,"&gt;0")</f>
        <v/>
      </c>
      <c r="D13" s="8">
        <f>COUNTIFS('Recap'!$A$5:$A$233,$A13,'Recap'!$G$5:$G$233,"Qualified")</f>
        <v/>
      </c>
      <c r="E13" s="8">
        <f>COUNTIFS('Recap'!$A$5:$A$233,$A13,'Recap'!$G$5:$G$233,"90% Partial Amplify")</f>
        <v/>
      </c>
      <c r="F13" s="8">
        <f>SUMIFS('Recap'!$L$5:$L$233,'Recap'!$A$5:$A$233,$A13)</f>
        <v/>
      </c>
      <c r="G13" s="7">
        <f>SUMIFS('Recap'!$I$5:$I$233,'Recap'!$A$5:$A$233,$A13)</f>
        <v/>
      </c>
      <c r="H13" s="7">
        <f>SUMIFS('Recap'!$M$5:$M$233,'Recap'!$A$5:$A$233,$A13)</f>
        <v/>
      </c>
      <c r="I13" s="7">
        <f>$G13+$H13</f>
        <v/>
      </c>
    </row>
    <row r="14">
      <c r="A14" s="4" t="inlineStr">
        <is>
          <t>Derrick Laws</t>
        </is>
      </c>
      <c r="B14" s="4" t="inlineStr">
        <is>
          <t>Denise Montes</t>
        </is>
      </c>
      <c r="C14" s="8">
        <f>COUNTIFS('Recap'!$A$5:$A$233,$A14,'Recap'!$D$5:$D$233,"&gt;0")</f>
        <v/>
      </c>
      <c r="D14" s="8">
        <f>COUNTIFS('Recap'!$A$5:$A$233,$A14,'Recap'!$G$5:$G$233,"Qualified")</f>
        <v/>
      </c>
      <c r="E14" s="8">
        <f>COUNTIFS('Recap'!$A$5:$A$233,$A14,'Recap'!$G$5:$G$233,"90% Partial Amplify")</f>
        <v/>
      </c>
      <c r="F14" s="8">
        <f>SUMIFS('Recap'!$L$5:$L$233,'Recap'!$A$5:$A$233,$A14)</f>
        <v/>
      </c>
      <c r="G14" s="7">
        <f>SUMIFS('Recap'!$I$5:$I$233,'Recap'!$A$5:$A$233,$A14)</f>
        <v/>
      </c>
      <c r="H14" s="7">
        <f>SUMIFS('Recap'!$M$5:$M$233,'Recap'!$A$5:$A$233,$A14)</f>
        <v/>
      </c>
      <c r="I14" s="7">
        <f>$G14+$H14</f>
        <v/>
      </c>
    </row>
    <row r="15">
      <c r="A15" s="4" t="inlineStr">
        <is>
          <t>Dylan Rubino</t>
        </is>
      </c>
      <c r="B15" s="4" t="inlineStr">
        <is>
          <t>Mike Kennedy</t>
        </is>
      </c>
      <c r="C15" s="8">
        <f>COUNTIFS('Recap'!$A$5:$A$233,$A15,'Recap'!$D$5:$D$233,"&gt;0")</f>
        <v/>
      </c>
      <c r="D15" s="8">
        <f>COUNTIFS('Recap'!$A$5:$A$233,$A15,'Recap'!$G$5:$G$233,"Qualified")</f>
        <v/>
      </c>
      <c r="E15" s="8">
        <f>COUNTIFS('Recap'!$A$5:$A$233,$A15,'Recap'!$G$5:$G$233,"90% Partial Amplify")</f>
        <v/>
      </c>
      <c r="F15" s="8">
        <f>SUMIFS('Recap'!$L$5:$L$233,'Recap'!$A$5:$A$233,$A15)</f>
        <v/>
      </c>
      <c r="G15" s="7">
        <f>SUMIFS('Recap'!$I$5:$I$233,'Recap'!$A$5:$A$233,$A15)</f>
        <v/>
      </c>
      <c r="H15" s="7">
        <f>SUMIFS('Recap'!$M$5:$M$233,'Recap'!$A$5:$A$233,$A15)</f>
        <v/>
      </c>
      <c r="I15" s="7">
        <f>$G15+$H15</f>
        <v/>
      </c>
    </row>
    <row r="16">
      <c r="A16" s="4" t="inlineStr">
        <is>
          <t>Hakan Sadik</t>
        </is>
      </c>
      <c r="B16" s="4" t="inlineStr">
        <is>
          <t>Mike Kennedy</t>
        </is>
      </c>
      <c r="C16" s="8">
        <f>COUNTIFS('Recap'!$A$5:$A$233,$A16,'Recap'!$D$5:$D$233,"&gt;0")</f>
        <v/>
      </c>
      <c r="D16" s="8">
        <f>COUNTIFS('Recap'!$A$5:$A$233,$A16,'Recap'!$G$5:$G$233,"Qualified")</f>
        <v/>
      </c>
      <c r="E16" s="8">
        <f>COUNTIFS('Recap'!$A$5:$A$233,$A16,'Recap'!$G$5:$G$233,"90% Partial Amplify")</f>
        <v/>
      </c>
      <c r="F16" s="8">
        <f>SUMIFS('Recap'!$L$5:$L$233,'Recap'!$A$5:$A$233,$A16)</f>
        <v/>
      </c>
      <c r="G16" s="7">
        <f>SUMIFS('Recap'!$I$5:$I$233,'Recap'!$A$5:$A$233,$A16)</f>
        <v/>
      </c>
      <c r="H16" s="7">
        <f>SUMIFS('Recap'!$M$5:$M$233,'Recap'!$A$5:$A$233,$A16)</f>
        <v/>
      </c>
      <c r="I16" s="7">
        <f>$G16+$H16</f>
        <v/>
      </c>
    </row>
    <row r="17">
      <c r="A17" s="4" t="inlineStr">
        <is>
          <t>Jaime Colonna</t>
        </is>
      </c>
      <c r="B17" s="4" t="inlineStr">
        <is>
          <t>Mike Kennedy</t>
        </is>
      </c>
      <c r="C17" s="8">
        <f>COUNTIFS('Recap'!$A$5:$A$233,$A17,'Recap'!$D$5:$D$233,"&gt;0")</f>
        <v/>
      </c>
      <c r="D17" s="8">
        <f>COUNTIFS('Recap'!$A$5:$A$233,$A17,'Recap'!$G$5:$G$233,"Qualified")</f>
        <v/>
      </c>
      <c r="E17" s="8">
        <f>COUNTIFS('Recap'!$A$5:$A$233,$A17,'Recap'!$G$5:$G$233,"90% Partial Amplify")</f>
        <v/>
      </c>
      <c r="F17" s="8">
        <f>SUMIFS('Recap'!$L$5:$L$233,'Recap'!$A$5:$A$233,$A17)</f>
        <v/>
      </c>
      <c r="G17" s="7">
        <f>SUMIFS('Recap'!$I$5:$I$233,'Recap'!$A$5:$A$233,$A17)</f>
        <v/>
      </c>
      <c r="H17" s="7">
        <f>SUMIFS('Recap'!$M$5:$M$233,'Recap'!$A$5:$A$233,$A17)</f>
        <v/>
      </c>
      <c r="I17" s="7">
        <f>$G17+$H17</f>
        <v/>
      </c>
    </row>
    <row r="18">
      <c r="A18" s="4" t="inlineStr">
        <is>
          <t>Javier Melo</t>
        </is>
      </c>
      <c r="B18" s="4" t="inlineStr">
        <is>
          <t>Denise Montes</t>
        </is>
      </c>
      <c r="C18" s="8">
        <f>COUNTIFS('Recap'!$A$5:$A$233,$A18,'Recap'!$D$5:$D$233,"&gt;0")</f>
        <v/>
      </c>
      <c r="D18" s="8">
        <f>COUNTIFS('Recap'!$A$5:$A$233,$A18,'Recap'!$G$5:$G$233,"Qualified")</f>
        <v/>
      </c>
      <c r="E18" s="8">
        <f>COUNTIFS('Recap'!$A$5:$A$233,$A18,'Recap'!$G$5:$G$233,"90% Partial Amplify")</f>
        <v/>
      </c>
      <c r="F18" s="8">
        <f>SUMIFS('Recap'!$L$5:$L$233,'Recap'!$A$5:$A$233,$A18)</f>
        <v/>
      </c>
      <c r="G18" s="7">
        <f>SUMIFS('Recap'!$I$5:$I$233,'Recap'!$A$5:$A$233,$A18)</f>
        <v/>
      </c>
      <c r="H18" s="7">
        <f>SUMIFS('Recap'!$M$5:$M$233,'Recap'!$A$5:$A$233,$A18)</f>
        <v/>
      </c>
      <c r="I18" s="7">
        <f>$G18+$H18</f>
        <v/>
      </c>
    </row>
    <row r="19">
      <c r="A19" s="4" t="inlineStr">
        <is>
          <t>Jayson Romine</t>
        </is>
      </c>
      <c r="B19" s="4" t="inlineStr">
        <is>
          <t>Paul Deady</t>
        </is>
      </c>
      <c r="C19" s="8">
        <f>COUNTIFS('Recap'!$A$5:$A$233,$A19,'Recap'!$D$5:$D$233,"&gt;0")</f>
        <v/>
      </c>
      <c r="D19" s="8">
        <f>COUNTIFS('Recap'!$A$5:$A$233,$A19,'Recap'!$G$5:$G$233,"Qualified")</f>
        <v/>
      </c>
      <c r="E19" s="8">
        <f>COUNTIFS('Recap'!$A$5:$A$233,$A19,'Recap'!$G$5:$G$233,"90% Partial Amplify")</f>
        <v/>
      </c>
      <c r="F19" s="8">
        <f>SUMIFS('Recap'!$L$5:$L$233,'Recap'!$A$5:$A$233,$A19)</f>
        <v/>
      </c>
      <c r="G19" s="7">
        <f>SUMIFS('Recap'!$I$5:$I$233,'Recap'!$A$5:$A$233,$A19)</f>
        <v/>
      </c>
      <c r="H19" s="7">
        <f>SUMIFS('Recap'!$M$5:$M$233,'Recap'!$A$5:$A$233,$A19)</f>
        <v/>
      </c>
      <c r="I19" s="7">
        <f>$G19+$H19</f>
        <v/>
      </c>
    </row>
    <row r="20">
      <c r="A20" s="4" t="inlineStr">
        <is>
          <t>Jim Heaney</t>
        </is>
      </c>
      <c r="B20" s="4" t="inlineStr">
        <is>
          <t>Denise Montes</t>
        </is>
      </c>
      <c r="C20" s="8">
        <f>COUNTIFS('Recap'!$A$5:$A$233,$A20,'Recap'!$D$5:$D$233,"&gt;0")</f>
        <v/>
      </c>
      <c r="D20" s="8">
        <f>COUNTIFS('Recap'!$A$5:$A$233,$A20,'Recap'!$G$5:$G$233,"Qualified")</f>
        <v/>
      </c>
      <c r="E20" s="8">
        <f>COUNTIFS('Recap'!$A$5:$A$233,$A20,'Recap'!$G$5:$G$233,"90% Partial Amplify")</f>
        <v/>
      </c>
      <c r="F20" s="8">
        <f>SUMIFS('Recap'!$L$5:$L$233,'Recap'!$A$5:$A$233,$A20)</f>
        <v/>
      </c>
      <c r="G20" s="7">
        <f>SUMIFS('Recap'!$I$5:$I$233,'Recap'!$A$5:$A$233,$A20)</f>
        <v/>
      </c>
      <c r="H20" s="7">
        <f>SUMIFS('Recap'!$M$5:$M$233,'Recap'!$A$5:$A$233,$A20)</f>
        <v/>
      </c>
      <c r="I20" s="7">
        <f>$G20+$H20</f>
        <v/>
      </c>
    </row>
    <row r="21">
      <c r="A21" s="4" t="inlineStr">
        <is>
          <t>John Neukum</t>
        </is>
      </c>
      <c r="B21" s="4" t="inlineStr"/>
      <c r="C21" s="8">
        <f>COUNTIFS('Recap'!$A$5:$A$233,$A21,'Recap'!$D$5:$D$233,"&gt;0")</f>
        <v/>
      </c>
      <c r="D21" s="8">
        <f>COUNTIFS('Recap'!$A$5:$A$233,$A21,'Recap'!$G$5:$G$233,"Qualified")</f>
        <v/>
      </c>
      <c r="E21" s="8">
        <f>COUNTIFS('Recap'!$A$5:$A$233,$A21,'Recap'!$G$5:$G$233,"90% Partial Amplify")</f>
        <v/>
      </c>
      <c r="F21" s="8">
        <f>SUMIFS('Recap'!$L$5:$L$233,'Recap'!$A$5:$A$233,$A21)</f>
        <v/>
      </c>
      <c r="G21" s="7">
        <f>SUMIFS('Recap'!$I$5:$I$233,'Recap'!$A$5:$A$233,$A21)</f>
        <v/>
      </c>
      <c r="H21" s="7">
        <f>SUMIFS('Recap'!$M$5:$M$233,'Recap'!$A$5:$A$233,$A21)</f>
        <v/>
      </c>
      <c r="I21" s="7">
        <f>$G21+$H21</f>
        <v/>
      </c>
    </row>
    <row r="22">
      <c r="A22" s="4" t="inlineStr">
        <is>
          <t>John O'Donoghue</t>
        </is>
      </c>
      <c r="B22" s="4" t="inlineStr">
        <is>
          <t>Mike Kennedy</t>
        </is>
      </c>
      <c r="C22" s="8">
        <f>COUNTIFS('Recap'!$A$5:$A$233,$A22,'Recap'!$D$5:$D$233,"&gt;0")</f>
        <v/>
      </c>
      <c r="D22" s="8">
        <f>COUNTIFS('Recap'!$A$5:$A$233,$A22,'Recap'!$G$5:$G$233,"Qualified")</f>
        <v/>
      </c>
      <c r="E22" s="8">
        <f>COUNTIFS('Recap'!$A$5:$A$233,$A22,'Recap'!$G$5:$G$233,"90% Partial Amplify")</f>
        <v/>
      </c>
      <c r="F22" s="8">
        <f>SUMIFS('Recap'!$L$5:$L$233,'Recap'!$A$5:$A$233,$A22)</f>
        <v/>
      </c>
      <c r="G22" s="7">
        <f>SUMIFS('Recap'!$I$5:$I$233,'Recap'!$A$5:$A$233,$A22)</f>
        <v/>
      </c>
      <c r="H22" s="7">
        <f>SUMIFS('Recap'!$M$5:$M$233,'Recap'!$A$5:$A$233,$A22)</f>
        <v/>
      </c>
      <c r="I22" s="7">
        <f>$G22+$H22</f>
        <v/>
      </c>
    </row>
    <row r="23">
      <c r="A23" s="4" t="inlineStr">
        <is>
          <t>Klejdi Lamo</t>
        </is>
      </c>
      <c r="B23" s="4" t="inlineStr">
        <is>
          <t>Paul Deady</t>
        </is>
      </c>
      <c r="C23" s="8">
        <f>COUNTIFS('Recap'!$A$5:$A$233,$A23,'Recap'!$D$5:$D$233,"&gt;0")</f>
        <v/>
      </c>
      <c r="D23" s="8">
        <f>COUNTIFS('Recap'!$A$5:$A$233,$A23,'Recap'!$G$5:$G$233,"Qualified")</f>
        <v/>
      </c>
      <c r="E23" s="8">
        <f>COUNTIFS('Recap'!$A$5:$A$233,$A23,'Recap'!$G$5:$G$233,"90% Partial Amplify")</f>
        <v/>
      </c>
      <c r="F23" s="8">
        <f>SUMIFS('Recap'!$L$5:$L$233,'Recap'!$A$5:$A$233,$A23)</f>
        <v/>
      </c>
      <c r="G23" s="7">
        <f>SUMIFS('Recap'!$I$5:$I$233,'Recap'!$A$5:$A$233,$A23)</f>
        <v/>
      </c>
      <c r="H23" s="7">
        <f>SUMIFS('Recap'!$M$5:$M$233,'Recap'!$A$5:$A$233,$A23)</f>
        <v/>
      </c>
      <c r="I23" s="7">
        <f>$G23+$H23</f>
        <v/>
      </c>
    </row>
    <row r="24">
      <c r="A24" s="4" t="inlineStr">
        <is>
          <t>Matt Powierski</t>
        </is>
      </c>
      <c r="B24" s="4" t="inlineStr">
        <is>
          <t>Denise Montes</t>
        </is>
      </c>
      <c r="C24" s="8">
        <f>COUNTIFS('Recap'!$A$5:$A$233,$A24,'Recap'!$D$5:$D$233,"&gt;0")</f>
        <v/>
      </c>
      <c r="D24" s="8">
        <f>COUNTIFS('Recap'!$A$5:$A$233,$A24,'Recap'!$G$5:$G$233,"Qualified")</f>
        <v/>
      </c>
      <c r="E24" s="8">
        <f>COUNTIFS('Recap'!$A$5:$A$233,$A24,'Recap'!$G$5:$G$233,"90% Partial Amplify")</f>
        <v/>
      </c>
      <c r="F24" s="8">
        <f>SUMIFS('Recap'!$L$5:$L$233,'Recap'!$A$5:$A$233,$A24)</f>
        <v/>
      </c>
      <c r="G24" s="7">
        <f>SUMIFS('Recap'!$I$5:$I$233,'Recap'!$A$5:$A$233,$A24)</f>
        <v/>
      </c>
      <c r="H24" s="7">
        <f>SUMIFS('Recap'!$M$5:$M$233,'Recap'!$A$5:$A$233,$A24)</f>
        <v/>
      </c>
      <c r="I24" s="7">
        <f>$G24+$H24</f>
        <v/>
      </c>
    </row>
    <row r="25">
      <c r="A25" s="4" t="inlineStr">
        <is>
          <t>Michael Harboy</t>
        </is>
      </c>
      <c r="B25" s="4" t="inlineStr">
        <is>
          <t>Mike Kennedy</t>
        </is>
      </c>
      <c r="C25" s="8">
        <f>COUNTIFS('Recap'!$A$5:$A$233,$A25,'Recap'!$D$5:$D$233,"&gt;0")</f>
        <v/>
      </c>
      <c r="D25" s="8">
        <f>COUNTIFS('Recap'!$A$5:$A$233,$A25,'Recap'!$G$5:$G$233,"Qualified")</f>
        <v/>
      </c>
      <c r="E25" s="8">
        <f>COUNTIFS('Recap'!$A$5:$A$233,$A25,'Recap'!$G$5:$G$233,"90% Partial Amplify")</f>
        <v/>
      </c>
      <c r="F25" s="8">
        <f>SUMIFS('Recap'!$L$5:$L$233,'Recap'!$A$5:$A$233,$A25)</f>
        <v/>
      </c>
      <c r="G25" s="7">
        <f>SUMIFS('Recap'!$I$5:$I$233,'Recap'!$A$5:$A$233,$A25)</f>
        <v/>
      </c>
      <c r="H25" s="7">
        <f>SUMIFS('Recap'!$M$5:$M$233,'Recap'!$A$5:$A$233,$A25)</f>
        <v/>
      </c>
      <c r="I25" s="7">
        <f>$G25+$H25</f>
        <v/>
      </c>
    </row>
    <row r="26">
      <c r="A26" s="4" t="inlineStr">
        <is>
          <t>Mike Ast</t>
        </is>
      </c>
      <c r="B26" s="4" t="inlineStr">
        <is>
          <t>Paul Deady</t>
        </is>
      </c>
      <c r="C26" s="8">
        <f>COUNTIFS('Recap'!$A$5:$A$233,$A26,'Recap'!$D$5:$D$233,"&gt;0")</f>
        <v/>
      </c>
      <c r="D26" s="8">
        <f>COUNTIFS('Recap'!$A$5:$A$233,$A26,'Recap'!$G$5:$G$233,"Qualified")</f>
        <v/>
      </c>
      <c r="E26" s="8">
        <f>COUNTIFS('Recap'!$A$5:$A$233,$A26,'Recap'!$G$5:$G$233,"90% Partial Amplify")</f>
        <v/>
      </c>
      <c r="F26" s="8">
        <f>SUMIFS('Recap'!$L$5:$L$233,'Recap'!$A$5:$A$233,$A26)</f>
        <v/>
      </c>
      <c r="G26" s="7">
        <f>SUMIFS('Recap'!$I$5:$I$233,'Recap'!$A$5:$A$233,$A26)</f>
        <v/>
      </c>
      <c r="H26" s="7">
        <f>SUMIFS('Recap'!$M$5:$M$233,'Recap'!$A$5:$A$233,$A26)</f>
        <v/>
      </c>
      <c r="I26" s="7">
        <f>$G26+$H26</f>
        <v/>
      </c>
    </row>
    <row r="27">
      <c r="A27" s="4" t="inlineStr">
        <is>
          <t>Nick Melissari</t>
        </is>
      </c>
      <c r="B27" s="4" t="inlineStr">
        <is>
          <t>Chris McCrohan</t>
        </is>
      </c>
      <c r="C27" s="8">
        <f>COUNTIFS('Recap'!$A$5:$A$233,$A27,'Recap'!$D$5:$D$233,"&gt;0")</f>
        <v/>
      </c>
      <c r="D27" s="8">
        <f>COUNTIFS('Recap'!$A$5:$A$233,$A27,'Recap'!$G$5:$G$233,"Qualified")</f>
        <v/>
      </c>
      <c r="E27" s="8">
        <f>COUNTIFS('Recap'!$A$5:$A$233,$A27,'Recap'!$G$5:$G$233,"90% Partial Amplify")</f>
        <v/>
      </c>
      <c r="F27" s="8">
        <f>SUMIFS('Recap'!$L$5:$L$233,'Recap'!$A$5:$A$233,$A27)</f>
        <v/>
      </c>
      <c r="G27" s="7">
        <f>SUMIFS('Recap'!$I$5:$I$233,'Recap'!$A$5:$A$233,$A27)</f>
        <v/>
      </c>
      <c r="H27" s="7">
        <f>SUMIFS('Recap'!$M$5:$M$233,'Recap'!$A$5:$A$233,$A27)</f>
        <v/>
      </c>
      <c r="I27" s="7">
        <f>$G27+$H27</f>
        <v/>
      </c>
    </row>
    <row r="28">
      <c r="A28" s="4" t="inlineStr">
        <is>
          <t>Pablo Lopez</t>
        </is>
      </c>
      <c r="B28" s="4" t="inlineStr">
        <is>
          <t>Denise Montes</t>
        </is>
      </c>
      <c r="C28" s="8">
        <f>COUNTIFS('Recap'!$A$5:$A$233,$A28,'Recap'!$D$5:$D$233,"&gt;0")</f>
        <v/>
      </c>
      <c r="D28" s="8">
        <f>COUNTIFS('Recap'!$A$5:$A$233,$A28,'Recap'!$G$5:$G$233,"Qualified")</f>
        <v/>
      </c>
      <c r="E28" s="8">
        <f>COUNTIFS('Recap'!$A$5:$A$233,$A28,'Recap'!$G$5:$G$233,"90% Partial Amplify")</f>
        <v/>
      </c>
      <c r="F28" s="8">
        <f>SUMIFS('Recap'!$L$5:$L$233,'Recap'!$A$5:$A$233,$A28)</f>
        <v/>
      </c>
      <c r="G28" s="7">
        <f>SUMIFS('Recap'!$I$5:$I$233,'Recap'!$A$5:$A$233,$A28)</f>
        <v/>
      </c>
      <c r="H28" s="7">
        <f>SUMIFS('Recap'!$M$5:$M$233,'Recap'!$A$5:$A$233,$A28)</f>
        <v/>
      </c>
      <c r="I28" s="7">
        <f>$G28+$H28</f>
        <v/>
      </c>
    </row>
    <row r="29">
      <c r="A29" s="4" t="inlineStr">
        <is>
          <t>Paul Mclaughlin</t>
        </is>
      </c>
      <c r="B29" s="4" t="inlineStr">
        <is>
          <t>Chris McCrohan</t>
        </is>
      </c>
      <c r="C29" s="8">
        <f>COUNTIFS('Recap'!$A$5:$A$233,$A29,'Recap'!$D$5:$D$233,"&gt;0")</f>
        <v/>
      </c>
      <c r="D29" s="8">
        <f>COUNTIFS('Recap'!$A$5:$A$233,$A29,'Recap'!$G$5:$G$233,"Qualified")</f>
        <v/>
      </c>
      <c r="E29" s="8">
        <f>COUNTIFS('Recap'!$A$5:$A$233,$A29,'Recap'!$G$5:$G$233,"90% Partial Amplify")</f>
        <v/>
      </c>
      <c r="F29" s="8">
        <f>SUMIFS('Recap'!$L$5:$L$233,'Recap'!$A$5:$A$233,$A29)</f>
        <v/>
      </c>
      <c r="G29" s="7">
        <f>SUMIFS('Recap'!$I$5:$I$233,'Recap'!$A$5:$A$233,$A29)</f>
        <v/>
      </c>
      <c r="H29" s="7">
        <f>SUMIFS('Recap'!$M$5:$M$233,'Recap'!$A$5:$A$233,$A29)</f>
        <v/>
      </c>
      <c r="I29" s="7">
        <f>$G29+$H29</f>
        <v/>
      </c>
    </row>
    <row r="30">
      <c r="A30" s="4" t="inlineStr">
        <is>
          <t>Phil Ernst</t>
        </is>
      </c>
      <c r="B30" s="4" t="inlineStr">
        <is>
          <t>Mike Engel</t>
        </is>
      </c>
      <c r="C30" s="8">
        <f>COUNTIFS('Recap'!$A$5:$A$233,$A30,'Recap'!$D$5:$D$233,"&gt;0")</f>
        <v/>
      </c>
      <c r="D30" s="8">
        <f>COUNTIFS('Recap'!$A$5:$A$233,$A30,'Recap'!$G$5:$G$233,"Qualified")</f>
        <v/>
      </c>
      <c r="E30" s="8">
        <f>COUNTIFS('Recap'!$A$5:$A$233,$A30,'Recap'!$G$5:$G$233,"90% Partial Amplify")</f>
        <v/>
      </c>
      <c r="F30" s="8">
        <f>SUMIFS('Recap'!$L$5:$L$233,'Recap'!$A$5:$A$233,$A30)</f>
        <v/>
      </c>
      <c r="G30" s="7">
        <f>SUMIFS('Recap'!$I$5:$I$233,'Recap'!$A$5:$A$233,$A30)</f>
        <v/>
      </c>
      <c r="H30" s="7">
        <f>SUMIFS('Recap'!$M$5:$M$233,'Recap'!$A$5:$A$233,$A30)</f>
        <v/>
      </c>
      <c r="I30" s="7">
        <f>$G30+$H30</f>
        <v/>
      </c>
    </row>
    <row r="31">
      <c r="A31" s="4" t="inlineStr">
        <is>
          <t>Robin Feldman</t>
        </is>
      </c>
      <c r="B31" s="4" t="inlineStr">
        <is>
          <t>Chris McCrohan</t>
        </is>
      </c>
      <c r="C31" s="8">
        <f>COUNTIFS('Recap'!$A$5:$A$233,$A31,'Recap'!$D$5:$D$233,"&gt;0")</f>
        <v/>
      </c>
      <c r="D31" s="8">
        <f>COUNTIFS('Recap'!$A$5:$A$233,$A31,'Recap'!$G$5:$G$233,"Qualified")</f>
        <v/>
      </c>
      <c r="E31" s="8">
        <f>COUNTIFS('Recap'!$A$5:$A$233,$A31,'Recap'!$G$5:$G$233,"90% Partial Amplify")</f>
        <v/>
      </c>
      <c r="F31" s="8">
        <f>SUMIFS('Recap'!$L$5:$L$233,'Recap'!$A$5:$A$233,$A31)</f>
        <v/>
      </c>
      <c r="G31" s="7">
        <f>SUMIFS('Recap'!$I$5:$I$233,'Recap'!$A$5:$A$233,$A31)</f>
        <v/>
      </c>
      <c r="H31" s="7">
        <f>SUMIFS('Recap'!$M$5:$M$233,'Recap'!$A$5:$A$233,$A31)</f>
        <v/>
      </c>
      <c r="I31" s="7">
        <f>$G31+$H31</f>
        <v/>
      </c>
    </row>
    <row r="32">
      <c r="A32" s="4" t="inlineStr">
        <is>
          <t>Shane Barreca</t>
        </is>
      </c>
      <c r="B32" s="4" t="inlineStr">
        <is>
          <t>Paul Deady</t>
        </is>
      </c>
      <c r="C32" s="8">
        <f>COUNTIFS('Recap'!$A$5:$A$233,$A32,'Recap'!$D$5:$D$233,"&gt;0")</f>
        <v/>
      </c>
      <c r="D32" s="8">
        <f>COUNTIFS('Recap'!$A$5:$A$233,$A32,'Recap'!$G$5:$G$233,"Qualified")</f>
        <v/>
      </c>
      <c r="E32" s="8">
        <f>COUNTIFS('Recap'!$A$5:$A$233,$A32,'Recap'!$G$5:$G$233,"90% Partial Amplify")</f>
        <v/>
      </c>
      <c r="F32" s="8">
        <f>SUMIFS('Recap'!$L$5:$L$233,'Recap'!$A$5:$A$233,$A32)</f>
        <v/>
      </c>
      <c r="G32" s="7">
        <f>SUMIFS('Recap'!$I$5:$I$233,'Recap'!$A$5:$A$233,$A32)</f>
        <v/>
      </c>
      <c r="H32" s="7">
        <f>SUMIFS('Recap'!$M$5:$M$233,'Recap'!$A$5:$A$233,$A32)</f>
        <v/>
      </c>
      <c r="I32" s="7">
        <f>$G32+$H32</f>
        <v/>
      </c>
    </row>
    <row r="33">
      <c r="A33" s="10" t="inlineStr">
        <is>
          <t>TOTAL</t>
        </is>
      </c>
      <c r="D33" s="12">
        <f>SUM(D5:D32)</f>
        <v/>
      </c>
      <c r="E33" s="12">
        <f>SUM(E5:E32)</f>
        <v/>
      </c>
      <c r="F33" s="12">
        <f>SUM(F5:F32)</f>
        <v/>
      </c>
      <c r="G33" s="11">
        <f>SUM(G5:G32)</f>
        <v/>
      </c>
      <c r="H33" s="11">
        <f>SUM(H5:H32)</f>
        <v/>
      </c>
      <c r="I33" s="11">
        <f>SUM(I5:I32)</f>
        <v/>
      </c>
    </row>
  </sheetData>
  <autoFilter ref="A4:I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2026-09-01T17:07:24Z</dcterms:created>
  <dcterms:modified xsi:type="dcterms:W3CDTF">2026-09-01T17:07:24Z</dcterms:modified>
</cp:coreProperties>
</file>