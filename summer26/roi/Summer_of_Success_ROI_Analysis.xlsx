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ssumptions" sheetId="2" state="visible" r:id="rId2"/>
    <sheet name="Acceleration Test" sheetId="3" state="visible" r:id="rId3"/>
    <sheet name="Counterfactual" sheetId="4" state="visible" r:id="rId4"/>
    <sheet name="Control by Supplier" sheetId="5" state="visible" r:id="rId5"/>
    <sheet name="GP Bridge" sheetId="6" state="visible" r:id="rId6"/>
    <sheet name="Brand Selection" sheetId="7" state="visible" r:id="rId7"/>
    <sheet name="Goal Design" sheetId="8" state="visible" r:id="rId8"/>
    <sheet name="Payout by Rep" sheetId="9" state="visible" r:id="rId9"/>
    <sheet name="Program Brands" sheetId="10" state="visible" r:id="rId10"/>
    <sheet name="Control Brands" sheetId="11" state="visible" r:id="rId11"/>
    <sheet name="Data - Season" sheetId="12" state="visible" r:id="rId12"/>
    <sheet name="Data - Pre" sheetId="13" state="visible" r:id="rId13"/>
    <sheet name="Data - Control" sheetId="14" state="visible" r:id="rId14"/>
  </sheets>
  <definedNames>
    <definedName name="_xlnm._FilterDatabase" localSheetId="6" hidden="1">'Brand Selection'!$A$4:$J$123</definedName>
    <definedName name="_xlnm._FilterDatabase" localSheetId="7" hidden="1">'Goal Design'!$A$4:$J$141</definedName>
    <definedName name="_xlnm._FilterDatabase" localSheetId="8" hidden="1">'Payout by Rep'!$A$4:$K$32</definedName>
    <definedName name="_xlnm._FilterDatabase" localSheetId="9" hidden="1">'Program Brands'!$A$5:$X$37</definedName>
    <definedName name="_xlnm._FilterDatabase" localSheetId="10" hidden="1">'Control Brands'!$A$4:$M$296</definedName>
    <definedName name="_xlnm._FilterDatabase" localSheetId="11" hidden="1">'Data - Season'!$A$4:$J$743</definedName>
    <definedName name="_xlnm._FilterDatabase" localSheetId="12" hidden="1">'Data - Pre'!$A$4:$J$750</definedName>
    <definedName name="_xlnm._FilterDatabase" localSheetId="13" hidden="1">'Data - Control'!$A$4:$H$296</definedName>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0.00);-"/>
    <numFmt numFmtId="167" formatCode="0.0%;(0.0%);-"/>
    <numFmt numFmtId="168" formatCode="+0.0&quot; pts&quot;;(0.0)&quot; pts&quot;;-"/>
    <numFmt numFmtId="169" formatCode="0.00&quot;x&quot;"/>
  </numFmts>
  <fonts count="22">
    <font>
      <name val="Calibri"/>
      <family val="2"/>
      <color theme="1"/>
      <sz val="11"/>
      <scheme val="minor"/>
    </font>
    <font>
      <name val="Arial"/>
      <b val="1"/>
      <color rgb="001F3864"/>
      <sz val="15"/>
    </font>
    <font>
      <name val="Arial"/>
      <color rgb="00595959"/>
      <sz val="9"/>
    </font>
    <font>
      <name val="Arial"/>
      <b val="1"/>
      <color rgb="00FFFFFF"/>
      <sz val="9"/>
    </font>
    <font>
      <name val="Arial"/>
      <color rgb="000000FF"/>
      <sz val="9"/>
    </font>
    <font>
      <name val="Arial"/>
      <b val="1"/>
      <color rgb="001F3864"/>
      <sz val="11"/>
    </font>
    <font>
      <name val="Arial"/>
      <sz val="10"/>
    </font>
    <font>
      <name val="Arial"/>
      <color rgb="000000FF"/>
      <sz val="10"/>
    </font>
    <font>
      <name val="Arial"/>
      <color rgb="00595959"/>
      <sz val="8"/>
    </font>
    <font>
      <name val="Arial"/>
      <b val="1"/>
      <sz val="10"/>
    </font>
    <font>
      <name val="Arial"/>
      <b val="1"/>
      <color rgb="00C00000"/>
      <sz val="11"/>
    </font>
    <font>
      <name val="Arial"/>
      <b val="1"/>
      <color rgb="001F3864"/>
      <sz val="9"/>
    </font>
    <font>
      <name val="Arial"/>
      <sz val="9"/>
    </font>
    <font>
      <name val="Arial"/>
      <b val="1"/>
      <sz val="9"/>
    </font>
    <font>
      <name val="Arial"/>
      <b val="1"/>
      <color rgb="00C00000"/>
      <sz val="10"/>
    </font>
    <font>
      <name val="Arial"/>
      <b val="1"/>
      <color rgb="001F3864"/>
      <sz val="12"/>
    </font>
    <font>
      <name val="Arial"/>
      <b val="1"/>
      <i val="1"/>
      <sz val="9"/>
    </font>
    <font>
      <name val="Arial"/>
      <b val="1"/>
      <color rgb="001F3864"/>
      <sz val="18"/>
    </font>
    <font>
      <name val="Arial"/>
      <b val="1"/>
      <color rgb="001F3864"/>
      <sz val="13"/>
    </font>
    <font>
      <name val="Arial"/>
      <b val="1"/>
      <color rgb="00156B2E"/>
      <sz val="12"/>
    </font>
    <font>
      <name val="Arial"/>
      <b val="1"/>
      <color rgb="00C00000"/>
      <sz val="12"/>
    </font>
    <font>
      <name val="Arial"/>
      <color rgb="00C00000"/>
      <sz val="9"/>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1">
    <xf numFmtId="0" fontId="0" fillId="0" borderId="0" pivotButton="0" quotePrefix="0" xfId="0"/>
    <xf numFmtId="0" fontId="17" fillId="0" borderId="0" pivotButton="0" quotePrefix="0" xfId="0"/>
    <xf numFmtId="0" fontId="2" fillId="0" borderId="0" pivotButton="0" quotePrefix="0" xfId="0"/>
    <xf numFmtId="0" fontId="18" fillId="0" borderId="0" pivotButton="0" quotePrefix="0" xfId="0"/>
    <xf numFmtId="0" fontId="10" fillId="0" borderId="0" applyAlignment="1" pivotButton="0" quotePrefix="0" xfId="0">
      <alignment vertical="top" wrapText="1"/>
    </xf>
    <xf numFmtId="0" fontId="15" fillId="0" borderId="0" pivotButton="0" quotePrefix="0" xfId="0"/>
    <xf numFmtId="0" fontId="3" fillId="2" borderId="0" applyAlignment="1" pivotButton="0" quotePrefix="0" xfId="0">
      <alignment horizontal="center" vertical="top" wrapText="1"/>
    </xf>
    <xf numFmtId="0" fontId="6" fillId="0" borderId="0" applyAlignment="1" pivotButton="0" quotePrefix="0" xfId="0">
      <alignment vertical="top" wrapText="1"/>
    </xf>
    <xf numFmtId="168" fontId="10" fillId="0" borderId="0" applyAlignment="1" pivotButton="0" quotePrefix="0" xfId="0">
      <alignment horizontal="center" vertical="top"/>
    </xf>
    <xf numFmtId="0" fontId="2" fillId="0" borderId="0" applyAlignment="1" pivotButton="0" quotePrefix="0" xfId="0">
      <alignment vertical="top" wrapText="1"/>
    </xf>
    <xf numFmtId="165" fontId="10" fillId="0" borderId="0" applyAlignment="1" pivotButton="0" quotePrefix="0" xfId="0">
      <alignment horizontal="center" vertical="top"/>
    </xf>
    <xf numFmtId="0" fontId="10" fillId="0" borderId="0" applyAlignment="1" pivotButton="0" quotePrefix="0" xfId="0">
      <alignment horizontal="center" vertical="top"/>
    </xf>
    <xf numFmtId="167" fontId="10" fillId="0" borderId="0" applyAlignment="1" pivotButton="0" quotePrefix="0" xfId="0">
      <alignment horizontal="center" vertical="top"/>
    </xf>
    <xf numFmtId="0" fontId="6" fillId="0" borderId="0" pivotButton="0" quotePrefix="0" xfId="0"/>
    <xf numFmtId="164" fontId="6" fillId="0" borderId="0" pivotButton="0" quotePrefix="0" xfId="0"/>
    <xf numFmtId="167" fontId="6" fillId="0" borderId="0" pivotButton="0" quotePrefix="0" xfId="0"/>
    <xf numFmtId="165" fontId="6" fillId="0" borderId="0" pivotButton="0" quotePrefix="0" xfId="0"/>
    <xf numFmtId="0" fontId="9" fillId="0" borderId="0" pivotButton="0" quotePrefix="0" xfId="0"/>
    <xf numFmtId="165" fontId="9" fillId="0" borderId="0" pivotButton="0" quotePrefix="0" xfId="0"/>
    <xf numFmtId="0" fontId="19" fillId="0" borderId="0" pivotButton="0" quotePrefix="0" xfId="0"/>
    <xf numFmtId="0" fontId="20" fillId="0" borderId="0" pivotButton="0" quotePrefix="0" xfId="0"/>
    <xf numFmtId="0" fontId="5" fillId="0" borderId="0" pivotButton="0" quotePrefix="0" xfId="0"/>
    <xf numFmtId="0" fontId="1" fillId="0" borderId="0" pivotButton="0" quotePrefix="0" xfId="0"/>
    <xf numFmtId="0" fontId="8" fillId="0" borderId="0" pivotButton="0" quotePrefix="0" xfId="0"/>
    <xf numFmtId="165" fontId="2" fillId="0" borderId="0" pivotButton="0" quotePrefix="0" xfId="0"/>
    <xf numFmtId="0" fontId="7" fillId="0" borderId="0" pivotButton="0" quotePrefix="0" xfId="0"/>
    <xf numFmtId="0" fontId="10" fillId="0" borderId="0" pivotButton="0" quotePrefix="0" xfId="0"/>
    <xf numFmtId="0" fontId="3" fillId="2" borderId="0" applyAlignment="1" pivotButton="0" quotePrefix="0" xfId="0">
      <alignment horizontal="center" vertical="top"/>
    </xf>
    <xf numFmtId="167" fontId="9" fillId="0" borderId="0" pivotButton="0" quotePrefix="0" xfId="0"/>
    <xf numFmtId="168" fontId="14" fillId="0" borderId="0" pivotButton="0" quotePrefix="0" xfId="0"/>
    <xf numFmtId="164" fontId="9" fillId="0" borderId="0" pivotButton="0" quotePrefix="0" xfId="0"/>
    <xf numFmtId="168" fontId="9" fillId="0" borderId="0" pivotButton="0" quotePrefix="0" xfId="0"/>
    <xf numFmtId="169" fontId="9" fillId="0" borderId="0" pivotButton="0" quotePrefix="0" xfId="0"/>
    <xf numFmtId="164" fontId="12" fillId="0" borderId="0" pivotButton="0" quotePrefix="0" xfId="0"/>
    <xf numFmtId="167" fontId="13" fillId="0" borderId="0" pivotButton="0" quotePrefix="0" xfId="0"/>
    <xf numFmtId="168" fontId="13" fillId="0" borderId="0" pivotButton="0" quotePrefix="0" xfId="0"/>
    <xf numFmtId="165" fontId="12" fillId="0" borderId="0" pivotButton="0" quotePrefix="0" xfId="0"/>
    <xf numFmtId="0" fontId="16" fillId="0" borderId="0" pivotButton="0" quotePrefix="0" xfId="0"/>
    <xf numFmtId="165" fontId="13" fillId="0" borderId="0" pivotButton="0" quotePrefix="0" xfId="0"/>
    <xf numFmtId="166" fontId="9" fillId="0" borderId="0" pivotButton="0" quotePrefix="0" xfId="0"/>
    <xf numFmtId="166" fontId="14" fillId="0" borderId="0" pivotButton="0" quotePrefix="0" xfId="0"/>
    <xf numFmtId="0" fontId="12" fillId="0" borderId="0" pivotButton="0" quotePrefix="0" xfId="0"/>
    <xf numFmtId="0" fontId="11" fillId="0" borderId="0" pivotButton="0" quotePrefix="0" xfId="0"/>
    <xf numFmtId="164" fontId="13" fillId="0" borderId="0" pivotButton="0" quotePrefix="0" xfId="0"/>
    <xf numFmtId="167" fontId="12" fillId="0" borderId="0" pivotButton="0" quotePrefix="0" xfId="0"/>
    <xf numFmtId="0" fontId="13" fillId="0" borderId="0" pivotButton="0" quotePrefix="0" xfId="0"/>
    <xf numFmtId="164" fontId="4" fillId="0" borderId="0" pivotButton="0" quotePrefix="0" xfId="0"/>
    <xf numFmtId="0" fontId="21" fillId="0" borderId="0" pivotButton="0" quotePrefix="0" xfId="0"/>
    <xf numFmtId="165" fontId="4" fillId="0" borderId="0" pivotButton="0" quotePrefix="0" xfId="0"/>
    <xf numFmtId="166" fontId="12"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G46"/>
  <sheetViews>
    <sheetView showGridLines="0" workbookViewId="0">
      <pane ySplit="8" topLeftCell="A9" activePane="bottomLeft" state="frozen"/>
      <selection pane="bottomLeft" activeCell="A1" sqref="A1"/>
    </sheetView>
  </sheetViews>
  <sheetFormatPr baseColWidth="8" defaultRowHeight="15"/>
  <cols>
    <col width="52" customWidth="1" min="1" max="1"/>
    <col width="17" customWidth="1" min="2" max="2"/>
    <col width="17" customWidth="1" min="3" max="3"/>
    <col width="17" customWidth="1" min="4" max="4"/>
    <col width="15" customWidth="1" min="5" max="5"/>
    <col width="15" customWidth="1" min="6" max="6"/>
    <col width="15" customWidth="1" min="7" max="7"/>
  </cols>
  <sheetData>
    <row r="1">
      <c r="A1" s="1" t="inlineStr">
        <is>
          <t>Summer of Success 2026 — did it work?</t>
        </is>
      </c>
    </row>
    <row r="2">
      <c r="A2" s="2" t="inlineStr">
        <is>
          <t>Jun 1 – Aug 31, 2026 vs 2025 · 28 reps · 10 suppliers · built 09/11/2026 from three RDE exports</t>
        </is>
      </c>
    </row>
    <row r="3"/>
    <row r="4">
      <c r="A4" s="3" t="inlineStr">
        <is>
          <t>THE VERDICT</t>
        </is>
      </c>
    </row>
    <row r="5" ht="20" customHeight="1">
      <c r="A5" s="4" t="inlineStr">
        <is>
          <t>The incentive did not generate measurable incremental volume or gross profit. It paid for a trend that was already running.</t>
        </is>
      </c>
    </row>
    <row r="6"/>
    <row r="7">
      <c r="A7" s="5" t="inlineStr">
        <is>
          <t>THE THREE TESTS</t>
        </is>
      </c>
    </row>
    <row r="8" ht="30" customHeight="1">
      <c r="A8" s="6" t="inlineStr">
        <is>
          <t>Test</t>
        </is>
      </c>
      <c r="B8" s="6" t="inlineStr">
        <is>
          <t>Result</t>
        </is>
      </c>
      <c r="C8" s="6" t="inlineStr">
        <is>
          <t>What it means</t>
        </is>
      </c>
      <c r="D8" s="6" t="inlineStr"/>
      <c r="E8" s="6" t="inlineStr"/>
      <c r="F8" s="6" t="inlineStr"/>
      <c r="G8" s="6" t="inlineStr"/>
    </row>
    <row r="9" ht="26" customHeight="1">
      <c r="A9" s="7" t="inlineStr">
        <is>
          <t>1. Did AMPLIFY growth accelerate when the program started?</t>
        </is>
      </c>
      <c r="B9" s="8">
        <f>'Acceleration Test'!H7</f>
        <v/>
      </c>
      <c r="C9" s="9" t="inlineStr">
        <is>
          <t>No. Already +12% before a dollar was offered.</t>
        </is>
      </c>
    </row>
    <row r="10" ht="26" customHeight="1">
      <c r="A10" s="7" t="inlineStr">
        <is>
          <t>1b. Did QUALIFIER volume accelerate?</t>
        </is>
      </c>
      <c r="B10" s="8">
        <f>'Acceleration Test'!H6</f>
        <v/>
      </c>
      <c r="C10" s="9" t="inlineStr">
        <is>
          <t>No — it slowed by nearly three points.</t>
        </is>
      </c>
    </row>
    <row r="11" ht="26" customHeight="1">
      <c r="A11" s="7" t="inlineStr">
        <is>
          <t>2. Amplify GP lift vs its own pre-program trajectory</t>
        </is>
      </c>
      <c r="B11" s="10">
        <f>'Counterfactual'!F12</f>
        <v/>
      </c>
      <c r="C11" s="9" t="inlineStr">
        <is>
          <t>Zero, against $26,746 of amplify payout.</t>
        </is>
      </c>
    </row>
    <row r="12" ht="26" customHeight="1">
      <c r="A12" s="7" t="inlineStr">
        <is>
          <t>3. Incented brands vs the same suppliers' non-incented brands</t>
        </is>
      </c>
      <c r="B12" s="8">
        <f>'Control by Supplier'!H13</f>
        <v/>
      </c>
      <c r="C12" s="9" t="inlineStr">
        <is>
          <t>The incented book LOST to the book with no incentive.</t>
        </is>
      </c>
    </row>
    <row r="13" ht="26" customHeight="1">
      <c r="A13" s="7" t="inlineStr">
        <is>
          <t>4. Rate (margin) gain per case — program vs control</t>
        </is>
      </c>
      <c r="B13" s="11">
        <f>'GP Bridge'!B17&amp;" vs "&amp;'GP Bridge'!C17</f>
        <v/>
      </c>
      <c r="C13" s="9" t="inlineStr">
        <is>
          <t>Margin rose house-wide; the incented book captured least.</t>
        </is>
      </c>
    </row>
    <row r="14"/>
    <row r="15" ht="26" customHeight="1">
      <c r="A15" s="7" t="inlineStr">
        <is>
          <t>5. Were the qualifier goals set above last year's volume?</t>
        </is>
      </c>
      <c r="B15" s="12">
        <f>'Goal Design'!$B$147</f>
        <v/>
      </c>
      <c r="C15" s="9" t="inlineStr">
        <is>
          <t>No — 9 in 10 sat BELOW the rep's own 2025.</t>
        </is>
      </c>
    </row>
    <row r="16">
      <c r="A16" s="5" t="inlineStr">
        <is>
          <t>THE NUMBERS</t>
        </is>
      </c>
    </row>
    <row r="17">
      <c r="A17" s="13" t="inlineStr">
        <is>
          <t>Program cases, Jun–Aug</t>
        </is>
      </c>
      <c r="B17" s="14">
        <f>'Acceleration Test'!F8</f>
        <v/>
      </c>
    </row>
    <row r="18">
      <c r="A18" s="13" t="inlineStr">
        <is>
          <t xml:space="preserve">   vs 2025</t>
        </is>
      </c>
      <c r="B18" s="15">
        <f>'Acceleration Test'!G8</f>
        <v/>
      </c>
    </row>
    <row r="19">
      <c r="A19" s="13" t="inlineStr">
        <is>
          <t>Program gross profit, Jun–Aug</t>
        </is>
      </c>
      <c r="B19" s="16">
        <f>'Acceleration Test'!F13</f>
        <v/>
      </c>
    </row>
    <row r="20">
      <c r="A20" s="13" t="inlineStr">
        <is>
          <t xml:space="preserve">   vs 2025</t>
        </is>
      </c>
      <c r="B20" s="15">
        <f>'Acceleration Test'!G13</f>
        <v/>
      </c>
    </row>
    <row r="21">
      <c r="A21" s="17" t="inlineStr">
        <is>
          <t>Gross profit lift vs pre-program trend</t>
        </is>
      </c>
      <c r="B21" s="18">
        <f>'Counterfactual'!F13</f>
        <v/>
      </c>
    </row>
    <row r="22">
      <c r="A22" s="17" t="inlineStr">
        <is>
          <t>Total payout</t>
        </is>
      </c>
      <c r="B22" s="18">
        <f>Assumptions!$B$7</f>
        <v/>
      </c>
    </row>
    <row r="23">
      <c r="A23" s="17" t="inlineStr">
        <is>
          <t>Net of payout</t>
        </is>
      </c>
      <c r="B23" s="18">
        <f>'Counterfactual'!F13-Assumptions!$B$7</f>
        <v/>
      </c>
    </row>
    <row r="24"/>
    <row r="25">
      <c r="A25" s="19" t="inlineStr">
        <is>
          <t>WHAT THE PROGRAM CAN HONESTLY CLAIM</t>
        </is>
      </c>
    </row>
    <row r="26">
      <c r="A26" s="2" t="inlineStr">
        <is>
          <t>Mark Anthony held. Incented White Claw and Cayman Jack fell 5.9% while the same supplier's non-incented brands fell 22.2% — a 16-point gap in the program's favour, the clearest evidence anywhere in this analysis that the incentive changed a rep's behaviour.</t>
        </is>
      </c>
    </row>
    <row r="27">
      <c r="A27" s="2" t="inlineStr">
        <is>
          <t>No volume was bought with discount. Revenue per case held on every growing amplify brand — Modelo Chelada, Pacifico, Victoria, Coors all flat or up. Whatever the program did, it did not do it by giving margin away.</t>
        </is>
      </c>
    </row>
    <row r="28">
      <c r="A28" s="2" t="inlineStr">
        <is>
          <t>Engagement was near-universal: 27 of 28 reps earned something, so the mechanics were understood and played.</t>
        </is>
      </c>
    </row>
    <row r="29"/>
    <row r="30">
      <c r="A30" s="5" t="inlineStr">
        <is>
          <t>THE FINDING THAT MATTERS FOR 2027</t>
        </is>
      </c>
    </row>
    <row r="31">
      <c r="A31" s="2" t="inlineStr">
        <is>
          <t>Brand selection decided the outcome — not payout size, not goal design, not rep effort.</t>
        </is>
      </c>
    </row>
    <row r="32">
      <c r="A32" s="2" t="inlineStr">
        <is>
          <t>Boston Beer: the program paid reps to push Twisted Tea (-7,585 cases) and Truly (-3,111), both in structural decline, while Sun Cruiser — no incentive attached — grew 13,728 cases and $237,182 of gross profit with the same reps in the same summer.</t>
        </is>
      </c>
    </row>
    <row r="33">
      <c r="A33" s="2" t="inlineStr">
        <is>
          <t>Where the program picked brands with momentum it held share. Where it picked declining brands it paid reps to fight the market. No payout structure fixes that.</t>
        </is>
      </c>
    </row>
    <row r="34">
      <c r="A34" s="2" t="inlineStr">
        <is>
          <t>Recommendation: for 2027, screen candidate brands on their own trailing trajectory before attaching a dollar. A brand already growing does not need the money; a brand in structural decline will not be saved by it. The spend belongs in between.</t>
        </is>
      </c>
    </row>
    <row r="35"/>
    <row r="36">
      <c r="A36" s="20" t="inlineStr">
        <is>
          <t>WHAT THIS ANALYSIS CANNOT TELL YOU</t>
        </is>
      </c>
    </row>
    <row r="37">
      <c r="A37" s="2" t="inlineStr">
        <is>
          <t>Whether the payout is Kohler's cost or the suppliers' — no Summer of Success line appears in the expense tracker. If billback, the finding becomes opportunity cost, not spend.</t>
        </is>
      </c>
    </row>
    <row r="38">
      <c r="A38" s="2" t="inlineStr">
        <is>
          <t>Whether amplify gains came from new points of distribution or deeper volume in existing accounts — no account or distribution counts in any of the three exports.</t>
        </is>
      </c>
    </row>
    <row r="39">
      <c r="A39" s="2" t="inlineStr">
        <is>
          <t>A formal difference-in-differences. Three of the four cells are here; a Jan–May pull of the control set would complete it.</t>
        </is>
      </c>
    </row>
    <row r="40">
      <c r="A40" s="2" t="inlineStr">
        <is>
          <t>Whether September gave any of it back. Amplify tracked its trend almost exactly, which argues against pull-forward, but one confirming pull would settle it.</t>
        </is>
      </c>
    </row>
    <row r="41"/>
    <row r="42"/>
    <row r="43">
      <c r="A43" s="21" t="inlineStr">
        <is>
          <t>Tab guide</t>
        </is>
      </c>
    </row>
    <row r="44">
      <c r="A44" s="2" t="inlineStr">
        <is>
          <t>Assumptions — payout, periods, open items.   Acceleration Test — test 1.   Counterfactual — test 2.   Control by Supplier — test 3.</t>
        </is>
      </c>
    </row>
    <row r="45">
      <c r="A45" s="2" t="inlineStr">
        <is>
          <t>GP Bridge — where the gross profit change came from.   Brand Selection — the Boston Beer finding.   Payout by Rep — who earned what against what they delivered.</t>
        </is>
      </c>
    </row>
    <row r="46">
      <c r="A46" s="2" t="inlineStr">
        <is>
          <t>Program Brands / Control Brands — brand-level engines.   Data - Season / Pre / Control — the three RDE exports, unmodified. Replace a Data tab and everything recalculates.</t>
        </is>
      </c>
    </row>
  </sheetData>
  <mergeCells count="7">
    <mergeCell ref="C12:G12"/>
    <mergeCell ref="C10:G10"/>
    <mergeCell ref="C15:G15"/>
    <mergeCell ref="C11:G11"/>
    <mergeCell ref="C13:G13"/>
    <mergeCell ref="C9:G9"/>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showGridLines="0" workbookViewId="0">
      <selection activeCell="A1" sqref="A1"/>
    </sheetView>
  </sheetViews>
  <sheetFormatPr baseColWidth="8" defaultRowHeight="15"/>
  <cols>
    <col width="46" customWidth="1" min="1" max="1"/>
    <col width="18" customWidth="1" min="2" max="2"/>
    <col width="16" customWidth="1" min="3" max="3"/>
    <col width="16" customWidth="1" min="4" max="4"/>
    <col width="16" customWidth="1" min="5" max="5"/>
  </cols>
  <sheetData>
    <row r="1">
      <c r="A1" s="22" t="inlineStr">
        <is>
          <t>Assumptions, constants and open items</t>
        </is>
      </c>
    </row>
    <row r="2">
      <c r="A2" s="2" t="inlineStr">
        <is>
          <t>Blue = typed in. Every other tab is formulas off these cells and the Data tabs.</t>
        </is>
      </c>
    </row>
    <row r="4">
      <c r="A4" s="21" t="inlineStr">
        <is>
          <t>Program cost</t>
        </is>
      </c>
    </row>
    <row r="5">
      <c r="A5" s="13" t="inlineStr">
        <is>
          <t>Tier payouts earned</t>
        </is>
      </c>
      <c r="B5" s="16">
        <f>'Payout by Rep'!B33</f>
        <v/>
      </c>
      <c r="C5" s="23" t="inlineStr">
        <is>
          <t>Recap model re-run on this export — see Payout by Rep</t>
        </is>
      </c>
    </row>
    <row r="6">
      <c r="A6" s="13" t="inlineStr">
        <is>
          <t>Amplify payouts earned</t>
        </is>
      </c>
      <c r="B6" s="16">
        <f>'Payout by Rep'!C33</f>
        <v/>
      </c>
      <c r="C6" s="23" t="inlineStr">
        <is>
          <t>Recap model re-run on this export — see Payout by Rep</t>
        </is>
      </c>
    </row>
    <row r="7">
      <c r="A7" s="17" t="inlineStr">
        <is>
          <t>Total payout</t>
        </is>
      </c>
      <c r="B7" s="18">
        <f>SUM(B5:B6)</f>
        <v/>
      </c>
    </row>
    <row r="8">
      <c r="A8" s="13" t="inlineStr">
        <is>
          <t>Reps earning &gt; $0  /  reps in program</t>
        </is>
      </c>
      <c r="B8" s="13">
        <f>COUNTIF('Payout by Rep'!$D$5:$D$32,"&gt;0")&amp;" of "&amp;28</f>
        <v/>
      </c>
    </row>
    <row r="9">
      <c r="A9" s="2" t="inlineStr">
        <is>
          <t>Variance vs Summer_of_Success_Recap.xlsx ($53,746)</t>
        </is>
      </c>
      <c r="B9" s="24">
        <f>B7-53746</f>
        <v/>
      </c>
      <c r="C9" s="23" t="inlineStr">
        <is>
          <t>One rep/supplier crossed a Tier 3 line on the fresher export; Amplify is identical.</t>
        </is>
      </c>
    </row>
    <row r="10">
      <c r="A10" s="21" t="inlineStr">
        <is>
          <t>Periods compared</t>
        </is>
      </c>
    </row>
    <row r="11">
      <c r="A11" s="13" t="inlineStr">
        <is>
          <t>Pre-program baseline</t>
        </is>
      </c>
      <c r="B11" s="25" t="inlineStr">
        <is>
          <t>Jan 1 – May 31, 2026 vs 2025</t>
        </is>
      </c>
    </row>
    <row r="12">
      <c r="A12" s="13" t="inlineStr">
        <is>
          <t>Program period</t>
        </is>
      </c>
      <c r="B12" s="25" t="inlineStr">
        <is>
          <t>Jun 1 – Aug 31, 2026 vs 2025</t>
        </is>
      </c>
    </row>
    <row r="13">
      <c r="A13" s="13" t="inlineStr">
        <is>
          <t>Control (same window)</t>
        </is>
      </c>
      <c r="B13" s="25" t="inlineStr">
        <is>
          <t>Jun 1 – Aug 31, brands NOT in Summer of Success</t>
        </is>
      </c>
    </row>
    <row r="14">
      <c r="A14" s="13" t="inlineStr">
        <is>
          <t>Data as of</t>
        </is>
      </c>
      <c r="B14" s="25" t="inlineStr">
        <is>
          <t>Snowflake sync 9/1/2026 — re-pull before anything is paid</t>
        </is>
      </c>
    </row>
    <row r="16">
      <c r="A16" s="21" t="inlineStr">
        <is>
          <t>Payout model rules (from Summer_of_Success_Recap.xlsx)</t>
        </is>
      </c>
    </row>
    <row r="17">
      <c r="A17" s="2" t="inlineStr">
        <is>
          <t>Qualifier — a rep clears a supplier at 100% of their own personal goal; the tier is then read off the route-volume grid.  Tier payouts: T1 $750 · T2 $500 · T3 $250.</t>
        </is>
      </c>
    </row>
    <row r="18">
      <c r="A18" s="2" t="inlineStr">
        <is>
          <t>Amplify — pays only on cases ABOVE each brand's goal, per brand, at $1/case ($2 for Fever Tree, Mike's Harder, MXD).  90%–99.99% of the qualifier goal earns half rate and no tier; below 90% earns nothing.</t>
        </is>
      </c>
    </row>
    <row r="21">
      <c r="A21" s="26" t="inlineStr">
        <is>
          <t>⚠ OPEN ITEMS — these change the cost side, not the lift finding</t>
        </is>
      </c>
    </row>
    <row r="22">
      <c r="A22" s="2" t="inlineStr">
        <is>
          <t>a) FUNDING — no Summer of Success line appears in supplier-budget/expenses.csv. If the suppliers billback the payout, Kohler's cost is near zero and the finding becomes opportunity cost rather than spend.</t>
        </is>
      </c>
    </row>
    <row r="23">
      <c r="A23" s="2" t="inlineStr">
        <is>
          <t>b) TIER BASIS — the deck writes thresholds as "+25,000 CE's". If "+" means GROWTH over 2025 rather than total 2026 CE, almost no one clears Tier 1 and the $27,000 tier line largely disappears.</t>
        </is>
      </c>
    </row>
    <row r="24">
      <c r="A24" s="2" t="inlineStr">
        <is>
          <t>c) PER REP vs HOUSE — summer26/README.txt describes the same grid as a company-wide aggregate. The recap applies it per rep, as instructed.</t>
        </is>
      </c>
    </row>
    <row r="25">
      <c r="A25" s="2" t="inlineStr">
        <is>
          <t>d) The control set is "brands not in SoS," so it contains non-incented brands from the SAME suppliers. That is what makes the Control by Supplier tab a within-supplier test.</t>
        </is>
      </c>
    </row>
    <row r="26">
      <c r="A26" s="2" t="inlineStr">
        <is>
          <t>e) NOT YET AVAILABLE — a Jan–May pull of the control set would complete a formal difference-in-differences. Three of the four cells are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3" customWidth="1" min="8" max="8"/>
  </cols>
  <sheetData>
    <row r="1">
      <c r="A1" s="22" t="inlineStr">
        <is>
          <t>Test 1 — did growth accelerate once the program started?</t>
        </is>
      </c>
    </row>
    <row r="2">
      <c r="A2" s="2" t="inlineStr">
        <is>
          <t>The core causal test. If the incentive worked, the Jun–Aug growth rate should exceed the Jan–May rate the same brands were already running.</t>
        </is>
      </c>
    </row>
    <row r="4" ht="30" customHeight="1">
      <c r="A4" s="6" t="inlineStr"/>
      <c r="B4" s="6" t="inlineStr">
        <is>
          <t>Jan–May 2025</t>
        </is>
      </c>
      <c r="C4" s="6" t="inlineStr">
        <is>
          <t>Jan–May 2026</t>
        </is>
      </c>
      <c r="D4" s="6" t="inlineStr">
        <is>
          <t>Jan–May %</t>
        </is>
      </c>
      <c r="E4" s="6" t="inlineStr">
        <is>
          <t>Jun–Aug 2025</t>
        </is>
      </c>
      <c r="F4" s="6" t="inlineStr">
        <is>
          <t>Jun–Aug 2026</t>
        </is>
      </c>
      <c r="G4" s="6" t="inlineStr">
        <is>
          <t>Jun–Aug %</t>
        </is>
      </c>
    </row>
    <row r="5">
      <c r="A5" s="21" t="inlineStr">
        <is>
          <t>CASE EQUIVALENTS</t>
        </is>
      </c>
      <c r="H5" s="27" t="inlineStr">
        <is>
          <t>Swing</t>
        </is>
      </c>
    </row>
    <row r="6">
      <c r="A6" s="13" t="inlineStr">
        <is>
          <t>Qualifier brands</t>
        </is>
      </c>
      <c r="B6" s="14">
        <f>SUMIFS('Program Brands'!$J$6:$J$37,'Program Brands'!$A$6:$A$37,"Qualifier")</f>
        <v/>
      </c>
      <c r="C6" s="14">
        <f>SUMIFS('Program Brands'!$K$6:$K$37,'Program Brands'!$A$6:$A$37,"Qualifier")</f>
        <v/>
      </c>
      <c r="D6" s="28">
        <f>IFERROR(C6/B6-1,"")</f>
        <v/>
      </c>
      <c r="E6" s="14">
        <f>SUMIFS('Program Brands'!$D$6:$D$37,'Program Brands'!$A$6:$A$37,"Qualifier")</f>
        <v/>
      </c>
      <c r="F6" s="14">
        <f>SUMIFS('Program Brands'!$E$6:$E$37,'Program Brands'!$A$6:$A$37,"Qualifier")</f>
        <v/>
      </c>
      <c r="G6" s="28">
        <f>IFERROR(F6/E6-1,"")</f>
        <v/>
      </c>
      <c r="H6" s="29">
        <f>IFERROR(G6-D6,"")</f>
        <v/>
      </c>
    </row>
    <row r="7">
      <c r="A7" s="13" t="inlineStr">
        <is>
          <t>Amplify brands</t>
        </is>
      </c>
      <c r="B7" s="14">
        <f>SUMIFS('Program Brands'!$J$6:$J$37,'Program Brands'!$A$6:$A$37,"Amplify")</f>
        <v/>
      </c>
      <c r="C7" s="14">
        <f>SUMIFS('Program Brands'!$K$6:$K$37,'Program Brands'!$A$6:$A$37,"Amplify")</f>
        <v/>
      </c>
      <c r="D7" s="28">
        <f>IFERROR(C7/B7-1,"")</f>
        <v/>
      </c>
      <c r="E7" s="14">
        <f>SUMIFS('Program Brands'!$D$6:$D$37,'Program Brands'!$A$6:$A$37,"Amplify")</f>
        <v/>
      </c>
      <c r="F7" s="14">
        <f>SUMIFS('Program Brands'!$E$6:$E$37,'Program Brands'!$A$6:$A$37,"Amplify")</f>
        <v/>
      </c>
      <c r="G7" s="28">
        <f>IFERROR(F7/E7-1,"")</f>
        <v/>
      </c>
      <c r="H7" s="29">
        <f>IFERROR(G7-D7,"")</f>
        <v/>
      </c>
    </row>
    <row r="8">
      <c r="A8" s="17" t="inlineStr">
        <is>
          <t>All program brands</t>
        </is>
      </c>
      <c r="B8" s="30">
        <f>SUM(B6:B7)</f>
        <v/>
      </c>
      <c r="C8" s="30">
        <f>SUM(C6:C7)</f>
        <v/>
      </c>
      <c r="D8" s="28">
        <f>IFERROR(C8/B8-1,"")</f>
        <v/>
      </c>
      <c r="E8" s="30">
        <f>SUM(E6:E7)</f>
        <v/>
      </c>
      <c r="F8" s="30">
        <f>SUM(F6:F7)</f>
        <v/>
      </c>
      <c r="G8" s="28">
        <f>IFERROR(F8/E8-1,"")</f>
        <v/>
      </c>
      <c r="H8" s="31">
        <f>IFERROR(G8-D8,"")</f>
        <v/>
      </c>
    </row>
    <row r="10">
      <c r="A10" s="21" t="inlineStr">
        <is>
          <t>GROSS PROFIT</t>
        </is>
      </c>
      <c r="H10" s="27" t="inlineStr">
        <is>
          <t>Swing</t>
        </is>
      </c>
    </row>
    <row r="11">
      <c r="A11" s="13" t="inlineStr">
        <is>
          <t>Qualifier brands</t>
        </is>
      </c>
      <c r="B11" s="16">
        <f>SUMIFS('Program Brands'!$L$6:$L$37,'Program Brands'!$A$6:$A$37,"Qualifier")</f>
        <v/>
      </c>
      <c r="C11" s="16">
        <f>SUMIFS('Program Brands'!$M$6:$M$37,'Program Brands'!$A$6:$A$37,"Qualifier")</f>
        <v/>
      </c>
      <c r="D11" s="28">
        <f>IFERROR(C11/B11-1,"")</f>
        <v/>
      </c>
      <c r="E11" s="16">
        <f>SUMIFS('Program Brands'!$H$6:$H$37,'Program Brands'!$A$6:$A$37,"Qualifier")</f>
        <v/>
      </c>
      <c r="F11" s="16">
        <f>SUMIFS('Program Brands'!$I$6:$I$37,'Program Brands'!$A$6:$A$37,"Qualifier")</f>
        <v/>
      </c>
      <c r="G11" s="28">
        <f>IFERROR(F11/E11-1,"")</f>
        <v/>
      </c>
      <c r="H11" s="31">
        <f>IFERROR(G11-D11,"")</f>
        <v/>
      </c>
    </row>
    <row r="12">
      <c r="A12" s="13" t="inlineStr">
        <is>
          <t>Amplify brands</t>
        </is>
      </c>
      <c r="B12" s="16">
        <f>SUMIFS('Program Brands'!$L$6:$L$37,'Program Brands'!$A$6:$A$37,"Amplify")</f>
        <v/>
      </c>
      <c r="C12" s="16">
        <f>SUMIFS('Program Brands'!$M$6:$M$37,'Program Brands'!$A$6:$A$37,"Amplify")</f>
        <v/>
      </c>
      <c r="D12" s="28">
        <f>IFERROR(C12/B12-1,"")</f>
        <v/>
      </c>
      <c r="E12" s="16">
        <f>SUMIFS('Program Brands'!$H$6:$H$37,'Program Brands'!$A$6:$A$37,"Amplify")</f>
        <v/>
      </c>
      <c r="F12" s="16">
        <f>SUMIFS('Program Brands'!$I$6:$I$37,'Program Brands'!$A$6:$A$37,"Amplify")</f>
        <v/>
      </c>
      <c r="G12" s="28">
        <f>IFERROR(F12/E12-1,"")</f>
        <v/>
      </c>
      <c r="H12" s="31">
        <f>IFERROR(G12-D12,"")</f>
        <v/>
      </c>
    </row>
    <row r="13">
      <c r="A13" s="17" t="inlineStr">
        <is>
          <t>All program brands</t>
        </is>
      </c>
      <c r="B13" s="18">
        <f>SUM(B11:B12)</f>
        <v/>
      </c>
      <c r="C13" s="18">
        <f>SUM(C11:C12)</f>
        <v/>
      </c>
      <c r="D13" s="28">
        <f>IFERROR(C13/B13-1,"")</f>
        <v/>
      </c>
      <c r="E13" s="18">
        <f>SUM(E11:E12)</f>
        <v/>
      </c>
      <c r="F13" s="18">
        <f>SUM(F11:F12)</f>
        <v/>
      </c>
      <c r="G13" s="28">
        <f>IFERROR(F13/E13-1,"")</f>
        <v/>
      </c>
      <c r="H13" s="31">
        <f>IFERROR(G13-D13,"")</f>
        <v/>
      </c>
    </row>
    <row r="15">
      <c r="A15" s="21" t="inlineStr">
        <is>
          <t>How to read this</t>
        </is>
      </c>
    </row>
    <row r="16">
      <c r="A16" s="2" t="inlineStr">
        <is>
          <t>The Swing column is the whole test: Jun–Aug growth rate minus Jan–May growth rate. A positive swing is the signature of an incentive that changed behaviour.</t>
        </is>
      </c>
    </row>
    <row r="17">
      <c r="A17" s="2" t="inlineStr">
        <is>
          <t>Amplify brands entered the summer already growing double digits and did not speed up. Qualifier volume slowed by nearly three points once the program started.</t>
        </is>
      </c>
    </row>
    <row r="18">
      <c r="A18" s="2" t="inlineStr">
        <is>
          <t>Caveat, stated plainly: Jan–May and Jun–Aug are different seasons. Beer is seasonal, so this compares each period against its OWN prior year, which removes seasonality from the growth rates being compared. What it cannot remove is a change in the market between the two windows — that is what the Control tab is for.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17" customWidth="1" min="4" max="4"/>
    <col width="17" customWidth="1" min="5" max="5"/>
    <col width="17" customWidth="1" min="6" max="6"/>
  </cols>
  <sheetData>
    <row r="1">
      <c r="A1" s="22" t="inlineStr">
        <is>
          <t>Test 2 — measured lift against the pre-program trajectory</t>
        </is>
      </c>
    </row>
    <row r="2">
      <c r="A2" s="2" t="inlineStr">
        <is>
          <t>Applies each segment's Jan–May growth rate to its Jun–Aug 2025 base. The gap between that and what actually happened is the lift the program can claim.</t>
        </is>
      </c>
    </row>
    <row r="4" ht="30" customHeight="1">
      <c r="A4" s="6" t="inlineStr"/>
      <c r="B4" s="6" t="inlineStr">
        <is>
          <t>Jan–May run rate</t>
        </is>
      </c>
      <c r="C4" s="6" t="inlineStr">
        <is>
          <t>Jun–Aug 2025 base</t>
        </is>
      </c>
      <c r="D4" s="6" t="inlineStr">
        <is>
          <t>Expected Jun–Aug</t>
        </is>
      </c>
      <c r="E4" s="6" t="inlineStr">
        <is>
          <t>Actual Jun–Aug</t>
        </is>
      </c>
      <c r="F4" s="6" t="inlineStr">
        <is>
          <t>Lift vs trend</t>
        </is>
      </c>
    </row>
    <row r="5">
      <c r="A5" s="21" t="inlineStr">
        <is>
          <t>CASE EQUIVALENTS</t>
        </is>
      </c>
    </row>
    <row r="6">
      <c r="A6" s="13" t="inlineStr">
        <is>
          <t>Qualifier brands</t>
        </is>
      </c>
      <c r="B6" s="15">
        <f>'Acceleration Test'!D6</f>
        <v/>
      </c>
      <c r="C6" s="14">
        <f>'Acceleration Test'!E6</f>
        <v/>
      </c>
      <c r="D6" s="14">
        <f>C6*(1+B6)</f>
        <v/>
      </c>
      <c r="E6" s="14">
        <f>'Acceleration Test'!F6</f>
        <v/>
      </c>
      <c r="F6" s="30">
        <f>E6-D6</f>
        <v/>
      </c>
    </row>
    <row r="7">
      <c r="A7" s="13" t="inlineStr">
        <is>
          <t>Amplify brands</t>
        </is>
      </c>
      <c r="B7" s="15">
        <f>'Acceleration Test'!D7</f>
        <v/>
      </c>
      <c r="C7" s="14">
        <f>'Acceleration Test'!E7</f>
        <v/>
      </c>
      <c r="D7" s="14">
        <f>C7*(1+B7)</f>
        <v/>
      </c>
      <c r="E7" s="14">
        <f>'Acceleration Test'!F7</f>
        <v/>
      </c>
      <c r="F7" s="30">
        <f>E7-D7</f>
        <v/>
      </c>
    </row>
    <row r="8">
      <c r="A8" s="17" t="inlineStr">
        <is>
          <t>TOTAL</t>
        </is>
      </c>
      <c r="C8" s="30">
        <f>SUM(C6:C7)</f>
        <v/>
      </c>
      <c r="D8" s="30">
        <f>SUM(D6:D7)</f>
        <v/>
      </c>
      <c r="E8" s="30">
        <f>SUM(E6:E7)</f>
        <v/>
      </c>
      <c r="F8" s="30">
        <f>SUM(F6:F7)</f>
        <v/>
      </c>
    </row>
    <row r="10">
      <c r="A10" s="21" t="inlineStr">
        <is>
          <t>GROSS PROFIT</t>
        </is>
      </c>
    </row>
    <row r="11">
      <c r="A11" s="13" t="inlineStr">
        <is>
          <t>Qualifier brands</t>
        </is>
      </c>
      <c r="B11" s="15">
        <f>'Acceleration Test'!D11</f>
        <v/>
      </c>
      <c r="C11" s="16">
        <f>'Acceleration Test'!E11</f>
        <v/>
      </c>
      <c r="D11" s="16">
        <f>C11*(1+B11)</f>
        <v/>
      </c>
      <c r="E11" s="16">
        <f>'Acceleration Test'!F11</f>
        <v/>
      </c>
      <c r="F11" s="18">
        <f>E11-D11</f>
        <v/>
      </c>
    </row>
    <row r="12">
      <c r="A12" s="13" t="inlineStr">
        <is>
          <t>Amplify brands</t>
        </is>
      </c>
      <c r="B12" s="15">
        <f>'Acceleration Test'!D12</f>
        <v/>
      </c>
      <c r="C12" s="16">
        <f>'Acceleration Test'!E12</f>
        <v/>
      </c>
      <c r="D12" s="16">
        <f>C12*(1+B12)</f>
        <v/>
      </c>
      <c r="E12" s="16">
        <f>'Acceleration Test'!F12</f>
        <v/>
      </c>
      <c r="F12" s="18">
        <f>E12-D12</f>
        <v/>
      </c>
    </row>
    <row r="13">
      <c r="A13" s="17" t="inlineStr">
        <is>
          <t>TOTAL</t>
        </is>
      </c>
      <c r="C13" s="18">
        <f>SUM(C11:C12)</f>
        <v/>
      </c>
      <c r="D13" s="18">
        <f>SUM(D11:D12)</f>
        <v/>
      </c>
      <c r="E13" s="18">
        <f>SUM(E11:E12)</f>
        <v/>
      </c>
      <c r="F13" s="18">
        <f>SUM(F11:F12)</f>
        <v/>
      </c>
    </row>
    <row r="15">
      <c r="A15" s="5" t="inlineStr">
        <is>
          <t>THE BOTTOM LINE</t>
        </is>
      </c>
    </row>
    <row r="16">
      <c r="A16" s="17" t="inlineStr">
        <is>
          <t>Gross profit lift vs pre-program trend</t>
        </is>
      </c>
      <c r="B16" s="18">
        <f>F13</f>
        <v/>
      </c>
    </row>
    <row r="17">
      <c r="A17" s="13" t="inlineStr">
        <is>
          <t>Case lift vs pre-program trend</t>
        </is>
      </c>
      <c r="B17" s="14">
        <f>F8</f>
        <v/>
      </c>
    </row>
    <row r="18">
      <c r="A18" s="13" t="inlineStr">
        <is>
          <t>Amplify GP lift alone (the segment the payout targets)</t>
        </is>
      </c>
      <c r="B18" s="16">
        <f>F12</f>
        <v/>
      </c>
    </row>
    <row r="19">
      <c r="A19" s="13" t="inlineStr">
        <is>
          <t>Total payout</t>
        </is>
      </c>
      <c r="B19" s="16">
        <f>Assumptions!$B$7</f>
        <v/>
      </c>
    </row>
    <row r="20">
      <c r="A20" s="17" t="inlineStr">
        <is>
          <t>Net of payout</t>
        </is>
      </c>
      <c r="B20" s="18">
        <f>F13-Assumptions!$B$7</f>
        <v/>
      </c>
    </row>
    <row r="21">
      <c r="A21" s="17" t="inlineStr">
        <is>
          <t>Return per payout dollar</t>
        </is>
      </c>
      <c r="B21" s="32">
        <f>IFERROR(F13/Assumptions!$B$7,"")</f>
        <v/>
      </c>
    </row>
    <row r="23">
      <c r="A23" s="2" t="inlineStr">
        <is>
          <t>Read the Amplify line first — it is the cleanest number in the whole analysis. Amplify is the segment the per-case payout actually targets, and it landed within a rounding error of the trajectory it was already on.</t>
        </is>
      </c>
    </row>
    <row r="24">
      <c r="A24" s="2" t="inlineStr">
        <is>
          <t>The Qualifier GP line reads positive, but the GP Bridge and Control tabs show why that is not program lift: it is a house-wide margin expansion that the non-incented book captured far more of, per case, than the incented book did.</t>
        </is>
      </c>
    </row>
    <row r="25">
      <c r="A25" s="2" t="inlineStr">
        <is>
          <t>A trend extrapolation is not a controlled experiment. It assumes the Jan–May trajectory would have continued absent the program. The Control tab tests that assumption against brands that got no incentive at all.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4" customWidth="1" min="3" max="3"/>
    <col width="12" customWidth="1" min="4" max="4"/>
    <col width="15" customWidth="1" min="5" max="5"/>
    <col width="15" customWidth="1" min="6" max="6"/>
    <col width="13" customWidth="1" min="7" max="7"/>
    <col width="11" customWidth="1" min="8" max="8"/>
    <col width="14" customWidth="1" min="9" max="9"/>
    <col width="15" customWidth="1" min="10" max="10"/>
  </cols>
  <sheetData>
    <row r="1">
      <c r="A1" s="22" t="inlineStr">
        <is>
          <t>Test 3 — incented brands vs the SAME supplier's non-incented brands</t>
        </is>
      </c>
    </row>
    <row r="2">
      <c r="A2" s="2" t="inlineStr">
        <is>
          <t>Jun–Aug, same reps, same window, same pricing environment. The tightest control the data allows: the only difference between the two columns is whether a payout was attached.</t>
        </is>
      </c>
    </row>
    <row r="4" ht="30" customHeight="1">
      <c r="A4" s="6" t="inlineStr">
        <is>
          <t>Supplier</t>
        </is>
      </c>
      <c r="B4" s="6" t="inlineStr">
        <is>
          <t>Incented CE 2025</t>
        </is>
      </c>
      <c r="C4" s="6" t="inlineStr">
        <is>
          <t>Incented CE 2026</t>
        </is>
      </c>
      <c r="D4" s="6" t="inlineStr">
        <is>
          <t>Incented %</t>
        </is>
      </c>
      <c r="E4" s="6" t="inlineStr">
        <is>
          <t>Not incented CE 2025</t>
        </is>
      </c>
      <c r="F4" s="6" t="inlineStr">
        <is>
          <t>Not incented CE 2026</t>
        </is>
      </c>
      <c r="G4" s="6" t="inlineStr">
        <is>
          <t>Not incented %</t>
        </is>
      </c>
      <c r="H4" s="6" t="inlineStr">
        <is>
          <t>Gap (pts)</t>
        </is>
      </c>
      <c r="I4" s="6" t="inlineStr">
        <is>
          <t>Incented GP Δ</t>
        </is>
      </c>
      <c r="J4" s="6" t="inlineStr">
        <is>
          <t>Not incented GP Δ</t>
        </is>
      </c>
    </row>
    <row r="5">
      <c r="A5" s="13" t="inlineStr">
        <is>
          <t>Bell's</t>
        </is>
      </c>
      <c r="B5" s="33">
        <f>SUMIFS('Program Brands'!$D$6:$D$37,'Program Brands'!$B$6:$B$37,$A5)</f>
        <v/>
      </c>
      <c r="C5" s="33">
        <f>SUMIFS('Program Brands'!$E$6:$E$37,'Program Brands'!$B$6:$B$37,$A5)</f>
        <v/>
      </c>
      <c r="D5" s="34">
        <f>IFERROR(C5/B5-1,"")</f>
        <v/>
      </c>
      <c r="E5" s="33">
        <f>SUMIFS('Control Brands'!$C$5:$C$296,'Control Brands'!$A$5:$A$296,$A5)</f>
        <v/>
      </c>
      <c r="F5" s="33">
        <f>SUMIFS('Control Brands'!$D$5:$D$296,'Control Brands'!$A$5:$A$296,$A5)</f>
        <v/>
      </c>
      <c r="G5" s="34">
        <f>IFERROR(F5/E5-1,"")</f>
        <v/>
      </c>
      <c r="H5" s="35">
        <f>IFERROR(D5-G5,"")</f>
        <v/>
      </c>
      <c r="I5" s="36">
        <f>SUMIFS('Program Brands'!$I$6:$I$37,'Program Brands'!$B$6:$B$37,$A5)-SUMIFS('Program Brands'!$H$6:$H$37,'Program Brands'!$B$6:$B$37,$A5)</f>
        <v/>
      </c>
      <c r="J5" s="36">
        <f>SUMIFS('Control Brands'!$H$5:$H$296,'Control Brands'!$A$5:$A$296,$A5)-SUMIFS('Control Brands'!$G$5:$G$296,'Control Brands'!$A$5:$A$296,$A5)</f>
        <v/>
      </c>
    </row>
    <row r="6">
      <c r="A6" s="13" t="inlineStr">
        <is>
          <t>Boston Beer Company</t>
        </is>
      </c>
      <c r="B6" s="33">
        <f>SUMIFS('Program Brands'!$D$6:$D$37,'Program Brands'!$B$6:$B$37,$A6)</f>
        <v/>
      </c>
      <c r="C6" s="33">
        <f>SUMIFS('Program Brands'!$E$6:$E$37,'Program Brands'!$B$6:$B$37,$A6)</f>
        <v/>
      </c>
      <c r="D6" s="34">
        <f>IFERROR(C6/B6-1,"")</f>
        <v/>
      </c>
      <c r="E6" s="33">
        <f>SUMIFS('Control Brands'!$C$5:$C$296,'Control Brands'!$A$5:$A$296,$A6)</f>
        <v/>
      </c>
      <c r="F6" s="33">
        <f>SUMIFS('Control Brands'!$D$5:$D$296,'Control Brands'!$A$5:$A$296,$A6)</f>
        <v/>
      </c>
      <c r="G6" s="34">
        <f>IFERROR(F6/E6-1,"")</f>
        <v/>
      </c>
      <c r="H6" s="35">
        <f>IFERROR(D6-G6,"")</f>
        <v/>
      </c>
      <c r="I6" s="36">
        <f>SUMIFS('Program Brands'!$I$6:$I$37,'Program Brands'!$B$6:$B$37,$A6)-SUMIFS('Program Brands'!$H$6:$H$37,'Program Brands'!$B$6:$B$37,$A6)</f>
        <v/>
      </c>
      <c r="J6" s="36">
        <f>SUMIFS('Control Brands'!$H$5:$H$296,'Control Brands'!$A$5:$A$296,$A6)-SUMIFS('Control Brands'!$G$5:$G$296,'Control Brands'!$A$5:$A$296,$A6)</f>
        <v/>
      </c>
    </row>
    <row r="7">
      <c r="A7" s="13" t="inlineStr">
        <is>
          <t>Constellation Brands</t>
        </is>
      </c>
      <c r="B7" s="33">
        <f>SUMIFS('Program Brands'!$D$6:$D$37,'Program Brands'!$B$6:$B$37,$A7)</f>
        <v/>
      </c>
      <c r="C7" s="33">
        <f>SUMIFS('Program Brands'!$E$6:$E$37,'Program Brands'!$B$6:$B$37,$A7)</f>
        <v/>
      </c>
      <c r="D7" s="34">
        <f>IFERROR(C7/B7-1,"")</f>
        <v/>
      </c>
      <c r="E7" s="33">
        <f>SUMIFS('Control Brands'!$C$5:$C$296,'Control Brands'!$A$5:$A$296,$A7)</f>
        <v/>
      </c>
      <c r="F7" s="33">
        <f>SUMIFS('Control Brands'!$D$5:$D$296,'Control Brands'!$A$5:$A$296,$A7)</f>
        <v/>
      </c>
      <c r="G7" s="34">
        <f>IFERROR(F7/E7-1,"")</f>
        <v/>
      </c>
      <c r="H7" s="35">
        <f>IFERROR(D7-G7,"")</f>
        <v/>
      </c>
      <c r="I7" s="36">
        <f>SUMIFS('Program Brands'!$I$6:$I$37,'Program Brands'!$B$6:$B$37,$A7)-SUMIFS('Program Brands'!$H$6:$H$37,'Program Brands'!$B$6:$B$37,$A7)</f>
        <v/>
      </c>
      <c r="J7" s="36">
        <f>SUMIFS('Control Brands'!$H$5:$H$296,'Control Brands'!$A$5:$A$296,$A7)-SUMIFS('Control Brands'!$G$5:$G$296,'Control Brands'!$A$5:$A$296,$A7)</f>
        <v/>
      </c>
    </row>
    <row r="8">
      <c r="A8" s="13" t="inlineStr">
        <is>
          <t>DG Yuengling Inc</t>
        </is>
      </c>
      <c r="B8" s="33">
        <f>SUMIFS('Program Brands'!$D$6:$D$37,'Program Brands'!$B$6:$B$37,$A8)</f>
        <v/>
      </c>
      <c r="C8" s="33">
        <f>SUMIFS('Program Brands'!$E$6:$E$37,'Program Brands'!$B$6:$B$37,$A8)</f>
        <v/>
      </c>
      <c r="D8" s="34">
        <f>IFERROR(C8/B8-1,"")</f>
        <v/>
      </c>
      <c r="E8" s="33">
        <f>SUMIFS('Control Brands'!$C$5:$C$296,'Control Brands'!$A$5:$A$296,$A8)</f>
        <v/>
      </c>
      <c r="F8" s="33">
        <f>SUMIFS('Control Brands'!$D$5:$D$296,'Control Brands'!$A$5:$A$296,$A8)</f>
        <v/>
      </c>
      <c r="G8" s="34">
        <f>IFERROR(F8/E8-1,"")</f>
        <v/>
      </c>
      <c r="H8" s="35">
        <f>IFERROR(D8-G8,"")</f>
        <v/>
      </c>
      <c r="I8" s="36">
        <f>SUMIFS('Program Brands'!$I$6:$I$37,'Program Brands'!$B$6:$B$37,$A8)-SUMIFS('Program Brands'!$H$6:$H$37,'Program Brands'!$B$6:$B$37,$A8)</f>
        <v/>
      </c>
      <c r="J8" s="36">
        <f>SUMIFS('Control Brands'!$H$5:$H$296,'Control Brands'!$A$5:$A$296,$A8)-SUMIFS('Control Brands'!$G$5:$G$296,'Control Brands'!$A$5:$A$296,$A8)</f>
        <v/>
      </c>
    </row>
    <row r="9">
      <c r="A9" s="13" t="inlineStr">
        <is>
          <t>Heineken USA</t>
        </is>
      </c>
      <c r="B9" s="33">
        <f>SUMIFS('Program Brands'!$D$6:$D$37,'Program Brands'!$B$6:$B$37,$A9)</f>
        <v/>
      </c>
      <c r="C9" s="33">
        <f>SUMIFS('Program Brands'!$E$6:$E$37,'Program Brands'!$B$6:$B$37,$A9)</f>
        <v/>
      </c>
      <c r="D9" s="34">
        <f>IFERROR(C9/B9-1,"")</f>
        <v/>
      </c>
      <c r="E9" s="33">
        <f>SUMIFS('Control Brands'!$C$5:$C$296,'Control Brands'!$A$5:$A$296,$A9)</f>
        <v/>
      </c>
      <c r="F9" s="33">
        <f>SUMIFS('Control Brands'!$D$5:$D$296,'Control Brands'!$A$5:$A$296,$A9)</f>
        <v/>
      </c>
      <c r="G9" s="34">
        <f>IFERROR(F9/E9-1,"")</f>
        <v/>
      </c>
      <c r="H9" s="35">
        <f>IFERROR(D9-G9,"")</f>
        <v/>
      </c>
      <c r="I9" s="36">
        <f>SUMIFS('Program Brands'!$I$6:$I$37,'Program Brands'!$B$6:$B$37,$A9)-SUMIFS('Program Brands'!$H$6:$H$37,'Program Brands'!$B$6:$B$37,$A9)</f>
        <v/>
      </c>
      <c r="J9" s="36">
        <f>SUMIFS('Control Brands'!$H$5:$H$296,'Control Brands'!$A$5:$A$296,$A9)-SUMIFS('Control Brands'!$G$5:$G$296,'Control Brands'!$A$5:$A$296,$A9)</f>
        <v/>
      </c>
    </row>
    <row r="10">
      <c r="A10" s="13" t="inlineStr">
        <is>
          <t>Mark Anthony</t>
        </is>
      </c>
      <c r="B10" s="33">
        <f>SUMIFS('Program Brands'!$D$6:$D$37,'Program Brands'!$B$6:$B$37,$A10)</f>
        <v/>
      </c>
      <c r="C10" s="33">
        <f>SUMIFS('Program Brands'!$E$6:$E$37,'Program Brands'!$B$6:$B$37,$A10)</f>
        <v/>
      </c>
      <c r="D10" s="34">
        <f>IFERROR(C10/B10-1,"")</f>
        <v/>
      </c>
      <c r="E10" s="33">
        <f>SUMIFS('Control Brands'!$C$5:$C$296,'Control Brands'!$A$5:$A$296,$A10)</f>
        <v/>
      </c>
      <c r="F10" s="33">
        <f>SUMIFS('Control Brands'!$D$5:$D$296,'Control Brands'!$A$5:$A$296,$A10)</f>
        <v/>
      </c>
      <c r="G10" s="34">
        <f>IFERROR(F10/E10-1,"")</f>
        <v/>
      </c>
      <c r="H10" s="35">
        <f>IFERROR(D10-G10,"")</f>
        <v/>
      </c>
      <c r="I10" s="36">
        <f>SUMIFS('Program Brands'!$I$6:$I$37,'Program Brands'!$B$6:$B$37,$A10)-SUMIFS('Program Brands'!$H$6:$H$37,'Program Brands'!$B$6:$B$37,$A10)</f>
        <v/>
      </c>
      <c r="J10" s="36">
        <f>SUMIFS('Control Brands'!$H$5:$H$296,'Control Brands'!$A$5:$A$296,$A10)-SUMIFS('Control Brands'!$G$5:$G$296,'Control Brands'!$A$5:$A$296,$A10)</f>
        <v/>
      </c>
    </row>
    <row r="11">
      <c r="A11" s="13" t="inlineStr">
        <is>
          <t>MolsonCoors Beverage Company</t>
        </is>
      </c>
      <c r="B11" s="33">
        <f>SUMIFS('Program Brands'!$D$6:$D$37,'Program Brands'!$B$6:$B$37,$A11)</f>
        <v/>
      </c>
      <c r="C11" s="33">
        <f>SUMIFS('Program Brands'!$E$6:$E$37,'Program Brands'!$B$6:$B$37,$A11)</f>
        <v/>
      </c>
      <c r="D11" s="34">
        <f>IFERROR(C11/B11-1,"")</f>
        <v/>
      </c>
      <c r="E11" s="33">
        <f>SUMIFS('Control Brands'!$C$5:$C$296,'Control Brands'!$A$5:$A$296,$A11)</f>
        <v/>
      </c>
      <c r="F11" s="33">
        <f>SUMIFS('Control Brands'!$D$5:$D$296,'Control Brands'!$A$5:$A$296,$A11)</f>
        <v/>
      </c>
      <c r="G11" s="34">
        <f>IFERROR(F11/E11-1,"")</f>
        <v/>
      </c>
      <c r="H11" s="35">
        <f>IFERROR(D11-G11,"")</f>
        <v/>
      </c>
      <c r="I11" s="36">
        <f>SUMIFS('Program Brands'!$I$6:$I$37,'Program Brands'!$B$6:$B$37,$A11)-SUMIFS('Program Brands'!$H$6:$H$37,'Program Brands'!$B$6:$B$37,$A11)</f>
        <v/>
      </c>
      <c r="J11" s="36">
        <f>SUMIFS('Control Brands'!$H$5:$H$296,'Control Brands'!$A$5:$A$296,$A11)-SUMIFS('Control Brands'!$G$5:$G$296,'Control Brands'!$A$5:$A$296,$A11)</f>
        <v/>
      </c>
    </row>
    <row r="12">
      <c r="A12" s="13" t="inlineStr">
        <is>
          <t>New Belgium Brewing Company</t>
        </is>
      </c>
      <c r="B12" s="33">
        <f>SUMIFS('Program Brands'!$D$6:$D$37,'Program Brands'!$B$6:$B$37,$A12)</f>
        <v/>
      </c>
      <c r="C12" s="33">
        <f>SUMIFS('Program Brands'!$E$6:$E$37,'Program Brands'!$B$6:$B$37,$A12)</f>
        <v/>
      </c>
      <c r="D12" s="34">
        <f>IFERROR(C12/B12-1,"")</f>
        <v/>
      </c>
      <c r="E12" s="33">
        <f>SUMIFS('Control Brands'!$C$5:$C$296,'Control Brands'!$A$5:$A$296,$A12)</f>
        <v/>
      </c>
      <c r="F12" s="33">
        <f>SUMIFS('Control Brands'!$D$5:$D$296,'Control Brands'!$A$5:$A$296,$A12)</f>
        <v/>
      </c>
      <c r="G12" s="34">
        <f>IFERROR(F12/E12-1,"")</f>
        <v/>
      </c>
      <c r="H12" s="35">
        <f>IFERROR(D12-G12,"")</f>
        <v/>
      </c>
      <c r="I12" s="36">
        <f>SUMIFS('Program Brands'!$I$6:$I$37,'Program Brands'!$B$6:$B$37,$A12)-SUMIFS('Program Brands'!$H$6:$H$37,'Program Brands'!$B$6:$B$37,$A12)</f>
        <v/>
      </c>
      <c r="J12" s="36">
        <f>SUMIFS('Control Brands'!$H$5:$H$296,'Control Brands'!$A$5:$A$296,$A12)-SUMIFS('Control Brands'!$G$5:$G$296,'Control Brands'!$A$5:$A$296,$A12)</f>
        <v/>
      </c>
    </row>
    <row r="13">
      <c r="A13" s="17" t="inlineStr">
        <is>
          <t>WEIGHTED TOTAL</t>
        </is>
      </c>
      <c r="B13" s="30">
        <f>SUM(B5:B12)</f>
        <v/>
      </c>
      <c r="C13" s="30">
        <f>SUM(C5:C12)</f>
        <v/>
      </c>
      <c r="D13" s="28">
        <f>IFERROR(C13/B13-1,"")</f>
        <v/>
      </c>
      <c r="E13" s="30">
        <f>SUM(E5:E12)</f>
        <v/>
      </c>
      <c r="F13" s="30">
        <f>SUM(F5:F12)</f>
        <v/>
      </c>
      <c r="G13" s="28">
        <f>IFERROR(F13/E13-1,"")</f>
        <v/>
      </c>
      <c r="H13" s="29">
        <f>IFERROR(D13-G13,"")</f>
        <v/>
      </c>
      <c r="I13" s="18">
        <f>SUM(I5:I12)</f>
        <v/>
      </c>
      <c r="J13" s="18">
        <f>SUM(J5:J12)</f>
        <v/>
      </c>
    </row>
    <row r="15">
      <c r="A15" s="2" t="inlineStr">
        <is>
          <t>Only suppliers appearing on both sides are shown — those are the ones where a true within-supplier comparison exists.</t>
        </is>
      </c>
    </row>
    <row r="16">
      <c r="A16" s="2" t="inlineStr">
        <is>
          <t>A negative gap means the supplier's incented brands did WORSE than its own non-incented brands over the same three months.</t>
        </is>
      </c>
    </row>
    <row r="17">
      <c r="A17" s="2" t="inlineStr">
        <is>
          <t>Boston Beer is the finding worth presenting: see the Brand Selection tab.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40" customWidth="1" min="1" max="1"/>
    <col width="20" customWidth="1" min="2" max="2"/>
    <col width="24" customWidth="1" min="3" max="3"/>
    <col width="14" customWidth="1" min="4" max="4"/>
    <col width="14" customWidth="1" min="5" max="5"/>
    <col width="14" customWidth="1" min="6" max="6"/>
  </cols>
  <sheetData>
    <row r="1">
      <c r="A1" s="22" t="inlineStr">
        <is>
          <t>Where the gross profit change actually came from</t>
        </is>
      </c>
    </row>
    <row r="2">
      <c r="A2" s="2" t="inlineStr">
        <is>
          <t>ΔGP split three ways: cases sold (Volume), which brands sold (Mix), and gross profit per case within a brand (Rate). Volume is the only one an incentive plausibly drives.</t>
        </is>
      </c>
    </row>
    <row r="4" ht="30" customHeight="1">
      <c r="A4" s="6" t="inlineStr"/>
      <c r="B4" s="6" t="inlineStr">
        <is>
          <t>Program brands</t>
        </is>
      </c>
      <c r="C4" s="6" t="inlineStr">
        <is>
          <t>Non-program brands (control)</t>
        </is>
      </c>
      <c r="D4" s="6" t="inlineStr"/>
      <c r="E4" s="6" t="inlineStr"/>
      <c r="F4" s="6" t="inlineStr"/>
    </row>
    <row r="5">
      <c r="A5" s="13" t="inlineStr">
        <is>
          <t>Cases 2025</t>
        </is>
      </c>
      <c r="B5" s="14">
        <f>SUM('Program Brands'!$D$6:$D$37)</f>
        <v/>
      </c>
      <c r="C5" s="14">
        <f>SUM('Control Brands'!$C$5:$C$296)</f>
        <v/>
      </c>
    </row>
    <row r="6">
      <c r="A6" s="13" t="inlineStr">
        <is>
          <t>Cases 2026</t>
        </is>
      </c>
      <c r="B6" s="14">
        <f>SUM('Program Brands'!$E$6:$E$37)</f>
        <v/>
      </c>
      <c r="C6" s="14">
        <f>SUM('Control Brands'!$D$5:$D$296)</f>
        <v/>
      </c>
    </row>
    <row r="7">
      <c r="A7" s="13" t="inlineStr">
        <is>
          <t>Gross profit 2025</t>
        </is>
      </c>
      <c r="B7" s="16">
        <f>SUM('Program Brands'!$H$6:$H$37)</f>
        <v/>
      </c>
      <c r="C7" s="16">
        <f>SUM('Control Brands'!$G$5:$G$296)</f>
        <v/>
      </c>
    </row>
    <row r="8">
      <c r="A8" s="13" t="inlineStr">
        <is>
          <t>Gross profit 2026</t>
        </is>
      </c>
      <c r="B8" s="16">
        <f>SUM('Program Brands'!$I$6:$I$37)</f>
        <v/>
      </c>
      <c r="C8" s="16">
        <f>SUM('Control Brands'!$H$5:$H$296)</f>
        <v/>
      </c>
    </row>
    <row r="9">
      <c r="A9" s="17" t="inlineStr">
        <is>
          <t>Actual ΔGP</t>
        </is>
      </c>
      <c r="B9" s="18">
        <f>B8-B7</f>
        <v/>
      </c>
      <c r="C9" s="18">
        <f>C8-C7</f>
        <v/>
      </c>
    </row>
    <row r="11">
      <c r="A11" s="21" t="inlineStr">
        <is>
          <t>DECOMPOSED</t>
        </is>
      </c>
    </row>
    <row r="12">
      <c r="A12" s="13" t="inlineStr">
        <is>
          <t>Volume — cases, at last year's GP/CE</t>
        </is>
      </c>
      <c r="B12" s="16">
        <f>(B6-B5)*(B7/B5)</f>
        <v/>
      </c>
      <c r="C12" s="16">
        <f>(C6-C5)*(C7/C5)</f>
        <v/>
      </c>
    </row>
    <row r="13">
      <c r="A13" s="13" t="inlineStr">
        <is>
          <t>Mix — which brands sold</t>
        </is>
      </c>
      <c r="B13" s="16">
        <f>SUM('Program Brands'!$T$6:$T$37)-B6*(B7/B5)</f>
        <v/>
      </c>
      <c r="C13" s="16">
        <f>SUM('Control Brands'!$K$5:$K$296)-C6*(C7/C5)</f>
        <v/>
      </c>
    </row>
    <row r="14">
      <c r="A14" s="13" t="inlineStr">
        <is>
          <t>Rate — GP per case within a brand</t>
        </is>
      </c>
      <c r="B14" s="16">
        <f>SUM('Program Brands'!$U$6:$U$37)</f>
        <v/>
      </c>
      <c r="C14" s="16">
        <f>SUM('Control Brands'!$L$5:$L$296)</f>
        <v/>
      </c>
    </row>
    <row r="15">
      <c r="A15" s="37" t="inlineStr">
        <is>
          <t>Sum (ties to Actual ΔGP)</t>
        </is>
      </c>
      <c r="B15" s="38">
        <f>SUM(B12:B14)</f>
        <v/>
      </c>
      <c r="C15" s="38">
        <f>SUM(C12:C14)</f>
        <v/>
      </c>
    </row>
    <row r="17">
      <c r="A17" s="21" t="inlineStr">
        <is>
          <t>Rate effect per 2026 case</t>
        </is>
      </c>
      <c r="B17" s="39">
        <f>IFERROR(B14/B6,"")</f>
        <v/>
      </c>
      <c r="C17" s="39">
        <f>IFERROR(C14/C6,"")</f>
        <v/>
      </c>
    </row>
    <row r="18">
      <c r="A18" s="13" t="inlineStr">
        <is>
          <t>Control advantage per case</t>
        </is>
      </c>
      <c r="B18" s="40">
        <f>C17-B17</f>
        <v/>
      </c>
    </row>
    <row r="20">
      <c r="A20" s="2" t="inlineStr">
        <is>
          <t>The margin gain was real but house-wide. Per case, the non-incented book captured several times the rate improvement the incented book did — so the program cannot claim it.</t>
        </is>
      </c>
    </row>
    <row r="21">
      <c r="A21" s="2" t="inlineStr">
        <is>
          <t>Volume is the line an incentive is supposed to move, and on the program brands it is the negative one.</t>
        </is>
      </c>
    </row>
    <row r="22">
      <c r="A22" s="2" t="inlineStr">
        <is>
          <t>Mix on the control side is large because the non-program book shifted toward higher-margin brands (Sun Cruiser, Sierra Nevada) while low-margin Pabst declined.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7"/>
  <sheetViews>
    <sheetView showGridLines="0" workbookViewId="0">
      <pane ySplit="4" topLeftCell="A5" activePane="bottomLeft" state="frozen"/>
      <selection pane="bottomLeft" activeCell="A1" sqref="A1"/>
    </sheetView>
  </sheetViews>
  <sheetFormatPr baseColWidth="8" defaultRowHeight="15"/>
  <cols>
    <col width="28" customWidth="1" min="1" max="1"/>
    <col width="13" customWidth="1" min="2" max="2"/>
    <col width="26" customWidth="1" min="3" max="3"/>
    <col width="12" customWidth="1" min="4" max="4"/>
    <col width="12" customWidth="1" min="5" max="5"/>
    <col width="12" customWidth="1" min="6" max="6"/>
    <col width="11" customWidth="1" min="7" max="7"/>
    <col width="13" customWidth="1" min="8" max="8"/>
    <col width="13" customWidth="1" min="9" max="9"/>
    <col width="13" customWidth="1" min="10" max="10"/>
  </cols>
  <sheetData>
    <row r="1">
      <c r="A1" s="22" t="inlineStr">
        <is>
          <t>The variable that decided the outcome — which brands got incented</t>
        </is>
      </c>
    </row>
    <row r="2">
      <c r="A2" s="2" t="inlineStr">
        <is>
          <t>Every brand of every supplier that appears on both sides, Jun–Aug. INCENTED rows carried a payout; NOT INCENTED rows did not.</t>
        </is>
      </c>
    </row>
    <row r="4" ht="30" customHeight="1">
      <c r="A4" s="6" t="inlineStr">
        <is>
          <t>Supplier</t>
        </is>
      </c>
      <c r="B4" s="6" t="inlineStr">
        <is>
          <t>Incented?</t>
        </is>
      </c>
      <c r="C4" s="6" t="inlineStr">
        <is>
          <t>Brand Family</t>
        </is>
      </c>
      <c r="D4" s="6" t="inlineStr">
        <is>
          <t>CE 2025</t>
        </is>
      </c>
      <c r="E4" s="6" t="inlineStr">
        <is>
          <t>CE 2026</t>
        </is>
      </c>
      <c r="F4" s="6" t="inlineStr">
        <is>
          <t>Δ cases</t>
        </is>
      </c>
      <c r="G4" s="6" t="inlineStr">
        <is>
          <t>Cases %</t>
        </is>
      </c>
      <c r="H4" s="6" t="inlineStr">
        <is>
          <t>GP 2025</t>
        </is>
      </c>
      <c r="I4" s="6" t="inlineStr">
        <is>
          <t>GP 2026</t>
        </is>
      </c>
      <c r="J4" s="6" t="inlineStr">
        <is>
          <t>Δ GP</t>
        </is>
      </c>
    </row>
    <row r="5">
      <c r="A5" s="41" t="inlineStr">
        <is>
          <t>Bell's</t>
        </is>
      </c>
      <c r="B5" s="42" t="inlineStr">
        <is>
          <t>INCENTED</t>
        </is>
      </c>
      <c r="C5" s="41" t="inlineStr">
        <is>
          <t>Bell's</t>
        </is>
      </c>
      <c r="D5" s="33">
        <f>SUMIFS('Program Brands'!$D$6:$D$37,'Program Brands'!$B$6:$B$37,$A5,'Program Brands'!$C$6:$C$37,$C5)</f>
        <v/>
      </c>
      <c r="E5" s="33">
        <f>SUMIFS('Program Brands'!$E$6:$E$37,'Program Brands'!$B$6:$B$37,$A5,'Program Brands'!$C$6:$C$37,$C5)</f>
        <v/>
      </c>
      <c r="F5" s="43">
        <f>E5-D5</f>
        <v/>
      </c>
      <c r="G5" s="44">
        <f>IFERROR(E5/D5-1,"")</f>
        <v/>
      </c>
      <c r="H5" s="36">
        <f>SUMIFS('Program Brands'!$H$6:$H$37,'Program Brands'!$B$6:$B$37,$A5,'Program Brands'!$C$6:$C$37,$C5)</f>
        <v/>
      </c>
      <c r="I5" s="36">
        <f>SUMIFS('Program Brands'!$I$6:$I$37,'Program Brands'!$B$6:$B$37,$A5,'Program Brands'!$C$6:$C$37,$C5)</f>
        <v/>
      </c>
      <c r="J5" s="38">
        <f>I5-H5</f>
        <v/>
      </c>
    </row>
    <row r="6">
      <c r="A6" s="2" t="inlineStr">
        <is>
          <t>Bell's</t>
        </is>
      </c>
      <c r="B6" s="2" t="inlineStr">
        <is>
          <t>not incented</t>
        </is>
      </c>
      <c r="C6" s="41" t="inlineStr">
        <is>
          <t>Bell's Hearted Family</t>
        </is>
      </c>
      <c r="D6" s="33">
        <f>SUMIFS('Control Brands'!$C$5:$C$296,'Control Brands'!$A$5:$A$296,$A6,'Control Brands'!$B$5:$B$296,$C6)</f>
        <v/>
      </c>
      <c r="E6" s="33">
        <f>SUMIFS('Control Brands'!$D$5:$D$296,'Control Brands'!$A$5:$A$296,$A6,'Control Brands'!$B$5:$B$296,$C6)</f>
        <v/>
      </c>
      <c r="F6" s="43">
        <f>E6-D6</f>
        <v/>
      </c>
      <c r="G6" s="44">
        <f>IFERROR(E6/D6-1,"")</f>
        <v/>
      </c>
      <c r="H6" s="36">
        <f>SUMIFS('Control Brands'!$G$5:$G$296,'Control Brands'!$A$5:$A$296,$A6,'Control Brands'!$B$5:$B$296,$C6)</f>
        <v/>
      </c>
      <c r="I6" s="36">
        <f>SUMIFS('Control Brands'!$H$5:$H$296,'Control Brands'!$A$5:$A$296,$A6,'Control Brands'!$B$5:$B$296,$C6)</f>
        <v/>
      </c>
      <c r="J6" s="38">
        <f>I6-H6</f>
        <v/>
      </c>
    </row>
    <row r="7">
      <c r="C7" s="45" t="inlineStr">
        <is>
          <t>Bell's — total</t>
        </is>
      </c>
      <c r="D7" s="43">
        <f>SUM(D5:D6)</f>
        <v/>
      </c>
      <c r="E7" s="43">
        <f>SUM(E5:E6)</f>
        <v/>
      </c>
      <c r="F7" s="43">
        <f>SUM(F5:F6)</f>
        <v/>
      </c>
      <c r="H7" s="38">
        <f>SUM(H5:H6)</f>
        <v/>
      </c>
      <c r="I7" s="38">
        <f>SUM(I5:I6)</f>
        <v/>
      </c>
      <c r="J7" s="38">
        <f>SUM(J5:J6)</f>
        <v/>
      </c>
    </row>
    <row r="9">
      <c r="A9" s="41" t="inlineStr">
        <is>
          <t>Boston Beer Company</t>
        </is>
      </c>
      <c r="B9" s="42" t="inlineStr">
        <is>
          <t>INCENTED</t>
        </is>
      </c>
      <c r="C9" s="41" t="inlineStr">
        <is>
          <t>Dogfish Head Beer</t>
        </is>
      </c>
      <c r="D9" s="33">
        <f>SUMIFS('Program Brands'!$D$6:$D$37,'Program Brands'!$B$6:$B$37,$A9,'Program Brands'!$C$6:$C$37,$C9)</f>
        <v/>
      </c>
      <c r="E9" s="33">
        <f>SUMIFS('Program Brands'!$E$6:$E$37,'Program Brands'!$B$6:$B$37,$A9,'Program Brands'!$C$6:$C$37,$C9)</f>
        <v/>
      </c>
      <c r="F9" s="43">
        <f>E9-D9</f>
        <v/>
      </c>
      <c r="G9" s="44">
        <f>IFERROR(E9/D9-1,"")</f>
        <v/>
      </c>
      <c r="H9" s="36">
        <f>SUMIFS('Program Brands'!$H$6:$H$37,'Program Brands'!$B$6:$B$37,$A9,'Program Brands'!$C$6:$C$37,$C9)</f>
        <v/>
      </c>
      <c r="I9" s="36">
        <f>SUMIFS('Program Brands'!$I$6:$I$37,'Program Brands'!$B$6:$B$37,$A9,'Program Brands'!$C$6:$C$37,$C9)</f>
        <v/>
      </c>
      <c r="J9" s="38">
        <f>I9-H9</f>
        <v/>
      </c>
    </row>
    <row r="10">
      <c r="A10" s="41" t="inlineStr">
        <is>
          <t>Boston Beer Company</t>
        </is>
      </c>
      <c r="B10" s="42" t="inlineStr">
        <is>
          <t>INCENTED</t>
        </is>
      </c>
      <c r="C10" s="41" t="inlineStr">
        <is>
          <t>Dogfish Head Spirits</t>
        </is>
      </c>
      <c r="D10" s="33">
        <f>SUMIFS('Program Brands'!$D$6:$D$37,'Program Brands'!$B$6:$B$37,$A10,'Program Brands'!$C$6:$C$37,$C10)</f>
        <v/>
      </c>
      <c r="E10" s="33">
        <f>SUMIFS('Program Brands'!$E$6:$E$37,'Program Brands'!$B$6:$B$37,$A10,'Program Brands'!$C$6:$C$37,$C10)</f>
        <v/>
      </c>
      <c r="F10" s="43">
        <f>E10-D10</f>
        <v/>
      </c>
      <c r="G10" s="44">
        <f>IFERROR(E10/D10-1,"")</f>
        <v/>
      </c>
      <c r="H10" s="36">
        <f>SUMIFS('Program Brands'!$H$6:$H$37,'Program Brands'!$B$6:$B$37,$A10,'Program Brands'!$C$6:$C$37,$C10)</f>
        <v/>
      </c>
      <c r="I10" s="36">
        <f>SUMIFS('Program Brands'!$I$6:$I$37,'Program Brands'!$B$6:$B$37,$A10,'Program Brands'!$C$6:$C$37,$C10)</f>
        <v/>
      </c>
      <c r="J10" s="38">
        <f>I10-H10</f>
        <v/>
      </c>
    </row>
    <row r="11">
      <c r="A11" s="41" t="inlineStr">
        <is>
          <t>Boston Beer Company</t>
        </is>
      </c>
      <c r="B11" s="42" t="inlineStr">
        <is>
          <t>INCENTED</t>
        </is>
      </c>
      <c r="C11" s="41" t="inlineStr">
        <is>
          <t>Truly</t>
        </is>
      </c>
      <c r="D11" s="33">
        <f>SUMIFS('Program Brands'!$D$6:$D$37,'Program Brands'!$B$6:$B$37,$A11,'Program Brands'!$C$6:$C$37,$C11)</f>
        <v/>
      </c>
      <c r="E11" s="33">
        <f>SUMIFS('Program Brands'!$E$6:$E$37,'Program Brands'!$B$6:$B$37,$A11,'Program Brands'!$C$6:$C$37,$C11)</f>
        <v/>
      </c>
      <c r="F11" s="43">
        <f>E11-D11</f>
        <v/>
      </c>
      <c r="G11" s="44">
        <f>IFERROR(E11/D11-1,"")</f>
        <v/>
      </c>
      <c r="H11" s="36">
        <f>SUMIFS('Program Brands'!$H$6:$H$37,'Program Brands'!$B$6:$B$37,$A11,'Program Brands'!$C$6:$C$37,$C11)</f>
        <v/>
      </c>
      <c r="I11" s="36">
        <f>SUMIFS('Program Brands'!$I$6:$I$37,'Program Brands'!$B$6:$B$37,$A11,'Program Brands'!$C$6:$C$37,$C11)</f>
        <v/>
      </c>
      <c r="J11" s="38">
        <f>I11-H11</f>
        <v/>
      </c>
    </row>
    <row r="12">
      <c r="A12" s="41" t="inlineStr">
        <is>
          <t>Boston Beer Company</t>
        </is>
      </c>
      <c r="B12" s="42" t="inlineStr">
        <is>
          <t>INCENTED</t>
        </is>
      </c>
      <c r="C12" s="41" t="inlineStr">
        <is>
          <t>Twisted Tea</t>
        </is>
      </c>
      <c r="D12" s="33">
        <f>SUMIFS('Program Brands'!$D$6:$D$37,'Program Brands'!$B$6:$B$37,$A12,'Program Brands'!$C$6:$C$37,$C12)</f>
        <v/>
      </c>
      <c r="E12" s="33">
        <f>SUMIFS('Program Brands'!$E$6:$E$37,'Program Brands'!$B$6:$B$37,$A12,'Program Brands'!$C$6:$C$37,$C12)</f>
        <v/>
      </c>
      <c r="F12" s="43">
        <f>E12-D12</f>
        <v/>
      </c>
      <c r="G12" s="44">
        <f>IFERROR(E12/D12-1,"")</f>
        <v/>
      </c>
      <c r="H12" s="36">
        <f>SUMIFS('Program Brands'!$H$6:$H$37,'Program Brands'!$B$6:$B$37,$A12,'Program Brands'!$C$6:$C$37,$C12)</f>
        <v/>
      </c>
      <c r="I12" s="36">
        <f>SUMIFS('Program Brands'!$I$6:$I$37,'Program Brands'!$B$6:$B$37,$A12,'Program Brands'!$C$6:$C$37,$C12)</f>
        <v/>
      </c>
      <c r="J12" s="38">
        <f>I12-H12</f>
        <v/>
      </c>
    </row>
    <row r="13">
      <c r="A13" s="2" t="inlineStr">
        <is>
          <t>Boston Beer Company</t>
        </is>
      </c>
      <c r="B13" s="2" t="inlineStr">
        <is>
          <t>not incented</t>
        </is>
      </c>
      <c r="C13" s="41" t="inlineStr">
        <is>
          <t>Angry Orchard</t>
        </is>
      </c>
      <c r="D13" s="33">
        <f>SUMIFS('Control Brands'!$C$5:$C$296,'Control Brands'!$A$5:$A$296,$A13,'Control Brands'!$B$5:$B$296,$C13)</f>
        <v/>
      </c>
      <c r="E13" s="33">
        <f>SUMIFS('Control Brands'!$D$5:$D$296,'Control Brands'!$A$5:$A$296,$A13,'Control Brands'!$B$5:$B$296,$C13)</f>
        <v/>
      </c>
      <c r="F13" s="43">
        <f>E13-D13</f>
        <v/>
      </c>
      <c r="G13" s="44">
        <f>IFERROR(E13/D13-1,"")</f>
        <v/>
      </c>
      <c r="H13" s="36">
        <f>SUMIFS('Control Brands'!$G$5:$G$296,'Control Brands'!$A$5:$A$296,$A13,'Control Brands'!$B$5:$B$296,$C13)</f>
        <v/>
      </c>
      <c r="I13" s="36">
        <f>SUMIFS('Control Brands'!$H$5:$H$296,'Control Brands'!$A$5:$A$296,$A13,'Control Brands'!$B$5:$B$296,$C13)</f>
        <v/>
      </c>
      <c r="J13" s="38">
        <f>I13-H13</f>
        <v/>
      </c>
    </row>
    <row r="14">
      <c r="A14" s="2" t="inlineStr">
        <is>
          <t>Boston Beer Company</t>
        </is>
      </c>
      <c r="B14" s="2" t="inlineStr">
        <is>
          <t>not incented</t>
        </is>
      </c>
      <c r="C14" s="41" t="inlineStr">
        <is>
          <t>Coney Island</t>
        </is>
      </c>
      <c r="D14" s="33">
        <f>SUMIFS('Control Brands'!$C$5:$C$296,'Control Brands'!$A$5:$A$296,$A14,'Control Brands'!$B$5:$B$296,$C14)</f>
        <v/>
      </c>
      <c r="E14" s="33">
        <f>SUMIFS('Control Brands'!$D$5:$D$296,'Control Brands'!$A$5:$A$296,$A14,'Control Brands'!$B$5:$B$296,$C14)</f>
        <v/>
      </c>
      <c r="F14" s="43">
        <f>E14-D14</f>
        <v/>
      </c>
      <c r="G14" s="44">
        <f>IFERROR(E14/D14-1,"")</f>
        <v/>
      </c>
      <c r="H14" s="36">
        <f>SUMIFS('Control Brands'!$G$5:$G$296,'Control Brands'!$A$5:$A$296,$A14,'Control Brands'!$B$5:$B$296,$C14)</f>
        <v/>
      </c>
      <c r="I14" s="36">
        <f>SUMIFS('Control Brands'!$H$5:$H$296,'Control Brands'!$A$5:$A$296,$A14,'Control Brands'!$B$5:$B$296,$C14)</f>
        <v/>
      </c>
      <c r="J14" s="38">
        <f>I14-H14</f>
        <v/>
      </c>
    </row>
    <row r="15">
      <c r="A15" s="2" t="inlineStr">
        <is>
          <t>Boston Beer Company</t>
        </is>
      </c>
      <c r="B15" s="2" t="inlineStr">
        <is>
          <t>not incented</t>
        </is>
      </c>
      <c r="C15" s="41" t="inlineStr">
        <is>
          <t>Hard Mountain Dew</t>
        </is>
      </c>
      <c r="D15" s="33">
        <f>SUMIFS('Control Brands'!$C$5:$C$296,'Control Brands'!$A$5:$A$296,$A15,'Control Brands'!$B$5:$B$296,$C15)</f>
        <v/>
      </c>
      <c r="E15" s="33">
        <f>SUMIFS('Control Brands'!$D$5:$D$296,'Control Brands'!$A$5:$A$296,$A15,'Control Brands'!$B$5:$B$296,$C15)</f>
        <v/>
      </c>
      <c r="F15" s="43">
        <f>E15-D15</f>
        <v/>
      </c>
      <c r="G15" s="44">
        <f>IFERROR(E15/D15-1,"")</f>
        <v/>
      </c>
      <c r="H15" s="36">
        <f>SUMIFS('Control Brands'!$G$5:$G$296,'Control Brands'!$A$5:$A$296,$A15,'Control Brands'!$B$5:$B$296,$C15)</f>
        <v/>
      </c>
      <c r="I15" s="36">
        <f>SUMIFS('Control Brands'!$H$5:$H$296,'Control Brands'!$A$5:$A$296,$A15,'Control Brands'!$B$5:$B$296,$C15)</f>
        <v/>
      </c>
      <c r="J15" s="38">
        <f>I15-H15</f>
        <v/>
      </c>
    </row>
    <row r="16">
      <c r="A16" s="2" t="inlineStr">
        <is>
          <t>Boston Beer Company</t>
        </is>
      </c>
      <c r="B16" s="2" t="inlineStr">
        <is>
          <t>not incented</t>
        </is>
      </c>
      <c r="C16" s="41" t="inlineStr">
        <is>
          <t>Lytt</t>
        </is>
      </c>
      <c r="D16" s="33">
        <f>SUMIFS('Control Brands'!$C$5:$C$296,'Control Brands'!$A$5:$A$296,$A16,'Control Brands'!$B$5:$B$296,$C16)</f>
        <v/>
      </c>
      <c r="E16" s="33">
        <f>SUMIFS('Control Brands'!$D$5:$D$296,'Control Brands'!$A$5:$A$296,$A16,'Control Brands'!$B$5:$B$296,$C16)</f>
        <v/>
      </c>
      <c r="F16" s="43">
        <f>E16-D16</f>
        <v/>
      </c>
      <c r="G16" s="44">
        <f>IFERROR(E16/D16-1,"")</f>
        <v/>
      </c>
      <c r="H16" s="36">
        <f>SUMIFS('Control Brands'!$G$5:$G$296,'Control Brands'!$A$5:$A$296,$A16,'Control Brands'!$B$5:$B$296,$C16)</f>
        <v/>
      </c>
      <c r="I16" s="36">
        <f>SUMIFS('Control Brands'!$H$5:$H$296,'Control Brands'!$A$5:$A$296,$A16,'Control Brands'!$B$5:$B$296,$C16)</f>
        <v/>
      </c>
      <c r="J16" s="38">
        <f>I16-H16</f>
        <v/>
      </c>
    </row>
    <row r="17">
      <c r="A17" s="2" t="inlineStr">
        <is>
          <t>Boston Beer Company</t>
        </is>
      </c>
      <c r="B17" s="2" t="inlineStr">
        <is>
          <t>not incented</t>
        </is>
      </c>
      <c r="C17" s="41" t="inlineStr">
        <is>
          <t>Samuel Adams</t>
        </is>
      </c>
      <c r="D17" s="33">
        <f>SUMIFS('Control Brands'!$C$5:$C$296,'Control Brands'!$A$5:$A$296,$A17,'Control Brands'!$B$5:$B$296,$C17)</f>
        <v/>
      </c>
      <c r="E17" s="33">
        <f>SUMIFS('Control Brands'!$D$5:$D$296,'Control Brands'!$A$5:$A$296,$A17,'Control Brands'!$B$5:$B$296,$C17)</f>
        <v/>
      </c>
      <c r="F17" s="43">
        <f>E17-D17</f>
        <v/>
      </c>
      <c r="G17" s="44">
        <f>IFERROR(E17/D17-1,"")</f>
        <v/>
      </c>
      <c r="H17" s="36">
        <f>SUMIFS('Control Brands'!$G$5:$G$296,'Control Brands'!$A$5:$A$296,$A17,'Control Brands'!$B$5:$B$296,$C17)</f>
        <v/>
      </c>
      <c r="I17" s="36">
        <f>SUMIFS('Control Brands'!$H$5:$H$296,'Control Brands'!$A$5:$A$296,$A17,'Control Brands'!$B$5:$B$296,$C17)</f>
        <v/>
      </c>
      <c r="J17" s="38">
        <f>I17-H17</f>
        <v/>
      </c>
    </row>
    <row r="18">
      <c r="A18" s="2" t="inlineStr">
        <is>
          <t>Boston Beer Company</t>
        </is>
      </c>
      <c r="B18" s="2" t="inlineStr">
        <is>
          <t>not incented</t>
        </is>
      </c>
      <c r="C18" s="41" t="inlineStr">
        <is>
          <t>Sinless Vodka Cocktail</t>
        </is>
      </c>
      <c r="D18" s="33">
        <f>SUMIFS('Control Brands'!$C$5:$C$296,'Control Brands'!$A$5:$A$296,$A18,'Control Brands'!$B$5:$B$296,$C18)</f>
        <v/>
      </c>
      <c r="E18" s="33">
        <f>SUMIFS('Control Brands'!$D$5:$D$296,'Control Brands'!$A$5:$A$296,$A18,'Control Brands'!$B$5:$B$296,$C18)</f>
        <v/>
      </c>
      <c r="F18" s="43">
        <f>E18-D18</f>
        <v/>
      </c>
      <c r="G18" s="44">
        <f>IFERROR(E18/D18-1,"")</f>
        <v/>
      </c>
      <c r="H18" s="36">
        <f>SUMIFS('Control Brands'!$G$5:$G$296,'Control Brands'!$A$5:$A$296,$A18,'Control Brands'!$B$5:$B$296,$C18)</f>
        <v/>
      </c>
      <c r="I18" s="36">
        <f>SUMIFS('Control Brands'!$H$5:$H$296,'Control Brands'!$A$5:$A$296,$A18,'Control Brands'!$B$5:$B$296,$C18)</f>
        <v/>
      </c>
      <c r="J18" s="38">
        <f>I18-H18</f>
        <v/>
      </c>
    </row>
    <row r="19">
      <c r="A19" s="2" t="inlineStr">
        <is>
          <t>Boston Beer Company</t>
        </is>
      </c>
      <c r="B19" s="2" t="inlineStr">
        <is>
          <t>not incented</t>
        </is>
      </c>
      <c r="C19" s="41" t="inlineStr">
        <is>
          <t>Sun Cruiser</t>
        </is>
      </c>
      <c r="D19" s="33">
        <f>SUMIFS('Control Brands'!$C$5:$C$296,'Control Brands'!$A$5:$A$296,$A19,'Control Brands'!$B$5:$B$296,$C19)</f>
        <v/>
      </c>
      <c r="E19" s="33">
        <f>SUMIFS('Control Brands'!$D$5:$D$296,'Control Brands'!$A$5:$A$296,$A19,'Control Brands'!$B$5:$B$296,$C19)</f>
        <v/>
      </c>
      <c r="F19" s="43">
        <f>E19-D19</f>
        <v/>
      </c>
      <c r="G19" s="44">
        <f>IFERROR(E19/D19-1,"")</f>
        <v/>
      </c>
      <c r="H19" s="36">
        <f>SUMIFS('Control Brands'!$G$5:$G$296,'Control Brands'!$A$5:$A$296,$A19,'Control Brands'!$B$5:$B$296,$C19)</f>
        <v/>
      </c>
      <c r="I19" s="36">
        <f>SUMIFS('Control Brands'!$H$5:$H$296,'Control Brands'!$A$5:$A$296,$A19,'Control Brands'!$B$5:$B$296,$C19)</f>
        <v/>
      </c>
      <c r="J19" s="38">
        <f>I19-H19</f>
        <v/>
      </c>
    </row>
    <row r="20">
      <c r="C20" s="45" t="inlineStr">
        <is>
          <t>Boston Beer Company — total</t>
        </is>
      </c>
      <c r="D20" s="43">
        <f>SUM(D9:D19)</f>
        <v/>
      </c>
      <c r="E20" s="43">
        <f>SUM(E9:E19)</f>
        <v/>
      </c>
      <c r="F20" s="43">
        <f>SUM(F9:F19)</f>
        <v/>
      </c>
      <c r="H20" s="38">
        <f>SUM(H9:H19)</f>
        <v/>
      </c>
      <c r="I20" s="38">
        <f>SUM(I9:I19)</f>
        <v/>
      </c>
      <c r="J20" s="38">
        <f>SUM(J9:J19)</f>
        <v/>
      </c>
    </row>
    <row r="22">
      <c r="A22" s="41" t="inlineStr">
        <is>
          <t>New Belgium Brewing Company</t>
        </is>
      </c>
      <c r="B22" s="42" t="inlineStr">
        <is>
          <t>INCENTED</t>
        </is>
      </c>
      <c r="C22" s="41" t="inlineStr">
        <is>
          <t>Fat Tire Family</t>
        </is>
      </c>
      <c r="D22" s="33">
        <f>SUMIFS('Program Brands'!$D$6:$D$37,'Program Brands'!$B$6:$B$37,$A22,'Program Brands'!$C$6:$C$37,$C22)</f>
        <v/>
      </c>
      <c r="E22" s="33">
        <f>SUMIFS('Program Brands'!$E$6:$E$37,'Program Brands'!$B$6:$B$37,$A22,'Program Brands'!$C$6:$C$37,$C22)</f>
        <v/>
      </c>
      <c r="F22" s="43">
        <f>E22-D22</f>
        <v/>
      </c>
      <c r="G22" s="44">
        <f>IFERROR(E22/D22-1,"")</f>
        <v/>
      </c>
      <c r="H22" s="36">
        <f>SUMIFS('Program Brands'!$H$6:$H$37,'Program Brands'!$B$6:$B$37,$A22,'Program Brands'!$C$6:$C$37,$C22)</f>
        <v/>
      </c>
      <c r="I22" s="36">
        <f>SUMIFS('Program Brands'!$I$6:$I$37,'Program Brands'!$B$6:$B$37,$A22,'Program Brands'!$C$6:$C$37,$C22)</f>
        <v/>
      </c>
      <c r="J22" s="38">
        <f>I22-H22</f>
        <v/>
      </c>
    </row>
    <row r="23">
      <c r="A23" s="41" t="inlineStr">
        <is>
          <t>New Belgium Brewing Company</t>
        </is>
      </c>
      <c r="B23" s="42" t="inlineStr">
        <is>
          <t>INCENTED</t>
        </is>
      </c>
      <c r="C23" s="41" t="inlineStr">
        <is>
          <t>Kirin Ichiban</t>
        </is>
      </c>
      <c r="D23" s="33">
        <f>SUMIFS('Program Brands'!$D$6:$D$37,'Program Brands'!$B$6:$B$37,$A23,'Program Brands'!$C$6:$C$37,$C23)</f>
        <v/>
      </c>
      <c r="E23" s="33">
        <f>SUMIFS('Program Brands'!$E$6:$E$37,'Program Brands'!$B$6:$B$37,$A23,'Program Brands'!$C$6:$C$37,$C23)</f>
        <v/>
      </c>
      <c r="F23" s="43">
        <f>E23-D23</f>
        <v/>
      </c>
      <c r="G23" s="44">
        <f>IFERROR(E23/D23-1,"")</f>
        <v/>
      </c>
      <c r="H23" s="36">
        <f>SUMIFS('Program Brands'!$H$6:$H$37,'Program Brands'!$B$6:$B$37,$A23,'Program Brands'!$C$6:$C$37,$C23)</f>
        <v/>
      </c>
      <c r="I23" s="36">
        <f>SUMIFS('Program Brands'!$I$6:$I$37,'Program Brands'!$B$6:$B$37,$A23,'Program Brands'!$C$6:$C$37,$C23)</f>
        <v/>
      </c>
      <c r="J23" s="38">
        <f>I23-H23</f>
        <v/>
      </c>
    </row>
    <row r="24">
      <c r="A24" s="41" t="inlineStr">
        <is>
          <t>New Belgium Brewing Company</t>
        </is>
      </c>
      <c r="B24" s="42" t="inlineStr">
        <is>
          <t>INCENTED</t>
        </is>
      </c>
      <c r="C24" s="41" t="inlineStr">
        <is>
          <t>Voodoo Family</t>
        </is>
      </c>
      <c r="D24" s="33">
        <f>SUMIFS('Program Brands'!$D$6:$D$37,'Program Brands'!$B$6:$B$37,$A24,'Program Brands'!$C$6:$C$37,$C24)</f>
        <v/>
      </c>
      <c r="E24" s="33">
        <f>SUMIFS('Program Brands'!$E$6:$E$37,'Program Brands'!$B$6:$B$37,$A24,'Program Brands'!$C$6:$C$37,$C24)</f>
        <v/>
      </c>
      <c r="F24" s="43">
        <f>E24-D24</f>
        <v/>
      </c>
      <c r="G24" s="44">
        <f>IFERROR(E24/D24-1,"")</f>
        <v/>
      </c>
      <c r="H24" s="36">
        <f>SUMIFS('Program Brands'!$H$6:$H$37,'Program Brands'!$B$6:$B$37,$A24,'Program Brands'!$C$6:$C$37,$C24)</f>
        <v/>
      </c>
      <c r="I24" s="36">
        <f>SUMIFS('Program Brands'!$I$6:$I$37,'Program Brands'!$B$6:$B$37,$A24,'Program Brands'!$C$6:$C$37,$C24)</f>
        <v/>
      </c>
      <c r="J24" s="38">
        <f>I24-H24</f>
        <v/>
      </c>
    </row>
    <row r="25">
      <c r="A25" s="2" t="inlineStr">
        <is>
          <t>New Belgium Brewing Company</t>
        </is>
      </c>
      <c r="B25" s="2" t="inlineStr">
        <is>
          <t>not incented</t>
        </is>
      </c>
      <c r="C25" s="41" t="inlineStr">
        <is>
          <t>Kirin Light</t>
        </is>
      </c>
      <c r="D25" s="33">
        <f>SUMIFS('Control Brands'!$C$5:$C$296,'Control Brands'!$A$5:$A$296,$A25,'Control Brands'!$B$5:$B$296,$C25)</f>
        <v/>
      </c>
      <c r="E25" s="33">
        <f>SUMIFS('Control Brands'!$D$5:$D$296,'Control Brands'!$A$5:$A$296,$A25,'Control Brands'!$B$5:$B$296,$C25)</f>
        <v/>
      </c>
      <c r="F25" s="43">
        <f>E25-D25</f>
        <v/>
      </c>
      <c r="G25" s="44">
        <f>IFERROR(E25/D25-1,"")</f>
        <v/>
      </c>
      <c r="H25" s="36">
        <f>SUMIFS('Control Brands'!$G$5:$G$296,'Control Brands'!$A$5:$A$296,$A25,'Control Brands'!$B$5:$B$296,$C25)</f>
        <v/>
      </c>
      <c r="I25" s="36">
        <f>SUMIFS('Control Brands'!$H$5:$H$296,'Control Brands'!$A$5:$A$296,$A25,'Control Brands'!$B$5:$B$296,$C25)</f>
        <v/>
      </c>
      <c r="J25" s="38">
        <f>I25-H25</f>
        <v/>
      </c>
    </row>
    <row r="26">
      <c r="A26" s="2" t="inlineStr">
        <is>
          <t>New Belgium Brewing Company</t>
        </is>
      </c>
      <c r="B26" s="2" t="inlineStr">
        <is>
          <t>not incented</t>
        </is>
      </c>
      <c r="C26" s="41" t="inlineStr">
        <is>
          <t>Lightstrike</t>
        </is>
      </c>
      <c r="D26" s="33">
        <f>SUMIFS('Control Brands'!$C$5:$C$296,'Control Brands'!$A$5:$A$296,$A26,'Control Brands'!$B$5:$B$296,$C26)</f>
        <v/>
      </c>
      <c r="E26" s="33">
        <f>SUMIFS('Control Brands'!$D$5:$D$296,'Control Brands'!$A$5:$A$296,$A26,'Control Brands'!$B$5:$B$296,$C26)</f>
        <v/>
      </c>
      <c r="F26" s="43">
        <f>E26-D26</f>
        <v/>
      </c>
      <c r="G26" s="44">
        <f>IFERROR(E26/D26-1,"")</f>
        <v/>
      </c>
      <c r="H26" s="36">
        <f>SUMIFS('Control Brands'!$G$5:$G$296,'Control Brands'!$A$5:$A$296,$A26,'Control Brands'!$B$5:$B$296,$C26)</f>
        <v/>
      </c>
      <c r="I26" s="36">
        <f>SUMIFS('Control Brands'!$H$5:$H$296,'Control Brands'!$A$5:$A$296,$A26,'Control Brands'!$B$5:$B$296,$C26)</f>
        <v/>
      </c>
      <c r="J26" s="38">
        <f>I26-H26</f>
        <v/>
      </c>
    </row>
    <row r="27">
      <c r="A27" s="2" t="inlineStr">
        <is>
          <t>New Belgium Brewing Company</t>
        </is>
      </c>
      <c r="B27" s="2" t="inlineStr">
        <is>
          <t>not incented</t>
        </is>
      </c>
      <c r="C27" s="41" t="inlineStr">
        <is>
          <t>New Belgium Brewing Company</t>
        </is>
      </c>
      <c r="D27" s="33">
        <f>SUMIFS('Control Brands'!$C$5:$C$296,'Control Brands'!$A$5:$A$296,$A27,'Control Brands'!$B$5:$B$296,$C27)</f>
        <v/>
      </c>
      <c r="E27" s="33">
        <f>SUMIFS('Control Brands'!$D$5:$D$296,'Control Brands'!$A$5:$A$296,$A27,'Control Brands'!$B$5:$B$296,$C27)</f>
        <v/>
      </c>
      <c r="F27" s="43">
        <f>E27-D27</f>
        <v/>
      </c>
      <c r="G27" s="44">
        <f>IFERROR(E27/D27-1,"")</f>
        <v/>
      </c>
      <c r="H27" s="36">
        <f>SUMIFS('Control Brands'!$G$5:$G$296,'Control Brands'!$A$5:$A$296,$A27,'Control Brands'!$B$5:$B$296,$C27)</f>
        <v/>
      </c>
      <c r="I27" s="36">
        <f>SUMIFS('Control Brands'!$H$5:$H$296,'Control Brands'!$A$5:$A$296,$A27,'Control Brands'!$B$5:$B$296,$C27)</f>
        <v/>
      </c>
      <c r="J27" s="38">
        <f>I27-H27</f>
        <v/>
      </c>
    </row>
    <row r="28">
      <c r="A28" s="2" t="inlineStr">
        <is>
          <t>New Belgium Brewing Company</t>
        </is>
      </c>
      <c r="B28" s="2" t="inlineStr">
        <is>
          <t>not incented</t>
        </is>
      </c>
      <c r="C28" s="41" t="inlineStr">
        <is>
          <t>Voodoo Hardcharged</t>
        </is>
      </c>
      <c r="D28" s="33">
        <f>SUMIFS('Control Brands'!$C$5:$C$296,'Control Brands'!$A$5:$A$296,$A28,'Control Brands'!$B$5:$B$296,$C28)</f>
        <v/>
      </c>
      <c r="E28" s="33">
        <f>SUMIFS('Control Brands'!$D$5:$D$296,'Control Brands'!$A$5:$A$296,$A28,'Control Brands'!$B$5:$B$296,$C28)</f>
        <v/>
      </c>
      <c r="F28" s="43">
        <f>E28-D28</f>
        <v/>
      </c>
      <c r="G28" s="44">
        <f>IFERROR(E28/D28-1,"")</f>
        <v/>
      </c>
      <c r="H28" s="36">
        <f>SUMIFS('Control Brands'!$G$5:$G$296,'Control Brands'!$A$5:$A$296,$A28,'Control Brands'!$B$5:$B$296,$C28)</f>
        <v/>
      </c>
      <c r="I28" s="36">
        <f>SUMIFS('Control Brands'!$H$5:$H$296,'Control Brands'!$A$5:$A$296,$A28,'Control Brands'!$B$5:$B$296,$C28)</f>
        <v/>
      </c>
      <c r="J28" s="38">
        <f>I28-H28</f>
        <v/>
      </c>
    </row>
    <row r="29">
      <c r="C29" s="45" t="inlineStr">
        <is>
          <t>New Belgium Brewing Company — total</t>
        </is>
      </c>
      <c r="D29" s="43">
        <f>SUM(D22:D28)</f>
        <v/>
      </c>
      <c r="E29" s="43">
        <f>SUM(E22:E28)</f>
        <v/>
      </c>
      <c r="F29" s="43">
        <f>SUM(F22:F28)</f>
        <v/>
      </c>
      <c r="H29" s="38">
        <f>SUM(H22:H28)</f>
        <v/>
      </c>
      <c r="I29" s="38">
        <f>SUM(I22:I28)</f>
        <v/>
      </c>
      <c r="J29" s="38">
        <f>SUM(J22:J28)</f>
        <v/>
      </c>
    </row>
    <row r="31">
      <c r="A31" s="41" t="inlineStr">
        <is>
          <t>Heineken USA</t>
        </is>
      </c>
      <c r="B31" s="42" t="inlineStr">
        <is>
          <t>INCENTED</t>
        </is>
      </c>
      <c r="C31" s="41" t="inlineStr">
        <is>
          <t>Heineken 0.0</t>
        </is>
      </c>
      <c r="D31" s="33">
        <f>SUMIFS('Program Brands'!$D$6:$D$37,'Program Brands'!$B$6:$B$37,$A31,'Program Brands'!$C$6:$C$37,$C31)</f>
        <v/>
      </c>
      <c r="E31" s="33">
        <f>SUMIFS('Program Brands'!$E$6:$E$37,'Program Brands'!$B$6:$B$37,$A31,'Program Brands'!$C$6:$C$37,$C31)</f>
        <v/>
      </c>
      <c r="F31" s="43">
        <f>E31-D31</f>
        <v/>
      </c>
      <c r="G31" s="44">
        <f>IFERROR(E31/D31-1,"")</f>
        <v/>
      </c>
      <c r="H31" s="36">
        <f>SUMIFS('Program Brands'!$H$6:$H$37,'Program Brands'!$B$6:$B$37,$A31,'Program Brands'!$C$6:$C$37,$C31)</f>
        <v/>
      </c>
      <c r="I31" s="36">
        <f>SUMIFS('Program Brands'!$I$6:$I$37,'Program Brands'!$B$6:$B$37,$A31,'Program Brands'!$C$6:$C$37,$C31)</f>
        <v/>
      </c>
      <c r="J31" s="38">
        <f>I31-H31</f>
        <v/>
      </c>
    </row>
    <row r="32">
      <c r="A32" s="41" t="inlineStr">
        <is>
          <t>Heineken USA</t>
        </is>
      </c>
      <c r="B32" s="42" t="inlineStr">
        <is>
          <t>INCENTED</t>
        </is>
      </c>
      <c r="C32" s="41" t="inlineStr">
        <is>
          <t>Heineken Light</t>
        </is>
      </c>
      <c r="D32" s="33">
        <f>SUMIFS('Program Brands'!$D$6:$D$37,'Program Brands'!$B$6:$B$37,$A32,'Program Brands'!$C$6:$C$37,$C32)</f>
        <v/>
      </c>
      <c r="E32" s="33">
        <f>SUMIFS('Program Brands'!$E$6:$E$37,'Program Brands'!$B$6:$B$37,$A32,'Program Brands'!$C$6:$C$37,$C32)</f>
        <v/>
      </c>
      <c r="F32" s="43">
        <f>E32-D32</f>
        <v/>
      </c>
      <c r="G32" s="44">
        <f>IFERROR(E32/D32-1,"")</f>
        <v/>
      </c>
      <c r="H32" s="36">
        <f>SUMIFS('Program Brands'!$H$6:$H$37,'Program Brands'!$B$6:$B$37,$A32,'Program Brands'!$C$6:$C$37,$C32)</f>
        <v/>
      </c>
      <c r="I32" s="36">
        <f>SUMIFS('Program Brands'!$I$6:$I$37,'Program Brands'!$B$6:$B$37,$A32,'Program Brands'!$C$6:$C$37,$C32)</f>
        <v/>
      </c>
      <c r="J32" s="38">
        <f>I32-H32</f>
        <v/>
      </c>
    </row>
    <row r="33">
      <c r="A33" s="41" t="inlineStr">
        <is>
          <t>Heineken USA</t>
        </is>
      </c>
      <c r="B33" s="42" t="inlineStr">
        <is>
          <t>INCENTED</t>
        </is>
      </c>
      <c r="C33" s="41" t="inlineStr">
        <is>
          <t>Heineken USA</t>
        </is>
      </c>
      <c r="D33" s="33">
        <f>SUMIFS('Program Brands'!$D$6:$D$37,'Program Brands'!$B$6:$B$37,$A33,'Program Brands'!$C$6:$C$37,$C33)</f>
        <v/>
      </c>
      <c r="E33" s="33">
        <f>SUMIFS('Program Brands'!$E$6:$E$37,'Program Brands'!$B$6:$B$37,$A33,'Program Brands'!$C$6:$C$37,$C33)</f>
        <v/>
      </c>
      <c r="F33" s="43">
        <f>E33-D33</f>
        <v/>
      </c>
      <c r="G33" s="44">
        <f>IFERROR(E33/D33-1,"")</f>
        <v/>
      </c>
      <c r="H33" s="36">
        <f>SUMIFS('Program Brands'!$H$6:$H$37,'Program Brands'!$B$6:$B$37,$A33,'Program Brands'!$C$6:$C$37,$C33)</f>
        <v/>
      </c>
      <c r="I33" s="36">
        <f>SUMIFS('Program Brands'!$I$6:$I$37,'Program Brands'!$B$6:$B$37,$A33,'Program Brands'!$C$6:$C$37,$C33)</f>
        <v/>
      </c>
      <c r="J33" s="38">
        <f>I33-H33</f>
        <v/>
      </c>
    </row>
    <row r="34">
      <c r="A34" s="2" t="inlineStr">
        <is>
          <t>Heineken USA</t>
        </is>
      </c>
      <c r="B34" s="2" t="inlineStr">
        <is>
          <t>not incented</t>
        </is>
      </c>
      <c r="C34" s="41" t="inlineStr">
        <is>
          <t>Amstel</t>
        </is>
      </c>
      <c r="D34" s="33">
        <f>SUMIFS('Control Brands'!$C$5:$C$296,'Control Brands'!$A$5:$A$296,$A34,'Control Brands'!$B$5:$B$296,$C34)</f>
        <v/>
      </c>
      <c r="E34" s="33">
        <f>SUMIFS('Control Brands'!$D$5:$D$296,'Control Brands'!$A$5:$A$296,$A34,'Control Brands'!$B$5:$B$296,$C34)</f>
        <v/>
      </c>
      <c r="F34" s="43">
        <f>E34-D34</f>
        <v/>
      </c>
      <c r="G34" s="44">
        <f>IFERROR(E34/D34-1,"")</f>
        <v/>
      </c>
      <c r="H34" s="36">
        <f>SUMIFS('Control Brands'!$G$5:$G$296,'Control Brands'!$A$5:$A$296,$A34,'Control Brands'!$B$5:$B$296,$C34)</f>
        <v/>
      </c>
      <c r="I34" s="36">
        <f>SUMIFS('Control Brands'!$H$5:$H$296,'Control Brands'!$A$5:$A$296,$A34,'Control Brands'!$B$5:$B$296,$C34)</f>
        <v/>
      </c>
      <c r="J34" s="38">
        <f>I34-H34</f>
        <v/>
      </c>
    </row>
    <row r="35">
      <c r="A35" s="2" t="inlineStr">
        <is>
          <t>Heineken USA</t>
        </is>
      </c>
      <c r="B35" s="2" t="inlineStr">
        <is>
          <t>not incented</t>
        </is>
      </c>
      <c r="C35" s="41" t="inlineStr">
        <is>
          <t>Buckler</t>
        </is>
      </c>
      <c r="D35" s="33">
        <f>SUMIFS('Control Brands'!$C$5:$C$296,'Control Brands'!$A$5:$A$296,$A35,'Control Brands'!$B$5:$B$296,$C35)</f>
        <v/>
      </c>
      <c r="E35" s="33">
        <f>SUMIFS('Control Brands'!$D$5:$D$296,'Control Brands'!$A$5:$A$296,$A35,'Control Brands'!$B$5:$B$296,$C35)</f>
        <v/>
      </c>
      <c r="F35" s="43">
        <f>E35-D35</f>
        <v/>
      </c>
      <c r="G35" s="44">
        <f>IFERROR(E35/D35-1,"")</f>
        <v/>
      </c>
      <c r="H35" s="36">
        <f>SUMIFS('Control Brands'!$G$5:$G$296,'Control Brands'!$A$5:$A$296,$A35,'Control Brands'!$B$5:$B$296,$C35)</f>
        <v/>
      </c>
      <c r="I35" s="36">
        <f>SUMIFS('Control Brands'!$H$5:$H$296,'Control Brands'!$A$5:$A$296,$A35,'Control Brands'!$B$5:$B$296,$C35)</f>
        <v/>
      </c>
      <c r="J35" s="38">
        <f>I35-H35</f>
        <v/>
      </c>
    </row>
    <row r="36">
      <c r="A36" s="2" t="inlineStr">
        <is>
          <t>Heineken USA</t>
        </is>
      </c>
      <c r="B36" s="2" t="inlineStr">
        <is>
          <t>not incented</t>
        </is>
      </c>
      <c r="C36" s="41" t="inlineStr">
        <is>
          <t>Carta Blanca</t>
        </is>
      </c>
      <c r="D36" s="33">
        <f>SUMIFS('Control Brands'!$C$5:$C$296,'Control Brands'!$A$5:$A$296,$A36,'Control Brands'!$B$5:$B$296,$C36)</f>
        <v/>
      </c>
      <c r="E36" s="33">
        <f>SUMIFS('Control Brands'!$D$5:$D$296,'Control Brands'!$A$5:$A$296,$A36,'Control Brands'!$B$5:$B$296,$C36)</f>
        <v/>
      </c>
      <c r="F36" s="43">
        <f>E36-D36</f>
        <v/>
      </c>
      <c r="G36" s="44">
        <f>IFERROR(E36/D36-1,"")</f>
        <v/>
      </c>
      <c r="H36" s="36">
        <f>SUMIFS('Control Brands'!$G$5:$G$296,'Control Brands'!$A$5:$A$296,$A36,'Control Brands'!$B$5:$B$296,$C36)</f>
        <v/>
      </c>
      <c r="I36" s="36">
        <f>SUMIFS('Control Brands'!$H$5:$H$296,'Control Brands'!$A$5:$A$296,$A36,'Control Brands'!$B$5:$B$296,$C36)</f>
        <v/>
      </c>
      <c r="J36" s="38">
        <f>I36-H36</f>
        <v/>
      </c>
    </row>
    <row r="37">
      <c r="A37" s="2" t="inlineStr">
        <is>
          <t>Heineken USA</t>
        </is>
      </c>
      <c r="B37" s="2" t="inlineStr">
        <is>
          <t>not incented</t>
        </is>
      </c>
      <c r="C37" s="41" t="inlineStr">
        <is>
          <t>Dos Equis</t>
        </is>
      </c>
      <c r="D37" s="33">
        <f>SUMIFS('Control Brands'!$C$5:$C$296,'Control Brands'!$A$5:$A$296,$A37,'Control Brands'!$B$5:$B$296,$C37)</f>
        <v/>
      </c>
      <c r="E37" s="33">
        <f>SUMIFS('Control Brands'!$D$5:$D$296,'Control Brands'!$A$5:$A$296,$A37,'Control Brands'!$B$5:$B$296,$C37)</f>
        <v/>
      </c>
      <c r="F37" s="43">
        <f>E37-D37</f>
        <v/>
      </c>
      <c r="G37" s="44">
        <f>IFERROR(E37/D37-1,"")</f>
        <v/>
      </c>
      <c r="H37" s="36">
        <f>SUMIFS('Control Brands'!$G$5:$G$296,'Control Brands'!$A$5:$A$296,$A37,'Control Brands'!$B$5:$B$296,$C37)</f>
        <v/>
      </c>
      <c r="I37" s="36">
        <f>SUMIFS('Control Brands'!$H$5:$H$296,'Control Brands'!$A$5:$A$296,$A37,'Control Brands'!$B$5:$B$296,$C37)</f>
        <v/>
      </c>
      <c r="J37" s="38">
        <f>I37-H37</f>
        <v/>
      </c>
    </row>
    <row r="38">
      <c r="A38" s="2" t="inlineStr">
        <is>
          <t>Heineken USA</t>
        </is>
      </c>
      <c r="B38" s="2" t="inlineStr">
        <is>
          <t>not incented</t>
        </is>
      </c>
      <c r="C38" s="41" t="inlineStr">
        <is>
          <t>Heineken 0.0 Ultimate</t>
        </is>
      </c>
      <c r="D38" s="33">
        <f>SUMIFS('Control Brands'!$C$5:$C$296,'Control Brands'!$A$5:$A$296,$A38,'Control Brands'!$B$5:$B$296,$C38)</f>
        <v/>
      </c>
      <c r="E38" s="33">
        <f>SUMIFS('Control Brands'!$D$5:$D$296,'Control Brands'!$A$5:$A$296,$A38,'Control Brands'!$B$5:$B$296,$C38)</f>
        <v/>
      </c>
      <c r="F38" s="43">
        <f>E38-D38</f>
        <v/>
      </c>
      <c r="G38" s="44">
        <f>IFERROR(E38/D38-1,"")</f>
        <v/>
      </c>
      <c r="H38" s="36">
        <f>SUMIFS('Control Brands'!$G$5:$G$296,'Control Brands'!$A$5:$A$296,$A38,'Control Brands'!$B$5:$B$296,$C38)</f>
        <v/>
      </c>
      <c r="I38" s="36">
        <f>SUMIFS('Control Brands'!$H$5:$H$296,'Control Brands'!$A$5:$A$296,$A38,'Control Brands'!$B$5:$B$296,$C38)</f>
        <v/>
      </c>
      <c r="J38" s="38">
        <f>I38-H38</f>
        <v/>
      </c>
    </row>
    <row r="39">
      <c r="A39" s="2" t="inlineStr">
        <is>
          <t>Heineken USA</t>
        </is>
      </c>
      <c r="B39" s="2" t="inlineStr">
        <is>
          <t>not incented</t>
        </is>
      </c>
      <c r="C39" s="41" t="inlineStr">
        <is>
          <t>Heineken Silver</t>
        </is>
      </c>
      <c r="D39" s="33">
        <f>SUMIFS('Control Brands'!$C$5:$C$296,'Control Brands'!$A$5:$A$296,$A39,'Control Brands'!$B$5:$B$296,$C39)</f>
        <v/>
      </c>
      <c r="E39" s="33">
        <f>SUMIFS('Control Brands'!$D$5:$D$296,'Control Brands'!$A$5:$A$296,$A39,'Control Brands'!$B$5:$B$296,$C39)</f>
        <v/>
      </c>
      <c r="F39" s="43">
        <f>E39-D39</f>
        <v/>
      </c>
      <c r="G39" s="44">
        <f>IFERROR(E39/D39-1,"")</f>
        <v/>
      </c>
      <c r="H39" s="36">
        <f>SUMIFS('Control Brands'!$G$5:$G$296,'Control Brands'!$A$5:$A$296,$A39,'Control Brands'!$B$5:$B$296,$C39)</f>
        <v/>
      </c>
      <c r="I39" s="36">
        <f>SUMIFS('Control Brands'!$H$5:$H$296,'Control Brands'!$A$5:$A$296,$A39,'Control Brands'!$B$5:$B$296,$C39)</f>
        <v/>
      </c>
      <c r="J39" s="38">
        <f>I39-H39</f>
        <v/>
      </c>
    </row>
    <row r="40">
      <c r="A40" s="2" t="inlineStr">
        <is>
          <t>Heineken USA</t>
        </is>
      </c>
      <c r="B40" s="2" t="inlineStr">
        <is>
          <t>not incented</t>
        </is>
      </c>
      <c r="C40" s="41" t="inlineStr">
        <is>
          <t>Murphy's</t>
        </is>
      </c>
      <c r="D40" s="33">
        <f>SUMIFS('Control Brands'!$C$5:$C$296,'Control Brands'!$A$5:$A$296,$A40,'Control Brands'!$B$5:$B$296,$C40)</f>
        <v/>
      </c>
      <c r="E40" s="33">
        <f>SUMIFS('Control Brands'!$D$5:$D$296,'Control Brands'!$A$5:$A$296,$A40,'Control Brands'!$B$5:$B$296,$C40)</f>
        <v/>
      </c>
      <c r="F40" s="43">
        <f>E40-D40</f>
        <v/>
      </c>
      <c r="G40" s="44">
        <f>IFERROR(E40/D40-1,"")</f>
        <v/>
      </c>
      <c r="H40" s="36">
        <f>SUMIFS('Control Brands'!$G$5:$G$296,'Control Brands'!$A$5:$A$296,$A40,'Control Brands'!$B$5:$B$296,$C40)</f>
        <v/>
      </c>
      <c r="I40" s="36">
        <f>SUMIFS('Control Brands'!$H$5:$H$296,'Control Brands'!$A$5:$A$296,$A40,'Control Brands'!$B$5:$B$296,$C40)</f>
        <v/>
      </c>
      <c r="J40" s="38">
        <f>I40-H40</f>
        <v/>
      </c>
    </row>
    <row r="41">
      <c r="A41" s="2" t="inlineStr">
        <is>
          <t>Heineken USA</t>
        </is>
      </c>
      <c r="B41" s="2" t="inlineStr">
        <is>
          <t>not incented</t>
        </is>
      </c>
      <c r="C41" s="41" t="inlineStr">
        <is>
          <t>Newcastle</t>
        </is>
      </c>
      <c r="D41" s="33">
        <f>SUMIFS('Control Brands'!$C$5:$C$296,'Control Brands'!$A$5:$A$296,$A41,'Control Brands'!$B$5:$B$296,$C41)</f>
        <v/>
      </c>
      <c r="E41" s="33">
        <f>SUMIFS('Control Brands'!$D$5:$D$296,'Control Brands'!$A$5:$A$296,$A41,'Control Brands'!$B$5:$B$296,$C41)</f>
        <v/>
      </c>
      <c r="F41" s="43">
        <f>E41-D41</f>
        <v/>
      </c>
      <c r="G41" s="44">
        <f>IFERROR(E41/D41-1,"")</f>
        <v/>
      </c>
      <c r="H41" s="36">
        <f>SUMIFS('Control Brands'!$G$5:$G$296,'Control Brands'!$A$5:$A$296,$A41,'Control Brands'!$B$5:$B$296,$C41)</f>
        <v/>
      </c>
      <c r="I41" s="36">
        <f>SUMIFS('Control Brands'!$H$5:$H$296,'Control Brands'!$A$5:$A$296,$A41,'Control Brands'!$B$5:$B$296,$C41)</f>
        <v/>
      </c>
      <c r="J41" s="38">
        <f>I41-H41</f>
        <v/>
      </c>
    </row>
    <row r="42">
      <c r="A42" s="2" t="inlineStr">
        <is>
          <t>Heineken USA</t>
        </is>
      </c>
      <c r="B42" s="2" t="inlineStr">
        <is>
          <t>not incented</t>
        </is>
      </c>
      <c r="C42" s="41" t="inlineStr">
        <is>
          <t>Prestige Lager</t>
        </is>
      </c>
      <c r="D42" s="33">
        <f>SUMIFS('Control Brands'!$C$5:$C$296,'Control Brands'!$A$5:$A$296,$A42,'Control Brands'!$B$5:$B$296,$C42)</f>
        <v/>
      </c>
      <c r="E42" s="33">
        <f>SUMIFS('Control Brands'!$D$5:$D$296,'Control Brands'!$A$5:$A$296,$A42,'Control Brands'!$B$5:$B$296,$C42)</f>
        <v/>
      </c>
      <c r="F42" s="43">
        <f>E42-D42</f>
        <v/>
      </c>
      <c r="G42" s="44">
        <f>IFERROR(E42/D42-1,"")</f>
        <v/>
      </c>
      <c r="H42" s="36">
        <f>SUMIFS('Control Brands'!$G$5:$G$296,'Control Brands'!$A$5:$A$296,$A42,'Control Brands'!$B$5:$B$296,$C42)</f>
        <v/>
      </c>
      <c r="I42" s="36">
        <f>SUMIFS('Control Brands'!$H$5:$H$296,'Control Brands'!$A$5:$A$296,$A42,'Control Brands'!$B$5:$B$296,$C42)</f>
        <v/>
      </c>
      <c r="J42" s="38">
        <f>I42-H42</f>
        <v/>
      </c>
    </row>
    <row r="43">
      <c r="A43" s="2" t="inlineStr">
        <is>
          <t>Heineken USA</t>
        </is>
      </c>
      <c r="B43" s="2" t="inlineStr">
        <is>
          <t>not incented</t>
        </is>
      </c>
      <c r="C43" s="41" t="inlineStr">
        <is>
          <t>Red Stripe</t>
        </is>
      </c>
      <c r="D43" s="33">
        <f>SUMIFS('Control Brands'!$C$5:$C$296,'Control Brands'!$A$5:$A$296,$A43,'Control Brands'!$B$5:$B$296,$C43)</f>
        <v/>
      </c>
      <c r="E43" s="33">
        <f>SUMIFS('Control Brands'!$D$5:$D$296,'Control Brands'!$A$5:$A$296,$A43,'Control Brands'!$B$5:$B$296,$C43)</f>
        <v/>
      </c>
      <c r="F43" s="43">
        <f>E43-D43</f>
        <v/>
      </c>
      <c r="G43" s="44">
        <f>IFERROR(E43/D43-1,"")</f>
        <v/>
      </c>
      <c r="H43" s="36">
        <f>SUMIFS('Control Brands'!$G$5:$G$296,'Control Brands'!$A$5:$A$296,$A43,'Control Brands'!$B$5:$B$296,$C43)</f>
        <v/>
      </c>
      <c r="I43" s="36">
        <f>SUMIFS('Control Brands'!$H$5:$H$296,'Control Brands'!$A$5:$A$296,$A43,'Control Brands'!$B$5:$B$296,$C43)</f>
        <v/>
      </c>
      <c r="J43" s="38">
        <f>I43-H43</f>
        <v/>
      </c>
    </row>
    <row r="44">
      <c r="A44" s="2" t="inlineStr">
        <is>
          <t>Heineken USA</t>
        </is>
      </c>
      <c r="B44" s="2" t="inlineStr">
        <is>
          <t>not incented</t>
        </is>
      </c>
      <c r="C44" s="41" t="inlineStr">
        <is>
          <t>Strongbow</t>
        </is>
      </c>
      <c r="D44" s="33">
        <f>SUMIFS('Control Brands'!$C$5:$C$296,'Control Brands'!$A$5:$A$296,$A44,'Control Brands'!$B$5:$B$296,$C44)</f>
        <v/>
      </c>
      <c r="E44" s="33">
        <f>SUMIFS('Control Brands'!$D$5:$D$296,'Control Brands'!$A$5:$A$296,$A44,'Control Brands'!$B$5:$B$296,$C44)</f>
        <v/>
      </c>
      <c r="F44" s="43">
        <f>E44-D44</f>
        <v/>
      </c>
      <c r="G44" s="44">
        <f>IFERROR(E44/D44-1,"")</f>
        <v/>
      </c>
      <c r="H44" s="36">
        <f>SUMIFS('Control Brands'!$G$5:$G$296,'Control Brands'!$A$5:$A$296,$A44,'Control Brands'!$B$5:$B$296,$C44)</f>
        <v/>
      </c>
      <c r="I44" s="36">
        <f>SUMIFS('Control Brands'!$H$5:$H$296,'Control Brands'!$A$5:$A$296,$A44,'Control Brands'!$B$5:$B$296,$C44)</f>
        <v/>
      </c>
      <c r="J44" s="38">
        <f>I44-H44</f>
        <v/>
      </c>
    </row>
    <row r="45">
      <c r="A45" s="2" t="inlineStr">
        <is>
          <t>Heineken USA</t>
        </is>
      </c>
      <c r="B45" s="2" t="inlineStr">
        <is>
          <t>not incented</t>
        </is>
      </c>
      <c r="C45" s="41" t="inlineStr">
        <is>
          <t>Tecate</t>
        </is>
      </c>
      <c r="D45" s="33">
        <f>SUMIFS('Control Brands'!$C$5:$C$296,'Control Brands'!$A$5:$A$296,$A45,'Control Brands'!$B$5:$B$296,$C45)</f>
        <v/>
      </c>
      <c r="E45" s="33">
        <f>SUMIFS('Control Brands'!$D$5:$D$296,'Control Brands'!$A$5:$A$296,$A45,'Control Brands'!$B$5:$B$296,$C45)</f>
        <v/>
      </c>
      <c r="F45" s="43">
        <f>E45-D45</f>
        <v/>
      </c>
      <c r="G45" s="44">
        <f>IFERROR(E45/D45-1,"")</f>
        <v/>
      </c>
      <c r="H45" s="36">
        <f>SUMIFS('Control Brands'!$G$5:$G$296,'Control Brands'!$A$5:$A$296,$A45,'Control Brands'!$B$5:$B$296,$C45)</f>
        <v/>
      </c>
      <c r="I45" s="36">
        <f>SUMIFS('Control Brands'!$H$5:$H$296,'Control Brands'!$A$5:$A$296,$A45,'Control Brands'!$B$5:$B$296,$C45)</f>
        <v/>
      </c>
      <c r="J45" s="38">
        <f>I45-H45</f>
        <v/>
      </c>
    </row>
    <row r="46">
      <c r="C46" s="45" t="inlineStr">
        <is>
          <t>Heineken USA — total</t>
        </is>
      </c>
      <c r="D46" s="43">
        <f>SUM(D31:D45)</f>
        <v/>
      </c>
      <c r="E46" s="43">
        <f>SUM(E31:E45)</f>
        <v/>
      </c>
      <c r="F46" s="43">
        <f>SUM(F31:F45)</f>
        <v/>
      </c>
      <c r="H46" s="38">
        <f>SUM(H31:H45)</f>
        <v/>
      </c>
      <c r="I46" s="38">
        <f>SUM(I31:I45)</f>
        <v/>
      </c>
      <c r="J46" s="38">
        <f>SUM(J31:J45)</f>
        <v/>
      </c>
    </row>
    <row r="48">
      <c r="A48" s="41" t="inlineStr">
        <is>
          <t>MolsonCoors Beverage Company</t>
        </is>
      </c>
      <c r="B48" s="42" t="inlineStr">
        <is>
          <t>INCENTED</t>
        </is>
      </c>
      <c r="C48" s="41" t="inlineStr">
        <is>
          <t>Blue Moon</t>
        </is>
      </c>
      <c r="D48" s="33">
        <f>SUMIFS('Program Brands'!$D$6:$D$37,'Program Brands'!$B$6:$B$37,$A48,'Program Brands'!$C$6:$C$37,$C48)</f>
        <v/>
      </c>
      <c r="E48" s="33">
        <f>SUMIFS('Program Brands'!$E$6:$E$37,'Program Brands'!$B$6:$B$37,$A48,'Program Brands'!$C$6:$C$37,$C48)</f>
        <v/>
      </c>
      <c r="F48" s="43">
        <f>E48-D48</f>
        <v/>
      </c>
      <c r="G48" s="44">
        <f>IFERROR(E48/D48-1,"")</f>
        <v/>
      </c>
      <c r="H48" s="36">
        <f>SUMIFS('Program Brands'!$H$6:$H$37,'Program Brands'!$B$6:$B$37,$A48,'Program Brands'!$C$6:$C$37,$C48)</f>
        <v/>
      </c>
      <c r="I48" s="36">
        <f>SUMIFS('Program Brands'!$I$6:$I$37,'Program Brands'!$B$6:$B$37,$A48,'Program Brands'!$C$6:$C$37,$C48)</f>
        <v/>
      </c>
      <c r="J48" s="38">
        <f>I48-H48</f>
        <v/>
      </c>
    </row>
    <row r="49">
      <c r="A49" s="41" t="inlineStr">
        <is>
          <t>MolsonCoors Beverage Company</t>
        </is>
      </c>
      <c r="B49" s="42" t="inlineStr">
        <is>
          <t>INCENTED</t>
        </is>
      </c>
      <c r="C49" s="41" t="inlineStr">
        <is>
          <t>Coors</t>
        </is>
      </c>
      <c r="D49" s="33">
        <f>SUMIFS('Program Brands'!$D$6:$D$37,'Program Brands'!$B$6:$B$37,$A49,'Program Brands'!$C$6:$C$37,$C49)</f>
        <v/>
      </c>
      <c r="E49" s="33">
        <f>SUMIFS('Program Brands'!$E$6:$E$37,'Program Brands'!$B$6:$B$37,$A49,'Program Brands'!$C$6:$C$37,$C49)</f>
        <v/>
      </c>
      <c r="F49" s="43">
        <f>E49-D49</f>
        <v/>
      </c>
      <c r="G49" s="44">
        <f>IFERROR(E49/D49-1,"")</f>
        <v/>
      </c>
      <c r="H49" s="36">
        <f>SUMIFS('Program Brands'!$H$6:$H$37,'Program Brands'!$B$6:$B$37,$A49,'Program Brands'!$C$6:$C$37,$C49)</f>
        <v/>
      </c>
      <c r="I49" s="36">
        <f>SUMIFS('Program Brands'!$I$6:$I$37,'Program Brands'!$B$6:$B$37,$A49,'Program Brands'!$C$6:$C$37,$C49)</f>
        <v/>
      </c>
      <c r="J49" s="38">
        <f>I49-H49</f>
        <v/>
      </c>
    </row>
    <row r="50">
      <c r="A50" s="41" t="inlineStr">
        <is>
          <t>MolsonCoors Beverage Company</t>
        </is>
      </c>
      <c r="B50" s="42" t="inlineStr">
        <is>
          <t>INCENTED</t>
        </is>
      </c>
      <c r="C50" s="41" t="inlineStr">
        <is>
          <t>Coors Light</t>
        </is>
      </c>
      <c r="D50" s="33">
        <f>SUMIFS('Program Brands'!$D$6:$D$37,'Program Brands'!$B$6:$B$37,$A50,'Program Brands'!$C$6:$C$37,$C50)</f>
        <v/>
      </c>
      <c r="E50" s="33">
        <f>SUMIFS('Program Brands'!$E$6:$E$37,'Program Brands'!$B$6:$B$37,$A50,'Program Brands'!$C$6:$C$37,$C50)</f>
        <v/>
      </c>
      <c r="F50" s="43">
        <f>E50-D50</f>
        <v/>
      </c>
      <c r="G50" s="44">
        <f>IFERROR(E50/D50-1,"")</f>
        <v/>
      </c>
      <c r="H50" s="36">
        <f>SUMIFS('Program Brands'!$H$6:$H$37,'Program Brands'!$B$6:$B$37,$A50,'Program Brands'!$C$6:$C$37,$C50)</f>
        <v/>
      </c>
      <c r="I50" s="36">
        <f>SUMIFS('Program Brands'!$I$6:$I$37,'Program Brands'!$B$6:$B$37,$A50,'Program Brands'!$C$6:$C$37,$C50)</f>
        <v/>
      </c>
      <c r="J50" s="38">
        <f>I50-H50</f>
        <v/>
      </c>
    </row>
    <row r="51">
      <c r="A51" s="41" t="inlineStr">
        <is>
          <t>MolsonCoors Beverage Company</t>
        </is>
      </c>
      <c r="B51" s="42" t="inlineStr">
        <is>
          <t>INCENTED</t>
        </is>
      </c>
      <c r="C51" s="41" t="inlineStr">
        <is>
          <t>Fever Tree</t>
        </is>
      </c>
      <c r="D51" s="33">
        <f>SUMIFS('Program Brands'!$D$6:$D$37,'Program Brands'!$B$6:$B$37,$A51,'Program Brands'!$C$6:$C$37,$C51)</f>
        <v/>
      </c>
      <c r="E51" s="33">
        <f>SUMIFS('Program Brands'!$E$6:$E$37,'Program Brands'!$B$6:$B$37,$A51,'Program Brands'!$C$6:$C$37,$C51)</f>
        <v/>
      </c>
      <c r="F51" s="43">
        <f>E51-D51</f>
        <v/>
      </c>
      <c r="G51" s="44">
        <f>IFERROR(E51/D51-1,"")</f>
        <v/>
      </c>
      <c r="H51" s="36">
        <f>SUMIFS('Program Brands'!$H$6:$H$37,'Program Brands'!$B$6:$B$37,$A51,'Program Brands'!$C$6:$C$37,$C51)</f>
        <v/>
      </c>
      <c r="I51" s="36">
        <f>SUMIFS('Program Brands'!$I$6:$I$37,'Program Brands'!$B$6:$B$37,$A51,'Program Brands'!$C$6:$C$37,$C51)</f>
        <v/>
      </c>
      <c r="J51" s="38">
        <f>I51-H51</f>
        <v/>
      </c>
    </row>
    <row r="52">
      <c r="A52" s="41" t="inlineStr">
        <is>
          <t>MolsonCoors Beverage Company</t>
        </is>
      </c>
      <c r="B52" s="42" t="inlineStr">
        <is>
          <t>INCENTED</t>
        </is>
      </c>
      <c r="C52" s="41" t="inlineStr">
        <is>
          <t>Lite</t>
        </is>
      </c>
      <c r="D52" s="33">
        <f>SUMIFS('Program Brands'!$D$6:$D$37,'Program Brands'!$B$6:$B$37,$A52,'Program Brands'!$C$6:$C$37,$C52)</f>
        <v/>
      </c>
      <c r="E52" s="33">
        <f>SUMIFS('Program Brands'!$E$6:$E$37,'Program Brands'!$B$6:$B$37,$A52,'Program Brands'!$C$6:$C$37,$C52)</f>
        <v/>
      </c>
      <c r="F52" s="43">
        <f>E52-D52</f>
        <v/>
      </c>
      <c r="G52" s="44">
        <f>IFERROR(E52/D52-1,"")</f>
        <v/>
      </c>
      <c r="H52" s="36">
        <f>SUMIFS('Program Brands'!$H$6:$H$37,'Program Brands'!$B$6:$B$37,$A52,'Program Brands'!$C$6:$C$37,$C52)</f>
        <v/>
      </c>
      <c r="I52" s="36">
        <f>SUMIFS('Program Brands'!$I$6:$I$37,'Program Brands'!$B$6:$B$37,$A52,'Program Brands'!$C$6:$C$37,$C52)</f>
        <v/>
      </c>
      <c r="J52" s="38">
        <f>I52-H52</f>
        <v/>
      </c>
    </row>
    <row r="53">
      <c r="A53" s="41" t="inlineStr">
        <is>
          <t>MolsonCoors Beverage Company</t>
        </is>
      </c>
      <c r="B53" s="42" t="inlineStr">
        <is>
          <t>INCENTED</t>
        </is>
      </c>
      <c r="C53" s="41" t="inlineStr">
        <is>
          <t>Peroni</t>
        </is>
      </c>
      <c r="D53" s="33">
        <f>SUMIFS('Program Brands'!$D$6:$D$37,'Program Brands'!$B$6:$B$37,$A53,'Program Brands'!$C$6:$C$37,$C53)</f>
        <v/>
      </c>
      <c r="E53" s="33">
        <f>SUMIFS('Program Brands'!$E$6:$E$37,'Program Brands'!$B$6:$B$37,$A53,'Program Brands'!$C$6:$C$37,$C53)</f>
        <v/>
      </c>
      <c r="F53" s="43">
        <f>E53-D53</f>
        <v/>
      </c>
      <c r="G53" s="44">
        <f>IFERROR(E53/D53-1,"")</f>
        <v/>
      </c>
      <c r="H53" s="36">
        <f>SUMIFS('Program Brands'!$H$6:$H$37,'Program Brands'!$B$6:$B$37,$A53,'Program Brands'!$C$6:$C$37,$C53)</f>
        <v/>
      </c>
      <c r="I53" s="36">
        <f>SUMIFS('Program Brands'!$I$6:$I$37,'Program Brands'!$B$6:$B$37,$A53,'Program Brands'!$C$6:$C$37,$C53)</f>
        <v/>
      </c>
      <c r="J53" s="38">
        <f>I53-H53</f>
        <v/>
      </c>
    </row>
    <row r="54">
      <c r="A54" s="2" t="inlineStr">
        <is>
          <t>MolsonCoors Beverage Company</t>
        </is>
      </c>
      <c r="B54" s="2" t="inlineStr">
        <is>
          <t>not incented</t>
        </is>
      </c>
      <c r="C54" s="41" t="inlineStr">
        <is>
          <t>Aguila</t>
        </is>
      </c>
      <c r="D54" s="33">
        <f>SUMIFS('Control Brands'!$C$5:$C$296,'Control Brands'!$A$5:$A$296,$A54,'Control Brands'!$B$5:$B$296,$C54)</f>
        <v/>
      </c>
      <c r="E54" s="33">
        <f>SUMIFS('Control Brands'!$D$5:$D$296,'Control Brands'!$A$5:$A$296,$A54,'Control Brands'!$B$5:$B$296,$C54)</f>
        <v/>
      </c>
      <c r="F54" s="43">
        <f>E54-D54</f>
        <v/>
      </c>
      <c r="G54" s="44">
        <f>IFERROR(E54/D54-1,"")</f>
        <v/>
      </c>
      <c r="H54" s="36">
        <f>SUMIFS('Control Brands'!$G$5:$G$296,'Control Brands'!$A$5:$A$296,$A54,'Control Brands'!$B$5:$B$296,$C54)</f>
        <v/>
      </c>
      <c r="I54" s="36">
        <f>SUMIFS('Control Brands'!$H$5:$H$296,'Control Brands'!$A$5:$A$296,$A54,'Control Brands'!$B$5:$B$296,$C54)</f>
        <v/>
      </c>
      <c r="J54" s="38">
        <f>I54-H54</f>
        <v/>
      </c>
    </row>
    <row r="55">
      <c r="A55" s="2" t="inlineStr">
        <is>
          <t>MolsonCoors Beverage Company</t>
        </is>
      </c>
      <c r="B55" s="2" t="inlineStr">
        <is>
          <t>not incented</t>
        </is>
      </c>
      <c r="C55" s="41" t="inlineStr">
        <is>
          <t>Arnold Palmer</t>
        </is>
      </c>
      <c r="D55" s="33">
        <f>SUMIFS('Control Brands'!$C$5:$C$296,'Control Brands'!$A$5:$A$296,$A55,'Control Brands'!$B$5:$B$296,$C55)</f>
        <v/>
      </c>
      <c r="E55" s="33">
        <f>SUMIFS('Control Brands'!$D$5:$D$296,'Control Brands'!$A$5:$A$296,$A55,'Control Brands'!$B$5:$B$296,$C55)</f>
        <v/>
      </c>
      <c r="F55" s="43">
        <f>E55-D55</f>
        <v/>
      </c>
      <c r="G55" s="44">
        <f>IFERROR(E55/D55-1,"")</f>
        <v/>
      </c>
      <c r="H55" s="36">
        <f>SUMIFS('Control Brands'!$G$5:$G$296,'Control Brands'!$A$5:$A$296,$A55,'Control Brands'!$B$5:$B$296,$C55)</f>
        <v/>
      </c>
      <c r="I55" s="36">
        <f>SUMIFS('Control Brands'!$H$5:$H$296,'Control Brands'!$A$5:$A$296,$A55,'Control Brands'!$B$5:$B$296,$C55)</f>
        <v/>
      </c>
      <c r="J55" s="38">
        <f>I55-H55</f>
        <v/>
      </c>
    </row>
    <row r="56">
      <c r="A56" s="2" t="inlineStr">
        <is>
          <t>MolsonCoors Beverage Company</t>
        </is>
      </c>
      <c r="B56" s="2" t="inlineStr">
        <is>
          <t>not incented</t>
        </is>
      </c>
      <c r="C56" s="41" t="inlineStr">
        <is>
          <t>Coors 0.0</t>
        </is>
      </c>
      <c r="D56" s="33">
        <f>SUMIFS('Control Brands'!$C$5:$C$296,'Control Brands'!$A$5:$A$296,$A56,'Control Brands'!$B$5:$B$296,$C56)</f>
        <v/>
      </c>
      <c r="E56" s="33">
        <f>SUMIFS('Control Brands'!$D$5:$D$296,'Control Brands'!$A$5:$A$296,$A56,'Control Brands'!$B$5:$B$296,$C56)</f>
        <v/>
      </c>
      <c r="F56" s="43">
        <f>E56-D56</f>
        <v/>
      </c>
      <c r="G56" s="44">
        <f>IFERROR(E56/D56-1,"")</f>
        <v/>
      </c>
      <c r="H56" s="36">
        <f>SUMIFS('Control Brands'!$G$5:$G$296,'Control Brands'!$A$5:$A$296,$A56,'Control Brands'!$B$5:$B$296,$C56)</f>
        <v/>
      </c>
      <c r="I56" s="36">
        <f>SUMIFS('Control Brands'!$H$5:$H$296,'Control Brands'!$A$5:$A$296,$A56,'Control Brands'!$B$5:$B$296,$C56)</f>
        <v/>
      </c>
      <c r="J56" s="38">
        <f>I56-H56</f>
        <v/>
      </c>
    </row>
    <row r="57">
      <c r="A57" s="2" t="inlineStr">
        <is>
          <t>MolsonCoors Beverage Company</t>
        </is>
      </c>
      <c r="B57" s="2" t="inlineStr">
        <is>
          <t>not incented</t>
        </is>
      </c>
      <c r="C57" s="41" t="inlineStr">
        <is>
          <t>Coors Edge</t>
        </is>
      </c>
      <c r="D57" s="33">
        <f>SUMIFS('Control Brands'!$C$5:$C$296,'Control Brands'!$A$5:$A$296,$A57,'Control Brands'!$B$5:$B$296,$C57)</f>
        <v/>
      </c>
      <c r="E57" s="33">
        <f>SUMIFS('Control Brands'!$D$5:$D$296,'Control Brands'!$A$5:$A$296,$A57,'Control Brands'!$B$5:$B$296,$C57)</f>
        <v/>
      </c>
      <c r="F57" s="43">
        <f>E57-D57</f>
        <v/>
      </c>
      <c r="G57" s="44">
        <f>IFERROR(E57/D57-1,"")</f>
        <v/>
      </c>
      <c r="H57" s="36">
        <f>SUMIFS('Control Brands'!$G$5:$G$296,'Control Brands'!$A$5:$A$296,$A57,'Control Brands'!$B$5:$B$296,$C57)</f>
        <v/>
      </c>
      <c r="I57" s="36">
        <f>SUMIFS('Control Brands'!$H$5:$H$296,'Control Brands'!$A$5:$A$296,$A57,'Control Brands'!$B$5:$B$296,$C57)</f>
        <v/>
      </c>
      <c r="J57" s="38">
        <f>I57-H57</f>
        <v/>
      </c>
    </row>
    <row r="58">
      <c r="A58" s="2" t="inlineStr">
        <is>
          <t>MolsonCoors Beverage Company</t>
        </is>
      </c>
      <c r="B58" s="2" t="inlineStr">
        <is>
          <t>not incented</t>
        </is>
      </c>
      <c r="C58" s="41" t="inlineStr">
        <is>
          <t>Cusquena</t>
        </is>
      </c>
      <c r="D58" s="33">
        <f>SUMIFS('Control Brands'!$C$5:$C$296,'Control Brands'!$A$5:$A$296,$A58,'Control Brands'!$B$5:$B$296,$C58)</f>
        <v/>
      </c>
      <c r="E58" s="33">
        <f>SUMIFS('Control Brands'!$D$5:$D$296,'Control Brands'!$A$5:$A$296,$A58,'Control Brands'!$B$5:$B$296,$C58)</f>
        <v/>
      </c>
      <c r="F58" s="43">
        <f>E58-D58</f>
        <v/>
      </c>
      <c r="G58" s="44">
        <f>IFERROR(E58/D58-1,"")</f>
        <v/>
      </c>
      <c r="H58" s="36">
        <f>SUMIFS('Control Brands'!$G$5:$G$296,'Control Brands'!$A$5:$A$296,$A58,'Control Brands'!$B$5:$B$296,$C58)</f>
        <v/>
      </c>
      <c r="I58" s="36">
        <f>SUMIFS('Control Brands'!$H$5:$H$296,'Control Brands'!$A$5:$A$296,$A58,'Control Brands'!$B$5:$B$296,$C58)</f>
        <v/>
      </c>
      <c r="J58" s="38">
        <f>I58-H58</f>
        <v/>
      </c>
    </row>
    <row r="59">
      <c r="A59" s="2" t="inlineStr">
        <is>
          <t>MolsonCoors Beverage Company</t>
        </is>
      </c>
      <c r="B59" s="2" t="inlineStr">
        <is>
          <t>not incented</t>
        </is>
      </c>
      <c r="C59" s="41" t="inlineStr">
        <is>
          <t>Fosters</t>
        </is>
      </c>
      <c r="D59" s="33">
        <f>SUMIFS('Control Brands'!$C$5:$C$296,'Control Brands'!$A$5:$A$296,$A59,'Control Brands'!$B$5:$B$296,$C59)</f>
        <v/>
      </c>
      <c r="E59" s="33">
        <f>SUMIFS('Control Brands'!$D$5:$D$296,'Control Brands'!$A$5:$A$296,$A59,'Control Brands'!$B$5:$B$296,$C59)</f>
        <v/>
      </c>
      <c r="F59" s="43">
        <f>E59-D59</f>
        <v/>
      </c>
      <c r="G59" s="44">
        <f>IFERROR(E59/D59-1,"")</f>
        <v/>
      </c>
      <c r="H59" s="36">
        <f>SUMIFS('Control Brands'!$G$5:$G$296,'Control Brands'!$A$5:$A$296,$A59,'Control Brands'!$B$5:$B$296,$C59)</f>
        <v/>
      </c>
      <c r="I59" s="36">
        <f>SUMIFS('Control Brands'!$H$5:$H$296,'Control Brands'!$A$5:$A$296,$A59,'Control Brands'!$B$5:$B$296,$C59)</f>
        <v/>
      </c>
      <c r="J59" s="38">
        <f>I59-H59</f>
        <v/>
      </c>
    </row>
    <row r="60">
      <c r="A60" s="2" t="inlineStr">
        <is>
          <t>MolsonCoors Beverage Company</t>
        </is>
      </c>
      <c r="B60" s="2" t="inlineStr">
        <is>
          <t>not incented</t>
        </is>
      </c>
      <c r="C60" s="41" t="inlineStr">
        <is>
          <t>George Killian's</t>
        </is>
      </c>
      <c r="D60" s="33">
        <f>SUMIFS('Control Brands'!$C$5:$C$296,'Control Brands'!$A$5:$A$296,$A60,'Control Brands'!$B$5:$B$296,$C60)</f>
        <v/>
      </c>
      <c r="E60" s="33">
        <f>SUMIFS('Control Brands'!$D$5:$D$296,'Control Brands'!$A$5:$A$296,$A60,'Control Brands'!$B$5:$B$296,$C60)</f>
        <v/>
      </c>
      <c r="F60" s="43">
        <f>E60-D60</f>
        <v/>
      </c>
      <c r="G60" s="44">
        <f>IFERROR(E60/D60-1,"")</f>
        <v/>
      </c>
      <c r="H60" s="36">
        <f>SUMIFS('Control Brands'!$G$5:$G$296,'Control Brands'!$A$5:$A$296,$A60,'Control Brands'!$B$5:$B$296,$C60)</f>
        <v/>
      </c>
      <c r="I60" s="36">
        <f>SUMIFS('Control Brands'!$H$5:$H$296,'Control Brands'!$A$5:$A$296,$A60,'Control Brands'!$B$5:$B$296,$C60)</f>
        <v/>
      </c>
      <c r="J60" s="38">
        <f>I60-H60</f>
        <v/>
      </c>
    </row>
    <row r="61">
      <c r="A61" s="2" t="inlineStr">
        <is>
          <t>MolsonCoors Beverage Company</t>
        </is>
      </c>
      <c r="B61" s="2" t="inlineStr">
        <is>
          <t>not incented</t>
        </is>
      </c>
      <c r="C61" s="41" t="inlineStr">
        <is>
          <t>Grolsch</t>
        </is>
      </c>
      <c r="D61" s="33">
        <f>SUMIFS('Control Brands'!$C$5:$C$296,'Control Brands'!$A$5:$A$296,$A61,'Control Brands'!$B$5:$B$296,$C61)</f>
        <v/>
      </c>
      <c r="E61" s="33">
        <f>SUMIFS('Control Brands'!$D$5:$D$296,'Control Brands'!$A$5:$A$296,$A61,'Control Brands'!$B$5:$B$296,$C61)</f>
        <v/>
      </c>
      <c r="F61" s="43">
        <f>E61-D61</f>
        <v/>
      </c>
      <c r="G61" s="44">
        <f>IFERROR(E61/D61-1,"")</f>
        <v/>
      </c>
      <c r="H61" s="36">
        <f>SUMIFS('Control Brands'!$G$5:$G$296,'Control Brands'!$A$5:$A$296,$A61,'Control Brands'!$B$5:$B$296,$C61)</f>
        <v/>
      </c>
      <c r="I61" s="36">
        <f>SUMIFS('Control Brands'!$H$5:$H$296,'Control Brands'!$A$5:$A$296,$A61,'Control Brands'!$B$5:$B$296,$C61)</f>
        <v/>
      </c>
      <c r="J61" s="38">
        <f>I61-H61</f>
        <v/>
      </c>
    </row>
    <row r="62">
      <c r="A62" s="2" t="inlineStr">
        <is>
          <t>MolsonCoors Beverage Company</t>
        </is>
      </c>
      <c r="B62" s="2" t="inlineStr">
        <is>
          <t>not incented</t>
        </is>
      </c>
      <c r="C62" s="41" t="inlineStr">
        <is>
          <t>Hamm's</t>
        </is>
      </c>
      <c r="D62" s="33">
        <f>SUMIFS('Control Brands'!$C$5:$C$296,'Control Brands'!$A$5:$A$296,$A62,'Control Brands'!$B$5:$B$296,$C62)</f>
        <v/>
      </c>
      <c r="E62" s="33">
        <f>SUMIFS('Control Brands'!$D$5:$D$296,'Control Brands'!$A$5:$A$296,$A62,'Control Brands'!$B$5:$B$296,$C62)</f>
        <v/>
      </c>
      <c r="F62" s="43">
        <f>E62-D62</f>
        <v/>
      </c>
      <c r="G62" s="44">
        <f>IFERROR(E62/D62-1,"")</f>
        <v/>
      </c>
      <c r="H62" s="36">
        <f>SUMIFS('Control Brands'!$G$5:$G$296,'Control Brands'!$A$5:$A$296,$A62,'Control Brands'!$B$5:$B$296,$C62)</f>
        <v/>
      </c>
      <c r="I62" s="36">
        <f>SUMIFS('Control Brands'!$H$5:$H$296,'Control Brands'!$A$5:$A$296,$A62,'Control Brands'!$B$5:$B$296,$C62)</f>
        <v/>
      </c>
      <c r="J62" s="38">
        <f>I62-H62</f>
        <v/>
      </c>
    </row>
    <row r="63">
      <c r="A63" s="2" t="inlineStr">
        <is>
          <t>MolsonCoors Beverage Company</t>
        </is>
      </c>
      <c r="B63" s="2" t="inlineStr">
        <is>
          <t>not incented</t>
        </is>
      </c>
      <c r="C63" s="41" t="inlineStr">
        <is>
          <t>Happy Thursday Spiked Refresher</t>
        </is>
      </c>
      <c r="D63" s="33">
        <f>SUMIFS('Control Brands'!$C$5:$C$296,'Control Brands'!$A$5:$A$296,$A63,'Control Brands'!$B$5:$B$296,$C63)</f>
        <v/>
      </c>
      <c r="E63" s="33">
        <f>SUMIFS('Control Brands'!$D$5:$D$296,'Control Brands'!$A$5:$A$296,$A63,'Control Brands'!$B$5:$B$296,$C63)</f>
        <v/>
      </c>
      <c r="F63" s="43">
        <f>E63-D63</f>
        <v/>
      </c>
      <c r="G63" s="44">
        <f>IFERROR(E63/D63-1,"")</f>
        <v/>
      </c>
      <c r="H63" s="36">
        <f>SUMIFS('Control Brands'!$G$5:$G$296,'Control Brands'!$A$5:$A$296,$A63,'Control Brands'!$B$5:$B$296,$C63)</f>
        <v/>
      </c>
      <c r="I63" s="36">
        <f>SUMIFS('Control Brands'!$H$5:$H$296,'Control Brands'!$A$5:$A$296,$A63,'Control Brands'!$B$5:$B$296,$C63)</f>
        <v/>
      </c>
      <c r="J63" s="38">
        <f>I63-H63</f>
        <v/>
      </c>
    </row>
    <row r="64">
      <c r="A64" s="2" t="inlineStr">
        <is>
          <t>MolsonCoors Beverage Company</t>
        </is>
      </c>
      <c r="B64" s="2" t="inlineStr">
        <is>
          <t>not incented</t>
        </is>
      </c>
      <c r="C64" s="41" t="inlineStr">
        <is>
          <t>Keystone</t>
        </is>
      </c>
      <c r="D64" s="33">
        <f>SUMIFS('Control Brands'!$C$5:$C$296,'Control Brands'!$A$5:$A$296,$A64,'Control Brands'!$B$5:$B$296,$C64)</f>
        <v/>
      </c>
      <c r="E64" s="33">
        <f>SUMIFS('Control Brands'!$D$5:$D$296,'Control Brands'!$A$5:$A$296,$A64,'Control Brands'!$B$5:$B$296,$C64)</f>
        <v/>
      </c>
      <c r="F64" s="43">
        <f>E64-D64</f>
        <v/>
      </c>
      <c r="G64" s="44">
        <f>IFERROR(E64/D64-1,"")</f>
        <v/>
      </c>
      <c r="H64" s="36">
        <f>SUMIFS('Control Brands'!$G$5:$G$296,'Control Brands'!$A$5:$A$296,$A64,'Control Brands'!$B$5:$B$296,$C64)</f>
        <v/>
      </c>
      <c r="I64" s="36">
        <f>SUMIFS('Control Brands'!$H$5:$H$296,'Control Brands'!$A$5:$A$296,$A64,'Control Brands'!$B$5:$B$296,$C64)</f>
        <v/>
      </c>
      <c r="J64" s="38">
        <f>I64-H64</f>
        <v/>
      </c>
    </row>
    <row r="65">
      <c r="A65" s="2" t="inlineStr">
        <is>
          <t>MolsonCoors Beverage Company</t>
        </is>
      </c>
      <c r="B65" s="2" t="inlineStr">
        <is>
          <t>not incented</t>
        </is>
      </c>
      <c r="C65" s="41" t="inlineStr">
        <is>
          <t>Leinenkugel</t>
        </is>
      </c>
      <c r="D65" s="33">
        <f>SUMIFS('Control Brands'!$C$5:$C$296,'Control Brands'!$A$5:$A$296,$A65,'Control Brands'!$B$5:$B$296,$C65)</f>
        <v/>
      </c>
      <c r="E65" s="33">
        <f>SUMIFS('Control Brands'!$D$5:$D$296,'Control Brands'!$A$5:$A$296,$A65,'Control Brands'!$B$5:$B$296,$C65)</f>
        <v/>
      </c>
      <c r="F65" s="43">
        <f>E65-D65</f>
        <v/>
      </c>
      <c r="G65" s="44">
        <f>IFERROR(E65/D65-1,"")</f>
        <v/>
      </c>
      <c r="H65" s="36">
        <f>SUMIFS('Control Brands'!$G$5:$G$296,'Control Brands'!$A$5:$A$296,$A65,'Control Brands'!$B$5:$B$296,$C65)</f>
        <v/>
      </c>
      <c r="I65" s="36">
        <f>SUMIFS('Control Brands'!$H$5:$H$296,'Control Brands'!$A$5:$A$296,$A65,'Control Brands'!$B$5:$B$296,$C65)</f>
        <v/>
      </c>
      <c r="J65" s="38">
        <f>I65-H65</f>
        <v/>
      </c>
    </row>
    <row r="66">
      <c r="A66" s="2" t="inlineStr">
        <is>
          <t>MolsonCoors Beverage Company</t>
        </is>
      </c>
      <c r="B66" s="2" t="inlineStr">
        <is>
          <t>not incented</t>
        </is>
      </c>
      <c r="C66" s="41" t="inlineStr">
        <is>
          <t>Miller Extra Light</t>
        </is>
      </c>
      <c r="D66" s="33">
        <f>SUMIFS('Control Brands'!$C$5:$C$296,'Control Brands'!$A$5:$A$296,$A66,'Control Brands'!$B$5:$B$296,$C66)</f>
        <v/>
      </c>
      <c r="E66" s="33">
        <f>SUMIFS('Control Brands'!$D$5:$D$296,'Control Brands'!$A$5:$A$296,$A66,'Control Brands'!$B$5:$B$296,$C66)</f>
        <v/>
      </c>
      <c r="F66" s="43">
        <f>E66-D66</f>
        <v/>
      </c>
      <c r="G66" s="44">
        <f>IFERROR(E66/D66-1,"")</f>
        <v/>
      </c>
      <c r="H66" s="36">
        <f>SUMIFS('Control Brands'!$G$5:$G$296,'Control Brands'!$A$5:$A$296,$A66,'Control Brands'!$B$5:$B$296,$C66)</f>
        <v/>
      </c>
      <c r="I66" s="36">
        <f>SUMIFS('Control Brands'!$H$5:$H$296,'Control Brands'!$A$5:$A$296,$A66,'Control Brands'!$B$5:$B$296,$C66)</f>
        <v/>
      </c>
      <c r="J66" s="38">
        <f>I66-H66</f>
        <v/>
      </c>
    </row>
    <row r="67">
      <c r="A67" s="2" t="inlineStr">
        <is>
          <t>MolsonCoors Beverage Company</t>
        </is>
      </c>
      <c r="B67" s="2" t="inlineStr">
        <is>
          <t>not incented</t>
        </is>
      </c>
      <c r="C67" s="41" t="inlineStr">
        <is>
          <t>Miller Genuine Draft</t>
        </is>
      </c>
      <c r="D67" s="33">
        <f>SUMIFS('Control Brands'!$C$5:$C$296,'Control Brands'!$A$5:$A$296,$A67,'Control Brands'!$B$5:$B$296,$C67)</f>
        <v/>
      </c>
      <c r="E67" s="33">
        <f>SUMIFS('Control Brands'!$D$5:$D$296,'Control Brands'!$A$5:$A$296,$A67,'Control Brands'!$B$5:$B$296,$C67)</f>
        <v/>
      </c>
      <c r="F67" s="43">
        <f>E67-D67</f>
        <v/>
      </c>
      <c r="G67" s="44">
        <f>IFERROR(E67/D67-1,"")</f>
        <v/>
      </c>
      <c r="H67" s="36">
        <f>SUMIFS('Control Brands'!$G$5:$G$296,'Control Brands'!$A$5:$A$296,$A67,'Control Brands'!$B$5:$B$296,$C67)</f>
        <v/>
      </c>
      <c r="I67" s="36">
        <f>SUMIFS('Control Brands'!$H$5:$H$296,'Control Brands'!$A$5:$A$296,$A67,'Control Brands'!$B$5:$B$296,$C67)</f>
        <v/>
      </c>
      <c r="J67" s="38">
        <f>I67-H67</f>
        <v/>
      </c>
    </row>
    <row r="68">
      <c r="A68" s="2" t="inlineStr">
        <is>
          <t>MolsonCoors Beverage Company</t>
        </is>
      </c>
      <c r="B68" s="2" t="inlineStr">
        <is>
          <t>not incented</t>
        </is>
      </c>
      <c r="C68" s="41" t="inlineStr">
        <is>
          <t>Miller High Life</t>
        </is>
      </c>
      <c r="D68" s="33">
        <f>SUMIFS('Control Brands'!$C$5:$C$296,'Control Brands'!$A$5:$A$296,$A68,'Control Brands'!$B$5:$B$296,$C68)</f>
        <v/>
      </c>
      <c r="E68" s="33">
        <f>SUMIFS('Control Brands'!$D$5:$D$296,'Control Brands'!$A$5:$A$296,$A68,'Control Brands'!$B$5:$B$296,$C68)</f>
        <v/>
      </c>
      <c r="F68" s="43">
        <f>E68-D68</f>
        <v/>
      </c>
      <c r="G68" s="44">
        <f>IFERROR(E68/D68-1,"")</f>
        <v/>
      </c>
      <c r="H68" s="36">
        <f>SUMIFS('Control Brands'!$G$5:$G$296,'Control Brands'!$A$5:$A$296,$A68,'Control Brands'!$B$5:$B$296,$C68)</f>
        <v/>
      </c>
      <c r="I68" s="36">
        <f>SUMIFS('Control Brands'!$H$5:$H$296,'Control Brands'!$A$5:$A$296,$A68,'Control Brands'!$B$5:$B$296,$C68)</f>
        <v/>
      </c>
      <c r="J68" s="38">
        <f>I68-H68</f>
        <v/>
      </c>
    </row>
    <row r="69">
      <c r="A69" s="2" t="inlineStr">
        <is>
          <t>MolsonCoors Beverage Company</t>
        </is>
      </c>
      <c r="B69" s="2" t="inlineStr">
        <is>
          <t>not incented</t>
        </is>
      </c>
      <c r="C69" s="41" t="inlineStr">
        <is>
          <t>Milwaukee's Best Ice</t>
        </is>
      </c>
      <c r="D69" s="33">
        <f>SUMIFS('Control Brands'!$C$5:$C$296,'Control Brands'!$A$5:$A$296,$A69,'Control Brands'!$B$5:$B$296,$C69)</f>
        <v/>
      </c>
      <c r="E69" s="33">
        <f>SUMIFS('Control Brands'!$D$5:$D$296,'Control Brands'!$A$5:$A$296,$A69,'Control Brands'!$B$5:$B$296,$C69)</f>
        <v/>
      </c>
      <c r="F69" s="43">
        <f>E69-D69</f>
        <v/>
      </c>
      <c r="G69" s="44">
        <f>IFERROR(E69/D69-1,"")</f>
        <v/>
      </c>
      <c r="H69" s="36">
        <f>SUMIFS('Control Brands'!$G$5:$G$296,'Control Brands'!$A$5:$A$296,$A69,'Control Brands'!$B$5:$B$296,$C69)</f>
        <v/>
      </c>
      <c r="I69" s="36">
        <f>SUMIFS('Control Brands'!$H$5:$H$296,'Control Brands'!$A$5:$A$296,$A69,'Control Brands'!$B$5:$B$296,$C69)</f>
        <v/>
      </c>
      <c r="J69" s="38">
        <f>I69-H69</f>
        <v/>
      </c>
    </row>
    <row r="70">
      <c r="A70" s="2" t="inlineStr">
        <is>
          <t>MolsonCoors Beverage Company</t>
        </is>
      </c>
      <c r="B70" s="2" t="inlineStr">
        <is>
          <t>not incented</t>
        </is>
      </c>
      <c r="C70" s="41" t="inlineStr">
        <is>
          <t>Milwaukee's Best Light</t>
        </is>
      </c>
      <c r="D70" s="33">
        <f>SUMIFS('Control Brands'!$C$5:$C$296,'Control Brands'!$A$5:$A$296,$A70,'Control Brands'!$B$5:$B$296,$C70)</f>
        <v/>
      </c>
      <c r="E70" s="33">
        <f>SUMIFS('Control Brands'!$D$5:$D$296,'Control Brands'!$A$5:$A$296,$A70,'Control Brands'!$B$5:$B$296,$C70)</f>
        <v/>
      </c>
      <c r="F70" s="43">
        <f>E70-D70</f>
        <v/>
      </c>
      <c r="G70" s="44">
        <f>IFERROR(E70/D70-1,"")</f>
        <v/>
      </c>
      <c r="H70" s="36">
        <f>SUMIFS('Control Brands'!$G$5:$G$296,'Control Brands'!$A$5:$A$296,$A70,'Control Brands'!$B$5:$B$296,$C70)</f>
        <v/>
      </c>
      <c r="I70" s="36">
        <f>SUMIFS('Control Brands'!$H$5:$H$296,'Control Brands'!$A$5:$A$296,$A70,'Control Brands'!$B$5:$B$296,$C70)</f>
        <v/>
      </c>
      <c r="J70" s="38">
        <f>I70-H70</f>
        <v/>
      </c>
    </row>
    <row r="71">
      <c r="A71" s="2" t="inlineStr">
        <is>
          <t>MolsonCoors Beverage Company</t>
        </is>
      </c>
      <c r="B71" s="2" t="inlineStr">
        <is>
          <t>not incented</t>
        </is>
      </c>
      <c r="C71" s="41" t="inlineStr">
        <is>
          <t>Molson</t>
        </is>
      </c>
      <c r="D71" s="33">
        <f>SUMIFS('Control Brands'!$C$5:$C$296,'Control Brands'!$A$5:$A$296,$A71,'Control Brands'!$B$5:$B$296,$C71)</f>
        <v/>
      </c>
      <c r="E71" s="33">
        <f>SUMIFS('Control Brands'!$D$5:$D$296,'Control Brands'!$A$5:$A$296,$A71,'Control Brands'!$B$5:$B$296,$C71)</f>
        <v/>
      </c>
      <c r="F71" s="43">
        <f>E71-D71</f>
        <v/>
      </c>
      <c r="G71" s="44">
        <f>IFERROR(E71/D71-1,"")</f>
        <v/>
      </c>
      <c r="H71" s="36">
        <f>SUMIFS('Control Brands'!$G$5:$G$296,'Control Brands'!$A$5:$A$296,$A71,'Control Brands'!$B$5:$B$296,$C71)</f>
        <v/>
      </c>
      <c r="I71" s="36">
        <f>SUMIFS('Control Brands'!$H$5:$H$296,'Control Brands'!$A$5:$A$296,$A71,'Control Brands'!$B$5:$B$296,$C71)</f>
        <v/>
      </c>
      <c r="J71" s="38">
        <f>I71-H71</f>
        <v/>
      </c>
    </row>
    <row r="72">
      <c r="A72" s="2" t="inlineStr">
        <is>
          <t>MolsonCoors Beverage Company</t>
        </is>
      </c>
      <c r="B72" s="2" t="inlineStr">
        <is>
          <t>not incented</t>
        </is>
      </c>
      <c r="C72" s="41" t="inlineStr">
        <is>
          <t>Monaco</t>
        </is>
      </c>
      <c r="D72" s="33">
        <f>SUMIFS('Control Brands'!$C$5:$C$296,'Control Brands'!$A$5:$A$296,$A72,'Control Brands'!$B$5:$B$296,$C72)</f>
        <v/>
      </c>
      <c r="E72" s="33">
        <f>SUMIFS('Control Brands'!$D$5:$D$296,'Control Brands'!$A$5:$A$296,$A72,'Control Brands'!$B$5:$B$296,$C72)</f>
        <v/>
      </c>
      <c r="F72" s="43">
        <f>E72-D72</f>
        <v/>
      </c>
      <c r="G72" s="44">
        <f>IFERROR(E72/D72-1,"")</f>
        <v/>
      </c>
      <c r="H72" s="36">
        <f>SUMIFS('Control Brands'!$G$5:$G$296,'Control Brands'!$A$5:$A$296,$A72,'Control Brands'!$B$5:$B$296,$C72)</f>
        <v/>
      </c>
      <c r="I72" s="36">
        <f>SUMIFS('Control Brands'!$H$5:$H$296,'Control Brands'!$A$5:$A$296,$A72,'Control Brands'!$B$5:$B$296,$C72)</f>
        <v/>
      </c>
      <c r="J72" s="38">
        <f>I72-H72</f>
        <v/>
      </c>
    </row>
    <row r="73">
      <c r="A73" s="2" t="inlineStr">
        <is>
          <t>MolsonCoors Beverage Company</t>
        </is>
      </c>
      <c r="B73" s="2" t="inlineStr">
        <is>
          <t>not incented</t>
        </is>
      </c>
      <c r="C73" s="41" t="inlineStr">
        <is>
          <t>NaKed Life</t>
        </is>
      </c>
      <c r="D73" s="33">
        <f>SUMIFS('Control Brands'!$C$5:$C$296,'Control Brands'!$A$5:$A$296,$A73,'Control Brands'!$B$5:$B$296,$C73)</f>
        <v/>
      </c>
      <c r="E73" s="33">
        <f>SUMIFS('Control Brands'!$D$5:$D$296,'Control Brands'!$A$5:$A$296,$A73,'Control Brands'!$B$5:$B$296,$C73)</f>
        <v/>
      </c>
      <c r="F73" s="43">
        <f>E73-D73</f>
        <v/>
      </c>
      <c r="G73" s="44">
        <f>IFERROR(E73/D73-1,"")</f>
        <v/>
      </c>
      <c r="H73" s="36">
        <f>SUMIFS('Control Brands'!$G$5:$G$296,'Control Brands'!$A$5:$A$296,$A73,'Control Brands'!$B$5:$B$296,$C73)</f>
        <v/>
      </c>
      <c r="I73" s="36">
        <f>SUMIFS('Control Brands'!$H$5:$H$296,'Control Brands'!$A$5:$A$296,$A73,'Control Brands'!$B$5:$B$296,$C73)</f>
        <v/>
      </c>
      <c r="J73" s="38">
        <f>I73-H73</f>
        <v/>
      </c>
    </row>
    <row r="74">
      <c r="A74" s="2" t="inlineStr">
        <is>
          <t>MolsonCoors Beverage Company</t>
        </is>
      </c>
      <c r="B74" s="2" t="inlineStr">
        <is>
          <t>not incented</t>
        </is>
      </c>
      <c r="C74" s="41" t="inlineStr">
        <is>
          <t>Old English</t>
        </is>
      </c>
      <c r="D74" s="33">
        <f>SUMIFS('Control Brands'!$C$5:$C$296,'Control Brands'!$A$5:$A$296,$A74,'Control Brands'!$B$5:$B$296,$C74)</f>
        <v/>
      </c>
      <c r="E74" s="33">
        <f>SUMIFS('Control Brands'!$D$5:$D$296,'Control Brands'!$A$5:$A$296,$A74,'Control Brands'!$B$5:$B$296,$C74)</f>
        <v/>
      </c>
      <c r="F74" s="43">
        <f>E74-D74</f>
        <v/>
      </c>
      <c r="G74" s="44">
        <f>IFERROR(E74/D74-1,"")</f>
        <v/>
      </c>
      <c r="H74" s="36">
        <f>SUMIFS('Control Brands'!$G$5:$G$296,'Control Brands'!$A$5:$A$296,$A74,'Control Brands'!$B$5:$B$296,$C74)</f>
        <v/>
      </c>
      <c r="I74" s="36">
        <f>SUMIFS('Control Brands'!$H$5:$H$296,'Control Brands'!$A$5:$A$296,$A74,'Control Brands'!$B$5:$B$296,$C74)</f>
        <v/>
      </c>
      <c r="J74" s="38">
        <f>I74-H74</f>
        <v/>
      </c>
    </row>
    <row r="75">
      <c r="A75" s="2" t="inlineStr">
        <is>
          <t>MolsonCoors Beverage Company</t>
        </is>
      </c>
      <c r="B75" s="2" t="inlineStr">
        <is>
          <t>not incented</t>
        </is>
      </c>
      <c r="C75" s="41" t="inlineStr">
        <is>
          <t>Pilsner Urquell</t>
        </is>
      </c>
      <c r="D75" s="33">
        <f>SUMIFS('Control Brands'!$C$5:$C$296,'Control Brands'!$A$5:$A$296,$A75,'Control Brands'!$B$5:$B$296,$C75)</f>
        <v/>
      </c>
      <c r="E75" s="33">
        <f>SUMIFS('Control Brands'!$D$5:$D$296,'Control Brands'!$A$5:$A$296,$A75,'Control Brands'!$B$5:$B$296,$C75)</f>
        <v/>
      </c>
      <c r="F75" s="43">
        <f>E75-D75</f>
        <v/>
      </c>
      <c r="G75" s="44">
        <f>IFERROR(E75/D75-1,"")</f>
        <v/>
      </c>
      <c r="H75" s="36">
        <f>SUMIFS('Control Brands'!$G$5:$G$296,'Control Brands'!$A$5:$A$296,$A75,'Control Brands'!$B$5:$B$296,$C75)</f>
        <v/>
      </c>
      <c r="I75" s="36">
        <f>SUMIFS('Control Brands'!$H$5:$H$296,'Control Brands'!$A$5:$A$296,$A75,'Control Brands'!$B$5:$B$296,$C75)</f>
        <v/>
      </c>
      <c r="J75" s="38">
        <f>I75-H75</f>
        <v/>
      </c>
    </row>
    <row r="76">
      <c r="A76" s="2" t="inlineStr">
        <is>
          <t>MolsonCoors Beverage Company</t>
        </is>
      </c>
      <c r="B76" s="2" t="inlineStr">
        <is>
          <t>not incented</t>
        </is>
      </c>
      <c r="C76" s="41" t="inlineStr">
        <is>
          <t>Redd's</t>
        </is>
      </c>
      <c r="D76" s="33">
        <f>SUMIFS('Control Brands'!$C$5:$C$296,'Control Brands'!$A$5:$A$296,$A76,'Control Brands'!$B$5:$B$296,$C76)</f>
        <v/>
      </c>
      <c r="E76" s="33">
        <f>SUMIFS('Control Brands'!$D$5:$D$296,'Control Brands'!$A$5:$A$296,$A76,'Control Brands'!$B$5:$B$296,$C76)</f>
        <v/>
      </c>
      <c r="F76" s="43">
        <f>E76-D76</f>
        <v/>
      </c>
      <c r="G76" s="44">
        <f>IFERROR(E76/D76-1,"")</f>
        <v/>
      </c>
      <c r="H76" s="36">
        <f>SUMIFS('Control Brands'!$G$5:$G$296,'Control Brands'!$A$5:$A$296,$A76,'Control Brands'!$B$5:$B$296,$C76)</f>
        <v/>
      </c>
      <c r="I76" s="36">
        <f>SUMIFS('Control Brands'!$H$5:$H$296,'Control Brands'!$A$5:$A$296,$A76,'Control Brands'!$B$5:$B$296,$C76)</f>
        <v/>
      </c>
      <c r="J76" s="38">
        <f>I76-H76</f>
        <v/>
      </c>
    </row>
    <row r="77">
      <c r="A77" s="2" t="inlineStr">
        <is>
          <t>MolsonCoors Beverage Company</t>
        </is>
      </c>
      <c r="B77" s="2" t="inlineStr">
        <is>
          <t>not incented</t>
        </is>
      </c>
      <c r="C77" s="41" t="inlineStr">
        <is>
          <t>Redd's Wicked</t>
        </is>
      </c>
      <c r="D77" s="33">
        <f>SUMIFS('Control Brands'!$C$5:$C$296,'Control Brands'!$A$5:$A$296,$A77,'Control Brands'!$B$5:$B$296,$C77)</f>
        <v/>
      </c>
      <c r="E77" s="33">
        <f>SUMIFS('Control Brands'!$D$5:$D$296,'Control Brands'!$A$5:$A$296,$A77,'Control Brands'!$B$5:$B$296,$C77)</f>
        <v/>
      </c>
      <c r="F77" s="43">
        <f>E77-D77</f>
        <v/>
      </c>
      <c r="G77" s="44">
        <f>IFERROR(E77/D77-1,"")</f>
        <v/>
      </c>
      <c r="H77" s="36">
        <f>SUMIFS('Control Brands'!$G$5:$G$296,'Control Brands'!$A$5:$A$296,$A77,'Control Brands'!$B$5:$B$296,$C77)</f>
        <v/>
      </c>
      <c r="I77" s="36">
        <f>SUMIFS('Control Brands'!$H$5:$H$296,'Control Brands'!$A$5:$A$296,$A77,'Control Brands'!$B$5:$B$296,$C77)</f>
        <v/>
      </c>
      <c r="J77" s="38">
        <f>I77-H77</f>
        <v/>
      </c>
    </row>
    <row r="78">
      <c r="A78" s="2" t="inlineStr">
        <is>
          <t>MolsonCoors Beverage Company</t>
        </is>
      </c>
      <c r="B78" s="2" t="inlineStr">
        <is>
          <t>not incented</t>
        </is>
      </c>
      <c r="C78" s="41" t="inlineStr">
        <is>
          <t>Simply Spiked</t>
        </is>
      </c>
      <c r="D78" s="33">
        <f>SUMIFS('Control Brands'!$C$5:$C$296,'Control Brands'!$A$5:$A$296,$A78,'Control Brands'!$B$5:$B$296,$C78)</f>
        <v/>
      </c>
      <c r="E78" s="33">
        <f>SUMIFS('Control Brands'!$D$5:$D$296,'Control Brands'!$A$5:$A$296,$A78,'Control Brands'!$B$5:$B$296,$C78)</f>
        <v/>
      </c>
      <c r="F78" s="43">
        <f>E78-D78</f>
        <v/>
      </c>
      <c r="G78" s="44">
        <f>IFERROR(E78/D78-1,"")</f>
        <v/>
      </c>
      <c r="H78" s="36">
        <f>SUMIFS('Control Brands'!$G$5:$G$296,'Control Brands'!$A$5:$A$296,$A78,'Control Brands'!$B$5:$B$296,$C78)</f>
        <v/>
      </c>
      <c r="I78" s="36">
        <f>SUMIFS('Control Brands'!$H$5:$H$296,'Control Brands'!$A$5:$A$296,$A78,'Control Brands'!$B$5:$B$296,$C78)</f>
        <v/>
      </c>
      <c r="J78" s="38">
        <f>I78-H78</f>
        <v/>
      </c>
    </row>
    <row r="79">
      <c r="A79" s="2" t="inlineStr">
        <is>
          <t>MolsonCoors Beverage Company</t>
        </is>
      </c>
      <c r="B79" s="2" t="inlineStr">
        <is>
          <t>not incented</t>
        </is>
      </c>
      <c r="C79" s="41" t="inlineStr">
        <is>
          <t>Sol</t>
        </is>
      </c>
      <c r="D79" s="33">
        <f>SUMIFS('Control Brands'!$C$5:$C$296,'Control Brands'!$A$5:$A$296,$A79,'Control Brands'!$B$5:$B$296,$C79)</f>
        <v/>
      </c>
      <c r="E79" s="33">
        <f>SUMIFS('Control Brands'!$D$5:$D$296,'Control Brands'!$A$5:$A$296,$A79,'Control Brands'!$B$5:$B$296,$C79)</f>
        <v/>
      </c>
      <c r="F79" s="43">
        <f>E79-D79</f>
        <v/>
      </c>
      <c r="G79" s="44">
        <f>IFERROR(E79/D79-1,"")</f>
        <v/>
      </c>
      <c r="H79" s="36">
        <f>SUMIFS('Control Brands'!$G$5:$G$296,'Control Brands'!$A$5:$A$296,$A79,'Control Brands'!$B$5:$B$296,$C79)</f>
        <v/>
      </c>
      <c r="I79" s="36">
        <f>SUMIFS('Control Brands'!$H$5:$H$296,'Control Brands'!$A$5:$A$296,$A79,'Control Brands'!$B$5:$B$296,$C79)</f>
        <v/>
      </c>
      <c r="J79" s="38">
        <f>I79-H79</f>
        <v/>
      </c>
    </row>
    <row r="80">
      <c r="A80" s="2" t="inlineStr">
        <is>
          <t>MolsonCoors Beverage Company</t>
        </is>
      </c>
      <c r="B80" s="2" t="inlineStr">
        <is>
          <t>not incented</t>
        </is>
      </c>
      <c r="C80" s="41" t="inlineStr">
        <is>
          <t>Steel Reserve</t>
        </is>
      </c>
      <c r="D80" s="33">
        <f>SUMIFS('Control Brands'!$C$5:$C$296,'Control Brands'!$A$5:$A$296,$A80,'Control Brands'!$B$5:$B$296,$C80)</f>
        <v/>
      </c>
      <c r="E80" s="33">
        <f>SUMIFS('Control Brands'!$D$5:$D$296,'Control Brands'!$A$5:$A$296,$A80,'Control Brands'!$B$5:$B$296,$C80)</f>
        <v/>
      </c>
      <c r="F80" s="43">
        <f>E80-D80</f>
        <v/>
      </c>
      <c r="G80" s="44">
        <f>IFERROR(E80/D80-1,"")</f>
        <v/>
      </c>
      <c r="H80" s="36">
        <f>SUMIFS('Control Brands'!$G$5:$G$296,'Control Brands'!$A$5:$A$296,$A80,'Control Brands'!$B$5:$B$296,$C80)</f>
        <v/>
      </c>
      <c r="I80" s="36">
        <f>SUMIFS('Control Brands'!$H$5:$H$296,'Control Brands'!$A$5:$A$296,$A80,'Control Brands'!$B$5:$B$296,$C80)</f>
        <v/>
      </c>
      <c r="J80" s="38">
        <f>I80-H80</f>
        <v/>
      </c>
    </row>
    <row r="81">
      <c r="A81" s="2" t="inlineStr">
        <is>
          <t>MolsonCoors Beverage Company</t>
        </is>
      </c>
      <c r="B81" s="2" t="inlineStr">
        <is>
          <t>not incented</t>
        </is>
      </c>
      <c r="C81" s="41" t="inlineStr">
        <is>
          <t>Steel Reserve Alloy Series</t>
        </is>
      </c>
      <c r="D81" s="33">
        <f>SUMIFS('Control Brands'!$C$5:$C$296,'Control Brands'!$A$5:$A$296,$A81,'Control Brands'!$B$5:$B$296,$C81)</f>
        <v/>
      </c>
      <c r="E81" s="33">
        <f>SUMIFS('Control Brands'!$D$5:$D$296,'Control Brands'!$A$5:$A$296,$A81,'Control Brands'!$B$5:$B$296,$C81)</f>
        <v/>
      </c>
      <c r="F81" s="43">
        <f>E81-D81</f>
        <v/>
      </c>
      <c r="G81" s="44">
        <f>IFERROR(E81/D81-1,"")</f>
        <v/>
      </c>
      <c r="H81" s="36">
        <f>SUMIFS('Control Brands'!$G$5:$G$296,'Control Brands'!$A$5:$A$296,$A81,'Control Brands'!$B$5:$B$296,$C81)</f>
        <v/>
      </c>
      <c r="I81" s="36">
        <f>SUMIFS('Control Brands'!$H$5:$H$296,'Control Brands'!$A$5:$A$296,$A81,'Control Brands'!$B$5:$B$296,$C81)</f>
        <v/>
      </c>
      <c r="J81" s="38">
        <f>I81-H81</f>
        <v/>
      </c>
    </row>
    <row r="82">
      <c r="A82" s="2" t="inlineStr">
        <is>
          <t>MolsonCoors Beverage Company</t>
        </is>
      </c>
      <c r="B82" s="2" t="inlineStr">
        <is>
          <t>not incented</t>
        </is>
      </c>
      <c r="C82" s="41" t="inlineStr">
        <is>
          <t>Topo Chico</t>
        </is>
      </c>
      <c r="D82" s="33">
        <f>SUMIFS('Control Brands'!$C$5:$C$296,'Control Brands'!$A$5:$A$296,$A82,'Control Brands'!$B$5:$B$296,$C82)</f>
        <v/>
      </c>
      <c r="E82" s="33">
        <f>SUMIFS('Control Brands'!$D$5:$D$296,'Control Brands'!$A$5:$A$296,$A82,'Control Brands'!$B$5:$B$296,$C82)</f>
        <v/>
      </c>
      <c r="F82" s="43">
        <f>E82-D82</f>
        <v/>
      </c>
      <c r="G82" s="44">
        <f>IFERROR(E82/D82-1,"")</f>
        <v/>
      </c>
      <c r="H82" s="36">
        <f>SUMIFS('Control Brands'!$G$5:$G$296,'Control Brands'!$A$5:$A$296,$A82,'Control Brands'!$B$5:$B$296,$C82)</f>
        <v/>
      </c>
      <c r="I82" s="36">
        <f>SUMIFS('Control Brands'!$H$5:$H$296,'Control Brands'!$A$5:$A$296,$A82,'Control Brands'!$B$5:$B$296,$C82)</f>
        <v/>
      </c>
      <c r="J82" s="38">
        <f>I82-H82</f>
        <v/>
      </c>
    </row>
    <row r="83">
      <c r="A83" s="2" t="inlineStr">
        <is>
          <t>MolsonCoors Beverage Company</t>
        </is>
      </c>
      <c r="B83" s="2" t="inlineStr">
        <is>
          <t>not incented</t>
        </is>
      </c>
      <c r="C83" s="41" t="inlineStr">
        <is>
          <t>Tyskie Gronie</t>
        </is>
      </c>
      <c r="D83" s="33">
        <f>SUMIFS('Control Brands'!$C$5:$C$296,'Control Brands'!$A$5:$A$296,$A83,'Control Brands'!$B$5:$B$296,$C83)</f>
        <v/>
      </c>
      <c r="E83" s="33">
        <f>SUMIFS('Control Brands'!$D$5:$D$296,'Control Brands'!$A$5:$A$296,$A83,'Control Brands'!$B$5:$B$296,$C83)</f>
        <v/>
      </c>
      <c r="F83" s="43">
        <f>E83-D83</f>
        <v/>
      </c>
      <c r="G83" s="44">
        <f>IFERROR(E83/D83-1,"")</f>
        <v/>
      </c>
      <c r="H83" s="36">
        <f>SUMIFS('Control Brands'!$G$5:$G$296,'Control Brands'!$A$5:$A$296,$A83,'Control Brands'!$B$5:$B$296,$C83)</f>
        <v/>
      </c>
      <c r="I83" s="36">
        <f>SUMIFS('Control Brands'!$H$5:$H$296,'Control Brands'!$A$5:$A$296,$A83,'Control Brands'!$B$5:$B$296,$C83)</f>
        <v/>
      </c>
      <c r="J83" s="38">
        <f>I83-H83</f>
        <v/>
      </c>
    </row>
    <row r="84">
      <c r="A84" s="2" t="inlineStr">
        <is>
          <t>MolsonCoors Beverage Company</t>
        </is>
      </c>
      <c r="B84" s="2" t="inlineStr">
        <is>
          <t>not incented</t>
        </is>
      </c>
      <c r="C84" s="41" t="inlineStr">
        <is>
          <t>Vizzy</t>
        </is>
      </c>
      <c r="D84" s="33">
        <f>SUMIFS('Control Brands'!$C$5:$C$296,'Control Brands'!$A$5:$A$296,$A84,'Control Brands'!$B$5:$B$296,$C84)</f>
        <v/>
      </c>
      <c r="E84" s="33">
        <f>SUMIFS('Control Brands'!$D$5:$D$296,'Control Brands'!$A$5:$A$296,$A84,'Control Brands'!$B$5:$B$296,$C84)</f>
        <v/>
      </c>
      <c r="F84" s="43">
        <f>E84-D84</f>
        <v/>
      </c>
      <c r="G84" s="44">
        <f>IFERROR(E84/D84-1,"")</f>
        <v/>
      </c>
      <c r="H84" s="36">
        <f>SUMIFS('Control Brands'!$G$5:$G$296,'Control Brands'!$A$5:$A$296,$A84,'Control Brands'!$B$5:$B$296,$C84)</f>
        <v/>
      </c>
      <c r="I84" s="36">
        <f>SUMIFS('Control Brands'!$H$5:$H$296,'Control Brands'!$A$5:$A$296,$A84,'Control Brands'!$B$5:$B$296,$C84)</f>
        <v/>
      </c>
      <c r="J84" s="38">
        <f>I84-H84</f>
        <v/>
      </c>
    </row>
    <row r="85">
      <c r="C85" s="45" t="inlineStr">
        <is>
          <t>MolsonCoors Beverage Company — total</t>
        </is>
      </c>
      <c r="D85" s="43">
        <f>SUM(D48:D84)</f>
        <v/>
      </c>
      <c r="E85" s="43">
        <f>SUM(E48:E84)</f>
        <v/>
      </c>
      <c r="F85" s="43">
        <f>SUM(F48:F84)</f>
        <v/>
      </c>
      <c r="H85" s="38">
        <f>SUM(H48:H84)</f>
        <v/>
      </c>
      <c r="I85" s="38">
        <f>SUM(I48:I84)</f>
        <v/>
      </c>
      <c r="J85" s="38">
        <f>SUM(J48:J84)</f>
        <v/>
      </c>
    </row>
    <row r="87">
      <c r="A87" s="41" t="inlineStr">
        <is>
          <t>DG Yuengling Inc</t>
        </is>
      </c>
      <c r="B87" s="42" t="inlineStr">
        <is>
          <t>INCENTED</t>
        </is>
      </c>
      <c r="C87" s="41" t="inlineStr">
        <is>
          <t>Yuengling Flight</t>
        </is>
      </c>
      <c r="D87" s="33">
        <f>SUMIFS('Program Brands'!$D$6:$D$37,'Program Brands'!$B$6:$B$37,$A87,'Program Brands'!$C$6:$C$37,$C87)</f>
        <v/>
      </c>
      <c r="E87" s="33">
        <f>SUMIFS('Program Brands'!$E$6:$E$37,'Program Brands'!$B$6:$B$37,$A87,'Program Brands'!$C$6:$C$37,$C87)</f>
        <v/>
      </c>
      <c r="F87" s="43">
        <f>E87-D87</f>
        <v/>
      </c>
      <c r="G87" s="44">
        <f>IFERROR(E87/D87-1,"")</f>
        <v/>
      </c>
      <c r="H87" s="36">
        <f>SUMIFS('Program Brands'!$H$6:$H$37,'Program Brands'!$B$6:$B$37,$A87,'Program Brands'!$C$6:$C$37,$C87)</f>
        <v/>
      </c>
      <c r="I87" s="36">
        <f>SUMIFS('Program Brands'!$I$6:$I$37,'Program Brands'!$B$6:$B$37,$A87,'Program Brands'!$C$6:$C$37,$C87)</f>
        <v/>
      </c>
      <c r="J87" s="38">
        <f>I87-H87</f>
        <v/>
      </c>
    </row>
    <row r="88">
      <c r="A88" s="41" t="inlineStr">
        <is>
          <t>DG Yuengling Inc</t>
        </is>
      </c>
      <c r="B88" s="42" t="inlineStr">
        <is>
          <t>INCENTED</t>
        </is>
      </c>
      <c r="C88" s="41" t="inlineStr">
        <is>
          <t>Yuengling Lager</t>
        </is>
      </c>
      <c r="D88" s="33">
        <f>SUMIFS('Program Brands'!$D$6:$D$37,'Program Brands'!$B$6:$B$37,$A88,'Program Brands'!$C$6:$C$37,$C88)</f>
        <v/>
      </c>
      <c r="E88" s="33">
        <f>SUMIFS('Program Brands'!$E$6:$E$37,'Program Brands'!$B$6:$B$37,$A88,'Program Brands'!$C$6:$C$37,$C88)</f>
        <v/>
      </c>
      <c r="F88" s="43">
        <f>E88-D88</f>
        <v/>
      </c>
      <c r="G88" s="44">
        <f>IFERROR(E88/D88-1,"")</f>
        <v/>
      </c>
      <c r="H88" s="36">
        <f>SUMIFS('Program Brands'!$H$6:$H$37,'Program Brands'!$B$6:$B$37,$A88,'Program Brands'!$C$6:$C$37,$C88)</f>
        <v/>
      </c>
      <c r="I88" s="36">
        <f>SUMIFS('Program Brands'!$I$6:$I$37,'Program Brands'!$B$6:$B$37,$A88,'Program Brands'!$C$6:$C$37,$C88)</f>
        <v/>
      </c>
      <c r="J88" s="38">
        <f>I88-H88</f>
        <v/>
      </c>
    </row>
    <row r="89">
      <c r="A89" s="41" t="inlineStr">
        <is>
          <t>DG Yuengling Inc</t>
        </is>
      </c>
      <c r="B89" s="42" t="inlineStr">
        <is>
          <t>INCENTED</t>
        </is>
      </c>
      <c r="C89" s="41" t="inlineStr">
        <is>
          <t>Yuengling Light Lager</t>
        </is>
      </c>
      <c r="D89" s="33">
        <f>SUMIFS('Program Brands'!$D$6:$D$37,'Program Brands'!$B$6:$B$37,$A89,'Program Brands'!$C$6:$C$37,$C89)</f>
        <v/>
      </c>
      <c r="E89" s="33">
        <f>SUMIFS('Program Brands'!$E$6:$E$37,'Program Brands'!$B$6:$B$37,$A89,'Program Brands'!$C$6:$C$37,$C89)</f>
        <v/>
      </c>
      <c r="F89" s="43">
        <f>E89-D89</f>
        <v/>
      </c>
      <c r="G89" s="44">
        <f>IFERROR(E89/D89-1,"")</f>
        <v/>
      </c>
      <c r="H89" s="36">
        <f>SUMIFS('Program Brands'!$H$6:$H$37,'Program Brands'!$B$6:$B$37,$A89,'Program Brands'!$C$6:$C$37,$C89)</f>
        <v/>
      </c>
      <c r="I89" s="36">
        <f>SUMIFS('Program Brands'!$I$6:$I$37,'Program Brands'!$B$6:$B$37,$A89,'Program Brands'!$C$6:$C$37,$C89)</f>
        <v/>
      </c>
      <c r="J89" s="38">
        <f>I89-H89</f>
        <v/>
      </c>
    </row>
    <row r="90">
      <c r="A90" s="2" t="inlineStr">
        <is>
          <t>DG Yuengling Inc</t>
        </is>
      </c>
      <c r="B90" s="2" t="inlineStr">
        <is>
          <t>not incented</t>
        </is>
      </c>
      <c r="C90" s="41" t="inlineStr">
        <is>
          <t>Dg Yuengling Inc</t>
        </is>
      </c>
      <c r="D90" s="33">
        <f>SUMIFS('Control Brands'!$C$5:$C$296,'Control Brands'!$A$5:$A$296,$A90,'Control Brands'!$B$5:$B$296,$C90)</f>
        <v/>
      </c>
      <c r="E90" s="33">
        <f>SUMIFS('Control Brands'!$D$5:$D$296,'Control Brands'!$A$5:$A$296,$A90,'Control Brands'!$B$5:$B$296,$C90)</f>
        <v/>
      </c>
      <c r="F90" s="43">
        <f>E90-D90</f>
        <v/>
      </c>
      <c r="G90" s="44">
        <f>IFERROR(E90/D90-1,"")</f>
        <v/>
      </c>
      <c r="H90" s="36">
        <f>SUMIFS('Control Brands'!$G$5:$G$296,'Control Brands'!$A$5:$A$296,$A90,'Control Brands'!$B$5:$B$296,$C90)</f>
        <v/>
      </c>
      <c r="I90" s="36">
        <f>SUMIFS('Control Brands'!$H$5:$H$296,'Control Brands'!$A$5:$A$296,$A90,'Control Brands'!$B$5:$B$296,$C90)</f>
        <v/>
      </c>
      <c r="J90" s="38">
        <f>I90-H90</f>
        <v/>
      </c>
    </row>
    <row r="91">
      <c r="A91" s="2" t="inlineStr">
        <is>
          <t>DG Yuengling Inc</t>
        </is>
      </c>
      <c r="B91" s="2" t="inlineStr">
        <is>
          <t>not incented</t>
        </is>
      </c>
      <c r="C91" s="41" t="inlineStr">
        <is>
          <t>Yuengling Black &amp; Tan</t>
        </is>
      </c>
      <c r="D91" s="33">
        <f>SUMIFS('Control Brands'!$C$5:$C$296,'Control Brands'!$A$5:$A$296,$A91,'Control Brands'!$B$5:$B$296,$C91)</f>
        <v/>
      </c>
      <c r="E91" s="33">
        <f>SUMIFS('Control Brands'!$D$5:$D$296,'Control Brands'!$A$5:$A$296,$A91,'Control Brands'!$B$5:$B$296,$C91)</f>
        <v/>
      </c>
      <c r="F91" s="43">
        <f>E91-D91</f>
        <v/>
      </c>
      <c r="G91" s="44">
        <f>IFERROR(E91/D91-1,"")</f>
        <v/>
      </c>
      <c r="H91" s="36">
        <f>SUMIFS('Control Brands'!$G$5:$G$296,'Control Brands'!$A$5:$A$296,$A91,'Control Brands'!$B$5:$B$296,$C91)</f>
        <v/>
      </c>
      <c r="I91" s="36">
        <f>SUMIFS('Control Brands'!$H$5:$H$296,'Control Brands'!$A$5:$A$296,$A91,'Control Brands'!$B$5:$B$296,$C91)</f>
        <v/>
      </c>
      <c r="J91" s="38">
        <f>I91-H91</f>
        <v/>
      </c>
    </row>
    <row r="92">
      <c r="A92" s="2" t="inlineStr">
        <is>
          <t>DG Yuengling Inc</t>
        </is>
      </c>
      <c r="B92" s="2" t="inlineStr">
        <is>
          <t>not incented</t>
        </is>
      </c>
      <c r="C92" s="41" t="inlineStr">
        <is>
          <t>Yuengling Golden Pilsner</t>
        </is>
      </c>
      <c r="D92" s="33">
        <f>SUMIFS('Control Brands'!$C$5:$C$296,'Control Brands'!$A$5:$A$296,$A92,'Control Brands'!$B$5:$B$296,$C92)</f>
        <v/>
      </c>
      <c r="E92" s="33">
        <f>SUMIFS('Control Brands'!$D$5:$D$296,'Control Brands'!$A$5:$A$296,$A92,'Control Brands'!$B$5:$B$296,$C92)</f>
        <v/>
      </c>
      <c r="F92" s="43">
        <f>E92-D92</f>
        <v/>
      </c>
      <c r="G92" s="44">
        <f>IFERROR(E92/D92-1,"")</f>
        <v/>
      </c>
      <c r="H92" s="36">
        <f>SUMIFS('Control Brands'!$G$5:$G$296,'Control Brands'!$A$5:$A$296,$A92,'Control Brands'!$B$5:$B$296,$C92)</f>
        <v/>
      </c>
      <c r="I92" s="36">
        <f>SUMIFS('Control Brands'!$H$5:$H$296,'Control Brands'!$A$5:$A$296,$A92,'Control Brands'!$B$5:$B$296,$C92)</f>
        <v/>
      </c>
      <c r="J92" s="38">
        <f>I92-H92</f>
        <v/>
      </c>
    </row>
    <row r="93">
      <c r="A93" s="2" t="inlineStr">
        <is>
          <t>DG Yuengling Inc</t>
        </is>
      </c>
      <c r="B93" s="2" t="inlineStr">
        <is>
          <t>not incented</t>
        </is>
      </c>
      <c r="C93" s="41" t="inlineStr">
        <is>
          <t>Yuengling Oktoberfest</t>
        </is>
      </c>
      <c r="D93" s="33">
        <f>SUMIFS('Control Brands'!$C$5:$C$296,'Control Brands'!$A$5:$A$296,$A93,'Control Brands'!$B$5:$B$296,$C93)</f>
        <v/>
      </c>
      <c r="E93" s="33">
        <f>SUMIFS('Control Brands'!$D$5:$D$296,'Control Brands'!$A$5:$A$296,$A93,'Control Brands'!$B$5:$B$296,$C93)</f>
        <v/>
      </c>
      <c r="F93" s="43">
        <f>E93-D93</f>
        <v/>
      </c>
      <c r="G93" s="44">
        <f>IFERROR(E93/D93-1,"")</f>
        <v/>
      </c>
      <c r="H93" s="36">
        <f>SUMIFS('Control Brands'!$G$5:$G$296,'Control Brands'!$A$5:$A$296,$A93,'Control Brands'!$B$5:$B$296,$C93)</f>
        <v/>
      </c>
      <c r="I93" s="36">
        <f>SUMIFS('Control Brands'!$H$5:$H$296,'Control Brands'!$A$5:$A$296,$A93,'Control Brands'!$B$5:$B$296,$C93)</f>
        <v/>
      </c>
      <c r="J93" s="38">
        <f>I93-H93</f>
        <v/>
      </c>
    </row>
    <row r="94">
      <c r="A94" s="2" t="inlineStr">
        <is>
          <t>DG Yuengling Inc</t>
        </is>
      </c>
      <c r="B94" s="2" t="inlineStr">
        <is>
          <t>not incented</t>
        </is>
      </c>
      <c r="C94" s="41" t="inlineStr">
        <is>
          <t>Yuengling Premium</t>
        </is>
      </c>
      <c r="D94" s="33">
        <f>SUMIFS('Control Brands'!$C$5:$C$296,'Control Brands'!$A$5:$A$296,$A94,'Control Brands'!$B$5:$B$296,$C94)</f>
        <v/>
      </c>
      <c r="E94" s="33">
        <f>SUMIFS('Control Brands'!$D$5:$D$296,'Control Brands'!$A$5:$A$296,$A94,'Control Brands'!$B$5:$B$296,$C94)</f>
        <v/>
      </c>
      <c r="F94" s="43">
        <f>E94-D94</f>
        <v/>
      </c>
      <c r="G94" s="44">
        <f>IFERROR(E94/D94-1,"")</f>
        <v/>
      </c>
      <c r="H94" s="36">
        <f>SUMIFS('Control Brands'!$G$5:$G$296,'Control Brands'!$A$5:$A$296,$A94,'Control Brands'!$B$5:$B$296,$C94)</f>
        <v/>
      </c>
      <c r="I94" s="36">
        <f>SUMIFS('Control Brands'!$H$5:$H$296,'Control Brands'!$A$5:$A$296,$A94,'Control Brands'!$B$5:$B$296,$C94)</f>
        <v/>
      </c>
      <c r="J94" s="38">
        <f>I94-H94</f>
        <v/>
      </c>
    </row>
    <row r="95">
      <c r="A95" s="2" t="inlineStr">
        <is>
          <t>DG Yuengling Inc</t>
        </is>
      </c>
      <c r="B95" s="2" t="inlineStr">
        <is>
          <t>not incented</t>
        </is>
      </c>
      <c r="C95" s="41" t="inlineStr">
        <is>
          <t>Yuengling Premium Light</t>
        </is>
      </c>
      <c r="D95" s="33">
        <f>SUMIFS('Control Brands'!$C$5:$C$296,'Control Brands'!$A$5:$A$296,$A95,'Control Brands'!$B$5:$B$296,$C95)</f>
        <v/>
      </c>
      <c r="E95" s="33">
        <f>SUMIFS('Control Brands'!$D$5:$D$296,'Control Brands'!$A$5:$A$296,$A95,'Control Brands'!$B$5:$B$296,$C95)</f>
        <v/>
      </c>
      <c r="F95" s="43">
        <f>E95-D95</f>
        <v/>
      </c>
      <c r="G95" s="44">
        <f>IFERROR(E95/D95-1,"")</f>
        <v/>
      </c>
      <c r="H95" s="36">
        <f>SUMIFS('Control Brands'!$G$5:$G$296,'Control Brands'!$A$5:$A$296,$A95,'Control Brands'!$B$5:$B$296,$C95)</f>
        <v/>
      </c>
      <c r="I95" s="36">
        <f>SUMIFS('Control Brands'!$H$5:$H$296,'Control Brands'!$A$5:$A$296,$A95,'Control Brands'!$B$5:$B$296,$C95)</f>
        <v/>
      </c>
      <c r="J95" s="38">
        <f>I95-H95</f>
        <v/>
      </c>
    </row>
    <row r="96">
      <c r="C96" s="45" t="inlineStr">
        <is>
          <t>DG Yuengling Inc — total</t>
        </is>
      </c>
      <c r="D96" s="43">
        <f>SUM(D87:D95)</f>
        <v/>
      </c>
      <c r="E96" s="43">
        <f>SUM(E87:E95)</f>
        <v/>
      </c>
      <c r="F96" s="43">
        <f>SUM(F87:F95)</f>
        <v/>
      </c>
      <c r="H96" s="38">
        <f>SUM(H87:H95)</f>
        <v/>
      </c>
      <c r="I96" s="38">
        <f>SUM(I87:I95)</f>
        <v/>
      </c>
      <c r="J96" s="38">
        <f>SUM(J87:J95)</f>
        <v/>
      </c>
    </row>
    <row r="98">
      <c r="A98" s="41" t="inlineStr">
        <is>
          <t>Constellation Brands</t>
        </is>
      </c>
      <c r="B98" s="42" t="inlineStr">
        <is>
          <t>INCENTED</t>
        </is>
      </c>
      <c r="C98" s="41" t="inlineStr">
        <is>
          <t>Corona Extra</t>
        </is>
      </c>
      <c r="D98" s="33">
        <f>SUMIFS('Program Brands'!$D$6:$D$37,'Program Brands'!$B$6:$B$37,$A98,'Program Brands'!$C$6:$C$37,$C98)</f>
        <v/>
      </c>
      <c r="E98" s="33">
        <f>SUMIFS('Program Brands'!$E$6:$E$37,'Program Brands'!$B$6:$B$37,$A98,'Program Brands'!$C$6:$C$37,$C98)</f>
        <v/>
      </c>
      <c r="F98" s="43">
        <f>E98-D98</f>
        <v/>
      </c>
      <c r="G98" s="44">
        <f>IFERROR(E98/D98-1,"")</f>
        <v/>
      </c>
      <c r="H98" s="36">
        <f>SUMIFS('Program Brands'!$H$6:$H$37,'Program Brands'!$B$6:$B$37,$A98,'Program Brands'!$C$6:$C$37,$C98)</f>
        <v/>
      </c>
      <c r="I98" s="36">
        <f>SUMIFS('Program Brands'!$I$6:$I$37,'Program Brands'!$B$6:$B$37,$A98,'Program Brands'!$C$6:$C$37,$C98)</f>
        <v/>
      </c>
      <c r="J98" s="38">
        <f>I98-H98</f>
        <v/>
      </c>
    </row>
    <row r="99">
      <c r="A99" s="41" t="inlineStr">
        <is>
          <t>Constellation Brands</t>
        </is>
      </c>
      <c r="B99" s="42" t="inlineStr">
        <is>
          <t>INCENTED</t>
        </is>
      </c>
      <c r="C99" s="41" t="inlineStr">
        <is>
          <t>Corona Premier</t>
        </is>
      </c>
      <c r="D99" s="33">
        <f>SUMIFS('Program Brands'!$D$6:$D$37,'Program Brands'!$B$6:$B$37,$A99,'Program Brands'!$C$6:$C$37,$C99)</f>
        <v/>
      </c>
      <c r="E99" s="33">
        <f>SUMIFS('Program Brands'!$E$6:$E$37,'Program Brands'!$B$6:$B$37,$A99,'Program Brands'!$C$6:$C$37,$C99)</f>
        <v/>
      </c>
      <c r="F99" s="43">
        <f>E99-D99</f>
        <v/>
      </c>
      <c r="G99" s="44">
        <f>IFERROR(E99/D99-1,"")</f>
        <v/>
      </c>
      <c r="H99" s="36">
        <f>SUMIFS('Program Brands'!$H$6:$H$37,'Program Brands'!$B$6:$B$37,$A99,'Program Brands'!$C$6:$C$37,$C99)</f>
        <v/>
      </c>
      <c r="I99" s="36">
        <f>SUMIFS('Program Brands'!$I$6:$I$37,'Program Brands'!$B$6:$B$37,$A99,'Program Brands'!$C$6:$C$37,$C99)</f>
        <v/>
      </c>
      <c r="J99" s="38">
        <f>I99-H99</f>
        <v/>
      </c>
    </row>
    <row r="100">
      <c r="A100" s="41" t="inlineStr">
        <is>
          <t>Constellation Brands</t>
        </is>
      </c>
      <c r="B100" s="42" t="inlineStr">
        <is>
          <t>INCENTED</t>
        </is>
      </c>
      <c r="C100" s="41" t="inlineStr">
        <is>
          <t>Modelo Chelada</t>
        </is>
      </c>
      <c r="D100" s="33">
        <f>SUMIFS('Program Brands'!$D$6:$D$37,'Program Brands'!$B$6:$B$37,$A100,'Program Brands'!$C$6:$C$37,$C100)</f>
        <v/>
      </c>
      <c r="E100" s="33">
        <f>SUMIFS('Program Brands'!$E$6:$E$37,'Program Brands'!$B$6:$B$37,$A100,'Program Brands'!$C$6:$C$37,$C100)</f>
        <v/>
      </c>
      <c r="F100" s="43">
        <f>E100-D100</f>
        <v/>
      </c>
      <c r="G100" s="44">
        <f>IFERROR(E100/D100-1,"")</f>
        <v/>
      </c>
      <c r="H100" s="36">
        <f>SUMIFS('Program Brands'!$H$6:$H$37,'Program Brands'!$B$6:$B$37,$A100,'Program Brands'!$C$6:$C$37,$C100)</f>
        <v/>
      </c>
      <c r="I100" s="36">
        <f>SUMIFS('Program Brands'!$I$6:$I$37,'Program Brands'!$B$6:$B$37,$A100,'Program Brands'!$C$6:$C$37,$C100)</f>
        <v/>
      </c>
      <c r="J100" s="38">
        <f>I100-H100</f>
        <v/>
      </c>
    </row>
    <row r="101">
      <c r="A101" s="41" t="inlineStr">
        <is>
          <t>Constellation Brands</t>
        </is>
      </c>
      <c r="B101" s="42" t="inlineStr">
        <is>
          <t>INCENTED</t>
        </is>
      </c>
      <c r="C101" s="41" t="inlineStr">
        <is>
          <t>Modelo Especial</t>
        </is>
      </c>
      <c r="D101" s="33">
        <f>SUMIFS('Program Brands'!$D$6:$D$37,'Program Brands'!$B$6:$B$37,$A101,'Program Brands'!$C$6:$C$37,$C101)</f>
        <v/>
      </c>
      <c r="E101" s="33">
        <f>SUMIFS('Program Brands'!$E$6:$E$37,'Program Brands'!$B$6:$B$37,$A101,'Program Brands'!$C$6:$C$37,$C101)</f>
        <v/>
      </c>
      <c r="F101" s="43">
        <f>E101-D101</f>
        <v/>
      </c>
      <c r="G101" s="44">
        <f>IFERROR(E101/D101-1,"")</f>
        <v/>
      </c>
      <c r="H101" s="36">
        <f>SUMIFS('Program Brands'!$H$6:$H$37,'Program Brands'!$B$6:$B$37,$A101,'Program Brands'!$C$6:$C$37,$C101)</f>
        <v/>
      </c>
      <c r="I101" s="36">
        <f>SUMIFS('Program Brands'!$I$6:$I$37,'Program Brands'!$B$6:$B$37,$A101,'Program Brands'!$C$6:$C$37,$C101)</f>
        <v/>
      </c>
      <c r="J101" s="38">
        <f>I101-H101</f>
        <v/>
      </c>
    </row>
    <row r="102">
      <c r="A102" s="41" t="inlineStr">
        <is>
          <t>Constellation Brands</t>
        </is>
      </c>
      <c r="B102" s="42" t="inlineStr">
        <is>
          <t>INCENTED</t>
        </is>
      </c>
      <c r="C102" s="41" t="inlineStr">
        <is>
          <t>Pacifico</t>
        </is>
      </c>
      <c r="D102" s="33">
        <f>SUMIFS('Program Brands'!$D$6:$D$37,'Program Brands'!$B$6:$B$37,$A102,'Program Brands'!$C$6:$C$37,$C102)</f>
        <v/>
      </c>
      <c r="E102" s="33">
        <f>SUMIFS('Program Brands'!$E$6:$E$37,'Program Brands'!$B$6:$B$37,$A102,'Program Brands'!$C$6:$C$37,$C102)</f>
        <v/>
      </c>
      <c r="F102" s="43">
        <f>E102-D102</f>
        <v/>
      </c>
      <c r="G102" s="44">
        <f>IFERROR(E102/D102-1,"")</f>
        <v/>
      </c>
      <c r="H102" s="36">
        <f>SUMIFS('Program Brands'!$H$6:$H$37,'Program Brands'!$B$6:$B$37,$A102,'Program Brands'!$C$6:$C$37,$C102)</f>
        <v/>
      </c>
      <c r="I102" s="36">
        <f>SUMIFS('Program Brands'!$I$6:$I$37,'Program Brands'!$B$6:$B$37,$A102,'Program Brands'!$C$6:$C$37,$C102)</f>
        <v/>
      </c>
      <c r="J102" s="38">
        <f>I102-H102</f>
        <v/>
      </c>
    </row>
    <row r="103">
      <c r="A103" s="41" t="inlineStr">
        <is>
          <t>Constellation Brands</t>
        </is>
      </c>
      <c r="B103" s="42" t="inlineStr">
        <is>
          <t>INCENTED</t>
        </is>
      </c>
      <c r="C103" s="41" t="inlineStr">
        <is>
          <t>Victoria</t>
        </is>
      </c>
      <c r="D103" s="33">
        <f>SUMIFS('Program Brands'!$D$6:$D$37,'Program Brands'!$B$6:$B$37,$A103,'Program Brands'!$C$6:$C$37,$C103)</f>
        <v/>
      </c>
      <c r="E103" s="33">
        <f>SUMIFS('Program Brands'!$E$6:$E$37,'Program Brands'!$B$6:$B$37,$A103,'Program Brands'!$C$6:$C$37,$C103)</f>
        <v/>
      </c>
      <c r="F103" s="43">
        <f>E103-D103</f>
        <v/>
      </c>
      <c r="G103" s="44">
        <f>IFERROR(E103/D103-1,"")</f>
        <v/>
      </c>
      <c r="H103" s="36">
        <f>SUMIFS('Program Brands'!$H$6:$H$37,'Program Brands'!$B$6:$B$37,$A103,'Program Brands'!$C$6:$C$37,$C103)</f>
        <v/>
      </c>
      <c r="I103" s="36">
        <f>SUMIFS('Program Brands'!$I$6:$I$37,'Program Brands'!$B$6:$B$37,$A103,'Program Brands'!$C$6:$C$37,$C103)</f>
        <v/>
      </c>
      <c r="J103" s="38">
        <f>I103-H103</f>
        <v/>
      </c>
    </row>
    <row r="104">
      <c r="A104" s="2" t="inlineStr">
        <is>
          <t>Constellation Brands</t>
        </is>
      </c>
      <c r="B104" s="2" t="inlineStr">
        <is>
          <t>not incented</t>
        </is>
      </c>
      <c r="C104" s="41" t="inlineStr">
        <is>
          <t>Corona Familiar</t>
        </is>
      </c>
      <c r="D104" s="33">
        <f>SUMIFS('Control Brands'!$C$5:$C$296,'Control Brands'!$A$5:$A$296,$A104,'Control Brands'!$B$5:$B$296,$C104)</f>
        <v/>
      </c>
      <c r="E104" s="33">
        <f>SUMIFS('Control Brands'!$D$5:$D$296,'Control Brands'!$A$5:$A$296,$A104,'Control Brands'!$B$5:$B$296,$C104)</f>
        <v/>
      </c>
      <c r="F104" s="43">
        <f>E104-D104</f>
        <v/>
      </c>
      <c r="G104" s="44">
        <f>IFERROR(E104/D104-1,"")</f>
        <v/>
      </c>
      <c r="H104" s="36">
        <f>SUMIFS('Control Brands'!$G$5:$G$296,'Control Brands'!$A$5:$A$296,$A104,'Control Brands'!$B$5:$B$296,$C104)</f>
        <v/>
      </c>
      <c r="I104" s="36">
        <f>SUMIFS('Control Brands'!$H$5:$H$296,'Control Brands'!$A$5:$A$296,$A104,'Control Brands'!$B$5:$B$296,$C104)</f>
        <v/>
      </c>
      <c r="J104" s="38">
        <f>I104-H104</f>
        <v/>
      </c>
    </row>
    <row r="105">
      <c r="A105" s="2" t="inlineStr">
        <is>
          <t>Constellation Brands</t>
        </is>
      </c>
      <c r="B105" s="2" t="inlineStr">
        <is>
          <t>not incented</t>
        </is>
      </c>
      <c r="C105" s="41" t="inlineStr">
        <is>
          <t>Corona Light</t>
        </is>
      </c>
      <c r="D105" s="33">
        <f>SUMIFS('Control Brands'!$C$5:$C$296,'Control Brands'!$A$5:$A$296,$A105,'Control Brands'!$B$5:$B$296,$C105)</f>
        <v/>
      </c>
      <c r="E105" s="33">
        <f>SUMIFS('Control Brands'!$D$5:$D$296,'Control Brands'!$A$5:$A$296,$A105,'Control Brands'!$B$5:$B$296,$C105)</f>
        <v/>
      </c>
      <c r="F105" s="43">
        <f>E105-D105</f>
        <v/>
      </c>
      <c r="G105" s="44">
        <f>IFERROR(E105/D105-1,"")</f>
        <v/>
      </c>
      <c r="H105" s="36">
        <f>SUMIFS('Control Brands'!$G$5:$G$296,'Control Brands'!$A$5:$A$296,$A105,'Control Brands'!$B$5:$B$296,$C105)</f>
        <v/>
      </c>
      <c r="I105" s="36">
        <f>SUMIFS('Control Brands'!$H$5:$H$296,'Control Brands'!$A$5:$A$296,$A105,'Control Brands'!$B$5:$B$296,$C105)</f>
        <v/>
      </c>
      <c r="J105" s="38">
        <f>I105-H105</f>
        <v/>
      </c>
    </row>
    <row r="106">
      <c r="A106" s="2" t="inlineStr">
        <is>
          <t>Constellation Brands</t>
        </is>
      </c>
      <c r="B106" s="2" t="inlineStr">
        <is>
          <t>not incented</t>
        </is>
      </c>
      <c r="C106" s="41" t="inlineStr">
        <is>
          <t>Corona NA</t>
        </is>
      </c>
      <c r="D106" s="33">
        <f>SUMIFS('Control Brands'!$C$5:$C$296,'Control Brands'!$A$5:$A$296,$A106,'Control Brands'!$B$5:$B$296,$C106)</f>
        <v/>
      </c>
      <c r="E106" s="33">
        <f>SUMIFS('Control Brands'!$D$5:$D$296,'Control Brands'!$A$5:$A$296,$A106,'Control Brands'!$B$5:$B$296,$C106)</f>
        <v/>
      </c>
      <c r="F106" s="43">
        <f>E106-D106</f>
        <v/>
      </c>
      <c r="G106" s="44">
        <f>IFERROR(E106/D106-1,"")</f>
        <v/>
      </c>
      <c r="H106" s="36">
        <f>SUMIFS('Control Brands'!$G$5:$G$296,'Control Brands'!$A$5:$A$296,$A106,'Control Brands'!$B$5:$B$296,$C106)</f>
        <v/>
      </c>
      <c r="I106" s="36">
        <f>SUMIFS('Control Brands'!$H$5:$H$296,'Control Brands'!$A$5:$A$296,$A106,'Control Brands'!$B$5:$B$296,$C106)</f>
        <v/>
      </c>
      <c r="J106" s="38">
        <f>I106-H106</f>
        <v/>
      </c>
    </row>
    <row r="107">
      <c r="A107" s="2" t="inlineStr">
        <is>
          <t>Constellation Brands</t>
        </is>
      </c>
      <c r="B107" s="2" t="inlineStr">
        <is>
          <t>not incented</t>
        </is>
      </c>
      <c r="C107" s="41" t="inlineStr">
        <is>
          <t>Corona Refresca</t>
        </is>
      </c>
      <c r="D107" s="33">
        <f>SUMIFS('Control Brands'!$C$5:$C$296,'Control Brands'!$A$5:$A$296,$A107,'Control Brands'!$B$5:$B$296,$C107)</f>
        <v/>
      </c>
      <c r="E107" s="33">
        <f>SUMIFS('Control Brands'!$D$5:$D$296,'Control Brands'!$A$5:$A$296,$A107,'Control Brands'!$B$5:$B$296,$C107)</f>
        <v/>
      </c>
      <c r="F107" s="43">
        <f>E107-D107</f>
        <v/>
      </c>
      <c r="G107" s="44">
        <f>IFERROR(E107/D107-1,"")</f>
        <v/>
      </c>
      <c r="H107" s="36">
        <f>SUMIFS('Control Brands'!$G$5:$G$296,'Control Brands'!$A$5:$A$296,$A107,'Control Brands'!$B$5:$B$296,$C107)</f>
        <v/>
      </c>
      <c r="I107" s="36">
        <f>SUMIFS('Control Brands'!$H$5:$H$296,'Control Brands'!$A$5:$A$296,$A107,'Control Brands'!$B$5:$B$296,$C107)</f>
        <v/>
      </c>
      <c r="J107" s="38">
        <f>I107-H107</f>
        <v/>
      </c>
    </row>
    <row r="108">
      <c r="A108" s="2" t="inlineStr">
        <is>
          <t>Constellation Brands</t>
        </is>
      </c>
      <c r="B108" s="2" t="inlineStr">
        <is>
          <t>not incented</t>
        </is>
      </c>
      <c r="C108" s="41" t="inlineStr">
        <is>
          <t>Corona Sunbrew</t>
        </is>
      </c>
      <c r="D108" s="33">
        <f>SUMIFS('Control Brands'!$C$5:$C$296,'Control Brands'!$A$5:$A$296,$A108,'Control Brands'!$B$5:$B$296,$C108)</f>
        <v/>
      </c>
      <c r="E108" s="33">
        <f>SUMIFS('Control Brands'!$D$5:$D$296,'Control Brands'!$A$5:$A$296,$A108,'Control Brands'!$B$5:$B$296,$C108)</f>
        <v/>
      </c>
      <c r="F108" s="43">
        <f>E108-D108</f>
        <v/>
      </c>
      <c r="G108" s="44">
        <f>IFERROR(E108/D108-1,"")</f>
        <v/>
      </c>
      <c r="H108" s="36">
        <f>SUMIFS('Control Brands'!$G$5:$G$296,'Control Brands'!$A$5:$A$296,$A108,'Control Brands'!$B$5:$B$296,$C108)</f>
        <v/>
      </c>
      <c r="I108" s="36">
        <f>SUMIFS('Control Brands'!$H$5:$H$296,'Control Brands'!$A$5:$A$296,$A108,'Control Brands'!$B$5:$B$296,$C108)</f>
        <v/>
      </c>
      <c r="J108" s="38">
        <f>I108-H108</f>
        <v/>
      </c>
    </row>
    <row r="109">
      <c r="A109" s="2" t="inlineStr">
        <is>
          <t>Constellation Brands</t>
        </is>
      </c>
      <c r="B109" s="2" t="inlineStr">
        <is>
          <t>not incented</t>
        </is>
      </c>
      <c r="C109" s="41" t="inlineStr">
        <is>
          <t>Modelo Aquas Frescas</t>
        </is>
      </c>
      <c r="D109" s="33">
        <f>SUMIFS('Control Brands'!$C$5:$C$296,'Control Brands'!$A$5:$A$296,$A109,'Control Brands'!$B$5:$B$296,$C109)</f>
        <v/>
      </c>
      <c r="E109" s="33">
        <f>SUMIFS('Control Brands'!$D$5:$D$296,'Control Brands'!$A$5:$A$296,$A109,'Control Brands'!$B$5:$B$296,$C109)</f>
        <v/>
      </c>
      <c r="F109" s="43">
        <f>E109-D109</f>
        <v/>
      </c>
      <c r="G109" s="44">
        <f>IFERROR(E109/D109-1,"")</f>
        <v/>
      </c>
      <c r="H109" s="36">
        <f>SUMIFS('Control Brands'!$G$5:$G$296,'Control Brands'!$A$5:$A$296,$A109,'Control Brands'!$B$5:$B$296,$C109)</f>
        <v/>
      </c>
      <c r="I109" s="36">
        <f>SUMIFS('Control Brands'!$H$5:$H$296,'Control Brands'!$A$5:$A$296,$A109,'Control Brands'!$B$5:$B$296,$C109)</f>
        <v/>
      </c>
      <c r="J109" s="38">
        <f>I109-H109</f>
        <v/>
      </c>
    </row>
    <row r="110">
      <c r="A110" s="2" t="inlineStr">
        <is>
          <t>Constellation Brands</t>
        </is>
      </c>
      <c r="B110" s="2" t="inlineStr">
        <is>
          <t>not incented</t>
        </is>
      </c>
      <c r="C110" s="41" t="inlineStr">
        <is>
          <t>Modelo Negra</t>
        </is>
      </c>
      <c r="D110" s="33">
        <f>SUMIFS('Control Brands'!$C$5:$C$296,'Control Brands'!$A$5:$A$296,$A110,'Control Brands'!$B$5:$B$296,$C110)</f>
        <v/>
      </c>
      <c r="E110" s="33">
        <f>SUMIFS('Control Brands'!$D$5:$D$296,'Control Brands'!$A$5:$A$296,$A110,'Control Brands'!$B$5:$B$296,$C110)</f>
        <v/>
      </c>
      <c r="F110" s="43">
        <f>E110-D110</f>
        <v/>
      </c>
      <c r="G110" s="44">
        <f>IFERROR(E110/D110-1,"")</f>
        <v/>
      </c>
      <c r="H110" s="36">
        <f>SUMIFS('Control Brands'!$G$5:$G$296,'Control Brands'!$A$5:$A$296,$A110,'Control Brands'!$B$5:$B$296,$C110)</f>
        <v/>
      </c>
      <c r="I110" s="36">
        <f>SUMIFS('Control Brands'!$H$5:$H$296,'Control Brands'!$A$5:$A$296,$A110,'Control Brands'!$B$5:$B$296,$C110)</f>
        <v/>
      </c>
      <c r="J110" s="38">
        <f>I110-H110</f>
        <v/>
      </c>
    </row>
    <row r="111">
      <c r="A111" s="2" t="inlineStr">
        <is>
          <t>Constellation Brands</t>
        </is>
      </c>
      <c r="B111" s="2" t="inlineStr">
        <is>
          <t>not incented</t>
        </is>
      </c>
      <c r="C111" s="41" t="inlineStr">
        <is>
          <t>Modelo Oro</t>
        </is>
      </c>
      <c r="D111" s="33">
        <f>SUMIFS('Control Brands'!$C$5:$C$296,'Control Brands'!$A$5:$A$296,$A111,'Control Brands'!$B$5:$B$296,$C111)</f>
        <v/>
      </c>
      <c r="E111" s="33">
        <f>SUMIFS('Control Brands'!$D$5:$D$296,'Control Brands'!$A$5:$A$296,$A111,'Control Brands'!$B$5:$B$296,$C111)</f>
        <v/>
      </c>
      <c r="F111" s="43">
        <f>E111-D111</f>
        <v/>
      </c>
      <c r="G111" s="44">
        <f>IFERROR(E111/D111-1,"")</f>
        <v/>
      </c>
      <c r="H111" s="36">
        <f>SUMIFS('Control Brands'!$G$5:$G$296,'Control Brands'!$A$5:$A$296,$A111,'Control Brands'!$B$5:$B$296,$C111)</f>
        <v/>
      </c>
      <c r="I111" s="36">
        <f>SUMIFS('Control Brands'!$H$5:$H$296,'Control Brands'!$A$5:$A$296,$A111,'Control Brands'!$B$5:$B$296,$C111)</f>
        <v/>
      </c>
      <c r="J111" s="38">
        <f>I111-H111</f>
        <v/>
      </c>
    </row>
    <row r="112">
      <c r="A112" s="2" t="inlineStr">
        <is>
          <t>Constellation Brands</t>
        </is>
      </c>
      <c r="B112" s="2" t="inlineStr">
        <is>
          <t>not incented</t>
        </is>
      </c>
      <c r="C112" s="41" t="inlineStr">
        <is>
          <t>The Drop</t>
        </is>
      </c>
      <c r="D112" s="33">
        <f>SUMIFS('Control Brands'!$C$5:$C$296,'Control Brands'!$A$5:$A$296,$A112,'Control Brands'!$B$5:$B$296,$C112)</f>
        <v/>
      </c>
      <c r="E112" s="33">
        <f>SUMIFS('Control Brands'!$D$5:$D$296,'Control Brands'!$A$5:$A$296,$A112,'Control Brands'!$B$5:$B$296,$C112)</f>
        <v/>
      </c>
      <c r="F112" s="43">
        <f>E112-D112</f>
        <v/>
      </c>
      <c r="G112" s="44">
        <f>IFERROR(E112/D112-1,"")</f>
        <v/>
      </c>
      <c r="H112" s="36">
        <f>SUMIFS('Control Brands'!$G$5:$G$296,'Control Brands'!$A$5:$A$296,$A112,'Control Brands'!$B$5:$B$296,$C112)</f>
        <v/>
      </c>
      <c r="I112" s="36">
        <f>SUMIFS('Control Brands'!$H$5:$H$296,'Control Brands'!$A$5:$A$296,$A112,'Control Brands'!$B$5:$B$296,$C112)</f>
        <v/>
      </c>
      <c r="J112" s="38">
        <f>I112-H112</f>
        <v/>
      </c>
    </row>
    <row r="113">
      <c r="C113" s="45" t="inlineStr">
        <is>
          <t>Constellation Brands — total</t>
        </is>
      </c>
      <c r="D113" s="43">
        <f>SUM(D98:D112)</f>
        <v/>
      </c>
      <c r="E113" s="43">
        <f>SUM(E98:E112)</f>
        <v/>
      </c>
      <c r="F113" s="43">
        <f>SUM(F98:F112)</f>
        <v/>
      </c>
      <c r="H113" s="38">
        <f>SUM(H98:H112)</f>
        <v/>
      </c>
      <c r="I113" s="38">
        <f>SUM(I98:I112)</f>
        <v/>
      </c>
      <c r="J113" s="38">
        <f>SUM(J98:J112)</f>
        <v/>
      </c>
    </row>
    <row r="115">
      <c r="A115" s="41" t="inlineStr">
        <is>
          <t>Mark Anthony</t>
        </is>
      </c>
      <c r="B115" s="42" t="inlineStr">
        <is>
          <t>INCENTED</t>
        </is>
      </c>
      <c r="C115" s="41" t="inlineStr">
        <is>
          <t>Cayman Jack</t>
        </is>
      </c>
      <c r="D115" s="33">
        <f>SUMIFS('Program Brands'!$D$6:$D$37,'Program Brands'!$B$6:$B$37,$A115,'Program Brands'!$C$6:$C$37,$C115)</f>
        <v/>
      </c>
      <c r="E115" s="33">
        <f>SUMIFS('Program Brands'!$E$6:$E$37,'Program Brands'!$B$6:$B$37,$A115,'Program Brands'!$C$6:$C$37,$C115)</f>
        <v/>
      </c>
      <c r="F115" s="43">
        <f>E115-D115</f>
        <v/>
      </c>
      <c r="G115" s="44">
        <f>IFERROR(E115/D115-1,"")</f>
        <v/>
      </c>
      <c r="H115" s="36">
        <f>SUMIFS('Program Brands'!$H$6:$H$37,'Program Brands'!$B$6:$B$37,$A115,'Program Brands'!$C$6:$C$37,$C115)</f>
        <v/>
      </c>
      <c r="I115" s="36">
        <f>SUMIFS('Program Brands'!$I$6:$I$37,'Program Brands'!$B$6:$B$37,$A115,'Program Brands'!$C$6:$C$37,$C115)</f>
        <v/>
      </c>
      <c r="J115" s="38">
        <f>I115-H115</f>
        <v/>
      </c>
    </row>
    <row r="116">
      <c r="A116" s="41" t="inlineStr">
        <is>
          <t>Mark Anthony</t>
        </is>
      </c>
      <c r="B116" s="42" t="inlineStr">
        <is>
          <t>INCENTED</t>
        </is>
      </c>
      <c r="C116" s="41" t="inlineStr">
        <is>
          <t>Mike's Harder</t>
        </is>
      </c>
      <c r="D116" s="33">
        <f>SUMIFS('Program Brands'!$D$6:$D$37,'Program Brands'!$B$6:$B$37,$A116,'Program Brands'!$C$6:$C$37,$C116)</f>
        <v/>
      </c>
      <c r="E116" s="33">
        <f>SUMIFS('Program Brands'!$E$6:$E$37,'Program Brands'!$B$6:$B$37,$A116,'Program Brands'!$C$6:$C$37,$C116)</f>
        <v/>
      </c>
      <c r="F116" s="43">
        <f>E116-D116</f>
        <v/>
      </c>
      <c r="G116" s="44">
        <f>IFERROR(E116/D116-1,"")</f>
        <v/>
      </c>
      <c r="H116" s="36">
        <f>SUMIFS('Program Brands'!$H$6:$H$37,'Program Brands'!$B$6:$B$37,$A116,'Program Brands'!$C$6:$C$37,$C116)</f>
        <v/>
      </c>
      <c r="I116" s="36">
        <f>SUMIFS('Program Brands'!$I$6:$I$37,'Program Brands'!$B$6:$B$37,$A116,'Program Brands'!$C$6:$C$37,$C116)</f>
        <v/>
      </c>
      <c r="J116" s="38">
        <f>I116-H116</f>
        <v/>
      </c>
    </row>
    <row r="117">
      <c r="A117" s="41" t="inlineStr">
        <is>
          <t>Mark Anthony</t>
        </is>
      </c>
      <c r="B117" s="42" t="inlineStr">
        <is>
          <t>INCENTED</t>
        </is>
      </c>
      <c r="C117" s="41" t="inlineStr">
        <is>
          <t>Mxd Cocktails</t>
        </is>
      </c>
      <c r="D117" s="33">
        <f>SUMIFS('Program Brands'!$D$6:$D$37,'Program Brands'!$B$6:$B$37,$A117,'Program Brands'!$C$6:$C$37,$C117)</f>
        <v/>
      </c>
      <c r="E117" s="33">
        <f>SUMIFS('Program Brands'!$E$6:$E$37,'Program Brands'!$B$6:$B$37,$A117,'Program Brands'!$C$6:$C$37,$C117)</f>
        <v/>
      </c>
      <c r="F117" s="43">
        <f>E117-D117</f>
        <v/>
      </c>
      <c r="G117" s="44">
        <f>IFERROR(E117/D117-1,"")</f>
        <v/>
      </c>
      <c r="H117" s="36">
        <f>SUMIFS('Program Brands'!$H$6:$H$37,'Program Brands'!$B$6:$B$37,$A117,'Program Brands'!$C$6:$C$37,$C117)</f>
        <v/>
      </c>
      <c r="I117" s="36">
        <f>SUMIFS('Program Brands'!$I$6:$I$37,'Program Brands'!$B$6:$B$37,$A117,'Program Brands'!$C$6:$C$37,$C117)</f>
        <v/>
      </c>
      <c r="J117" s="38">
        <f>I117-H117</f>
        <v/>
      </c>
    </row>
    <row r="118">
      <c r="A118" s="41" t="inlineStr">
        <is>
          <t>Mark Anthony</t>
        </is>
      </c>
      <c r="B118" s="42" t="inlineStr">
        <is>
          <t>INCENTED</t>
        </is>
      </c>
      <c r="C118" s="41" t="inlineStr">
        <is>
          <t>White Claw</t>
        </is>
      </c>
      <c r="D118" s="33">
        <f>SUMIFS('Program Brands'!$D$6:$D$37,'Program Brands'!$B$6:$B$37,$A118,'Program Brands'!$C$6:$C$37,$C118)</f>
        <v/>
      </c>
      <c r="E118" s="33">
        <f>SUMIFS('Program Brands'!$E$6:$E$37,'Program Brands'!$B$6:$B$37,$A118,'Program Brands'!$C$6:$C$37,$C118)</f>
        <v/>
      </c>
      <c r="F118" s="43">
        <f>E118-D118</f>
        <v/>
      </c>
      <c r="G118" s="44">
        <f>IFERROR(E118/D118-1,"")</f>
        <v/>
      </c>
      <c r="H118" s="36">
        <f>SUMIFS('Program Brands'!$H$6:$H$37,'Program Brands'!$B$6:$B$37,$A118,'Program Brands'!$C$6:$C$37,$C118)</f>
        <v/>
      </c>
      <c r="I118" s="36">
        <f>SUMIFS('Program Brands'!$I$6:$I$37,'Program Brands'!$B$6:$B$37,$A118,'Program Brands'!$C$6:$C$37,$C118)</f>
        <v/>
      </c>
      <c r="J118" s="38">
        <f>I118-H118</f>
        <v/>
      </c>
    </row>
    <row r="119">
      <c r="A119" s="2" t="inlineStr">
        <is>
          <t>Mark Anthony</t>
        </is>
      </c>
      <c r="B119" s="2" t="inlineStr">
        <is>
          <t>not incented</t>
        </is>
      </c>
      <c r="C119" s="41" t="inlineStr">
        <is>
          <t>Dillon's Cocktails</t>
        </is>
      </c>
      <c r="D119" s="33">
        <f>SUMIFS('Control Brands'!$C$5:$C$296,'Control Brands'!$A$5:$A$296,$A119,'Control Brands'!$B$5:$B$296,$C119)</f>
        <v/>
      </c>
      <c r="E119" s="33">
        <f>SUMIFS('Control Brands'!$D$5:$D$296,'Control Brands'!$A$5:$A$296,$A119,'Control Brands'!$B$5:$B$296,$C119)</f>
        <v/>
      </c>
      <c r="F119" s="43">
        <f>E119-D119</f>
        <v/>
      </c>
      <c r="G119" s="44">
        <f>IFERROR(E119/D119-1,"")</f>
        <v/>
      </c>
      <c r="H119" s="36">
        <f>SUMIFS('Control Brands'!$G$5:$G$296,'Control Brands'!$A$5:$A$296,$A119,'Control Brands'!$B$5:$B$296,$C119)</f>
        <v/>
      </c>
      <c r="I119" s="36">
        <f>SUMIFS('Control Brands'!$H$5:$H$296,'Control Brands'!$A$5:$A$296,$A119,'Control Brands'!$B$5:$B$296,$C119)</f>
        <v/>
      </c>
      <c r="J119" s="38">
        <f>I119-H119</f>
        <v/>
      </c>
    </row>
    <row r="120">
      <c r="A120" s="2" t="inlineStr">
        <is>
          <t>Mark Anthony</t>
        </is>
      </c>
      <c r="B120" s="2" t="inlineStr">
        <is>
          <t>not incented</t>
        </is>
      </c>
      <c r="C120" s="41" t="inlineStr">
        <is>
          <t>Mike's Hard Dirty Lemonade</t>
        </is>
      </c>
      <c r="D120" s="33">
        <f>SUMIFS('Control Brands'!$C$5:$C$296,'Control Brands'!$A$5:$A$296,$A120,'Control Brands'!$B$5:$B$296,$C120)</f>
        <v/>
      </c>
      <c r="E120" s="33">
        <f>SUMIFS('Control Brands'!$D$5:$D$296,'Control Brands'!$A$5:$A$296,$A120,'Control Brands'!$B$5:$B$296,$C120)</f>
        <v/>
      </c>
      <c r="F120" s="43">
        <f>E120-D120</f>
        <v/>
      </c>
      <c r="G120" s="44">
        <f>IFERROR(E120/D120-1,"")</f>
        <v/>
      </c>
      <c r="H120" s="36">
        <f>SUMIFS('Control Brands'!$G$5:$G$296,'Control Brands'!$A$5:$A$296,$A120,'Control Brands'!$B$5:$B$296,$C120)</f>
        <v/>
      </c>
      <c r="I120" s="36">
        <f>SUMIFS('Control Brands'!$H$5:$H$296,'Control Brands'!$A$5:$A$296,$A120,'Control Brands'!$B$5:$B$296,$C120)</f>
        <v/>
      </c>
      <c r="J120" s="38">
        <f>I120-H120</f>
        <v/>
      </c>
    </row>
    <row r="121">
      <c r="A121" s="2" t="inlineStr">
        <is>
          <t>Mark Anthony</t>
        </is>
      </c>
      <c r="B121" s="2" t="inlineStr">
        <is>
          <t>not incented</t>
        </is>
      </c>
      <c r="C121" s="41" t="inlineStr">
        <is>
          <t>Mike's Hard Lemonade</t>
        </is>
      </c>
      <c r="D121" s="33">
        <f>SUMIFS('Control Brands'!$C$5:$C$296,'Control Brands'!$A$5:$A$296,$A121,'Control Brands'!$B$5:$B$296,$C121)</f>
        <v/>
      </c>
      <c r="E121" s="33">
        <f>SUMIFS('Control Brands'!$D$5:$D$296,'Control Brands'!$A$5:$A$296,$A121,'Control Brands'!$B$5:$B$296,$C121)</f>
        <v/>
      </c>
      <c r="F121" s="43">
        <f>E121-D121</f>
        <v/>
      </c>
      <c r="G121" s="44">
        <f>IFERROR(E121/D121-1,"")</f>
        <v/>
      </c>
      <c r="H121" s="36">
        <f>SUMIFS('Control Brands'!$G$5:$G$296,'Control Brands'!$A$5:$A$296,$A121,'Control Brands'!$B$5:$B$296,$C121)</f>
        <v/>
      </c>
      <c r="I121" s="36">
        <f>SUMIFS('Control Brands'!$H$5:$H$296,'Control Brands'!$A$5:$A$296,$A121,'Control Brands'!$B$5:$B$296,$C121)</f>
        <v/>
      </c>
      <c r="J121" s="38">
        <f>I121-H121</f>
        <v/>
      </c>
    </row>
    <row r="122">
      <c r="A122" s="2" t="inlineStr">
        <is>
          <t>Mark Anthony</t>
        </is>
      </c>
      <c r="B122" s="2" t="inlineStr">
        <is>
          <t>not incented</t>
        </is>
      </c>
      <c r="C122" s="41" t="inlineStr">
        <is>
          <t>Ole</t>
        </is>
      </c>
      <c r="D122" s="33">
        <f>SUMIFS('Control Brands'!$C$5:$C$296,'Control Brands'!$A$5:$A$296,$A122,'Control Brands'!$B$5:$B$296,$C122)</f>
        <v/>
      </c>
      <c r="E122" s="33">
        <f>SUMIFS('Control Brands'!$D$5:$D$296,'Control Brands'!$A$5:$A$296,$A122,'Control Brands'!$B$5:$B$296,$C122)</f>
        <v/>
      </c>
      <c r="F122" s="43">
        <f>E122-D122</f>
        <v/>
      </c>
      <c r="G122" s="44">
        <f>IFERROR(E122/D122-1,"")</f>
        <v/>
      </c>
      <c r="H122" s="36">
        <f>SUMIFS('Control Brands'!$G$5:$G$296,'Control Brands'!$A$5:$A$296,$A122,'Control Brands'!$B$5:$B$296,$C122)</f>
        <v/>
      </c>
      <c r="I122" s="36">
        <f>SUMIFS('Control Brands'!$H$5:$H$296,'Control Brands'!$A$5:$A$296,$A122,'Control Brands'!$B$5:$B$296,$C122)</f>
        <v/>
      </c>
      <c r="J122" s="38">
        <f>I122-H122</f>
        <v/>
      </c>
    </row>
    <row r="123">
      <c r="C123" s="45" t="inlineStr">
        <is>
          <t>Mark Anthony — total</t>
        </is>
      </c>
      <c r="D123" s="43">
        <f>SUM(D115:D122)</f>
        <v/>
      </c>
      <c r="E123" s="43">
        <f>SUM(E115:E122)</f>
        <v/>
      </c>
      <c r="F123" s="43">
        <f>SUM(F115:F122)</f>
        <v/>
      </c>
      <c r="H123" s="38">
        <f>SUM(H115:H122)</f>
        <v/>
      </c>
      <c r="I123" s="38">
        <f>SUM(I115:I122)</f>
        <v/>
      </c>
      <c r="J123" s="38">
        <f>SUM(J115:J122)</f>
        <v/>
      </c>
    </row>
    <row r="125">
      <c r="A125" s="2" t="inlineStr">
        <is>
          <t>Boston Beer is the case to present. The program pointed reps at Twisted Tea and Truly — both in decline — while Sun Cruiser, carrying no incentive at all, grew by more cases than the incented brands lost.</t>
        </is>
      </c>
    </row>
    <row r="126">
      <c r="A126" s="2" t="inlineStr">
        <is>
          <t>Mark Anthony is the mirror image and the program's one clear win: incented brands held while the same supplier's non-incented brands fell more than twenty points further.</t>
        </is>
      </c>
    </row>
    <row r="127">
      <c r="A127" s="2" t="inlineStr">
        <is>
          <t>Sort or filter column B to compare the two halves of any supplier.</t>
        </is>
      </c>
    </row>
  </sheetData>
  <autoFilter ref="A4:J1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54"/>
  <sheetViews>
    <sheetView showGridLines="0" workbookViewId="0">
      <pane ySplit="4" topLeftCell="A5" activePane="bottomLeft" state="frozen"/>
      <selection pane="bottomLeft" activeCell="A1" sqref="A1"/>
    </sheetView>
  </sheetViews>
  <sheetFormatPr baseColWidth="8" defaultRowHeight="15"/>
  <cols>
    <col width="44" customWidth="1" min="1" max="1"/>
    <col width="30" customWidth="1" min="2" max="2"/>
    <col width="16" customWidth="1" min="3" max="3"/>
    <col width="15" customWidth="1" min="4" max="4"/>
    <col width="13" customWidth="1" min="5" max="5"/>
    <col width="15" customWidth="1" min="6" max="6"/>
    <col width="14" customWidth="1" min="7" max="7"/>
    <col width="11" customWidth="1" min="8" max="8"/>
    <col width="11" customWidth="1" min="9" max="9"/>
    <col width="13" customWidth="1" min="10" max="10"/>
  </cols>
  <sheetData>
    <row r="1">
      <c r="A1" s="22" t="inlineStr">
        <is>
          <t>Were the goals ever hard? — qualifier goal vs the rep's own prior-year volume</t>
        </is>
      </c>
    </row>
    <row r="2">
      <c r="A2" s="2" t="inlineStr">
        <is>
          <t>A goal set below last year's actual pays for maintenance. Goal column is from goals.csv; both actuals are live SUMIFS off Data - Season.</t>
        </is>
      </c>
    </row>
    <row r="4" ht="30" customHeight="1">
      <c r="A4" s="6" t="inlineStr">
        <is>
          <t>Rep</t>
        </is>
      </c>
      <c r="B4" s="6" t="inlineStr">
        <is>
          <t>Supplier</t>
        </is>
      </c>
      <c r="C4" s="6" t="inlineStr">
        <is>
          <t>2026 qualifier goal</t>
        </is>
      </c>
      <c r="D4" s="6" t="inlineStr">
        <is>
          <t>Rep's own 2025 CE</t>
        </is>
      </c>
      <c r="E4" s="6" t="inlineStr">
        <is>
          <t>Goal vs 2025</t>
        </is>
      </c>
      <c r="F4" s="6" t="inlineStr">
        <is>
          <t>Goal below 2025?</t>
        </is>
      </c>
      <c r="G4" s="6" t="inlineStr">
        <is>
          <t>2026 actual CE</t>
        </is>
      </c>
      <c r="H4" s="6" t="inlineStr">
        <is>
          <t>% to goal</t>
        </is>
      </c>
      <c r="I4" s="6" t="inlineStr">
        <is>
          <t>Cleared?</t>
        </is>
      </c>
      <c r="J4" s="6" t="inlineStr">
        <is>
          <t>2026 vs 2025</t>
        </is>
      </c>
    </row>
    <row r="5">
      <c r="A5" s="41" t="inlineStr">
        <is>
          <t>Alisa Acciardi</t>
        </is>
      </c>
      <c r="B5" s="41" t="inlineStr">
        <is>
          <t>Constellation Brands</t>
        </is>
      </c>
      <c r="C5" s="46" t="n">
        <v>453</v>
      </c>
      <c r="D5" s="33">
        <f>SUMIFS('Data - Season'!$E$5:$E$743,'Data - Season'!$A$5:$A$743,$A5,'Data - Season'!$C$5:$C$743,$B5,'Data - Season'!$B$5:$B$743,"Qualifier")</f>
        <v/>
      </c>
      <c r="E5" s="44">
        <f>IFERROR($C5/$D5-1,"")</f>
        <v/>
      </c>
      <c r="F5" s="47">
        <f>IF($C5&lt;$D5,"YES — below LY","no")</f>
        <v/>
      </c>
      <c r="G5" s="33">
        <f>SUMIFS('Data - Season'!$F$5:$F$743,'Data - Season'!$A$5:$A$743,$A5,'Data - Season'!$C$5:$C$743,$B5,'Data - Season'!$B$5:$B$743,"Qualifier")</f>
        <v/>
      </c>
      <c r="H5" s="44">
        <f>IFERROR($G5/$C5,"")</f>
        <v/>
      </c>
      <c r="I5" s="41">
        <f>IF($G5&gt;=$C5,"cleared","missed")</f>
        <v/>
      </c>
      <c r="J5" s="44">
        <f>IFERROR($G5/$D5-1,"")</f>
        <v/>
      </c>
    </row>
    <row r="6">
      <c r="A6" s="41" t="inlineStr">
        <is>
          <t>Alisa Acciardi</t>
        </is>
      </c>
      <c r="B6" s="41" t="inlineStr">
        <is>
          <t>DG Yuengling Inc</t>
        </is>
      </c>
      <c r="C6" s="46" t="n">
        <v>19</v>
      </c>
      <c r="D6" s="33">
        <f>SUMIFS('Data - Season'!$E$5:$E$743,'Data - Season'!$A$5:$A$743,$A6,'Data - Season'!$C$5:$C$743,$B6,'Data - Season'!$B$5:$B$743,"Qualifier")</f>
        <v/>
      </c>
      <c r="E6" s="44">
        <f>IFERROR($C6/$D6-1,"")</f>
        <v/>
      </c>
      <c r="F6" s="41">
        <f>IF($C6&lt;$D6,"YES — below LY","no")</f>
        <v/>
      </c>
      <c r="G6" s="33">
        <f>SUMIFS('Data - Season'!$F$5:$F$743,'Data - Season'!$A$5:$A$743,$A6,'Data - Season'!$C$5:$C$743,$B6,'Data - Season'!$B$5:$B$743,"Qualifier")</f>
        <v/>
      </c>
      <c r="H6" s="44">
        <f>IFERROR($G6/$C6,"")</f>
        <v/>
      </c>
      <c r="I6" s="41">
        <f>IF($G6&gt;=$C6,"cleared","missed")</f>
        <v/>
      </c>
      <c r="J6" s="44">
        <f>IFERROR($G6/$D6-1,"")</f>
        <v/>
      </c>
    </row>
    <row r="7">
      <c r="A7" s="41" t="inlineStr">
        <is>
          <t>Alisa Acciardi</t>
        </is>
      </c>
      <c r="B7" s="41" t="inlineStr">
        <is>
          <t>Heineken USA</t>
        </is>
      </c>
      <c r="C7" s="46" t="n">
        <v>149</v>
      </c>
      <c r="D7" s="33">
        <f>SUMIFS('Data - Season'!$E$5:$E$743,'Data - Season'!$A$5:$A$743,$A7,'Data - Season'!$C$5:$C$743,$B7,'Data - Season'!$B$5:$B$743,"Qualifier")</f>
        <v/>
      </c>
      <c r="E7" s="44">
        <f>IFERROR($C7/$D7-1,"")</f>
        <v/>
      </c>
      <c r="F7" s="47">
        <f>IF($C7&lt;$D7,"YES — below LY","no")</f>
        <v/>
      </c>
      <c r="G7" s="33">
        <f>SUMIFS('Data - Season'!$F$5:$F$743,'Data - Season'!$A$5:$A$743,$A7,'Data - Season'!$C$5:$C$743,$B7,'Data - Season'!$B$5:$B$743,"Qualifier")</f>
        <v/>
      </c>
      <c r="H7" s="44">
        <f>IFERROR($G7/$C7,"")</f>
        <v/>
      </c>
      <c r="I7" s="41">
        <f>IF($G7&gt;=$C7,"cleared","missed")</f>
        <v/>
      </c>
      <c r="J7" s="44">
        <f>IFERROR($G7/$D7-1,"")</f>
        <v/>
      </c>
    </row>
    <row r="8">
      <c r="A8" s="41" t="inlineStr">
        <is>
          <t>Alisa Acciardi</t>
        </is>
      </c>
      <c r="B8" s="41" t="inlineStr">
        <is>
          <t>Mark Anthony</t>
        </is>
      </c>
      <c r="C8" s="46" t="n">
        <v>80</v>
      </c>
      <c r="D8" s="33">
        <f>SUMIFS('Data - Season'!$E$5:$E$743,'Data - Season'!$A$5:$A$743,$A8,'Data - Season'!$C$5:$C$743,$B8,'Data - Season'!$B$5:$B$743,"Qualifier")</f>
        <v/>
      </c>
      <c r="E8" s="44">
        <f>IFERROR($C8/$D8-1,"")</f>
        <v/>
      </c>
      <c r="F8" s="47">
        <f>IF($C8&lt;$D8,"YES — below LY","no")</f>
        <v/>
      </c>
      <c r="G8" s="33">
        <f>SUMIFS('Data - Season'!$F$5:$F$743,'Data - Season'!$A$5:$A$743,$A8,'Data - Season'!$C$5:$C$743,$B8,'Data - Season'!$B$5:$B$743,"Qualifier")</f>
        <v/>
      </c>
      <c r="H8" s="44">
        <f>IFERROR($G8/$C8,"")</f>
        <v/>
      </c>
      <c r="I8" s="41">
        <f>IF($G8&gt;=$C8,"cleared","missed")</f>
        <v/>
      </c>
      <c r="J8" s="44">
        <f>IFERROR($G8/$D8-1,"")</f>
        <v/>
      </c>
    </row>
    <row r="9">
      <c r="A9" s="41" t="inlineStr">
        <is>
          <t>Alisa Acciardi</t>
        </is>
      </c>
      <c r="B9" s="41" t="inlineStr">
        <is>
          <t>MolsonCoors Beverage Company</t>
        </is>
      </c>
      <c r="C9" s="46" t="n">
        <v>491</v>
      </c>
      <c r="D9" s="33">
        <f>SUMIFS('Data - Season'!$E$5:$E$743,'Data - Season'!$A$5:$A$743,$A9,'Data - Season'!$C$5:$C$743,$B9,'Data - Season'!$B$5:$B$743,"Qualifier")</f>
        <v/>
      </c>
      <c r="E9" s="44">
        <f>IFERROR($C9/$D9-1,"")</f>
        <v/>
      </c>
      <c r="F9" s="41">
        <f>IF($C9&lt;$D9,"YES — below LY","no")</f>
        <v/>
      </c>
      <c r="G9" s="33">
        <f>SUMIFS('Data - Season'!$F$5:$F$743,'Data - Season'!$A$5:$A$743,$A9,'Data - Season'!$C$5:$C$743,$B9,'Data - Season'!$B$5:$B$743,"Qualifier")</f>
        <v/>
      </c>
      <c r="H9" s="44">
        <f>IFERROR($G9/$C9,"")</f>
        <v/>
      </c>
      <c r="I9" s="41">
        <f>IF($G9&gt;=$C9,"cleared","missed")</f>
        <v/>
      </c>
      <c r="J9" s="44">
        <f>IFERROR($G9/$D9-1,"")</f>
        <v/>
      </c>
    </row>
    <row r="10">
      <c r="A10" s="41" t="inlineStr">
        <is>
          <t>Allison Scott</t>
        </is>
      </c>
      <c r="B10" s="41" t="inlineStr">
        <is>
          <t>Boston Beer Company</t>
        </is>
      </c>
      <c r="C10" s="46" t="n">
        <v>265</v>
      </c>
      <c r="D10" s="33">
        <f>SUMIFS('Data - Season'!$E$5:$E$743,'Data - Season'!$A$5:$A$743,$A10,'Data - Season'!$C$5:$C$743,$B10,'Data - Season'!$B$5:$B$743,"Qualifier")</f>
        <v/>
      </c>
      <c r="E10" s="44">
        <f>IFERROR($C10/$D10-1,"")</f>
        <v/>
      </c>
      <c r="F10" s="41">
        <f>IF($C10&lt;$D10,"YES — below LY","no")</f>
        <v/>
      </c>
      <c r="G10" s="33">
        <f>SUMIFS('Data - Season'!$F$5:$F$743,'Data - Season'!$A$5:$A$743,$A10,'Data - Season'!$C$5:$C$743,$B10,'Data - Season'!$B$5:$B$743,"Qualifier")</f>
        <v/>
      </c>
      <c r="H10" s="44">
        <f>IFERROR($G10/$C10,"")</f>
        <v/>
      </c>
      <c r="I10" s="41">
        <f>IF($G10&gt;=$C10,"cleared","missed")</f>
        <v/>
      </c>
      <c r="J10" s="44">
        <f>IFERROR($G10/$D10-1,"")</f>
        <v/>
      </c>
    </row>
    <row r="11">
      <c r="A11" s="41" t="inlineStr">
        <is>
          <t>Allison Scott</t>
        </is>
      </c>
      <c r="B11" s="41" t="inlineStr">
        <is>
          <t>Constellation Brands</t>
        </is>
      </c>
      <c r="C11" s="46" t="n">
        <v>7193</v>
      </c>
      <c r="D11" s="33">
        <f>SUMIFS('Data - Season'!$E$5:$E$743,'Data - Season'!$A$5:$A$743,$A11,'Data - Season'!$C$5:$C$743,$B11,'Data - Season'!$B$5:$B$743,"Qualifier")</f>
        <v/>
      </c>
      <c r="E11" s="44">
        <f>IFERROR($C11/$D11-1,"")</f>
        <v/>
      </c>
      <c r="F11" s="47">
        <f>IF($C11&lt;$D11,"YES — below LY","no")</f>
        <v/>
      </c>
      <c r="G11" s="33">
        <f>SUMIFS('Data - Season'!$F$5:$F$743,'Data - Season'!$A$5:$A$743,$A11,'Data - Season'!$C$5:$C$743,$B11,'Data - Season'!$B$5:$B$743,"Qualifier")</f>
        <v/>
      </c>
      <c r="H11" s="44">
        <f>IFERROR($G11/$C11,"")</f>
        <v/>
      </c>
      <c r="I11" s="41">
        <f>IF($G11&gt;=$C11,"cleared","missed")</f>
        <v/>
      </c>
      <c r="J11" s="44">
        <f>IFERROR($G11/$D11-1,"")</f>
        <v/>
      </c>
    </row>
    <row r="12">
      <c r="A12" s="41" t="inlineStr">
        <is>
          <t>Allison Scott</t>
        </is>
      </c>
      <c r="B12" s="41" t="inlineStr">
        <is>
          <t>DG Yuengling Inc</t>
        </is>
      </c>
      <c r="C12" s="46" t="n">
        <v>2762</v>
      </c>
      <c r="D12" s="33">
        <f>SUMIFS('Data - Season'!$E$5:$E$743,'Data - Season'!$A$5:$A$743,$A12,'Data - Season'!$C$5:$C$743,$B12,'Data - Season'!$B$5:$B$743,"Qualifier")</f>
        <v/>
      </c>
      <c r="E12" s="44">
        <f>IFERROR($C12/$D12-1,"")</f>
        <v/>
      </c>
      <c r="F12" s="47">
        <f>IF($C12&lt;$D12,"YES — below LY","no")</f>
        <v/>
      </c>
      <c r="G12" s="33">
        <f>SUMIFS('Data - Season'!$F$5:$F$743,'Data - Season'!$A$5:$A$743,$A12,'Data - Season'!$C$5:$C$743,$B12,'Data - Season'!$B$5:$B$743,"Qualifier")</f>
        <v/>
      </c>
      <c r="H12" s="44">
        <f>IFERROR($G12/$C12,"")</f>
        <v/>
      </c>
      <c r="I12" s="41">
        <f>IF($G12&gt;=$C12,"cleared","missed")</f>
        <v/>
      </c>
      <c r="J12" s="44">
        <f>IFERROR($G12/$D12-1,"")</f>
        <v/>
      </c>
    </row>
    <row r="13">
      <c r="A13" s="41" t="inlineStr">
        <is>
          <t>Allison Scott</t>
        </is>
      </c>
      <c r="B13" s="41" t="inlineStr">
        <is>
          <t>Heineken USA</t>
        </is>
      </c>
      <c r="C13" s="46" t="n">
        <v>1846</v>
      </c>
      <c r="D13" s="33">
        <f>SUMIFS('Data - Season'!$E$5:$E$743,'Data - Season'!$A$5:$A$743,$A13,'Data - Season'!$C$5:$C$743,$B13,'Data - Season'!$B$5:$B$743,"Qualifier")</f>
        <v/>
      </c>
      <c r="E13" s="44">
        <f>IFERROR($C13/$D13-1,"")</f>
        <v/>
      </c>
      <c r="F13" s="47">
        <f>IF($C13&lt;$D13,"YES — below LY","no")</f>
        <v/>
      </c>
      <c r="G13" s="33">
        <f>SUMIFS('Data - Season'!$F$5:$F$743,'Data - Season'!$A$5:$A$743,$A13,'Data - Season'!$C$5:$C$743,$B13,'Data - Season'!$B$5:$B$743,"Qualifier")</f>
        <v/>
      </c>
      <c r="H13" s="44">
        <f>IFERROR($G13/$C13,"")</f>
        <v/>
      </c>
      <c r="I13" s="41">
        <f>IF($G13&gt;=$C13,"cleared","missed")</f>
        <v/>
      </c>
      <c r="J13" s="44">
        <f>IFERROR($G13/$D13-1,"")</f>
        <v/>
      </c>
    </row>
    <row r="14">
      <c r="A14" s="41" t="inlineStr">
        <is>
          <t>Allison Scott</t>
        </is>
      </c>
      <c r="B14" s="41" t="inlineStr">
        <is>
          <t>Mark Anthony</t>
        </is>
      </c>
      <c r="C14" s="46" t="n">
        <v>940</v>
      </c>
      <c r="D14" s="33">
        <f>SUMIFS('Data - Season'!$E$5:$E$743,'Data - Season'!$A$5:$A$743,$A14,'Data - Season'!$C$5:$C$743,$B14,'Data - Season'!$B$5:$B$743,"Qualifier")</f>
        <v/>
      </c>
      <c r="E14" s="44">
        <f>IFERROR($C14/$D14-1,"")</f>
        <v/>
      </c>
      <c r="F14" s="47">
        <f>IF($C14&lt;$D14,"YES — below LY","no")</f>
        <v/>
      </c>
      <c r="G14" s="33">
        <f>SUMIFS('Data - Season'!$F$5:$F$743,'Data - Season'!$A$5:$A$743,$A14,'Data - Season'!$C$5:$C$743,$B14,'Data - Season'!$B$5:$B$743,"Qualifier")</f>
        <v/>
      </c>
      <c r="H14" s="44">
        <f>IFERROR($G14/$C14,"")</f>
        <v/>
      </c>
      <c r="I14" s="41">
        <f>IF($G14&gt;=$C14,"cleared","missed")</f>
        <v/>
      </c>
      <c r="J14" s="44">
        <f>IFERROR($G14/$D14-1,"")</f>
        <v/>
      </c>
    </row>
    <row r="15">
      <c r="A15" s="41" t="inlineStr">
        <is>
          <t>Allison Scott</t>
        </is>
      </c>
      <c r="B15" s="41" t="inlineStr">
        <is>
          <t>MolsonCoors Beverage Company</t>
        </is>
      </c>
      <c r="C15" s="46" t="n">
        <v>12865</v>
      </c>
      <c r="D15" s="33">
        <f>SUMIFS('Data - Season'!$E$5:$E$743,'Data - Season'!$A$5:$A$743,$A15,'Data - Season'!$C$5:$C$743,$B15,'Data - Season'!$B$5:$B$743,"Qualifier")</f>
        <v/>
      </c>
      <c r="E15" s="44">
        <f>IFERROR($C15/$D15-1,"")</f>
        <v/>
      </c>
      <c r="F15" s="47">
        <f>IF($C15&lt;$D15,"YES — below LY","no")</f>
        <v/>
      </c>
      <c r="G15" s="33">
        <f>SUMIFS('Data - Season'!$F$5:$F$743,'Data - Season'!$A$5:$A$743,$A15,'Data - Season'!$C$5:$C$743,$B15,'Data - Season'!$B$5:$B$743,"Qualifier")</f>
        <v/>
      </c>
      <c r="H15" s="44">
        <f>IFERROR($G15/$C15,"")</f>
        <v/>
      </c>
      <c r="I15" s="41">
        <f>IF($G15&gt;=$C15,"cleared","missed")</f>
        <v/>
      </c>
      <c r="J15" s="44">
        <f>IFERROR($G15/$D15-1,"")</f>
        <v/>
      </c>
    </row>
    <row r="16">
      <c r="A16" s="41" t="inlineStr">
        <is>
          <t>Anthony Palmisano</t>
        </is>
      </c>
      <c r="B16" s="41" t="inlineStr">
        <is>
          <t>Boston Beer Company</t>
        </is>
      </c>
      <c r="C16" s="46" t="n">
        <v>4450</v>
      </c>
      <c r="D16" s="33">
        <f>SUMIFS('Data - Season'!$E$5:$E$743,'Data - Season'!$A$5:$A$743,$A16,'Data - Season'!$C$5:$C$743,$B16,'Data - Season'!$B$5:$B$743,"Qualifier")</f>
        <v/>
      </c>
      <c r="E16" s="44">
        <f>IFERROR($C16/$D16-1,"")</f>
        <v/>
      </c>
      <c r="F16" s="47">
        <f>IF($C16&lt;$D16,"YES — below LY","no")</f>
        <v/>
      </c>
      <c r="G16" s="33">
        <f>SUMIFS('Data - Season'!$F$5:$F$743,'Data - Season'!$A$5:$A$743,$A16,'Data - Season'!$C$5:$C$743,$B16,'Data - Season'!$B$5:$B$743,"Qualifier")</f>
        <v/>
      </c>
      <c r="H16" s="44">
        <f>IFERROR($G16/$C16,"")</f>
        <v/>
      </c>
      <c r="I16" s="41">
        <f>IF($G16&gt;=$C16,"cleared","missed")</f>
        <v/>
      </c>
      <c r="J16" s="44">
        <f>IFERROR($G16/$D16-1,"")</f>
        <v/>
      </c>
    </row>
    <row r="17">
      <c r="A17" s="41" t="inlineStr">
        <is>
          <t>Anthony Palmisano</t>
        </is>
      </c>
      <c r="B17" s="41" t="inlineStr">
        <is>
          <t>Constellation Brands</t>
        </is>
      </c>
      <c r="C17" s="46" t="n">
        <v>18078</v>
      </c>
      <c r="D17" s="33">
        <f>SUMIFS('Data - Season'!$E$5:$E$743,'Data - Season'!$A$5:$A$743,$A17,'Data - Season'!$C$5:$C$743,$B17,'Data - Season'!$B$5:$B$743,"Qualifier")</f>
        <v/>
      </c>
      <c r="E17" s="44">
        <f>IFERROR($C17/$D17-1,"")</f>
        <v/>
      </c>
      <c r="F17" s="47">
        <f>IF($C17&lt;$D17,"YES — below LY","no")</f>
        <v/>
      </c>
      <c r="G17" s="33">
        <f>SUMIFS('Data - Season'!$F$5:$F$743,'Data - Season'!$A$5:$A$743,$A17,'Data - Season'!$C$5:$C$743,$B17,'Data - Season'!$B$5:$B$743,"Qualifier")</f>
        <v/>
      </c>
      <c r="H17" s="44">
        <f>IFERROR($G17/$C17,"")</f>
        <v/>
      </c>
      <c r="I17" s="41">
        <f>IF($G17&gt;=$C17,"cleared","missed")</f>
        <v/>
      </c>
      <c r="J17" s="44">
        <f>IFERROR($G17/$D17-1,"")</f>
        <v/>
      </c>
    </row>
    <row r="18">
      <c r="A18" s="41" t="inlineStr">
        <is>
          <t>Anthony Palmisano</t>
        </is>
      </c>
      <c r="B18" s="41" t="inlineStr">
        <is>
          <t>DG Yuengling Inc</t>
        </is>
      </c>
      <c r="C18" s="46" t="n">
        <v>4331</v>
      </c>
      <c r="D18" s="33">
        <f>SUMIFS('Data - Season'!$E$5:$E$743,'Data - Season'!$A$5:$A$743,$A18,'Data - Season'!$C$5:$C$743,$B18,'Data - Season'!$B$5:$B$743,"Qualifier")</f>
        <v/>
      </c>
      <c r="E18" s="44">
        <f>IFERROR($C18/$D18-1,"")</f>
        <v/>
      </c>
      <c r="F18" s="47">
        <f>IF($C18&lt;$D18,"YES — below LY","no")</f>
        <v/>
      </c>
      <c r="G18" s="33">
        <f>SUMIFS('Data - Season'!$F$5:$F$743,'Data - Season'!$A$5:$A$743,$A18,'Data - Season'!$C$5:$C$743,$B18,'Data - Season'!$B$5:$B$743,"Qualifier")</f>
        <v/>
      </c>
      <c r="H18" s="44">
        <f>IFERROR($G18/$C18,"")</f>
        <v/>
      </c>
      <c r="I18" s="41">
        <f>IF($G18&gt;=$C18,"cleared","missed")</f>
        <v/>
      </c>
      <c r="J18" s="44">
        <f>IFERROR($G18/$D18-1,"")</f>
        <v/>
      </c>
    </row>
    <row r="19">
      <c r="A19" s="41" t="inlineStr">
        <is>
          <t>Anthony Palmisano</t>
        </is>
      </c>
      <c r="B19" s="41" t="inlineStr">
        <is>
          <t>Heineken USA</t>
        </is>
      </c>
      <c r="C19" s="46" t="n">
        <v>2985</v>
      </c>
      <c r="D19" s="33">
        <f>SUMIFS('Data - Season'!$E$5:$E$743,'Data - Season'!$A$5:$A$743,$A19,'Data - Season'!$C$5:$C$743,$B19,'Data - Season'!$B$5:$B$743,"Qualifier")</f>
        <v/>
      </c>
      <c r="E19" s="44">
        <f>IFERROR($C19/$D19-1,"")</f>
        <v/>
      </c>
      <c r="F19" s="41">
        <f>IF($C19&lt;$D19,"YES — below LY","no")</f>
        <v/>
      </c>
      <c r="G19" s="33">
        <f>SUMIFS('Data - Season'!$F$5:$F$743,'Data - Season'!$A$5:$A$743,$A19,'Data - Season'!$C$5:$C$743,$B19,'Data - Season'!$B$5:$B$743,"Qualifier")</f>
        <v/>
      </c>
      <c r="H19" s="44">
        <f>IFERROR($G19/$C19,"")</f>
        <v/>
      </c>
      <c r="I19" s="41">
        <f>IF($G19&gt;=$C19,"cleared","missed")</f>
        <v/>
      </c>
      <c r="J19" s="44">
        <f>IFERROR($G19/$D19-1,"")</f>
        <v/>
      </c>
    </row>
    <row r="20">
      <c r="A20" s="41" t="inlineStr">
        <is>
          <t>Anthony Palmisano</t>
        </is>
      </c>
      <c r="B20" s="41" t="inlineStr">
        <is>
          <t>Mark Anthony</t>
        </is>
      </c>
      <c r="C20" s="46" t="n">
        <v>6666</v>
      </c>
      <c r="D20" s="33">
        <f>SUMIFS('Data - Season'!$E$5:$E$743,'Data - Season'!$A$5:$A$743,$A20,'Data - Season'!$C$5:$C$743,$B20,'Data - Season'!$B$5:$B$743,"Qualifier")</f>
        <v/>
      </c>
      <c r="E20" s="44">
        <f>IFERROR($C20/$D20-1,"")</f>
        <v/>
      </c>
      <c r="F20" s="47">
        <f>IF($C20&lt;$D20,"YES — below LY","no")</f>
        <v/>
      </c>
      <c r="G20" s="33">
        <f>SUMIFS('Data - Season'!$F$5:$F$743,'Data - Season'!$A$5:$A$743,$A20,'Data - Season'!$C$5:$C$743,$B20,'Data - Season'!$B$5:$B$743,"Qualifier")</f>
        <v/>
      </c>
      <c r="H20" s="44">
        <f>IFERROR($G20/$C20,"")</f>
        <v/>
      </c>
      <c r="I20" s="41">
        <f>IF($G20&gt;=$C20,"cleared","missed")</f>
        <v/>
      </c>
      <c r="J20" s="44">
        <f>IFERROR($G20/$D20-1,"")</f>
        <v/>
      </c>
    </row>
    <row r="21">
      <c r="A21" s="41" t="inlineStr">
        <is>
          <t>Anthony Palmisano</t>
        </is>
      </c>
      <c r="B21" s="41" t="inlineStr">
        <is>
          <t>MolsonCoors Beverage Company</t>
        </is>
      </c>
      <c r="C21" s="46" t="n">
        <v>29338</v>
      </c>
      <c r="D21" s="33">
        <f>SUMIFS('Data - Season'!$E$5:$E$743,'Data - Season'!$A$5:$A$743,$A21,'Data - Season'!$C$5:$C$743,$B21,'Data - Season'!$B$5:$B$743,"Qualifier")</f>
        <v/>
      </c>
      <c r="E21" s="44">
        <f>IFERROR($C21/$D21-1,"")</f>
        <v/>
      </c>
      <c r="F21" s="47">
        <f>IF($C21&lt;$D21,"YES — below LY","no")</f>
        <v/>
      </c>
      <c r="G21" s="33">
        <f>SUMIFS('Data - Season'!$F$5:$F$743,'Data - Season'!$A$5:$A$743,$A21,'Data - Season'!$C$5:$C$743,$B21,'Data - Season'!$B$5:$B$743,"Qualifier")</f>
        <v/>
      </c>
      <c r="H21" s="44">
        <f>IFERROR($G21/$C21,"")</f>
        <v/>
      </c>
      <c r="I21" s="41">
        <f>IF($G21&gt;=$C21,"cleared","missed")</f>
        <v/>
      </c>
      <c r="J21" s="44">
        <f>IFERROR($G21/$D21-1,"")</f>
        <v/>
      </c>
    </row>
    <row r="22">
      <c r="A22" s="41" t="inlineStr">
        <is>
          <t>Brian Sengebush</t>
        </is>
      </c>
      <c r="B22" s="41" t="inlineStr">
        <is>
          <t>Boston Beer Company</t>
        </is>
      </c>
      <c r="C22" s="46" t="n">
        <v>1575</v>
      </c>
      <c r="D22" s="33">
        <f>SUMIFS('Data - Season'!$E$5:$E$743,'Data - Season'!$A$5:$A$743,$A22,'Data - Season'!$C$5:$C$743,$B22,'Data - Season'!$B$5:$B$743,"Qualifier")</f>
        <v/>
      </c>
      <c r="E22" s="44">
        <f>IFERROR($C22/$D22-1,"")</f>
        <v/>
      </c>
      <c r="F22" s="47">
        <f>IF($C22&lt;$D22,"YES — below LY","no")</f>
        <v/>
      </c>
      <c r="G22" s="33">
        <f>SUMIFS('Data - Season'!$F$5:$F$743,'Data - Season'!$A$5:$A$743,$A22,'Data - Season'!$C$5:$C$743,$B22,'Data - Season'!$B$5:$B$743,"Qualifier")</f>
        <v/>
      </c>
      <c r="H22" s="44">
        <f>IFERROR($G22/$C22,"")</f>
        <v/>
      </c>
      <c r="I22" s="41">
        <f>IF($G22&gt;=$C22,"cleared","missed")</f>
        <v/>
      </c>
      <c r="J22" s="44">
        <f>IFERROR($G22/$D22-1,"")</f>
        <v/>
      </c>
    </row>
    <row r="23">
      <c r="A23" s="41" t="inlineStr">
        <is>
          <t>Brian Sengebush</t>
        </is>
      </c>
      <c r="B23" s="41" t="inlineStr">
        <is>
          <t>Constellation Brands</t>
        </is>
      </c>
      <c r="C23" s="46" t="n">
        <v>5395</v>
      </c>
      <c r="D23" s="33">
        <f>SUMIFS('Data - Season'!$E$5:$E$743,'Data - Season'!$A$5:$A$743,$A23,'Data - Season'!$C$5:$C$743,$B23,'Data - Season'!$B$5:$B$743,"Qualifier")</f>
        <v/>
      </c>
      <c r="E23" s="44">
        <f>IFERROR($C23/$D23-1,"")</f>
        <v/>
      </c>
      <c r="F23" s="47">
        <f>IF($C23&lt;$D23,"YES — below LY","no")</f>
        <v/>
      </c>
      <c r="G23" s="33">
        <f>SUMIFS('Data - Season'!$F$5:$F$743,'Data - Season'!$A$5:$A$743,$A23,'Data - Season'!$C$5:$C$743,$B23,'Data - Season'!$B$5:$B$743,"Qualifier")</f>
        <v/>
      </c>
      <c r="H23" s="44">
        <f>IFERROR($G23/$C23,"")</f>
        <v/>
      </c>
      <c r="I23" s="41">
        <f>IF($G23&gt;=$C23,"cleared","missed")</f>
        <v/>
      </c>
      <c r="J23" s="44">
        <f>IFERROR($G23/$D23-1,"")</f>
        <v/>
      </c>
    </row>
    <row r="24">
      <c r="A24" s="41" t="inlineStr">
        <is>
          <t>Brian Sengebush</t>
        </is>
      </c>
      <c r="B24" s="41" t="inlineStr">
        <is>
          <t>DG Yuengling Inc</t>
        </is>
      </c>
      <c r="C24" s="46" t="n">
        <v>4861</v>
      </c>
      <c r="D24" s="33">
        <f>SUMIFS('Data - Season'!$E$5:$E$743,'Data - Season'!$A$5:$A$743,$A24,'Data - Season'!$C$5:$C$743,$B24,'Data - Season'!$B$5:$B$743,"Qualifier")</f>
        <v/>
      </c>
      <c r="E24" s="44">
        <f>IFERROR($C24/$D24-1,"")</f>
        <v/>
      </c>
      <c r="F24" s="47">
        <f>IF($C24&lt;$D24,"YES — below LY","no")</f>
        <v/>
      </c>
      <c r="G24" s="33">
        <f>SUMIFS('Data - Season'!$F$5:$F$743,'Data - Season'!$A$5:$A$743,$A24,'Data - Season'!$C$5:$C$743,$B24,'Data - Season'!$B$5:$B$743,"Qualifier")</f>
        <v/>
      </c>
      <c r="H24" s="44">
        <f>IFERROR($G24/$C24,"")</f>
        <v/>
      </c>
      <c r="I24" s="41">
        <f>IF($G24&gt;=$C24,"cleared","missed")</f>
        <v/>
      </c>
      <c r="J24" s="44">
        <f>IFERROR($G24/$D24-1,"")</f>
        <v/>
      </c>
    </row>
    <row r="25">
      <c r="A25" s="41" t="inlineStr">
        <is>
          <t>Brian Sengebush</t>
        </is>
      </c>
      <c r="B25" s="41" t="inlineStr">
        <is>
          <t>Mark Anthony</t>
        </is>
      </c>
      <c r="C25" s="46" t="n">
        <v>1470</v>
      </c>
      <c r="D25" s="33">
        <f>SUMIFS('Data - Season'!$E$5:$E$743,'Data - Season'!$A$5:$A$743,$A25,'Data - Season'!$C$5:$C$743,$B25,'Data - Season'!$B$5:$B$743,"Qualifier")</f>
        <v/>
      </c>
      <c r="E25" s="44">
        <f>IFERROR($C25/$D25-1,"")</f>
        <v/>
      </c>
      <c r="F25" s="47">
        <f>IF($C25&lt;$D25,"YES — below LY","no")</f>
        <v/>
      </c>
      <c r="G25" s="33">
        <f>SUMIFS('Data - Season'!$F$5:$F$743,'Data - Season'!$A$5:$A$743,$A25,'Data - Season'!$C$5:$C$743,$B25,'Data - Season'!$B$5:$B$743,"Qualifier")</f>
        <v/>
      </c>
      <c r="H25" s="44">
        <f>IFERROR($G25/$C25,"")</f>
        <v/>
      </c>
      <c r="I25" s="41">
        <f>IF($G25&gt;=$C25,"cleared","missed")</f>
        <v/>
      </c>
      <c r="J25" s="44">
        <f>IFERROR($G25/$D25-1,"")</f>
        <v/>
      </c>
    </row>
    <row r="26">
      <c r="A26" s="41" t="inlineStr">
        <is>
          <t>Brian Sengebush</t>
        </is>
      </c>
      <c r="B26" s="41" t="inlineStr">
        <is>
          <t>MolsonCoors Beverage Company</t>
        </is>
      </c>
      <c r="C26" s="46" t="n">
        <v>16115</v>
      </c>
      <c r="D26" s="33">
        <f>SUMIFS('Data - Season'!$E$5:$E$743,'Data - Season'!$A$5:$A$743,$A26,'Data - Season'!$C$5:$C$743,$B26,'Data - Season'!$B$5:$B$743,"Qualifier")</f>
        <v/>
      </c>
      <c r="E26" s="44">
        <f>IFERROR($C26/$D26-1,"")</f>
        <v/>
      </c>
      <c r="F26" s="47">
        <f>IF($C26&lt;$D26,"YES — below LY","no")</f>
        <v/>
      </c>
      <c r="G26" s="33">
        <f>SUMIFS('Data - Season'!$F$5:$F$743,'Data - Season'!$A$5:$A$743,$A26,'Data - Season'!$C$5:$C$743,$B26,'Data - Season'!$B$5:$B$743,"Qualifier")</f>
        <v/>
      </c>
      <c r="H26" s="44">
        <f>IFERROR($G26/$C26,"")</f>
        <v/>
      </c>
      <c r="I26" s="41">
        <f>IF($G26&gt;=$C26,"cleared","missed")</f>
        <v/>
      </c>
      <c r="J26" s="44">
        <f>IFERROR($G26/$D26-1,"")</f>
        <v/>
      </c>
    </row>
    <row r="27">
      <c r="A27" s="41" t="inlineStr">
        <is>
          <t>Chris Payton</t>
        </is>
      </c>
      <c r="B27" s="41" t="inlineStr">
        <is>
          <t>Boston Beer Company</t>
        </is>
      </c>
      <c r="C27" s="46" t="n">
        <v>2300</v>
      </c>
      <c r="D27" s="33">
        <f>SUMIFS('Data - Season'!$E$5:$E$743,'Data - Season'!$A$5:$A$743,$A27,'Data - Season'!$C$5:$C$743,$B27,'Data - Season'!$B$5:$B$743,"Qualifier")</f>
        <v/>
      </c>
      <c r="E27" s="44">
        <f>IFERROR($C27/$D27-1,"")</f>
        <v/>
      </c>
      <c r="F27" s="47">
        <f>IF($C27&lt;$D27,"YES — below LY","no")</f>
        <v/>
      </c>
      <c r="G27" s="33">
        <f>SUMIFS('Data - Season'!$F$5:$F$743,'Data - Season'!$A$5:$A$743,$A27,'Data - Season'!$C$5:$C$743,$B27,'Data - Season'!$B$5:$B$743,"Qualifier")</f>
        <v/>
      </c>
      <c r="H27" s="44">
        <f>IFERROR($G27/$C27,"")</f>
        <v/>
      </c>
      <c r="I27" s="41">
        <f>IF($G27&gt;=$C27,"cleared","missed")</f>
        <v/>
      </c>
      <c r="J27" s="44">
        <f>IFERROR($G27/$D27-1,"")</f>
        <v/>
      </c>
    </row>
    <row r="28">
      <c r="A28" s="41" t="inlineStr">
        <is>
          <t>Chris Payton</t>
        </is>
      </c>
      <c r="B28" s="41" t="inlineStr">
        <is>
          <t>Constellation Brands</t>
        </is>
      </c>
      <c r="C28" s="46" t="n">
        <v>44931</v>
      </c>
      <c r="D28" s="33">
        <f>SUMIFS('Data - Season'!$E$5:$E$743,'Data - Season'!$A$5:$A$743,$A28,'Data - Season'!$C$5:$C$743,$B28,'Data - Season'!$B$5:$B$743,"Qualifier")</f>
        <v/>
      </c>
      <c r="E28" s="44">
        <f>IFERROR($C28/$D28-1,"")</f>
        <v/>
      </c>
      <c r="F28" s="47">
        <f>IF($C28&lt;$D28,"YES — below LY","no")</f>
        <v/>
      </c>
      <c r="G28" s="33">
        <f>SUMIFS('Data - Season'!$F$5:$F$743,'Data - Season'!$A$5:$A$743,$A28,'Data - Season'!$C$5:$C$743,$B28,'Data - Season'!$B$5:$B$743,"Qualifier")</f>
        <v/>
      </c>
      <c r="H28" s="44">
        <f>IFERROR($G28/$C28,"")</f>
        <v/>
      </c>
      <c r="I28" s="41">
        <f>IF($G28&gt;=$C28,"cleared","missed")</f>
        <v/>
      </c>
      <c r="J28" s="44">
        <f>IFERROR($G28/$D28-1,"")</f>
        <v/>
      </c>
    </row>
    <row r="29">
      <c r="A29" s="41" t="inlineStr">
        <is>
          <t>Chris Payton</t>
        </is>
      </c>
      <c r="B29" s="41" t="inlineStr">
        <is>
          <t>DG Yuengling Inc</t>
        </is>
      </c>
      <c r="C29" s="46" t="n">
        <v>1748</v>
      </c>
      <c r="D29" s="33">
        <f>SUMIFS('Data - Season'!$E$5:$E$743,'Data - Season'!$A$5:$A$743,$A29,'Data - Season'!$C$5:$C$743,$B29,'Data - Season'!$B$5:$B$743,"Qualifier")</f>
        <v/>
      </c>
      <c r="E29" s="44">
        <f>IFERROR($C29/$D29-1,"")</f>
        <v/>
      </c>
      <c r="F29" s="47">
        <f>IF($C29&lt;$D29,"YES — below LY","no")</f>
        <v/>
      </c>
      <c r="G29" s="33">
        <f>SUMIFS('Data - Season'!$F$5:$F$743,'Data - Season'!$A$5:$A$743,$A29,'Data - Season'!$C$5:$C$743,$B29,'Data - Season'!$B$5:$B$743,"Qualifier")</f>
        <v/>
      </c>
      <c r="H29" s="44">
        <f>IFERROR($G29/$C29,"")</f>
        <v/>
      </c>
      <c r="I29" s="41">
        <f>IF($G29&gt;=$C29,"cleared","missed")</f>
        <v/>
      </c>
      <c r="J29" s="44">
        <f>IFERROR($G29/$D29-1,"")</f>
        <v/>
      </c>
    </row>
    <row r="30">
      <c r="A30" s="41" t="inlineStr">
        <is>
          <t>Chris Payton</t>
        </is>
      </c>
      <c r="B30" s="41" t="inlineStr">
        <is>
          <t>Heineken USA</t>
        </is>
      </c>
      <c r="C30" s="46" t="n">
        <v>8733</v>
      </c>
      <c r="D30" s="33">
        <f>SUMIFS('Data - Season'!$E$5:$E$743,'Data - Season'!$A$5:$A$743,$A30,'Data - Season'!$C$5:$C$743,$B30,'Data - Season'!$B$5:$B$743,"Qualifier")</f>
        <v/>
      </c>
      <c r="E30" s="44">
        <f>IFERROR($C30/$D30-1,"")</f>
        <v/>
      </c>
      <c r="F30" s="47">
        <f>IF($C30&lt;$D30,"YES — below LY","no")</f>
        <v/>
      </c>
      <c r="G30" s="33">
        <f>SUMIFS('Data - Season'!$F$5:$F$743,'Data - Season'!$A$5:$A$743,$A30,'Data - Season'!$C$5:$C$743,$B30,'Data - Season'!$B$5:$B$743,"Qualifier")</f>
        <v/>
      </c>
      <c r="H30" s="44">
        <f>IFERROR($G30/$C30,"")</f>
        <v/>
      </c>
      <c r="I30" s="41">
        <f>IF($G30&gt;=$C30,"cleared","missed")</f>
        <v/>
      </c>
      <c r="J30" s="44">
        <f>IFERROR($G30/$D30-1,"")</f>
        <v/>
      </c>
    </row>
    <row r="31">
      <c r="A31" s="41" t="inlineStr">
        <is>
          <t>Chris Payton</t>
        </is>
      </c>
      <c r="B31" s="41" t="inlineStr">
        <is>
          <t>Mark Anthony</t>
        </is>
      </c>
      <c r="C31" s="46" t="n">
        <v>4306</v>
      </c>
      <c r="D31" s="33">
        <f>SUMIFS('Data - Season'!$E$5:$E$743,'Data - Season'!$A$5:$A$743,$A31,'Data - Season'!$C$5:$C$743,$B31,'Data - Season'!$B$5:$B$743,"Qualifier")</f>
        <v/>
      </c>
      <c r="E31" s="44">
        <f>IFERROR($C31/$D31-1,"")</f>
        <v/>
      </c>
      <c r="F31" s="47">
        <f>IF($C31&lt;$D31,"YES — below LY","no")</f>
        <v/>
      </c>
      <c r="G31" s="33">
        <f>SUMIFS('Data - Season'!$F$5:$F$743,'Data - Season'!$A$5:$A$743,$A31,'Data - Season'!$C$5:$C$743,$B31,'Data - Season'!$B$5:$B$743,"Qualifier")</f>
        <v/>
      </c>
      <c r="H31" s="44">
        <f>IFERROR($G31/$C31,"")</f>
        <v/>
      </c>
      <c r="I31" s="41">
        <f>IF($G31&gt;=$C31,"cleared","missed")</f>
        <v/>
      </c>
      <c r="J31" s="44">
        <f>IFERROR($G31/$D31-1,"")</f>
        <v/>
      </c>
    </row>
    <row r="32">
      <c r="A32" s="41" t="inlineStr">
        <is>
          <t>Chris Payton</t>
        </is>
      </c>
      <c r="B32" s="41" t="inlineStr">
        <is>
          <t>MolsonCoors Beverage Company</t>
        </is>
      </c>
      <c r="C32" s="46" t="n">
        <v>18935</v>
      </c>
      <c r="D32" s="33">
        <f>SUMIFS('Data - Season'!$E$5:$E$743,'Data - Season'!$A$5:$A$743,$A32,'Data - Season'!$C$5:$C$743,$B32,'Data - Season'!$B$5:$B$743,"Qualifier")</f>
        <v/>
      </c>
      <c r="E32" s="44">
        <f>IFERROR($C32/$D32-1,"")</f>
        <v/>
      </c>
      <c r="F32" s="41">
        <f>IF($C32&lt;$D32,"YES — below LY","no")</f>
        <v/>
      </c>
      <c r="G32" s="33">
        <f>SUMIFS('Data - Season'!$F$5:$F$743,'Data - Season'!$A$5:$A$743,$A32,'Data - Season'!$C$5:$C$743,$B32,'Data - Season'!$B$5:$B$743,"Qualifier")</f>
        <v/>
      </c>
      <c r="H32" s="44">
        <f>IFERROR($G32/$C32,"")</f>
        <v/>
      </c>
      <c r="I32" s="41">
        <f>IF($G32&gt;=$C32,"cleared","missed")</f>
        <v/>
      </c>
      <c r="J32" s="44">
        <f>IFERROR($G32/$D32-1,"")</f>
        <v/>
      </c>
    </row>
    <row r="33">
      <c r="A33" s="41" t="inlineStr">
        <is>
          <t>Dan Lagala</t>
        </is>
      </c>
      <c r="B33" s="41" t="inlineStr">
        <is>
          <t>Boston Beer Company</t>
        </is>
      </c>
      <c r="C33" s="46" t="n">
        <v>825</v>
      </c>
      <c r="D33" s="33">
        <f>SUMIFS('Data - Season'!$E$5:$E$743,'Data - Season'!$A$5:$A$743,$A33,'Data - Season'!$C$5:$C$743,$B33,'Data - Season'!$B$5:$B$743,"Qualifier")</f>
        <v/>
      </c>
      <c r="E33" s="44">
        <f>IFERROR($C33/$D33-1,"")</f>
        <v/>
      </c>
      <c r="F33" s="47">
        <f>IF($C33&lt;$D33,"YES — below LY","no")</f>
        <v/>
      </c>
      <c r="G33" s="33">
        <f>SUMIFS('Data - Season'!$F$5:$F$743,'Data - Season'!$A$5:$A$743,$A33,'Data - Season'!$C$5:$C$743,$B33,'Data - Season'!$B$5:$B$743,"Qualifier")</f>
        <v/>
      </c>
      <c r="H33" s="44">
        <f>IFERROR($G33/$C33,"")</f>
        <v/>
      </c>
      <c r="I33" s="41">
        <f>IF($G33&gt;=$C33,"cleared","missed")</f>
        <v/>
      </c>
      <c r="J33" s="44">
        <f>IFERROR($G33/$D33-1,"")</f>
        <v/>
      </c>
    </row>
    <row r="34">
      <c r="A34" s="41" t="inlineStr">
        <is>
          <t>Dan Lagala</t>
        </is>
      </c>
      <c r="B34" s="41" t="inlineStr">
        <is>
          <t>Constellation Brands</t>
        </is>
      </c>
      <c r="C34" s="46" t="n">
        <v>46527</v>
      </c>
      <c r="D34" s="33">
        <f>SUMIFS('Data - Season'!$E$5:$E$743,'Data - Season'!$A$5:$A$743,$A34,'Data - Season'!$C$5:$C$743,$B34,'Data - Season'!$B$5:$B$743,"Qualifier")</f>
        <v/>
      </c>
      <c r="E34" s="44">
        <f>IFERROR($C34/$D34-1,"")</f>
        <v/>
      </c>
      <c r="F34" s="47">
        <f>IF($C34&lt;$D34,"YES — below LY","no")</f>
        <v/>
      </c>
      <c r="G34" s="33">
        <f>SUMIFS('Data - Season'!$F$5:$F$743,'Data - Season'!$A$5:$A$743,$A34,'Data - Season'!$C$5:$C$743,$B34,'Data - Season'!$B$5:$B$743,"Qualifier")</f>
        <v/>
      </c>
      <c r="H34" s="44">
        <f>IFERROR($G34/$C34,"")</f>
        <v/>
      </c>
      <c r="I34" s="41">
        <f>IF($G34&gt;=$C34,"cleared","missed")</f>
        <v/>
      </c>
      <c r="J34" s="44">
        <f>IFERROR($G34/$D34-1,"")</f>
        <v/>
      </c>
    </row>
    <row r="35">
      <c r="A35" s="41" t="inlineStr">
        <is>
          <t>Dan Lagala</t>
        </is>
      </c>
      <c r="B35" s="41" t="inlineStr">
        <is>
          <t>DG Yuengling Inc</t>
        </is>
      </c>
      <c r="C35" s="46" t="n">
        <v>1196</v>
      </c>
      <c r="D35" s="33">
        <f>SUMIFS('Data - Season'!$E$5:$E$743,'Data - Season'!$A$5:$A$743,$A35,'Data - Season'!$C$5:$C$743,$B35,'Data - Season'!$B$5:$B$743,"Qualifier")</f>
        <v/>
      </c>
      <c r="E35" s="44">
        <f>IFERROR($C35/$D35-1,"")</f>
        <v/>
      </c>
      <c r="F35" s="47">
        <f>IF($C35&lt;$D35,"YES — below LY","no")</f>
        <v/>
      </c>
      <c r="G35" s="33">
        <f>SUMIFS('Data - Season'!$F$5:$F$743,'Data - Season'!$A$5:$A$743,$A35,'Data - Season'!$C$5:$C$743,$B35,'Data - Season'!$B$5:$B$743,"Qualifier")</f>
        <v/>
      </c>
      <c r="H35" s="44">
        <f>IFERROR($G35/$C35,"")</f>
        <v/>
      </c>
      <c r="I35" s="41">
        <f>IF($G35&gt;=$C35,"cleared","missed")</f>
        <v/>
      </c>
      <c r="J35" s="44">
        <f>IFERROR($G35/$D35-1,"")</f>
        <v/>
      </c>
    </row>
    <row r="36">
      <c r="A36" s="41" t="inlineStr">
        <is>
          <t>Dan Lagala</t>
        </is>
      </c>
      <c r="B36" s="41" t="inlineStr">
        <is>
          <t>Heineken USA</t>
        </is>
      </c>
      <c r="C36" s="46" t="n">
        <v>10378</v>
      </c>
      <c r="D36" s="33">
        <f>SUMIFS('Data - Season'!$E$5:$E$743,'Data - Season'!$A$5:$A$743,$A36,'Data - Season'!$C$5:$C$743,$B36,'Data - Season'!$B$5:$B$743,"Qualifier")</f>
        <v/>
      </c>
      <c r="E36" s="44">
        <f>IFERROR($C36/$D36-1,"")</f>
        <v/>
      </c>
      <c r="F36" s="47">
        <f>IF($C36&lt;$D36,"YES — below LY","no")</f>
        <v/>
      </c>
      <c r="G36" s="33">
        <f>SUMIFS('Data - Season'!$F$5:$F$743,'Data - Season'!$A$5:$A$743,$A36,'Data - Season'!$C$5:$C$743,$B36,'Data - Season'!$B$5:$B$743,"Qualifier")</f>
        <v/>
      </c>
      <c r="H36" s="44">
        <f>IFERROR($G36/$C36,"")</f>
        <v/>
      </c>
      <c r="I36" s="41">
        <f>IF($G36&gt;=$C36,"cleared","missed")</f>
        <v/>
      </c>
      <c r="J36" s="44">
        <f>IFERROR($G36/$D36-1,"")</f>
        <v/>
      </c>
    </row>
    <row r="37">
      <c r="A37" s="41" t="inlineStr">
        <is>
          <t>Dan Lagala</t>
        </is>
      </c>
      <c r="B37" s="41" t="inlineStr">
        <is>
          <t>Mark Anthony</t>
        </is>
      </c>
      <c r="C37" s="46" t="n">
        <v>2655</v>
      </c>
      <c r="D37" s="33">
        <f>SUMIFS('Data - Season'!$E$5:$E$743,'Data - Season'!$A$5:$A$743,$A37,'Data - Season'!$C$5:$C$743,$B37,'Data - Season'!$B$5:$B$743,"Qualifier")</f>
        <v/>
      </c>
      <c r="E37" s="44">
        <f>IFERROR($C37/$D37-1,"")</f>
        <v/>
      </c>
      <c r="F37" s="47">
        <f>IF($C37&lt;$D37,"YES — below LY","no")</f>
        <v/>
      </c>
      <c r="G37" s="33">
        <f>SUMIFS('Data - Season'!$F$5:$F$743,'Data - Season'!$A$5:$A$743,$A37,'Data - Season'!$C$5:$C$743,$B37,'Data - Season'!$B$5:$B$743,"Qualifier")</f>
        <v/>
      </c>
      <c r="H37" s="44">
        <f>IFERROR($G37/$C37,"")</f>
        <v/>
      </c>
      <c r="I37" s="41">
        <f>IF($G37&gt;=$C37,"cleared","missed")</f>
        <v/>
      </c>
      <c r="J37" s="44">
        <f>IFERROR($G37/$D37-1,"")</f>
        <v/>
      </c>
    </row>
    <row r="38">
      <c r="A38" s="41" t="inlineStr">
        <is>
          <t>Dan Lagala</t>
        </is>
      </c>
      <c r="B38" s="41" t="inlineStr">
        <is>
          <t>MolsonCoors Beverage Company</t>
        </is>
      </c>
      <c r="C38" s="46" t="n">
        <v>16335</v>
      </c>
      <c r="D38" s="33">
        <f>SUMIFS('Data - Season'!$E$5:$E$743,'Data - Season'!$A$5:$A$743,$A38,'Data - Season'!$C$5:$C$743,$B38,'Data - Season'!$B$5:$B$743,"Qualifier")</f>
        <v/>
      </c>
      <c r="E38" s="44">
        <f>IFERROR($C38/$D38-1,"")</f>
        <v/>
      </c>
      <c r="F38" s="47">
        <f>IF($C38&lt;$D38,"YES — below LY","no")</f>
        <v/>
      </c>
      <c r="G38" s="33">
        <f>SUMIFS('Data - Season'!$F$5:$F$743,'Data - Season'!$A$5:$A$743,$A38,'Data - Season'!$C$5:$C$743,$B38,'Data - Season'!$B$5:$B$743,"Qualifier")</f>
        <v/>
      </c>
      <c r="H38" s="44">
        <f>IFERROR($G38/$C38,"")</f>
        <v/>
      </c>
      <c r="I38" s="41">
        <f>IF($G38&gt;=$C38,"cleared","missed")</f>
        <v/>
      </c>
      <c r="J38" s="44">
        <f>IFERROR($G38/$D38-1,"")</f>
        <v/>
      </c>
    </row>
    <row r="39">
      <c r="A39" s="41" t="inlineStr">
        <is>
          <t>Dave Ehlers</t>
        </is>
      </c>
      <c r="B39" s="41" t="inlineStr">
        <is>
          <t>Boston Beer Company</t>
        </is>
      </c>
      <c r="C39" s="46" t="n">
        <v>3250</v>
      </c>
      <c r="D39" s="33">
        <f>SUMIFS('Data - Season'!$E$5:$E$743,'Data - Season'!$A$5:$A$743,$A39,'Data - Season'!$C$5:$C$743,$B39,'Data - Season'!$B$5:$B$743,"Qualifier")</f>
        <v/>
      </c>
      <c r="E39" s="44">
        <f>IFERROR($C39/$D39-1,"")</f>
        <v/>
      </c>
      <c r="F39" s="47">
        <f>IF($C39&lt;$D39,"YES — below LY","no")</f>
        <v/>
      </c>
      <c r="G39" s="33">
        <f>SUMIFS('Data - Season'!$F$5:$F$743,'Data - Season'!$A$5:$A$743,$A39,'Data - Season'!$C$5:$C$743,$B39,'Data - Season'!$B$5:$B$743,"Qualifier")</f>
        <v/>
      </c>
      <c r="H39" s="44">
        <f>IFERROR($G39/$C39,"")</f>
        <v/>
      </c>
      <c r="I39" s="41">
        <f>IF($G39&gt;=$C39,"cleared","missed")</f>
        <v/>
      </c>
      <c r="J39" s="44">
        <f>IFERROR($G39/$D39-1,"")</f>
        <v/>
      </c>
    </row>
    <row r="40">
      <c r="A40" s="41" t="inlineStr">
        <is>
          <t>Dave Ehlers</t>
        </is>
      </c>
      <c r="B40" s="41" t="inlineStr">
        <is>
          <t>Constellation Brands</t>
        </is>
      </c>
      <c r="C40" s="46" t="n">
        <v>57375</v>
      </c>
      <c r="D40" s="33">
        <f>SUMIFS('Data - Season'!$E$5:$E$743,'Data - Season'!$A$5:$A$743,$A40,'Data - Season'!$C$5:$C$743,$B40,'Data - Season'!$B$5:$B$743,"Qualifier")</f>
        <v/>
      </c>
      <c r="E40" s="44">
        <f>IFERROR($C40/$D40-1,"")</f>
        <v/>
      </c>
      <c r="F40" s="47">
        <f>IF($C40&lt;$D40,"YES — below LY","no")</f>
        <v/>
      </c>
      <c r="G40" s="33">
        <f>SUMIFS('Data - Season'!$F$5:$F$743,'Data - Season'!$A$5:$A$743,$A40,'Data - Season'!$C$5:$C$743,$B40,'Data - Season'!$B$5:$B$743,"Qualifier")</f>
        <v/>
      </c>
      <c r="H40" s="44">
        <f>IFERROR($G40/$C40,"")</f>
        <v/>
      </c>
      <c r="I40" s="41">
        <f>IF($G40&gt;=$C40,"cleared","missed")</f>
        <v/>
      </c>
      <c r="J40" s="44">
        <f>IFERROR($G40/$D40-1,"")</f>
        <v/>
      </c>
    </row>
    <row r="41">
      <c r="A41" s="41" t="inlineStr">
        <is>
          <t>Dave Ehlers</t>
        </is>
      </c>
      <c r="B41" s="41" t="inlineStr">
        <is>
          <t>DG Yuengling Inc</t>
        </is>
      </c>
      <c r="C41" s="46" t="n">
        <v>2363</v>
      </c>
      <c r="D41" s="33">
        <f>SUMIFS('Data - Season'!$E$5:$E$743,'Data - Season'!$A$5:$A$743,$A41,'Data - Season'!$C$5:$C$743,$B41,'Data - Season'!$B$5:$B$743,"Qualifier")</f>
        <v/>
      </c>
      <c r="E41" s="44">
        <f>IFERROR($C41/$D41-1,"")</f>
        <v/>
      </c>
      <c r="F41" s="47">
        <f>IF($C41&lt;$D41,"YES — below LY","no")</f>
        <v/>
      </c>
      <c r="G41" s="33">
        <f>SUMIFS('Data - Season'!$F$5:$F$743,'Data - Season'!$A$5:$A$743,$A41,'Data - Season'!$C$5:$C$743,$B41,'Data - Season'!$B$5:$B$743,"Qualifier")</f>
        <v/>
      </c>
      <c r="H41" s="44">
        <f>IFERROR($G41/$C41,"")</f>
        <v/>
      </c>
      <c r="I41" s="41">
        <f>IF($G41&gt;=$C41,"cleared","missed")</f>
        <v/>
      </c>
      <c r="J41" s="44">
        <f>IFERROR($G41/$D41-1,"")</f>
        <v/>
      </c>
    </row>
    <row r="42">
      <c r="A42" s="41" t="inlineStr">
        <is>
          <t>Dave Ehlers</t>
        </is>
      </c>
      <c r="B42" s="41" t="inlineStr">
        <is>
          <t>Heineken USA</t>
        </is>
      </c>
      <c r="C42" s="46" t="n">
        <v>11641</v>
      </c>
      <c r="D42" s="33">
        <f>SUMIFS('Data - Season'!$E$5:$E$743,'Data - Season'!$A$5:$A$743,$A42,'Data - Season'!$C$5:$C$743,$B42,'Data - Season'!$B$5:$B$743,"Qualifier")</f>
        <v/>
      </c>
      <c r="E42" s="44">
        <f>IFERROR($C42/$D42-1,"")</f>
        <v/>
      </c>
      <c r="F42" s="47">
        <f>IF($C42&lt;$D42,"YES — below LY","no")</f>
        <v/>
      </c>
      <c r="G42" s="33">
        <f>SUMIFS('Data - Season'!$F$5:$F$743,'Data - Season'!$A$5:$A$743,$A42,'Data - Season'!$C$5:$C$743,$B42,'Data - Season'!$B$5:$B$743,"Qualifier")</f>
        <v/>
      </c>
      <c r="H42" s="44">
        <f>IFERROR($G42/$C42,"")</f>
        <v/>
      </c>
      <c r="I42" s="41">
        <f>IF($G42&gt;=$C42,"cleared","missed")</f>
        <v/>
      </c>
      <c r="J42" s="44">
        <f>IFERROR($G42/$D42-1,"")</f>
        <v/>
      </c>
    </row>
    <row r="43">
      <c r="A43" s="41" t="inlineStr">
        <is>
          <t>Dave Ehlers</t>
        </is>
      </c>
      <c r="B43" s="41" t="inlineStr">
        <is>
          <t>Mark Anthony</t>
        </is>
      </c>
      <c r="C43" s="46" t="n">
        <v>5755</v>
      </c>
      <c r="D43" s="33">
        <f>SUMIFS('Data - Season'!$E$5:$E$743,'Data - Season'!$A$5:$A$743,$A43,'Data - Season'!$C$5:$C$743,$B43,'Data - Season'!$B$5:$B$743,"Qualifier")</f>
        <v/>
      </c>
      <c r="E43" s="44">
        <f>IFERROR($C43/$D43-1,"")</f>
        <v/>
      </c>
      <c r="F43" s="47">
        <f>IF($C43&lt;$D43,"YES — below LY","no")</f>
        <v/>
      </c>
      <c r="G43" s="33">
        <f>SUMIFS('Data - Season'!$F$5:$F$743,'Data - Season'!$A$5:$A$743,$A43,'Data - Season'!$C$5:$C$743,$B43,'Data - Season'!$B$5:$B$743,"Qualifier")</f>
        <v/>
      </c>
      <c r="H43" s="44">
        <f>IFERROR($G43/$C43,"")</f>
        <v/>
      </c>
      <c r="I43" s="41">
        <f>IF($G43&gt;=$C43,"cleared","missed")</f>
        <v/>
      </c>
      <c r="J43" s="44">
        <f>IFERROR($G43/$D43-1,"")</f>
        <v/>
      </c>
    </row>
    <row r="44">
      <c r="A44" s="41" t="inlineStr">
        <is>
          <t>Dave Ehlers</t>
        </is>
      </c>
      <c r="B44" s="41" t="inlineStr">
        <is>
          <t>MolsonCoors Beverage Company</t>
        </is>
      </c>
      <c r="C44" s="46" t="n">
        <v>22919</v>
      </c>
      <c r="D44" s="33">
        <f>SUMIFS('Data - Season'!$E$5:$E$743,'Data - Season'!$A$5:$A$743,$A44,'Data - Season'!$C$5:$C$743,$B44,'Data - Season'!$B$5:$B$743,"Qualifier")</f>
        <v/>
      </c>
      <c r="E44" s="44">
        <f>IFERROR($C44/$D44-1,"")</f>
        <v/>
      </c>
      <c r="F44" s="47">
        <f>IF($C44&lt;$D44,"YES — below LY","no")</f>
        <v/>
      </c>
      <c r="G44" s="33">
        <f>SUMIFS('Data - Season'!$F$5:$F$743,'Data - Season'!$A$5:$A$743,$A44,'Data - Season'!$C$5:$C$743,$B44,'Data - Season'!$B$5:$B$743,"Qualifier")</f>
        <v/>
      </c>
      <c r="H44" s="44">
        <f>IFERROR($G44/$C44,"")</f>
        <v/>
      </c>
      <c r="I44" s="41">
        <f>IF($G44&gt;=$C44,"cleared","missed")</f>
        <v/>
      </c>
      <c r="J44" s="44">
        <f>IFERROR($G44/$D44-1,"")</f>
        <v/>
      </c>
    </row>
    <row r="45">
      <c r="A45" s="41" t="inlineStr">
        <is>
          <t>Derrick Laws</t>
        </is>
      </c>
      <c r="B45" s="41" t="inlineStr">
        <is>
          <t>Boston Beer Company</t>
        </is>
      </c>
      <c r="C45" s="46" t="n">
        <v>875</v>
      </c>
      <c r="D45" s="33">
        <f>SUMIFS('Data - Season'!$E$5:$E$743,'Data - Season'!$A$5:$A$743,$A45,'Data - Season'!$C$5:$C$743,$B45,'Data - Season'!$B$5:$B$743,"Qualifier")</f>
        <v/>
      </c>
      <c r="E45" s="44">
        <f>IFERROR($C45/$D45-1,"")</f>
        <v/>
      </c>
      <c r="F45" s="47">
        <f>IF($C45&lt;$D45,"YES — below LY","no")</f>
        <v/>
      </c>
      <c r="G45" s="33">
        <f>SUMIFS('Data - Season'!$F$5:$F$743,'Data - Season'!$A$5:$A$743,$A45,'Data - Season'!$C$5:$C$743,$B45,'Data - Season'!$B$5:$B$743,"Qualifier")</f>
        <v/>
      </c>
      <c r="H45" s="44">
        <f>IFERROR($G45/$C45,"")</f>
        <v/>
      </c>
      <c r="I45" s="41">
        <f>IF($G45&gt;=$C45,"cleared","missed")</f>
        <v/>
      </c>
      <c r="J45" s="44">
        <f>IFERROR($G45/$D45-1,"")</f>
        <v/>
      </c>
    </row>
    <row r="46">
      <c r="A46" s="41" t="inlineStr">
        <is>
          <t>Derrick Laws</t>
        </is>
      </c>
      <c r="B46" s="41" t="inlineStr">
        <is>
          <t>Constellation Brands</t>
        </is>
      </c>
      <c r="C46" s="46" t="n">
        <v>69253</v>
      </c>
      <c r="D46" s="33">
        <f>SUMIFS('Data - Season'!$E$5:$E$743,'Data - Season'!$A$5:$A$743,$A46,'Data - Season'!$C$5:$C$743,$B46,'Data - Season'!$B$5:$B$743,"Qualifier")</f>
        <v/>
      </c>
      <c r="E46" s="44">
        <f>IFERROR($C46/$D46-1,"")</f>
        <v/>
      </c>
      <c r="F46" s="47">
        <f>IF($C46&lt;$D46,"YES — below LY","no")</f>
        <v/>
      </c>
      <c r="G46" s="33">
        <f>SUMIFS('Data - Season'!$F$5:$F$743,'Data - Season'!$A$5:$A$743,$A46,'Data - Season'!$C$5:$C$743,$B46,'Data - Season'!$B$5:$B$743,"Qualifier")</f>
        <v/>
      </c>
      <c r="H46" s="44">
        <f>IFERROR($G46/$C46,"")</f>
        <v/>
      </c>
      <c r="I46" s="41">
        <f>IF($G46&gt;=$C46,"cleared","missed")</f>
        <v/>
      </c>
      <c r="J46" s="44">
        <f>IFERROR($G46/$D46-1,"")</f>
        <v/>
      </c>
    </row>
    <row r="47">
      <c r="A47" s="41" t="inlineStr">
        <is>
          <t>Derrick Laws</t>
        </is>
      </c>
      <c r="B47" s="41" t="inlineStr">
        <is>
          <t>DG Yuengling Inc</t>
        </is>
      </c>
      <c r="C47" s="46" t="n">
        <v>645</v>
      </c>
      <c r="D47" s="33">
        <f>SUMIFS('Data - Season'!$E$5:$E$743,'Data - Season'!$A$5:$A$743,$A47,'Data - Season'!$C$5:$C$743,$B47,'Data - Season'!$B$5:$B$743,"Qualifier")</f>
        <v/>
      </c>
      <c r="E47" s="44">
        <f>IFERROR($C47/$D47-1,"")</f>
        <v/>
      </c>
      <c r="F47" s="47">
        <f>IF($C47&lt;$D47,"YES — below LY","no")</f>
        <v/>
      </c>
      <c r="G47" s="33">
        <f>SUMIFS('Data - Season'!$F$5:$F$743,'Data - Season'!$A$5:$A$743,$A47,'Data - Season'!$C$5:$C$743,$B47,'Data - Season'!$B$5:$B$743,"Qualifier")</f>
        <v/>
      </c>
      <c r="H47" s="44">
        <f>IFERROR($G47/$C47,"")</f>
        <v/>
      </c>
      <c r="I47" s="41">
        <f>IF($G47&gt;=$C47,"cleared","missed")</f>
        <v/>
      </c>
      <c r="J47" s="44">
        <f>IFERROR($G47/$D47-1,"")</f>
        <v/>
      </c>
    </row>
    <row r="48">
      <c r="A48" s="41" t="inlineStr">
        <is>
          <t>Derrick Laws</t>
        </is>
      </c>
      <c r="B48" s="41" t="inlineStr">
        <is>
          <t>Heineken USA</t>
        </is>
      </c>
      <c r="C48" s="46" t="n">
        <v>12364</v>
      </c>
      <c r="D48" s="33">
        <f>SUMIFS('Data - Season'!$E$5:$E$743,'Data - Season'!$A$5:$A$743,$A48,'Data - Season'!$C$5:$C$743,$B48,'Data - Season'!$B$5:$B$743,"Qualifier")</f>
        <v/>
      </c>
      <c r="E48" s="44">
        <f>IFERROR($C48/$D48-1,"")</f>
        <v/>
      </c>
      <c r="F48" s="47">
        <f>IF($C48&lt;$D48,"YES — below LY","no")</f>
        <v/>
      </c>
      <c r="G48" s="33">
        <f>SUMIFS('Data - Season'!$F$5:$F$743,'Data - Season'!$A$5:$A$743,$A48,'Data - Season'!$C$5:$C$743,$B48,'Data - Season'!$B$5:$B$743,"Qualifier")</f>
        <v/>
      </c>
      <c r="H48" s="44">
        <f>IFERROR($G48/$C48,"")</f>
        <v/>
      </c>
      <c r="I48" s="41">
        <f>IF($G48&gt;=$C48,"cleared","missed")</f>
        <v/>
      </c>
      <c r="J48" s="44">
        <f>IFERROR($G48/$D48-1,"")</f>
        <v/>
      </c>
    </row>
    <row r="49">
      <c r="A49" s="41" t="inlineStr">
        <is>
          <t>Derrick Laws</t>
        </is>
      </c>
      <c r="B49" s="41" t="inlineStr">
        <is>
          <t>Mark Anthony</t>
        </is>
      </c>
      <c r="C49" s="46" t="n">
        <v>1621</v>
      </c>
      <c r="D49" s="33">
        <f>SUMIFS('Data - Season'!$E$5:$E$743,'Data - Season'!$A$5:$A$743,$A49,'Data - Season'!$C$5:$C$743,$B49,'Data - Season'!$B$5:$B$743,"Qualifier")</f>
        <v/>
      </c>
      <c r="E49" s="44">
        <f>IFERROR($C49/$D49-1,"")</f>
        <v/>
      </c>
      <c r="F49" s="47">
        <f>IF($C49&lt;$D49,"YES — below LY","no")</f>
        <v/>
      </c>
      <c r="G49" s="33">
        <f>SUMIFS('Data - Season'!$F$5:$F$743,'Data - Season'!$A$5:$A$743,$A49,'Data - Season'!$C$5:$C$743,$B49,'Data - Season'!$B$5:$B$743,"Qualifier")</f>
        <v/>
      </c>
      <c r="H49" s="44">
        <f>IFERROR($G49/$C49,"")</f>
        <v/>
      </c>
      <c r="I49" s="41">
        <f>IF($G49&gt;=$C49,"cleared","missed")</f>
        <v/>
      </c>
      <c r="J49" s="44">
        <f>IFERROR($G49/$D49-1,"")</f>
        <v/>
      </c>
    </row>
    <row r="50">
      <c r="A50" s="41" t="inlineStr">
        <is>
          <t>Derrick Laws</t>
        </is>
      </c>
      <c r="B50" s="41" t="inlineStr">
        <is>
          <t>MolsonCoors Beverage Company</t>
        </is>
      </c>
      <c r="C50" s="46" t="n">
        <v>19010</v>
      </c>
      <c r="D50" s="33">
        <f>SUMIFS('Data - Season'!$E$5:$E$743,'Data - Season'!$A$5:$A$743,$A50,'Data - Season'!$C$5:$C$743,$B50,'Data - Season'!$B$5:$B$743,"Qualifier")</f>
        <v/>
      </c>
      <c r="E50" s="44">
        <f>IFERROR($C50/$D50-1,"")</f>
        <v/>
      </c>
      <c r="F50" s="47">
        <f>IF($C50&lt;$D50,"YES — below LY","no")</f>
        <v/>
      </c>
      <c r="G50" s="33">
        <f>SUMIFS('Data - Season'!$F$5:$F$743,'Data - Season'!$A$5:$A$743,$A50,'Data - Season'!$C$5:$C$743,$B50,'Data - Season'!$B$5:$B$743,"Qualifier")</f>
        <v/>
      </c>
      <c r="H50" s="44">
        <f>IFERROR($G50/$C50,"")</f>
        <v/>
      </c>
      <c r="I50" s="41">
        <f>IF($G50&gt;=$C50,"cleared","missed")</f>
        <v/>
      </c>
      <c r="J50" s="44">
        <f>IFERROR($G50/$D50-1,"")</f>
        <v/>
      </c>
    </row>
    <row r="51">
      <c r="A51" s="41" t="inlineStr">
        <is>
          <t>Dylan Rubino</t>
        </is>
      </c>
      <c r="B51" s="41" t="inlineStr">
        <is>
          <t>Boston Beer Company</t>
        </is>
      </c>
      <c r="C51" s="46" t="n">
        <v>30</v>
      </c>
      <c r="D51" s="33">
        <f>SUMIFS('Data - Season'!$E$5:$E$743,'Data - Season'!$A$5:$A$743,$A51,'Data - Season'!$C$5:$C$743,$B51,'Data - Season'!$B$5:$B$743,"Qualifier")</f>
        <v/>
      </c>
      <c r="E51" s="44">
        <f>IFERROR($C51/$D51-1,"")</f>
        <v/>
      </c>
      <c r="F51" s="41">
        <f>IF($C51&lt;$D51,"YES — below LY","no")</f>
        <v/>
      </c>
      <c r="G51" s="33">
        <f>SUMIFS('Data - Season'!$F$5:$F$743,'Data - Season'!$A$5:$A$743,$A51,'Data - Season'!$C$5:$C$743,$B51,'Data - Season'!$B$5:$B$743,"Qualifier")</f>
        <v/>
      </c>
      <c r="H51" s="44">
        <f>IFERROR($G51/$C51,"")</f>
        <v/>
      </c>
      <c r="I51" s="41">
        <f>IF($G51&gt;=$C51,"cleared","missed")</f>
        <v/>
      </c>
      <c r="J51" s="44">
        <f>IFERROR($G51/$D51-1,"")</f>
        <v/>
      </c>
    </row>
    <row r="52">
      <c r="A52" s="41" t="inlineStr">
        <is>
          <t>Dylan Rubino</t>
        </is>
      </c>
      <c r="B52" s="41" t="inlineStr">
        <is>
          <t>Constellation Brands</t>
        </is>
      </c>
      <c r="C52" s="46" t="n">
        <v>227</v>
      </c>
      <c r="D52" s="33">
        <f>SUMIFS('Data - Season'!$E$5:$E$743,'Data - Season'!$A$5:$A$743,$A52,'Data - Season'!$C$5:$C$743,$B52,'Data - Season'!$B$5:$B$743,"Qualifier")</f>
        <v/>
      </c>
      <c r="E52" s="44">
        <f>IFERROR($C52/$D52-1,"")</f>
        <v/>
      </c>
      <c r="F52" s="47">
        <f>IF($C52&lt;$D52,"YES — below LY","no")</f>
        <v/>
      </c>
      <c r="G52" s="33">
        <f>SUMIFS('Data - Season'!$F$5:$F$743,'Data - Season'!$A$5:$A$743,$A52,'Data - Season'!$C$5:$C$743,$B52,'Data - Season'!$B$5:$B$743,"Qualifier")</f>
        <v/>
      </c>
      <c r="H52" s="44">
        <f>IFERROR($G52/$C52,"")</f>
        <v/>
      </c>
      <c r="I52" s="41">
        <f>IF($G52&gt;=$C52,"cleared","missed")</f>
        <v/>
      </c>
      <c r="J52" s="44">
        <f>IFERROR($G52/$D52-1,"")</f>
        <v/>
      </c>
    </row>
    <row r="53">
      <c r="A53" s="41" t="inlineStr">
        <is>
          <t>Dylan Rubino</t>
        </is>
      </c>
      <c r="B53" s="41" t="inlineStr">
        <is>
          <t>Mark Anthony</t>
        </is>
      </c>
      <c r="C53" s="46" t="n">
        <v>23</v>
      </c>
      <c r="D53" s="33">
        <f>SUMIFS('Data - Season'!$E$5:$E$743,'Data - Season'!$A$5:$A$743,$A53,'Data - Season'!$C$5:$C$743,$B53,'Data - Season'!$B$5:$B$743,"Qualifier")</f>
        <v/>
      </c>
      <c r="E53" s="44">
        <f>IFERROR($C53/$D53-1,"")</f>
        <v/>
      </c>
      <c r="F53" s="47">
        <f>IF($C53&lt;$D53,"YES — below LY","no")</f>
        <v/>
      </c>
      <c r="G53" s="33">
        <f>SUMIFS('Data - Season'!$F$5:$F$743,'Data - Season'!$A$5:$A$743,$A53,'Data - Season'!$C$5:$C$743,$B53,'Data - Season'!$B$5:$B$743,"Qualifier")</f>
        <v/>
      </c>
      <c r="H53" s="44">
        <f>IFERROR($G53/$C53,"")</f>
        <v/>
      </c>
      <c r="I53" s="41">
        <f>IF($G53&gt;=$C53,"cleared","missed")</f>
        <v/>
      </c>
      <c r="J53" s="44">
        <f>IFERROR($G53/$D53-1,"")</f>
        <v/>
      </c>
    </row>
    <row r="54">
      <c r="A54" s="41" t="inlineStr">
        <is>
          <t>Jaime Colonna</t>
        </is>
      </c>
      <c r="B54" s="41" t="inlineStr">
        <is>
          <t>Constellation Brands</t>
        </is>
      </c>
      <c r="C54" s="46" t="n">
        <v>433</v>
      </c>
      <c r="D54" s="33">
        <f>SUMIFS('Data - Season'!$E$5:$E$743,'Data - Season'!$A$5:$A$743,$A54,'Data - Season'!$C$5:$C$743,$B54,'Data - Season'!$B$5:$B$743,"Qualifier")</f>
        <v/>
      </c>
      <c r="E54" s="44">
        <f>IFERROR($C54/$D54-1,"")</f>
        <v/>
      </c>
      <c r="F54" s="47">
        <f>IF($C54&lt;$D54,"YES — below LY","no")</f>
        <v/>
      </c>
      <c r="G54" s="33">
        <f>SUMIFS('Data - Season'!$F$5:$F$743,'Data - Season'!$A$5:$A$743,$A54,'Data - Season'!$C$5:$C$743,$B54,'Data - Season'!$B$5:$B$743,"Qualifier")</f>
        <v/>
      </c>
      <c r="H54" s="44">
        <f>IFERROR($G54/$C54,"")</f>
        <v/>
      </c>
      <c r="I54" s="41">
        <f>IF($G54&gt;=$C54,"cleared","missed")</f>
        <v/>
      </c>
      <c r="J54" s="44">
        <f>IFERROR($G54/$D54-1,"")</f>
        <v/>
      </c>
    </row>
    <row r="55">
      <c r="A55" s="41" t="inlineStr">
        <is>
          <t>Jaime Colonna</t>
        </is>
      </c>
      <c r="B55" s="41" t="inlineStr">
        <is>
          <t>DG Yuengling Inc</t>
        </is>
      </c>
      <c r="C55" s="46" t="n">
        <v>63</v>
      </c>
      <c r="D55" s="33">
        <f>SUMIFS('Data - Season'!$E$5:$E$743,'Data - Season'!$A$5:$A$743,$A55,'Data - Season'!$C$5:$C$743,$B55,'Data - Season'!$B$5:$B$743,"Qualifier")</f>
        <v/>
      </c>
      <c r="E55" s="44">
        <f>IFERROR($C55/$D55-1,"")</f>
        <v/>
      </c>
      <c r="F55" s="47">
        <f>IF($C55&lt;$D55,"YES — below LY","no")</f>
        <v/>
      </c>
      <c r="G55" s="33">
        <f>SUMIFS('Data - Season'!$F$5:$F$743,'Data - Season'!$A$5:$A$743,$A55,'Data - Season'!$C$5:$C$743,$B55,'Data - Season'!$B$5:$B$743,"Qualifier")</f>
        <v/>
      </c>
      <c r="H55" s="44">
        <f>IFERROR($G55/$C55,"")</f>
        <v/>
      </c>
      <c r="I55" s="41">
        <f>IF($G55&gt;=$C55,"cleared","missed")</f>
        <v/>
      </c>
      <c r="J55" s="44">
        <f>IFERROR($G55/$D55-1,"")</f>
        <v/>
      </c>
    </row>
    <row r="56">
      <c r="A56" s="41" t="inlineStr">
        <is>
          <t>Jaime Colonna</t>
        </is>
      </c>
      <c r="B56" s="41" t="inlineStr">
        <is>
          <t>Heineken USA</t>
        </is>
      </c>
      <c r="C56" s="46" t="n">
        <v>109</v>
      </c>
      <c r="D56" s="33">
        <f>SUMIFS('Data - Season'!$E$5:$E$743,'Data - Season'!$A$5:$A$743,$A56,'Data - Season'!$C$5:$C$743,$B56,'Data - Season'!$B$5:$B$743,"Qualifier")</f>
        <v/>
      </c>
      <c r="E56" s="44">
        <f>IFERROR($C56/$D56-1,"")</f>
        <v/>
      </c>
      <c r="F56" s="47">
        <f>IF($C56&lt;$D56,"YES — below LY","no")</f>
        <v/>
      </c>
      <c r="G56" s="33">
        <f>SUMIFS('Data - Season'!$F$5:$F$743,'Data - Season'!$A$5:$A$743,$A56,'Data - Season'!$C$5:$C$743,$B56,'Data - Season'!$B$5:$B$743,"Qualifier")</f>
        <v/>
      </c>
      <c r="H56" s="44">
        <f>IFERROR($G56/$C56,"")</f>
        <v/>
      </c>
      <c r="I56" s="41">
        <f>IF($G56&gt;=$C56,"cleared","missed")</f>
        <v/>
      </c>
      <c r="J56" s="44">
        <f>IFERROR($G56/$D56-1,"")</f>
        <v/>
      </c>
    </row>
    <row r="57">
      <c r="A57" s="41" t="inlineStr">
        <is>
          <t>Jaime Colonna</t>
        </is>
      </c>
      <c r="B57" s="41" t="inlineStr">
        <is>
          <t>Mark Anthony</t>
        </is>
      </c>
      <c r="C57" s="46" t="n">
        <v>81</v>
      </c>
      <c r="D57" s="33">
        <f>SUMIFS('Data - Season'!$E$5:$E$743,'Data - Season'!$A$5:$A$743,$A57,'Data - Season'!$C$5:$C$743,$B57,'Data - Season'!$B$5:$B$743,"Qualifier")</f>
        <v/>
      </c>
      <c r="E57" s="44">
        <f>IFERROR($C57/$D57-1,"")</f>
        <v/>
      </c>
      <c r="F57" s="47">
        <f>IF($C57&lt;$D57,"YES — below LY","no")</f>
        <v/>
      </c>
      <c r="G57" s="33">
        <f>SUMIFS('Data - Season'!$F$5:$F$743,'Data - Season'!$A$5:$A$743,$A57,'Data - Season'!$C$5:$C$743,$B57,'Data - Season'!$B$5:$B$743,"Qualifier")</f>
        <v/>
      </c>
      <c r="H57" s="44">
        <f>IFERROR($G57/$C57,"")</f>
        <v/>
      </c>
      <c r="I57" s="41">
        <f>IF($G57&gt;=$C57,"cleared","missed")</f>
        <v/>
      </c>
      <c r="J57" s="44">
        <f>IFERROR($G57/$D57-1,"")</f>
        <v/>
      </c>
    </row>
    <row r="58">
      <c r="A58" s="41" t="inlineStr">
        <is>
          <t>Javier Melo</t>
        </is>
      </c>
      <c r="B58" s="41" t="inlineStr">
        <is>
          <t>Boston Beer Company</t>
        </is>
      </c>
      <c r="C58" s="46" t="n">
        <v>425</v>
      </c>
      <c r="D58" s="33">
        <f>SUMIFS('Data - Season'!$E$5:$E$743,'Data - Season'!$A$5:$A$743,$A58,'Data - Season'!$C$5:$C$743,$B58,'Data - Season'!$B$5:$B$743,"Qualifier")</f>
        <v/>
      </c>
      <c r="E58" s="44">
        <f>IFERROR($C58/$D58-1,"")</f>
        <v/>
      </c>
      <c r="F58" s="47">
        <f>IF($C58&lt;$D58,"YES — below LY","no")</f>
        <v/>
      </c>
      <c r="G58" s="33">
        <f>SUMIFS('Data - Season'!$F$5:$F$743,'Data - Season'!$A$5:$A$743,$A58,'Data - Season'!$C$5:$C$743,$B58,'Data - Season'!$B$5:$B$743,"Qualifier")</f>
        <v/>
      </c>
      <c r="H58" s="44">
        <f>IFERROR($G58/$C58,"")</f>
        <v/>
      </c>
      <c r="I58" s="41">
        <f>IF($G58&gt;=$C58,"cleared","missed")</f>
        <v/>
      </c>
      <c r="J58" s="44">
        <f>IFERROR($G58/$D58-1,"")</f>
        <v/>
      </c>
    </row>
    <row r="59">
      <c r="A59" s="41" t="inlineStr">
        <is>
          <t>Javier Melo</t>
        </is>
      </c>
      <c r="B59" s="41" t="inlineStr">
        <is>
          <t>Constellation Brands</t>
        </is>
      </c>
      <c r="C59" s="46" t="n">
        <v>71156</v>
      </c>
      <c r="D59" s="33">
        <f>SUMIFS('Data - Season'!$E$5:$E$743,'Data - Season'!$A$5:$A$743,$A59,'Data - Season'!$C$5:$C$743,$B59,'Data - Season'!$B$5:$B$743,"Qualifier")</f>
        <v/>
      </c>
      <c r="E59" s="44">
        <f>IFERROR($C59/$D59-1,"")</f>
        <v/>
      </c>
      <c r="F59" s="47">
        <f>IF($C59&lt;$D59,"YES — below LY","no")</f>
        <v/>
      </c>
      <c r="G59" s="33">
        <f>SUMIFS('Data - Season'!$F$5:$F$743,'Data - Season'!$A$5:$A$743,$A59,'Data - Season'!$C$5:$C$743,$B59,'Data - Season'!$B$5:$B$743,"Qualifier")</f>
        <v/>
      </c>
      <c r="H59" s="44">
        <f>IFERROR($G59/$C59,"")</f>
        <v/>
      </c>
      <c r="I59" s="41">
        <f>IF($G59&gt;=$C59,"cleared","missed")</f>
        <v/>
      </c>
      <c r="J59" s="44">
        <f>IFERROR($G59/$D59-1,"")</f>
        <v/>
      </c>
    </row>
    <row r="60">
      <c r="A60" s="41" t="inlineStr">
        <is>
          <t>Javier Melo</t>
        </is>
      </c>
      <c r="B60" s="41" t="inlineStr">
        <is>
          <t>DG Yuengling Inc</t>
        </is>
      </c>
      <c r="C60" s="46" t="n">
        <v>146</v>
      </c>
      <c r="D60" s="33">
        <f>SUMIFS('Data - Season'!$E$5:$E$743,'Data - Season'!$A$5:$A$743,$A60,'Data - Season'!$C$5:$C$743,$B60,'Data - Season'!$B$5:$B$743,"Qualifier")</f>
        <v/>
      </c>
      <c r="E60" s="44">
        <f>IFERROR($C60/$D60-1,"")</f>
        <v/>
      </c>
      <c r="F60" s="47">
        <f>IF($C60&lt;$D60,"YES — below LY","no")</f>
        <v/>
      </c>
      <c r="G60" s="33">
        <f>SUMIFS('Data - Season'!$F$5:$F$743,'Data - Season'!$A$5:$A$743,$A60,'Data - Season'!$C$5:$C$743,$B60,'Data - Season'!$B$5:$B$743,"Qualifier")</f>
        <v/>
      </c>
      <c r="H60" s="44">
        <f>IFERROR($G60/$C60,"")</f>
        <v/>
      </c>
      <c r="I60" s="41">
        <f>IF($G60&gt;=$C60,"cleared","missed")</f>
        <v/>
      </c>
      <c r="J60" s="44">
        <f>IFERROR($G60/$D60-1,"")</f>
        <v/>
      </c>
    </row>
    <row r="61">
      <c r="A61" s="41" t="inlineStr">
        <is>
          <t>Javier Melo</t>
        </is>
      </c>
      <c r="B61" s="41" t="inlineStr">
        <is>
          <t>Heineken USA</t>
        </is>
      </c>
      <c r="C61" s="46" t="n">
        <v>9939</v>
      </c>
      <c r="D61" s="33">
        <f>SUMIFS('Data - Season'!$E$5:$E$743,'Data - Season'!$A$5:$A$743,$A61,'Data - Season'!$C$5:$C$743,$B61,'Data - Season'!$B$5:$B$743,"Qualifier")</f>
        <v/>
      </c>
      <c r="E61" s="44">
        <f>IFERROR($C61/$D61-1,"")</f>
        <v/>
      </c>
      <c r="F61" s="47">
        <f>IF($C61&lt;$D61,"YES — below LY","no")</f>
        <v/>
      </c>
      <c r="G61" s="33">
        <f>SUMIFS('Data - Season'!$F$5:$F$743,'Data - Season'!$A$5:$A$743,$A61,'Data - Season'!$C$5:$C$743,$B61,'Data - Season'!$B$5:$B$743,"Qualifier")</f>
        <v/>
      </c>
      <c r="H61" s="44">
        <f>IFERROR($G61/$C61,"")</f>
        <v/>
      </c>
      <c r="I61" s="41">
        <f>IF($G61&gt;=$C61,"cleared","missed")</f>
        <v/>
      </c>
      <c r="J61" s="44">
        <f>IFERROR($G61/$D61-1,"")</f>
        <v/>
      </c>
    </row>
    <row r="62">
      <c r="A62" s="41" t="inlineStr">
        <is>
          <t>Javier Melo</t>
        </is>
      </c>
      <c r="B62" s="41" t="inlineStr">
        <is>
          <t>Mark Anthony</t>
        </is>
      </c>
      <c r="C62" s="46" t="n">
        <v>1005</v>
      </c>
      <c r="D62" s="33">
        <f>SUMIFS('Data - Season'!$E$5:$E$743,'Data - Season'!$A$5:$A$743,$A62,'Data - Season'!$C$5:$C$743,$B62,'Data - Season'!$B$5:$B$743,"Qualifier")</f>
        <v/>
      </c>
      <c r="E62" s="44">
        <f>IFERROR($C62/$D62-1,"")</f>
        <v/>
      </c>
      <c r="F62" s="47">
        <f>IF($C62&lt;$D62,"YES — below LY","no")</f>
        <v/>
      </c>
      <c r="G62" s="33">
        <f>SUMIFS('Data - Season'!$F$5:$F$743,'Data - Season'!$A$5:$A$743,$A62,'Data - Season'!$C$5:$C$743,$B62,'Data - Season'!$B$5:$B$743,"Qualifier")</f>
        <v/>
      </c>
      <c r="H62" s="44">
        <f>IFERROR($G62/$C62,"")</f>
        <v/>
      </c>
      <c r="I62" s="41">
        <f>IF($G62&gt;=$C62,"cleared","missed")</f>
        <v/>
      </c>
      <c r="J62" s="44">
        <f>IFERROR($G62/$D62-1,"")</f>
        <v/>
      </c>
    </row>
    <row r="63">
      <c r="A63" s="41" t="inlineStr">
        <is>
          <t>Javier Melo</t>
        </is>
      </c>
      <c r="B63" s="41" t="inlineStr">
        <is>
          <t>MolsonCoors Beverage Company</t>
        </is>
      </c>
      <c r="C63" s="46" t="n">
        <v>15551</v>
      </c>
      <c r="D63" s="33">
        <f>SUMIFS('Data - Season'!$E$5:$E$743,'Data - Season'!$A$5:$A$743,$A63,'Data - Season'!$C$5:$C$743,$B63,'Data - Season'!$B$5:$B$743,"Qualifier")</f>
        <v/>
      </c>
      <c r="E63" s="44">
        <f>IFERROR($C63/$D63-1,"")</f>
        <v/>
      </c>
      <c r="F63" s="47">
        <f>IF($C63&lt;$D63,"YES — below LY","no")</f>
        <v/>
      </c>
      <c r="G63" s="33">
        <f>SUMIFS('Data - Season'!$F$5:$F$743,'Data - Season'!$A$5:$A$743,$A63,'Data - Season'!$C$5:$C$743,$B63,'Data - Season'!$B$5:$B$743,"Qualifier")</f>
        <v/>
      </c>
      <c r="H63" s="44">
        <f>IFERROR($G63/$C63,"")</f>
        <v/>
      </c>
      <c r="I63" s="41">
        <f>IF($G63&gt;=$C63,"cleared","missed")</f>
        <v/>
      </c>
      <c r="J63" s="44">
        <f>IFERROR($G63/$D63-1,"")</f>
        <v/>
      </c>
    </row>
    <row r="64">
      <c r="A64" s="41" t="inlineStr">
        <is>
          <t>Jayson Romine</t>
        </is>
      </c>
      <c r="B64" s="41" t="inlineStr">
        <is>
          <t>Boston Beer Company</t>
        </is>
      </c>
      <c r="C64" s="46" t="n">
        <v>7200</v>
      </c>
      <c r="D64" s="33">
        <f>SUMIFS('Data - Season'!$E$5:$E$743,'Data - Season'!$A$5:$A$743,$A64,'Data - Season'!$C$5:$C$743,$B64,'Data - Season'!$B$5:$B$743,"Qualifier")</f>
        <v/>
      </c>
      <c r="E64" s="44">
        <f>IFERROR($C64/$D64-1,"")</f>
        <v/>
      </c>
      <c r="F64" s="47">
        <f>IF($C64&lt;$D64,"YES — below LY","no")</f>
        <v/>
      </c>
      <c r="G64" s="33">
        <f>SUMIFS('Data - Season'!$F$5:$F$743,'Data - Season'!$A$5:$A$743,$A64,'Data - Season'!$C$5:$C$743,$B64,'Data - Season'!$B$5:$B$743,"Qualifier")</f>
        <v/>
      </c>
      <c r="H64" s="44">
        <f>IFERROR($G64/$C64,"")</f>
        <v/>
      </c>
      <c r="I64" s="41">
        <f>IF($G64&gt;=$C64,"cleared","missed")</f>
        <v/>
      </c>
      <c r="J64" s="44">
        <f>IFERROR($G64/$D64-1,"")</f>
        <v/>
      </c>
    </row>
    <row r="65">
      <c r="A65" s="41" t="inlineStr">
        <is>
          <t>Jayson Romine</t>
        </is>
      </c>
      <c r="B65" s="41" t="inlineStr">
        <is>
          <t>Constellation Brands</t>
        </is>
      </c>
      <c r="C65" s="46" t="n">
        <v>18660</v>
      </c>
      <c r="D65" s="33">
        <f>SUMIFS('Data - Season'!$E$5:$E$743,'Data - Season'!$A$5:$A$743,$A65,'Data - Season'!$C$5:$C$743,$B65,'Data - Season'!$B$5:$B$743,"Qualifier")</f>
        <v/>
      </c>
      <c r="E65" s="44">
        <f>IFERROR($C65/$D65-1,"")</f>
        <v/>
      </c>
      <c r="F65" s="47">
        <f>IF($C65&lt;$D65,"YES — below LY","no")</f>
        <v/>
      </c>
      <c r="G65" s="33">
        <f>SUMIFS('Data - Season'!$F$5:$F$743,'Data - Season'!$A$5:$A$743,$A65,'Data - Season'!$C$5:$C$743,$B65,'Data - Season'!$B$5:$B$743,"Qualifier")</f>
        <v/>
      </c>
      <c r="H65" s="44">
        <f>IFERROR($G65/$C65,"")</f>
        <v/>
      </c>
      <c r="I65" s="41">
        <f>IF($G65&gt;=$C65,"cleared","missed")</f>
        <v/>
      </c>
      <c r="J65" s="44">
        <f>IFERROR($G65/$D65-1,"")</f>
        <v/>
      </c>
    </row>
    <row r="66">
      <c r="A66" s="41" t="inlineStr">
        <is>
          <t>Jayson Romine</t>
        </is>
      </c>
      <c r="B66" s="41" t="inlineStr">
        <is>
          <t>DG Yuengling Inc</t>
        </is>
      </c>
      <c r="C66" s="46" t="n">
        <v>7208</v>
      </c>
      <c r="D66" s="33">
        <f>SUMIFS('Data - Season'!$E$5:$E$743,'Data - Season'!$A$5:$A$743,$A66,'Data - Season'!$C$5:$C$743,$B66,'Data - Season'!$B$5:$B$743,"Qualifier")</f>
        <v/>
      </c>
      <c r="E66" s="44">
        <f>IFERROR($C66/$D66-1,"")</f>
        <v/>
      </c>
      <c r="F66" s="41">
        <f>IF($C66&lt;$D66,"YES — below LY","no")</f>
        <v/>
      </c>
      <c r="G66" s="33">
        <f>SUMIFS('Data - Season'!$F$5:$F$743,'Data - Season'!$A$5:$A$743,$A66,'Data - Season'!$C$5:$C$743,$B66,'Data - Season'!$B$5:$B$743,"Qualifier")</f>
        <v/>
      </c>
      <c r="H66" s="44">
        <f>IFERROR($G66/$C66,"")</f>
        <v/>
      </c>
      <c r="I66" s="41">
        <f>IF($G66&gt;=$C66,"cleared","missed")</f>
        <v/>
      </c>
      <c r="J66" s="44">
        <f>IFERROR($G66/$D66-1,"")</f>
        <v/>
      </c>
    </row>
    <row r="67">
      <c r="A67" s="41" t="inlineStr">
        <is>
          <t>Jayson Romine</t>
        </is>
      </c>
      <c r="B67" s="41" t="inlineStr">
        <is>
          <t>Mark Anthony</t>
        </is>
      </c>
      <c r="C67" s="46" t="n">
        <v>10616</v>
      </c>
      <c r="D67" s="33">
        <f>SUMIFS('Data - Season'!$E$5:$E$743,'Data - Season'!$A$5:$A$743,$A67,'Data - Season'!$C$5:$C$743,$B67,'Data - Season'!$B$5:$B$743,"Qualifier")</f>
        <v/>
      </c>
      <c r="E67" s="44">
        <f>IFERROR($C67/$D67-1,"")</f>
        <v/>
      </c>
      <c r="F67" s="47">
        <f>IF($C67&lt;$D67,"YES — below LY","no")</f>
        <v/>
      </c>
      <c r="G67" s="33">
        <f>SUMIFS('Data - Season'!$F$5:$F$743,'Data - Season'!$A$5:$A$743,$A67,'Data - Season'!$C$5:$C$743,$B67,'Data - Season'!$B$5:$B$743,"Qualifier")</f>
        <v/>
      </c>
      <c r="H67" s="44">
        <f>IFERROR($G67/$C67,"")</f>
        <v/>
      </c>
      <c r="I67" s="41">
        <f>IF($G67&gt;=$C67,"cleared","missed")</f>
        <v/>
      </c>
      <c r="J67" s="44">
        <f>IFERROR($G67/$D67-1,"")</f>
        <v/>
      </c>
    </row>
    <row r="68">
      <c r="A68" s="41" t="inlineStr">
        <is>
          <t>Jayson Romine</t>
        </is>
      </c>
      <c r="B68" s="41" t="inlineStr">
        <is>
          <t>MolsonCoors Beverage Company</t>
        </is>
      </c>
      <c r="C68" s="46" t="n">
        <v>37942</v>
      </c>
      <c r="D68" s="33">
        <f>SUMIFS('Data - Season'!$E$5:$E$743,'Data - Season'!$A$5:$A$743,$A68,'Data - Season'!$C$5:$C$743,$B68,'Data - Season'!$B$5:$B$743,"Qualifier")</f>
        <v/>
      </c>
      <c r="E68" s="44">
        <f>IFERROR($C68/$D68-1,"")</f>
        <v/>
      </c>
      <c r="F68" s="47">
        <f>IF($C68&lt;$D68,"YES — below LY","no")</f>
        <v/>
      </c>
      <c r="G68" s="33">
        <f>SUMIFS('Data - Season'!$F$5:$F$743,'Data - Season'!$A$5:$A$743,$A68,'Data - Season'!$C$5:$C$743,$B68,'Data - Season'!$B$5:$B$743,"Qualifier")</f>
        <v/>
      </c>
      <c r="H68" s="44">
        <f>IFERROR($G68/$C68,"")</f>
        <v/>
      </c>
      <c r="I68" s="41">
        <f>IF($G68&gt;=$C68,"cleared","missed")</f>
        <v/>
      </c>
      <c r="J68" s="44">
        <f>IFERROR($G68/$D68-1,"")</f>
        <v/>
      </c>
    </row>
    <row r="69">
      <c r="A69" s="41" t="inlineStr">
        <is>
          <t>Jim Heaney</t>
        </is>
      </c>
      <c r="B69" s="41" t="inlineStr">
        <is>
          <t>Boston Beer Company</t>
        </is>
      </c>
      <c r="C69" s="46" t="n">
        <v>2870</v>
      </c>
      <c r="D69" s="33">
        <f>SUMIFS('Data - Season'!$E$5:$E$743,'Data - Season'!$A$5:$A$743,$A69,'Data - Season'!$C$5:$C$743,$B69,'Data - Season'!$B$5:$B$743,"Qualifier")</f>
        <v/>
      </c>
      <c r="E69" s="44">
        <f>IFERROR($C69/$D69-1,"")</f>
        <v/>
      </c>
      <c r="F69" s="47">
        <f>IF($C69&lt;$D69,"YES — below LY","no")</f>
        <v/>
      </c>
      <c r="G69" s="33">
        <f>SUMIFS('Data - Season'!$F$5:$F$743,'Data - Season'!$A$5:$A$743,$A69,'Data - Season'!$C$5:$C$743,$B69,'Data - Season'!$B$5:$B$743,"Qualifier")</f>
        <v/>
      </c>
      <c r="H69" s="44">
        <f>IFERROR($G69/$C69,"")</f>
        <v/>
      </c>
      <c r="I69" s="41">
        <f>IF($G69&gt;=$C69,"cleared","missed")</f>
        <v/>
      </c>
      <c r="J69" s="44">
        <f>IFERROR($G69/$D69-1,"")</f>
        <v/>
      </c>
    </row>
    <row r="70">
      <c r="A70" s="41" t="inlineStr">
        <is>
          <t>Jim Heaney</t>
        </is>
      </c>
      <c r="B70" s="41" t="inlineStr">
        <is>
          <t>Constellation Brands</t>
        </is>
      </c>
      <c r="C70" s="46" t="n">
        <v>38968</v>
      </c>
      <c r="D70" s="33">
        <f>SUMIFS('Data - Season'!$E$5:$E$743,'Data - Season'!$A$5:$A$743,$A70,'Data - Season'!$C$5:$C$743,$B70,'Data - Season'!$B$5:$B$743,"Qualifier")</f>
        <v/>
      </c>
      <c r="E70" s="44">
        <f>IFERROR($C70/$D70-1,"")</f>
        <v/>
      </c>
      <c r="F70" s="47">
        <f>IF($C70&lt;$D70,"YES — below LY","no")</f>
        <v/>
      </c>
      <c r="G70" s="33">
        <f>SUMIFS('Data - Season'!$F$5:$F$743,'Data - Season'!$A$5:$A$743,$A70,'Data - Season'!$C$5:$C$743,$B70,'Data - Season'!$B$5:$B$743,"Qualifier")</f>
        <v/>
      </c>
      <c r="H70" s="44">
        <f>IFERROR($G70/$C70,"")</f>
        <v/>
      </c>
      <c r="I70" s="41">
        <f>IF($G70&gt;=$C70,"cleared","missed")</f>
        <v/>
      </c>
      <c r="J70" s="44">
        <f>IFERROR($G70/$D70-1,"")</f>
        <v/>
      </c>
    </row>
    <row r="71">
      <c r="A71" s="41" t="inlineStr">
        <is>
          <t>Jim Heaney</t>
        </is>
      </c>
      <c r="B71" s="41" t="inlineStr">
        <is>
          <t>DG Yuengling Inc</t>
        </is>
      </c>
      <c r="C71" s="46" t="n">
        <v>2036</v>
      </c>
      <c r="D71" s="33">
        <f>SUMIFS('Data - Season'!$E$5:$E$743,'Data - Season'!$A$5:$A$743,$A71,'Data - Season'!$C$5:$C$743,$B71,'Data - Season'!$B$5:$B$743,"Qualifier")</f>
        <v/>
      </c>
      <c r="E71" s="44">
        <f>IFERROR($C71/$D71-1,"")</f>
        <v/>
      </c>
      <c r="F71" s="47">
        <f>IF($C71&lt;$D71,"YES — below LY","no")</f>
        <v/>
      </c>
      <c r="G71" s="33">
        <f>SUMIFS('Data - Season'!$F$5:$F$743,'Data - Season'!$A$5:$A$743,$A71,'Data - Season'!$C$5:$C$743,$B71,'Data - Season'!$B$5:$B$743,"Qualifier")</f>
        <v/>
      </c>
      <c r="H71" s="44">
        <f>IFERROR($G71/$C71,"")</f>
        <v/>
      </c>
      <c r="I71" s="41">
        <f>IF($G71&gt;=$C71,"cleared","missed")</f>
        <v/>
      </c>
      <c r="J71" s="44">
        <f>IFERROR($G71/$D71-1,"")</f>
        <v/>
      </c>
    </row>
    <row r="72">
      <c r="A72" s="41" t="inlineStr">
        <is>
          <t>Jim Heaney</t>
        </is>
      </c>
      <c r="B72" s="41" t="inlineStr">
        <is>
          <t>Heineken USA</t>
        </is>
      </c>
      <c r="C72" s="46" t="n">
        <v>7749</v>
      </c>
      <c r="D72" s="33">
        <f>SUMIFS('Data - Season'!$E$5:$E$743,'Data - Season'!$A$5:$A$743,$A72,'Data - Season'!$C$5:$C$743,$B72,'Data - Season'!$B$5:$B$743,"Qualifier")</f>
        <v/>
      </c>
      <c r="E72" s="44">
        <f>IFERROR($C72/$D72-1,"")</f>
        <v/>
      </c>
      <c r="F72" s="47">
        <f>IF($C72&lt;$D72,"YES — below LY","no")</f>
        <v/>
      </c>
      <c r="G72" s="33">
        <f>SUMIFS('Data - Season'!$F$5:$F$743,'Data - Season'!$A$5:$A$743,$A72,'Data - Season'!$C$5:$C$743,$B72,'Data - Season'!$B$5:$B$743,"Qualifier")</f>
        <v/>
      </c>
      <c r="H72" s="44">
        <f>IFERROR($G72/$C72,"")</f>
        <v/>
      </c>
      <c r="I72" s="41">
        <f>IF($G72&gt;=$C72,"cleared","missed")</f>
        <v/>
      </c>
      <c r="J72" s="44">
        <f>IFERROR($G72/$D72-1,"")</f>
        <v/>
      </c>
    </row>
    <row r="73">
      <c r="A73" s="41" t="inlineStr">
        <is>
          <t>Jim Heaney</t>
        </is>
      </c>
      <c r="B73" s="41" t="inlineStr">
        <is>
          <t>Mark Anthony</t>
        </is>
      </c>
      <c r="C73" s="46" t="n">
        <v>4675</v>
      </c>
      <c r="D73" s="33">
        <f>SUMIFS('Data - Season'!$E$5:$E$743,'Data - Season'!$A$5:$A$743,$A73,'Data - Season'!$C$5:$C$743,$B73,'Data - Season'!$B$5:$B$743,"Qualifier")</f>
        <v/>
      </c>
      <c r="E73" s="44">
        <f>IFERROR($C73/$D73-1,"")</f>
        <v/>
      </c>
      <c r="F73" s="47">
        <f>IF($C73&lt;$D73,"YES — below LY","no")</f>
        <v/>
      </c>
      <c r="G73" s="33">
        <f>SUMIFS('Data - Season'!$F$5:$F$743,'Data - Season'!$A$5:$A$743,$A73,'Data - Season'!$C$5:$C$743,$B73,'Data - Season'!$B$5:$B$743,"Qualifier")</f>
        <v/>
      </c>
      <c r="H73" s="44">
        <f>IFERROR($G73/$C73,"")</f>
        <v/>
      </c>
      <c r="I73" s="41">
        <f>IF($G73&gt;=$C73,"cleared","missed")</f>
        <v/>
      </c>
      <c r="J73" s="44">
        <f>IFERROR($G73/$D73-1,"")</f>
        <v/>
      </c>
    </row>
    <row r="74">
      <c r="A74" s="41" t="inlineStr">
        <is>
          <t>Jim Heaney</t>
        </is>
      </c>
      <c r="B74" s="41" t="inlineStr">
        <is>
          <t>MolsonCoors Beverage Company</t>
        </is>
      </c>
      <c r="C74" s="46" t="n">
        <v>21984</v>
      </c>
      <c r="D74" s="33">
        <f>SUMIFS('Data - Season'!$E$5:$E$743,'Data - Season'!$A$5:$A$743,$A74,'Data - Season'!$C$5:$C$743,$B74,'Data - Season'!$B$5:$B$743,"Qualifier")</f>
        <v/>
      </c>
      <c r="E74" s="44">
        <f>IFERROR($C74/$D74-1,"")</f>
        <v/>
      </c>
      <c r="F74" s="47">
        <f>IF($C74&lt;$D74,"YES — below LY","no")</f>
        <v/>
      </c>
      <c r="G74" s="33">
        <f>SUMIFS('Data - Season'!$F$5:$F$743,'Data - Season'!$A$5:$A$743,$A74,'Data - Season'!$C$5:$C$743,$B74,'Data - Season'!$B$5:$B$743,"Qualifier")</f>
        <v/>
      </c>
      <c r="H74" s="44">
        <f>IFERROR($G74/$C74,"")</f>
        <v/>
      </c>
      <c r="I74" s="41">
        <f>IF($G74&gt;=$C74,"cleared","missed")</f>
        <v/>
      </c>
      <c r="J74" s="44">
        <f>IFERROR($G74/$D74-1,"")</f>
        <v/>
      </c>
    </row>
    <row r="75">
      <c r="A75" s="41" t="inlineStr">
        <is>
          <t>John Neukum</t>
        </is>
      </c>
      <c r="B75" s="41" t="inlineStr">
        <is>
          <t>Boston Beer Company</t>
        </is>
      </c>
      <c r="C75" s="46" t="n">
        <v>1220</v>
      </c>
      <c r="D75" s="33">
        <f>SUMIFS('Data - Season'!$E$5:$E$743,'Data - Season'!$A$5:$A$743,$A75,'Data - Season'!$C$5:$C$743,$B75,'Data - Season'!$B$5:$B$743,"Qualifier")</f>
        <v/>
      </c>
      <c r="E75" s="44">
        <f>IFERROR($C75/$D75-1,"")</f>
        <v/>
      </c>
      <c r="F75" s="47">
        <f>IF($C75&lt;$D75,"YES — below LY","no")</f>
        <v/>
      </c>
      <c r="G75" s="33">
        <f>SUMIFS('Data - Season'!$F$5:$F$743,'Data - Season'!$A$5:$A$743,$A75,'Data - Season'!$C$5:$C$743,$B75,'Data - Season'!$B$5:$B$743,"Qualifier")</f>
        <v/>
      </c>
      <c r="H75" s="44">
        <f>IFERROR($G75/$C75,"")</f>
        <v/>
      </c>
      <c r="I75" s="41">
        <f>IF($G75&gt;=$C75,"cleared","missed")</f>
        <v/>
      </c>
      <c r="J75" s="44">
        <f>IFERROR($G75/$D75-1,"")</f>
        <v/>
      </c>
    </row>
    <row r="76">
      <c r="A76" s="41" t="inlineStr">
        <is>
          <t>John Neukum</t>
        </is>
      </c>
      <c r="B76" s="41" t="inlineStr">
        <is>
          <t>Constellation Brands</t>
        </is>
      </c>
      <c r="C76" s="46" t="n">
        <v>115716</v>
      </c>
      <c r="D76" s="33">
        <f>SUMIFS('Data - Season'!$E$5:$E$743,'Data - Season'!$A$5:$A$743,$A76,'Data - Season'!$C$5:$C$743,$B76,'Data - Season'!$B$5:$B$743,"Qualifier")</f>
        <v/>
      </c>
      <c r="E76" s="44">
        <f>IFERROR($C76/$D76-1,"")</f>
        <v/>
      </c>
      <c r="F76" s="47">
        <f>IF($C76&lt;$D76,"YES — below LY","no")</f>
        <v/>
      </c>
      <c r="G76" s="33">
        <f>SUMIFS('Data - Season'!$F$5:$F$743,'Data - Season'!$A$5:$A$743,$A76,'Data - Season'!$C$5:$C$743,$B76,'Data - Season'!$B$5:$B$743,"Qualifier")</f>
        <v/>
      </c>
      <c r="H76" s="44">
        <f>IFERROR($G76/$C76,"")</f>
        <v/>
      </c>
      <c r="I76" s="41">
        <f>IF($G76&gt;=$C76,"cleared","missed")</f>
        <v/>
      </c>
      <c r="J76" s="44">
        <f>IFERROR($G76/$D76-1,"")</f>
        <v/>
      </c>
    </row>
    <row r="77">
      <c r="A77" s="41" t="inlineStr">
        <is>
          <t>John Neukum</t>
        </is>
      </c>
      <c r="B77" s="41" t="inlineStr">
        <is>
          <t>DG Yuengling Inc</t>
        </is>
      </c>
      <c r="C77" s="46" t="n">
        <v>3930</v>
      </c>
      <c r="D77" s="33">
        <f>SUMIFS('Data - Season'!$E$5:$E$743,'Data - Season'!$A$5:$A$743,$A77,'Data - Season'!$C$5:$C$743,$B77,'Data - Season'!$B$5:$B$743,"Qualifier")</f>
        <v/>
      </c>
      <c r="E77" s="44">
        <f>IFERROR($C77/$D77-1,"")</f>
        <v/>
      </c>
      <c r="F77" s="47">
        <f>IF($C77&lt;$D77,"YES — below LY","no")</f>
        <v/>
      </c>
      <c r="G77" s="33">
        <f>SUMIFS('Data - Season'!$F$5:$F$743,'Data - Season'!$A$5:$A$743,$A77,'Data - Season'!$C$5:$C$743,$B77,'Data - Season'!$B$5:$B$743,"Qualifier")</f>
        <v/>
      </c>
      <c r="H77" s="44">
        <f>IFERROR($G77/$C77,"")</f>
        <v/>
      </c>
      <c r="I77" s="41">
        <f>IF($G77&gt;=$C77,"cleared","missed")</f>
        <v/>
      </c>
      <c r="J77" s="44">
        <f>IFERROR($G77/$D77-1,"")</f>
        <v/>
      </c>
    </row>
    <row r="78">
      <c r="A78" s="41" t="inlineStr">
        <is>
          <t>John Neukum</t>
        </is>
      </c>
      <c r="B78" s="41" t="inlineStr">
        <is>
          <t>Heineken USA</t>
        </is>
      </c>
      <c r="C78" s="46" t="n">
        <v>15101</v>
      </c>
      <c r="D78" s="33">
        <f>SUMIFS('Data - Season'!$E$5:$E$743,'Data - Season'!$A$5:$A$743,$A78,'Data - Season'!$C$5:$C$743,$B78,'Data - Season'!$B$5:$B$743,"Qualifier")</f>
        <v/>
      </c>
      <c r="E78" s="44">
        <f>IFERROR($C78/$D78-1,"")</f>
        <v/>
      </c>
      <c r="F78" s="47">
        <f>IF($C78&lt;$D78,"YES — below LY","no")</f>
        <v/>
      </c>
      <c r="G78" s="33">
        <f>SUMIFS('Data - Season'!$F$5:$F$743,'Data - Season'!$A$5:$A$743,$A78,'Data - Season'!$C$5:$C$743,$B78,'Data - Season'!$B$5:$B$743,"Qualifier")</f>
        <v/>
      </c>
      <c r="H78" s="44">
        <f>IFERROR($G78/$C78,"")</f>
        <v/>
      </c>
      <c r="I78" s="41">
        <f>IF($G78&gt;=$C78,"cleared","missed")</f>
        <v/>
      </c>
      <c r="J78" s="44">
        <f>IFERROR($G78/$D78-1,"")</f>
        <v/>
      </c>
    </row>
    <row r="79">
      <c r="A79" s="41" t="inlineStr">
        <is>
          <t>John Neukum</t>
        </is>
      </c>
      <c r="B79" s="41" t="inlineStr">
        <is>
          <t>Mark Anthony</t>
        </is>
      </c>
      <c r="C79" s="46" t="n">
        <v>4633</v>
      </c>
      <c r="D79" s="33">
        <f>SUMIFS('Data - Season'!$E$5:$E$743,'Data - Season'!$A$5:$A$743,$A79,'Data - Season'!$C$5:$C$743,$B79,'Data - Season'!$B$5:$B$743,"Qualifier")</f>
        <v/>
      </c>
      <c r="E79" s="44">
        <f>IFERROR($C79/$D79-1,"")</f>
        <v/>
      </c>
      <c r="F79" s="47">
        <f>IF($C79&lt;$D79,"YES — below LY","no")</f>
        <v/>
      </c>
      <c r="G79" s="33">
        <f>SUMIFS('Data - Season'!$F$5:$F$743,'Data - Season'!$A$5:$A$743,$A79,'Data - Season'!$C$5:$C$743,$B79,'Data - Season'!$B$5:$B$743,"Qualifier")</f>
        <v/>
      </c>
      <c r="H79" s="44">
        <f>IFERROR($G79/$C79,"")</f>
        <v/>
      </c>
      <c r="I79" s="41">
        <f>IF($G79&gt;=$C79,"cleared","missed")</f>
        <v/>
      </c>
      <c r="J79" s="44">
        <f>IFERROR($G79/$D79-1,"")</f>
        <v/>
      </c>
    </row>
    <row r="80">
      <c r="A80" s="41" t="inlineStr">
        <is>
          <t>John Neukum</t>
        </is>
      </c>
      <c r="B80" s="41" t="inlineStr">
        <is>
          <t>MolsonCoors Beverage Company</t>
        </is>
      </c>
      <c r="C80" s="46" t="n">
        <v>20735</v>
      </c>
      <c r="D80" s="33">
        <f>SUMIFS('Data - Season'!$E$5:$E$743,'Data - Season'!$A$5:$A$743,$A80,'Data - Season'!$C$5:$C$743,$B80,'Data - Season'!$B$5:$B$743,"Qualifier")</f>
        <v/>
      </c>
      <c r="E80" s="44">
        <f>IFERROR($C80/$D80-1,"")</f>
        <v/>
      </c>
      <c r="F80" s="47">
        <f>IF($C80&lt;$D80,"YES — below LY","no")</f>
        <v/>
      </c>
      <c r="G80" s="33">
        <f>SUMIFS('Data - Season'!$F$5:$F$743,'Data - Season'!$A$5:$A$743,$A80,'Data - Season'!$C$5:$C$743,$B80,'Data - Season'!$B$5:$B$743,"Qualifier")</f>
        <v/>
      </c>
      <c r="H80" s="44">
        <f>IFERROR($G80/$C80,"")</f>
        <v/>
      </c>
      <c r="I80" s="41">
        <f>IF($G80&gt;=$C80,"cleared","missed")</f>
        <v/>
      </c>
      <c r="J80" s="44">
        <f>IFERROR($G80/$D80-1,"")</f>
        <v/>
      </c>
    </row>
    <row r="81">
      <c r="A81" s="41" t="inlineStr">
        <is>
          <t>John O'Donoghue</t>
        </is>
      </c>
      <c r="B81" s="41" t="inlineStr">
        <is>
          <t>Constellation Brands</t>
        </is>
      </c>
      <c r="C81" s="46" t="n">
        <v>233</v>
      </c>
      <c r="D81" s="33">
        <f>SUMIFS('Data - Season'!$E$5:$E$743,'Data - Season'!$A$5:$A$743,$A81,'Data - Season'!$C$5:$C$743,$B81,'Data - Season'!$B$5:$B$743,"Qualifier")</f>
        <v/>
      </c>
      <c r="E81" s="44">
        <f>IFERROR($C81/$D81-1,"")</f>
        <v/>
      </c>
      <c r="F81" s="47">
        <f>IF($C81&lt;$D81,"YES — below LY","no")</f>
        <v/>
      </c>
      <c r="G81" s="33">
        <f>SUMIFS('Data - Season'!$F$5:$F$743,'Data - Season'!$A$5:$A$743,$A81,'Data - Season'!$C$5:$C$743,$B81,'Data - Season'!$B$5:$B$743,"Qualifier")</f>
        <v/>
      </c>
      <c r="H81" s="44">
        <f>IFERROR($G81/$C81,"")</f>
        <v/>
      </c>
      <c r="I81" s="41">
        <f>IF($G81&gt;=$C81,"cleared","missed")</f>
        <v/>
      </c>
      <c r="J81" s="44">
        <f>IFERROR($G81/$D81-1,"")</f>
        <v/>
      </c>
    </row>
    <row r="82">
      <c r="A82" s="41" t="inlineStr">
        <is>
          <t>John O'Donoghue</t>
        </is>
      </c>
      <c r="B82" s="41" t="inlineStr">
        <is>
          <t>Mark Anthony</t>
        </is>
      </c>
      <c r="C82" s="46" t="n">
        <v>14</v>
      </c>
      <c r="D82" s="33">
        <f>SUMIFS('Data - Season'!$E$5:$E$743,'Data - Season'!$A$5:$A$743,$A82,'Data - Season'!$C$5:$C$743,$B82,'Data - Season'!$B$5:$B$743,"Qualifier")</f>
        <v/>
      </c>
      <c r="E82" s="44">
        <f>IFERROR($C82/$D82-1,"")</f>
        <v/>
      </c>
      <c r="F82" s="47">
        <f>IF($C82&lt;$D82,"YES — below LY","no")</f>
        <v/>
      </c>
      <c r="G82" s="33">
        <f>SUMIFS('Data - Season'!$F$5:$F$743,'Data - Season'!$A$5:$A$743,$A82,'Data - Season'!$C$5:$C$743,$B82,'Data - Season'!$B$5:$B$743,"Qualifier")</f>
        <v/>
      </c>
      <c r="H82" s="44">
        <f>IFERROR($G82/$C82,"")</f>
        <v/>
      </c>
      <c r="I82" s="41">
        <f>IF($G82&gt;=$C82,"cleared","missed")</f>
        <v/>
      </c>
      <c r="J82" s="44">
        <f>IFERROR($G82/$D82-1,"")</f>
        <v/>
      </c>
    </row>
    <row r="83">
      <c r="A83" s="41" t="inlineStr">
        <is>
          <t>Klejdi Lamo</t>
        </is>
      </c>
      <c r="B83" s="41" t="inlineStr">
        <is>
          <t>Boston Beer Company</t>
        </is>
      </c>
      <c r="C83" s="46" t="n">
        <v>4900</v>
      </c>
      <c r="D83" s="33">
        <f>SUMIFS('Data - Season'!$E$5:$E$743,'Data - Season'!$A$5:$A$743,$A83,'Data - Season'!$C$5:$C$743,$B83,'Data - Season'!$B$5:$B$743,"Qualifier")</f>
        <v/>
      </c>
      <c r="E83" s="44">
        <f>IFERROR($C83/$D83-1,"")</f>
        <v/>
      </c>
      <c r="F83" s="47">
        <f>IF($C83&lt;$D83,"YES — below LY","no")</f>
        <v/>
      </c>
      <c r="G83" s="33">
        <f>SUMIFS('Data - Season'!$F$5:$F$743,'Data - Season'!$A$5:$A$743,$A83,'Data - Season'!$C$5:$C$743,$B83,'Data - Season'!$B$5:$B$743,"Qualifier")</f>
        <v/>
      </c>
      <c r="H83" s="44">
        <f>IFERROR($G83/$C83,"")</f>
        <v/>
      </c>
      <c r="I83" s="41">
        <f>IF($G83&gt;=$C83,"cleared","missed")</f>
        <v/>
      </c>
      <c r="J83" s="44">
        <f>IFERROR($G83/$D83-1,"")</f>
        <v/>
      </c>
    </row>
    <row r="84">
      <c r="A84" s="41" t="inlineStr">
        <is>
          <t>Klejdi Lamo</t>
        </is>
      </c>
      <c r="B84" s="41" t="inlineStr">
        <is>
          <t>Constellation Brands</t>
        </is>
      </c>
      <c r="C84" s="46" t="n">
        <v>25364</v>
      </c>
      <c r="D84" s="33">
        <f>SUMIFS('Data - Season'!$E$5:$E$743,'Data - Season'!$A$5:$A$743,$A84,'Data - Season'!$C$5:$C$743,$B84,'Data - Season'!$B$5:$B$743,"Qualifier")</f>
        <v/>
      </c>
      <c r="E84" s="44">
        <f>IFERROR($C84/$D84-1,"")</f>
        <v/>
      </c>
      <c r="F84" s="47">
        <f>IF($C84&lt;$D84,"YES — below LY","no")</f>
        <v/>
      </c>
      <c r="G84" s="33">
        <f>SUMIFS('Data - Season'!$F$5:$F$743,'Data - Season'!$A$5:$A$743,$A84,'Data - Season'!$C$5:$C$743,$B84,'Data - Season'!$B$5:$B$743,"Qualifier")</f>
        <v/>
      </c>
      <c r="H84" s="44">
        <f>IFERROR($G84/$C84,"")</f>
        <v/>
      </c>
      <c r="I84" s="41">
        <f>IF($G84&gt;=$C84,"cleared","missed")</f>
        <v/>
      </c>
      <c r="J84" s="44">
        <f>IFERROR($G84/$D84-1,"")</f>
        <v/>
      </c>
    </row>
    <row r="85">
      <c r="A85" s="41" t="inlineStr">
        <is>
          <t>Klejdi Lamo</t>
        </is>
      </c>
      <c r="B85" s="41" t="inlineStr">
        <is>
          <t>DG Yuengling Inc</t>
        </is>
      </c>
      <c r="C85" s="46" t="n">
        <v>4063</v>
      </c>
      <c r="D85" s="33">
        <f>SUMIFS('Data - Season'!$E$5:$E$743,'Data - Season'!$A$5:$A$743,$A85,'Data - Season'!$C$5:$C$743,$B85,'Data - Season'!$B$5:$B$743,"Qualifier")</f>
        <v/>
      </c>
      <c r="E85" s="44">
        <f>IFERROR($C85/$D85-1,"")</f>
        <v/>
      </c>
      <c r="F85" s="47">
        <f>IF($C85&lt;$D85,"YES — below LY","no")</f>
        <v/>
      </c>
      <c r="G85" s="33">
        <f>SUMIFS('Data - Season'!$F$5:$F$743,'Data - Season'!$A$5:$A$743,$A85,'Data - Season'!$C$5:$C$743,$B85,'Data - Season'!$B$5:$B$743,"Qualifier")</f>
        <v/>
      </c>
      <c r="H85" s="44">
        <f>IFERROR($G85/$C85,"")</f>
        <v/>
      </c>
      <c r="I85" s="41">
        <f>IF($G85&gt;=$C85,"cleared","missed")</f>
        <v/>
      </c>
      <c r="J85" s="44">
        <f>IFERROR($G85/$D85-1,"")</f>
        <v/>
      </c>
    </row>
    <row r="86">
      <c r="A86" s="41" t="inlineStr">
        <is>
          <t>Klejdi Lamo</t>
        </is>
      </c>
      <c r="B86" s="41" t="inlineStr">
        <is>
          <t>Heineken USA</t>
        </is>
      </c>
      <c r="C86" s="46" t="n">
        <v>190</v>
      </c>
      <c r="D86" s="33">
        <f>SUMIFS('Data - Season'!$E$5:$E$743,'Data - Season'!$A$5:$A$743,$A86,'Data - Season'!$C$5:$C$743,$B86,'Data - Season'!$B$5:$B$743,"Qualifier")</f>
        <v/>
      </c>
      <c r="E86" s="44">
        <f>IFERROR($C86/$D86-1,"")</f>
        <v/>
      </c>
      <c r="F86" s="47">
        <f>IF($C86&lt;$D86,"YES — below LY","no")</f>
        <v/>
      </c>
      <c r="G86" s="33">
        <f>SUMIFS('Data - Season'!$F$5:$F$743,'Data - Season'!$A$5:$A$743,$A86,'Data - Season'!$C$5:$C$743,$B86,'Data - Season'!$B$5:$B$743,"Qualifier")</f>
        <v/>
      </c>
      <c r="H86" s="44">
        <f>IFERROR($G86/$C86,"")</f>
        <v/>
      </c>
      <c r="I86" s="41">
        <f>IF($G86&gt;=$C86,"cleared","missed")</f>
        <v/>
      </c>
      <c r="J86" s="44">
        <f>IFERROR($G86/$D86-1,"")</f>
        <v/>
      </c>
    </row>
    <row r="87">
      <c r="A87" s="41" t="inlineStr">
        <is>
          <t>Klejdi Lamo</t>
        </is>
      </c>
      <c r="B87" s="41" t="inlineStr">
        <is>
          <t>Mark Anthony</t>
        </is>
      </c>
      <c r="C87" s="46" t="n">
        <v>8451</v>
      </c>
      <c r="D87" s="33">
        <f>SUMIFS('Data - Season'!$E$5:$E$743,'Data - Season'!$A$5:$A$743,$A87,'Data - Season'!$C$5:$C$743,$B87,'Data - Season'!$B$5:$B$743,"Qualifier")</f>
        <v/>
      </c>
      <c r="E87" s="44">
        <f>IFERROR($C87/$D87-1,"")</f>
        <v/>
      </c>
      <c r="F87" s="47">
        <f>IF($C87&lt;$D87,"YES — below LY","no")</f>
        <v/>
      </c>
      <c r="G87" s="33">
        <f>SUMIFS('Data - Season'!$F$5:$F$743,'Data - Season'!$A$5:$A$743,$A87,'Data - Season'!$C$5:$C$743,$B87,'Data - Season'!$B$5:$B$743,"Qualifier")</f>
        <v/>
      </c>
      <c r="H87" s="44">
        <f>IFERROR($G87/$C87,"")</f>
        <v/>
      </c>
      <c r="I87" s="41">
        <f>IF($G87&gt;=$C87,"cleared","missed")</f>
        <v/>
      </c>
      <c r="J87" s="44">
        <f>IFERROR($G87/$D87-1,"")</f>
        <v/>
      </c>
    </row>
    <row r="88">
      <c r="A88" s="41" t="inlineStr">
        <is>
          <t>Klejdi Lamo</t>
        </is>
      </c>
      <c r="B88" s="41" t="inlineStr">
        <is>
          <t>MolsonCoors Beverage Company</t>
        </is>
      </c>
      <c r="C88" s="46" t="n">
        <v>27752</v>
      </c>
      <c r="D88" s="33">
        <f>SUMIFS('Data - Season'!$E$5:$E$743,'Data - Season'!$A$5:$A$743,$A88,'Data - Season'!$C$5:$C$743,$B88,'Data - Season'!$B$5:$B$743,"Qualifier")</f>
        <v/>
      </c>
      <c r="E88" s="44">
        <f>IFERROR($C88/$D88-1,"")</f>
        <v/>
      </c>
      <c r="F88" s="47">
        <f>IF($C88&lt;$D88,"YES — below LY","no")</f>
        <v/>
      </c>
      <c r="G88" s="33">
        <f>SUMIFS('Data - Season'!$F$5:$F$743,'Data - Season'!$A$5:$A$743,$A88,'Data - Season'!$C$5:$C$743,$B88,'Data - Season'!$B$5:$B$743,"Qualifier")</f>
        <v/>
      </c>
      <c r="H88" s="44">
        <f>IFERROR($G88/$C88,"")</f>
        <v/>
      </c>
      <c r="I88" s="41">
        <f>IF($G88&gt;=$C88,"cleared","missed")</f>
        <v/>
      </c>
      <c r="J88" s="44">
        <f>IFERROR($G88/$D88-1,"")</f>
        <v/>
      </c>
    </row>
    <row r="89">
      <c r="A89" s="41" t="inlineStr">
        <is>
          <t>Matt Powierski</t>
        </is>
      </c>
      <c r="B89" s="41" t="inlineStr">
        <is>
          <t>Boston Beer Company</t>
        </is>
      </c>
      <c r="C89" s="46" t="n">
        <v>2250</v>
      </c>
      <c r="D89" s="33">
        <f>SUMIFS('Data - Season'!$E$5:$E$743,'Data - Season'!$A$5:$A$743,$A89,'Data - Season'!$C$5:$C$743,$B89,'Data - Season'!$B$5:$B$743,"Qualifier")</f>
        <v/>
      </c>
      <c r="E89" s="44">
        <f>IFERROR($C89/$D89-1,"")</f>
        <v/>
      </c>
      <c r="F89" s="47">
        <f>IF($C89&lt;$D89,"YES — below LY","no")</f>
        <v/>
      </c>
      <c r="G89" s="33">
        <f>SUMIFS('Data - Season'!$F$5:$F$743,'Data - Season'!$A$5:$A$743,$A89,'Data - Season'!$C$5:$C$743,$B89,'Data - Season'!$B$5:$B$743,"Qualifier")</f>
        <v/>
      </c>
      <c r="H89" s="44">
        <f>IFERROR($G89/$C89,"")</f>
        <v/>
      </c>
      <c r="I89" s="41">
        <f>IF($G89&gt;=$C89,"cleared","missed")</f>
        <v/>
      </c>
      <c r="J89" s="44">
        <f>IFERROR($G89/$D89-1,"")</f>
        <v/>
      </c>
    </row>
    <row r="90">
      <c r="A90" s="41" t="inlineStr">
        <is>
          <t>Matt Powierski</t>
        </is>
      </c>
      <c r="B90" s="41" t="inlineStr">
        <is>
          <t>Constellation Brands</t>
        </is>
      </c>
      <c r="C90" s="46" t="n">
        <v>32540</v>
      </c>
      <c r="D90" s="33">
        <f>SUMIFS('Data - Season'!$E$5:$E$743,'Data - Season'!$A$5:$A$743,$A90,'Data - Season'!$C$5:$C$743,$B90,'Data - Season'!$B$5:$B$743,"Qualifier")</f>
        <v/>
      </c>
      <c r="E90" s="44">
        <f>IFERROR($C90/$D90-1,"")</f>
        <v/>
      </c>
      <c r="F90" s="47">
        <f>IF($C90&lt;$D90,"YES — below LY","no")</f>
        <v/>
      </c>
      <c r="G90" s="33">
        <f>SUMIFS('Data - Season'!$F$5:$F$743,'Data - Season'!$A$5:$A$743,$A90,'Data - Season'!$C$5:$C$743,$B90,'Data - Season'!$B$5:$B$743,"Qualifier")</f>
        <v/>
      </c>
      <c r="H90" s="44">
        <f>IFERROR($G90/$C90,"")</f>
        <v/>
      </c>
      <c r="I90" s="41">
        <f>IF($G90&gt;=$C90,"cleared","missed")</f>
        <v/>
      </c>
      <c r="J90" s="44">
        <f>IFERROR($G90/$D90-1,"")</f>
        <v/>
      </c>
    </row>
    <row r="91">
      <c r="A91" s="41" t="inlineStr">
        <is>
          <t>Matt Powierski</t>
        </is>
      </c>
      <c r="B91" s="41" t="inlineStr">
        <is>
          <t>DG Yuengling Inc</t>
        </is>
      </c>
      <c r="C91" s="46" t="n">
        <v>1270</v>
      </c>
      <c r="D91" s="33">
        <f>SUMIFS('Data - Season'!$E$5:$E$743,'Data - Season'!$A$5:$A$743,$A91,'Data - Season'!$C$5:$C$743,$B91,'Data - Season'!$B$5:$B$743,"Qualifier")</f>
        <v/>
      </c>
      <c r="E91" s="44">
        <f>IFERROR($C91/$D91-1,"")</f>
        <v/>
      </c>
      <c r="F91" s="47">
        <f>IF($C91&lt;$D91,"YES — below LY","no")</f>
        <v/>
      </c>
      <c r="G91" s="33">
        <f>SUMIFS('Data - Season'!$F$5:$F$743,'Data - Season'!$A$5:$A$743,$A91,'Data - Season'!$C$5:$C$743,$B91,'Data - Season'!$B$5:$B$743,"Qualifier")</f>
        <v/>
      </c>
      <c r="H91" s="44">
        <f>IFERROR($G91/$C91,"")</f>
        <v/>
      </c>
      <c r="I91" s="41">
        <f>IF($G91&gt;=$C91,"cleared","missed")</f>
        <v/>
      </c>
      <c r="J91" s="44">
        <f>IFERROR($G91/$D91-1,"")</f>
        <v/>
      </c>
    </row>
    <row r="92">
      <c r="A92" s="41" t="inlineStr">
        <is>
          <t>Matt Powierski</t>
        </is>
      </c>
      <c r="B92" s="41" t="inlineStr">
        <is>
          <t>Heineken USA</t>
        </is>
      </c>
      <c r="C92" s="46" t="n">
        <v>6888</v>
      </c>
      <c r="D92" s="33">
        <f>SUMIFS('Data - Season'!$E$5:$E$743,'Data - Season'!$A$5:$A$743,$A92,'Data - Season'!$C$5:$C$743,$B92,'Data - Season'!$B$5:$B$743,"Qualifier")</f>
        <v/>
      </c>
      <c r="E92" s="44">
        <f>IFERROR($C92/$D92-1,"")</f>
        <v/>
      </c>
      <c r="F92" s="47">
        <f>IF($C92&lt;$D92,"YES — below LY","no")</f>
        <v/>
      </c>
      <c r="G92" s="33">
        <f>SUMIFS('Data - Season'!$F$5:$F$743,'Data - Season'!$A$5:$A$743,$A92,'Data - Season'!$C$5:$C$743,$B92,'Data - Season'!$B$5:$B$743,"Qualifier")</f>
        <v/>
      </c>
      <c r="H92" s="44">
        <f>IFERROR($G92/$C92,"")</f>
        <v/>
      </c>
      <c r="I92" s="41">
        <f>IF($G92&gt;=$C92,"cleared","missed")</f>
        <v/>
      </c>
      <c r="J92" s="44">
        <f>IFERROR($G92/$D92-1,"")</f>
        <v/>
      </c>
    </row>
    <row r="93">
      <c r="A93" s="41" t="inlineStr">
        <is>
          <t>Matt Powierski</t>
        </is>
      </c>
      <c r="B93" s="41" t="inlineStr">
        <is>
          <t>Mark Anthony</t>
        </is>
      </c>
      <c r="C93" s="46" t="n">
        <v>4025</v>
      </c>
      <c r="D93" s="33">
        <f>SUMIFS('Data - Season'!$E$5:$E$743,'Data - Season'!$A$5:$A$743,$A93,'Data - Season'!$C$5:$C$743,$B93,'Data - Season'!$B$5:$B$743,"Qualifier")</f>
        <v/>
      </c>
      <c r="E93" s="44">
        <f>IFERROR($C93/$D93-1,"")</f>
        <v/>
      </c>
      <c r="F93" s="47">
        <f>IF($C93&lt;$D93,"YES — below LY","no")</f>
        <v/>
      </c>
      <c r="G93" s="33">
        <f>SUMIFS('Data - Season'!$F$5:$F$743,'Data - Season'!$A$5:$A$743,$A93,'Data - Season'!$C$5:$C$743,$B93,'Data - Season'!$B$5:$B$743,"Qualifier")</f>
        <v/>
      </c>
      <c r="H93" s="44">
        <f>IFERROR($G93/$C93,"")</f>
        <v/>
      </c>
      <c r="I93" s="41">
        <f>IF($G93&gt;=$C93,"cleared","missed")</f>
        <v/>
      </c>
      <c r="J93" s="44">
        <f>IFERROR($G93/$D93-1,"")</f>
        <v/>
      </c>
    </row>
    <row r="94">
      <c r="A94" s="41" t="inlineStr">
        <is>
          <t>Matt Powierski</t>
        </is>
      </c>
      <c r="B94" s="41" t="inlineStr">
        <is>
          <t>MolsonCoors Beverage Company</t>
        </is>
      </c>
      <c r="C94" s="46" t="n">
        <v>16688</v>
      </c>
      <c r="D94" s="33">
        <f>SUMIFS('Data - Season'!$E$5:$E$743,'Data - Season'!$A$5:$A$743,$A94,'Data - Season'!$C$5:$C$743,$B94,'Data - Season'!$B$5:$B$743,"Qualifier")</f>
        <v/>
      </c>
      <c r="E94" s="44">
        <f>IFERROR($C94/$D94-1,"")</f>
        <v/>
      </c>
      <c r="F94" s="47">
        <f>IF($C94&lt;$D94,"YES — below LY","no")</f>
        <v/>
      </c>
      <c r="G94" s="33">
        <f>SUMIFS('Data - Season'!$F$5:$F$743,'Data - Season'!$A$5:$A$743,$A94,'Data - Season'!$C$5:$C$743,$B94,'Data - Season'!$B$5:$B$743,"Qualifier")</f>
        <v/>
      </c>
      <c r="H94" s="44">
        <f>IFERROR($G94/$C94,"")</f>
        <v/>
      </c>
      <c r="I94" s="41">
        <f>IF($G94&gt;=$C94,"cleared","missed")</f>
        <v/>
      </c>
      <c r="J94" s="44">
        <f>IFERROR($G94/$D94-1,"")</f>
        <v/>
      </c>
    </row>
    <row r="95">
      <c r="A95" s="41" t="inlineStr">
        <is>
          <t>Michael Harboy</t>
        </is>
      </c>
      <c r="B95" s="41" t="inlineStr">
        <is>
          <t>Boston Beer Company</t>
        </is>
      </c>
      <c r="C95" s="46" t="n">
        <v>680</v>
      </c>
      <c r="D95" s="33">
        <f>SUMIFS('Data - Season'!$E$5:$E$743,'Data - Season'!$A$5:$A$743,$A95,'Data - Season'!$C$5:$C$743,$B95,'Data - Season'!$B$5:$B$743,"Qualifier")</f>
        <v/>
      </c>
      <c r="E95" s="44">
        <f>IFERROR($C95/$D95-1,"")</f>
        <v/>
      </c>
      <c r="F95" s="47">
        <f>IF($C95&lt;$D95,"YES — below LY","no")</f>
        <v/>
      </c>
      <c r="G95" s="33">
        <f>SUMIFS('Data - Season'!$F$5:$F$743,'Data - Season'!$A$5:$A$743,$A95,'Data - Season'!$C$5:$C$743,$B95,'Data - Season'!$B$5:$B$743,"Qualifier")</f>
        <v/>
      </c>
      <c r="H95" s="44">
        <f>IFERROR($G95/$C95,"")</f>
        <v/>
      </c>
      <c r="I95" s="41">
        <f>IF($G95&gt;=$C95,"cleared","missed")</f>
        <v/>
      </c>
      <c r="J95" s="44">
        <f>IFERROR($G95/$D95-1,"")</f>
        <v/>
      </c>
    </row>
    <row r="96">
      <c r="A96" s="41" t="inlineStr">
        <is>
          <t>Michael Harboy</t>
        </is>
      </c>
      <c r="B96" s="41" t="inlineStr">
        <is>
          <t>Constellation Brands</t>
        </is>
      </c>
      <c r="C96" s="46" t="n">
        <v>4421</v>
      </c>
      <c r="D96" s="33">
        <f>SUMIFS('Data - Season'!$E$5:$E$743,'Data - Season'!$A$5:$A$743,$A96,'Data - Season'!$C$5:$C$743,$B96,'Data - Season'!$B$5:$B$743,"Qualifier")</f>
        <v/>
      </c>
      <c r="E96" s="44">
        <f>IFERROR($C96/$D96-1,"")</f>
        <v/>
      </c>
      <c r="F96" s="47">
        <f>IF($C96&lt;$D96,"YES — below LY","no")</f>
        <v/>
      </c>
      <c r="G96" s="33">
        <f>SUMIFS('Data - Season'!$F$5:$F$743,'Data - Season'!$A$5:$A$743,$A96,'Data - Season'!$C$5:$C$743,$B96,'Data - Season'!$B$5:$B$743,"Qualifier")</f>
        <v/>
      </c>
      <c r="H96" s="44">
        <f>IFERROR($G96/$C96,"")</f>
        <v/>
      </c>
      <c r="I96" s="41">
        <f>IF($G96&gt;=$C96,"cleared","missed")</f>
        <v/>
      </c>
      <c r="J96" s="44">
        <f>IFERROR($G96/$D96-1,"")</f>
        <v/>
      </c>
    </row>
    <row r="97">
      <c r="A97" s="41" t="inlineStr">
        <is>
          <t>Michael Harboy</t>
        </is>
      </c>
      <c r="B97" s="41" t="inlineStr">
        <is>
          <t>DG Yuengling Inc</t>
        </is>
      </c>
      <c r="C97" s="46" t="n">
        <v>476</v>
      </c>
      <c r="D97" s="33">
        <f>SUMIFS('Data - Season'!$E$5:$E$743,'Data - Season'!$A$5:$A$743,$A97,'Data - Season'!$C$5:$C$743,$B97,'Data - Season'!$B$5:$B$743,"Qualifier")</f>
        <v/>
      </c>
      <c r="E97" s="44">
        <f>IFERROR($C97/$D97-1,"")</f>
        <v/>
      </c>
      <c r="F97" s="47">
        <f>IF($C97&lt;$D97,"YES — below LY","no")</f>
        <v/>
      </c>
      <c r="G97" s="33">
        <f>SUMIFS('Data - Season'!$F$5:$F$743,'Data - Season'!$A$5:$A$743,$A97,'Data - Season'!$C$5:$C$743,$B97,'Data - Season'!$B$5:$B$743,"Qualifier")</f>
        <v/>
      </c>
      <c r="H97" s="44">
        <f>IFERROR($G97/$C97,"")</f>
        <v/>
      </c>
      <c r="I97" s="41">
        <f>IF($G97&gt;=$C97,"cleared","missed")</f>
        <v/>
      </c>
      <c r="J97" s="44">
        <f>IFERROR($G97/$D97-1,"")</f>
        <v/>
      </c>
    </row>
    <row r="98">
      <c r="A98" s="41" t="inlineStr">
        <is>
          <t>Michael Harboy</t>
        </is>
      </c>
      <c r="B98" s="41" t="inlineStr">
        <is>
          <t>Heineken USA</t>
        </is>
      </c>
      <c r="C98" s="46" t="n">
        <v>856</v>
      </c>
      <c r="D98" s="33">
        <f>SUMIFS('Data - Season'!$E$5:$E$743,'Data - Season'!$A$5:$A$743,$A98,'Data - Season'!$C$5:$C$743,$B98,'Data - Season'!$B$5:$B$743,"Qualifier")</f>
        <v/>
      </c>
      <c r="E98" s="44">
        <f>IFERROR($C98/$D98-1,"")</f>
        <v/>
      </c>
      <c r="F98" s="47">
        <f>IF($C98&lt;$D98,"YES — below LY","no")</f>
        <v/>
      </c>
      <c r="G98" s="33">
        <f>SUMIFS('Data - Season'!$F$5:$F$743,'Data - Season'!$A$5:$A$743,$A98,'Data - Season'!$C$5:$C$743,$B98,'Data - Season'!$B$5:$B$743,"Qualifier")</f>
        <v/>
      </c>
      <c r="H98" s="44">
        <f>IFERROR($G98/$C98,"")</f>
        <v/>
      </c>
      <c r="I98" s="41">
        <f>IF($G98&gt;=$C98,"cleared","missed")</f>
        <v/>
      </c>
      <c r="J98" s="44">
        <f>IFERROR($G98/$D98-1,"")</f>
        <v/>
      </c>
    </row>
    <row r="99">
      <c r="A99" s="41" t="inlineStr">
        <is>
          <t>Michael Harboy</t>
        </is>
      </c>
      <c r="B99" s="41" t="inlineStr">
        <is>
          <t>Mark Anthony</t>
        </is>
      </c>
      <c r="C99" s="46" t="n">
        <v>1355</v>
      </c>
      <c r="D99" s="33">
        <f>SUMIFS('Data - Season'!$E$5:$E$743,'Data - Season'!$A$5:$A$743,$A99,'Data - Season'!$C$5:$C$743,$B99,'Data - Season'!$B$5:$B$743,"Qualifier")</f>
        <v/>
      </c>
      <c r="E99" s="44">
        <f>IFERROR($C99/$D99-1,"")</f>
        <v/>
      </c>
      <c r="F99" s="47">
        <f>IF($C99&lt;$D99,"YES — below LY","no")</f>
        <v/>
      </c>
      <c r="G99" s="33">
        <f>SUMIFS('Data - Season'!$F$5:$F$743,'Data - Season'!$A$5:$A$743,$A99,'Data - Season'!$C$5:$C$743,$B99,'Data - Season'!$B$5:$B$743,"Qualifier")</f>
        <v/>
      </c>
      <c r="H99" s="44">
        <f>IFERROR($G99/$C99,"")</f>
        <v/>
      </c>
      <c r="I99" s="41">
        <f>IF($G99&gt;=$C99,"cleared","missed")</f>
        <v/>
      </c>
      <c r="J99" s="44">
        <f>IFERROR($G99/$D99-1,"")</f>
        <v/>
      </c>
    </row>
    <row r="100">
      <c r="A100" s="41" t="inlineStr">
        <is>
          <t>Mike Ast</t>
        </is>
      </c>
      <c r="B100" s="41" t="inlineStr">
        <is>
          <t>Boston Beer Company</t>
        </is>
      </c>
      <c r="C100" s="46" t="n">
        <v>2600</v>
      </c>
      <c r="D100" s="33">
        <f>SUMIFS('Data - Season'!$E$5:$E$743,'Data - Season'!$A$5:$A$743,$A100,'Data - Season'!$C$5:$C$743,$B100,'Data - Season'!$B$5:$B$743,"Qualifier")</f>
        <v/>
      </c>
      <c r="E100" s="44">
        <f>IFERROR($C100/$D100-1,"")</f>
        <v/>
      </c>
      <c r="F100" s="47">
        <f>IF($C100&lt;$D100,"YES — below LY","no")</f>
        <v/>
      </c>
      <c r="G100" s="33">
        <f>SUMIFS('Data - Season'!$F$5:$F$743,'Data - Season'!$A$5:$A$743,$A100,'Data - Season'!$C$5:$C$743,$B100,'Data - Season'!$B$5:$B$743,"Qualifier")</f>
        <v/>
      </c>
      <c r="H100" s="44">
        <f>IFERROR($G100/$C100,"")</f>
        <v/>
      </c>
      <c r="I100" s="41">
        <f>IF($G100&gt;=$C100,"cleared","missed")</f>
        <v/>
      </c>
      <c r="J100" s="44">
        <f>IFERROR($G100/$D100-1,"")</f>
        <v/>
      </c>
    </row>
    <row r="101">
      <c r="A101" s="41" t="inlineStr">
        <is>
          <t>Mike Ast</t>
        </is>
      </c>
      <c r="B101" s="41" t="inlineStr">
        <is>
          <t>Constellation Brands</t>
        </is>
      </c>
      <c r="C101" s="46" t="n">
        <v>24427</v>
      </c>
      <c r="D101" s="33">
        <f>SUMIFS('Data - Season'!$E$5:$E$743,'Data - Season'!$A$5:$A$743,$A101,'Data - Season'!$C$5:$C$743,$B101,'Data - Season'!$B$5:$B$743,"Qualifier")</f>
        <v/>
      </c>
      <c r="E101" s="44">
        <f>IFERROR($C101/$D101-1,"")</f>
        <v/>
      </c>
      <c r="F101" s="47">
        <f>IF($C101&lt;$D101,"YES — below LY","no")</f>
        <v/>
      </c>
      <c r="G101" s="33">
        <f>SUMIFS('Data - Season'!$F$5:$F$743,'Data - Season'!$A$5:$A$743,$A101,'Data - Season'!$C$5:$C$743,$B101,'Data - Season'!$B$5:$B$743,"Qualifier")</f>
        <v/>
      </c>
      <c r="H101" s="44">
        <f>IFERROR($G101/$C101,"")</f>
        <v/>
      </c>
      <c r="I101" s="41">
        <f>IF($G101&gt;=$C101,"cleared","missed")</f>
        <v/>
      </c>
      <c r="J101" s="44">
        <f>IFERROR($G101/$D101-1,"")</f>
        <v/>
      </c>
    </row>
    <row r="102">
      <c r="A102" s="41" t="inlineStr">
        <is>
          <t>Mike Ast</t>
        </is>
      </c>
      <c r="B102" s="41" t="inlineStr">
        <is>
          <t>DG Yuengling Inc</t>
        </is>
      </c>
      <c r="C102" s="46" t="n">
        <v>3114</v>
      </c>
      <c r="D102" s="33">
        <f>SUMIFS('Data - Season'!$E$5:$E$743,'Data - Season'!$A$5:$A$743,$A102,'Data - Season'!$C$5:$C$743,$B102,'Data - Season'!$B$5:$B$743,"Qualifier")</f>
        <v/>
      </c>
      <c r="E102" s="44">
        <f>IFERROR($C102/$D102-1,"")</f>
        <v/>
      </c>
      <c r="F102" s="47">
        <f>IF($C102&lt;$D102,"YES — below LY","no")</f>
        <v/>
      </c>
      <c r="G102" s="33">
        <f>SUMIFS('Data - Season'!$F$5:$F$743,'Data - Season'!$A$5:$A$743,$A102,'Data - Season'!$C$5:$C$743,$B102,'Data - Season'!$B$5:$B$743,"Qualifier")</f>
        <v/>
      </c>
      <c r="H102" s="44">
        <f>IFERROR($G102/$C102,"")</f>
        <v/>
      </c>
      <c r="I102" s="41">
        <f>IF($G102&gt;=$C102,"cleared","missed")</f>
        <v/>
      </c>
      <c r="J102" s="44">
        <f>IFERROR($G102/$D102-1,"")</f>
        <v/>
      </c>
    </row>
    <row r="103">
      <c r="A103" s="41" t="inlineStr">
        <is>
          <t>Mike Ast</t>
        </is>
      </c>
      <c r="B103" s="41" t="inlineStr">
        <is>
          <t>Heineken USA</t>
        </is>
      </c>
      <c r="C103" s="46" t="n">
        <v>4695</v>
      </c>
      <c r="D103" s="33">
        <f>SUMIFS('Data - Season'!$E$5:$E$743,'Data - Season'!$A$5:$A$743,$A103,'Data - Season'!$C$5:$C$743,$B103,'Data - Season'!$B$5:$B$743,"Qualifier")</f>
        <v/>
      </c>
      <c r="E103" s="44">
        <f>IFERROR($C103/$D103-1,"")</f>
        <v/>
      </c>
      <c r="F103" s="47">
        <f>IF($C103&lt;$D103,"YES — below LY","no")</f>
        <v/>
      </c>
      <c r="G103" s="33">
        <f>SUMIFS('Data - Season'!$F$5:$F$743,'Data - Season'!$A$5:$A$743,$A103,'Data - Season'!$C$5:$C$743,$B103,'Data - Season'!$B$5:$B$743,"Qualifier")</f>
        <v/>
      </c>
      <c r="H103" s="44">
        <f>IFERROR($G103/$C103,"")</f>
        <v/>
      </c>
      <c r="I103" s="41">
        <f>IF($G103&gt;=$C103,"cleared","missed")</f>
        <v/>
      </c>
      <c r="J103" s="44">
        <f>IFERROR($G103/$D103-1,"")</f>
        <v/>
      </c>
    </row>
    <row r="104">
      <c r="A104" s="41" t="inlineStr">
        <is>
          <t>Mike Ast</t>
        </is>
      </c>
      <c r="B104" s="41" t="inlineStr">
        <is>
          <t>Mark Anthony</t>
        </is>
      </c>
      <c r="C104" s="46" t="n">
        <v>5657</v>
      </c>
      <c r="D104" s="33">
        <f>SUMIFS('Data - Season'!$E$5:$E$743,'Data - Season'!$A$5:$A$743,$A104,'Data - Season'!$C$5:$C$743,$B104,'Data - Season'!$B$5:$B$743,"Qualifier")</f>
        <v/>
      </c>
      <c r="E104" s="44">
        <f>IFERROR($C104/$D104-1,"")</f>
        <v/>
      </c>
      <c r="F104" s="47">
        <f>IF($C104&lt;$D104,"YES — below LY","no")</f>
        <v/>
      </c>
      <c r="G104" s="33">
        <f>SUMIFS('Data - Season'!$F$5:$F$743,'Data - Season'!$A$5:$A$743,$A104,'Data - Season'!$C$5:$C$743,$B104,'Data - Season'!$B$5:$B$743,"Qualifier")</f>
        <v/>
      </c>
      <c r="H104" s="44">
        <f>IFERROR($G104/$C104,"")</f>
        <v/>
      </c>
      <c r="I104" s="41">
        <f>IF($G104&gt;=$C104,"cleared","missed")</f>
        <v/>
      </c>
      <c r="J104" s="44">
        <f>IFERROR($G104/$D104-1,"")</f>
        <v/>
      </c>
    </row>
    <row r="105">
      <c r="A105" s="41" t="inlineStr">
        <is>
          <t>Mike Ast</t>
        </is>
      </c>
      <c r="B105" s="41" t="inlineStr">
        <is>
          <t>MolsonCoors Beverage Company</t>
        </is>
      </c>
      <c r="C105" s="46" t="n">
        <v>24960</v>
      </c>
      <c r="D105" s="33">
        <f>SUMIFS('Data - Season'!$E$5:$E$743,'Data - Season'!$A$5:$A$743,$A105,'Data - Season'!$C$5:$C$743,$B105,'Data - Season'!$B$5:$B$743,"Qualifier")</f>
        <v/>
      </c>
      <c r="E105" s="44">
        <f>IFERROR($C105/$D105-1,"")</f>
        <v/>
      </c>
      <c r="F105" s="47">
        <f>IF($C105&lt;$D105,"YES — below LY","no")</f>
        <v/>
      </c>
      <c r="G105" s="33">
        <f>SUMIFS('Data - Season'!$F$5:$F$743,'Data - Season'!$A$5:$A$743,$A105,'Data - Season'!$C$5:$C$743,$B105,'Data - Season'!$B$5:$B$743,"Qualifier")</f>
        <v/>
      </c>
      <c r="H105" s="44">
        <f>IFERROR($G105/$C105,"")</f>
        <v/>
      </c>
      <c r="I105" s="41">
        <f>IF($G105&gt;=$C105,"cleared","missed")</f>
        <v/>
      </c>
      <c r="J105" s="44">
        <f>IFERROR($G105/$D105-1,"")</f>
        <v/>
      </c>
    </row>
    <row r="106">
      <c r="A106" s="41" t="inlineStr">
        <is>
          <t>Nick Melissari</t>
        </is>
      </c>
      <c r="B106" s="41" t="inlineStr">
        <is>
          <t>Boston Beer Company</t>
        </is>
      </c>
      <c r="C106" s="46" t="n">
        <v>240</v>
      </c>
      <c r="D106" s="33">
        <f>SUMIFS('Data - Season'!$E$5:$E$743,'Data - Season'!$A$5:$A$743,$A106,'Data - Season'!$C$5:$C$743,$B106,'Data - Season'!$B$5:$B$743,"Qualifier")</f>
        <v/>
      </c>
      <c r="E106" s="44">
        <f>IFERROR($C106/$D106-1,"")</f>
        <v/>
      </c>
      <c r="F106" s="41">
        <f>IF($C106&lt;$D106,"YES — below LY","no")</f>
        <v/>
      </c>
      <c r="G106" s="33">
        <f>SUMIFS('Data - Season'!$F$5:$F$743,'Data - Season'!$A$5:$A$743,$A106,'Data - Season'!$C$5:$C$743,$B106,'Data - Season'!$B$5:$B$743,"Qualifier")</f>
        <v/>
      </c>
      <c r="H106" s="44">
        <f>IFERROR($G106/$C106,"")</f>
        <v/>
      </c>
      <c r="I106" s="41">
        <f>IF($G106&gt;=$C106,"cleared","missed")</f>
        <v/>
      </c>
      <c r="J106" s="44">
        <f>IFERROR($G106/$D106-1,"")</f>
        <v/>
      </c>
    </row>
    <row r="107">
      <c r="A107" s="41" t="inlineStr">
        <is>
          <t>Nick Melissari</t>
        </is>
      </c>
      <c r="B107" s="41" t="inlineStr">
        <is>
          <t>Constellation Brands</t>
        </is>
      </c>
      <c r="C107" s="46" t="n">
        <v>7671</v>
      </c>
      <c r="D107" s="33">
        <f>SUMIFS('Data - Season'!$E$5:$E$743,'Data - Season'!$A$5:$A$743,$A107,'Data - Season'!$C$5:$C$743,$B107,'Data - Season'!$B$5:$B$743,"Qualifier")</f>
        <v/>
      </c>
      <c r="E107" s="44">
        <f>IFERROR($C107/$D107-1,"")</f>
        <v/>
      </c>
      <c r="F107" s="41">
        <f>IF($C107&lt;$D107,"YES — below LY","no")</f>
        <v/>
      </c>
      <c r="G107" s="33">
        <f>SUMIFS('Data - Season'!$F$5:$F$743,'Data - Season'!$A$5:$A$743,$A107,'Data - Season'!$C$5:$C$743,$B107,'Data - Season'!$B$5:$B$743,"Qualifier")</f>
        <v/>
      </c>
      <c r="H107" s="44">
        <f>IFERROR($G107/$C107,"")</f>
        <v/>
      </c>
      <c r="I107" s="41">
        <f>IF($G107&gt;=$C107,"cleared","missed")</f>
        <v/>
      </c>
      <c r="J107" s="44">
        <f>IFERROR($G107/$D107-1,"")</f>
        <v/>
      </c>
    </row>
    <row r="108">
      <c r="A108" s="41" t="inlineStr">
        <is>
          <t>Nick Melissari</t>
        </is>
      </c>
      <c r="B108" s="41" t="inlineStr">
        <is>
          <t>DG Yuengling Inc</t>
        </is>
      </c>
      <c r="C108" s="46" t="n">
        <v>2613</v>
      </c>
      <c r="D108" s="33">
        <f>SUMIFS('Data - Season'!$E$5:$E$743,'Data - Season'!$A$5:$A$743,$A108,'Data - Season'!$C$5:$C$743,$B108,'Data - Season'!$B$5:$B$743,"Qualifier")</f>
        <v/>
      </c>
      <c r="E108" s="44">
        <f>IFERROR($C108/$D108-1,"")</f>
        <v/>
      </c>
      <c r="F108" s="41">
        <f>IF($C108&lt;$D108,"YES — below LY","no")</f>
        <v/>
      </c>
      <c r="G108" s="33">
        <f>SUMIFS('Data - Season'!$F$5:$F$743,'Data - Season'!$A$5:$A$743,$A108,'Data - Season'!$C$5:$C$743,$B108,'Data - Season'!$B$5:$B$743,"Qualifier")</f>
        <v/>
      </c>
      <c r="H108" s="44">
        <f>IFERROR($G108/$C108,"")</f>
        <v/>
      </c>
      <c r="I108" s="41">
        <f>IF($G108&gt;=$C108,"cleared","missed")</f>
        <v/>
      </c>
      <c r="J108" s="44">
        <f>IFERROR($G108/$D108-1,"")</f>
        <v/>
      </c>
    </row>
    <row r="109">
      <c r="A109" s="41" t="inlineStr">
        <is>
          <t>Nick Melissari</t>
        </is>
      </c>
      <c r="B109" s="41" t="inlineStr">
        <is>
          <t>Heineken USA</t>
        </is>
      </c>
      <c r="C109" s="46" t="n">
        <v>2344</v>
      </c>
      <c r="D109" s="33">
        <f>SUMIFS('Data - Season'!$E$5:$E$743,'Data - Season'!$A$5:$A$743,$A109,'Data - Season'!$C$5:$C$743,$B109,'Data - Season'!$B$5:$B$743,"Qualifier")</f>
        <v/>
      </c>
      <c r="E109" s="44">
        <f>IFERROR($C109/$D109-1,"")</f>
        <v/>
      </c>
      <c r="F109" s="47">
        <f>IF($C109&lt;$D109,"YES — below LY","no")</f>
        <v/>
      </c>
      <c r="G109" s="33">
        <f>SUMIFS('Data - Season'!$F$5:$F$743,'Data - Season'!$A$5:$A$743,$A109,'Data - Season'!$C$5:$C$743,$B109,'Data - Season'!$B$5:$B$743,"Qualifier")</f>
        <v/>
      </c>
      <c r="H109" s="44">
        <f>IFERROR($G109/$C109,"")</f>
        <v/>
      </c>
      <c r="I109" s="41">
        <f>IF($G109&gt;=$C109,"cleared","missed")</f>
        <v/>
      </c>
      <c r="J109" s="44">
        <f>IFERROR($G109/$D109-1,"")</f>
        <v/>
      </c>
    </row>
    <row r="110">
      <c r="A110" s="41" t="inlineStr">
        <is>
          <t>Nick Melissari</t>
        </is>
      </c>
      <c r="B110" s="41" t="inlineStr">
        <is>
          <t>Mark Anthony</t>
        </is>
      </c>
      <c r="C110" s="46" t="n">
        <v>598</v>
      </c>
      <c r="D110" s="33">
        <f>SUMIFS('Data - Season'!$E$5:$E$743,'Data - Season'!$A$5:$A$743,$A110,'Data - Season'!$C$5:$C$743,$B110,'Data - Season'!$B$5:$B$743,"Qualifier")</f>
        <v/>
      </c>
      <c r="E110" s="44">
        <f>IFERROR($C110/$D110-1,"")</f>
        <v/>
      </c>
      <c r="F110" s="47">
        <f>IF($C110&lt;$D110,"YES — below LY","no")</f>
        <v/>
      </c>
      <c r="G110" s="33">
        <f>SUMIFS('Data - Season'!$F$5:$F$743,'Data - Season'!$A$5:$A$743,$A110,'Data - Season'!$C$5:$C$743,$B110,'Data - Season'!$B$5:$B$743,"Qualifier")</f>
        <v/>
      </c>
      <c r="H110" s="44">
        <f>IFERROR($G110/$C110,"")</f>
        <v/>
      </c>
      <c r="I110" s="41">
        <f>IF($G110&gt;=$C110,"cleared","missed")</f>
        <v/>
      </c>
      <c r="J110" s="44">
        <f>IFERROR($G110/$D110-1,"")</f>
        <v/>
      </c>
    </row>
    <row r="111">
      <c r="A111" s="41" t="inlineStr">
        <is>
          <t>Nick Melissari</t>
        </is>
      </c>
      <c r="B111" s="41" t="inlineStr">
        <is>
          <t>MolsonCoors Beverage Company</t>
        </is>
      </c>
      <c r="C111" s="46" t="n">
        <v>13830</v>
      </c>
      <c r="D111" s="33">
        <f>SUMIFS('Data - Season'!$E$5:$E$743,'Data - Season'!$A$5:$A$743,$A111,'Data - Season'!$C$5:$C$743,$B111,'Data - Season'!$B$5:$B$743,"Qualifier")</f>
        <v/>
      </c>
      <c r="E111" s="44">
        <f>IFERROR($C111/$D111-1,"")</f>
        <v/>
      </c>
      <c r="F111" s="41">
        <f>IF($C111&lt;$D111,"YES — below LY","no")</f>
        <v/>
      </c>
      <c r="G111" s="33">
        <f>SUMIFS('Data - Season'!$F$5:$F$743,'Data - Season'!$A$5:$A$743,$A111,'Data - Season'!$C$5:$C$743,$B111,'Data - Season'!$B$5:$B$743,"Qualifier")</f>
        <v/>
      </c>
      <c r="H111" s="44">
        <f>IFERROR($G111/$C111,"")</f>
        <v/>
      </c>
      <c r="I111" s="41">
        <f>IF($G111&gt;=$C111,"cleared","missed")</f>
        <v/>
      </c>
      <c r="J111" s="44">
        <f>IFERROR($G111/$D111-1,"")</f>
        <v/>
      </c>
    </row>
    <row r="112">
      <c r="A112" s="41" t="inlineStr">
        <is>
          <t>Pablo Lopez</t>
        </is>
      </c>
      <c r="B112" s="41" t="inlineStr">
        <is>
          <t>Boston Beer Company</t>
        </is>
      </c>
      <c r="C112" s="46" t="n">
        <v>325</v>
      </c>
      <c r="D112" s="33">
        <f>SUMIFS('Data - Season'!$E$5:$E$743,'Data - Season'!$A$5:$A$743,$A112,'Data - Season'!$C$5:$C$743,$B112,'Data - Season'!$B$5:$B$743,"Qualifier")</f>
        <v/>
      </c>
      <c r="E112" s="44">
        <f>IFERROR($C112/$D112-1,"")</f>
        <v/>
      </c>
      <c r="F112" s="47">
        <f>IF($C112&lt;$D112,"YES — below LY","no")</f>
        <v/>
      </c>
      <c r="G112" s="33">
        <f>SUMIFS('Data - Season'!$F$5:$F$743,'Data - Season'!$A$5:$A$743,$A112,'Data - Season'!$C$5:$C$743,$B112,'Data - Season'!$B$5:$B$743,"Qualifier")</f>
        <v/>
      </c>
      <c r="H112" s="44">
        <f>IFERROR($G112/$C112,"")</f>
        <v/>
      </c>
      <c r="I112" s="41">
        <f>IF($G112&gt;=$C112,"cleared","missed")</f>
        <v/>
      </c>
      <c r="J112" s="44">
        <f>IFERROR($G112/$D112-1,"")</f>
        <v/>
      </c>
    </row>
    <row r="113">
      <c r="A113" s="41" t="inlineStr">
        <is>
          <t>Pablo Lopez</t>
        </is>
      </c>
      <c r="B113" s="41" t="inlineStr">
        <is>
          <t>Constellation Brands</t>
        </is>
      </c>
      <c r="C113" s="46" t="n">
        <v>50360</v>
      </c>
      <c r="D113" s="33">
        <f>SUMIFS('Data - Season'!$E$5:$E$743,'Data - Season'!$A$5:$A$743,$A113,'Data - Season'!$C$5:$C$743,$B113,'Data - Season'!$B$5:$B$743,"Qualifier")</f>
        <v/>
      </c>
      <c r="E113" s="44">
        <f>IFERROR($C113/$D113-1,"")</f>
        <v/>
      </c>
      <c r="F113" s="47">
        <f>IF($C113&lt;$D113,"YES — below LY","no")</f>
        <v/>
      </c>
      <c r="G113" s="33">
        <f>SUMIFS('Data - Season'!$F$5:$F$743,'Data - Season'!$A$5:$A$743,$A113,'Data - Season'!$C$5:$C$743,$B113,'Data - Season'!$B$5:$B$743,"Qualifier")</f>
        <v/>
      </c>
      <c r="H113" s="44">
        <f>IFERROR($G113/$C113,"")</f>
        <v/>
      </c>
      <c r="I113" s="41">
        <f>IF($G113&gt;=$C113,"cleared","missed")</f>
        <v/>
      </c>
      <c r="J113" s="44">
        <f>IFERROR($G113/$D113-1,"")</f>
        <v/>
      </c>
    </row>
    <row r="114">
      <c r="A114" s="41" t="inlineStr">
        <is>
          <t>Pablo Lopez</t>
        </is>
      </c>
      <c r="B114" s="41" t="inlineStr">
        <is>
          <t>DG Yuengling Inc</t>
        </is>
      </c>
      <c r="C114" s="46" t="n">
        <v>136</v>
      </c>
      <c r="D114" s="33">
        <f>SUMIFS('Data - Season'!$E$5:$E$743,'Data - Season'!$A$5:$A$743,$A114,'Data - Season'!$C$5:$C$743,$B114,'Data - Season'!$B$5:$B$743,"Qualifier")</f>
        <v/>
      </c>
      <c r="E114" s="44">
        <f>IFERROR($C114/$D114-1,"")</f>
        <v/>
      </c>
      <c r="F114" s="47">
        <f>IF($C114&lt;$D114,"YES — below LY","no")</f>
        <v/>
      </c>
      <c r="G114" s="33">
        <f>SUMIFS('Data - Season'!$F$5:$F$743,'Data - Season'!$A$5:$A$743,$A114,'Data - Season'!$C$5:$C$743,$B114,'Data - Season'!$B$5:$B$743,"Qualifier")</f>
        <v/>
      </c>
      <c r="H114" s="44">
        <f>IFERROR($G114/$C114,"")</f>
        <v/>
      </c>
      <c r="I114" s="41">
        <f>IF($G114&gt;=$C114,"cleared","missed")</f>
        <v/>
      </c>
      <c r="J114" s="44">
        <f>IFERROR($G114/$D114-1,"")</f>
        <v/>
      </c>
    </row>
    <row r="115">
      <c r="A115" s="41" t="inlineStr">
        <is>
          <t>Pablo Lopez</t>
        </is>
      </c>
      <c r="B115" s="41" t="inlineStr">
        <is>
          <t>Heineken USA</t>
        </is>
      </c>
      <c r="C115" s="46" t="n">
        <v>8209</v>
      </c>
      <c r="D115" s="33">
        <f>SUMIFS('Data - Season'!$E$5:$E$743,'Data - Season'!$A$5:$A$743,$A115,'Data - Season'!$C$5:$C$743,$B115,'Data - Season'!$B$5:$B$743,"Qualifier")</f>
        <v/>
      </c>
      <c r="E115" s="44">
        <f>IFERROR($C115/$D115-1,"")</f>
        <v/>
      </c>
      <c r="F115" s="47">
        <f>IF($C115&lt;$D115,"YES — below LY","no")</f>
        <v/>
      </c>
      <c r="G115" s="33">
        <f>SUMIFS('Data - Season'!$F$5:$F$743,'Data - Season'!$A$5:$A$743,$A115,'Data - Season'!$C$5:$C$743,$B115,'Data - Season'!$B$5:$B$743,"Qualifier")</f>
        <v/>
      </c>
      <c r="H115" s="44">
        <f>IFERROR($G115/$C115,"")</f>
        <v/>
      </c>
      <c r="I115" s="41">
        <f>IF($G115&gt;=$C115,"cleared","missed")</f>
        <v/>
      </c>
      <c r="J115" s="44">
        <f>IFERROR($G115/$D115-1,"")</f>
        <v/>
      </c>
    </row>
    <row r="116">
      <c r="A116" s="41" t="inlineStr">
        <is>
          <t>Pablo Lopez</t>
        </is>
      </c>
      <c r="B116" s="41" t="inlineStr">
        <is>
          <t>Mark Anthony</t>
        </is>
      </c>
      <c r="C116" s="46" t="n">
        <v>806</v>
      </c>
      <c r="D116" s="33">
        <f>SUMIFS('Data - Season'!$E$5:$E$743,'Data - Season'!$A$5:$A$743,$A116,'Data - Season'!$C$5:$C$743,$B116,'Data - Season'!$B$5:$B$743,"Qualifier")</f>
        <v/>
      </c>
      <c r="E116" s="44">
        <f>IFERROR($C116/$D116-1,"")</f>
        <v/>
      </c>
      <c r="F116" s="47">
        <f>IF($C116&lt;$D116,"YES — below LY","no")</f>
        <v/>
      </c>
      <c r="G116" s="33">
        <f>SUMIFS('Data - Season'!$F$5:$F$743,'Data - Season'!$A$5:$A$743,$A116,'Data - Season'!$C$5:$C$743,$B116,'Data - Season'!$B$5:$B$743,"Qualifier")</f>
        <v/>
      </c>
      <c r="H116" s="44">
        <f>IFERROR($G116/$C116,"")</f>
        <v/>
      </c>
      <c r="I116" s="41">
        <f>IF($G116&gt;=$C116,"cleared","missed")</f>
        <v/>
      </c>
      <c r="J116" s="44">
        <f>IFERROR($G116/$D116-1,"")</f>
        <v/>
      </c>
    </row>
    <row r="117">
      <c r="A117" s="41" t="inlineStr">
        <is>
          <t>Pablo Lopez</t>
        </is>
      </c>
      <c r="B117" s="41" t="inlineStr">
        <is>
          <t>MolsonCoors Beverage Company</t>
        </is>
      </c>
      <c r="C117" s="46" t="n">
        <v>13022</v>
      </c>
      <c r="D117" s="33">
        <f>SUMIFS('Data - Season'!$E$5:$E$743,'Data - Season'!$A$5:$A$743,$A117,'Data - Season'!$C$5:$C$743,$B117,'Data - Season'!$B$5:$B$743,"Qualifier")</f>
        <v/>
      </c>
      <c r="E117" s="44">
        <f>IFERROR($C117/$D117-1,"")</f>
        <v/>
      </c>
      <c r="F117" s="47">
        <f>IF($C117&lt;$D117,"YES — below LY","no")</f>
        <v/>
      </c>
      <c r="G117" s="33">
        <f>SUMIFS('Data - Season'!$F$5:$F$743,'Data - Season'!$A$5:$A$743,$A117,'Data - Season'!$C$5:$C$743,$B117,'Data - Season'!$B$5:$B$743,"Qualifier")</f>
        <v/>
      </c>
      <c r="H117" s="44">
        <f>IFERROR($G117/$C117,"")</f>
        <v/>
      </c>
      <c r="I117" s="41">
        <f>IF($G117&gt;=$C117,"cleared","missed")</f>
        <v/>
      </c>
      <c r="J117" s="44">
        <f>IFERROR($G117/$D117-1,"")</f>
        <v/>
      </c>
    </row>
    <row r="118">
      <c r="A118" s="41" t="inlineStr">
        <is>
          <t>Paul Mclaughlin</t>
        </is>
      </c>
      <c r="B118" s="41" t="inlineStr">
        <is>
          <t>Boston Beer Company</t>
        </is>
      </c>
      <c r="C118" s="46" t="n">
        <v>125</v>
      </c>
      <c r="D118" s="33">
        <f>SUMIFS('Data - Season'!$E$5:$E$743,'Data - Season'!$A$5:$A$743,$A118,'Data - Season'!$C$5:$C$743,$B118,'Data - Season'!$B$5:$B$743,"Qualifier")</f>
        <v/>
      </c>
      <c r="E118" s="44">
        <f>IFERROR($C118/$D118-1,"")</f>
        <v/>
      </c>
      <c r="F118" s="47">
        <f>IF($C118&lt;$D118,"YES — below LY","no")</f>
        <v/>
      </c>
      <c r="G118" s="33">
        <f>SUMIFS('Data - Season'!$F$5:$F$743,'Data - Season'!$A$5:$A$743,$A118,'Data - Season'!$C$5:$C$743,$B118,'Data - Season'!$B$5:$B$743,"Qualifier")</f>
        <v/>
      </c>
      <c r="H118" s="44">
        <f>IFERROR($G118/$C118,"")</f>
        <v/>
      </c>
      <c r="I118" s="41">
        <f>IF($G118&gt;=$C118,"cleared","missed")</f>
        <v/>
      </c>
      <c r="J118" s="44">
        <f>IFERROR($G118/$D118-1,"")</f>
        <v/>
      </c>
    </row>
    <row r="119">
      <c r="A119" s="41" t="inlineStr">
        <is>
          <t>Paul Mclaughlin</t>
        </is>
      </c>
      <c r="B119" s="41" t="inlineStr">
        <is>
          <t>Constellation Brands</t>
        </is>
      </c>
      <c r="C119" s="46" t="n">
        <v>5925</v>
      </c>
      <c r="D119" s="33">
        <f>SUMIFS('Data - Season'!$E$5:$E$743,'Data - Season'!$A$5:$A$743,$A119,'Data - Season'!$C$5:$C$743,$B119,'Data - Season'!$B$5:$B$743,"Qualifier")</f>
        <v/>
      </c>
      <c r="E119" s="44">
        <f>IFERROR($C119/$D119-1,"")</f>
        <v/>
      </c>
      <c r="F119" s="47">
        <f>IF($C119&lt;$D119,"YES — below LY","no")</f>
        <v/>
      </c>
      <c r="G119" s="33">
        <f>SUMIFS('Data - Season'!$F$5:$F$743,'Data - Season'!$A$5:$A$743,$A119,'Data - Season'!$C$5:$C$743,$B119,'Data - Season'!$B$5:$B$743,"Qualifier")</f>
        <v/>
      </c>
      <c r="H119" s="44">
        <f>IFERROR($G119/$C119,"")</f>
        <v/>
      </c>
      <c r="I119" s="41">
        <f>IF($G119&gt;=$C119,"cleared","missed")</f>
        <v/>
      </c>
      <c r="J119" s="44">
        <f>IFERROR($G119/$D119-1,"")</f>
        <v/>
      </c>
    </row>
    <row r="120">
      <c r="A120" s="41" t="inlineStr">
        <is>
          <t>Paul Mclaughlin</t>
        </is>
      </c>
      <c r="B120" s="41" t="inlineStr">
        <is>
          <t>DG Yuengling Inc</t>
        </is>
      </c>
      <c r="C120" s="46" t="n">
        <v>1584</v>
      </c>
      <c r="D120" s="33">
        <f>SUMIFS('Data - Season'!$E$5:$E$743,'Data - Season'!$A$5:$A$743,$A120,'Data - Season'!$C$5:$C$743,$B120,'Data - Season'!$B$5:$B$743,"Qualifier")</f>
        <v/>
      </c>
      <c r="E120" s="44">
        <f>IFERROR($C120/$D120-1,"")</f>
        <v/>
      </c>
      <c r="F120" s="47">
        <f>IF($C120&lt;$D120,"YES — below LY","no")</f>
        <v/>
      </c>
      <c r="G120" s="33">
        <f>SUMIFS('Data - Season'!$F$5:$F$743,'Data - Season'!$A$5:$A$743,$A120,'Data - Season'!$C$5:$C$743,$B120,'Data - Season'!$B$5:$B$743,"Qualifier")</f>
        <v/>
      </c>
      <c r="H120" s="44">
        <f>IFERROR($G120/$C120,"")</f>
        <v/>
      </c>
      <c r="I120" s="41">
        <f>IF($G120&gt;=$C120,"cleared","missed")</f>
        <v/>
      </c>
      <c r="J120" s="44">
        <f>IFERROR($G120/$D120-1,"")</f>
        <v/>
      </c>
    </row>
    <row r="121">
      <c r="A121" s="41" t="inlineStr">
        <is>
          <t>Paul Mclaughlin</t>
        </is>
      </c>
      <c r="B121" s="41" t="inlineStr">
        <is>
          <t>Heineken USA</t>
        </is>
      </c>
      <c r="C121" s="46" t="n">
        <v>1498</v>
      </c>
      <c r="D121" s="33">
        <f>SUMIFS('Data - Season'!$E$5:$E$743,'Data - Season'!$A$5:$A$743,$A121,'Data - Season'!$C$5:$C$743,$B121,'Data - Season'!$B$5:$B$743,"Qualifier")</f>
        <v/>
      </c>
      <c r="E121" s="44">
        <f>IFERROR($C121/$D121-1,"")</f>
        <v/>
      </c>
      <c r="F121" s="47">
        <f>IF($C121&lt;$D121,"YES — below LY","no")</f>
        <v/>
      </c>
      <c r="G121" s="33">
        <f>SUMIFS('Data - Season'!$F$5:$F$743,'Data - Season'!$A$5:$A$743,$A121,'Data - Season'!$C$5:$C$743,$B121,'Data - Season'!$B$5:$B$743,"Qualifier")</f>
        <v/>
      </c>
      <c r="H121" s="44">
        <f>IFERROR($G121/$C121,"")</f>
        <v/>
      </c>
      <c r="I121" s="41">
        <f>IF($G121&gt;=$C121,"cleared","missed")</f>
        <v/>
      </c>
      <c r="J121" s="44">
        <f>IFERROR($G121/$D121-1,"")</f>
        <v/>
      </c>
    </row>
    <row r="122">
      <c r="A122" s="41" t="inlineStr">
        <is>
          <t>Paul Mclaughlin</t>
        </is>
      </c>
      <c r="B122" s="41" t="inlineStr">
        <is>
          <t>Mark Anthony</t>
        </is>
      </c>
      <c r="C122" s="46" t="n">
        <v>387</v>
      </c>
      <c r="D122" s="33">
        <f>SUMIFS('Data - Season'!$E$5:$E$743,'Data - Season'!$A$5:$A$743,$A122,'Data - Season'!$C$5:$C$743,$B122,'Data - Season'!$B$5:$B$743,"Qualifier")</f>
        <v/>
      </c>
      <c r="E122" s="44">
        <f>IFERROR($C122/$D122-1,"")</f>
        <v/>
      </c>
      <c r="F122" s="47">
        <f>IF($C122&lt;$D122,"YES — below LY","no")</f>
        <v/>
      </c>
      <c r="G122" s="33">
        <f>SUMIFS('Data - Season'!$F$5:$F$743,'Data - Season'!$A$5:$A$743,$A122,'Data - Season'!$C$5:$C$743,$B122,'Data - Season'!$B$5:$B$743,"Qualifier")</f>
        <v/>
      </c>
      <c r="H122" s="44">
        <f>IFERROR($G122/$C122,"")</f>
        <v/>
      </c>
      <c r="I122" s="41">
        <f>IF($G122&gt;=$C122,"cleared","missed")</f>
        <v/>
      </c>
      <c r="J122" s="44">
        <f>IFERROR($G122/$D122-1,"")</f>
        <v/>
      </c>
    </row>
    <row r="123">
      <c r="A123" s="41" t="inlineStr">
        <is>
          <t>Paul Mclaughlin</t>
        </is>
      </c>
      <c r="B123" s="41" t="inlineStr">
        <is>
          <t>MolsonCoors Beverage Company</t>
        </is>
      </c>
      <c r="C123" s="46" t="n">
        <v>7860</v>
      </c>
      <c r="D123" s="33">
        <f>SUMIFS('Data - Season'!$E$5:$E$743,'Data - Season'!$A$5:$A$743,$A123,'Data - Season'!$C$5:$C$743,$B123,'Data - Season'!$B$5:$B$743,"Qualifier")</f>
        <v/>
      </c>
      <c r="E123" s="44">
        <f>IFERROR($C123/$D123-1,"")</f>
        <v/>
      </c>
      <c r="F123" s="47">
        <f>IF($C123&lt;$D123,"YES — below LY","no")</f>
        <v/>
      </c>
      <c r="G123" s="33">
        <f>SUMIFS('Data - Season'!$F$5:$F$743,'Data - Season'!$A$5:$A$743,$A123,'Data - Season'!$C$5:$C$743,$B123,'Data - Season'!$B$5:$B$743,"Qualifier")</f>
        <v/>
      </c>
      <c r="H123" s="44">
        <f>IFERROR($G123/$C123,"")</f>
        <v/>
      </c>
      <c r="I123" s="41">
        <f>IF($G123&gt;=$C123,"cleared","missed")</f>
        <v/>
      </c>
      <c r="J123" s="44">
        <f>IFERROR($G123/$D123-1,"")</f>
        <v/>
      </c>
    </row>
    <row r="124">
      <c r="A124" s="41" t="inlineStr">
        <is>
          <t>Phil Ernst</t>
        </is>
      </c>
      <c r="B124" s="41" t="inlineStr">
        <is>
          <t>Boston Beer Company</t>
        </is>
      </c>
      <c r="C124" s="46" t="n">
        <v>3300</v>
      </c>
      <c r="D124" s="33">
        <f>SUMIFS('Data - Season'!$E$5:$E$743,'Data - Season'!$A$5:$A$743,$A124,'Data - Season'!$C$5:$C$743,$B124,'Data - Season'!$B$5:$B$743,"Qualifier")</f>
        <v/>
      </c>
      <c r="E124" s="44">
        <f>IFERROR($C124/$D124-1,"")</f>
        <v/>
      </c>
      <c r="F124" s="47">
        <f>IF($C124&lt;$D124,"YES — below LY","no")</f>
        <v/>
      </c>
      <c r="G124" s="33">
        <f>SUMIFS('Data - Season'!$F$5:$F$743,'Data - Season'!$A$5:$A$743,$A124,'Data - Season'!$C$5:$C$743,$B124,'Data - Season'!$B$5:$B$743,"Qualifier")</f>
        <v/>
      </c>
      <c r="H124" s="44">
        <f>IFERROR($G124/$C124,"")</f>
        <v/>
      </c>
      <c r="I124" s="41">
        <f>IF($G124&gt;=$C124,"cleared","missed")</f>
        <v/>
      </c>
      <c r="J124" s="44">
        <f>IFERROR($G124/$D124-1,"")</f>
        <v/>
      </c>
    </row>
    <row r="125">
      <c r="A125" s="41" t="inlineStr">
        <is>
          <t>Phil Ernst</t>
        </is>
      </c>
      <c r="B125" s="41" t="inlineStr">
        <is>
          <t>Constellation Brands</t>
        </is>
      </c>
      <c r="C125" s="46" t="n">
        <v>37769</v>
      </c>
      <c r="D125" s="33">
        <f>SUMIFS('Data - Season'!$E$5:$E$743,'Data - Season'!$A$5:$A$743,$A125,'Data - Season'!$C$5:$C$743,$B125,'Data - Season'!$B$5:$B$743,"Qualifier")</f>
        <v/>
      </c>
      <c r="E125" s="44">
        <f>IFERROR($C125/$D125-1,"")</f>
        <v/>
      </c>
      <c r="F125" s="47">
        <f>IF($C125&lt;$D125,"YES — below LY","no")</f>
        <v/>
      </c>
      <c r="G125" s="33">
        <f>SUMIFS('Data - Season'!$F$5:$F$743,'Data - Season'!$A$5:$A$743,$A125,'Data - Season'!$C$5:$C$743,$B125,'Data - Season'!$B$5:$B$743,"Qualifier")</f>
        <v/>
      </c>
      <c r="H125" s="44">
        <f>IFERROR($G125/$C125,"")</f>
        <v/>
      </c>
      <c r="I125" s="41">
        <f>IF($G125&gt;=$C125,"cleared","missed")</f>
        <v/>
      </c>
      <c r="J125" s="44">
        <f>IFERROR($G125/$D125-1,"")</f>
        <v/>
      </c>
    </row>
    <row r="126">
      <c r="A126" s="41" t="inlineStr">
        <is>
          <t>Phil Ernst</t>
        </is>
      </c>
      <c r="B126" s="41" t="inlineStr">
        <is>
          <t>DG Yuengling Inc</t>
        </is>
      </c>
      <c r="C126" s="46" t="n">
        <v>2688</v>
      </c>
      <c r="D126" s="33">
        <f>SUMIFS('Data - Season'!$E$5:$E$743,'Data - Season'!$A$5:$A$743,$A126,'Data - Season'!$C$5:$C$743,$B126,'Data - Season'!$B$5:$B$743,"Qualifier")</f>
        <v/>
      </c>
      <c r="E126" s="44">
        <f>IFERROR($C126/$D126-1,"")</f>
        <v/>
      </c>
      <c r="F126" s="47">
        <f>IF($C126&lt;$D126,"YES — below LY","no")</f>
        <v/>
      </c>
      <c r="G126" s="33">
        <f>SUMIFS('Data - Season'!$F$5:$F$743,'Data - Season'!$A$5:$A$743,$A126,'Data - Season'!$C$5:$C$743,$B126,'Data - Season'!$B$5:$B$743,"Qualifier")</f>
        <v/>
      </c>
      <c r="H126" s="44">
        <f>IFERROR($G126/$C126,"")</f>
        <v/>
      </c>
      <c r="I126" s="41">
        <f>IF($G126&gt;=$C126,"cleared","missed")</f>
        <v/>
      </c>
      <c r="J126" s="44">
        <f>IFERROR($G126/$D126-1,"")</f>
        <v/>
      </c>
    </row>
    <row r="127">
      <c r="A127" s="41" t="inlineStr">
        <is>
          <t>Phil Ernst</t>
        </is>
      </c>
      <c r="B127" s="41" t="inlineStr">
        <is>
          <t>Heineken USA</t>
        </is>
      </c>
      <c r="C127" s="46" t="n">
        <v>8698</v>
      </c>
      <c r="D127" s="33">
        <f>SUMIFS('Data - Season'!$E$5:$E$743,'Data - Season'!$A$5:$A$743,$A127,'Data - Season'!$C$5:$C$743,$B127,'Data - Season'!$B$5:$B$743,"Qualifier")</f>
        <v/>
      </c>
      <c r="E127" s="44">
        <f>IFERROR($C127/$D127-1,"")</f>
        <v/>
      </c>
      <c r="F127" s="47">
        <f>IF($C127&lt;$D127,"YES — below LY","no")</f>
        <v/>
      </c>
      <c r="G127" s="33">
        <f>SUMIFS('Data - Season'!$F$5:$F$743,'Data - Season'!$A$5:$A$743,$A127,'Data - Season'!$C$5:$C$743,$B127,'Data - Season'!$B$5:$B$743,"Qualifier")</f>
        <v/>
      </c>
      <c r="H127" s="44">
        <f>IFERROR($G127/$C127,"")</f>
        <v/>
      </c>
      <c r="I127" s="41">
        <f>IF($G127&gt;=$C127,"cleared","missed")</f>
        <v/>
      </c>
      <c r="J127" s="44">
        <f>IFERROR($G127/$D127-1,"")</f>
        <v/>
      </c>
    </row>
    <row r="128">
      <c r="A128" s="41" t="inlineStr">
        <is>
          <t>Phil Ernst</t>
        </is>
      </c>
      <c r="B128" s="41" t="inlineStr">
        <is>
          <t>Mark Anthony</t>
        </is>
      </c>
      <c r="C128" s="46" t="n">
        <v>5415</v>
      </c>
      <c r="D128" s="33">
        <f>SUMIFS('Data - Season'!$E$5:$E$743,'Data - Season'!$A$5:$A$743,$A128,'Data - Season'!$C$5:$C$743,$B128,'Data - Season'!$B$5:$B$743,"Qualifier")</f>
        <v/>
      </c>
      <c r="E128" s="44">
        <f>IFERROR($C128/$D128-1,"")</f>
        <v/>
      </c>
      <c r="F128" s="47">
        <f>IF($C128&lt;$D128,"YES — below LY","no")</f>
        <v/>
      </c>
      <c r="G128" s="33">
        <f>SUMIFS('Data - Season'!$F$5:$F$743,'Data - Season'!$A$5:$A$743,$A128,'Data - Season'!$C$5:$C$743,$B128,'Data - Season'!$B$5:$B$743,"Qualifier")</f>
        <v/>
      </c>
      <c r="H128" s="44">
        <f>IFERROR($G128/$C128,"")</f>
        <v/>
      </c>
      <c r="I128" s="41">
        <f>IF($G128&gt;=$C128,"cleared","missed")</f>
        <v/>
      </c>
      <c r="J128" s="44">
        <f>IFERROR($G128/$D128-1,"")</f>
        <v/>
      </c>
    </row>
    <row r="129">
      <c r="A129" s="41" t="inlineStr">
        <is>
          <t>Phil Ernst</t>
        </is>
      </c>
      <c r="B129" s="41" t="inlineStr">
        <is>
          <t>MolsonCoors Beverage Company</t>
        </is>
      </c>
      <c r="C129" s="46" t="n">
        <v>26254</v>
      </c>
      <c r="D129" s="33">
        <f>SUMIFS('Data - Season'!$E$5:$E$743,'Data - Season'!$A$5:$A$743,$A129,'Data - Season'!$C$5:$C$743,$B129,'Data - Season'!$B$5:$B$743,"Qualifier")</f>
        <v/>
      </c>
      <c r="E129" s="44">
        <f>IFERROR($C129/$D129-1,"")</f>
        <v/>
      </c>
      <c r="F129" s="47">
        <f>IF($C129&lt;$D129,"YES — below LY","no")</f>
        <v/>
      </c>
      <c r="G129" s="33">
        <f>SUMIFS('Data - Season'!$F$5:$F$743,'Data - Season'!$A$5:$A$743,$A129,'Data - Season'!$C$5:$C$743,$B129,'Data - Season'!$B$5:$B$743,"Qualifier")</f>
        <v/>
      </c>
      <c r="H129" s="44">
        <f>IFERROR($G129/$C129,"")</f>
        <v/>
      </c>
      <c r="I129" s="41">
        <f>IF($G129&gt;=$C129,"cleared","missed")</f>
        <v/>
      </c>
      <c r="J129" s="44">
        <f>IFERROR($G129/$D129-1,"")</f>
        <v/>
      </c>
    </row>
    <row r="130">
      <c r="A130" s="41" t="inlineStr">
        <is>
          <t>Robin Feldman</t>
        </is>
      </c>
      <c r="B130" s="41" t="inlineStr">
        <is>
          <t>Boston Beer Company</t>
        </is>
      </c>
      <c r="C130" s="46" t="n">
        <v>155</v>
      </c>
      <c r="D130" s="33">
        <f>SUMIFS('Data - Season'!$E$5:$E$743,'Data - Season'!$A$5:$A$743,$A130,'Data - Season'!$C$5:$C$743,$B130,'Data - Season'!$B$5:$B$743,"Qualifier")</f>
        <v/>
      </c>
      <c r="E130" s="44">
        <f>IFERROR($C130/$D130-1,"")</f>
        <v/>
      </c>
      <c r="F130" s="47">
        <f>IF($C130&lt;$D130,"YES — below LY","no")</f>
        <v/>
      </c>
      <c r="G130" s="33">
        <f>SUMIFS('Data - Season'!$F$5:$F$743,'Data - Season'!$A$5:$A$743,$A130,'Data - Season'!$C$5:$C$743,$B130,'Data - Season'!$B$5:$B$743,"Qualifier")</f>
        <v/>
      </c>
      <c r="H130" s="44">
        <f>IFERROR($G130/$C130,"")</f>
        <v/>
      </c>
      <c r="I130" s="41">
        <f>IF($G130&gt;=$C130,"cleared","missed")</f>
        <v/>
      </c>
      <c r="J130" s="44">
        <f>IFERROR($G130/$D130-1,"")</f>
        <v/>
      </c>
    </row>
    <row r="131">
      <c r="A131" s="41" t="inlineStr">
        <is>
          <t>Robin Feldman</t>
        </is>
      </c>
      <c r="B131" s="41" t="inlineStr">
        <is>
          <t>Constellation Brands</t>
        </is>
      </c>
      <c r="C131" s="46" t="n">
        <v>2022</v>
      </c>
      <c r="D131" s="33">
        <f>SUMIFS('Data - Season'!$E$5:$E$743,'Data - Season'!$A$5:$A$743,$A131,'Data - Season'!$C$5:$C$743,$B131,'Data - Season'!$B$5:$B$743,"Qualifier")</f>
        <v/>
      </c>
      <c r="E131" s="44">
        <f>IFERROR($C131/$D131-1,"")</f>
        <v/>
      </c>
      <c r="F131" s="47">
        <f>IF($C131&lt;$D131,"YES — below LY","no")</f>
        <v/>
      </c>
      <c r="G131" s="33">
        <f>SUMIFS('Data - Season'!$F$5:$F$743,'Data - Season'!$A$5:$A$743,$A131,'Data - Season'!$C$5:$C$743,$B131,'Data - Season'!$B$5:$B$743,"Qualifier")</f>
        <v/>
      </c>
      <c r="H131" s="44">
        <f>IFERROR($G131/$C131,"")</f>
        <v/>
      </c>
      <c r="I131" s="41">
        <f>IF($G131&gt;=$C131,"cleared","missed")</f>
        <v/>
      </c>
      <c r="J131" s="44">
        <f>IFERROR($G131/$D131-1,"")</f>
        <v/>
      </c>
    </row>
    <row r="132">
      <c r="A132" s="41" t="inlineStr">
        <is>
          <t>Robin Feldman</t>
        </is>
      </c>
      <c r="B132" s="41" t="inlineStr">
        <is>
          <t>DG Yuengling Inc</t>
        </is>
      </c>
      <c r="C132" s="46" t="n">
        <v>1069</v>
      </c>
      <c r="D132" s="33">
        <f>SUMIFS('Data - Season'!$E$5:$E$743,'Data - Season'!$A$5:$A$743,$A132,'Data - Season'!$C$5:$C$743,$B132,'Data - Season'!$B$5:$B$743,"Qualifier")</f>
        <v/>
      </c>
      <c r="E132" s="44">
        <f>IFERROR($C132/$D132-1,"")</f>
        <v/>
      </c>
      <c r="F132" s="47">
        <f>IF($C132&lt;$D132,"YES — below LY","no")</f>
        <v/>
      </c>
      <c r="G132" s="33">
        <f>SUMIFS('Data - Season'!$F$5:$F$743,'Data - Season'!$A$5:$A$743,$A132,'Data - Season'!$C$5:$C$743,$B132,'Data - Season'!$B$5:$B$743,"Qualifier")</f>
        <v/>
      </c>
      <c r="H132" s="44">
        <f>IFERROR($G132/$C132,"")</f>
        <v/>
      </c>
      <c r="I132" s="41">
        <f>IF($G132&gt;=$C132,"cleared","missed")</f>
        <v/>
      </c>
      <c r="J132" s="44">
        <f>IFERROR($G132/$D132-1,"")</f>
        <v/>
      </c>
    </row>
    <row r="133">
      <c r="A133" s="41" t="inlineStr">
        <is>
          <t>Robin Feldman</t>
        </is>
      </c>
      <c r="B133" s="41" t="inlineStr">
        <is>
          <t>Heineken USA</t>
        </is>
      </c>
      <c r="C133" s="46" t="n">
        <v>571</v>
      </c>
      <c r="D133" s="33">
        <f>SUMIFS('Data - Season'!$E$5:$E$743,'Data - Season'!$A$5:$A$743,$A133,'Data - Season'!$C$5:$C$743,$B133,'Data - Season'!$B$5:$B$743,"Qualifier")</f>
        <v/>
      </c>
      <c r="E133" s="44">
        <f>IFERROR($C133/$D133-1,"")</f>
        <v/>
      </c>
      <c r="F133" s="47">
        <f>IF($C133&lt;$D133,"YES — below LY","no")</f>
        <v/>
      </c>
      <c r="G133" s="33">
        <f>SUMIFS('Data - Season'!$F$5:$F$743,'Data - Season'!$A$5:$A$743,$A133,'Data - Season'!$C$5:$C$743,$B133,'Data - Season'!$B$5:$B$743,"Qualifier")</f>
        <v/>
      </c>
      <c r="H133" s="44">
        <f>IFERROR($G133/$C133,"")</f>
        <v/>
      </c>
      <c r="I133" s="41">
        <f>IF($G133&gt;=$C133,"cleared","missed")</f>
        <v/>
      </c>
      <c r="J133" s="44">
        <f>IFERROR($G133/$D133-1,"")</f>
        <v/>
      </c>
    </row>
    <row r="134">
      <c r="A134" s="41" t="inlineStr">
        <is>
          <t>Robin Feldman</t>
        </is>
      </c>
      <c r="B134" s="41" t="inlineStr">
        <is>
          <t>Mark Anthony</t>
        </is>
      </c>
      <c r="C134" s="46" t="n">
        <v>377</v>
      </c>
      <c r="D134" s="33">
        <f>SUMIFS('Data - Season'!$E$5:$E$743,'Data - Season'!$A$5:$A$743,$A134,'Data - Season'!$C$5:$C$743,$B134,'Data - Season'!$B$5:$B$743,"Qualifier")</f>
        <v/>
      </c>
      <c r="E134" s="44">
        <f>IFERROR($C134/$D134-1,"")</f>
        <v/>
      </c>
      <c r="F134" s="47">
        <f>IF($C134&lt;$D134,"YES — below LY","no")</f>
        <v/>
      </c>
      <c r="G134" s="33">
        <f>SUMIFS('Data - Season'!$F$5:$F$743,'Data - Season'!$A$5:$A$743,$A134,'Data - Season'!$C$5:$C$743,$B134,'Data - Season'!$B$5:$B$743,"Qualifier")</f>
        <v/>
      </c>
      <c r="H134" s="44">
        <f>IFERROR($G134/$C134,"")</f>
        <v/>
      </c>
      <c r="I134" s="41">
        <f>IF($G134&gt;=$C134,"cleared","missed")</f>
        <v/>
      </c>
      <c r="J134" s="44">
        <f>IFERROR($G134/$D134-1,"")</f>
        <v/>
      </c>
    </row>
    <row r="135">
      <c r="A135" s="41" t="inlineStr">
        <is>
          <t>Robin Feldman</t>
        </is>
      </c>
      <c r="B135" s="41" t="inlineStr">
        <is>
          <t>MolsonCoors Beverage Company</t>
        </is>
      </c>
      <c r="C135" s="46" t="n">
        <v>6203</v>
      </c>
      <c r="D135" s="33">
        <f>SUMIFS('Data - Season'!$E$5:$E$743,'Data - Season'!$A$5:$A$743,$A135,'Data - Season'!$C$5:$C$743,$B135,'Data - Season'!$B$5:$B$743,"Qualifier")</f>
        <v/>
      </c>
      <c r="E135" s="44">
        <f>IFERROR($C135/$D135-1,"")</f>
        <v/>
      </c>
      <c r="F135" s="47">
        <f>IF($C135&lt;$D135,"YES — below LY","no")</f>
        <v/>
      </c>
      <c r="G135" s="33">
        <f>SUMIFS('Data - Season'!$F$5:$F$743,'Data - Season'!$A$5:$A$743,$A135,'Data - Season'!$C$5:$C$743,$B135,'Data - Season'!$B$5:$B$743,"Qualifier")</f>
        <v/>
      </c>
      <c r="H135" s="44">
        <f>IFERROR($G135/$C135,"")</f>
        <v/>
      </c>
      <c r="I135" s="41">
        <f>IF($G135&gt;=$C135,"cleared","missed")</f>
        <v/>
      </c>
      <c r="J135" s="44">
        <f>IFERROR($G135/$D135-1,"")</f>
        <v/>
      </c>
    </row>
    <row r="136">
      <c r="A136" s="41" t="inlineStr">
        <is>
          <t>Shane Barreca</t>
        </is>
      </c>
      <c r="B136" s="41" t="inlineStr">
        <is>
          <t>Boston Beer Company</t>
        </is>
      </c>
      <c r="C136" s="46" t="n">
        <v>3600</v>
      </c>
      <c r="D136" s="33">
        <f>SUMIFS('Data - Season'!$E$5:$E$743,'Data - Season'!$A$5:$A$743,$A136,'Data - Season'!$C$5:$C$743,$B136,'Data - Season'!$B$5:$B$743,"Qualifier")</f>
        <v/>
      </c>
      <c r="E136" s="44">
        <f>IFERROR($C136/$D136-1,"")</f>
        <v/>
      </c>
      <c r="F136" s="47">
        <f>IF($C136&lt;$D136,"YES — below LY","no")</f>
        <v/>
      </c>
      <c r="G136" s="33">
        <f>SUMIFS('Data - Season'!$F$5:$F$743,'Data - Season'!$A$5:$A$743,$A136,'Data - Season'!$C$5:$C$743,$B136,'Data - Season'!$B$5:$B$743,"Qualifier")</f>
        <v/>
      </c>
      <c r="H136" s="44">
        <f>IFERROR($G136/$C136,"")</f>
        <v/>
      </c>
      <c r="I136" s="41">
        <f>IF($G136&gt;=$C136,"cleared","missed")</f>
        <v/>
      </c>
      <c r="J136" s="44">
        <f>IFERROR($G136/$D136-1,"")</f>
        <v/>
      </c>
    </row>
    <row r="137">
      <c r="A137" s="41" t="inlineStr">
        <is>
          <t>Shane Barreca</t>
        </is>
      </c>
      <c r="B137" s="41" t="inlineStr">
        <is>
          <t>Constellation Brands</t>
        </is>
      </c>
      <c r="C137" s="46" t="n">
        <v>29227</v>
      </c>
      <c r="D137" s="33">
        <f>SUMIFS('Data - Season'!$E$5:$E$743,'Data - Season'!$A$5:$A$743,$A137,'Data - Season'!$C$5:$C$743,$B137,'Data - Season'!$B$5:$B$743,"Qualifier")</f>
        <v/>
      </c>
      <c r="E137" s="44">
        <f>IFERROR($C137/$D137-1,"")</f>
        <v/>
      </c>
      <c r="F137" s="47">
        <f>IF($C137&lt;$D137,"YES — below LY","no")</f>
        <v/>
      </c>
      <c r="G137" s="33">
        <f>SUMIFS('Data - Season'!$F$5:$F$743,'Data - Season'!$A$5:$A$743,$A137,'Data - Season'!$C$5:$C$743,$B137,'Data - Season'!$B$5:$B$743,"Qualifier")</f>
        <v/>
      </c>
      <c r="H137" s="44">
        <f>IFERROR($G137/$C137,"")</f>
        <v/>
      </c>
      <c r="I137" s="41">
        <f>IF($G137&gt;=$C137,"cleared","missed")</f>
        <v/>
      </c>
      <c r="J137" s="44">
        <f>IFERROR($G137/$D137-1,"")</f>
        <v/>
      </c>
    </row>
    <row r="138">
      <c r="A138" s="41" t="inlineStr">
        <is>
          <t>Shane Barreca</t>
        </is>
      </c>
      <c r="B138" s="41" t="inlineStr">
        <is>
          <t>DG Yuengling Inc</t>
        </is>
      </c>
      <c r="C138" s="46" t="n">
        <v>3635</v>
      </c>
      <c r="D138" s="33">
        <f>SUMIFS('Data - Season'!$E$5:$E$743,'Data - Season'!$A$5:$A$743,$A138,'Data - Season'!$C$5:$C$743,$B138,'Data - Season'!$B$5:$B$743,"Qualifier")</f>
        <v/>
      </c>
      <c r="E138" s="44">
        <f>IFERROR($C138/$D138-1,"")</f>
        <v/>
      </c>
      <c r="F138" s="47">
        <f>IF($C138&lt;$D138,"YES — below LY","no")</f>
        <v/>
      </c>
      <c r="G138" s="33">
        <f>SUMIFS('Data - Season'!$F$5:$F$743,'Data - Season'!$A$5:$A$743,$A138,'Data - Season'!$C$5:$C$743,$B138,'Data - Season'!$B$5:$B$743,"Qualifier")</f>
        <v/>
      </c>
      <c r="H138" s="44">
        <f>IFERROR($G138/$C138,"")</f>
        <v/>
      </c>
      <c r="I138" s="41">
        <f>IF($G138&gt;=$C138,"cleared","missed")</f>
        <v/>
      </c>
      <c r="J138" s="44">
        <f>IFERROR($G138/$D138-1,"")</f>
        <v/>
      </c>
    </row>
    <row r="139">
      <c r="A139" s="41" t="inlineStr">
        <is>
          <t>Shane Barreca</t>
        </is>
      </c>
      <c r="B139" s="41" t="inlineStr">
        <is>
          <t>Heineken USA</t>
        </is>
      </c>
      <c r="C139" s="46" t="n">
        <v>6139</v>
      </c>
      <c r="D139" s="33">
        <f>SUMIFS('Data - Season'!$E$5:$E$743,'Data - Season'!$A$5:$A$743,$A139,'Data - Season'!$C$5:$C$743,$B139,'Data - Season'!$B$5:$B$743,"Qualifier")</f>
        <v/>
      </c>
      <c r="E139" s="44">
        <f>IFERROR($C139/$D139-1,"")</f>
        <v/>
      </c>
      <c r="F139" s="47">
        <f>IF($C139&lt;$D139,"YES — below LY","no")</f>
        <v/>
      </c>
      <c r="G139" s="33">
        <f>SUMIFS('Data - Season'!$F$5:$F$743,'Data - Season'!$A$5:$A$743,$A139,'Data - Season'!$C$5:$C$743,$B139,'Data - Season'!$B$5:$B$743,"Qualifier")</f>
        <v/>
      </c>
      <c r="H139" s="44">
        <f>IFERROR($G139/$C139,"")</f>
        <v/>
      </c>
      <c r="I139" s="41">
        <f>IF($G139&gt;=$C139,"cleared","missed")</f>
        <v/>
      </c>
      <c r="J139" s="44">
        <f>IFERROR($G139/$D139-1,"")</f>
        <v/>
      </c>
    </row>
    <row r="140">
      <c r="A140" s="41" t="inlineStr">
        <is>
          <t>Shane Barreca</t>
        </is>
      </c>
      <c r="B140" s="41" t="inlineStr">
        <is>
          <t>Mark Anthony</t>
        </is>
      </c>
      <c r="C140" s="46" t="n">
        <v>7783</v>
      </c>
      <c r="D140" s="33">
        <f>SUMIFS('Data - Season'!$E$5:$E$743,'Data - Season'!$A$5:$A$743,$A140,'Data - Season'!$C$5:$C$743,$B140,'Data - Season'!$B$5:$B$743,"Qualifier")</f>
        <v/>
      </c>
      <c r="E140" s="44">
        <f>IFERROR($C140/$D140-1,"")</f>
        <v/>
      </c>
      <c r="F140" s="47">
        <f>IF($C140&lt;$D140,"YES — below LY","no")</f>
        <v/>
      </c>
      <c r="G140" s="33">
        <f>SUMIFS('Data - Season'!$F$5:$F$743,'Data - Season'!$A$5:$A$743,$A140,'Data - Season'!$C$5:$C$743,$B140,'Data - Season'!$B$5:$B$743,"Qualifier")</f>
        <v/>
      </c>
      <c r="H140" s="44">
        <f>IFERROR($G140/$C140,"")</f>
        <v/>
      </c>
      <c r="I140" s="41">
        <f>IF($G140&gt;=$C140,"cleared","missed")</f>
        <v/>
      </c>
      <c r="J140" s="44">
        <f>IFERROR($G140/$D140-1,"")</f>
        <v/>
      </c>
    </row>
    <row r="141">
      <c r="A141" s="41" t="inlineStr">
        <is>
          <t>Shane Barreca</t>
        </is>
      </c>
      <c r="B141" s="41" t="inlineStr">
        <is>
          <t>MolsonCoors Beverage Company</t>
        </is>
      </c>
      <c r="C141" s="46" t="n">
        <v>33742</v>
      </c>
      <c r="D141" s="33">
        <f>SUMIFS('Data - Season'!$E$5:$E$743,'Data - Season'!$A$5:$A$743,$A141,'Data - Season'!$C$5:$C$743,$B141,'Data - Season'!$B$5:$B$743,"Qualifier")</f>
        <v/>
      </c>
      <c r="E141" s="44">
        <f>IFERROR($C141/$D141-1,"")</f>
        <v/>
      </c>
      <c r="F141" s="47">
        <f>IF($C141&lt;$D141,"YES — below LY","no")</f>
        <v/>
      </c>
      <c r="G141" s="33">
        <f>SUMIFS('Data - Season'!$F$5:$F$743,'Data - Season'!$A$5:$A$743,$A141,'Data - Season'!$C$5:$C$743,$B141,'Data - Season'!$B$5:$B$743,"Qualifier")</f>
        <v/>
      </c>
      <c r="H141" s="44">
        <f>IFERROR($G141/$C141,"")</f>
        <v/>
      </c>
      <c r="I141" s="41">
        <f>IF($G141&gt;=$C141,"cleared","missed")</f>
        <v/>
      </c>
      <c r="J141" s="44">
        <f>IFERROR($G141/$D141-1,"")</f>
        <v/>
      </c>
    </row>
    <row r="142">
      <c r="A142" s="17" t="inlineStr">
        <is>
          <t>TOTAL</t>
        </is>
      </c>
      <c r="C142" s="43">
        <f>SUM(C5:C141)</f>
        <v/>
      </c>
      <c r="D142" s="43">
        <f>SUM(D5:D141)</f>
        <v/>
      </c>
      <c r="E142" s="34">
        <f>IFERROR(C142/D142-1,"")</f>
        <v/>
      </c>
      <c r="G142" s="43">
        <f>SUM(G5:G141)</f>
        <v/>
      </c>
      <c r="J142" s="34">
        <f>IFERROR(G142/D142-1,"")</f>
        <v/>
      </c>
    </row>
    <row r="144">
      <c r="A144" s="5" t="inlineStr">
        <is>
          <t>HOW THE GOALS WERE SET</t>
        </is>
      </c>
    </row>
    <row r="145">
      <c r="A145" s="13" t="inlineStr">
        <is>
          <t>Qualifier goals with a prior-year comparison</t>
        </is>
      </c>
      <c r="B145" s="14">
        <f>COUNT($C$5:$C$141)</f>
        <v/>
      </c>
    </row>
    <row r="146">
      <c r="A146" s="17" t="inlineStr">
        <is>
          <t xml:space="preserve">   set BELOW the rep's own 2025 volume</t>
        </is>
      </c>
      <c r="B146" s="30">
        <f>COUNTIF($F$5:$F$141,"YES*")</f>
        <v/>
      </c>
    </row>
    <row r="147">
      <c r="A147" s="17" t="inlineStr">
        <is>
          <t xml:space="preserve">   share of all qualifier goals</t>
        </is>
      </c>
      <c r="B147" s="28">
        <f>IFERROR(COUNTIF($F$5:$F$141,"YES*")/COUNT($C$5:$C$141),"")</f>
        <v/>
      </c>
    </row>
    <row r="148">
      <c r="A148" s="17" t="inlineStr">
        <is>
          <t>Aggregate goal vs the same reps' 2025 volume</t>
        </is>
      </c>
      <c r="B148" s="28">
        <f>E142</f>
        <v/>
      </c>
    </row>
    <row r="149">
      <c r="A149" s="13" t="inlineStr">
        <is>
          <t>Sub-2025 goals that were CLEARED and paid</t>
        </is>
      </c>
      <c r="B149" s="14">
        <f>COUNTIFS($F$5:$F$141,"YES*",$I$5:$I$141,"cleared")</f>
        <v/>
      </c>
    </row>
    <row r="150">
      <c r="A150" s="17" t="inlineStr">
        <is>
          <t xml:space="preserve">   their 2026 volume vs their own 2025</t>
        </is>
      </c>
      <c r="B150" s="28">
        <f>IFERROR(SUMIFS($G$5:$G$141,$F$5:$F$141,"YES*",$I$5:$I$141,"cleared")/SUMIFS($D$5:$D$141,$F$5:$F$141,"YES*",$I$5:$I$141,"cleared")-1,"")</f>
        <v/>
      </c>
    </row>
    <row r="152">
      <c r="A152" s="2" t="inlineStr">
        <is>
          <t>The qualifier half of this program was designed to pay for decline. In aggregate the goals asked for 2.5% LESS volume than the same reps did in 2025, and nine in ten individual goals sat below that rep's own prior-year number.</t>
        </is>
      </c>
    </row>
    <row r="153">
      <c r="A153" s="2" t="inlineStr">
        <is>
          <t>The sub-2025 goals that cleared delivered volume flat to last year — and earned tier payouts for it. That is a goal-setting outcome, not a rep-performance one.</t>
        </is>
      </c>
    </row>
    <row r="154">
      <c r="A154" s="2" t="inlineStr">
        <is>
          <t>This is the cheapest thing to fix for 2027, and it is independent of the brand-selection finding: a goal below last year cannot produce incremental volume no matter which brand it is attached to.</t>
        </is>
      </c>
    </row>
  </sheetData>
  <autoFilter ref="A4:J14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6"/>
  <sheetViews>
    <sheetView showGridLines="0" workbookViewId="0">
      <pane ySplit="4" topLeftCell="A5" activePane="bottomLeft" state="frozen"/>
      <selection pane="bottomLeft" activeCell="A1" sqref="A1"/>
    </sheetView>
  </sheetViews>
  <sheetFormatPr baseColWidth="8" defaultRowHeight="15"/>
  <cols>
    <col width="22" customWidth="1" min="1" max="1"/>
    <col width="13" customWidth="1" min="2" max="2"/>
    <col width="14" customWidth="1" min="3" max="3"/>
    <col width="13" customWidth="1" min="4" max="4"/>
    <col width="14" customWidth="1" min="5" max="5"/>
    <col width="14" customWidth="1" min="6" max="6"/>
    <col width="11" customWidth="1" min="7" max="7"/>
    <col width="15" customWidth="1" min="8" max="8"/>
    <col width="15" customWidth="1" min="9" max="9"/>
    <col width="12" customWidth="1" min="10" max="10"/>
    <col width="16" customWidth="1" min="11" max="11"/>
  </cols>
  <sheetData>
    <row r="1">
      <c r="A1" s="22" t="inlineStr">
        <is>
          <t>What each rep earned, against what each rep delivered</t>
        </is>
      </c>
    </row>
    <row r="2">
      <c r="A2" s="2" t="inlineStr">
        <is>
          <t>Payout columns are the Summer_of_Success_Recap.xlsx model re-run on this export. Volume columns are live SUMIFS off Data - Season.</t>
        </is>
      </c>
    </row>
    <row r="4" ht="30" customHeight="1">
      <c r="A4" s="6" t="inlineStr">
        <is>
          <t>Rep</t>
        </is>
      </c>
      <c r="B4" s="6" t="inlineStr">
        <is>
          <t>Tier payout</t>
        </is>
      </c>
      <c r="C4" s="6" t="inlineStr">
        <is>
          <t>Amplify payout</t>
        </is>
      </c>
      <c r="D4" s="6" t="inlineStr">
        <is>
          <t>Total payout</t>
        </is>
      </c>
      <c r="E4" s="6" t="inlineStr">
        <is>
          <t>Amplify CE 2025</t>
        </is>
      </c>
      <c r="F4" s="6" t="inlineStr">
        <is>
          <t>Amplify CE 2026</t>
        </is>
      </c>
      <c r="G4" s="6" t="inlineStr">
        <is>
          <t>Amplify %</t>
        </is>
      </c>
      <c r="H4" s="6" t="inlineStr">
        <is>
          <t>Qualifier CE 2025</t>
        </is>
      </c>
      <c r="I4" s="6" t="inlineStr">
        <is>
          <t>Qualifier CE 2026</t>
        </is>
      </c>
      <c r="J4" s="6" t="inlineStr">
        <is>
          <t>Qualifier %</t>
        </is>
      </c>
      <c r="K4" s="6" t="inlineStr">
        <is>
          <t>Payout per incremental case</t>
        </is>
      </c>
    </row>
    <row r="5">
      <c r="A5" s="41" t="inlineStr">
        <is>
          <t>Dave Ehlers</t>
        </is>
      </c>
      <c r="B5" s="48" t="n">
        <v>4250</v>
      </c>
      <c r="C5" s="48" t="n">
        <v>3461</v>
      </c>
      <c r="D5" s="38">
        <f>B5+C5</f>
        <v/>
      </c>
      <c r="E5" s="33">
        <f>SUMIFS('Data - Season'!$E$5:$E$743,'Data - Season'!$A$5:$A$743,$A5,'Data - Season'!$B$5:$B$743,"Amplify")</f>
        <v/>
      </c>
      <c r="F5" s="33">
        <f>SUMIFS('Data - Season'!$F$5:$F$743,'Data - Season'!$A$5:$A$743,$A5,'Data - Season'!$B$5:$B$743,"Amplify")</f>
        <v/>
      </c>
      <c r="G5" s="44">
        <f>IFERROR(F5/E5-1,"")</f>
        <v/>
      </c>
      <c r="H5" s="33">
        <f>SUMIFS('Data - Season'!$E$5:$E$743,'Data - Season'!$A$5:$A$743,$A5,'Data - Season'!$B$5:$B$743,"Qualifier")</f>
        <v/>
      </c>
      <c r="I5" s="33">
        <f>SUMIFS('Data - Season'!$F$5:$F$743,'Data - Season'!$A$5:$A$743,$A5,'Data - Season'!$B$5:$B$743,"Qualifier")</f>
        <v/>
      </c>
      <c r="J5" s="44">
        <f>IFERROR(I5/H5-1,"")</f>
        <v/>
      </c>
      <c r="K5" s="49">
        <f>IF((F5-E5)+(I5-H5)&gt;0,D5/((F5-E5)+(I5-H5)),"no net gain")</f>
        <v/>
      </c>
    </row>
    <row r="6">
      <c r="A6" s="41" t="inlineStr">
        <is>
          <t>Shane Barreca</t>
        </is>
      </c>
      <c r="B6" s="48" t="n">
        <v>3000</v>
      </c>
      <c r="C6" s="48" t="n">
        <v>2869</v>
      </c>
      <c r="D6" s="38">
        <f>B6+C6</f>
        <v/>
      </c>
      <c r="E6" s="33">
        <f>SUMIFS('Data - Season'!$E$5:$E$743,'Data - Season'!$A$5:$A$743,$A6,'Data - Season'!$B$5:$B$743,"Amplify")</f>
        <v/>
      </c>
      <c r="F6" s="33">
        <f>SUMIFS('Data - Season'!$F$5:$F$743,'Data - Season'!$A$5:$A$743,$A6,'Data - Season'!$B$5:$B$743,"Amplify")</f>
        <v/>
      </c>
      <c r="G6" s="44">
        <f>IFERROR(F6/E6-1,"")</f>
        <v/>
      </c>
      <c r="H6" s="33">
        <f>SUMIFS('Data - Season'!$E$5:$E$743,'Data - Season'!$A$5:$A$743,$A6,'Data - Season'!$B$5:$B$743,"Qualifier")</f>
        <v/>
      </c>
      <c r="I6" s="33">
        <f>SUMIFS('Data - Season'!$F$5:$F$743,'Data - Season'!$A$5:$A$743,$A6,'Data - Season'!$B$5:$B$743,"Qualifier")</f>
        <v/>
      </c>
      <c r="J6" s="44">
        <f>IFERROR(I6/H6-1,"")</f>
        <v/>
      </c>
      <c r="K6" s="49">
        <f>IF((F6-E6)+(I6-H6)&gt;0,D6/((F6-E6)+(I6-H6)),"no net gain")</f>
        <v/>
      </c>
    </row>
    <row r="7">
      <c r="A7" s="41" t="inlineStr">
        <is>
          <t>Javier Melo</t>
        </is>
      </c>
      <c r="B7" s="48" t="n">
        <v>2500</v>
      </c>
      <c r="C7" s="48" t="n">
        <v>1615.5</v>
      </c>
      <c r="D7" s="38">
        <f>B7+C7</f>
        <v/>
      </c>
      <c r="E7" s="33">
        <f>SUMIFS('Data - Season'!$E$5:$E$743,'Data - Season'!$A$5:$A$743,$A7,'Data - Season'!$B$5:$B$743,"Amplify")</f>
        <v/>
      </c>
      <c r="F7" s="33">
        <f>SUMIFS('Data - Season'!$F$5:$F$743,'Data - Season'!$A$5:$A$743,$A7,'Data - Season'!$B$5:$B$743,"Amplify")</f>
        <v/>
      </c>
      <c r="G7" s="44">
        <f>IFERROR(F7/E7-1,"")</f>
        <v/>
      </c>
      <c r="H7" s="33">
        <f>SUMIFS('Data - Season'!$E$5:$E$743,'Data - Season'!$A$5:$A$743,$A7,'Data - Season'!$B$5:$B$743,"Qualifier")</f>
        <v/>
      </c>
      <c r="I7" s="33">
        <f>SUMIFS('Data - Season'!$F$5:$F$743,'Data - Season'!$A$5:$A$743,$A7,'Data - Season'!$B$5:$B$743,"Qualifier")</f>
        <v/>
      </c>
      <c r="J7" s="44">
        <f>IFERROR(I7/H7-1,"")</f>
        <v/>
      </c>
      <c r="K7" s="49">
        <f>IF((F7-E7)+(I7-H7)&gt;0,D7/((F7-E7)+(I7-H7)),"no net gain")</f>
        <v/>
      </c>
    </row>
    <row r="8">
      <c r="A8" s="41" t="inlineStr">
        <is>
          <t>Matt Powierski</t>
        </is>
      </c>
      <c r="B8" s="48" t="n">
        <v>2000</v>
      </c>
      <c r="C8" s="48" t="n">
        <v>1736</v>
      </c>
      <c r="D8" s="38">
        <f>B8+C8</f>
        <v/>
      </c>
      <c r="E8" s="33">
        <f>SUMIFS('Data - Season'!$E$5:$E$743,'Data - Season'!$A$5:$A$743,$A8,'Data - Season'!$B$5:$B$743,"Amplify")</f>
        <v/>
      </c>
      <c r="F8" s="33">
        <f>SUMIFS('Data - Season'!$F$5:$F$743,'Data - Season'!$A$5:$A$743,$A8,'Data - Season'!$B$5:$B$743,"Amplify")</f>
        <v/>
      </c>
      <c r="G8" s="44">
        <f>IFERROR(F8/E8-1,"")</f>
        <v/>
      </c>
      <c r="H8" s="33">
        <f>SUMIFS('Data - Season'!$E$5:$E$743,'Data - Season'!$A$5:$A$743,$A8,'Data - Season'!$B$5:$B$743,"Qualifier")</f>
        <v/>
      </c>
      <c r="I8" s="33">
        <f>SUMIFS('Data - Season'!$F$5:$F$743,'Data - Season'!$A$5:$A$743,$A8,'Data - Season'!$B$5:$B$743,"Qualifier")</f>
        <v/>
      </c>
      <c r="J8" s="44">
        <f>IFERROR(I8/H8-1,"")</f>
        <v/>
      </c>
      <c r="K8" s="49">
        <f>IF((F8-E8)+(I8-H8)&gt;0,D8/((F8-E8)+(I8-H8)),"no net gain")</f>
        <v/>
      </c>
    </row>
    <row r="9">
      <c r="A9" s="41" t="inlineStr">
        <is>
          <t>Mike Ast</t>
        </is>
      </c>
      <c r="B9" s="48" t="n">
        <v>2500</v>
      </c>
      <c r="C9" s="48" t="n">
        <v>928.5</v>
      </c>
      <c r="D9" s="38">
        <f>B9+C9</f>
        <v/>
      </c>
      <c r="E9" s="33">
        <f>SUMIFS('Data - Season'!$E$5:$E$743,'Data - Season'!$A$5:$A$743,$A9,'Data - Season'!$B$5:$B$743,"Amplify")</f>
        <v/>
      </c>
      <c r="F9" s="33">
        <f>SUMIFS('Data - Season'!$F$5:$F$743,'Data - Season'!$A$5:$A$743,$A9,'Data - Season'!$B$5:$B$743,"Amplify")</f>
        <v/>
      </c>
      <c r="G9" s="44">
        <f>IFERROR(F9/E9-1,"")</f>
        <v/>
      </c>
      <c r="H9" s="33">
        <f>SUMIFS('Data - Season'!$E$5:$E$743,'Data - Season'!$A$5:$A$743,$A9,'Data - Season'!$B$5:$B$743,"Qualifier")</f>
        <v/>
      </c>
      <c r="I9" s="33">
        <f>SUMIFS('Data - Season'!$F$5:$F$743,'Data - Season'!$A$5:$A$743,$A9,'Data - Season'!$B$5:$B$743,"Qualifier")</f>
        <v/>
      </c>
      <c r="J9" s="44">
        <f>IFERROR(I9/H9-1,"")</f>
        <v/>
      </c>
      <c r="K9" s="49">
        <f>IF((F9-E9)+(I9-H9)&gt;0,D9/((F9-E9)+(I9-H9)),"no net gain")</f>
        <v/>
      </c>
    </row>
    <row r="10">
      <c r="A10" s="41" t="inlineStr">
        <is>
          <t>Dan Lagala</t>
        </is>
      </c>
      <c r="B10" s="48" t="n">
        <v>1250</v>
      </c>
      <c r="C10" s="48" t="n">
        <v>1823</v>
      </c>
      <c r="D10" s="38">
        <f>B10+C10</f>
        <v/>
      </c>
      <c r="E10" s="33">
        <f>SUMIFS('Data - Season'!$E$5:$E$743,'Data - Season'!$A$5:$A$743,$A10,'Data - Season'!$B$5:$B$743,"Amplify")</f>
        <v/>
      </c>
      <c r="F10" s="33">
        <f>SUMIFS('Data - Season'!$F$5:$F$743,'Data - Season'!$A$5:$A$743,$A10,'Data - Season'!$B$5:$B$743,"Amplify")</f>
        <v/>
      </c>
      <c r="G10" s="44">
        <f>IFERROR(F10/E10-1,"")</f>
        <v/>
      </c>
      <c r="H10" s="33">
        <f>SUMIFS('Data - Season'!$E$5:$E$743,'Data - Season'!$A$5:$A$743,$A10,'Data - Season'!$B$5:$B$743,"Qualifier")</f>
        <v/>
      </c>
      <c r="I10" s="33">
        <f>SUMIFS('Data - Season'!$F$5:$F$743,'Data - Season'!$A$5:$A$743,$A10,'Data - Season'!$B$5:$B$743,"Qualifier")</f>
        <v/>
      </c>
      <c r="J10" s="44">
        <f>IFERROR(I10/H10-1,"")</f>
        <v/>
      </c>
      <c r="K10" s="49">
        <f>IF((F10-E10)+(I10-H10)&gt;0,D10/((F10-E10)+(I10-H10)),"no net gain")</f>
        <v/>
      </c>
    </row>
    <row r="11">
      <c r="A11" s="41" t="inlineStr">
        <is>
          <t>Phil Ernst</t>
        </is>
      </c>
      <c r="B11" s="48" t="n">
        <v>1500</v>
      </c>
      <c r="C11" s="48" t="n">
        <v>1443</v>
      </c>
      <c r="D11" s="38">
        <f>B11+C11</f>
        <v/>
      </c>
      <c r="E11" s="33">
        <f>SUMIFS('Data - Season'!$E$5:$E$743,'Data - Season'!$A$5:$A$743,$A11,'Data - Season'!$B$5:$B$743,"Amplify")</f>
        <v/>
      </c>
      <c r="F11" s="33">
        <f>SUMIFS('Data - Season'!$F$5:$F$743,'Data - Season'!$A$5:$A$743,$A11,'Data - Season'!$B$5:$B$743,"Amplify")</f>
        <v/>
      </c>
      <c r="G11" s="44">
        <f>IFERROR(F11/E11-1,"")</f>
        <v/>
      </c>
      <c r="H11" s="33">
        <f>SUMIFS('Data - Season'!$E$5:$E$743,'Data - Season'!$A$5:$A$743,$A11,'Data - Season'!$B$5:$B$743,"Qualifier")</f>
        <v/>
      </c>
      <c r="I11" s="33">
        <f>SUMIFS('Data - Season'!$F$5:$F$743,'Data - Season'!$A$5:$A$743,$A11,'Data - Season'!$B$5:$B$743,"Qualifier")</f>
        <v/>
      </c>
      <c r="J11" s="44">
        <f>IFERROR(I11/H11-1,"")</f>
        <v/>
      </c>
      <c r="K11" s="49">
        <f>IF((F11-E11)+(I11-H11)&gt;0,D11/((F11-E11)+(I11-H11)),"no net gain")</f>
        <v/>
      </c>
    </row>
    <row r="12">
      <c r="A12" s="41" t="inlineStr">
        <is>
          <t>Nick Melissari</t>
        </is>
      </c>
      <c r="B12" s="48" t="n">
        <v>1750</v>
      </c>
      <c r="C12" s="48" t="n">
        <v>1128.5</v>
      </c>
      <c r="D12" s="38">
        <f>B12+C12</f>
        <v/>
      </c>
      <c r="E12" s="33">
        <f>SUMIFS('Data - Season'!$E$5:$E$743,'Data - Season'!$A$5:$A$743,$A12,'Data - Season'!$B$5:$B$743,"Amplify")</f>
        <v/>
      </c>
      <c r="F12" s="33">
        <f>SUMIFS('Data - Season'!$F$5:$F$743,'Data - Season'!$A$5:$A$743,$A12,'Data - Season'!$B$5:$B$743,"Amplify")</f>
        <v/>
      </c>
      <c r="G12" s="44">
        <f>IFERROR(F12/E12-1,"")</f>
        <v/>
      </c>
      <c r="H12" s="33">
        <f>SUMIFS('Data - Season'!$E$5:$E$743,'Data - Season'!$A$5:$A$743,$A12,'Data - Season'!$B$5:$B$743,"Qualifier")</f>
        <v/>
      </c>
      <c r="I12" s="33">
        <f>SUMIFS('Data - Season'!$F$5:$F$743,'Data - Season'!$A$5:$A$743,$A12,'Data - Season'!$B$5:$B$743,"Qualifier")</f>
        <v/>
      </c>
      <c r="J12" s="44">
        <f>IFERROR(I12/H12-1,"")</f>
        <v/>
      </c>
      <c r="K12" s="49">
        <f>IF((F12-E12)+(I12-H12)&gt;0,D12/((F12-E12)+(I12-H12)),"no net gain")</f>
        <v/>
      </c>
    </row>
    <row r="13">
      <c r="A13" s="41" t="inlineStr">
        <is>
          <t>Allison Scott</t>
        </is>
      </c>
      <c r="B13" s="48" t="n">
        <v>2000</v>
      </c>
      <c r="C13" s="48" t="n">
        <v>817</v>
      </c>
      <c r="D13" s="38">
        <f>B13+C13</f>
        <v/>
      </c>
      <c r="E13" s="33">
        <f>SUMIFS('Data - Season'!$E$5:$E$743,'Data - Season'!$A$5:$A$743,$A13,'Data - Season'!$B$5:$B$743,"Amplify")</f>
        <v/>
      </c>
      <c r="F13" s="33">
        <f>SUMIFS('Data - Season'!$F$5:$F$743,'Data - Season'!$A$5:$A$743,$A13,'Data - Season'!$B$5:$B$743,"Amplify")</f>
        <v/>
      </c>
      <c r="G13" s="44">
        <f>IFERROR(F13/E13-1,"")</f>
        <v/>
      </c>
      <c r="H13" s="33">
        <f>SUMIFS('Data - Season'!$E$5:$E$743,'Data - Season'!$A$5:$A$743,$A13,'Data - Season'!$B$5:$B$743,"Qualifier")</f>
        <v/>
      </c>
      <c r="I13" s="33">
        <f>SUMIFS('Data - Season'!$F$5:$F$743,'Data - Season'!$A$5:$A$743,$A13,'Data - Season'!$B$5:$B$743,"Qualifier")</f>
        <v/>
      </c>
      <c r="J13" s="44">
        <f>IFERROR(I13/H13-1,"")</f>
        <v/>
      </c>
      <c r="K13" s="49">
        <f>IF((F13-E13)+(I13-H13)&gt;0,D13/((F13-E13)+(I13-H13)),"no net gain")</f>
        <v/>
      </c>
    </row>
    <row r="14">
      <c r="A14" s="41" t="inlineStr">
        <is>
          <t>Klejdi Lamo</t>
        </is>
      </c>
      <c r="B14" s="48" t="n">
        <v>1500</v>
      </c>
      <c r="C14" s="48" t="n">
        <v>909.5</v>
      </c>
      <c r="D14" s="38">
        <f>B14+C14</f>
        <v/>
      </c>
      <c r="E14" s="33">
        <f>SUMIFS('Data - Season'!$E$5:$E$743,'Data - Season'!$A$5:$A$743,$A14,'Data - Season'!$B$5:$B$743,"Amplify")</f>
        <v/>
      </c>
      <c r="F14" s="33">
        <f>SUMIFS('Data - Season'!$F$5:$F$743,'Data - Season'!$A$5:$A$743,$A14,'Data - Season'!$B$5:$B$743,"Amplify")</f>
        <v/>
      </c>
      <c r="G14" s="44">
        <f>IFERROR(F14/E14-1,"")</f>
        <v/>
      </c>
      <c r="H14" s="33">
        <f>SUMIFS('Data - Season'!$E$5:$E$743,'Data - Season'!$A$5:$A$743,$A14,'Data - Season'!$B$5:$B$743,"Qualifier")</f>
        <v/>
      </c>
      <c r="I14" s="33">
        <f>SUMIFS('Data - Season'!$F$5:$F$743,'Data - Season'!$A$5:$A$743,$A14,'Data - Season'!$B$5:$B$743,"Qualifier")</f>
        <v/>
      </c>
      <c r="J14" s="44">
        <f>IFERROR(I14/H14-1,"")</f>
        <v/>
      </c>
      <c r="K14" s="49">
        <f>IF((F14-E14)+(I14-H14)&gt;0,D14/((F14-E14)+(I14-H14)),"no net gain")</f>
        <v/>
      </c>
    </row>
    <row r="15">
      <c r="A15" s="41" t="inlineStr">
        <is>
          <t>John Neukum</t>
        </is>
      </c>
      <c r="B15" s="48" t="n">
        <v>0</v>
      </c>
      <c r="C15" s="48" t="n">
        <v>2373.5</v>
      </c>
      <c r="D15" s="38">
        <f>B15+C15</f>
        <v/>
      </c>
      <c r="E15" s="33">
        <f>SUMIFS('Data - Season'!$E$5:$E$743,'Data - Season'!$A$5:$A$743,$A15,'Data - Season'!$B$5:$B$743,"Amplify")</f>
        <v/>
      </c>
      <c r="F15" s="33">
        <f>SUMIFS('Data - Season'!$F$5:$F$743,'Data - Season'!$A$5:$A$743,$A15,'Data - Season'!$B$5:$B$743,"Amplify")</f>
        <v/>
      </c>
      <c r="G15" s="44">
        <f>IFERROR(F15/E15-1,"")</f>
        <v/>
      </c>
      <c r="H15" s="33">
        <f>SUMIFS('Data - Season'!$E$5:$E$743,'Data - Season'!$A$5:$A$743,$A15,'Data - Season'!$B$5:$B$743,"Qualifier")</f>
        <v/>
      </c>
      <c r="I15" s="33">
        <f>SUMIFS('Data - Season'!$F$5:$F$743,'Data - Season'!$A$5:$A$743,$A15,'Data - Season'!$B$5:$B$743,"Qualifier")</f>
        <v/>
      </c>
      <c r="J15" s="44">
        <f>IFERROR(I15/H15-1,"")</f>
        <v/>
      </c>
      <c r="K15" s="49">
        <f>IF((F15-E15)+(I15-H15)&gt;0,D15/((F15-E15)+(I15-H15)),"no net gain")</f>
        <v/>
      </c>
    </row>
    <row r="16">
      <c r="A16" s="41" t="inlineStr">
        <is>
          <t>Anthony Palmisano</t>
        </is>
      </c>
      <c r="B16" s="48" t="n">
        <v>1250</v>
      </c>
      <c r="C16" s="48" t="n">
        <v>941</v>
      </c>
      <c r="D16" s="38">
        <f>B16+C16</f>
        <v/>
      </c>
      <c r="E16" s="33">
        <f>SUMIFS('Data - Season'!$E$5:$E$743,'Data - Season'!$A$5:$A$743,$A16,'Data - Season'!$B$5:$B$743,"Amplify")</f>
        <v/>
      </c>
      <c r="F16" s="33">
        <f>SUMIFS('Data - Season'!$F$5:$F$743,'Data - Season'!$A$5:$A$743,$A16,'Data - Season'!$B$5:$B$743,"Amplify")</f>
        <v/>
      </c>
      <c r="G16" s="44">
        <f>IFERROR(F16/E16-1,"")</f>
        <v/>
      </c>
      <c r="H16" s="33">
        <f>SUMIFS('Data - Season'!$E$5:$E$743,'Data - Season'!$A$5:$A$743,$A16,'Data - Season'!$B$5:$B$743,"Qualifier")</f>
        <v/>
      </c>
      <c r="I16" s="33">
        <f>SUMIFS('Data - Season'!$F$5:$F$743,'Data - Season'!$A$5:$A$743,$A16,'Data - Season'!$B$5:$B$743,"Qualifier")</f>
        <v/>
      </c>
      <c r="J16" s="44">
        <f>IFERROR(I16/H16-1,"")</f>
        <v/>
      </c>
      <c r="K16" s="49">
        <f>IF((F16-E16)+(I16-H16)&gt;0,D16/((F16-E16)+(I16-H16)),"no net gain")</f>
        <v/>
      </c>
    </row>
    <row r="17">
      <c r="A17" s="41" t="inlineStr">
        <is>
          <t>Chris Payton</t>
        </is>
      </c>
      <c r="B17" s="48" t="n">
        <v>1250</v>
      </c>
      <c r="C17" s="48" t="n">
        <v>910.5</v>
      </c>
      <c r="D17" s="38">
        <f>B17+C17</f>
        <v/>
      </c>
      <c r="E17" s="33">
        <f>SUMIFS('Data - Season'!$E$5:$E$743,'Data - Season'!$A$5:$A$743,$A17,'Data - Season'!$B$5:$B$743,"Amplify")</f>
        <v/>
      </c>
      <c r="F17" s="33">
        <f>SUMIFS('Data - Season'!$F$5:$F$743,'Data - Season'!$A$5:$A$743,$A17,'Data - Season'!$B$5:$B$743,"Amplify")</f>
        <v/>
      </c>
      <c r="G17" s="44">
        <f>IFERROR(F17/E17-1,"")</f>
        <v/>
      </c>
      <c r="H17" s="33">
        <f>SUMIFS('Data - Season'!$E$5:$E$743,'Data - Season'!$A$5:$A$743,$A17,'Data - Season'!$B$5:$B$743,"Qualifier")</f>
        <v/>
      </c>
      <c r="I17" s="33">
        <f>SUMIFS('Data - Season'!$F$5:$F$743,'Data - Season'!$A$5:$A$743,$A17,'Data - Season'!$B$5:$B$743,"Qualifier")</f>
        <v/>
      </c>
      <c r="J17" s="44">
        <f>IFERROR(I17/H17-1,"")</f>
        <v/>
      </c>
      <c r="K17" s="49">
        <f>IF((F17-E17)+(I17-H17)&gt;0,D17/((F17-E17)+(I17-H17)),"no net gain")</f>
        <v/>
      </c>
    </row>
    <row r="18">
      <c r="A18" s="41" t="inlineStr">
        <is>
          <t>Derrick Laws</t>
        </is>
      </c>
      <c r="B18" s="48" t="n">
        <v>500</v>
      </c>
      <c r="C18" s="48" t="n">
        <v>844.5</v>
      </c>
      <c r="D18" s="38">
        <f>B18+C18</f>
        <v/>
      </c>
      <c r="E18" s="33">
        <f>SUMIFS('Data - Season'!$E$5:$E$743,'Data - Season'!$A$5:$A$743,$A18,'Data - Season'!$B$5:$B$743,"Amplify")</f>
        <v/>
      </c>
      <c r="F18" s="33">
        <f>SUMIFS('Data - Season'!$F$5:$F$743,'Data - Season'!$A$5:$A$743,$A18,'Data - Season'!$B$5:$B$743,"Amplify")</f>
        <v/>
      </c>
      <c r="G18" s="44">
        <f>IFERROR(F18/E18-1,"")</f>
        <v/>
      </c>
      <c r="H18" s="33">
        <f>SUMIFS('Data - Season'!$E$5:$E$743,'Data - Season'!$A$5:$A$743,$A18,'Data - Season'!$B$5:$B$743,"Qualifier")</f>
        <v/>
      </c>
      <c r="I18" s="33">
        <f>SUMIFS('Data - Season'!$F$5:$F$743,'Data - Season'!$A$5:$A$743,$A18,'Data - Season'!$B$5:$B$743,"Qualifier")</f>
        <v/>
      </c>
      <c r="J18" s="44">
        <f>IFERROR(I18/H18-1,"")</f>
        <v/>
      </c>
      <c r="K18" s="49">
        <f>IF((F18-E18)+(I18-H18)&gt;0,D18/((F18-E18)+(I18-H18)),"no net gain")</f>
        <v/>
      </c>
    </row>
    <row r="19">
      <c r="A19" s="41" t="inlineStr">
        <is>
          <t>Jayson Romine</t>
        </is>
      </c>
      <c r="B19" s="48" t="n">
        <v>500</v>
      </c>
      <c r="C19" s="48" t="n">
        <v>767</v>
      </c>
      <c r="D19" s="38">
        <f>B19+C19</f>
        <v/>
      </c>
      <c r="E19" s="33">
        <f>SUMIFS('Data - Season'!$E$5:$E$743,'Data - Season'!$A$5:$A$743,$A19,'Data - Season'!$B$5:$B$743,"Amplify")</f>
        <v/>
      </c>
      <c r="F19" s="33">
        <f>SUMIFS('Data - Season'!$F$5:$F$743,'Data - Season'!$A$5:$A$743,$A19,'Data - Season'!$B$5:$B$743,"Amplify")</f>
        <v/>
      </c>
      <c r="G19" s="44">
        <f>IFERROR(F19/E19-1,"")</f>
        <v/>
      </c>
      <c r="H19" s="33">
        <f>SUMIFS('Data - Season'!$E$5:$E$743,'Data - Season'!$A$5:$A$743,$A19,'Data - Season'!$B$5:$B$743,"Qualifier")</f>
        <v/>
      </c>
      <c r="I19" s="33">
        <f>SUMIFS('Data - Season'!$F$5:$F$743,'Data - Season'!$A$5:$A$743,$A19,'Data - Season'!$B$5:$B$743,"Qualifier")</f>
        <v/>
      </c>
      <c r="J19" s="44">
        <f>IFERROR(I19/H19-1,"")</f>
        <v/>
      </c>
      <c r="K19" s="49">
        <f>IF((F19-E19)+(I19-H19)&gt;0,D19/((F19-E19)+(I19-H19)),"no net gain")</f>
        <v/>
      </c>
    </row>
    <row r="20">
      <c r="A20" s="41" t="inlineStr">
        <is>
          <t>Pablo Lopez</t>
        </is>
      </c>
      <c r="B20" s="48" t="n">
        <v>500</v>
      </c>
      <c r="C20" s="48" t="n">
        <v>756.5</v>
      </c>
      <c r="D20" s="38">
        <f>B20+C20</f>
        <v/>
      </c>
      <c r="E20" s="33">
        <f>SUMIFS('Data - Season'!$E$5:$E$743,'Data - Season'!$A$5:$A$743,$A20,'Data - Season'!$B$5:$B$743,"Amplify")</f>
        <v/>
      </c>
      <c r="F20" s="33">
        <f>SUMIFS('Data - Season'!$F$5:$F$743,'Data - Season'!$A$5:$A$743,$A20,'Data - Season'!$B$5:$B$743,"Amplify")</f>
        <v/>
      </c>
      <c r="G20" s="44">
        <f>IFERROR(F20/E20-1,"")</f>
        <v/>
      </c>
      <c r="H20" s="33">
        <f>SUMIFS('Data - Season'!$E$5:$E$743,'Data - Season'!$A$5:$A$743,$A20,'Data - Season'!$B$5:$B$743,"Qualifier")</f>
        <v/>
      </c>
      <c r="I20" s="33">
        <f>SUMIFS('Data - Season'!$F$5:$F$743,'Data - Season'!$A$5:$A$743,$A20,'Data - Season'!$B$5:$B$743,"Qualifier")</f>
        <v/>
      </c>
      <c r="J20" s="44">
        <f>IFERROR(I20/H20-1,"")</f>
        <v/>
      </c>
      <c r="K20" s="49">
        <f>IF((F20-E20)+(I20-H20)&gt;0,D20/((F20-E20)+(I20-H20)),"no net gain")</f>
        <v/>
      </c>
    </row>
    <row r="21">
      <c r="A21" s="41" t="inlineStr">
        <is>
          <t>Robin Feldman</t>
        </is>
      </c>
      <c r="B21" s="48" t="n">
        <v>500</v>
      </c>
      <c r="C21" s="48" t="n">
        <v>374.5</v>
      </c>
      <c r="D21" s="38">
        <f>B21+C21</f>
        <v/>
      </c>
      <c r="E21" s="33">
        <f>SUMIFS('Data - Season'!$E$5:$E$743,'Data - Season'!$A$5:$A$743,$A21,'Data - Season'!$B$5:$B$743,"Amplify")</f>
        <v/>
      </c>
      <c r="F21" s="33">
        <f>SUMIFS('Data - Season'!$F$5:$F$743,'Data - Season'!$A$5:$A$743,$A21,'Data - Season'!$B$5:$B$743,"Amplify")</f>
        <v/>
      </c>
      <c r="G21" s="44">
        <f>IFERROR(F21/E21-1,"")</f>
        <v/>
      </c>
      <c r="H21" s="33">
        <f>SUMIFS('Data - Season'!$E$5:$E$743,'Data - Season'!$A$5:$A$743,$A21,'Data - Season'!$B$5:$B$743,"Qualifier")</f>
        <v/>
      </c>
      <c r="I21" s="33">
        <f>SUMIFS('Data - Season'!$F$5:$F$743,'Data - Season'!$A$5:$A$743,$A21,'Data - Season'!$B$5:$B$743,"Qualifier")</f>
        <v/>
      </c>
      <c r="J21" s="44">
        <f>IFERROR(I21/H21-1,"")</f>
        <v/>
      </c>
      <c r="K21" s="49">
        <f>IF((F21-E21)+(I21-H21)&gt;0,D21/((F21-E21)+(I21-H21)),"no net gain")</f>
        <v/>
      </c>
    </row>
    <row r="22">
      <c r="A22" s="41" t="inlineStr">
        <is>
          <t>Jim Heaney</t>
        </is>
      </c>
      <c r="B22" s="48" t="n">
        <v>0</v>
      </c>
      <c r="C22" s="48" t="n">
        <v>810.5</v>
      </c>
      <c r="D22" s="38">
        <f>B22+C22</f>
        <v/>
      </c>
      <c r="E22" s="33">
        <f>SUMIFS('Data - Season'!$E$5:$E$743,'Data - Season'!$A$5:$A$743,$A22,'Data - Season'!$B$5:$B$743,"Amplify")</f>
        <v/>
      </c>
      <c r="F22" s="33">
        <f>SUMIFS('Data - Season'!$F$5:$F$743,'Data - Season'!$A$5:$A$743,$A22,'Data - Season'!$B$5:$B$743,"Amplify")</f>
        <v/>
      </c>
      <c r="G22" s="44">
        <f>IFERROR(F22/E22-1,"")</f>
        <v/>
      </c>
      <c r="H22" s="33">
        <f>SUMIFS('Data - Season'!$E$5:$E$743,'Data - Season'!$A$5:$A$743,$A22,'Data - Season'!$B$5:$B$743,"Qualifier")</f>
        <v/>
      </c>
      <c r="I22" s="33">
        <f>SUMIFS('Data - Season'!$F$5:$F$743,'Data - Season'!$A$5:$A$743,$A22,'Data - Season'!$B$5:$B$743,"Qualifier")</f>
        <v/>
      </c>
      <c r="J22" s="44">
        <f>IFERROR(I22/H22-1,"")</f>
        <v/>
      </c>
      <c r="K22" s="49">
        <f>IF((F22-E22)+(I22-H22)&gt;0,D22/((F22-E22)+(I22-H22)),"no net gain")</f>
        <v/>
      </c>
    </row>
    <row r="23">
      <c r="A23" s="41" t="inlineStr">
        <is>
          <t>Paul Mclaughlin</t>
        </is>
      </c>
      <c r="B23" s="48" t="n">
        <v>500</v>
      </c>
      <c r="C23" s="48" t="n">
        <v>267.5</v>
      </c>
      <c r="D23" s="38">
        <f>B23+C23</f>
        <v/>
      </c>
      <c r="E23" s="33">
        <f>SUMIFS('Data - Season'!$E$5:$E$743,'Data - Season'!$A$5:$A$743,$A23,'Data - Season'!$B$5:$B$743,"Amplify")</f>
        <v/>
      </c>
      <c r="F23" s="33">
        <f>SUMIFS('Data - Season'!$F$5:$F$743,'Data - Season'!$A$5:$A$743,$A23,'Data - Season'!$B$5:$B$743,"Amplify")</f>
        <v/>
      </c>
      <c r="G23" s="44">
        <f>IFERROR(F23/E23-1,"")</f>
        <v/>
      </c>
      <c r="H23" s="33">
        <f>SUMIFS('Data - Season'!$E$5:$E$743,'Data - Season'!$A$5:$A$743,$A23,'Data - Season'!$B$5:$B$743,"Qualifier")</f>
        <v/>
      </c>
      <c r="I23" s="33">
        <f>SUMIFS('Data - Season'!$F$5:$F$743,'Data - Season'!$A$5:$A$743,$A23,'Data - Season'!$B$5:$B$743,"Qualifier")</f>
        <v/>
      </c>
      <c r="J23" s="44">
        <f>IFERROR(I23/H23-1,"")</f>
        <v/>
      </c>
      <c r="K23" s="49">
        <f>IF((F23-E23)+(I23-H23)&gt;0,D23/((F23-E23)+(I23-H23)),"no net gain")</f>
        <v/>
      </c>
    </row>
    <row r="24">
      <c r="A24" s="41" t="inlineStr">
        <is>
          <t>Dylan Rubino</t>
        </is>
      </c>
      <c r="B24" s="48" t="n">
        <v>0</v>
      </c>
      <c r="C24" s="48" t="n">
        <v>698</v>
      </c>
      <c r="D24" s="38">
        <f>B24+C24</f>
        <v/>
      </c>
      <c r="E24" s="33">
        <f>SUMIFS('Data - Season'!$E$5:$E$743,'Data - Season'!$A$5:$A$743,$A24,'Data - Season'!$B$5:$B$743,"Amplify")</f>
        <v/>
      </c>
      <c r="F24" s="33">
        <f>SUMIFS('Data - Season'!$F$5:$F$743,'Data - Season'!$A$5:$A$743,$A24,'Data - Season'!$B$5:$B$743,"Amplify")</f>
        <v/>
      </c>
      <c r="G24" s="44">
        <f>IFERROR(F24/E24-1,"")</f>
        <v/>
      </c>
      <c r="H24" s="33">
        <f>SUMIFS('Data - Season'!$E$5:$E$743,'Data - Season'!$A$5:$A$743,$A24,'Data - Season'!$B$5:$B$743,"Qualifier")</f>
        <v/>
      </c>
      <c r="I24" s="33">
        <f>SUMIFS('Data - Season'!$F$5:$F$743,'Data - Season'!$A$5:$A$743,$A24,'Data - Season'!$B$5:$B$743,"Qualifier")</f>
        <v/>
      </c>
      <c r="J24" s="44">
        <f>IFERROR(I24/H24-1,"")</f>
        <v/>
      </c>
      <c r="K24" s="49">
        <f>IF((F24-E24)+(I24-H24)&gt;0,D24/((F24-E24)+(I24-H24)),"no net gain")</f>
        <v/>
      </c>
    </row>
    <row r="25">
      <c r="A25" s="41" t="inlineStr">
        <is>
          <t>Michael Harboy</t>
        </is>
      </c>
      <c r="B25" s="48" t="n">
        <v>0</v>
      </c>
      <c r="C25" s="48" t="n">
        <v>372.5</v>
      </c>
      <c r="D25" s="38">
        <f>B25+C25</f>
        <v/>
      </c>
      <c r="E25" s="33">
        <f>SUMIFS('Data - Season'!$E$5:$E$743,'Data - Season'!$A$5:$A$743,$A25,'Data - Season'!$B$5:$B$743,"Amplify")</f>
        <v/>
      </c>
      <c r="F25" s="33">
        <f>SUMIFS('Data - Season'!$F$5:$F$743,'Data - Season'!$A$5:$A$743,$A25,'Data - Season'!$B$5:$B$743,"Amplify")</f>
        <v/>
      </c>
      <c r="G25" s="44">
        <f>IFERROR(F25/E25-1,"")</f>
        <v/>
      </c>
      <c r="H25" s="33">
        <f>SUMIFS('Data - Season'!$E$5:$E$743,'Data - Season'!$A$5:$A$743,$A25,'Data - Season'!$B$5:$B$743,"Qualifier")</f>
        <v/>
      </c>
      <c r="I25" s="33">
        <f>SUMIFS('Data - Season'!$F$5:$F$743,'Data - Season'!$A$5:$A$743,$A25,'Data - Season'!$B$5:$B$743,"Qualifier")</f>
        <v/>
      </c>
      <c r="J25" s="44">
        <f>IFERROR(I25/H25-1,"")</f>
        <v/>
      </c>
      <c r="K25" s="49">
        <f>IF((F25-E25)+(I25-H25)&gt;0,D25/((F25-E25)+(I25-H25)),"no net gain")</f>
        <v/>
      </c>
    </row>
    <row r="26">
      <c r="A26" s="41" t="inlineStr">
        <is>
          <t>Alex Rodriguez</t>
        </is>
      </c>
      <c r="B26" s="48" t="n">
        <v>0</v>
      </c>
      <c r="C26" s="48" t="n">
        <v>297</v>
      </c>
      <c r="D26" s="38">
        <f>B26+C26</f>
        <v/>
      </c>
      <c r="E26" s="33">
        <f>SUMIFS('Data - Season'!$E$5:$E$743,'Data - Season'!$A$5:$A$743,$A26,'Data - Season'!$B$5:$B$743,"Amplify")</f>
        <v/>
      </c>
      <c r="F26" s="33">
        <f>SUMIFS('Data - Season'!$F$5:$F$743,'Data - Season'!$A$5:$A$743,$A26,'Data - Season'!$B$5:$B$743,"Amplify")</f>
        <v/>
      </c>
      <c r="G26" s="44">
        <f>IFERROR(F26/E26-1,"")</f>
        <v/>
      </c>
      <c r="H26" s="33">
        <f>SUMIFS('Data - Season'!$E$5:$E$743,'Data - Season'!$A$5:$A$743,$A26,'Data - Season'!$B$5:$B$743,"Qualifier")</f>
        <v/>
      </c>
      <c r="I26" s="33">
        <f>SUMIFS('Data - Season'!$F$5:$F$743,'Data - Season'!$A$5:$A$743,$A26,'Data - Season'!$B$5:$B$743,"Qualifier")</f>
        <v/>
      </c>
      <c r="J26" s="44">
        <f>IFERROR(I26/H26-1,"")</f>
        <v/>
      </c>
      <c r="K26" s="49">
        <f>IF((F26-E26)+(I26-H26)&gt;0,D26/((F26-E26)+(I26-H26)),"no net gain")</f>
        <v/>
      </c>
    </row>
    <row r="27">
      <c r="A27" s="41" t="inlineStr">
        <is>
          <t>Brian Sengebush</t>
        </is>
      </c>
      <c r="B27" s="48" t="n">
        <v>0</v>
      </c>
      <c r="C27" s="48" t="n">
        <v>252</v>
      </c>
      <c r="D27" s="38">
        <f>B27+C27</f>
        <v/>
      </c>
      <c r="E27" s="33">
        <f>SUMIFS('Data - Season'!$E$5:$E$743,'Data - Season'!$A$5:$A$743,$A27,'Data - Season'!$B$5:$B$743,"Amplify")</f>
        <v/>
      </c>
      <c r="F27" s="33">
        <f>SUMIFS('Data - Season'!$F$5:$F$743,'Data - Season'!$A$5:$A$743,$A27,'Data - Season'!$B$5:$B$743,"Amplify")</f>
        <v/>
      </c>
      <c r="G27" s="44">
        <f>IFERROR(F27/E27-1,"")</f>
        <v/>
      </c>
      <c r="H27" s="33">
        <f>SUMIFS('Data - Season'!$E$5:$E$743,'Data - Season'!$A$5:$A$743,$A27,'Data - Season'!$B$5:$B$743,"Qualifier")</f>
        <v/>
      </c>
      <c r="I27" s="33">
        <f>SUMIFS('Data - Season'!$F$5:$F$743,'Data - Season'!$A$5:$A$743,$A27,'Data - Season'!$B$5:$B$743,"Qualifier")</f>
        <v/>
      </c>
      <c r="J27" s="44">
        <f>IFERROR(I27/H27-1,"")</f>
        <v/>
      </c>
      <c r="K27" s="49">
        <f>IF((F27-E27)+(I27-H27)&gt;0,D27/((F27-E27)+(I27-H27)),"no net gain")</f>
        <v/>
      </c>
    </row>
    <row r="28">
      <c r="A28" s="41" t="inlineStr">
        <is>
          <t>John O'Donoghue</t>
        </is>
      </c>
      <c r="B28" s="48" t="n">
        <v>0</v>
      </c>
      <c r="C28" s="48" t="n">
        <v>123</v>
      </c>
      <c r="D28" s="38">
        <f>B28+C28</f>
        <v/>
      </c>
      <c r="E28" s="33">
        <f>SUMIFS('Data - Season'!$E$5:$E$743,'Data - Season'!$A$5:$A$743,$A28,'Data - Season'!$B$5:$B$743,"Amplify")</f>
        <v/>
      </c>
      <c r="F28" s="33">
        <f>SUMIFS('Data - Season'!$F$5:$F$743,'Data - Season'!$A$5:$A$743,$A28,'Data - Season'!$B$5:$B$743,"Amplify")</f>
        <v/>
      </c>
      <c r="G28" s="44">
        <f>IFERROR(F28/E28-1,"")</f>
        <v/>
      </c>
      <c r="H28" s="33">
        <f>SUMIFS('Data - Season'!$E$5:$E$743,'Data - Season'!$A$5:$A$743,$A28,'Data - Season'!$B$5:$B$743,"Qualifier")</f>
        <v/>
      </c>
      <c r="I28" s="33">
        <f>SUMIFS('Data - Season'!$F$5:$F$743,'Data - Season'!$A$5:$A$743,$A28,'Data - Season'!$B$5:$B$743,"Qualifier")</f>
        <v/>
      </c>
      <c r="J28" s="44">
        <f>IFERROR(I28/H28-1,"")</f>
        <v/>
      </c>
      <c r="K28" s="49">
        <f>IF((F28-E28)+(I28-H28)&gt;0,D28/((F28-E28)+(I28-H28)),"no net gain")</f>
        <v/>
      </c>
    </row>
    <row r="29">
      <c r="A29" s="41" t="inlineStr">
        <is>
          <t>Jaime Colonna</t>
        </is>
      </c>
      <c r="B29" s="48" t="n">
        <v>0</v>
      </c>
      <c r="C29" s="48" t="n">
        <v>115</v>
      </c>
      <c r="D29" s="38">
        <f>B29+C29</f>
        <v/>
      </c>
      <c r="E29" s="33">
        <f>SUMIFS('Data - Season'!$E$5:$E$743,'Data - Season'!$A$5:$A$743,$A29,'Data - Season'!$B$5:$B$743,"Amplify")</f>
        <v/>
      </c>
      <c r="F29" s="33">
        <f>SUMIFS('Data - Season'!$F$5:$F$743,'Data - Season'!$A$5:$A$743,$A29,'Data - Season'!$B$5:$B$743,"Amplify")</f>
        <v/>
      </c>
      <c r="G29" s="44">
        <f>IFERROR(F29/E29-1,"")</f>
        <v/>
      </c>
      <c r="H29" s="33">
        <f>SUMIFS('Data - Season'!$E$5:$E$743,'Data - Season'!$A$5:$A$743,$A29,'Data - Season'!$B$5:$B$743,"Qualifier")</f>
        <v/>
      </c>
      <c r="I29" s="33">
        <f>SUMIFS('Data - Season'!$F$5:$F$743,'Data - Season'!$A$5:$A$743,$A29,'Data - Season'!$B$5:$B$743,"Qualifier")</f>
        <v/>
      </c>
      <c r="J29" s="44">
        <f>IFERROR(I29/H29-1,"")</f>
        <v/>
      </c>
      <c r="K29" s="49">
        <f>IF((F29-E29)+(I29-H29)&gt;0,D29/((F29-E29)+(I29-H29)),"no net gain")</f>
        <v/>
      </c>
    </row>
    <row r="30">
      <c r="A30" s="41" t="inlineStr">
        <is>
          <t>Andrew Lundy</t>
        </is>
      </c>
      <c r="B30" s="48" t="n">
        <v>0</v>
      </c>
      <c r="C30" s="48" t="n">
        <v>107</v>
      </c>
      <c r="D30" s="38">
        <f>B30+C30</f>
        <v/>
      </c>
      <c r="E30" s="33">
        <f>SUMIFS('Data - Season'!$E$5:$E$743,'Data - Season'!$A$5:$A$743,$A30,'Data - Season'!$B$5:$B$743,"Amplify")</f>
        <v/>
      </c>
      <c r="F30" s="33">
        <f>SUMIFS('Data - Season'!$F$5:$F$743,'Data - Season'!$A$5:$A$743,$A30,'Data - Season'!$B$5:$B$743,"Amplify")</f>
        <v/>
      </c>
      <c r="G30" s="44">
        <f>IFERROR(F30/E30-1,"")</f>
        <v/>
      </c>
      <c r="H30" s="33">
        <f>SUMIFS('Data - Season'!$E$5:$E$743,'Data - Season'!$A$5:$A$743,$A30,'Data - Season'!$B$5:$B$743,"Qualifier")</f>
        <v/>
      </c>
      <c r="I30" s="33">
        <f>SUMIFS('Data - Season'!$F$5:$F$743,'Data - Season'!$A$5:$A$743,$A30,'Data - Season'!$B$5:$B$743,"Qualifier")</f>
        <v/>
      </c>
      <c r="J30" s="44">
        <f>IFERROR(I30/H30-1,"")</f>
        <v/>
      </c>
      <c r="K30" s="49">
        <f>IF((F30-E30)+(I30-H30)&gt;0,D30/((F30-E30)+(I30-H30)),"no net gain")</f>
        <v/>
      </c>
    </row>
    <row r="31">
      <c r="A31" s="41" t="inlineStr">
        <is>
          <t>Alisa Acciardi</t>
        </is>
      </c>
      <c r="B31" s="48" t="n">
        <v>0</v>
      </c>
      <c r="C31" s="48" t="n">
        <v>5</v>
      </c>
      <c r="D31" s="38">
        <f>B31+C31</f>
        <v/>
      </c>
      <c r="E31" s="33">
        <f>SUMIFS('Data - Season'!$E$5:$E$743,'Data - Season'!$A$5:$A$743,$A31,'Data - Season'!$B$5:$B$743,"Amplify")</f>
        <v/>
      </c>
      <c r="F31" s="33">
        <f>SUMIFS('Data - Season'!$F$5:$F$743,'Data - Season'!$A$5:$A$743,$A31,'Data - Season'!$B$5:$B$743,"Amplify")</f>
        <v/>
      </c>
      <c r="G31" s="44">
        <f>IFERROR(F31/E31-1,"")</f>
        <v/>
      </c>
      <c r="H31" s="33">
        <f>SUMIFS('Data - Season'!$E$5:$E$743,'Data - Season'!$A$5:$A$743,$A31,'Data - Season'!$B$5:$B$743,"Qualifier")</f>
        <v/>
      </c>
      <c r="I31" s="33">
        <f>SUMIFS('Data - Season'!$F$5:$F$743,'Data - Season'!$A$5:$A$743,$A31,'Data - Season'!$B$5:$B$743,"Qualifier")</f>
        <v/>
      </c>
      <c r="J31" s="44">
        <f>IFERROR(I31/H31-1,"")</f>
        <v/>
      </c>
      <c r="K31" s="49">
        <f>IF((F31-E31)+(I31-H31)&gt;0,D31/((F31-E31)+(I31-H31)),"no net gain")</f>
        <v/>
      </c>
    </row>
    <row r="32">
      <c r="A32" s="41" t="inlineStr">
        <is>
          <t>Hakan Sadik</t>
        </is>
      </c>
      <c r="B32" s="48" t="n">
        <v>0</v>
      </c>
      <c r="C32" s="48" t="n">
        <v>0</v>
      </c>
      <c r="D32" s="38">
        <f>B32+C32</f>
        <v/>
      </c>
      <c r="E32" s="33">
        <f>SUMIFS('Data - Season'!$E$5:$E$743,'Data - Season'!$A$5:$A$743,$A32,'Data - Season'!$B$5:$B$743,"Amplify")</f>
        <v/>
      </c>
      <c r="F32" s="33">
        <f>SUMIFS('Data - Season'!$F$5:$F$743,'Data - Season'!$A$5:$A$743,$A32,'Data - Season'!$B$5:$B$743,"Amplify")</f>
        <v/>
      </c>
      <c r="G32" s="44">
        <f>IFERROR(F32/E32-1,"")</f>
        <v/>
      </c>
      <c r="H32" s="33">
        <f>SUMIFS('Data - Season'!$E$5:$E$743,'Data - Season'!$A$5:$A$743,$A32,'Data - Season'!$B$5:$B$743,"Qualifier")</f>
        <v/>
      </c>
      <c r="I32" s="33">
        <f>SUMIFS('Data - Season'!$F$5:$F$743,'Data - Season'!$A$5:$A$743,$A32,'Data - Season'!$B$5:$B$743,"Qualifier")</f>
        <v/>
      </c>
      <c r="J32" s="44">
        <f>IFERROR(I32/H32-1,"")</f>
        <v/>
      </c>
      <c r="K32" s="49">
        <f>IF((F32-E32)+(I32-H32)&gt;0,D32/((F32-E32)+(I32-H32)),"no net gain")</f>
        <v/>
      </c>
    </row>
    <row r="33">
      <c r="A33" s="17" t="inlineStr">
        <is>
          <t>TOTAL</t>
        </is>
      </c>
      <c r="B33" s="38">
        <f>SUM(B5:B32)</f>
        <v/>
      </c>
      <c r="C33" s="38">
        <f>SUM(C5:C32)</f>
        <v/>
      </c>
      <c r="D33" s="38">
        <f>SUM(D5:D32)</f>
        <v/>
      </c>
      <c r="E33" s="43">
        <f>SUM(E5:E32)</f>
        <v/>
      </c>
      <c r="F33" s="43">
        <f>SUM(F5:F32)</f>
        <v/>
      </c>
      <c r="G33" s="34">
        <f>IFERROR(F33/E33-1,"")</f>
        <v/>
      </c>
      <c r="H33" s="43">
        <f>SUM(H5:H32)</f>
        <v/>
      </c>
      <c r="I33" s="43">
        <f>SUM(I5:I32)</f>
        <v/>
      </c>
      <c r="J33" s="34">
        <f>IFERROR(I33/H33-1,"")</f>
        <v/>
      </c>
    </row>
    <row r="35">
      <c r="A35" s="2" t="inlineStr">
        <is>
          <t>Blue payout figures carry the three open items on the Assumptions tab — most materially, whether the tier thresholds mean total 2026 CE or growth over 2025.</t>
        </is>
      </c>
    </row>
    <row r="36">
      <c r="A36" s="2" t="inlineStr">
        <is>
          <t>"Payout per incremental case" is blank where a rep took payout while their combined program volume fell. That is not a rep failure — it is what a program pays out when its goals sit below last year's volume.</t>
        </is>
      </c>
    </row>
  </sheetData>
  <autoFilter ref="A4:K3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38"/>
  <sheetViews>
    <sheetView showGridLines="0" workbookViewId="0">
      <pane ySplit="5" topLeftCell="A6" activePane="bottomLeft" state="frozen"/>
      <selection pane="bottomLeft" activeCell="A1" sqref="A1"/>
    </sheetView>
  </sheetViews>
  <sheetFormatPr baseColWidth="8" defaultRowHeight="15"/>
  <cols>
    <col width="11" customWidth="1" min="1" max="1"/>
    <col width="28"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4" customWidth="1" min="20" max="20"/>
    <col width="12" customWidth="1" min="21" max="21"/>
    <col width="13" customWidth="1" min="22" max="22"/>
    <col width="13" customWidth="1" min="23" max="23"/>
    <col width="11" customWidth="1" min="24" max="24"/>
  </cols>
  <sheetData>
    <row r="1">
      <c r="A1" s="22" t="inlineStr">
        <is>
          <t>Program brands — both periods, brand-family level</t>
        </is>
      </c>
    </row>
    <row r="2">
      <c r="A2" s="2" t="inlineStr">
        <is>
          <t>SUMIFS off Data - Season and Data - Pre. Feeds the Acceleration Test, Counterfactual and GP Bridge tabs.</t>
        </is>
      </c>
    </row>
    <row r="4">
      <c r="D4" s="42" t="inlineStr">
        <is>
          <t>JUN–AUG  (program period)</t>
        </is>
      </c>
      <c r="J4" s="42" t="inlineStr">
        <is>
          <t>JAN–MAY  (pre-program)</t>
        </is>
      </c>
      <c r="N4" s="42" t="inlineStr">
        <is>
          <t>PER-CASE ECONOMICS, JUN–AUG</t>
        </is>
      </c>
      <c r="T4" s="42" t="inlineStr">
        <is>
          <t>GP BRIDGE INPUTS</t>
        </is>
      </c>
      <c r="V4" s="42" t="inlineStr">
        <is>
          <t>ACCELERATION</t>
        </is>
      </c>
    </row>
    <row r="5" ht="30" customHeight="1">
      <c r="A5" s="6" t="inlineStr">
        <is>
          <t>Segment</t>
        </is>
      </c>
      <c r="B5" s="6" t="inlineStr">
        <is>
          <t>Supplier</t>
        </is>
      </c>
      <c r="C5" s="6" t="inlineStr">
        <is>
          <t>Brand Family</t>
        </is>
      </c>
      <c r="D5" s="6" t="inlineStr">
        <is>
          <t>CE 2025</t>
        </is>
      </c>
      <c r="E5" s="6" t="inlineStr">
        <is>
          <t>CE 2026</t>
        </is>
      </c>
      <c r="F5" s="6" t="inlineStr">
        <is>
          <t>Rev 2025</t>
        </is>
      </c>
      <c r="G5" s="6" t="inlineStr">
        <is>
          <t>Rev 2026</t>
        </is>
      </c>
      <c r="H5" s="6" t="inlineStr">
        <is>
          <t>GP 2025</t>
        </is>
      </c>
      <c r="I5" s="6" t="inlineStr">
        <is>
          <t>GP 2026</t>
        </is>
      </c>
      <c r="J5" s="6" t="inlineStr">
        <is>
          <t>CE 2025</t>
        </is>
      </c>
      <c r="K5" s="6" t="inlineStr">
        <is>
          <t>CE 2026</t>
        </is>
      </c>
      <c r="L5" s="6" t="inlineStr">
        <is>
          <t>GP 2025</t>
        </is>
      </c>
      <c r="M5" s="6" t="inlineStr">
        <is>
          <t>GP 2026</t>
        </is>
      </c>
      <c r="N5" s="6" t="inlineStr">
        <is>
          <t>GP/CE 2025</t>
        </is>
      </c>
      <c r="O5" s="6" t="inlineStr">
        <is>
          <t>GP/CE 2026</t>
        </is>
      </c>
      <c r="P5" s="6" t="inlineStr">
        <is>
          <t>Rev/CE 2025</t>
        </is>
      </c>
      <c r="Q5" s="6" t="inlineStr">
        <is>
          <t>Rev/CE 2026</t>
        </is>
      </c>
      <c r="R5" s="6" t="inlineStr">
        <is>
          <t>Laid-in/CE 2025</t>
        </is>
      </c>
      <c r="S5" s="6" t="inlineStr">
        <is>
          <t>Laid-in/CE 2026</t>
        </is>
      </c>
      <c r="T5" s="6" t="inlineStr">
        <is>
          <t>GP26 at LY rate</t>
        </is>
      </c>
      <c r="U5" s="6" t="inlineStr">
        <is>
          <t>Rate effect</t>
        </is>
      </c>
      <c r="V5" s="6" t="inlineStr">
        <is>
          <t>Cases % Jun–Aug</t>
        </is>
      </c>
      <c r="W5" s="6" t="inlineStr">
        <is>
          <t>Cases % Jan–May</t>
        </is>
      </c>
      <c r="X5" s="6" t="inlineStr">
        <is>
          <t>Swing</t>
        </is>
      </c>
    </row>
    <row r="6">
      <c r="A6" s="41" t="inlineStr">
        <is>
          <t>Amplify</t>
        </is>
      </c>
      <c r="B6" s="41" t="inlineStr">
        <is>
          <t>Bell's</t>
        </is>
      </c>
      <c r="C6" s="41" t="inlineStr">
        <is>
          <t>Bell's</t>
        </is>
      </c>
      <c r="D6" s="33">
        <f>SUMIFS('Data - Season'!$E$5:$E$743,'Data - Season'!$B$5:$B$743,$A6,'Data - Season'!$C$5:$C$743,$B6,'Data - Season'!$D$5:$D$743,$C6)</f>
        <v/>
      </c>
      <c r="E6" s="33">
        <f>SUMIFS('Data - Season'!$F$5:$F$743,'Data - Season'!$B$5:$B$743,$A6,'Data - Season'!$C$5:$C$743,$B6,'Data - Season'!$D$5:$D$743,$C6)</f>
        <v/>
      </c>
      <c r="F6" s="36">
        <f>SUMIFS('Data - Season'!$G$5:$G$743,'Data - Season'!$B$5:$B$743,$A6,'Data - Season'!$C$5:$C$743,$B6,'Data - Season'!$D$5:$D$743,$C6)</f>
        <v/>
      </c>
      <c r="G6" s="36">
        <f>SUMIFS('Data - Season'!$H$5:$H$743,'Data - Season'!$B$5:$B$743,$A6,'Data - Season'!$C$5:$C$743,$B6,'Data - Season'!$D$5:$D$743,$C6)</f>
        <v/>
      </c>
      <c r="H6" s="36">
        <f>SUMIFS('Data - Season'!$I$5:$I$743,'Data - Season'!$B$5:$B$743,$A6,'Data - Season'!$C$5:$C$743,$B6,'Data - Season'!$D$5:$D$743,$C6)</f>
        <v/>
      </c>
      <c r="I6" s="36">
        <f>SUMIFS('Data - Season'!$J$5:$J$743,'Data - Season'!$B$5:$B$743,$A6,'Data - Season'!$C$5:$C$743,$B6,'Data - Season'!$D$5:$D$743,$C6)</f>
        <v/>
      </c>
      <c r="J6" s="33">
        <f>SUMIFS('Data - Pre'!$E$5:$E$750,'Data - Pre'!$B$5:$B$750,$A6,'Data - Pre'!$C$5:$C$750,$B6,'Data - Pre'!$D$5:$D$750,$C6)</f>
        <v/>
      </c>
      <c r="K6" s="33">
        <f>SUMIFS('Data - Pre'!$F$5:$F$750,'Data - Pre'!$B$5:$B$750,$A6,'Data - Pre'!$C$5:$C$750,$B6,'Data - Pre'!$D$5:$D$750,$C6)</f>
        <v/>
      </c>
      <c r="L6" s="36">
        <f>SUMIFS('Data - Pre'!$I$5:$I$750,'Data - Pre'!$B$5:$B$750,$A6,'Data - Pre'!$C$5:$C$750,$B6,'Data - Pre'!$D$5:$D$750,$C6)</f>
        <v/>
      </c>
      <c r="M6" s="36">
        <f>SUMIFS('Data - Pre'!$J$5:$J$750,'Data - Pre'!$B$5:$B$750,$A6,'Data - Pre'!$C$5:$C$750,$B6,'Data - Pre'!$D$5:$D$750,$C6)</f>
        <v/>
      </c>
      <c r="N6" s="49">
        <f>IFERROR($H6/$D6,0)</f>
        <v/>
      </c>
      <c r="O6" s="49">
        <f>IFERROR($I6/$E6,0)</f>
        <v/>
      </c>
      <c r="P6" s="49">
        <f>IFERROR($F6/$D6,0)</f>
        <v/>
      </c>
      <c r="Q6" s="49">
        <f>IFERROR($G6/$E6,0)</f>
        <v/>
      </c>
      <c r="R6" s="49">
        <f>IFERROR(($F6-$H6)/$D6,0)</f>
        <v/>
      </c>
      <c r="S6" s="49">
        <f>IFERROR(($G6-$I6)/$E6,0)</f>
        <v/>
      </c>
      <c r="T6" s="36">
        <f>$E6*$N6</f>
        <v/>
      </c>
      <c r="U6" s="36">
        <f>$E6*($O6-$N6)</f>
        <v/>
      </c>
      <c r="V6" s="44">
        <f>IFERROR($E6/$D6-1,"")</f>
        <v/>
      </c>
      <c r="W6" s="44">
        <f>IFERROR($K6/$J6-1,"")</f>
        <v/>
      </c>
      <c r="X6" s="44">
        <f>IFERROR($V6-$W6,"")</f>
        <v/>
      </c>
    </row>
    <row r="7">
      <c r="A7" s="41" t="inlineStr">
        <is>
          <t>Amplify</t>
        </is>
      </c>
      <c r="B7" s="41" t="inlineStr">
        <is>
          <t>Boston Beer Company</t>
        </is>
      </c>
      <c r="C7" s="41" t="inlineStr">
        <is>
          <t>Dogfish Head Beer</t>
        </is>
      </c>
      <c r="D7" s="33">
        <f>SUMIFS('Data - Season'!$E$5:$E$743,'Data - Season'!$B$5:$B$743,$A7,'Data - Season'!$C$5:$C$743,$B7,'Data - Season'!$D$5:$D$743,$C7)</f>
        <v/>
      </c>
      <c r="E7" s="33">
        <f>SUMIFS('Data - Season'!$F$5:$F$743,'Data - Season'!$B$5:$B$743,$A7,'Data - Season'!$C$5:$C$743,$B7,'Data - Season'!$D$5:$D$743,$C7)</f>
        <v/>
      </c>
      <c r="F7" s="36">
        <f>SUMIFS('Data - Season'!$G$5:$G$743,'Data - Season'!$B$5:$B$743,$A7,'Data - Season'!$C$5:$C$743,$B7,'Data - Season'!$D$5:$D$743,$C7)</f>
        <v/>
      </c>
      <c r="G7" s="36">
        <f>SUMIFS('Data - Season'!$H$5:$H$743,'Data - Season'!$B$5:$B$743,$A7,'Data - Season'!$C$5:$C$743,$B7,'Data - Season'!$D$5:$D$743,$C7)</f>
        <v/>
      </c>
      <c r="H7" s="36">
        <f>SUMIFS('Data - Season'!$I$5:$I$743,'Data - Season'!$B$5:$B$743,$A7,'Data - Season'!$C$5:$C$743,$B7,'Data - Season'!$D$5:$D$743,$C7)</f>
        <v/>
      </c>
      <c r="I7" s="36">
        <f>SUMIFS('Data - Season'!$J$5:$J$743,'Data - Season'!$B$5:$B$743,$A7,'Data - Season'!$C$5:$C$743,$B7,'Data - Season'!$D$5:$D$743,$C7)</f>
        <v/>
      </c>
      <c r="J7" s="33">
        <f>SUMIFS('Data - Pre'!$E$5:$E$750,'Data - Pre'!$B$5:$B$750,$A7,'Data - Pre'!$C$5:$C$750,$B7,'Data - Pre'!$D$5:$D$750,$C7)</f>
        <v/>
      </c>
      <c r="K7" s="33">
        <f>SUMIFS('Data - Pre'!$F$5:$F$750,'Data - Pre'!$B$5:$B$750,$A7,'Data - Pre'!$C$5:$C$750,$B7,'Data - Pre'!$D$5:$D$750,$C7)</f>
        <v/>
      </c>
      <c r="L7" s="36">
        <f>SUMIFS('Data - Pre'!$I$5:$I$750,'Data - Pre'!$B$5:$B$750,$A7,'Data - Pre'!$C$5:$C$750,$B7,'Data - Pre'!$D$5:$D$750,$C7)</f>
        <v/>
      </c>
      <c r="M7" s="36">
        <f>SUMIFS('Data - Pre'!$J$5:$J$750,'Data - Pre'!$B$5:$B$750,$A7,'Data - Pre'!$C$5:$C$750,$B7,'Data - Pre'!$D$5:$D$750,$C7)</f>
        <v/>
      </c>
      <c r="N7" s="49">
        <f>IFERROR($H7/$D7,0)</f>
        <v/>
      </c>
      <c r="O7" s="49">
        <f>IFERROR($I7/$E7,0)</f>
        <v/>
      </c>
      <c r="P7" s="49">
        <f>IFERROR($F7/$D7,0)</f>
        <v/>
      </c>
      <c r="Q7" s="49">
        <f>IFERROR($G7/$E7,0)</f>
        <v/>
      </c>
      <c r="R7" s="49">
        <f>IFERROR(($F7-$H7)/$D7,0)</f>
        <v/>
      </c>
      <c r="S7" s="49">
        <f>IFERROR(($G7-$I7)/$E7,0)</f>
        <v/>
      </c>
      <c r="T7" s="36">
        <f>$E7*$N7</f>
        <v/>
      </c>
      <c r="U7" s="36">
        <f>$E7*($O7-$N7)</f>
        <v/>
      </c>
      <c r="V7" s="44">
        <f>IFERROR($E7/$D7-1,"")</f>
        <v/>
      </c>
      <c r="W7" s="44">
        <f>IFERROR($K7/$J7-1,"")</f>
        <v/>
      </c>
      <c r="X7" s="44">
        <f>IFERROR($V7-$W7,"")</f>
        <v/>
      </c>
    </row>
    <row r="8">
      <c r="A8" s="41" t="inlineStr">
        <is>
          <t>Amplify</t>
        </is>
      </c>
      <c r="B8" s="41" t="inlineStr">
        <is>
          <t>Boston Beer Company</t>
        </is>
      </c>
      <c r="C8" s="41" t="inlineStr">
        <is>
          <t>Dogfish Head Spirits</t>
        </is>
      </c>
      <c r="D8" s="33">
        <f>SUMIFS('Data - Season'!$E$5:$E$743,'Data - Season'!$B$5:$B$743,$A8,'Data - Season'!$C$5:$C$743,$B8,'Data - Season'!$D$5:$D$743,$C8)</f>
        <v/>
      </c>
      <c r="E8" s="33">
        <f>SUMIFS('Data - Season'!$F$5:$F$743,'Data - Season'!$B$5:$B$743,$A8,'Data - Season'!$C$5:$C$743,$B8,'Data - Season'!$D$5:$D$743,$C8)</f>
        <v/>
      </c>
      <c r="F8" s="36">
        <f>SUMIFS('Data - Season'!$G$5:$G$743,'Data - Season'!$B$5:$B$743,$A8,'Data - Season'!$C$5:$C$743,$B8,'Data - Season'!$D$5:$D$743,$C8)</f>
        <v/>
      </c>
      <c r="G8" s="36">
        <f>SUMIFS('Data - Season'!$H$5:$H$743,'Data - Season'!$B$5:$B$743,$A8,'Data - Season'!$C$5:$C$743,$B8,'Data - Season'!$D$5:$D$743,$C8)</f>
        <v/>
      </c>
      <c r="H8" s="36">
        <f>SUMIFS('Data - Season'!$I$5:$I$743,'Data - Season'!$B$5:$B$743,$A8,'Data - Season'!$C$5:$C$743,$B8,'Data - Season'!$D$5:$D$743,$C8)</f>
        <v/>
      </c>
      <c r="I8" s="36">
        <f>SUMIFS('Data - Season'!$J$5:$J$743,'Data - Season'!$B$5:$B$743,$A8,'Data - Season'!$C$5:$C$743,$B8,'Data - Season'!$D$5:$D$743,$C8)</f>
        <v/>
      </c>
      <c r="J8" s="33">
        <f>SUMIFS('Data - Pre'!$E$5:$E$750,'Data - Pre'!$B$5:$B$750,$A8,'Data - Pre'!$C$5:$C$750,$B8,'Data - Pre'!$D$5:$D$750,$C8)</f>
        <v/>
      </c>
      <c r="K8" s="33">
        <f>SUMIFS('Data - Pre'!$F$5:$F$750,'Data - Pre'!$B$5:$B$750,$A8,'Data - Pre'!$C$5:$C$750,$B8,'Data - Pre'!$D$5:$D$750,$C8)</f>
        <v/>
      </c>
      <c r="L8" s="36">
        <f>SUMIFS('Data - Pre'!$I$5:$I$750,'Data - Pre'!$B$5:$B$750,$A8,'Data - Pre'!$C$5:$C$750,$B8,'Data - Pre'!$D$5:$D$750,$C8)</f>
        <v/>
      </c>
      <c r="M8" s="36">
        <f>SUMIFS('Data - Pre'!$J$5:$J$750,'Data - Pre'!$B$5:$B$750,$A8,'Data - Pre'!$C$5:$C$750,$B8,'Data - Pre'!$D$5:$D$750,$C8)</f>
        <v/>
      </c>
      <c r="N8" s="49">
        <f>IFERROR($H8/$D8,0)</f>
        <v/>
      </c>
      <c r="O8" s="49">
        <f>IFERROR($I8/$E8,0)</f>
        <v/>
      </c>
      <c r="P8" s="49">
        <f>IFERROR($F8/$D8,0)</f>
        <v/>
      </c>
      <c r="Q8" s="49">
        <f>IFERROR($G8/$E8,0)</f>
        <v/>
      </c>
      <c r="R8" s="49">
        <f>IFERROR(($F8-$H8)/$D8,0)</f>
        <v/>
      </c>
      <c r="S8" s="49">
        <f>IFERROR(($G8-$I8)/$E8,0)</f>
        <v/>
      </c>
      <c r="T8" s="36">
        <f>$E8*$N8</f>
        <v/>
      </c>
      <c r="U8" s="36">
        <f>$E8*($O8-$N8)</f>
        <v/>
      </c>
      <c r="V8" s="44">
        <f>IFERROR($E8/$D8-1,"")</f>
        <v/>
      </c>
      <c r="W8" s="44">
        <f>IFERROR($K8/$J8-1,"")</f>
        <v/>
      </c>
      <c r="X8" s="44">
        <f>IFERROR($V8-$W8,"")</f>
        <v/>
      </c>
    </row>
    <row r="9">
      <c r="A9" s="41" t="inlineStr">
        <is>
          <t>Amplify</t>
        </is>
      </c>
      <c r="B9" s="41" t="inlineStr">
        <is>
          <t>Cape May</t>
        </is>
      </c>
      <c r="C9" s="41" t="inlineStr">
        <is>
          <t>Cape May</t>
        </is>
      </c>
      <c r="D9" s="33">
        <f>SUMIFS('Data - Season'!$E$5:$E$743,'Data - Season'!$B$5:$B$743,$A9,'Data - Season'!$C$5:$C$743,$B9,'Data - Season'!$D$5:$D$743,$C9)</f>
        <v/>
      </c>
      <c r="E9" s="33">
        <f>SUMIFS('Data - Season'!$F$5:$F$743,'Data - Season'!$B$5:$B$743,$A9,'Data - Season'!$C$5:$C$743,$B9,'Data - Season'!$D$5:$D$743,$C9)</f>
        <v/>
      </c>
      <c r="F9" s="36">
        <f>SUMIFS('Data - Season'!$G$5:$G$743,'Data - Season'!$B$5:$B$743,$A9,'Data - Season'!$C$5:$C$743,$B9,'Data - Season'!$D$5:$D$743,$C9)</f>
        <v/>
      </c>
      <c r="G9" s="36">
        <f>SUMIFS('Data - Season'!$H$5:$H$743,'Data - Season'!$B$5:$B$743,$A9,'Data - Season'!$C$5:$C$743,$B9,'Data - Season'!$D$5:$D$743,$C9)</f>
        <v/>
      </c>
      <c r="H9" s="36">
        <f>SUMIFS('Data - Season'!$I$5:$I$743,'Data - Season'!$B$5:$B$743,$A9,'Data - Season'!$C$5:$C$743,$B9,'Data - Season'!$D$5:$D$743,$C9)</f>
        <v/>
      </c>
      <c r="I9" s="36">
        <f>SUMIFS('Data - Season'!$J$5:$J$743,'Data - Season'!$B$5:$B$743,$A9,'Data - Season'!$C$5:$C$743,$B9,'Data - Season'!$D$5:$D$743,$C9)</f>
        <v/>
      </c>
      <c r="J9" s="33">
        <f>SUMIFS('Data - Pre'!$E$5:$E$750,'Data - Pre'!$B$5:$B$750,$A9,'Data - Pre'!$C$5:$C$750,$B9,'Data - Pre'!$D$5:$D$750,$C9)</f>
        <v/>
      </c>
      <c r="K9" s="33">
        <f>SUMIFS('Data - Pre'!$F$5:$F$750,'Data - Pre'!$B$5:$B$750,$A9,'Data - Pre'!$C$5:$C$750,$B9,'Data - Pre'!$D$5:$D$750,$C9)</f>
        <v/>
      </c>
      <c r="L9" s="36">
        <f>SUMIFS('Data - Pre'!$I$5:$I$750,'Data - Pre'!$B$5:$B$750,$A9,'Data - Pre'!$C$5:$C$750,$B9,'Data - Pre'!$D$5:$D$750,$C9)</f>
        <v/>
      </c>
      <c r="M9" s="36">
        <f>SUMIFS('Data - Pre'!$J$5:$J$750,'Data - Pre'!$B$5:$B$750,$A9,'Data - Pre'!$C$5:$C$750,$B9,'Data - Pre'!$D$5:$D$750,$C9)</f>
        <v/>
      </c>
      <c r="N9" s="49">
        <f>IFERROR($H9/$D9,0)</f>
        <v/>
      </c>
      <c r="O9" s="49">
        <f>IFERROR($I9/$E9,0)</f>
        <v/>
      </c>
      <c r="P9" s="49">
        <f>IFERROR($F9/$D9,0)</f>
        <v/>
      </c>
      <c r="Q9" s="49">
        <f>IFERROR($G9/$E9,0)</f>
        <v/>
      </c>
      <c r="R9" s="49">
        <f>IFERROR(($F9-$H9)/$D9,0)</f>
        <v/>
      </c>
      <c r="S9" s="49">
        <f>IFERROR(($G9-$I9)/$E9,0)</f>
        <v/>
      </c>
      <c r="T9" s="36">
        <f>$E9*$N9</f>
        <v/>
      </c>
      <c r="U9" s="36">
        <f>$E9*($O9-$N9)</f>
        <v/>
      </c>
      <c r="V9" s="44">
        <f>IFERROR($E9/$D9-1,"")</f>
        <v/>
      </c>
      <c r="W9" s="44">
        <f>IFERROR($K9/$J9-1,"")</f>
        <v/>
      </c>
      <c r="X9" s="44">
        <f>IFERROR($V9-$W9,"")</f>
        <v/>
      </c>
    </row>
    <row r="10">
      <c r="A10" s="41" t="inlineStr">
        <is>
          <t>Amplify</t>
        </is>
      </c>
      <c r="B10" s="41" t="inlineStr">
        <is>
          <t>Constellation Brands</t>
        </is>
      </c>
      <c r="C10" s="41" t="inlineStr">
        <is>
          <t>Corona Premier</t>
        </is>
      </c>
      <c r="D10" s="33">
        <f>SUMIFS('Data - Season'!$E$5:$E$743,'Data - Season'!$B$5:$B$743,$A10,'Data - Season'!$C$5:$C$743,$B10,'Data - Season'!$D$5:$D$743,$C10)</f>
        <v/>
      </c>
      <c r="E10" s="33">
        <f>SUMIFS('Data - Season'!$F$5:$F$743,'Data - Season'!$B$5:$B$743,$A10,'Data - Season'!$C$5:$C$743,$B10,'Data - Season'!$D$5:$D$743,$C10)</f>
        <v/>
      </c>
      <c r="F10" s="36">
        <f>SUMIFS('Data - Season'!$G$5:$G$743,'Data - Season'!$B$5:$B$743,$A10,'Data - Season'!$C$5:$C$743,$B10,'Data - Season'!$D$5:$D$743,$C10)</f>
        <v/>
      </c>
      <c r="G10" s="36">
        <f>SUMIFS('Data - Season'!$H$5:$H$743,'Data - Season'!$B$5:$B$743,$A10,'Data - Season'!$C$5:$C$743,$B10,'Data - Season'!$D$5:$D$743,$C10)</f>
        <v/>
      </c>
      <c r="H10" s="36">
        <f>SUMIFS('Data - Season'!$I$5:$I$743,'Data - Season'!$B$5:$B$743,$A10,'Data - Season'!$C$5:$C$743,$B10,'Data - Season'!$D$5:$D$743,$C10)</f>
        <v/>
      </c>
      <c r="I10" s="36">
        <f>SUMIFS('Data - Season'!$J$5:$J$743,'Data - Season'!$B$5:$B$743,$A10,'Data - Season'!$C$5:$C$743,$B10,'Data - Season'!$D$5:$D$743,$C10)</f>
        <v/>
      </c>
      <c r="J10" s="33">
        <f>SUMIFS('Data - Pre'!$E$5:$E$750,'Data - Pre'!$B$5:$B$750,$A10,'Data - Pre'!$C$5:$C$750,$B10,'Data - Pre'!$D$5:$D$750,$C10)</f>
        <v/>
      </c>
      <c r="K10" s="33">
        <f>SUMIFS('Data - Pre'!$F$5:$F$750,'Data - Pre'!$B$5:$B$750,$A10,'Data - Pre'!$C$5:$C$750,$B10,'Data - Pre'!$D$5:$D$750,$C10)</f>
        <v/>
      </c>
      <c r="L10" s="36">
        <f>SUMIFS('Data - Pre'!$I$5:$I$750,'Data - Pre'!$B$5:$B$750,$A10,'Data - Pre'!$C$5:$C$750,$B10,'Data - Pre'!$D$5:$D$750,$C10)</f>
        <v/>
      </c>
      <c r="M10" s="36">
        <f>SUMIFS('Data - Pre'!$J$5:$J$750,'Data - Pre'!$B$5:$B$750,$A10,'Data - Pre'!$C$5:$C$750,$B10,'Data - Pre'!$D$5:$D$750,$C10)</f>
        <v/>
      </c>
      <c r="N10" s="49">
        <f>IFERROR($H10/$D10,0)</f>
        <v/>
      </c>
      <c r="O10" s="49">
        <f>IFERROR($I10/$E10,0)</f>
        <v/>
      </c>
      <c r="P10" s="49">
        <f>IFERROR($F10/$D10,0)</f>
        <v/>
      </c>
      <c r="Q10" s="49">
        <f>IFERROR($G10/$E10,0)</f>
        <v/>
      </c>
      <c r="R10" s="49">
        <f>IFERROR(($F10-$H10)/$D10,0)</f>
        <v/>
      </c>
      <c r="S10" s="49">
        <f>IFERROR(($G10-$I10)/$E10,0)</f>
        <v/>
      </c>
      <c r="T10" s="36">
        <f>$E10*$N10</f>
        <v/>
      </c>
      <c r="U10" s="36">
        <f>$E10*($O10-$N10)</f>
        <v/>
      </c>
      <c r="V10" s="44">
        <f>IFERROR($E10/$D10-1,"")</f>
        <v/>
      </c>
      <c r="W10" s="44">
        <f>IFERROR($K10/$J10-1,"")</f>
        <v/>
      </c>
      <c r="X10" s="44">
        <f>IFERROR($V10-$W10,"")</f>
        <v/>
      </c>
    </row>
    <row r="11">
      <c r="A11" s="41" t="inlineStr">
        <is>
          <t>Amplify</t>
        </is>
      </c>
      <c r="B11" s="41" t="inlineStr">
        <is>
          <t>Constellation Brands</t>
        </is>
      </c>
      <c r="C11" s="41" t="inlineStr">
        <is>
          <t>Modelo Chelada</t>
        </is>
      </c>
      <c r="D11" s="33">
        <f>SUMIFS('Data - Season'!$E$5:$E$743,'Data - Season'!$B$5:$B$743,$A11,'Data - Season'!$C$5:$C$743,$B11,'Data - Season'!$D$5:$D$743,$C11)</f>
        <v/>
      </c>
      <c r="E11" s="33">
        <f>SUMIFS('Data - Season'!$F$5:$F$743,'Data - Season'!$B$5:$B$743,$A11,'Data - Season'!$C$5:$C$743,$B11,'Data - Season'!$D$5:$D$743,$C11)</f>
        <v/>
      </c>
      <c r="F11" s="36">
        <f>SUMIFS('Data - Season'!$G$5:$G$743,'Data - Season'!$B$5:$B$743,$A11,'Data - Season'!$C$5:$C$743,$B11,'Data - Season'!$D$5:$D$743,$C11)</f>
        <v/>
      </c>
      <c r="G11" s="36">
        <f>SUMIFS('Data - Season'!$H$5:$H$743,'Data - Season'!$B$5:$B$743,$A11,'Data - Season'!$C$5:$C$743,$B11,'Data - Season'!$D$5:$D$743,$C11)</f>
        <v/>
      </c>
      <c r="H11" s="36">
        <f>SUMIFS('Data - Season'!$I$5:$I$743,'Data - Season'!$B$5:$B$743,$A11,'Data - Season'!$C$5:$C$743,$B11,'Data - Season'!$D$5:$D$743,$C11)</f>
        <v/>
      </c>
      <c r="I11" s="36">
        <f>SUMIFS('Data - Season'!$J$5:$J$743,'Data - Season'!$B$5:$B$743,$A11,'Data - Season'!$C$5:$C$743,$B11,'Data - Season'!$D$5:$D$743,$C11)</f>
        <v/>
      </c>
      <c r="J11" s="33">
        <f>SUMIFS('Data - Pre'!$E$5:$E$750,'Data - Pre'!$B$5:$B$750,$A11,'Data - Pre'!$C$5:$C$750,$B11,'Data - Pre'!$D$5:$D$750,$C11)</f>
        <v/>
      </c>
      <c r="K11" s="33">
        <f>SUMIFS('Data - Pre'!$F$5:$F$750,'Data - Pre'!$B$5:$B$750,$A11,'Data - Pre'!$C$5:$C$750,$B11,'Data - Pre'!$D$5:$D$750,$C11)</f>
        <v/>
      </c>
      <c r="L11" s="36">
        <f>SUMIFS('Data - Pre'!$I$5:$I$750,'Data - Pre'!$B$5:$B$750,$A11,'Data - Pre'!$C$5:$C$750,$B11,'Data - Pre'!$D$5:$D$750,$C11)</f>
        <v/>
      </c>
      <c r="M11" s="36">
        <f>SUMIFS('Data - Pre'!$J$5:$J$750,'Data - Pre'!$B$5:$B$750,$A11,'Data - Pre'!$C$5:$C$750,$B11,'Data - Pre'!$D$5:$D$750,$C11)</f>
        <v/>
      </c>
      <c r="N11" s="49">
        <f>IFERROR($H11/$D11,0)</f>
        <v/>
      </c>
      <c r="O11" s="49">
        <f>IFERROR($I11/$E11,0)</f>
        <v/>
      </c>
      <c r="P11" s="49">
        <f>IFERROR($F11/$D11,0)</f>
        <v/>
      </c>
      <c r="Q11" s="49">
        <f>IFERROR($G11/$E11,0)</f>
        <v/>
      </c>
      <c r="R11" s="49">
        <f>IFERROR(($F11-$H11)/$D11,0)</f>
        <v/>
      </c>
      <c r="S11" s="49">
        <f>IFERROR(($G11-$I11)/$E11,0)</f>
        <v/>
      </c>
      <c r="T11" s="36">
        <f>$E11*$N11</f>
        <v/>
      </c>
      <c r="U11" s="36">
        <f>$E11*($O11-$N11)</f>
        <v/>
      </c>
      <c r="V11" s="44">
        <f>IFERROR($E11/$D11-1,"")</f>
        <v/>
      </c>
      <c r="W11" s="44">
        <f>IFERROR($K11/$J11-1,"")</f>
        <v/>
      </c>
      <c r="X11" s="44">
        <f>IFERROR($V11-$W11,"")</f>
        <v/>
      </c>
    </row>
    <row r="12">
      <c r="A12" s="41" t="inlineStr">
        <is>
          <t>Amplify</t>
        </is>
      </c>
      <c r="B12" s="41" t="inlineStr">
        <is>
          <t>Constellation Brands</t>
        </is>
      </c>
      <c r="C12" s="41" t="inlineStr">
        <is>
          <t>Pacifico</t>
        </is>
      </c>
      <c r="D12" s="33">
        <f>SUMIFS('Data - Season'!$E$5:$E$743,'Data - Season'!$B$5:$B$743,$A12,'Data - Season'!$C$5:$C$743,$B12,'Data - Season'!$D$5:$D$743,$C12)</f>
        <v/>
      </c>
      <c r="E12" s="33">
        <f>SUMIFS('Data - Season'!$F$5:$F$743,'Data - Season'!$B$5:$B$743,$A12,'Data - Season'!$C$5:$C$743,$B12,'Data - Season'!$D$5:$D$743,$C12)</f>
        <v/>
      </c>
      <c r="F12" s="36">
        <f>SUMIFS('Data - Season'!$G$5:$G$743,'Data - Season'!$B$5:$B$743,$A12,'Data - Season'!$C$5:$C$743,$B12,'Data - Season'!$D$5:$D$743,$C12)</f>
        <v/>
      </c>
      <c r="G12" s="36">
        <f>SUMIFS('Data - Season'!$H$5:$H$743,'Data - Season'!$B$5:$B$743,$A12,'Data - Season'!$C$5:$C$743,$B12,'Data - Season'!$D$5:$D$743,$C12)</f>
        <v/>
      </c>
      <c r="H12" s="36">
        <f>SUMIFS('Data - Season'!$I$5:$I$743,'Data - Season'!$B$5:$B$743,$A12,'Data - Season'!$C$5:$C$743,$B12,'Data - Season'!$D$5:$D$743,$C12)</f>
        <v/>
      </c>
      <c r="I12" s="36">
        <f>SUMIFS('Data - Season'!$J$5:$J$743,'Data - Season'!$B$5:$B$743,$A12,'Data - Season'!$C$5:$C$743,$B12,'Data - Season'!$D$5:$D$743,$C12)</f>
        <v/>
      </c>
      <c r="J12" s="33">
        <f>SUMIFS('Data - Pre'!$E$5:$E$750,'Data - Pre'!$B$5:$B$750,$A12,'Data - Pre'!$C$5:$C$750,$B12,'Data - Pre'!$D$5:$D$750,$C12)</f>
        <v/>
      </c>
      <c r="K12" s="33">
        <f>SUMIFS('Data - Pre'!$F$5:$F$750,'Data - Pre'!$B$5:$B$750,$A12,'Data - Pre'!$C$5:$C$750,$B12,'Data - Pre'!$D$5:$D$750,$C12)</f>
        <v/>
      </c>
      <c r="L12" s="36">
        <f>SUMIFS('Data - Pre'!$I$5:$I$750,'Data - Pre'!$B$5:$B$750,$A12,'Data - Pre'!$C$5:$C$750,$B12,'Data - Pre'!$D$5:$D$750,$C12)</f>
        <v/>
      </c>
      <c r="M12" s="36">
        <f>SUMIFS('Data - Pre'!$J$5:$J$750,'Data - Pre'!$B$5:$B$750,$A12,'Data - Pre'!$C$5:$C$750,$B12,'Data - Pre'!$D$5:$D$750,$C12)</f>
        <v/>
      </c>
      <c r="N12" s="49">
        <f>IFERROR($H12/$D12,0)</f>
        <v/>
      </c>
      <c r="O12" s="49">
        <f>IFERROR($I12/$E12,0)</f>
        <v/>
      </c>
      <c r="P12" s="49">
        <f>IFERROR($F12/$D12,0)</f>
        <v/>
      </c>
      <c r="Q12" s="49">
        <f>IFERROR($G12/$E12,0)</f>
        <v/>
      </c>
      <c r="R12" s="49">
        <f>IFERROR(($F12-$H12)/$D12,0)</f>
        <v/>
      </c>
      <c r="S12" s="49">
        <f>IFERROR(($G12-$I12)/$E12,0)</f>
        <v/>
      </c>
      <c r="T12" s="36">
        <f>$E12*$N12</f>
        <v/>
      </c>
      <c r="U12" s="36">
        <f>$E12*($O12-$N12)</f>
        <v/>
      </c>
      <c r="V12" s="44">
        <f>IFERROR($E12/$D12-1,"")</f>
        <v/>
      </c>
      <c r="W12" s="44">
        <f>IFERROR($K12/$J12-1,"")</f>
        <v/>
      </c>
      <c r="X12" s="44">
        <f>IFERROR($V12-$W12,"")</f>
        <v/>
      </c>
    </row>
    <row r="13">
      <c r="A13" s="41" t="inlineStr">
        <is>
          <t>Amplify</t>
        </is>
      </c>
      <c r="B13" s="41" t="inlineStr">
        <is>
          <t>Constellation Brands</t>
        </is>
      </c>
      <c r="C13" s="41" t="inlineStr">
        <is>
          <t>Victoria</t>
        </is>
      </c>
      <c r="D13" s="33">
        <f>SUMIFS('Data - Season'!$E$5:$E$743,'Data - Season'!$B$5:$B$743,$A13,'Data - Season'!$C$5:$C$743,$B13,'Data - Season'!$D$5:$D$743,$C13)</f>
        <v/>
      </c>
      <c r="E13" s="33">
        <f>SUMIFS('Data - Season'!$F$5:$F$743,'Data - Season'!$B$5:$B$743,$A13,'Data - Season'!$C$5:$C$743,$B13,'Data - Season'!$D$5:$D$743,$C13)</f>
        <v/>
      </c>
      <c r="F13" s="36">
        <f>SUMIFS('Data - Season'!$G$5:$G$743,'Data - Season'!$B$5:$B$743,$A13,'Data - Season'!$C$5:$C$743,$B13,'Data - Season'!$D$5:$D$743,$C13)</f>
        <v/>
      </c>
      <c r="G13" s="36">
        <f>SUMIFS('Data - Season'!$H$5:$H$743,'Data - Season'!$B$5:$B$743,$A13,'Data - Season'!$C$5:$C$743,$B13,'Data - Season'!$D$5:$D$743,$C13)</f>
        <v/>
      </c>
      <c r="H13" s="36">
        <f>SUMIFS('Data - Season'!$I$5:$I$743,'Data - Season'!$B$5:$B$743,$A13,'Data - Season'!$C$5:$C$743,$B13,'Data - Season'!$D$5:$D$743,$C13)</f>
        <v/>
      </c>
      <c r="I13" s="36">
        <f>SUMIFS('Data - Season'!$J$5:$J$743,'Data - Season'!$B$5:$B$743,$A13,'Data - Season'!$C$5:$C$743,$B13,'Data - Season'!$D$5:$D$743,$C13)</f>
        <v/>
      </c>
      <c r="J13" s="33">
        <f>SUMIFS('Data - Pre'!$E$5:$E$750,'Data - Pre'!$B$5:$B$750,$A13,'Data - Pre'!$C$5:$C$750,$B13,'Data - Pre'!$D$5:$D$750,$C13)</f>
        <v/>
      </c>
      <c r="K13" s="33">
        <f>SUMIFS('Data - Pre'!$F$5:$F$750,'Data - Pre'!$B$5:$B$750,$A13,'Data - Pre'!$C$5:$C$750,$B13,'Data - Pre'!$D$5:$D$750,$C13)</f>
        <v/>
      </c>
      <c r="L13" s="36">
        <f>SUMIFS('Data - Pre'!$I$5:$I$750,'Data - Pre'!$B$5:$B$750,$A13,'Data - Pre'!$C$5:$C$750,$B13,'Data - Pre'!$D$5:$D$750,$C13)</f>
        <v/>
      </c>
      <c r="M13" s="36">
        <f>SUMIFS('Data - Pre'!$J$5:$J$750,'Data - Pre'!$B$5:$B$750,$A13,'Data - Pre'!$C$5:$C$750,$B13,'Data - Pre'!$D$5:$D$750,$C13)</f>
        <v/>
      </c>
      <c r="N13" s="49">
        <f>IFERROR($H13/$D13,0)</f>
        <v/>
      </c>
      <c r="O13" s="49">
        <f>IFERROR($I13/$E13,0)</f>
        <v/>
      </c>
      <c r="P13" s="49">
        <f>IFERROR($F13/$D13,0)</f>
        <v/>
      </c>
      <c r="Q13" s="49">
        <f>IFERROR($G13/$E13,0)</f>
        <v/>
      </c>
      <c r="R13" s="49">
        <f>IFERROR(($F13-$H13)/$D13,0)</f>
        <v/>
      </c>
      <c r="S13" s="49">
        <f>IFERROR(($G13-$I13)/$E13,0)</f>
        <v/>
      </c>
      <c r="T13" s="36">
        <f>$E13*$N13</f>
        <v/>
      </c>
      <c r="U13" s="36">
        <f>$E13*($O13-$N13)</f>
        <v/>
      </c>
      <c r="V13" s="44">
        <f>IFERROR($E13/$D13-1,"")</f>
        <v/>
      </c>
      <c r="W13" s="44">
        <f>IFERROR($K13/$J13-1,"")</f>
        <v/>
      </c>
      <c r="X13" s="44">
        <f>IFERROR($V13-$W13,"")</f>
        <v/>
      </c>
    </row>
    <row r="14">
      <c r="A14" s="41" t="inlineStr">
        <is>
          <t>Amplify</t>
        </is>
      </c>
      <c r="B14" s="41" t="inlineStr">
        <is>
          <t>DG Yuengling Inc</t>
        </is>
      </c>
      <c r="C14" s="41" t="inlineStr">
        <is>
          <t>Yuengling Flight</t>
        </is>
      </c>
      <c r="D14" s="33">
        <f>SUMIFS('Data - Season'!$E$5:$E$743,'Data - Season'!$B$5:$B$743,$A14,'Data - Season'!$C$5:$C$743,$B14,'Data - Season'!$D$5:$D$743,$C14)</f>
        <v/>
      </c>
      <c r="E14" s="33">
        <f>SUMIFS('Data - Season'!$F$5:$F$743,'Data - Season'!$B$5:$B$743,$A14,'Data - Season'!$C$5:$C$743,$B14,'Data - Season'!$D$5:$D$743,$C14)</f>
        <v/>
      </c>
      <c r="F14" s="36">
        <f>SUMIFS('Data - Season'!$G$5:$G$743,'Data - Season'!$B$5:$B$743,$A14,'Data - Season'!$C$5:$C$743,$B14,'Data - Season'!$D$5:$D$743,$C14)</f>
        <v/>
      </c>
      <c r="G14" s="36">
        <f>SUMIFS('Data - Season'!$H$5:$H$743,'Data - Season'!$B$5:$B$743,$A14,'Data - Season'!$C$5:$C$743,$B14,'Data - Season'!$D$5:$D$743,$C14)</f>
        <v/>
      </c>
      <c r="H14" s="36">
        <f>SUMIFS('Data - Season'!$I$5:$I$743,'Data - Season'!$B$5:$B$743,$A14,'Data - Season'!$C$5:$C$743,$B14,'Data - Season'!$D$5:$D$743,$C14)</f>
        <v/>
      </c>
      <c r="I14" s="36">
        <f>SUMIFS('Data - Season'!$J$5:$J$743,'Data - Season'!$B$5:$B$743,$A14,'Data - Season'!$C$5:$C$743,$B14,'Data - Season'!$D$5:$D$743,$C14)</f>
        <v/>
      </c>
      <c r="J14" s="33">
        <f>SUMIFS('Data - Pre'!$E$5:$E$750,'Data - Pre'!$B$5:$B$750,$A14,'Data - Pre'!$C$5:$C$750,$B14,'Data - Pre'!$D$5:$D$750,$C14)</f>
        <v/>
      </c>
      <c r="K14" s="33">
        <f>SUMIFS('Data - Pre'!$F$5:$F$750,'Data - Pre'!$B$5:$B$750,$A14,'Data - Pre'!$C$5:$C$750,$B14,'Data - Pre'!$D$5:$D$750,$C14)</f>
        <v/>
      </c>
      <c r="L14" s="36">
        <f>SUMIFS('Data - Pre'!$I$5:$I$750,'Data - Pre'!$B$5:$B$750,$A14,'Data - Pre'!$C$5:$C$750,$B14,'Data - Pre'!$D$5:$D$750,$C14)</f>
        <v/>
      </c>
      <c r="M14" s="36">
        <f>SUMIFS('Data - Pre'!$J$5:$J$750,'Data - Pre'!$B$5:$B$750,$A14,'Data - Pre'!$C$5:$C$750,$B14,'Data - Pre'!$D$5:$D$750,$C14)</f>
        <v/>
      </c>
      <c r="N14" s="49">
        <f>IFERROR($H14/$D14,0)</f>
        <v/>
      </c>
      <c r="O14" s="49">
        <f>IFERROR($I14/$E14,0)</f>
        <v/>
      </c>
      <c r="P14" s="49">
        <f>IFERROR($F14/$D14,0)</f>
        <v/>
      </c>
      <c r="Q14" s="49">
        <f>IFERROR($G14/$E14,0)</f>
        <v/>
      </c>
      <c r="R14" s="49">
        <f>IFERROR(($F14-$H14)/$D14,0)</f>
        <v/>
      </c>
      <c r="S14" s="49">
        <f>IFERROR(($G14-$I14)/$E14,0)</f>
        <v/>
      </c>
      <c r="T14" s="36">
        <f>$E14*$N14</f>
        <v/>
      </c>
      <c r="U14" s="36">
        <f>$E14*($O14-$N14)</f>
        <v/>
      </c>
      <c r="V14" s="44">
        <f>IFERROR($E14/$D14-1,"")</f>
        <v/>
      </c>
      <c r="W14" s="44">
        <f>IFERROR($K14/$J14-1,"")</f>
        <v/>
      </c>
      <c r="X14" s="44">
        <f>IFERROR($V14-$W14,"")</f>
        <v/>
      </c>
    </row>
    <row r="15">
      <c r="A15" s="41" t="inlineStr">
        <is>
          <t>Amplify</t>
        </is>
      </c>
      <c r="B15" s="41" t="inlineStr">
        <is>
          <t>DG Yuengling Inc</t>
        </is>
      </c>
      <c r="C15" s="41" t="inlineStr">
        <is>
          <t>Yuengling Light Lager</t>
        </is>
      </c>
      <c r="D15" s="33">
        <f>SUMIFS('Data - Season'!$E$5:$E$743,'Data - Season'!$B$5:$B$743,$A15,'Data - Season'!$C$5:$C$743,$B15,'Data - Season'!$D$5:$D$743,$C15)</f>
        <v/>
      </c>
      <c r="E15" s="33">
        <f>SUMIFS('Data - Season'!$F$5:$F$743,'Data - Season'!$B$5:$B$743,$A15,'Data - Season'!$C$5:$C$743,$B15,'Data - Season'!$D$5:$D$743,$C15)</f>
        <v/>
      </c>
      <c r="F15" s="36">
        <f>SUMIFS('Data - Season'!$G$5:$G$743,'Data - Season'!$B$5:$B$743,$A15,'Data - Season'!$C$5:$C$743,$B15,'Data - Season'!$D$5:$D$743,$C15)</f>
        <v/>
      </c>
      <c r="G15" s="36">
        <f>SUMIFS('Data - Season'!$H$5:$H$743,'Data - Season'!$B$5:$B$743,$A15,'Data - Season'!$C$5:$C$743,$B15,'Data - Season'!$D$5:$D$743,$C15)</f>
        <v/>
      </c>
      <c r="H15" s="36">
        <f>SUMIFS('Data - Season'!$I$5:$I$743,'Data - Season'!$B$5:$B$743,$A15,'Data - Season'!$C$5:$C$743,$B15,'Data - Season'!$D$5:$D$743,$C15)</f>
        <v/>
      </c>
      <c r="I15" s="36">
        <f>SUMIFS('Data - Season'!$J$5:$J$743,'Data - Season'!$B$5:$B$743,$A15,'Data - Season'!$C$5:$C$743,$B15,'Data - Season'!$D$5:$D$743,$C15)</f>
        <v/>
      </c>
      <c r="J15" s="33">
        <f>SUMIFS('Data - Pre'!$E$5:$E$750,'Data - Pre'!$B$5:$B$750,$A15,'Data - Pre'!$C$5:$C$750,$B15,'Data - Pre'!$D$5:$D$750,$C15)</f>
        <v/>
      </c>
      <c r="K15" s="33">
        <f>SUMIFS('Data - Pre'!$F$5:$F$750,'Data - Pre'!$B$5:$B$750,$A15,'Data - Pre'!$C$5:$C$750,$B15,'Data - Pre'!$D$5:$D$750,$C15)</f>
        <v/>
      </c>
      <c r="L15" s="36">
        <f>SUMIFS('Data - Pre'!$I$5:$I$750,'Data - Pre'!$B$5:$B$750,$A15,'Data - Pre'!$C$5:$C$750,$B15,'Data - Pre'!$D$5:$D$750,$C15)</f>
        <v/>
      </c>
      <c r="M15" s="36">
        <f>SUMIFS('Data - Pre'!$J$5:$J$750,'Data - Pre'!$B$5:$B$750,$A15,'Data - Pre'!$C$5:$C$750,$B15,'Data - Pre'!$D$5:$D$750,$C15)</f>
        <v/>
      </c>
      <c r="N15" s="49">
        <f>IFERROR($H15/$D15,0)</f>
        <v/>
      </c>
      <c r="O15" s="49">
        <f>IFERROR($I15/$E15,0)</f>
        <v/>
      </c>
      <c r="P15" s="49">
        <f>IFERROR($F15/$D15,0)</f>
        <v/>
      </c>
      <c r="Q15" s="49">
        <f>IFERROR($G15/$E15,0)</f>
        <v/>
      </c>
      <c r="R15" s="49">
        <f>IFERROR(($F15-$H15)/$D15,0)</f>
        <v/>
      </c>
      <c r="S15" s="49">
        <f>IFERROR(($G15-$I15)/$E15,0)</f>
        <v/>
      </c>
      <c r="T15" s="36">
        <f>$E15*$N15</f>
        <v/>
      </c>
      <c r="U15" s="36">
        <f>$E15*($O15-$N15)</f>
        <v/>
      </c>
      <c r="V15" s="44">
        <f>IFERROR($E15/$D15-1,"")</f>
        <v/>
      </c>
      <c r="W15" s="44">
        <f>IFERROR($K15/$J15-1,"")</f>
        <v/>
      </c>
      <c r="X15" s="44">
        <f>IFERROR($V15-$W15,"")</f>
        <v/>
      </c>
    </row>
    <row r="16">
      <c r="A16" s="41" t="inlineStr">
        <is>
          <t>Amplify</t>
        </is>
      </c>
      <c r="B16" s="41" t="inlineStr">
        <is>
          <t>Heineken USA</t>
        </is>
      </c>
      <c r="C16" s="41" t="inlineStr">
        <is>
          <t>Heineken 0.0</t>
        </is>
      </c>
      <c r="D16" s="33">
        <f>SUMIFS('Data - Season'!$E$5:$E$743,'Data - Season'!$B$5:$B$743,$A16,'Data - Season'!$C$5:$C$743,$B16,'Data - Season'!$D$5:$D$743,$C16)</f>
        <v/>
      </c>
      <c r="E16" s="33">
        <f>SUMIFS('Data - Season'!$F$5:$F$743,'Data - Season'!$B$5:$B$743,$A16,'Data - Season'!$C$5:$C$743,$B16,'Data - Season'!$D$5:$D$743,$C16)</f>
        <v/>
      </c>
      <c r="F16" s="36">
        <f>SUMIFS('Data - Season'!$G$5:$G$743,'Data - Season'!$B$5:$B$743,$A16,'Data - Season'!$C$5:$C$743,$B16,'Data - Season'!$D$5:$D$743,$C16)</f>
        <v/>
      </c>
      <c r="G16" s="36">
        <f>SUMIFS('Data - Season'!$H$5:$H$743,'Data - Season'!$B$5:$B$743,$A16,'Data - Season'!$C$5:$C$743,$B16,'Data - Season'!$D$5:$D$743,$C16)</f>
        <v/>
      </c>
      <c r="H16" s="36">
        <f>SUMIFS('Data - Season'!$I$5:$I$743,'Data - Season'!$B$5:$B$743,$A16,'Data - Season'!$C$5:$C$743,$B16,'Data - Season'!$D$5:$D$743,$C16)</f>
        <v/>
      </c>
      <c r="I16" s="36">
        <f>SUMIFS('Data - Season'!$J$5:$J$743,'Data - Season'!$B$5:$B$743,$A16,'Data - Season'!$C$5:$C$743,$B16,'Data - Season'!$D$5:$D$743,$C16)</f>
        <v/>
      </c>
      <c r="J16" s="33">
        <f>SUMIFS('Data - Pre'!$E$5:$E$750,'Data - Pre'!$B$5:$B$750,$A16,'Data - Pre'!$C$5:$C$750,$B16,'Data - Pre'!$D$5:$D$750,$C16)</f>
        <v/>
      </c>
      <c r="K16" s="33">
        <f>SUMIFS('Data - Pre'!$F$5:$F$750,'Data - Pre'!$B$5:$B$750,$A16,'Data - Pre'!$C$5:$C$750,$B16,'Data - Pre'!$D$5:$D$750,$C16)</f>
        <v/>
      </c>
      <c r="L16" s="36">
        <f>SUMIFS('Data - Pre'!$I$5:$I$750,'Data - Pre'!$B$5:$B$750,$A16,'Data - Pre'!$C$5:$C$750,$B16,'Data - Pre'!$D$5:$D$750,$C16)</f>
        <v/>
      </c>
      <c r="M16" s="36">
        <f>SUMIFS('Data - Pre'!$J$5:$J$750,'Data - Pre'!$B$5:$B$750,$A16,'Data - Pre'!$C$5:$C$750,$B16,'Data - Pre'!$D$5:$D$750,$C16)</f>
        <v/>
      </c>
      <c r="N16" s="49">
        <f>IFERROR($H16/$D16,0)</f>
        <v/>
      </c>
      <c r="O16" s="49">
        <f>IFERROR($I16/$E16,0)</f>
        <v/>
      </c>
      <c r="P16" s="49">
        <f>IFERROR($F16/$D16,0)</f>
        <v/>
      </c>
      <c r="Q16" s="49">
        <f>IFERROR($G16/$E16,0)</f>
        <v/>
      </c>
      <c r="R16" s="49">
        <f>IFERROR(($F16-$H16)/$D16,0)</f>
        <v/>
      </c>
      <c r="S16" s="49">
        <f>IFERROR(($G16-$I16)/$E16,0)</f>
        <v/>
      </c>
      <c r="T16" s="36">
        <f>$E16*$N16</f>
        <v/>
      </c>
      <c r="U16" s="36">
        <f>$E16*($O16-$N16)</f>
        <v/>
      </c>
      <c r="V16" s="44">
        <f>IFERROR($E16/$D16-1,"")</f>
        <v/>
      </c>
      <c r="W16" s="44">
        <f>IFERROR($K16/$J16-1,"")</f>
        <v/>
      </c>
      <c r="X16" s="44">
        <f>IFERROR($V16-$W16,"")</f>
        <v/>
      </c>
    </row>
    <row r="17">
      <c r="A17" s="41" t="inlineStr">
        <is>
          <t>Amplify</t>
        </is>
      </c>
      <c r="B17" s="41" t="inlineStr">
        <is>
          <t>Heineken USA</t>
        </is>
      </c>
      <c r="C17" s="41" t="inlineStr">
        <is>
          <t>Heineken Light</t>
        </is>
      </c>
      <c r="D17" s="33">
        <f>SUMIFS('Data - Season'!$E$5:$E$743,'Data - Season'!$B$5:$B$743,$A17,'Data - Season'!$C$5:$C$743,$B17,'Data - Season'!$D$5:$D$743,$C17)</f>
        <v/>
      </c>
      <c r="E17" s="33">
        <f>SUMIFS('Data - Season'!$F$5:$F$743,'Data - Season'!$B$5:$B$743,$A17,'Data - Season'!$C$5:$C$743,$B17,'Data - Season'!$D$5:$D$743,$C17)</f>
        <v/>
      </c>
      <c r="F17" s="36">
        <f>SUMIFS('Data - Season'!$G$5:$G$743,'Data - Season'!$B$5:$B$743,$A17,'Data - Season'!$C$5:$C$743,$B17,'Data - Season'!$D$5:$D$743,$C17)</f>
        <v/>
      </c>
      <c r="G17" s="36">
        <f>SUMIFS('Data - Season'!$H$5:$H$743,'Data - Season'!$B$5:$B$743,$A17,'Data - Season'!$C$5:$C$743,$B17,'Data - Season'!$D$5:$D$743,$C17)</f>
        <v/>
      </c>
      <c r="H17" s="36">
        <f>SUMIFS('Data - Season'!$I$5:$I$743,'Data - Season'!$B$5:$B$743,$A17,'Data - Season'!$C$5:$C$743,$B17,'Data - Season'!$D$5:$D$743,$C17)</f>
        <v/>
      </c>
      <c r="I17" s="36">
        <f>SUMIFS('Data - Season'!$J$5:$J$743,'Data - Season'!$B$5:$B$743,$A17,'Data - Season'!$C$5:$C$743,$B17,'Data - Season'!$D$5:$D$743,$C17)</f>
        <v/>
      </c>
      <c r="J17" s="33">
        <f>SUMIFS('Data - Pre'!$E$5:$E$750,'Data - Pre'!$B$5:$B$750,$A17,'Data - Pre'!$C$5:$C$750,$B17,'Data - Pre'!$D$5:$D$750,$C17)</f>
        <v/>
      </c>
      <c r="K17" s="33">
        <f>SUMIFS('Data - Pre'!$F$5:$F$750,'Data - Pre'!$B$5:$B$750,$A17,'Data - Pre'!$C$5:$C$750,$B17,'Data - Pre'!$D$5:$D$750,$C17)</f>
        <v/>
      </c>
      <c r="L17" s="36">
        <f>SUMIFS('Data - Pre'!$I$5:$I$750,'Data - Pre'!$B$5:$B$750,$A17,'Data - Pre'!$C$5:$C$750,$B17,'Data - Pre'!$D$5:$D$750,$C17)</f>
        <v/>
      </c>
      <c r="M17" s="36">
        <f>SUMIFS('Data - Pre'!$J$5:$J$750,'Data - Pre'!$B$5:$B$750,$A17,'Data - Pre'!$C$5:$C$750,$B17,'Data - Pre'!$D$5:$D$750,$C17)</f>
        <v/>
      </c>
      <c r="N17" s="49">
        <f>IFERROR($H17/$D17,0)</f>
        <v/>
      </c>
      <c r="O17" s="49">
        <f>IFERROR($I17/$E17,0)</f>
        <v/>
      </c>
      <c r="P17" s="49">
        <f>IFERROR($F17/$D17,0)</f>
        <v/>
      </c>
      <c r="Q17" s="49">
        <f>IFERROR($G17/$E17,0)</f>
        <v/>
      </c>
      <c r="R17" s="49">
        <f>IFERROR(($F17-$H17)/$D17,0)</f>
        <v/>
      </c>
      <c r="S17" s="49">
        <f>IFERROR(($G17-$I17)/$E17,0)</f>
        <v/>
      </c>
      <c r="T17" s="36">
        <f>$E17*$N17</f>
        <v/>
      </c>
      <c r="U17" s="36">
        <f>$E17*($O17-$N17)</f>
        <v/>
      </c>
      <c r="V17" s="44">
        <f>IFERROR($E17/$D17-1,"")</f>
        <v/>
      </c>
      <c r="W17" s="44">
        <f>IFERROR($K17/$J17-1,"")</f>
        <v/>
      </c>
      <c r="X17" s="44">
        <f>IFERROR($V17-$W17,"")</f>
        <v/>
      </c>
    </row>
    <row r="18">
      <c r="A18" s="41" t="inlineStr">
        <is>
          <t>Amplify</t>
        </is>
      </c>
      <c r="B18" s="41" t="inlineStr">
        <is>
          <t>Mark Anthony</t>
        </is>
      </c>
      <c r="C18" s="41" t="inlineStr">
        <is>
          <t>Cayman Jack</t>
        </is>
      </c>
      <c r="D18" s="33">
        <f>SUMIFS('Data - Season'!$E$5:$E$743,'Data - Season'!$B$5:$B$743,$A18,'Data - Season'!$C$5:$C$743,$B18,'Data - Season'!$D$5:$D$743,$C18)</f>
        <v/>
      </c>
      <c r="E18" s="33">
        <f>SUMIFS('Data - Season'!$F$5:$F$743,'Data - Season'!$B$5:$B$743,$A18,'Data - Season'!$C$5:$C$743,$B18,'Data - Season'!$D$5:$D$743,$C18)</f>
        <v/>
      </c>
      <c r="F18" s="36">
        <f>SUMIFS('Data - Season'!$G$5:$G$743,'Data - Season'!$B$5:$B$743,$A18,'Data - Season'!$C$5:$C$743,$B18,'Data - Season'!$D$5:$D$743,$C18)</f>
        <v/>
      </c>
      <c r="G18" s="36">
        <f>SUMIFS('Data - Season'!$H$5:$H$743,'Data - Season'!$B$5:$B$743,$A18,'Data - Season'!$C$5:$C$743,$B18,'Data - Season'!$D$5:$D$743,$C18)</f>
        <v/>
      </c>
      <c r="H18" s="36">
        <f>SUMIFS('Data - Season'!$I$5:$I$743,'Data - Season'!$B$5:$B$743,$A18,'Data - Season'!$C$5:$C$743,$B18,'Data - Season'!$D$5:$D$743,$C18)</f>
        <v/>
      </c>
      <c r="I18" s="36">
        <f>SUMIFS('Data - Season'!$J$5:$J$743,'Data - Season'!$B$5:$B$743,$A18,'Data - Season'!$C$5:$C$743,$B18,'Data - Season'!$D$5:$D$743,$C18)</f>
        <v/>
      </c>
      <c r="J18" s="33">
        <f>SUMIFS('Data - Pre'!$E$5:$E$750,'Data - Pre'!$B$5:$B$750,$A18,'Data - Pre'!$C$5:$C$750,$B18,'Data - Pre'!$D$5:$D$750,$C18)</f>
        <v/>
      </c>
      <c r="K18" s="33">
        <f>SUMIFS('Data - Pre'!$F$5:$F$750,'Data - Pre'!$B$5:$B$750,$A18,'Data - Pre'!$C$5:$C$750,$B18,'Data - Pre'!$D$5:$D$750,$C18)</f>
        <v/>
      </c>
      <c r="L18" s="36">
        <f>SUMIFS('Data - Pre'!$I$5:$I$750,'Data - Pre'!$B$5:$B$750,$A18,'Data - Pre'!$C$5:$C$750,$B18,'Data - Pre'!$D$5:$D$750,$C18)</f>
        <v/>
      </c>
      <c r="M18" s="36">
        <f>SUMIFS('Data - Pre'!$J$5:$J$750,'Data - Pre'!$B$5:$B$750,$A18,'Data - Pre'!$C$5:$C$750,$B18,'Data - Pre'!$D$5:$D$750,$C18)</f>
        <v/>
      </c>
      <c r="N18" s="49">
        <f>IFERROR($H18/$D18,0)</f>
        <v/>
      </c>
      <c r="O18" s="49">
        <f>IFERROR($I18/$E18,0)</f>
        <v/>
      </c>
      <c r="P18" s="49">
        <f>IFERROR($F18/$D18,0)</f>
        <v/>
      </c>
      <c r="Q18" s="49">
        <f>IFERROR($G18/$E18,0)</f>
        <v/>
      </c>
      <c r="R18" s="49">
        <f>IFERROR(($F18-$H18)/$D18,0)</f>
        <v/>
      </c>
      <c r="S18" s="49">
        <f>IFERROR(($G18-$I18)/$E18,0)</f>
        <v/>
      </c>
      <c r="T18" s="36">
        <f>$E18*$N18</f>
        <v/>
      </c>
      <c r="U18" s="36">
        <f>$E18*($O18-$N18)</f>
        <v/>
      </c>
      <c r="V18" s="44">
        <f>IFERROR($E18/$D18-1,"")</f>
        <v/>
      </c>
      <c r="W18" s="44">
        <f>IFERROR($K18/$J18-1,"")</f>
        <v/>
      </c>
      <c r="X18" s="44">
        <f>IFERROR($V18-$W18,"")</f>
        <v/>
      </c>
    </row>
    <row r="19">
      <c r="A19" s="41" t="inlineStr">
        <is>
          <t>Amplify</t>
        </is>
      </c>
      <c r="B19" s="41" t="inlineStr">
        <is>
          <t>Mark Anthony</t>
        </is>
      </c>
      <c r="C19" s="41" t="inlineStr">
        <is>
          <t>Mike's Harder</t>
        </is>
      </c>
      <c r="D19" s="33">
        <f>SUMIFS('Data - Season'!$E$5:$E$743,'Data - Season'!$B$5:$B$743,$A19,'Data - Season'!$C$5:$C$743,$B19,'Data - Season'!$D$5:$D$743,$C19)</f>
        <v/>
      </c>
      <c r="E19" s="33">
        <f>SUMIFS('Data - Season'!$F$5:$F$743,'Data - Season'!$B$5:$B$743,$A19,'Data - Season'!$C$5:$C$743,$B19,'Data - Season'!$D$5:$D$743,$C19)</f>
        <v/>
      </c>
      <c r="F19" s="36">
        <f>SUMIFS('Data - Season'!$G$5:$G$743,'Data - Season'!$B$5:$B$743,$A19,'Data - Season'!$C$5:$C$743,$B19,'Data - Season'!$D$5:$D$743,$C19)</f>
        <v/>
      </c>
      <c r="G19" s="36">
        <f>SUMIFS('Data - Season'!$H$5:$H$743,'Data - Season'!$B$5:$B$743,$A19,'Data - Season'!$C$5:$C$743,$B19,'Data - Season'!$D$5:$D$743,$C19)</f>
        <v/>
      </c>
      <c r="H19" s="36">
        <f>SUMIFS('Data - Season'!$I$5:$I$743,'Data - Season'!$B$5:$B$743,$A19,'Data - Season'!$C$5:$C$743,$B19,'Data - Season'!$D$5:$D$743,$C19)</f>
        <v/>
      </c>
      <c r="I19" s="36">
        <f>SUMIFS('Data - Season'!$J$5:$J$743,'Data - Season'!$B$5:$B$743,$A19,'Data - Season'!$C$5:$C$743,$B19,'Data - Season'!$D$5:$D$743,$C19)</f>
        <v/>
      </c>
      <c r="J19" s="33">
        <f>SUMIFS('Data - Pre'!$E$5:$E$750,'Data - Pre'!$B$5:$B$750,$A19,'Data - Pre'!$C$5:$C$750,$B19,'Data - Pre'!$D$5:$D$750,$C19)</f>
        <v/>
      </c>
      <c r="K19" s="33">
        <f>SUMIFS('Data - Pre'!$F$5:$F$750,'Data - Pre'!$B$5:$B$750,$A19,'Data - Pre'!$C$5:$C$750,$B19,'Data - Pre'!$D$5:$D$750,$C19)</f>
        <v/>
      </c>
      <c r="L19" s="36">
        <f>SUMIFS('Data - Pre'!$I$5:$I$750,'Data - Pre'!$B$5:$B$750,$A19,'Data - Pre'!$C$5:$C$750,$B19,'Data - Pre'!$D$5:$D$750,$C19)</f>
        <v/>
      </c>
      <c r="M19" s="36">
        <f>SUMIFS('Data - Pre'!$J$5:$J$750,'Data - Pre'!$B$5:$B$750,$A19,'Data - Pre'!$C$5:$C$750,$B19,'Data - Pre'!$D$5:$D$750,$C19)</f>
        <v/>
      </c>
      <c r="N19" s="49">
        <f>IFERROR($H19/$D19,0)</f>
        <v/>
      </c>
      <c r="O19" s="49">
        <f>IFERROR($I19/$E19,0)</f>
        <v/>
      </c>
      <c r="P19" s="49">
        <f>IFERROR($F19/$D19,0)</f>
        <v/>
      </c>
      <c r="Q19" s="49">
        <f>IFERROR($G19/$E19,0)</f>
        <v/>
      </c>
      <c r="R19" s="49">
        <f>IFERROR(($F19-$H19)/$D19,0)</f>
        <v/>
      </c>
      <c r="S19" s="49">
        <f>IFERROR(($G19-$I19)/$E19,0)</f>
        <v/>
      </c>
      <c r="T19" s="36">
        <f>$E19*$N19</f>
        <v/>
      </c>
      <c r="U19" s="36">
        <f>$E19*($O19-$N19)</f>
        <v/>
      </c>
      <c r="V19" s="44">
        <f>IFERROR($E19/$D19-1,"")</f>
        <v/>
      </c>
      <c r="W19" s="44">
        <f>IFERROR($K19/$J19-1,"")</f>
        <v/>
      </c>
      <c r="X19" s="44">
        <f>IFERROR($V19-$W19,"")</f>
        <v/>
      </c>
    </row>
    <row r="20">
      <c r="A20" s="41" t="inlineStr">
        <is>
          <t>Amplify</t>
        </is>
      </c>
      <c r="B20" s="41" t="inlineStr">
        <is>
          <t>Mark Anthony</t>
        </is>
      </c>
      <c r="C20" s="41" t="inlineStr">
        <is>
          <t>Mxd Cocktails</t>
        </is>
      </c>
      <c r="D20" s="33">
        <f>SUMIFS('Data - Season'!$E$5:$E$743,'Data - Season'!$B$5:$B$743,$A20,'Data - Season'!$C$5:$C$743,$B20,'Data - Season'!$D$5:$D$743,$C20)</f>
        <v/>
      </c>
      <c r="E20" s="33">
        <f>SUMIFS('Data - Season'!$F$5:$F$743,'Data - Season'!$B$5:$B$743,$A20,'Data - Season'!$C$5:$C$743,$B20,'Data - Season'!$D$5:$D$743,$C20)</f>
        <v/>
      </c>
      <c r="F20" s="36">
        <f>SUMIFS('Data - Season'!$G$5:$G$743,'Data - Season'!$B$5:$B$743,$A20,'Data - Season'!$C$5:$C$743,$B20,'Data - Season'!$D$5:$D$743,$C20)</f>
        <v/>
      </c>
      <c r="G20" s="36">
        <f>SUMIFS('Data - Season'!$H$5:$H$743,'Data - Season'!$B$5:$B$743,$A20,'Data - Season'!$C$5:$C$743,$B20,'Data - Season'!$D$5:$D$743,$C20)</f>
        <v/>
      </c>
      <c r="H20" s="36">
        <f>SUMIFS('Data - Season'!$I$5:$I$743,'Data - Season'!$B$5:$B$743,$A20,'Data - Season'!$C$5:$C$743,$B20,'Data - Season'!$D$5:$D$743,$C20)</f>
        <v/>
      </c>
      <c r="I20" s="36">
        <f>SUMIFS('Data - Season'!$J$5:$J$743,'Data - Season'!$B$5:$B$743,$A20,'Data - Season'!$C$5:$C$743,$B20,'Data - Season'!$D$5:$D$743,$C20)</f>
        <v/>
      </c>
      <c r="J20" s="33">
        <f>SUMIFS('Data - Pre'!$E$5:$E$750,'Data - Pre'!$B$5:$B$750,$A20,'Data - Pre'!$C$5:$C$750,$B20,'Data - Pre'!$D$5:$D$750,$C20)</f>
        <v/>
      </c>
      <c r="K20" s="33">
        <f>SUMIFS('Data - Pre'!$F$5:$F$750,'Data - Pre'!$B$5:$B$750,$A20,'Data - Pre'!$C$5:$C$750,$B20,'Data - Pre'!$D$5:$D$750,$C20)</f>
        <v/>
      </c>
      <c r="L20" s="36">
        <f>SUMIFS('Data - Pre'!$I$5:$I$750,'Data - Pre'!$B$5:$B$750,$A20,'Data - Pre'!$C$5:$C$750,$B20,'Data - Pre'!$D$5:$D$750,$C20)</f>
        <v/>
      </c>
      <c r="M20" s="36">
        <f>SUMIFS('Data - Pre'!$J$5:$J$750,'Data - Pre'!$B$5:$B$750,$A20,'Data - Pre'!$C$5:$C$750,$B20,'Data - Pre'!$D$5:$D$750,$C20)</f>
        <v/>
      </c>
      <c r="N20" s="49">
        <f>IFERROR($H20/$D20,0)</f>
        <v/>
      </c>
      <c r="O20" s="49">
        <f>IFERROR($I20/$E20,0)</f>
        <v/>
      </c>
      <c r="P20" s="49">
        <f>IFERROR($F20/$D20,0)</f>
        <v/>
      </c>
      <c r="Q20" s="49">
        <f>IFERROR($G20/$E20,0)</f>
        <v/>
      </c>
      <c r="R20" s="49">
        <f>IFERROR(($F20-$H20)/$D20,0)</f>
        <v/>
      </c>
      <c r="S20" s="49">
        <f>IFERROR(($G20-$I20)/$E20,0)</f>
        <v/>
      </c>
      <c r="T20" s="36">
        <f>$E20*$N20</f>
        <v/>
      </c>
      <c r="U20" s="36">
        <f>$E20*($O20-$N20)</f>
        <v/>
      </c>
      <c r="V20" s="44">
        <f>IFERROR($E20/$D20-1,"")</f>
        <v/>
      </c>
      <c r="W20" s="44">
        <f>IFERROR($K20/$J20-1,"")</f>
        <v/>
      </c>
      <c r="X20" s="44">
        <f>IFERROR($V20-$W20,"")</f>
        <v/>
      </c>
    </row>
    <row r="21">
      <c r="A21" s="41" t="inlineStr">
        <is>
          <t>Amplify</t>
        </is>
      </c>
      <c r="B21" s="41" t="inlineStr">
        <is>
          <t>MolsonCoors Beverage Company</t>
        </is>
      </c>
      <c r="C21" s="41" t="inlineStr">
        <is>
          <t>Coors</t>
        </is>
      </c>
      <c r="D21" s="33">
        <f>SUMIFS('Data - Season'!$E$5:$E$743,'Data - Season'!$B$5:$B$743,$A21,'Data - Season'!$C$5:$C$743,$B21,'Data - Season'!$D$5:$D$743,$C21)</f>
        <v/>
      </c>
      <c r="E21" s="33">
        <f>SUMIFS('Data - Season'!$F$5:$F$743,'Data - Season'!$B$5:$B$743,$A21,'Data - Season'!$C$5:$C$743,$B21,'Data - Season'!$D$5:$D$743,$C21)</f>
        <v/>
      </c>
      <c r="F21" s="36">
        <f>SUMIFS('Data - Season'!$G$5:$G$743,'Data - Season'!$B$5:$B$743,$A21,'Data - Season'!$C$5:$C$743,$B21,'Data - Season'!$D$5:$D$743,$C21)</f>
        <v/>
      </c>
      <c r="G21" s="36">
        <f>SUMIFS('Data - Season'!$H$5:$H$743,'Data - Season'!$B$5:$B$743,$A21,'Data - Season'!$C$5:$C$743,$B21,'Data - Season'!$D$5:$D$743,$C21)</f>
        <v/>
      </c>
      <c r="H21" s="36">
        <f>SUMIFS('Data - Season'!$I$5:$I$743,'Data - Season'!$B$5:$B$743,$A21,'Data - Season'!$C$5:$C$743,$B21,'Data - Season'!$D$5:$D$743,$C21)</f>
        <v/>
      </c>
      <c r="I21" s="36">
        <f>SUMIFS('Data - Season'!$J$5:$J$743,'Data - Season'!$B$5:$B$743,$A21,'Data - Season'!$C$5:$C$743,$B21,'Data - Season'!$D$5:$D$743,$C21)</f>
        <v/>
      </c>
      <c r="J21" s="33">
        <f>SUMIFS('Data - Pre'!$E$5:$E$750,'Data - Pre'!$B$5:$B$750,$A21,'Data - Pre'!$C$5:$C$750,$B21,'Data - Pre'!$D$5:$D$750,$C21)</f>
        <v/>
      </c>
      <c r="K21" s="33">
        <f>SUMIFS('Data - Pre'!$F$5:$F$750,'Data - Pre'!$B$5:$B$750,$A21,'Data - Pre'!$C$5:$C$750,$B21,'Data - Pre'!$D$5:$D$750,$C21)</f>
        <v/>
      </c>
      <c r="L21" s="36">
        <f>SUMIFS('Data - Pre'!$I$5:$I$750,'Data - Pre'!$B$5:$B$750,$A21,'Data - Pre'!$C$5:$C$750,$B21,'Data - Pre'!$D$5:$D$750,$C21)</f>
        <v/>
      </c>
      <c r="M21" s="36">
        <f>SUMIFS('Data - Pre'!$J$5:$J$750,'Data - Pre'!$B$5:$B$750,$A21,'Data - Pre'!$C$5:$C$750,$B21,'Data - Pre'!$D$5:$D$750,$C21)</f>
        <v/>
      </c>
      <c r="N21" s="49">
        <f>IFERROR($H21/$D21,0)</f>
        <v/>
      </c>
      <c r="O21" s="49">
        <f>IFERROR($I21/$E21,0)</f>
        <v/>
      </c>
      <c r="P21" s="49">
        <f>IFERROR($F21/$D21,0)</f>
        <v/>
      </c>
      <c r="Q21" s="49">
        <f>IFERROR($G21/$E21,0)</f>
        <v/>
      </c>
      <c r="R21" s="49">
        <f>IFERROR(($F21-$H21)/$D21,0)</f>
        <v/>
      </c>
      <c r="S21" s="49">
        <f>IFERROR(($G21-$I21)/$E21,0)</f>
        <v/>
      </c>
      <c r="T21" s="36">
        <f>$E21*$N21</f>
        <v/>
      </c>
      <c r="U21" s="36">
        <f>$E21*($O21-$N21)</f>
        <v/>
      </c>
      <c r="V21" s="44">
        <f>IFERROR($E21/$D21-1,"")</f>
        <v/>
      </c>
      <c r="W21" s="44">
        <f>IFERROR($K21/$J21-1,"")</f>
        <v/>
      </c>
      <c r="X21" s="44">
        <f>IFERROR($V21-$W21,"")</f>
        <v/>
      </c>
    </row>
    <row r="22">
      <c r="A22" s="41" t="inlineStr">
        <is>
          <t>Amplify</t>
        </is>
      </c>
      <c r="B22" s="41" t="inlineStr">
        <is>
          <t>MolsonCoors Beverage Company</t>
        </is>
      </c>
      <c r="C22" s="41" t="inlineStr">
        <is>
          <t>Fever Tree</t>
        </is>
      </c>
      <c r="D22" s="33">
        <f>SUMIFS('Data - Season'!$E$5:$E$743,'Data - Season'!$B$5:$B$743,$A22,'Data - Season'!$C$5:$C$743,$B22,'Data - Season'!$D$5:$D$743,$C22)</f>
        <v/>
      </c>
      <c r="E22" s="33">
        <f>SUMIFS('Data - Season'!$F$5:$F$743,'Data - Season'!$B$5:$B$743,$A22,'Data - Season'!$C$5:$C$743,$B22,'Data - Season'!$D$5:$D$743,$C22)</f>
        <v/>
      </c>
      <c r="F22" s="36">
        <f>SUMIFS('Data - Season'!$G$5:$G$743,'Data - Season'!$B$5:$B$743,$A22,'Data - Season'!$C$5:$C$743,$B22,'Data - Season'!$D$5:$D$743,$C22)</f>
        <v/>
      </c>
      <c r="G22" s="36">
        <f>SUMIFS('Data - Season'!$H$5:$H$743,'Data - Season'!$B$5:$B$743,$A22,'Data - Season'!$C$5:$C$743,$B22,'Data - Season'!$D$5:$D$743,$C22)</f>
        <v/>
      </c>
      <c r="H22" s="36">
        <f>SUMIFS('Data - Season'!$I$5:$I$743,'Data - Season'!$B$5:$B$743,$A22,'Data - Season'!$C$5:$C$743,$B22,'Data - Season'!$D$5:$D$743,$C22)</f>
        <v/>
      </c>
      <c r="I22" s="36">
        <f>SUMIFS('Data - Season'!$J$5:$J$743,'Data - Season'!$B$5:$B$743,$A22,'Data - Season'!$C$5:$C$743,$B22,'Data - Season'!$D$5:$D$743,$C22)</f>
        <v/>
      </c>
      <c r="J22" s="33">
        <f>SUMIFS('Data - Pre'!$E$5:$E$750,'Data - Pre'!$B$5:$B$750,$A22,'Data - Pre'!$C$5:$C$750,$B22,'Data - Pre'!$D$5:$D$750,$C22)</f>
        <v/>
      </c>
      <c r="K22" s="33">
        <f>SUMIFS('Data - Pre'!$F$5:$F$750,'Data - Pre'!$B$5:$B$750,$A22,'Data - Pre'!$C$5:$C$750,$B22,'Data - Pre'!$D$5:$D$750,$C22)</f>
        <v/>
      </c>
      <c r="L22" s="36">
        <f>SUMIFS('Data - Pre'!$I$5:$I$750,'Data - Pre'!$B$5:$B$750,$A22,'Data - Pre'!$C$5:$C$750,$B22,'Data - Pre'!$D$5:$D$750,$C22)</f>
        <v/>
      </c>
      <c r="M22" s="36">
        <f>SUMIFS('Data - Pre'!$J$5:$J$750,'Data - Pre'!$B$5:$B$750,$A22,'Data - Pre'!$C$5:$C$750,$B22,'Data - Pre'!$D$5:$D$750,$C22)</f>
        <v/>
      </c>
      <c r="N22" s="49">
        <f>IFERROR($H22/$D22,0)</f>
        <v/>
      </c>
      <c r="O22" s="49">
        <f>IFERROR($I22/$E22,0)</f>
        <v/>
      </c>
      <c r="P22" s="49">
        <f>IFERROR($F22/$D22,0)</f>
        <v/>
      </c>
      <c r="Q22" s="49">
        <f>IFERROR($G22/$E22,0)</f>
        <v/>
      </c>
      <c r="R22" s="49">
        <f>IFERROR(($F22-$H22)/$D22,0)</f>
        <v/>
      </c>
      <c r="S22" s="49">
        <f>IFERROR(($G22-$I22)/$E22,0)</f>
        <v/>
      </c>
      <c r="T22" s="36">
        <f>$E22*$N22</f>
        <v/>
      </c>
      <c r="U22" s="36">
        <f>$E22*($O22-$N22)</f>
        <v/>
      </c>
      <c r="V22" s="44">
        <f>IFERROR($E22/$D22-1,"")</f>
        <v/>
      </c>
      <c r="W22" s="44">
        <f>IFERROR($K22/$J22-1,"")</f>
        <v/>
      </c>
      <c r="X22" s="44">
        <f>IFERROR($V22-$W22,"")</f>
        <v/>
      </c>
    </row>
    <row r="23">
      <c r="A23" s="41" t="inlineStr">
        <is>
          <t>Amplify</t>
        </is>
      </c>
      <c r="B23" s="41" t="inlineStr">
        <is>
          <t>MolsonCoors Beverage Company</t>
        </is>
      </c>
      <c r="C23" s="41" t="inlineStr">
        <is>
          <t>Peroni</t>
        </is>
      </c>
      <c r="D23" s="33">
        <f>SUMIFS('Data - Season'!$E$5:$E$743,'Data - Season'!$B$5:$B$743,$A23,'Data - Season'!$C$5:$C$743,$B23,'Data - Season'!$D$5:$D$743,$C23)</f>
        <v/>
      </c>
      <c r="E23" s="33">
        <f>SUMIFS('Data - Season'!$F$5:$F$743,'Data - Season'!$B$5:$B$743,$A23,'Data - Season'!$C$5:$C$743,$B23,'Data - Season'!$D$5:$D$743,$C23)</f>
        <v/>
      </c>
      <c r="F23" s="36">
        <f>SUMIFS('Data - Season'!$G$5:$G$743,'Data - Season'!$B$5:$B$743,$A23,'Data - Season'!$C$5:$C$743,$B23,'Data - Season'!$D$5:$D$743,$C23)</f>
        <v/>
      </c>
      <c r="G23" s="36">
        <f>SUMIFS('Data - Season'!$H$5:$H$743,'Data - Season'!$B$5:$B$743,$A23,'Data - Season'!$C$5:$C$743,$B23,'Data - Season'!$D$5:$D$743,$C23)</f>
        <v/>
      </c>
      <c r="H23" s="36">
        <f>SUMIFS('Data - Season'!$I$5:$I$743,'Data - Season'!$B$5:$B$743,$A23,'Data - Season'!$C$5:$C$743,$B23,'Data - Season'!$D$5:$D$743,$C23)</f>
        <v/>
      </c>
      <c r="I23" s="36">
        <f>SUMIFS('Data - Season'!$J$5:$J$743,'Data - Season'!$B$5:$B$743,$A23,'Data - Season'!$C$5:$C$743,$B23,'Data - Season'!$D$5:$D$743,$C23)</f>
        <v/>
      </c>
      <c r="J23" s="33">
        <f>SUMIFS('Data - Pre'!$E$5:$E$750,'Data - Pre'!$B$5:$B$750,$A23,'Data - Pre'!$C$5:$C$750,$B23,'Data - Pre'!$D$5:$D$750,$C23)</f>
        <v/>
      </c>
      <c r="K23" s="33">
        <f>SUMIFS('Data - Pre'!$F$5:$F$750,'Data - Pre'!$B$5:$B$750,$A23,'Data - Pre'!$C$5:$C$750,$B23,'Data - Pre'!$D$5:$D$750,$C23)</f>
        <v/>
      </c>
      <c r="L23" s="36">
        <f>SUMIFS('Data - Pre'!$I$5:$I$750,'Data - Pre'!$B$5:$B$750,$A23,'Data - Pre'!$C$5:$C$750,$B23,'Data - Pre'!$D$5:$D$750,$C23)</f>
        <v/>
      </c>
      <c r="M23" s="36">
        <f>SUMIFS('Data - Pre'!$J$5:$J$750,'Data - Pre'!$B$5:$B$750,$A23,'Data - Pre'!$C$5:$C$750,$B23,'Data - Pre'!$D$5:$D$750,$C23)</f>
        <v/>
      </c>
      <c r="N23" s="49">
        <f>IFERROR($H23/$D23,0)</f>
        <v/>
      </c>
      <c r="O23" s="49">
        <f>IFERROR($I23/$E23,0)</f>
        <v/>
      </c>
      <c r="P23" s="49">
        <f>IFERROR($F23/$D23,0)</f>
        <v/>
      </c>
      <c r="Q23" s="49">
        <f>IFERROR($G23/$E23,0)</f>
        <v/>
      </c>
      <c r="R23" s="49">
        <f>IFERROR(($F23-$H23)/$D23,0)</f>
        <v/>
      </c>
      <c r="S23" s="49">
        <f>IFERROR(($G23-$I23)/$E23,0)</f>
        <v/>
      </c>
      <c r="T23" s="36">
        <f>$E23*$N23</f>
        <v/>
      </c>
      <c r="U23" s="36">
        <f>$E23*($O23-$N23)</f>
        <v/>
      </c>
      <c r="V23" s="44">
        <f>IFERROR($E23/$D23-1,"")</f>
        <v/>
      </c>
      <c r="W23" s="44">
        <f>IFERROR($K23/$J23-1,"")</f>
        <v/>
      </c>
      <c r="X23" s="44">
        <f>IFERROR($V23-$W23,"")</f>
        <v/>
      </c>
    </row>
    <row r="24">
      <c r="A24" s="41" t="inlineStr">
        <is>
          <t>Amplify</t>
        </is>
      </c>
      <c r="B24" s="41" t="inlineStr">
        <is>
          <t>New Belgium Brewing Company</t>
        </is>
      </c>
      <c r="C24" s="41" t="inlineStr">
        <is>
          <t>Fat Tire Family</t>
        </is>
      </c>
      <c r="D24" s="33">
        <f>SUMIFS('Data - Season'!$E$5:$E$743,'Data - Season'!$B$5:$B$743,$A24,'Data - Season'!$C$5:$C$743,$B24,'Data - Season'!$D$5:$D$743,$C24)</f>
        <v/>
      </c>
      <c r="E24" s="33">
        <f>SUMIFS('Data - Season'!$F$5:$F$743,'Data - Season'!$B$5:$B$743,$A24,'Data - Season'!$C$5:$C$743,$B24,'Data - Season'!$D$5:$D$743,$C24)</f>
        <v/>
      </c>
      <c r="F24" s="36">
        <f>SUMIFS('Data - Season'!$G$5:$G$743,'Data - Season'!$B$5:$B$743,$A24,'Data - Season'!$C$5:$C$743,$B24,'Data - Season'!$D$5:$D$743,$C24)</f>
        <v/>
      </c>
      <c r="G24" s="36">
        <f>SUMIFS('Data - Season'!$H$5:$H$743,'Data - Season'!$B$5:$B$743,$A24,'Data - Season'!$C$5:$C$743,$B24,'Data - Season'!$D$5:$D$743,$C24)</f>
        <v/>
      </c>
      <c r="H24" s="36">
        <f>SUMIFS('Data - Season'!$I$5:$I$743,'Data - Season'!$B$5:$B$743,$A24,'Data - Season'!$C$5:$C$743,$B24,'Data - Season'!$D$5:$D$743,$C24)</f>
        <v/>
      </c>
      <c r="I24" s="36">
        <f>SUMIFS('Data - Season'!$J$5:$J$743,'Data - Season'!$B$5:$B$743,$A24,'Data - Season'!$C$5:$C$743,$B24,'Data - Season'!$D$5:$D$743,$C24)</f>
        <v/>
      </c>
      <c r="J24" s="33">
        <f>SUMIFS('Data - Pre'!$E$5:$E$750,'Data - Pre'!$B$5:$B$750,$A24,'Data - Pre'!$C$5:$C$750,$B24,'Data - Pre'!$D$5:$D$750,$C24)</f>
        <v/>
      </c>
      <c r="K24" s="33">
        <f>SUMIFS('Data - Pre'!$F$5:$F$750,'Data - Pre'!$B$5:$B$750,$A24,'Data - Pre'!$C$5:$C$750,$B24,'Data - Pre'!$D$5:$D$750,$C24)</f>
        <v/>
      </c>
      <c r="L24" s="36">
        <f>SUMIFS('Data - Pre'!$I$5:$I$750,'Data - Pre'!$B$5:$B$750,$A24,'Data - Pre'!$C$5:$C$750,$B24,'Data - Pre'!$D$5:$D$750,$C24)</f>
        <v/>
      </c>
      <c r="M24" s="36">
        <f>SUMIFS('Data - Pre'!$J$5:$J$750,'Data - Pre'!$B$5:$B$750,$A24,'Data - Pre'!$C$5:$C$750,$B24,'Data - Pre'!$D$5:$D$750,$C24)</f>
        <v/>
      </c>
      <c r="N24" s="49">
        <f>IFERROR($H24/$D24,0)</f>
        <v/>
      </c>
      <c r="O24" s="49">
        <f>IFERROR($I24/$E24,0)</f>
        <v/>
      </c>
      <c r="P24" s="49">
        <f>IFERROR($F24/$D24,0)</f>
        <v/>
      </c>
      <c r="Q24" s="49">
        <f>IFERROR($G24/$E24,0)</f>
        <v/>
      </c>
      <c r="R24" s="49">
        <f>IFERROR(($F24-$H24)/$D24,0)</f>
        <v/>
      </c>
      <c r="S24" s="49">
        <f>IFERROR(($G24-$I24)/$E24,0)</f>
        <v/>
      </c>
      <c r="T24" s="36">
        <f>$E24*$N24</f>
        <v/>
      </c>
      <c r="U24" s="36">
        <f>$E24*($O24-$N24)</f>
        <v/>
      </c>
      <c r="V24" s="44">
        <f>IFERROR($E24/$D24-1,"")</f>
        <v/>
      </c>
      <c r="W24" s="44">
        <f>IFERROR($K24/$J24-1,"")</f>
        <v/>
      </c>
      <c r="X24" s="44">
        <f>IFERROR($V24-$W24,"")</f>
        <v/>
      </c>
    </row>
    <row r="25">
      <c r="A25" s="41" t="inlineStr">
        <is>
          <t>Amplify</t>
        </is>
      </c>
      <c r="B25" s="41" t="inlineStr">
        <is>
          <t>New Belgium Brewing Company</t>
        </is>
      </c>
      <c r="C25" s="41" t="inlineStr">
        <is>
          <t>Kirin Ichiban</t>
        </is>
      </c>
      <c r="D25" s="33">
        <f>SUMIFS('Data - Season'!$E$5:$E$743,'Data - Season'!$B$5:$B$743,$A25,'Data - Season'!$C$5:$C$743,$B25,'Data - Season'!$D$5:$D$743,$C25)</f>
        <v/>
      </c>
      <c r="E25" s="33">
        <f>SUMIFS('Data - Season'!$F$5:$F$743,'Data - Season'!$B$5:$B$743,$A25,'Data - Season'!$C$5:$C$743,$B25,'Data - Season'!$D$5:$D$743,$C25)</f>
        <v/>
      </c>
      <c r="F25" s="36">
        <f>SUMIFS('Data - Season'!$G$5:$G$743,'Data - Season'!$B$5:$B$743,$A25,'Data - Season'!$C$5:$C$743,$B25,'Data - Season'!$D$5:$D$743,$C25)</f>
        <v/>
      </c>
      <c r="G25" s="36">
        <f>SUMIFS('Data - Season'!$H$5:$H$743,'Data - Season'!$B$5:$B$743,$A25,'Data - Season'!$C$5:$C$743,$B25,'Data - Season'!$D$5:$D$743,$C25)</f>
        <v/>
      </c>
      <c r="H25" s="36">
        <f>SUMIFS('Data - Season'!$I$5:$I$743,'Data - Season'!$B$5:$B$743,$A25,'Data - Season'!$C$5:$C$743,$B25,'Data - Season'!$D$5:$D$743,$C25)</f>
        <v/>
      </c>
      <c r="I25" s="36">
        <f>SUMIFS('Data - Season'!$J$5:$J$743,'Data - Season'!$B$5:$B$743,$A25,'Data - Season'!$C$5:$C$743,$B25,'Data - Season'!$D$5:$D$743,$C25)</f>
        <v/>
      </c>
      <c r="J25" s="33">
        <f>SUMIFS('Data - Pre'!$E$5:$E$750,'Data - Pre'!$B$5:$B$750,$A25,'Data - Pre'!$C$5:$C$750,$B25,'Data - Pre'!$D$5:$D$750,$C25)</f>
        <v/>
      </c>
      <c r="K25" s="33">
        <f>SUMIFS('Data - Pre'!$F$5:$F$750,'Data - Pre'!$B$5:$B$750,$A25,'Data - Pre'!$C$5:$C$750,$B25,'Data - Pre'!$D$5:$D$750,$C25)</f>
        <v/>
      </c>
      <c r="L25" s="36">
        <f>SUMIFS('Data - Pre'!$I$5:$I$750,'Data - Pre'!$B$5:$B$750,$A25,'Data - Pre'!$C$5:$C$750,$B25,'Data - Pre'!$D$5:$D$750,$C25)</f>
        <v/>
      </c>
      <c r="M25" s="36">
        <f>SUMIFS('Data - Pre'!$J$5:$J$750,'Data - Pre'!$B$5:$B$750,$A25,'Data - Pre'!$C$5:$C$750,$B25,'Data - Pre'!$D$5:$D$750,$C25)</f>
        <v/>
      </c>
      <c r="N25" s="49">
        <f>IFERROR($H25/$D25,0)</f>
        <v/>
      </c>
      <c r="O25" s="49">
        <f>IFERROR($I25/$E25,0)</f>
        <v/>
      </c>
      <c r="P25" s="49">
        <f>IFERROR($F25/$D25,0)</f>
        <v/>
      </c>
      <c r="Q25" s="49">
        <f>IFERROR($G25/$E25,0)</f>
        <v/>
      </c>
      <c r="R25" s="49">
        <f>IFERROR(($F25-$H25)/$D25,0)</f>
        <v/>
      </c>
      <c r="S25" s="49">
        <f>IFERROR(($G25-$I25)/$E25,0)</f>
        <v/>
      </c>
      <c r="T25" s="36">
        <f>$E25*$N25</f>
        <v/>
      </c>
      <c r="U25" s="36">
        <f>$E25*($O25-$N25)</f>
        <v/>
      </c>
      <c r="V25" s="44">
        <f>IFERROR($E25/$D25-1,"")</f>
        <v/>
      </c>
      <c r="W25" s="44">
        <f>IFERROR($K25/$J25-1,"")</f>
        <v/>
      </c>
      <c r="X25" s="44">
        <f>IFERROR($V25-$W25,"")</f>
        <v/>
      </c>
    </row>
    <row r="26">
      <c r="A26" s="41" t="inlineStr">
        <is>
          <t>Amplify</t>
        </is>
      </c>
      <c r="B26" s="41" t="inlineStr">
        <is>
          <t>New Belgium Brewing Company</t>
        </is>
      </c>
      <c r="C26" s="41" t="inlineStr">
        <is>
          <t>Voodoo Family</t>
        </is>
      </c>
      <c r="D26" s="33">
        <f>SUMIFS('Data - Season'!$E$5:$E$743,'Data - Season'!$B$5:$B$743,$A26,'Data - Season'!$C$5:$C$743,$B26,'Data - Season'!$D$5:$D$743,$C26)</f>
        <v/>
      </c>
      <c r="E26" s="33">
        <f>SUMIFS('Data - Season'!$F$5:$F$743,'Data - Season'!$B$5:$B$743,$A26,'Data - Season'!$C$5:$C$743,$B26,'Data - Season'!$D$5:$D$743,$C26)</f>
        <v/>
      </c>
      <c r="F26" s="36">
        <f>SUMIFS('Data - Season'!$G$5:$G$743,'Data - Season'!$B$5:$B$743,$A26,'Data - Season'!$C$5:$C$743,$B26,'Data - Season'!$D$5:$D$743,$C26)</f>
        <v/>
      </c>
      <c r="G26" s="36">
        <f>SUMIFS('Data - Season'!$H$5:$H$743,'Data - Season'!$B$5:$B$743,$A26,'Data - Season'!$C$5:$C$743,$B26,'Data - Season'!$D$5:$D$743,$C26)</f>
        <v/>
      </c>
      <c r="H26" s="36">
        <f>SUMIFS('Data - Season'!$I$5:$I$743,'Data - Season'!$B$5:$B$743,$A26,'Data - Season'!$C$5:$C$743,$B26,'Data - Season'!$D$5:$D$743,$C26)</f>
        <v/>
      </c>
      <c r="I26" s="36">
        <f>SUMIFS('Data - Season'!$J$5:$J$743,'Data - Season'!$B$5:$B$743,$A26,'Data - Season'!$C$5:$C$743,$B26,'Data - Season'!$D$5:$D$743,$C26)</f>
        <v/>
      </c>
      <c r="J26" s="33">
        <f>SUMIFS('Data - Pre'!$E$5:$E$750,'Data - Pre'!$B$5:$B$750,$A26,'Data - Pre'!$C$5:$C$750,$B26,'Data - Pre'!$D$5:$D$750,$C26)</f>
        <v/>
      </c>
      <c r="K26" s="33">
        <f>SUMIFS('Data - Pre'!$F$5:$F$750,'Data - Pre'!$B$5:$B$750,$A26,'Data - Pre'!$C$5:$C$750,$B26,'Data - Pre'!$D$5:$D$750,$C26)</f>
        <v/>
      </c>
      <c r="L26" s="36">
        <f>SUMIFS('Data - Pre'!$I$5:$I$750,'Data - Pre'!$B$5:$B$750,$A26,'Data - Pre'!$C$5:$C$750,$B26,'Data - Pre'!$D$5:$D$750,$C26)</f>
        <v/>
      </c>
      <c r="M26" s="36">
        <f>SUMIFS('Data - Pre'!$J$5:$J$750,'Data - Pre'!$B$5:$B$750,$A26,'Data - Pre'!$C$5:$C$750,$B26,'Data - Pre'!$D$5:$D$750,$C26)</f>
        <v/>
      </c>
      <c r="N26" s="49">
        <f>IFERROR($H26/$D26,0)</f>
        <v/>
      </c>
      <c r="O26" s="49">
        <f>IFERROR($I26/$E26,0)</f>
        <v/>
      </c>
      <c r="P26" s="49">
        <f>IFERROR($F26/$D26,0)</f>
        <v/>
      </c>
      <c r="Q26" s="49">
        <f>IFERROR($G26/$E26,0)</f>
        <v/>
      </c>
      <c r="R26" s="49">
        <f>IFERROR(($F26-$H26)/$D26,0)</f>
        <v/>
      </c>
      <c r="S26" s="49">
        <f>IFERROR(($G26-$I26)/$E26,0)</f>
        <v/>
      </c>
      <c r="T26" s="36">
        <f>$E26*$N26</f>
        <v/>
      </c>
      <c r="U26" s="36">
        <f>$E26*($O26-$N26)</f>
        <v/>
      </c>
      <c r="V26" s="44">
        <f>IFERROR($E26/$D26-1,"")</f>
        <v/>
      </c>
      <c r="W26" s="44">
        <f>IFERROR($K26/$J26-1,"")</f>
        <v/>
      </c>
      <c r="X26" s="44">
        <f>IFERROR($V26-$W26,"")</f>
        <v/>
      </c>
    </row>
    <row r="27">
      <c r="A27" s="41" t="inlineStr">
        <is>
          <t>Amplify</t>
        </is>
      </c>
      <c r="B27" s="41" t="inlineStr">
        <is>
          <t>Sapporo</t>
        </is>
      </c>
      <c r="C27" s="41" t="inlineStr">
        <is>
          <t>Sapporo</t>
        </is>
      </c>
      <c r="D27" s="33">
        <f>SUMIFS('Data - Season'!$E$5:$E$743,'Data - Season'!$B$5:$B$743,$A27,'Data - Season'!$C$5:$C$743,$B27,'Data - Season'!$D$5:$D$743,$C27)</f>
        <v/>
      </c>
      <c r="E27" s="33">
        <f>SUMIFS('Data - Season'!$F$5:$F$743,'Data - Season'!$B$5:$B$743,$A27,'Data - Season'!$C$5:$C$743,$B27,'Data - Season'!$D$5:$D$743,$C27)</f>
        <v/>
      </c>
      <c r="F27" s="36">
        <f>SUMIFS('Data - Season'!$G$5:$G$743,'Data - Season'!$B$5:$B$743,$A27,'Data - Season'!$C$5:$C$743,$B27,'Data - Season'!$D$5:$D$743,$C27)</f>
        <v/>
      </c>
      <c r="G27" s="36">
        <f>SUMIFS('Data - Season'!$H$5:$H$743,'Data - Season'!$B$5:$B$743,$A27,'Data - Season'!$C$5:$C$743,$B27,'Data - Season'!$D$5:$D$743,$C27)</f>
        <v/>
      </c>
      <c r="H27" s="36">
        <f>SUMIFS('Data - Season'!$I$5:$I$743,'Data - Season'!$B$5:$B$743,$A27,'Data - Season'!$C$5:$C$743,$B27,'Data - Season'!$D$5:$D$743,$C27)</f>
        <v/>
      </c>
      <c r="I27" s="36">
        <f>SUMIFS('Data - Season'!$J$5:$J$743,'Data - Season'!$B$5:$B$743,$A27,'Data - Season'!$C$5:$C$743,$B27,'Data - Season'!$D$5:$D$743,$C27)</f>
        <v/>
      </c>
      <c r="J27" s="33">
        <f>SUMIFS('Data - Pre'!$E$5:$E$750,'Data - Pre'!$B$5:$B$750,$A27,'Data - Pre'!$C$5:$C$750,$B27,'Data - Pre'!$D$5:$D$750,$C27)</f>
        <v/>
      </c>
      <c r="K27" s="33">
        <f>SUMIFS('Data - Pre'!$F$5:$F$750,'Data - Pre'!$B$5:$B$750,$A27,'Data - Pre'!$C$5:$C$750,$B27,'Data - Pre'!$D$5:$D$750,$C27)</f>
        <v/>
      </c>
      <c r="L27" s="36">
        <f>SUMIFS('Data - Pre'!$I$5:$I$750,'Data - Pre'!$B$5:$B$750,$A27,'Data - Pre'!$C$5:$C$750,$B27,'Data - Pre'!$D$5:$D$750,$C27)</f>
        <v/>
      </c>
      <c r="M27" s="36">
        <f>SUMIFS('Data - Pre'!$J$5:$J$750,'Data - Pre'!$B$5:$B$750,$A27,'Data - Pre'!$C$5:$C$750,$B27,'Data - Pre'!$D$5:$D$750,$C27)</f>
        <v/>
      </c>
      <c r="N27" s="49">
        <f>IFERROR($H27/$D27,0)</f>
        <v/>
      </c>
      <c r="O27" s="49">
        <f>IFERROR($I27/$E27,0)</f>
        <v/>
      </c>
      <c r="P27" s="49">
        <f>IFERROR($F27/$D27,0)</f>
        <v/>
      </c>
      <c r="Q27" s="49">
        <f>IFERROR($G27/$E27,0)</f>
        <v/>
      </c>
      <c r="R27" s="49">
        <f>IFERROR(($F27-$H27)/$D27,0)</f>
        <v/>
      </c>
      <c r="S27" s="49">
        <f>IFERROR(($G27-$I27)/$E27,0)</f>
        <v/>
      </c>
      <c r="T27" s="36">
        <f>$E27*$N27</f>
        <v/>
      </c>
      <c r="U27" s="36">
        <f>$E27*($O27-$N27)</f>
        <v/>
      </c>
      <c r="V27" s="44">
        <f>IFERROR($E27/$D27-1,"")</f>
        <v/>
      </c>
      <c r="W27" s="44">
        <f>IFERROR($K27/$J27-1,"")</f>
        <v/>
      </c>
      <c r="X27" s="44">
        <f>IFERROR($V27-$W27,"")</f>
        <v/>
      </c>
    </row>
    <row r="28">
      <c r="A28" s="41" t="inlineStr">
        <is>
          <t>Qualifier</t>
        </is>
      </c>
      <c r="B28" s="41" t="inlineStr">
        <is>
          <t>Boston Beer Company</t>
        </is>
      </c>
      <c r="C28" s="41" t="inlineStr">
        <is>
          <t>Truly</t>
        </is>
      </c>
      <c r="D28" s="33">
        <f>SUMIFS('Data - Season'!$E$5:$E$743,'Data - Season'!$B$5:$B$743,$A28,'Data - Season'!$C$5:$C$743,$B28,'Data - Season'!$D$5:$D$743,$C28)</f>
        <v/>
      </c>
      <c r="E28" s="33">
        <f>SUMIFS('Data - Season'!$F$5:$F$743,'Data - Season'!$B$5:$B$743,$A28,'Data - Season'!$C$5:$C$743,$B28,'Data - Season'!$D$5:$D$743,$C28)</f>
        <v/>
      </c>
      <c r="F28" s="36">
        <f>SUMIFS('Data - Season'!$G$5:$G$743,'Data - Season'!$B$5:$B$743,$A28,'Data - Season'!$C$5:$C$743,$B28,'Data - Season'!$D$5:$D$743,$C28)</f>
        <v/>
      </c>
      <c r="G28" s="36">
        <f>SUMIFS('Data - Season'!$H$5:$H$743,'Data - Season'!$B$5:$B$743,$A28,'Data - Season'!$C$5:$C$743,$B28,'Data - Season'!$D$5:$D$743,$C28)</f>
        <v/>
      </c>
      <c r="H28" s="36">
        <f>SUMIFS('Data - Season'!$I$5:$I$743,'Data - Season'!$B$5:$B$743,$A28,'Data - Season'!$C$5:$C$743,$B28,'Data - Season'!$D$5:$D$743,$C28)</f>
        <v/>
      </c>
      <c r="I28" s="36">
        <f>SUMIFS('Data - Season'!$J$5:$J$743,'Data - Season'!$B$5:$B$743,$A28,'Data - Season'!$C$5:$C$743,$B28,'Data - Season'!$D$5:$D$743,$C28)</f>
        <v/>
      </c>
      <c r="J28" s="33">
        <f>SUMIFS('Data - Pre'!$E$5:$E$750,'Data - Pre'!$B$5:$B$750,$A28,'Data - Pre'!$C$5:$C$750,$B28,'Data - Pre'!$D$5:$D$750,$C28)</f>
        <v/>
      </c>
      <c r="K28" s="33">
        <f>SUMIFS('Data - Pre'!$F$5:$F$750,'Data - Pre'!$B$5:$B$750,$A28,'Data - Pre'!$C$5:$C$750,$B28,'Data - Pre'!$D$5:$D$750,$C28)</f>
        <v/>
      </c>
      <c r="L28" s="36">
        <f>SUMIFS('Data - Pre'!$I$5:$I$750,'Data - Pre'!$B$5:$B$750,$A28,'Data - Pre'!$C$5:$C$750,$B28,'Data - Pre'!$D$5:$D$750,$C28)</f>
        <v/>
      </c>
      <c r="M28" s="36">
        <f>SUMIFS('Data - Pre'!$J$5:$J$750,'Data - Pre'!$B$5:$B$750,$A28,'Data - Pre'!$C$5:$C$750,$B28,'Data - Pre'!$D$5:$D$750,$C28)</f>
        <v/>
      </c>
      <c r="N28" s="49">
        <f>IFERROR($H28/$D28,0)</f>
        <v/>
      </c>
      <c r="O28" s="49">
        <f>IFERROR($I28/$E28,0)</f>
        <v/>
      </c>
      <c r="P28" s="49">
        <f>IFERROR($F28/$D28,0)</f>
        <v/>
      </c>
      <c r="Q28" s="49">
        <f>IFERROR($G28/$E28,0)</f>
        <v/>
      </c>
      <c r="R28" s="49">
        <f>IFERROR(($F28-$H28)/$D28,0)</f>
        <v/>
      </c>
      <c r="S28" s="49">
        <f>IFERROR(($G28-$I28)/$E28,0)</f>
        <v/>
      </c>
      <c r="T28" s="36">
        <f>$E28*$N28</f>
        <v/>
      </c>
      <c r="U28" s="36">
        <f>$E28*($O28-$N28)</f>
        <v/>
      </c>
      <c r="V28" s="44">
        <f>IFERROR($E28/$D28-1,"")</f>
        <v/>
      </c>
      <c r="W28" s="44">
        <f>IFERROR($K28/$J28-1,"")</f>
        <v/>
      </c>
      <c r="X28" s="44">
        <f>IFERROR($V28-$W28,"")</f>
        <v/>
      </c>
    </row>
    <row r="29">
      <c r="A29" s="41" t="inlineStr">
        <is>
          <t>Qualifier</t>
        </is>
      </c>
      <c r="B29" s="41" t="inlineStr">
        <is>
          <t>Boston Beer Company</t>
        </is>
      </c>
      <c r="C29" s="41" t="inlineStr">
        <is>
          <t>Twisted Tea</t>
        </is>
      </c>
      <c r="D29" s="33">
        <f>SUMIFS('Data - Season'!$E$5:$E$743,'Data - Season'!$B$5:$B$743,$A29,'Data - Season'!$C$5:$C$743,$B29,'Data - Season'!$D$5:$D$743,$C29)</f>
        <v/>
      </c>
      <c r="E29" s="33">
        <f>SUMIFS('Data - Season'!$F$5:$F$743,'Data - Season'!$B$5:$B$743,$A29,'Data - Season'!$C$5:$C$743,$B29,'Data - Season'!$D$5:$D$743,$C29)</f>
        <v/>
      </c>
      <c r="F29" s="36">
        <f>SUMIFS('Data - Season'!$G$5:$G$743,'Data - Season'!$B$5:$B$743,$A29,'Data - Season'!$C$5:$C$743,$B29,'Data - Season'!$D$5:$D$743,$C29)</f>
        <v/>
      </c>
      <c r="G29" s="36">
        <f>SUMIFS('Data - Season'!$H$5:$H$743,'Data - Season'!$B$5:$B$743,$A29,'Data - Season'!$C$5:$C$743,$B29,'Data - Season'!$D$5:$D$743,$C29)</f>
        <v/>
      </c>
      <c r="H29" s="36">
        <f>SUMIFS('Data - Season'!$I$5:$I$743,'Data - Season'!$B$5:$B$743,$A29,'Data - Season'!$C$5:$C$743,$B29,'Data - Season'!$D$5:$D$743,$C29)</f>
        <v/>
      </c>
      <c r="I29" s="36">
        <f>SUMIFS('Data - Season'!$J$5:$J$743,'Data - Season'!$B$5:$B$743,$A29,'Data - Season'!$C$5:$C$743,$B29,'Data - Season'!$D$5:$D$743,$C29)</f>
        <v/>
      </c>
      <c r="J29" s="33">
        <f>SUMIFS('Data - Pre'!$E$5:$E$750,'Data - Pre'!$B$5:$B$750,$A29,'Data - Pre'!$C$5:$C$750,$B29,'Data - Pre'!$D$5:$D$750,$C29)</f>
        <v/>
      </c>
      <c r="K29" s="33">
        <f>SUMIFS('Data - Pre'!$F$5:$F$750,'Data - Pre'!$B$5:$B$750,$A29,'Data - Pre'!$C$5:$C$750,$B29,'Data - Pre'!$D$5:$D$750,$C29)</f>
        <v/>
      </c>
      <c r="L29" s="36">
        <f>SUMIFS('Data - Pre'!$I$5:$I$750,'Data - Pre'!$B$5:$B$750,$A29,'Data - Pre'!$C$5:$C$750,$B29,'Data - Pre'!$D$5:$D$750,$C29)</f>
        <v/>
      </c>
      <c r="M29" s="36">
        <f>SUMIFS('Data - Pre'!$J$5:$J$750,'Data - Pre'!$B$5:$B$750,$A29,'Data - Pre'!$C$5:$C$750,$B29,'Data - Pre'!$D$5:$D$750,$C29)</f>
        <v/>
      </c>
      <c r="N29" s="49">
        <f>IFERROR($H29/$D29,0)</f>
        <v/>
      </c>
      <c r="O29" s="49">
        <f>IFERROR($I29/$E29,0)</f>
        <v/>
      </c>
      <c r="P29" s="49">
        <f>IFERROR($F29/$D29,0)</f>
        <v/>
      </c>
      <c r="Q29" s="49">
        <f>IFERROR($G29/$E29,0)</f>
        <v/>
      </c>
      <c r="R29" s="49">
        <f>IFERROR(($F29-$H29)/$D29,0)</f>
        <v/>
      </c>
      <c r="S29" s="49">
        <f>IFERROR(($G29-$I29)/$E29,0)</f>
        <v/>
      </c>
      <c r="T29" s="36">
        <f>$E29*$N29</f>
        <v/>
      </c>
      <c r="U29" s="36">
        <f>$E29*($O29-$N29)</f>
        <v/>
      </c>
      <c r="V29" s="44">
        <f>IFERROR($E29/$D29-1,"")</f>
        <v/>
      </c>
      <c r="W29" s="44">
        <f>IFERROR($K29/$J29-1,"")</f>
        <v/>
      </c>
      <c r="X29" s="44">
        <f>IFERROR($V29-$W29,"")</f>
        <v/>
      </c>
    </row>
    <row r="30">
      <c r="A30" s="41" t="inlineStr">
        <is>
          <t>Qualifier</t>
        </is>
      </c>
      <c r="B30" s="41" t="inlineStr">
        <is>
          <t>Constellation Brands</t>
        </is>
      </c>
      <c r="C30" s="41" t="inlineStr">
        <is>
          <t>Corona Extra</t>
        </is>
      </c>
      <c r="D30" s="33">
        <f>SUMIFS('Data - Season'!$E$5:$E$743,'Data - Season'!$B$5:$B$743,$A30,'Data - Season'!$C$5:$C$743,$B30,'Data - Season'!$D$5:$D$743,$C30)</f>
        <v/>
      </c>
      <c r="E30" s="33">
        <f>SUMIFS('Data - Season'!$F$5:$F$743,'Data - Season'!$B$5:$B$743,$A30,'Data - Season'!$C$5:$C$743,$B30,'Data - Season'!$D$5:$D$743,$C30)</f>
        <v/>
      </c>
      <c r="F30" s="36">
        <f>SUMIFS('Data - Season'!$G$5:$G$743,'Data - Season'!$B$5:$B$743,$A30,'Data - Season'!$C$5:$C$743,$B30,'Data - Season'!$D$5:$D$743,$C30)</f>
        <v/>
      </c>
      <c r="G30" s="36">
        <f>SUMIFS('Data - Season'!$H$5:$H$743,'Data - Season'!$B$5:$B$743,$A30,'Data - Season'!$C$5:$C$743,$B30,'Data - Season'!$D$5:$D$743,$C30)</f>
        <v/>
      </c>
      <c r="H30" s="36">
        <f>SUMIFS('Data - Season'!$I$5:$I$743,'Data - Season'!$B$5:$B$743,$A30,'Data - Season'!$C$5:$C$743,$B30,'Data - Season'!$D$5:$D$743,$C30)</f>
        <v/>
      </c>
      <c r="I30" s="36">
        <f>SUMIFS('Data - Season'!$J$5:$J$743,'Data - Season'!$B$5:$B$743,$A30,'Data - Season'!$C$5:$C$743,$B30,'Data - Season'!$D$5:$D$743,$C30)</f>
        <v/>
      </c>
      <c r="J30" s="33">
        <f>SUMIFS('Data - Pre'!$E$5:$E$750,'Data - Pre'!$B$5:$B$750,$A30,'Data - Pre'!$C$5:$C$750,$B30,'Data - Pre'!$D$5:$D$750,$C30)</f>
        <v/>
      </c>
      <c r="K30" s="33">
        <f>SUMIFS('Data - Pre'!$F$5:$F$750,'Data - Pre'!$B$5:$B$750,$A30,'Data - Pre'!$C$5:$C$750,$B30,'Data - Pre'!$D$5:$D$750,$C30)</f>
        <v/>
      </c>
      <c r="L30" s="36">
        <f>SUMIFS('Data - Pre'!$I$5:$I$750,'Data - Pre'!$B$5:$B$750,$A30,'Data - Pre'!$C$5:$C$750,$B30,'Data - Pre'!$D$5:$D$750,$C30)</f>
        <v/>
      </c>
      <c r="M30" s="36">
        <f>SUMIFS('Data - Pre'!$J$5:$J$750,'Data - Pre'!$B$5:$B$750,$A30,'Data - Pre'!$C$5:$C$750,$B30,'Data - Pre'!$D$5:$D$750,$C30)</f>
        <v/>
      </c>
      <c r="N30" s="49">
        <f>IFERROR($H30/$D30,0)</f>
        <v/>
      </c>
      <c r="O30" s="49">
        <f>IFERROR($I30/$E30,0)</f>
        <v/>
      </c>
      <c r="P30" s="49">
        <f>IFERROR($F30/$D30,0)</f>
        <v/>
      </c>
      <c r="Q30" s="49">
        <f>IFERROR($G30/$E30,0)</f>
        <v/>
      </c>
      <c r="R30" s="49">
        <f>IFERROR(($F30-$H30)/$D30,0)</f>
        <v/>
      </c>
      <c r="S30" s="49">
        <f>IFERROR(($G30-$I30)/$E30,0)</f>
        <v/>
      </c>
      <c r="T30" s="36">
        <f>$E30*$N30</f>
        <v/>
      </c>
      <c r="U30" s="36">
        <f>$E30*($O30-$N30)</f>
        <v/>
      </c>
      <c r="V30" s="44">
        <f>IFERROR($E30/$D30-1,"")</f>
        <v/>
      </c>
      <c r="W30" s="44">
        <f>IFERROR($K30/$J30-1,"")</f>
        <v/>
      </c>
      <c r="X30" s="44">
        <f>IFERROR($V30-$W30,"")</f>
        <v/>
      </c>
    </row>
    <row r="31">
      <c r="A31" s="41" t="inlineStr">
        <is>
          <t>Qualifier</t>
        </is>
      </c>
      <c r="B31" s="41" t="inlineStr">
        <is>
          <t>Constellation Brands</t>
        </is>
      </c>
      <c r="C31" s="41" t="inlineStr">
        <is>
          <t>Modelo Especial</t>
        </is>
      </c>
      <c r="D31" s="33">
        <f>SUMIFS('Data - Season'!$E$5:$E$743,'Data - Season'!$B$5:$B$743,$A31,'Data - Season'!$C$5:$C$743,$B31,'Data - Season'!$D$5:$D$743,$C31)</f>
        <v/>
      </c>
      <c r="E31" s="33">
        <f>SUMIFS('Data - Season'!$F$5:$F$743,'Data - Season'!$B$5:$B$743,$A31,'Data - Season'!$C$5:$C$743,$B31,'Data - Season'!$D$5:$D$743,$C31)</f>
        <v/>
      </c>
      <c r="F31" s="36">
        <f>SUMIFS('Data - Season'!$G$5:$G$743,'Data - Season'!$B$5:$B$743,$A31,'Data - Season'!$C$5:$C$743,$B31,'Data - Season'!$D$5:$D$743,$C31)</f>
        <v/>
      </c>
      <c r="G31" s="36">
        <f>SUMIFS('Data - Season'!$H$5:$H$743,'Data - Season'!$B$5:$B$743,$A31,'Data - Season'!$C$5:$C$743,$B31,'Data - Season'!$D$5:$D$743,$C31)</f>
        <v/>
      </c>
      <c r="H31" s="36">
        <f>SUMIFS('Data - Season'!$I$5:$I$743,'Data - Season'!$B$5:$B$743,$A31,'Data - Season'!$C$5:$C$743,$B31,'Data - Season'!$D$5:$D$743,$C31)</f>
        <v/>
      </c>
      <c r="I31" s="36">
        <f>SUMIFS('Data - Season'!$J$5:$J$743,'Data - Season'!$B$5:$B$743,$A31,'Data - Season'!$C$5:$C$743,$B31,'Data - Season'!$D$5:$D$743,$C31)</f>
        <v/>
      </c>
      <c r="J31" s="33">
        <f>SUMIFS('Data - Pre'!$E$5:$E$750,'Data - Pre'!$B$5:$B$750,$A31,'Data - Pre'!$C$5:$C$750,$B31,'Data - Pre'!$D$5:$D$750,$C31)</f>
        <v/>
      </c>
      <c r="K31" s="33">
        <f>SUMIFS('Data - Pre'!$F$5:$F$750,'Data - Pre'!$B$5:$B$750,$A31,'Data - Pre'!$C$5:$C$750,$B31,'Data - Pre'!$D$5:$D$750,$C31)</f>
        <v/>
      </c>
      <c r="L31" s="36">
        <f>SUMIFS('Data - Pre'!$I$5:$I$750,'Data - Pre'!$B$5:$B$750,$A31,'Data - Pre'!$C$5:$C$750,$B31,'Data - Pre'!$D$5:$D$750,$C31)</f>
        <v/>
      </c>
      <c r="M31" s="36">
        <f>SUMIFS('Data - Pre'!$J$5:$J$750,'Data - Pre'!$B$5:$B$750,$A31,'Data - Pre'!$C$5:$C$750,$B31,'Data - Pre'!$D$5:$D$750,$C31)</f>
        <v/>
      </c>
      <c r="N31" s="49">
        <f>IFERROR($H31/$D31,0)</f>
        <v/>
      </c>
      <c r="O31" s="49">
        <f>IFERROR($I31/$E31,0)</f>
        <v/>
      </c>
      <c r="P31" s="49">
        <f>IFERROR($F31/$D31,0)</f>
        <v/>
      </c>
      <c r="Q31" s="49">
        <f>IFERROR($G31/$E31,0)</f>
        <v/>
      </c>
      <c r="R31" s="49">
        <f>IFERROR(($F31-$H31)/$D31,0)</f>
        <v/>
      </c>
      <c r="S31" s="49">
        <f>IFERROR(($G31-$I31)/$E31,0)</f>
        <v/>
      </c>
      <c r="T31" s="36">
        <f>$E31*$N31</f>
        <v/>
      </c>
      <c r="U31" s="36">
        <f>$E31*($O31-$N31)</f>
        <v/>
      </c>
      <c r="V31" s="44">
        <f>IFERROR($E31/$D31-1,"")</f>
        <v/>
      </c>
      <c r="W31" s="44">
        <f>IFERROR($K31/$J31-1,"")</f>
        <v/>
      </c>
      <c r="X31" s="44">
        <f>IFERROR($V31-$W31,"")</f>
        <v/>
      </c>
    </row>
    <row r="32">
      <c r="A32" s="41" t="inlineStr">
        <is>
          <t>Qualifier</t>
        </is>
      </c>
      <c r="B32" s="41" t="inlineStr">
        <is>
          <t>DG Yuengling Inc</t>
        </is>
      </c>
      <c r="C32" s="41" t="inlineStr">
        <is>
          <t>Yuengling Lager</t>
        </is>
      </c>
      <c r="D32" s="33">
        <f>SUMIFS('Data - Season'!$E$5:$E$743,'Data - Season'!$B$5:$B$743,$A32,'Data - Season'!$C$5:$C$743,$B32,'Data - Season'!$D$5:$D$743,$C32)</f>
        <v/>
      </c>
      <c r="E32" s="33">
        <f>SUMIFS('Data - Season'!$F$5:$F$743,'Data - Season'!$B$5:$B$743,$A32,'Data - Season'!$C$5:$C$743,$B32,'Data - Season'!$D$5:$D$743,$C32)</f>
        <v/>
      </c>
      <c r="F32" s="36">
        <f>SUMIFS('Data - Season'!$G$5:$G$743,'Data - Season'!$B$5:$B$743,$A32,'Data - Season'!$C$5:$C$743,$B32,'Data - Season'!$D$5:$D$743,$C32)</f>
        <v/>
      </c>
      <c r="G32" s="36">
        <f>SUMIFS('Data - Season'!$H$5:$H$743,'Data - Season'!$B$5:$B$743,$A32,'Data - Season'!$C$5:$C$743,$B32,'Data - Season'!$D$5:$D$743,$C32)</f>
        <v/>
      </c>
      <c r="H32" s="36">
        <f>SUMIFS('Data - Season'!$I$5:$I$743,'Data - Season'!$B$5:$B$743,$A32,'Data - Season'!$C$5:$C$743,$B32,'Data - Season'!$D$5:$D$743,$C32)</f>
        <v/>
      </c>
      <c r="I32" s="36">
        <f>SUMIFS('Data - Season'!$J$5:$J$743,'Data - Season'!$B$5:$B$743,$A32,'Data - Season'!$C$5:$C$743,$B32,'Data - Season'!$D$5:$D$743,$C32)</f>
        <v/>
      </c>
      <c r="J32" s="33">
        <f>SUMIFS('Data - Pre'!$E$5:$E$750,'Data - Pre'!$B$5:$B$750,$A32,'Data - Pre'!$C$5:$C$750,$B32,'Data - Pre'!$D$5:$D$750,$C32)</f>
        <v/>
      </c>
      <c r="K32" s="33">
        <f>SUMIFS('Data - Pre'!$F$5:$F$750,'Data - Pre'!$B$5:$B$750,$A32,'Data - Pre'!$C$5:$C$750,$B32,'Data - Pre'!$D$5:$D$750,$C32)</f>
        <v/>
      </c>
      <c r="L32" s="36">
        <f>SUMIFS('Data - Pre'!$I$5:$I$750,'Data - Pre'!$B$5:$B$750,$A32,'Data - Pre'!$C$5:$C$750,$B32,'Data - Pre'!$D$5:$D$750,$C32)</f>
        <v/>
      </c>
      <c r="M32" s="36">
        <f>SUMIFS('Data - Pre'!$J$5:$J$750,'Data - Pre'!$B$5:$B$750,$A32,'Data - Pre'!$C$5:$C$750,$B32,'Data - Pre'!$D$5:$D$750,$C32)</f>
        <v/>
      </c>
      <c r="N32" s="49">
        <f>IFERROR($H32/$D32,0)</f>
        <v/>
      </c>
      <c r="O32" s="49">
        <f>IFERROR($I32/$E32,0)</f>
        <v/>
      </c>
      <c r="P32" s="49">
        <f>IFERROR($F32/$D32,0)</f>
        <v/>
      </c>
      <c r="Q32" s="49">
        <f>IFERROR($G32/$E32,0)</f>
        <v/>
      </c>
      <c r="R32" s="49">
        <f>IFERROR(($F32-$H32)/$D32,0)</f>
        <v/>
      </c>
      <c r="S32" s="49">
        <f>IFERROR(($G32-$I32)/$E32,0)</f>
        <v/>
      </c>
      <c r="T32" s="36">
        <f>$E32*$N32</f>
        <v/>
      </c>
      <c r="U32" s="36">
        <f>$E32*($O32-$N32)</f>
        <v/>
      </c>
      <c r="V32" s="44">
        <f>IFERROR($E32/$D32-1,"")</f>
        <v/>
      </c>
      <c r="W32" s="44">
        <f>IFERROR($K32/$J32-1,"")</f>
        <v/>
      </c>
      <c r="X32" s="44">
        <f>IFERROR($V32-$W32,"")</f>
        <v/>
      </c>
    </row>
    <row r="33">
      <c r="A33" s="41" t="inlineStr">
        <is>
          <t>Qualifier</t>
        </is>
      </c>
      <c r="B33" s="41" t="inlineStr">
        <is>
          <t>Heineken USA</t>
        </is>
      </c>
      <c r="C33" s="41" t="inlineStr">
        <is>
          <t>Heineken USA</t>
        </is>
      </c>
      <c r="D33" s="33">
        <f>SUMIFS('Data - Season'!$E$5:$E$743,'Data - Season'!$B$5:$B$743,$A33,'Data - Season'!$C$5:$C$743,$B33,'Data - Season'!$D$5:$D$743,$C33)</f>
        <v/>
      </c>
      <c r="E33" s="33">
        <f>SUMIFS('Data - Season'!$F$5:$F$743,'Data - Season'!$B$5:$B$743,$A33,'Data - Season'!$C$5:$C$743,$B33,'Data - Season'!$D$5:$D$743,$C33)</f>
        <v/>
      </c>
      <c r="F33" s="36">
        <f>SUMIFS('Data - Season'!$G$5:$G$743,'Data - Season'!$B$5:$B$743,$A33,'Data - Season'!$C$5:$C$743,$B33,'Data - Season'!$D$5:$D$743,$C33)</f>
        <v/>
      </c>
      <c r="G33" s="36">
        <f>SUMIFS('Data - Season'!$H$5:$H$743,'Data - Season'!$B$5:$B$743,$A33,'Data - Season'!$C$5:$C$743,$B33,'Data - Season'!$D$5:$D$743,$C33)</f>
        <v/>
      </c>
      <c r="H33" s="36">
        <f>SUMIFS('Data - Season'!$I$5:$I$743,'Data - Season'!$B$5:$B$743,$A33,'Data - Season'!$C$5:$C$743,$B33,'Data - Season'!$D$5:$D$743,$C33)</f>
        <v/>
      </c>
      <c r="I33" s="36">
        <f>SUMIFS('Data - Season'!$J$5:$J$743,'Data - Season'!$B$5:$B$743,$A33,'Data - Season'!$C$5:$C$743,$B33,'Data - Season'!$D$5:$D$743,$C33)</f>
        <v/>
      </c>
      <c r="J33" s="33">
        <f>SUMIFS('Data - Pre'!$E$5:$E$750,'Data - Pre'!$B$5:$B$750,$A33,'Data - Pre'!$C$5:$C$750,$B33,'Data - Pre'!$D$5:$D$750,$C33)</f>
        <v/>
      </c>
      <c r="K33" s="33">
        <f>SUMIFS('Data - Pre'!$F$5:$F$750,'Data - Pre'!$B$5:$B$750,$A33,'Data - Pre'!$C$5:$C$750,$B33,'Data - Pre'!$D$5:$D$750,$C33)</f>
        <v/>
      </c>
      <c r="L33" s="36">
        <f>SUMIFS('Data - Pre'!$I$5:$I$750,'Data - Pre'!$B$5:$B$750,$A33,'Data - Pre'!$C$5:$C$750,$B33,'Data - Pre'!$D$5:$D$750,$C33)</f>
        <v/>
      </c>
      <c r="M33" s="36">
        <f>SUMIFS('Data - Pre'!$J$5:$J$750,'Data - Pre'!$B$5:$B$750,$A33,'Data - Pre'!$C$5:$C$750,$B33,'Data - Pre'!$D$5:$D$750,$C33)</f>
        <v/>
      </c>
      <c r="N33" s="49">
        <f>IFERROR($H33/$D33,0)</f>
        <v/>
      </c>
      <c r="O33" s="49">
        <f>IFERROR($I33/$E33,0)</f>
        <v/>
      </c>
      <c r="P33" s="49">
        <f>IFERROR($F33/$D33,0)</f>
        <v/>
      </c>
      <c r="Q33" s="49">
        <f>IFERROR($G33/$E33,0)</f>
        <v/>
      </c>
      <c r="R33" s="49">
        <f>IFERROR(($F33-$H33)/$D33,0)</f>
        <v/>
      </c>
      <c r="S33" s="49">
        <f>IFERROR(($G33-$I33)/$E33,0)</f>
        <v/>
      </c>
      <c r="T33" s="36">
        <f>$E33*$N33</f>
        <v/>
      </c>
      <c r="U33" s="36">
        <f>$E33*($O33-$N33)</f>
        <v/>
      </c>
      <c r="V33" s="44">
        <f>IFERROR($E33/$D33-1,"")</f>
        <v/>
      </c>
      <c r="W33" s="44">
        <f>IFERROR($K33/$J33-1,"")</f>
        <v/>
      </c>
      <c r="X33" s="44">
        <f>IFERROR($V33-$W33,"")</f>
        <v/>
      </c>
    </row>
    <row r="34">
      <c r="A34" s="41" t="inlineStr">
        <is>
          <t>Qualifier</t>
        </is>
      </c>
      <c r="B34" s="41" t="inlineStr">
        <is>
          <t>Mark Anthony</t>
        </is>
      </c>
      <c r="C34" s="41" t="inlineStr">
        <is>
          <t>White Claw</t>
        </is>
      </c>
      <c r="D34" s="33">
        <f>SUMIFS('Data - Season'!$E$5:$E$743,'Data - Season'!$B$5:$B$743,$A34,'Data - Season'!$C$5:$C$743,$B34,'Data - Season'!$D$5:$D$743,$C34)</f>
        <v/>
      </c>
      <c r="E34" s="33">
        <f>SUMIFS('Data - Season'!$F$5:$F$743,'Data - Season'!$B$5:$B$743,$A34,'Data - Season'!$C$5:$C$743,$B34,'Data - Season'!$D$5:$D$743,$C34)</f>
        <v/>
      </c>
      <c r="F34" s="36">
        <f>SUMIFS('Data - Season'!$G$5:$G$743,'Data - Season'!$B$5:$B$743,$A34,'Data - Season'!$C$5:$C$743,$B34,'Data - Season'!$D$5:$D$743,$C34)</f>
        <v/>
      </c>
      <c r="G34" s="36">
        <f>SUMIFS('Data - Season'!$H$5:$H$743,'Data - Season'!$B$5:$B$743,$A34,'Data - Season'!$C$5:$C$743,$B34,'Data - Season'!$D$5:$D$743,$C34)</f>
        <v/>
      </c>
      <c r="H34" s="36">
        <f>SUMIFS('Data - Season'!$I$5:$I$743,'Data - Season'!$B$5:$B$743,$A34,'Data - Season'!$C$5:$C$743,$B34,'Data - Season'!$D$5:$D$743,$C34)</f>
        <v/>
      </c>
      <c r="I34" s="36">
        <f>SUMIFS('Data - Season'!$J$5:$J$743,'Data - Season'!$B$5:$B$743,$A34,'Data - Season'!$C$5:$C$743,$B34,'Data - Season'!$D$5:$D$743,$C34)</f>
        <v/>
      </c>
      <c r="J34" s="33">
        <f>SUMIFS('Data - Pre'!$E$5:$E$750,'Data - Pre'!$B$5:$B$750,$A34,'Data - Pre'!$C$5:$C$750,$B34,'Data - Pre'!$D$5:$D$750,$C34)</f>
        <v/>
      </c>
      <c r="K34" s="33">
        <f>SUMIFS('Data - Pre'!$F$5:$F$750,'Data - Pre'!$B$5:$B$750,$A34,'Data - Pre'!$C$5:$C$750,$B34,'Data - Pre'!$D$5:$D$750,$C34)</f>
        <v/>
      </c>
      <c r="L34" s="36">
        <f>SUMIFS('Data - Pre'!$I$5:$I$750,'Data - Pre'!$B$5:$B$750,$A34,'Data - Pre'!$C$5:$C$750,$B34,'Data - Pre'!$D$5:$D$750,$C34)</f>
        <v/>
      </c>
      <c r="M34" s="36">
        <f>SUMIFS('Data - Pre'!$J$5:$J$750,'Data - Pre'!$B$5:$B$750,$A34,'Data - Pre'!$C$5:$C$750,$B34,'Data - Pre'!$D$5:$D$750,$C34)</f>
        <v/>
      </c>
      <c r="N34" s="49">
        <f>IFERROR($H34/$D34,0)</f>
        <v/>
      </c>
      <c r="O34" s="49">
        <f>IFERROR($I34/$E34,0)</f>
        <v/>
      </c>
      <c r="P34" s="49">
        <f>IFERROR($F34/$D34,0)</f>
        <v/>
      </c>
      <c r="Q34" s="49">
        <f>IFERROR($G34/$E34,0)</f>
        <v/>
      </c>
      <c r="R34" s="49">
        <f>IFERROR(($F34-$H34)/$D34,0)</f>
        <v/>
      </c>
      <c r="S34" s="49">
        <f>IFERROR(($G34-$I34)/$E34,0)</f>
        <v/>
      </c>
      <c r="T34" s="36">
        <f>$E34*$N34</f>
        <v/>
      </c>
      <c r="U34" s="36">
        <f>$E34*($O34-$N34)</f>
        <v/>
      </c>
      <c r="V34" s="44">
        <f>IFERROR($E34/$D34-1,"")</f>
        <v/>
      </c>
      <c r="W34" s="44">
        <f>IFERROR($K34/$J34-1,"")</f>
        <v/>
      </c>
      <c r="X34" s="44">
        <f>IFERROR($V34-$W34,"")</f>
        <v/>
      </c>
    </row>
    <row r="35">
      <c r="A35" s="41" t="inlineStr">
        <is>
          <t>Qualifier</t>
        </is>
      </c>
      <c r="B35" s="41" t="inlineStr">
        <is>
          <t>MolsonCoors Beverage Company</t>
        </is>
      </c>
      <c r="C35" s="41" t="inlineStr">
        <is>
          <t>Blue Moon</t>
        </is>
      </c>
      <c r="D35" s="33">
        <f>SUMIFS('Data - Season'!$E$5:$E$743,'Data - Season'!$B$5:$B$743,$A35,'Data - Season'!$C$5:$C$743,$B35,'Data - Season'!$D$5:$D$743,$C35)</f>
        <v/>
      </c>
      <c r="E35" s="33">
        <f>SUMIFS('Data - Season'!$F$5:$F$743,'Data - Season'!$B$5:$B$743,$A35,'Data - Season'!$C$5:$C$743,$B35,'Data - Season'!$D$5:$D$743,$C35)</f>
        <v/>
      </c>
      <c r="F35" s="36">
        <f>SUMIFS('Data - Season'!$G$5:$G$743,'Data - Season'!$B$5:$B$743,$A35,'Data - Season'!$C$5:$C$743,$B35,'Data - Season'!$D$5:$D$743,$C35)</f>
        <v/>
      </c>
      <c r="G35" s="36">
        <f>SUMIFS('Data - Season'!$H$5:$H$743,'Data - Season'!$B$5:$B$743,$A35,'Data - Season'!$C$5:$C$743,$B35,'Data - Season'!$D$5:$D$743,$C35)</f>
        <v/>
      </c>
      <c r="H35" s="36">
        <f>SUMIFS('Data - Season'!$I$5:$I$743,'Data - Season'!$B$5:$B$743,$A35,'Data - Season'!$C$5:$C$743,$B35,'Data - Season'!$D$5:$D$743,$C35)</f>
        <v/>
      </c>
      <c r="I35" s="36">
        <f>SUMIFS('Data - Season'!$J$5:$J$743,'Data - Season'!$B$5:$B$743,$A35,'Data - Season'!$C$5:$C$743,$B35,'Data - Season'!$D$5:$D$743,$C35)</f>
        <v/>
      </c>
      <c r="J35" s="33">
        <f>SUMIFS('Data - Pre'!$E$5:$E$750,'Data - Pre'!$B$5:$B$750,$A35,'Data - Pre'!$C$5:$C$750,$B35,'Data - Pre'!$D$5:$D$750,$C35)</f>
        <v/>
      </c>
      <c r="K35" s="33">
        <f>SUMIFS('Data - Pre'!$F$5:$F$750,'Data - Pre'!$B$5:$B$750,$A35,'Data - Pre'!$C$5:$C$750,$B35,'Data - Pre'!$D$5:$D$750,$C35)</f>
        <v/>
      </c>
      <c r="L35" s="36">
        <f>SUMIFS('Data - Pre'!$I$5:$I$750,'Data - Pre'!$B$5:$B$750,$A35,'Data - Pre'!$C$5:$C$750,$B35,'Data - Pre'!$D$5:$D$750,$C35)</f>
        <v/>
      </c>
      <c r="M35" s="36">
        <f>SUMIFS('Data - Pre'!$J$5:$J$750,'Data - Pre'!$B$5:$B$750,$A35,'Data - Pre'!$C$5:$C$750,$B35,'Data - Pre'!$D$5:$D$750,$C35)</f>
        <v/>
      </c>
      <c r="N35" s="49">
        <f>IFERROR($H35/$D35,0)</f>
        <v/>
      </c>
      <c r="O35" s="49">
        <f>IFERROR($I35/$E35,0)</f>
        <v/>
      </c>
      <c r="P35" s="49">
        <f>IFERROR($F35/$D35,0)</f>
        <v/>
      </c>
      <c r="Q35" s="49">
        <f>IFERROR($G35/$E35,0)</f>
        <v/>
      </c>
      <c r="R35" s="49">
        <f>IFERROR(($F35-$H35)/$D35,0)</f>
        <v/>
      </c>
      <c r="S35" s="49">
        <f>IFERROR(($G35-$I35)/$E35,0)</f>
        <v/>
      </c>
      <c r="T35" s="36">
        <f>$E35*$N35</f>
        <v/>
      </c>
      <c r="U35" s="36">
        <f>$E35*($O35-$N35)</f>
        <v/>
      </c>
      <c r="V35" s="44">
        <f>IFERROR($E35/$D35-1,"")</f>
        <v/>
      </c>
      <c r="W35" s="44">
        <f>IFERROR($K35/$J35-1,"")</f>
        <v/>
      </c>
      <c r="X35" s="44">
        <f>IFERROR($V35-$W35,"")</f>
        <v/>
      </c>
    </row>
    <row r="36">
      <c r="A36" s="41" t="inlineStr">
        <is>
          <t>Qualifier</t>
        </is>
      </c>
      <c r="B36" s="41" t="inlineStr">
        <is>
          <t>MolsonCoors Beverage Company</t>
        </is>
      </c>
      <c r="C36" s="41" t="inlineStr">
        <is>
          <t>Coors Light</t>
        </is>
      </c>
      <c r="D36" s="33">
        <f>SUMIFS('Data - Season'!$E$5:$E$743,'Data - Season'!$B$5:$B$743,$A36,'Data - Season'!$C$5:$C$743,$B36,'Data - Season'!$D$5:$D$743,$C36)</f>
        <v/>
      </c>
      <c r="E36" s="33">
        <f>SUMIFS('Data - Season'!$F$5:$F$743,'Data - Season'!$B$5:$B$743,$A36,'Data - Season'!$C$5:$C$743,$B36,'Data - Season'!$D$5:$D$743,$C36)</f>
        <v/>
      </c>
      <c r="F36" s="36">
        <f>SUMIFS('Data - Season'!$G$5:$G$743,'Data - Season'!$B$5:$B$743,$A36,'Data - Season'!$C$5:$C$743,$B36,'Data - Season'!$D$5:$D$743,$C36)</f>
        <v/>
      </c>
      <c r="G36" s="36">
        <f>SUMIFS('Data - Season'!$H$5:$H$743,'Data - Season'!$B$5:$B$743,$A36,'Data - Season'!$C$5:$C$743,$B36,'Data - Season'!$D$5:$D$743,$C36)</f>
        <v/>
      </c>
      <c r="H36" s="36">
        <f>SUMIFS('Data - Season'!$I$5:$I$743,'Data - Season'!$B$5:$B$743,$A36,'Data - Season'!$C$5:$C$743,$B36,'Data - Season'!$D$5:$D$743,$C36)</f>
        <v/>
      </c>
      <c r="I36" s="36">
        <f>SUMIFS('Data - Season'!$J$5:$J$743,'Data - Season'!$B$5:$B$743,$A36,'Data - Season'!$C$5:$C$743,$B36,'Data - Season'!$D$5:$D$743,$C36)</f>
        <v/>
      </c>
      <c r="J36" s="33">
        <f>SUMIFS('Data - Pre'!$E$5:$E$750,'Data - Pre'!$B$5:$B$750,$A36,'Data - Pre'!$C$5:$C$750,$B36,'Data - Pre'!$D$5:$D$750,$C36)</f>
        <v/>
      </c>
      <c r="K36" s="33">
        <f>SUMIFS('Data - Pre'!$F$5:$F$750,'Data - Pre'!$B$5:$B$750,$A36,'Data - Pre'!$C$5:$C$750,$B36,'Data - Pre'!$D$5:$D$750,$C36)</f>
        <v/>
      </c>
      <c r="L36" s="36">
        <f>SUMIFS('Data - Pre'!$I$5:$I$750,'Data - Pre'!$B$5:$B$750,$A36,'Data - Pre'!$C$5:$C$750,$B36,'Data - Pre'!$D$5:$D$750,$C36)</f>
        <v/>
      </c>
      <c r="M36" s="36">
        <f>SUMIFS('Data - Pre'!$J$5:$J$750,'Data - Pre'!$B$5:$B$750,$A36,'Data - Pre'!$C$5:$C$750,$B36,'Data - Pre'!$D$5:$D$750,$C36)</f>
        <v/>
      </c>
      <c r="N36" s="49">
        <f>IFERROR($H36/$D36,0)</f>
        <v/>
      </c>
      <c r="O36" s="49">
        <f>IFERROR($I36/$E36,0)</f>
        <v/>
      </c>
      <c r="P36" s="49">
        <f>IFERROR($F36/$D36,0)</f>
        <v/>
      </c>
      <c r="Q36" s="49">
        <f>IFERROR($G36/$E36,0)</f>
        <v/>
      </c>
      <c r="R36" s="49">
        <f>IFERROR(($F36-$H36)/$D36,0)</f>
        <v/>
      </c>
      <c r="S36" s="49">
        <f>IFERROR(($G36-$I36)/$E36,0)</f>
        <v/>
      </c>
      <c r="T36" s="36">
        <f>$E36*$N36</f>
        <v/>
      </c>
      <c r="U36" s="36">
        <f>$E36*($O36-$N36)</f>
        <v/>
      </c>
      <c r="V36" s="44">
        <f>IFERROR($E36/$D36-1,"")</f>
        <v/>
      </c>
      <c r="W36" s="44">
        <f>IFERROR($K36/$J36-1,"")</f>
        <v/>
      </c>
      <c r="X36" s="44">
        <f>IFERROR($V36-$W36,"")</f>
        <v/>
      </c>
    </row>
    <row r="37">
      <c r="A37" s="41" t="inlineStr">
        <is>
          <t>Qualifier</t>
        </is>
      </c>
      <c r="B37" s="41" t="inlineStr">
        <is>
          <t>MolsonCoors Beverage Company</t>
        </is>
      </c>
      <c r="C37" s="41" t="inlineStr">
        <is>
          <t>Lite</t>
        </is>
      </c>
      <c r="D37" s="33">
        <f>SUMIFS('Data - Season'!$E$5:$E$743,'Data - Season'!$B$5:$B$743,$A37,'Data - Season'!$C$5:$C$743,$B37,'Data - Season'!$D$5:$D$743,$C37)</f>
        <v/>
      </c>
      <c r="E37" s="33">
        <f>SUMIFS('Data - Season'!$F$5:$F$743,'Data - Season'!$B$5:$B$743,$A37,'Data - Season'!$C$5:$C$743,$B37,'Data - Season'!$D$5:$D$743,$C37)</f>
        <v/>
      </c>
      <c r="F37" s="36">
        <f>SUMIFS('Data - Season'!$G$5:$G$743,'Data - Season'!$B$5:$B$743,$A37,'Data - Season'!$C$5:$C$743,$B37,'Data - Season'!$D$5:$D$743,$C37)</f>
        <v/>
      </c>
      <c r="G37" s="36">
        <f>SUMIFS('Data - Season'!$H$5:$H$743,'Data - Season'!$B$5:$B$743,$A37,'Data - Season'!$C$5:$C$743,$B37,'Data - Season'!$D$5:$D$743,$C37)</f>
        <v/>
      </c>
      <c r="H37" s="36">
        <f>SUMIFS('Data - Season'!$I$5:$I$743,'Data - Season'!$B$5:$B$743,$A37,'Data - Season'!$C$5:$C$743,$B37,'Data - Season'!$D$5:$D$743,$C37)</f>
        <v/>
      </c>
      <c r="I37" s="36">
        <f>SUMIFS('Data - Season'!$J$5:$J$743,'Data - Season'!$B$5:$B$743,$A37,'Data - Season'!$C$5:$C$743,$B37,'Data - Season'!$D$5:$D$743,$C37)</f>
        <v/>
      </c>
      <c r="J37" s="33">
        <f>SUMIFS('Data - Pre'!$E$5:$E$750,'Data - Pre'!$B$5:$B$750,$A37,'Data - Pre'!$C$5:$C$750,$B37,'Data - Pre'!$D$5:$D$750,$C37)</f>
        <v/>
      </c>
      <c r="K37" s="33">
        <f>SUMIFS('Data - Pre'!$F$5:$F$750,'Data - Pre'!$B$5:$B$750,$A37,'Data - Pre'!$C$5:$C$750,$B37,'Data - Pre'!$D$5:$D$750,$C37)</f>
        <v/>
      </c>
      <c r="L37" s="36">
        <f>SUMIFS('Data - Pre'!$I$5:$I$750,'Data - Pre'!$B$5:$B$750,$A37,'Data - Pre'!$C$5:$C$750,$B37,'Data - Pre'!$D$5:$D$750,$C37)</f>
        <v/>
      </c>
      <c r="M37" s="36">
        <f>SUMIFS('Data - Pre'!$J$5:$J$750,'Data - Pre'!$B$5:$B$750,$A37,'Data - Pre'!$C$5:$C$750,$B37,'Data - Pre'!$D$5:$D$750,$C37)</f>
        <v/>
      </c>
      <c r="N37" s="49">
        <f>IFERROR($H37/$D37,0)</f>
        <v/>
      </c>
      <c r="O37" s="49">
        <f>IFERROR($I37/$E37,0)</f>
        <v/>
      </c>
      <c r="P37" s="49">
        <f>IFERROR($F37/$D37,0)</f>
        <v/>
      </c>
      <c r="Q37" s="49">
        <f>IFERROR($G37/$E37,0)</f>
        <v/>
      </c>
      <c r="R37" s="49">
        <f>IFERROR(($F37-$H37)/$D37,0)</f>
        <v/>
      </c>
      <c r="S37" s="49">
        <f>IFERROR(($G37-$I37)/$E37,0)</f>
        <v/>
      </c>
      <c r="T37" s="36">
        <f>$E37*$N37</f>
        <v/>
      </c>
      <c r="U37" s="36">
        <f>$E37*($O37-$N37)</f>
        <v/>
      </c>
      <c r="V37" s="44">
        <f>IFERROR($E37/$D37-1,"")</f>
        <v/>
      </c>
      <c r="W37" s="44">
        <f>IFERROR($K37/$J37-1,"")</f>
        <v/>
      </c>
      <c r="X37" s="44">
        <f>IFERROR($V37-$W37,"")</f>
        <v/>
      </c>
    </row>
    <row r="38">
      <c r="A38" s="17" t="inlineStr">
        <is>
          <t>TOTAL</t>
        </is>
      </c>
      <c r="D38" s="43">
        <f>SUM(D6:D37)</f>
        <v/>
      </c>
      <c r="E38" s="43">
        <f>SUM(E6:E37)</f>
        <v/>
      </c>
      <c r="F38" s="38">
        <f>SUM(F6:F37)</f>
        <v/>
      </c>
      <c r="G38" s="38">
        <f>SUM(G6:G37)</f>
        <v/>
      </c>
      <c r="H38" s="38">
        <f>SUM(H6:H37)</f>
        <v/>
      </c>
      <c r="I38" s="38">
        <f>SUM(I6:I37)</f>
        <v/>
      </c>
      <c r="J38" s="43">
        <f>SUM(J6:J37)</f>
        <v/>
      </c>
      <c r="K38" s="43">
        <f>SUM(K6:K37)</f>
        <v/>
      </c>
      <c r="L38" s="38">
        <f>SUM(L6:L37)</f>
        <v/>
      </c>
      <c r="M38" s="38">
        <f>SUM(M6:M37)</f>
        <v/>
      </c>
      <c r="T38" s="38">
        <f>SUM(T6:T37)</f>
        <v/>
      </c>
      <c r="U38" s="38">
        <f>SUM(U6:U37)</f>
        <v/>
      </c>
    </row>
  </sheetData>
  <autoFilter ref="A5:X3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97"/>
  <sheetViews>
    <sheetView showGridLines="0" workbookViewId="0">
      <pane ySplit="4" topLeftCell="A5" activePane="bottomLeft" state="frozen"/>
      <selection pane="bottomLeft" activeCell="A1" sqref="A1"/>
    </sheetView>
  </sheetViews>
  <sheetFormatPr baseColWidth="8" defaultRowHeight="15"/>
  <cols>
    <col width="28" customWidth="1" min="1" max="1"/>
    <col width="26" customWidth="1" min="2" max="2"/>
    <col width="11" customWidth="1" min="3" max="3"/>
    <col width="11" customWidth="1" min="4" max="4"/>
    <col width="14" customWidth="1" min="5" max="5"/>
    <col width="14" customWidth="1" min="6" max="6"/>
    <col width="13" customWidth="1" min="7" max="7"/>
    <col width="13" customWidth="1" min="8" max="8"/>
    <col width="12" customWidth="1" min="9" max="9"/>
    <col width="12" customWidth="1" min="10" max="10"/>
    <col width="14" customWidth="1" min="11" max="11"/>
    <col width="12" customWidth="1" min="12" max="12"/>
    <col width="11" customWidth="1" min="13" max="13"/>
  </cols>
  <sheetData>
    <row r="1">
      <c r="A1" s="22" t="inlineStr">
        <is>
          <t>Non-program brands — Jun–Aug, brand-family level</t>
        </is>
      </c>
    </row>
    <row r="2">
      <c r="A2" s="2" t="inlineStr">
        <is>
          <t>The control set: every brand NOT in Summer of Success. SUMIFS off Data - Control.</t>
        </is>
      </c>
    </row>
    <row r="4" ht="30" customHeight="1">
      <c r="A4" s="6" t="inlineStr">
        <is>
          <t>Supplier</t>
        </is>
      </c>
      <c r="B4" s="6" t="inlineStr">
        <is>
          <t>Brand Family</t>
        </is>
      </c>
      <c r="C4" s="6" t="inlineStr">
        <is>
          <t>CE 2025</t>
        </is>
      </c>
      <c r="D4" s="6" t="inlineStr">
        <is>
          <t>CE 2026</t>
        </is>
      </c>
      <c r="E4" s="6" t="inlineStr">
        <is>
          <t>Rev 2025</t>
        </is>
      </c>
      <c r="F4" s="6" t="inlineStr">
        <is>
          <t>Rev 2026</t>
        </is>
      </c>
      <c r="G4" s="6" t="inlineStr">
        <is>
          <t>GP 2025</t>
        </is>
      </c>
      <c r="H4" s="6" t="inlineStr">
        <is>
          <t>GP 2026</t>
        </is>
      </c>
      <c r="I4" s="6" t="inlineStr">
        <is>
          <t>GP/CE 2025</t>
        </is>
      </c>
      <c r="J4" s="6" t="inlineStr">
        <is>
          <t>GP/CE 2026</t>
        </is>
      </c>
      <c r="K4" s="6" t="inlineStr">
        <is>
          <t>GP26 at LY rate</t>
        </is>
      </c>
      <c r="L4" s="6" t="inlineStr">
        <is>
          <t>Rate effect</t>
        </is>
      </c>
      <c r="M4" s="6" t="inlineStr">
        <is>
          <t>Cases %</t>
        </is>
      </c>
    </row>
    <row r="5">
      <c r="A5" s="41" t="inlineStr">
        <is>
          <t>1925 Spirits LLC</t>
        </is>
      </c>
      <c r="B5" s="41" t="inlineStr">
        <is>
          <t>Leyenda 1925</t>
        </is>
      </c>
      <c r="C5" s="33">
        <f>SUMIFS('Data - Control'!$C$5:$C$296,'Data - Control'!$A$5:$A$296,$A5,'Data - Control'!$B$5:$B$296,$B5)</f>
        <v/>
      </c>
      <c r="D5" s="33">
        <f>SUMIFS('Data - Control'!$D$5:$D$296,'Data - Control'!$A$5:$A$296,$A5,'Data - Control'!$B$5:$B$296,$B5)</f>
        <v/>
      </c>
      <c r="E5" s="36">
        <f>SUMIFS('Data - Control'!$E$5:$E$296,'Data - Control'!$A$5:$A$296,$A5,'Data - Control'!$B$5:$B$296,$B5)</f>
        <v/>
      </c>
      <c r="F5" s="36">
        <f>SUMIFS('Data - Control'!$F$5:$F$296,'Data - Control'!$A$5:$A$296,$A5,'Data - Control'!$B$5:$B$296,$B5)</f>
        <v/>
      </c>
      <c r="G5" s="36">
        <f>SUMIFS('Data - Control'!$G$5:$G$296,'Data - Control'!$A$5:$A$296,$A5,'Data - Control'!$B$5:$B$296,$B5)</f>
        <v/>
      </c>
      <c r="H5" s="36">
        <f>SUMIFS('Data - Control'!$H$5:$H$296,'Data - Control'!$A$5:$A$296,$A5,'Data - Control'!$B$5:$B$296,$B5)</f>
        <v/>
      </c>
      <c r="I5" s="49">
        <f>IFERROR($G5/$C5,0)</f>
        <v/>
      </c>
      <c r="J5" s="49">
        <f>IFERROR($H5/$D5,0)</f>
        <v/>
      </c>
      <c r="K5" s="36">
        <f>$D5*$I5</f>
        <v/>
      </c>
      <c r="L5" s="36">
        <f>$D5*($J5-$I5)</f>
        <v/>
      </c>
      <c r="M5" s="44">
        <f>IFERROR($D5/$C5-1,"")</f>
        <v/>
      </c>
    </row>
    <row r="6">
      <c r="A6" s="41" t="inlineStr">
        <is>
          <t>2 Towns Ciderhouse</t>
        </is>
      </c>
      <c r="B6" s="41" t="inlineStr">
        <is>
          <t>Craftwell</t>
        </is>
      </c>
      <c r="C6" s="33">
        <f>SUMIFS('Data - Control'!$C$5:$C$296,'Data - Control'!$A$5:$A$296,$A6,'Data - Control'!$B$5:$B$296,$B6)</f>
        <v/>
      </c>
      <c r="D6" s="33">
        <f>SUMIFS('Data - Control'!$D$5:$D$296,'Data - Control'!$A$5:$A$296,$A6,'Data - Control'!$B$5:$B$296,$B6)</f>
        <v/>
      </c>
      <c r="E6" s="36">
        <f>SUMIFS('Data - Control'!$E$5:$E$296,'Data - Control'!$A$5:$A$296,$A6,'Data - Control'!$B$5:$B$296,$B6)</f>
        <v/>
      </c>
      <c r="F6" s="36">
        <f>SUMIFS('Data - Control'!$F$5:$F$296,'Data - Control'!$A$5:$A$296,$A6,'Data - Control'!$B$5:$B$296,$B6)</f>
        <v/>
      </c>
      <c r="G6" s="36">
        <f>SUMIFS('Data - Control'!$G$5:$G$296,'Data - Control'!$A$5:$A$296,$A6,'Data - Control'!$B$5:$B$296,$B6)</f>
        <v/>
      </c>
      <c r="H6" s="36">
        <f>SUMIFS('Data - Control'!$H$5:$H$296,'Data - Control'!$A$5:$A$296,$A6,'Data - Control'!$B$5:$B$296,$B6)</f>
        <v/>
      </c>
      <c r="I6" s="49">
        <f>IFERROR($G6/$C6,0)</f>
        <v/>
      </c>
      <c r="J6" s="49">
        <f>IFERROR($H6/$D6,0)</f>
        <v/>
      </c>
      <c r="K6" s="36">
        <f>$D6*$I6</f>
        <v/>
      </c>
      <c r="L6" s="36">
        <f>$D6*($J6-$I6)</f>
        <v/>
      </c>
      <c r="M6" s="44">
        <f>IFERROR($D6/$C6-1,"")</f>
        <v/>
      </c>
    </row>
    <row r="7">
      <c r="A7" s="41" t="inlineStr">
        <is>
          <t>Alias Brew Works</t>
        </is>
      </c>
      <c r="B7" s="41" t="inlineStr">
        <is>
          <t>Alias Brew Works</t>
        </is>
      </c>
      <c r="C7" s="33">
        <f>SUMIFS('Data - Control'!$C$5:$C$296,'Data - Control'!$A$5:$A$296,$A7,'Data - Control'!$B$5:$B$296,$B7)</f>
        <v/>
      </c>
      <c r="D7" s="33">
        <f>SUMIFS('Data - Control'!$D$5:$D$296,'Data - Control'!$A$5:$A$296,$A7,'Data - Control'!$B$5:$B$296,$B7)</f>
        <v/>
      </c>
      <c r="E7" s="36">
        <f>SUMIFS('Data - Control'!$E$5:$E$296,'Data - Control'!$A$5:$A$296,$A7,'Data - Control'!$B$5:$B$296,$B7)</f>
        <v/>
      </c>
      <c r="F7" s="36">
        <f>SUMIFS('Data - Control'!$F$5:$F$296,'Data - Control'!$A$5:$A$296,$A7,'Data - Control'!$B$5:$B$296,$B7)</f>
        <v/>
      </c>
      <c r="G7" s="36">
        <f>SUMIFS('Data - Control'!$G$5:$G$296,'Data - Control'!$A$5:$A$296,$A7,'Data - Control'!$B$5:$B$296,$B7)</f>
        <v/>
      </c>
      <c r="H7" s="36">
        <f>SUMIFS('Data - Control'!$H$5:$H$296,'Data - Control'!$A$5:$A$296,$A7,'Data - Control'!$B$5:$B$296,$B7)</f>
        <v/>
      </c>
      <c r="I7" s="49">
        <f>IFERROR($G7/$C7,0)</f>
        <v/>
      </c>
      <c r="J7" s="49">
        <f>IFERROR($H7/$D7,0)</f>
        <v/>
      </c>
      <c r="K7" s="36">
        <f>$D7*$I7</f>
        <v/>
      </c>
      <c r="L7" s="36">
        <f>$D7*($J7-$I7)</f>
        <v/>
      </c>
      <c r="M7" s="44">
        <f>IFERROR($D7/$C7-1,"")</f>
        <v/>
      </c>
    </row>
    <row r="8">
      <c r="A8" s="41" t="inlineStr">
        <is>
          <t>Alte Beverage</t>
        </is>
      </c>
      <c r="B8" s="41" t="inlineStr">
        <is>
          <t>Alte Beverage</t>
        </is>
      </c>
      <c r="C8" s="33">
        <f>SUMIFS('Data - Control'!$C$5:$C$296,'Data - Control'!$A$5:$A$296,$A8,'Data - Control'!$B$5:$B$296,$B8)</f>
        <v/>
      </c>
      <c r="D8" s="33">
        <f>SUMIFS('Data - Control'!$D$5:$D$296,'Data - Control'!$A$5:$A$296,$A8,'Data - Control'!$B$5:$B$296,$B8)</f>
        <v/>
      </c>
      <c r="E8" s="36">
        <f>SUMIFS('Data - Control'!$E$5:$E$296,'Data - Control'!$A$5:$A$296,$A8,'Data - Control'!$B$5:$B$296,$B8)</f>
        <v/>
      </c>
      <c r="F8" s="36">
        <f>SUMIFS('Data - Control'!$F$5:$F$296,'Data - Control'!$A$5:$A$296,$A8,'Data - Control'!$B$5:$B$296,$B8)</f>
        <v/>
      </c>
      <c r="G8" s="36">
        <f>SUMIFS('Data - Control'!$G$5:$G$296,'Data - Control'!$A$5:$A$296,$A8,'Data - Control'!$B$5:$B$296,$B8)</f>
        <v/>
      </c>
      <c r="H8" s="36">
        <f>SUMIFS('Data - Control'!$H$5:$H$296,'Data - Control'!$A$5:$A$296,$A8,'Data - Control'!$B$5:$B$296,$B8)</f>
        <v/>
      </c>
      <c r="I8" s="49">
        <f>IFERROR($G8/$C8,0)</f>
        <v/>
      </c>
      <c r="J8" s="49">
        <f>IFERROR($H8/$D8,0)</f>
        <v/>
      </c>
      <c r="K8" s="36">
        <f>$D8*$I8</f>
        <v/>
      </c>
      <c r="L8" s="36">
        <f>$D8*($J8-$I8)</f>
        <v/>
      </c>
      <c r="M8" s="44">
        <f>IFERROR($D8/$C8-1,"")</f>
        <v/>
      </c>
    </row>
    <row r="9">
      <c r="A9" s="41" t="inlineStr">
        <is>
          <t>American Fruits</t>
        </is>
      </c>
      <c r="B9" s="41" t="inlineStr">
        <is>
          <t>American Fruit</t>
        </is>
      </c>
      <c r="C9" s="33">
        <f>SUMIFS('Data - Control'!$C$5:$C$296,'Data - Control'!$A$5:$A$296,$A9,'Data - Control'!$B$5:$B$296,$B9)</f>
        <v/>
      </c>
      <c r="D9" s="33">
        <f>SUMIFS('Data - Control'!$D$5:$D$296,'Data - Control'!$A$5:$A$296,$A9,'Data - Control'!$B$5:$B$296,$B9)</f>
        <v/>
      </c>
      <c r="E9" s="36">
        <f>SUMIFS('Data - Control'!$E$5:$E$296,'Data - Control'!$A$5:$A$296,$A9,'Data - Control'!$B$5:$B$296,$B9)</f>
        <v/>
      </c>
      <c r="F9" s="36">
        <f>SUMIFS('Data - Control'!$F$5:$F$296,'Data - Control'!$A$5:$A$296,$A9,'Data - Control'!$B$5:$B$296,$B9)</f>
        <v/>
      </c>
      <c r="G9" s="36">
        <f>SUMIFS('Data - Control'!$G$5:$G$296,'Data - Control'!$A$5:$A$296,$A9,'Data - Control'!$B$5:$B$296,$B9)</f>
        <v/>
      </c>
      <c r="H9" s="36">
        <f>SUMIFS('Data - Control'!$H$5:$H$296,'Data - Control'!$A$5:$A$296,$A9,'Data - Control'!$B$5:$B$296,$B9)</f>
        <v/>
      </c>
      <c r="I9" s="49">
        <f>IFERROR($G9/$C9,0)</f>
        <v/>
      </c>
      <c r="J9" s="49">
        <f>IFERROR($H9/$D9,0)</f>
        <v/>
      </c>
      <c r="K9" s="36">
        <f>$D9*$I9</f>
        <v/>
      </c>
      <c r="L9" s="36">
        <f>$D9*($J9-$I9)</f>
        <v/>
      </c>
      <c r="M9" s="44">
        <f>IFERROR($D9/$C9-1,"")</f>
        <v/>
      </c>
    </row>
    <row r="10">
      <c r="A10" s="41" t="inlineStr">
        <is>
          <t>Artisanal Imports</t>
        </is>
      </c>
      <c r="B10" s="41" t="inlineStr">
        <is>
          <t>Palma</t>
        </is>
      </c>
      <c r="C10" s="33">
        <f>SUMIFS('Data - Control'!$C$5:$C$296,'Data - Control'!$A$5:$A$296,$A10,'Data - Control'!$B$5:$B$296,$B10)</f>
        <v/>
      </c>
      <c r="D10" s="33">
        <f>SUMIFS('Data - Control'!$D$5:$D$296,'Data - Control'!$A$5:$A$296,$A10,'Data - Control'!$B$5:$B$296,$B10)</f>
        <v/>
      </c>
      <c r="E10" s="36">
        <f>SUMIFS('Data - Control'!$E$5:$E$296,'Data - Control'!$A$5:$A$296,$A10,'Data - Control'!$B$5:$B$296,$B10)</f>
        <v/>
      </c>
      <c r="F10" s="36">
        <f>SUMIFS('Data - Control'!$F$5:$F$296,'Data - Control'!$A$5:$A$296,$A10,'Data - Control'!$B$5:$B$296,$B10)</f>
        <v/>
      </c>
      <c r="G10" s="36">
        <f>SUMIFS('Data - Control'!$G$5:$G$296,'Data - Control'!$A$5:$A$296,$A10,'Data - Control'!$B$5:$B$296,$B10)</f>
        <v/>
      </c>
      <c r="H10" s="36">
        <f>SUMIFS('Data - Control'!$H$5:$H$296,'Data - Control'!$A$5:$A$296,$A10,'Data - Control'!$B$5:$B$296,$B10)</f>
        <v/>
      </c>
      <c r="I10" s="49">
        <f>IFERROR($G10/$C10,0)</f>
        <v/>
      </c>
      <c r="J10" s="49">
        <f>IFERROR($H10/$D10,0)</f>
        <v/>
      </c>
      <c r="K10" s="36">
        <f>$D10*$I10</f>
        <v/>
      </c>
      <c r="L10" s="36">
        <f>$D10*($J10-$I10)</f>
        <v/>
      </c>
      <c r="M10" s="44">
        <f>IFERROR($D10/$C10-1,"")</f>
        <v/>
      </c>
    </row>
    <row r="11">
      <c r="A11" s="41" t="inlineStr">
        <is>
          <t>Artisanal Imports</t>
        </is>
      </c>
      <c r="B11" s="41" t="inlineStr">
        <is>
          <t>Tona</t>
        </is>
      </c>
      <c r="C11" s="33">
        <f>SUMIFS('Data - Control'!$C$5:$C$296,'Data - Control'!$A$5:$A$296,$A11,'Data - Control'!$B$5:$B$296,$B11)</f>
        <v/>
      </c>
      <c r="D11" s="33">
        <f>SUMIFS('Data - Control'!$D$5:$D$296,'Data - Control'!$A$5:$A$296,$A11,'Data - Control'!$B$5:$B$296,$B11)</f>
        <v/>
      </c>
      <c r="E11" s="36">
        <f>SUMIFS('Data - Control'!$E$5:$E$296,'Data - Control'!$A$5:$A$296,$A11,'Data - Control'!$B$5:$B$296,$B11)</f>
        <v/>
      </c>
      <c r="F11" s="36">
        <f>SUMIFS('Data - Control'!$F$5:$F$296,'Data - Control'!$A$5:$A$296,$A11,'Data - Control'!$B$5:$B$296,$B11)</f>
        <v/>
      </c>
      <c r="G11" s="36">
        <f>SUMIFS('Data - Control'!$G$5:$G$296,'Data - Control'!$A$5:$A$296,$A11,'Data - Control'!$B$5:$B$296,$B11)</f>
        <v/>
      </c>
      <c r="H11" s="36">
        <f>SUMIFS('Data - Control'!$H$5:$H$296,'Data - Control'!$A$5:$A$296,$A11,'Data - Control'!$B$5:$B$296,$B11)</f>
        <v/>
      </c>
      <c r="I11" s="49">
        <f>IFERROR($G11/$C11,0)</f>
        <v/>
      </c>
      <c r="J11" s="49">
        <f>IFERROR($H11/$D11,0)</f>
        <v/>
      </c>
      <c r="K11" s="36">
        <f>$D11*$I11</f>
        <v/>
      </c>
      <c r="L11" s="36">
        <f>$D11*($J11-$I11)</f>
        <v/>
      </c>
      <c r="M11" s="44">
        <f>IFERROR($D11/$C11-1,"")</f>
        <v/>
      </c>
    </row>
    <row r="12">
      <c r="A12" s="41" t="inlineStr">
        <is>
          <t>Athletic Brewing Company</t>
        </is>
      </c>
      <c r="B12" s="41" t="inlineStr">
        <is>
          <t>Athletic</t>
        </is>
      </c>
      <c r="C12" s="33">
        <f>SUMIFS('Data - Control'!$C$5:$C$296,'Data - Control'!$A$5:$A$296,$A12,'Data - Control'!$B$5:$B$296,$B12)</f>
        <v/>
      </c>
      <c r="D12" s="33">
        <f>SUMIFS('Data - Control'!$D$5:$D$296,'Data - Control'!$A$5:$A$296,$A12,'Data - Control'!$B$5:$B$296,$B12)</f>
        <v/>
      </c>
      <c r="E12" s="36">
        <f>SUMIFS('Data - Control'!$E$5:$E$296,'Data - Control'!$A$5:$A$296,$A12,'Data - Control'!$B$5:$B$296,$B12)</f>
        <v/>
      </c>
      <c r="F12" s="36">
        <f>SUMIFS('Data - Control'!$F$5:$F$296,'Data - Control'!$A$5:$A$296,$A12,'Data - Control'!$B$5:$B$296,$B12)</f>
        <v/>
      </c>
      <c r="G12" s="36">
        <f>SUMIFS('Data - Control'!$G$5:$G$296,'Data - Control'!$A$5:$A$296,$A12,'Data - Control'!$B$5:$B$296,$B12)</f>
        <v/>
      </c>
      <c r="H12" s="36">
        <f>SUMIFS('Data - Control'!$H$5:$H$296,'Data - Control'!$A$5:$A$296,$A12,'Data - Control'!$B$5:$B$296,$B12)</f>
        <v/>
      </c>
      <c r="I12" s="49">
        <f>IFERROR($G12/$C12,0)</f>
        <v/>
      </c>
      <c r="J12" s="49">
        <f>IFERROR($H12/$D12,0)</f>
        <v/>
      </c>
      <c r="K12" s="36">
        <f>$D12*$I12</f>
        <v/>
      </c>
      <c r="L12" s="36">
        <f>$D12*($J12-$I12)</f>
        <v/>
      </c>
      <c r="M12" s="44">
        <f>IFERROR($D12/$C12-1,"")</f>
        <v/>
      </c>
    </row>
    <row r="13">
      <c r="A13" s="41" t="inlineStr">
        <is>
          <t>BJ'S Private Label Brew</t>
        </is>
      </c>
      <c r="B13" s="41" t="inlineStr">
        <is>
          <t>BJ'S Private Label Brewa</t>
        </is>
      </c>
      <c r="C13" s="33">
        <f>SUMIFS('Data - Control'!$C$5:$C$296,'Data - Control'!$A$5:$A$296,$A13,'Data - Control'!$B$5:$B$296,$B13)</f>
        <v/>
      </c>
      <c r="D13" s="33">
        <f>SUMIFS('Data - Control'!$D$5:$D$296,'Data - Control'!$A$5:$A$296,$A13,'Data - Control'!$B$5:$B$296,$B13)</f>
        <v/>
      </c>
      <c r="E13" s="36">
        <f>SUMIFS('Data - Control'!$E$5:$E$296,'Data - Control'!$A$5:$A$296,$A13,'Data - Control'!$B$5:$B$296,$B13)</f>
        <v/>
      </c>
      <c r="F13" s="36">
        <f>SUMIFS('Data - Control'!$F$5:$F$296,'Data - Control'!$A$5:$A$296,$A13,'Data - Control'!$B$5:$B$296,$B13)</f>
        <v/>
      </c>
      <c r="G13" s="36">
        <f>SUMIFS('Data - Control'!$G$5:$G$296,'Data - Control'!$A$5:$A$296,$A13,'Data - Control'!$B$5:$B$296,$B13)</f>
        <v/>
      </c>
      <c r="H13" s="36">
        <f>SUMIFS('Data - Control'!$H$5:$H$296,'Data - Control'!$A$5:$A$296,$A13,'Data - Control'!$B$5:$B$296,$B13)</f>
        <v/>
      </c>
      <c r="I13" s="49">
        <f>IFERROR($G13/$C13,0)</f>
        <v/>
      </c>
      <c r="J13" s="49">
        <f>IFERROR($H13/$D13,0)</f>
        <v/>
      </c>
      <c r="K13" s="36">
        <f>$D13*$I13</f>
        <v/>
      </c>
      <c r="L13" s="36">
        <f>$D13*($J13-$I13)</f>
        <v/>
      </c>
      <c r="M13" s="44">
        <f>IFERROR($D13/$C13-1,"")</f>
        <v/>
      </c>
    </row>
    <row r="14">
      <c r="A14" s="41" t="inlineStr">
        <is>
          <t>Bardstown Bourbon Co</t>
        </is>
      </c>
      <c r="B14" s="41" t="inlineStr">
        <is>
          <t>Bardstown Bourbon</t>
        </is>
      </c>
      <c r="C14" s="33">
        <f>SUMIFS('Data - Control'!$C$5:$C$296,'Data - Control'!$A$5:$A$296,$A14,'Data - Control'!$B$5:$B$296,$B14)</f>
        <v/>
      </c>
      <c r="D14" s="33">
        <f>SUMIFS('Data - Control'!$D$5:$D$296,'Data - Control'!$A$5:$A$296,$A14,'Data - Control'!$B$5:$B$296,$B14)</f>
        <v/>
      </c>
      <c r="E14" s="36">
        <f>SUMIFS('Data - Control'!$E$5:$E$296,'Data - Control'!$A$5:$A$296,$A14,'Data - Control'!$B$5:$B$296,$B14)</f>
        <v/>
      </c>
      <c r="F14" s="36">
        <f>SUMIFS('Data - Control'!$F$5:$F$296,'Data - Control'!$A$5:$A$296,$A14,'Data - Control'!$B$5:$B$296,$B14)</f>
        <v/>
      </c>
      <c r="G14" s="36">
        <f>SUMIFS('Data - Control'!$G$5:$G$296,'Data - Control'!$A$5:$A$296,$A14,'Data - Control'!$B$5:$B$296,$B14)</f>
        <v/>
      </c>
      <c r="H14" s="36">
        <f>SUMIFS('Data - Control'!$H$5:$H$296,'Data - Control'!$A$5:$A$296,$A14,'Data - Control'!$B$5:$B$296,$B14)</f>
        <v/>
      </c>
      <c r="I14" s="49">
        <f>IFERROR($G14/$C14,0)</f>
        <v/>
      </c>
      <c r="J14" s="49">
        <f>IFERROR($H14/$D14,0)</f>
        <v/>
      </c>
      <c r="K14" s="36">
        <f>$D14*$I14</f>
        <v/>
      </c>
      <c r="L14" s="36">
        <f>$D14*($J14-$I14)</f>
        <v/>
      </c>
      <c r="M14" s="44">
        <f>IFERROR($D14/$C14-1,"")</f>
        <v/>
      </c>
    </row>
    <row r="15">
      <c r="A15" s="41" t="inlineStr">
        <is>
          <t>Bardstown Bourbon Co</t>
        </is>
      </c>
      <c r="B15" s="41" t="inlineStr">
        <is>
          <t>Bardstown Green River</t>
        </is>
      </c>
      <c r="C15" s="33">
        <f>SUMIFS('Data - Control'!$C$5:$C$296,'Data - Control'!$A$5:$A$296,$A15,'Data - Control'!$B$5:$B$296,$B15)</f>
        <v/>
      </c>
      <c r="D15" s="33">
        <f>SUMIFS('Data - Control'!$D$5:$D$296,'Data - Control'!$A$5:$A$296,$A15,'Data - Control'!$B$5:$B$296,$B15)</f>
        <v/>
      </c>
      <c r="E15" s="36">
        <f>SUMIFS('Data - Control'!$E$5:$E$296,'Data - Control'!$A$5:$A$296,$A15,'Data - Control'!$B$5:$B$296,$B15)</f>
        <v/>
      </c>
      <c r="F15" s="36">
        <f>SUMIFS('Data - Control'!$F$5:$F$296,'Data - Control'!$A$5:$A$296,$A15,'Data - Control'!$B$5:$B$296,$B15)</f>
        <v/>
      </c>
      <c r="G15" s="36">
        <f>SUMIFS('Data - Control'!$G$5:$G$296,'Data - Control'!$A$5:$A$296,$A15,'Data - Control'!$B$5:$B$296,$B15)</f>
        <v/>
      </c>
      <c r="H15" s="36">
        <f>SUMIFS('Data - Control'!$H$5:$H$296,'Data - Control'!$A$5:$A$296,$A15,'Data - Control'!$B$5:$B$296,$B15)</f>
        <v/>
      </c>
      <c r="I15" s="49">
        <f>IFERROR($G15/$C15,0)</f>
        <v/>
      </c>
      <c r="J15" s="49">
        <f>IFERROR($H15/$D15,0)</f>
        <v/>
      </c>
      <c r="K15" s="36">
        <f>$D15*$I15</f>
        <v/>
      </c>
      <c r="L15" s="36">
        <f>$D15*($J15-$I15)</f>
        <v/>
      </c>
      <c r="M15" s="44">
        <f>IFERROR($D15/$C15-1,"")</f>
        <v/>
      </c>
    </row>
    <row r="16">
      <c r="A16" s="41" t="inlineStr">
        <is>
          <t>Barn Brew Co</t>
        </is>
      </c>
      <c r="B16" s="41" t="inlineStr">
        <is>
          <t>Barn Brew</t>
        </is>
      </c>
      <c r="C16" s="33">
        <f>SUMIFS('Data - Control'!$C$5:$C$296,'Data - Control'!$A$5:$A$296,$A16,'Data - Control'!$B$5:$B$296,$B16)</f>
        <v/>
      </c>
      <c r="D16" s="33">
        <f>SUMIFS('Data - Control'!$D$5:$D$296,'Data - Control'!$A$5:$A$296,$A16,'Data - Control'!$B$5:$B$296,$B16)</f>
        <v/>
      </c>
      <c r="E16" s="36">
        <f>SUMIFS('Data - Control'!$E$5:$E$296,'Data - Control'!$A$5:$A$296,$A16,'Data - Control'!$B$5:$B$296,$B16)</f>
        <v/>
      </c>
      <c r="F16" s="36">
        <f>SUMIFS('Data - Control'!$F$5:$F$296,'Data - Control'!$A$5:$A$296,$A16,'Data - Control'!$B$5:$B$296,$B16)</f>
        <v/>
      </c>
      <c r="G16" s="36">
        <f>SUMIFS('Data - Control'!$G$5:$G$296,'Data - Control'!$A$5:$A$296,$A16,'Data - Control'!$B$5:$B$296,$B16)</f>
        <v/>
      </c>
      <c r="H16" s="36">
        <f>SUMIFS('Data - Control'!$H$5:$H$296,'Data - Control'!$A$5:$A$296,$A16,'Data - Control'!$B$5:$B$296,$B16)</f>
        <v/>
      </c>
      <c r="I16" s="49">
        <f>IFERROR($G16/$C16,0)</f>
        <v/>
      </c>
      <c r="J16" s="49">
        <f>IFERROR($H16/$D16,0)</f>
        <v/>
      </c>
      <c r="K16" s="36">
        <f>$D16*$I16</f>
        <v/>
      </c>
      <c r="L16" s="36">
        <f>$D16*($J16-$I16)</f>
        <v/>
      </c>
      <c r="M16" s="44">
        <f>IFERROR($D16/$C16-1,"")</f>
        <v/>
      </c>
    </row>
    <row r="17">
      <c r="A17" s="41" t="inlineStr">
        <is>
          <t>Beak &amp; Skiff</t>
        </is>
      </c>
      <c r="B17" s="41" t="inlineStr">
        <is>
          <t>1911 Hard Cider</t>
        </is>
      </c>
      <c r="C17" s="33">
        <f>SUMIFS('Data - Control'!$C$5:$C$296,'Data - Control'!$A$5:$A$296,$A17,'Data - Control'!$B$5:$B$296,$B17)</f>
        <v/>
      </c>
      <c r="D17" s="33">
        <f>SUMIFS('Data - Control'!$D$5:$D$296,'Data - Control'!$A$5:$A$296,$A17,'Data - Control'!$B$5:$B$296,$B17)</f>
        <v/>
      </c>
      <c r="E17" s="36">
        <f>SUMIFS('Data - Control'!$E$5:$E$296,'Data - Control'!$A$5:$A$296,$A17,'Data - Control'!$B$5:$B$296,$B17)</f>
        <v/>
      </c>
      <c r="F17" s="36">
        <f>SUMIFS('Data - Control'!$F$5:$F$296,'Data - Control'!$A$5:$A$296,$A17,'Data - Control'!$B$5:$B$296,$B17)</f>
        <v/>
      </c>
      <c r="G17" s="36">
        <f>SUMIFS('Data - Control'!$G$5:$G$296,'Data - Control'!$A$5:$A$296,$A17,'Data - Control'!$B$5:$B$296,$B17)</f>
        <v/>
      </c>
      <c r="H17" s="36">
        <f>SUMIFS('Data - Control'!$H$5:$H$296,'Data - Control'!$A$5:$A$296,$A17,'Data - Control'!$B$5:$B$296,$B17)</f>
        <v/>
      </c>
      <c r="I17" s="49">
        <f>IFERROR($G17/$C17,0)</f>
        <v/>
      </c>
      <c r="J17" s="49">
        <f>IFERROR($H17/$D17,0)</f>
        <v/>
      </c>
      <c r="K17" s="36">
        <f>$D17*$I17</f>
        <v/>
      </c>
      <c r="L17" s="36">
        <f>$D17*($J17-$I17)</f>
        <v/>
      </c>
      <c r="M17" s="44">
        <f>IFERROR($D17/$C17-1,"")</f>
        <v/>
      </c>
    </row>
    <row r="18">
      <c r="A18" s="41" t="inlineStr">
        <is>
          <t>Beak &amp; Skiff</t>
        </is>
      </c>
      <c r="B18" s="41" t="inlineStr">
        <is>
          <t>1911 Spirits</t>
        </is>
      </c>
      <c r="C18" s="33">
        <f>SUMIFS('Data - Control'!$C$5:$C$296,'Data - Control'!$A$5:$A$296,$A18,'Data - Control'!$B$5:$B$296,$B18)</f>
        <v/>
      </c>
      <c r="D18" s="33">
        <f>SUMIFS('Data - Control'!$D$5:$D$296,'Data - Control'!$A$5:$A$296,$A18,'Data - Control'!$B$5:$B$296,$B18)</f>
        <v/>
      </c>
      <c r="E18" s="36">
        <f>SUMIFS('Data - Control'!$E$5:$E$296,'Data - Control'!$A$5:$A$296,$A18,'Data - Control'!$B$5:$B$296,$B18)</f>
        <v/>
      </c>
      <c r="F18" s="36">
        <f>SUMIFS('Data - Control'!$F$5:$F$296,'Data - Control'!$A$5:$A$296,$A18,'Data - Control'!$B$5:$B$296,$B18)</f>
        <v/>
      </c>
      <c r="G18" s="36">
        <f>SUMIFS('Data - Control'!$G$5:$G$296,'Data - Control'!$A$5:$A$296,$A18,'Data - Control'!$B$5:$B$296,$B18)</f>
        <v/>
      </c>
      <c r="H18" s="36">
        <f>SUMIFS('Data - Control'!$H$5:$H$296,'Data - Control'!$A$5:$A$296,$A18,'Data - Control'!$B$5:$B$296,$B18)</f>
        <v/>
      </c>
      <c r="I18" s="49">
        <f>IFERROR($G18/$C18,0)</f>
        <v/>
      </c>
      <c r="J18" s="49">
        <f>IFERROR($H18/$D18,0)</f>
        <v/>
      </c>
      <c r="K18" s="36">
        <f>$D18*$I18</f>
        <v/>
      </c>
      <c r="L18" s="36">
        <f>$D18*($J18-$I18)</f>
        <v/>
      </c>
      <c r="M18" s="44">
        <f>IFERROR($D18/$C18-1,"")</f>
        <v/>
      </c>
    </row>
    <row r="19">
      <c r="A19" s="41" t="inlineStr">
        <is>
          <t>Bell's</t>
        </is>
      </c>
      <c r="B19" s="41" t="inlineStr">
        <is>
          <t>Bell's Hearted Family</t>
        </is>
      </c>
      <c r="C19" s="33">
        <f>SUMIFS('Data - Control'!$C$5:$C$296,'Data - Control'!$A$5:$A$296,$A19,'Data - Control'!$B$5:$B$296,$B19)</f>
        <v/>
      </c>
      <c r="D19" s="33">
        <f>SUMIFS('Data - Control'!$D$5:$D$296,'Data - Control'!$A$5:$A$296,$A19,'Data - Control'!$B$5:$B$296,$B19)</f>
        <v/>
      </c>
      <c r="E19" s="36">
        <f>SUMIFS('Data - Control'!$E$5:$E$296,'Data - Control'!$A$5:$A$296,$A19,'Data - Control'!$B$5:$B$296,$B19)</f>
        <v/>
      </c>
      <c r="F19" s="36">
        <f>SUMIFS('Data - Control'!$F$5:$F$296,'Data - Control'!$A$5:$A$296,$A19,'Data - Control'!$B$5:$B$296,$B19)</f>
        <v/>
      </c>
      <c r="G19" s="36">
        <f>SUMIFS('Data - Control'!$G$5:$G$296,'Data - Control'!$A$5:$A$296,$A19,'Data - Control'!$B$5:$B$296,$B19)</f>
        <v/>
      </c>
      <c r="H19" s="36">
        <f>SUMIFS('Data - Control'!$H$5:$H$296,'Data - Control'!$A$5:$A$296,$A19,'Data - Control'!$B$5:$B$296,$B19)</f>
        <v/>
      </c>
      <c r="I19" s="49">
        <f>IFERROR($G19/$C19,0)</f>
        <v/>
      </c>
      <c r="J19" s="49">
        <f>IFERROR($H19/$D19,0)</f>
        <v/>
      </c>
      <c r="K19" s="36">
        <f>$D19*$I19</f>
        <v/>
      </c>
      <c r="L19" s="36">
        <f>$D19*($J19-$I19)</f>
        <v/>
      </c>
      <c r="M19" s="44">
        <f>IFERROR($D19/$C19-1,"")</f>
        <v/>
      </c>
    </row>
    <row r="20">
      <c r="A20" s="41" t="inlineStr">
        <is>
          <t>Bella Ray Beverage</t>
        </is>
      </c>
      <c r="B20" s="41" t="inlineStr">
        <is>
          <t>Bella Ray</t>
        </is>
      </c>
      <c r="C20" s="33">
        <f>SUMIFS('Data - Control'!$C$5:$C$296,'Data - Control'!$A$5:$A$296,$A20,'Data - Control'!$B$5:$B$296,$B20)</f>
        <v/>
      </c>
      <c r="D20" s="33">
        <f>SUMIFS('Data - Control'!$D$5:$D$296,'Data - Control'!$A$5:$A$296,$A20,'Data - Control'!$B$5:$B$296,$B20)</f>
        <v/>
      </c>
      <c r="E20" s="36">
        <f>SUMIFS('Data - Control'!$E$5:$E$296,'Data - Control'!$A$5:$A$296,$A20,'Data - Control'!$B$5:$B$296,$B20)</f>
        <v/>
      </c>
      <c r="F20" s="36">
        <f>SUMIFS('Data - Control'!$F$5:$F$296,'Data - Control'!$A$5:$A$296,$A20,'Data - Control'!$B$5:$B$296,$B20)</f>
        <v/>
      </c>
      <c r="G20" s="36">
        <f>SUMIFS('Data - Control'!$G$5:$G$296,'Data - Control'!$A$5:$A$296,$A20,'Data - Control'!$B$5:$B$296,$B20)</f>
        <v/>
      </c>
      <c r="H20" s="36">
        <f>SUMIFS('Data - Control'!$H$5:$H$296,'Data - Control'!$A$5:$A$296,$A20,'Data - Control'!$B$5:$B$296,$B20)</f>
        <v/>
      </c>
      <c r="I20" s="49">
        <f>IFERROR($G20/$C20,0)</f>
        <v/>
      </c>
      <c r="J20" s="49">
        <f>IFERROR($H20/$D20,0)</f>
        <v/>
      </c>
      <c r="K20" s="36">
        <f>$D20*$I20</f>
        <v/>
      </c>
      <c r="L20" s="36">
        <f>$D20*($J20-$I20)</f>
        <v/>
      </c>
      <c r="M20" s="44">
        <f>IFERROR($D20/$C20-1,"")</f>
        <v/>
      </c>
    </row>
    <row r="21">
      <c r="A21" s="41" t="inlineStr">
        <is>
          <t>Blaze Life LLC</t>
        </is>
      </c>
      <c r="B21" s="41" t="inlineStr">
        <is>
          <t>Bodega Chiller</t>
        </is>
      </c>
      <c r="C21" s="33">
        <f>SUMIFS('Data - Control'!$C$5:$C$296,'Data - Control'!$A$5:$A$296,$A21,'Data - Control'!$B$5:$B$296,$B21)</f>
        <v/>
      </c>
      <c r="D21" s="33">
        <f>SUMIFS('Data - Control'!$D$5:$D$296,'Data - Control'!$A$5:$A$296,$A21,'Data - Control'!$B$5:$B$296,$B21)</f>
        <v/>
      </c>
      <c r="E21" s="36">
        <f>SUMIFS('Data - Control'!$E$5:$E$296,'Data - Control'!$A$5:$A$296,$A21,'Data - Control'!$B$5:$B$296,$B21)</f>
        <v/>
      </c>
      <c r="F21" s="36">
        <f>SUMIFS('Data - Control'!$F$5:$F$296,'Data - Control'!$A$5:$A$296,$A21,'Data - Control'!$B$5:$B$296,$B21)</f>
        <v/>
      </c>
      <c r="G21" s="36">
        <f>SUMIFS('Data - Control'!$G$5:$G$296,'Data - Control'!$A$5:$A$296,$A21,'Data - Control'!$B$5:$B$296,$B21)</f>
        <v/>
      </c>
      <c r="H21" s="36">
        <f>SUMIFS('Data - Control'!$H$5:$H$296,'Data - Control'!$A$5:$A$296,$A21,'Data - Control'!$B$5:$B$296,$B21)</f>
        <v/>
      </c>
      <c r="I21" s="49">
        <f>IFERROR($G21/$C21,0)</f>
        <v/>
      </c>
      <c r="J21" s="49">
        <f>IFERROR($H21/$D21,0)</f>
        <v/>
      </c>
      <c r="K21" s="36">
        <f>$D21*$I21</f>
        <v/>
      </c>
      <c r="L21" s="36">
        <f>$D21*($J21-$I21)</f>
        <v/>
      </c>
      <c r="M21" s="44">
        <f>IFERROR($D21/$C21-1,"")</f>
        <v/>
      </c>
    </row>
    <row r="22">
      <c r="A22" s="41" t="inlineStr">
        <is>
          <t>Blaze Life LLC</t>
        </is>
      </c>
      <c r="B22" s="41" t="inlineStr">
        <is>
          <t>Mota'Lada</t>
        </is>
      </c>
      <c r="C22" s="33">
        <f>SUMIFS('Data - Control'!$C$5:$C$296,'Data - Control'!$A$5:$A$296,$A22,'Data - Control'!$B$5:$B$296,$B22)</f>
        <v/>
      </c>
      <c r="D22" s="33">
        <f>SUMIFS('Data - Control'!$D$5:$D$296,'Data - Control'!$A$5:$A$296,$A22,'Data - Control'!$B$5:$B$296,$B22)</f>
        <v/>
      </c>
      <c r="E22" s="36">
        <f>SUMIFS('Data - Control'!$E$5:$E$296,'Data - Control'!$A$5:$A$296,$A22,'Data - Control'!$B$5:$B$296,$B22)</f>
        <v/>
      </c>
      <c r="F22" s="36">
        <f>SUMIFS('Data - Control'!$F$5:$F$296,'Data - Control'!$A$5:$A$296,$A22,'Data - Control'!$B$5:$B$296,$B22)</f>
        <v/>
      </c>
      <c r="G22" s="36">
        <f>SUMIFS('Data - Control'!$G$5:$G$296,'Data - Control'!$A$5:$A$296,$A22,'Data - Control'!$B$5:$B$296,$B22)</f>
        <v/>
      </c>
      <c r="H22" s="36">
        <f>SUMIFS('Data - Control'!$H$5:$H$296,'Data - Control'!$A$5:$A$296,$A22,'Data - Control'!$B$5:$B$296,$B22)</f>
        <v/>
      </c>
      <c r="I22" s="49">
        <f>IFERROR($G22/$C22,0)</f>
        <v/>
      </c>
      <c r="J22" s="49">
        <f>IFERROR($H22/$D22,0)</f>
        <v/>
      </c>
      <c r="K22" s="36">
        <f>$D22*$I22</f>
        <v/>
      </c>
      <c r="L22" s="36">
        <f>$D22*($J22-$I22)</f>
        <v/>
      </c>
      <c r="M22" s="44">
        <f>IFERROR($D22/$C22-1,"")</f>
        <v/>
      </c>
    </row>
    <row r="23">
      <c r="A23" s="41" t="inlineStr">
        <is>
          <t>Bold Rock Hard Cider</t>
        </is>
      </c>
      <c r="B23" s="41" t="inlineStr">
        <is>
          <t>Bold Rock</t>
        </is>
      </c>
      <c r="C23" s="33">
        <f>SUMIFS('Data - Control'!$C$5:$C$296,'Data - Control'!$A$5:$A$296,$A23,'Data - Control'!$B$5:$B$296,$B23)</f>
        <v/>
      </c>
      <c r="D23" s="33">
        <f>SUMIFS('Data - Control'!$D$5:$D$296,'Data - Control'!$A$5:$A$296,$A23,'Data - Control'!$B$5:$B$296,$B23)</f>
        <v/>
      </c>
      <c r="E23" s="36">
        <f>SUMIFS('Data - Control'!$E$5:$E$296,'Data - Control'!$A$5:$A$296,$A23,'Data - Control'!$B$5:$B$296,$B23)</f>
        <v/>
      </c>
      <c r="F23" s="36">
        <f>SUMIFS('Data - Control'!$F$5:$F$296,'Data - Control'!$A$5:$A$296,$A23,'Data - Control'!$B$5:$B$296,$B23)</f>
        <v/>
      </c>
      <c r="G23" s="36">
        <f>SUMIFS('Data - Control'!$G$5:$G$296,'Data - Control'!$A$5:$A$296,$A23,'Data - Control'!$B$5:$B$296,$B23)</f>
        <v/>
      </c>
      <c r="H23" s="36">
        <f>SUMIFS('Data - Control'!$H$5:$H$296,'Data - Control'!$A$5:$A$296,$A23,'Data - Control'!$B$5:$B$296,$B23)</f>
        <v/>
      </c>
      <c r="I23" s="49">
        <f>IFERROR($G23/$C23,0)</f>
        <v/>
      </c>
      <c r="J23" s="49">
        <f>IFERROR($H23/$D23,0)</f>
        <v/>
      </c>
      <c r="K23" s="36">
        <f>$D23*$I23</f>
        <v/>
      </c>
      <c r="L23" s="36">
        <f>$D23*($J23-$I23)</f>
        <v/>
      </c>
      <c r="M23" s="44">
        <f>IFERROR($D23/$C23-1,"")</f>
        <v/>
      </c>
    </row>
    <row r="24">
      <c r="A24" s="41" t="inlineStr">
        <is>
          <t>Boston Beer Company</t>
        </is>
      </c>
      <c r="B24" s="41" t="inlineStr">
        <is>
          <t>Angry Orchard</t>
        </is>
      </c>
      <c r="C24" s="33">
        <f>SUMIFS('Data - Control'!$C$5:$C$296,'Data - Control'!$A$5:$A$296,$A24,'Data - Control'!$B$5:$B$296,$B24)</f>
        <v/>
      </c>
      <c r="D24" s="33">
        <f>SUMIFS('Data - Control'!$D$5:$D$296,'Data - Control'!$A$5:$A$296,$A24,'Data - Control'!$B$5:$B$296,$B24)</f>
        <v/>
      </c>
      <c r="E24" s="36">
        <f>SUMIFS('Data - Control'!$E$5:$E$296,'Data - Control'!$A$5:$A$296,$A24,'Data - Control'!$B$5:$B$296,$B24)</f>
        <v/>
      </c>
      <c r="F24" s="36">
        <f>SUMIFS('Data - Control'!$F$5:$F$296,'Data - Control'!$A$5:$A$296,$A24,'Data - Control'!$B$5:$B$296,$B24)</f>
        <v/>
      </c>
      <c r="G24" s="36">
        <f>SUMIFS('Data - Control'!$G$5:$G$296,'Data - Control'!$A$5:$A$296,$A24,'Data - Control'!$B$5:$B$296,$B24)</f>
        <v/>
      </c>
      <c r="H24" s="36">
        <f>SUMIFS('Data - Control'!$H$5:$H$296,'Data - Control'!$A$5:$A$296,$A24,'Data - Control'!$B$5:$B$296,$B24)</f>
        <v/>
      </c>
      <c r="I24" s="49">
        <f>IFERROR($G24/$C24,0)</f>
        <v/>
      </c>
      <c r="J24" s="49">
        <f>IFERROR($H24/$D24,0)</f>
        <v/>
      </c>
      <c r="K24" s="36">
        <f>$D24*$I24</f>
        <v/>
      </c>
      <c r="L24" s="36">
        <f>$D24*($J24-$I24)</f>
        <v/>
      </c>
      <c r="M24" s="44">
        <f>IFERROR($D24/$C24-1,"")</f>
        <v/>
      </c>
    </row>
    <row r="25">
      <c r="A25" s="41" t="inlineStr">
        <is>
          <t>Boston Beer Company</t>
        </is>
      </c>
      <c r="B25" s="41" t="inlineStr">
        <is>
          <t>Coney Island</t>
        </is>
      </c>
      <c r="C25" s="33">
        <f>SUMIFS('Data - Control'!$C$5:$C$296,'Data - Control'!$A$5:$A$296,$A25,'Data - Control'!$B$5:$B$296,$B25)</f>
        <v/>
      </c>
      <c r="D25" s="33">
        <f>SUMIFS('Data - Control'!$D$5:$D$296,'Data - Control'!$A$5:$A$296,$A25,'Data - Control'!$B$5:$B$296,$B25)</f>
        <v/>
      </c>
      <c r="E25" s="36">
        <f>SUMIFS('Data - Control'!$E$5:$E$296,'Data - Control'!$A$5:$A$296,$A25,'Data - Control'!$B$5:$B$296,$B25)</f>
        <v/>
      </c>
      <c r="F25" s="36">
        <f>SUMIFS('Data - Control'!$F$5:$F$296,'Data - Control'!$A$5:$A$296,$A25,'Data - Control'!$B$5:$B$296,$B25)</f>
        <v/>
      </c>
      <c r="G25" s="36">
        <f>SUMIFS('Data - Control'!$G$5:$G$296,'Data - Control'!$A$5:$A$296,$A25,'Data - Control'!$B$5:$B$296,$B25)</f>
        <v/>
      </c>
      <c r="H25" s="36">
        <f>SUMIFS('Data - Control'!$H$5:$H$296,'Data - Control'!$A$5:$A$296,$A25,'Data - Control'!$B$5:$B$296,$B25)</f>
        <v/>
      </c>
      <c r="I25" s="49">
        <f>IFERROR($G25/$C25,0)</f>
        <v/>
      </c>
      <c r="J25" s="49">
        <f>IFERROR($H25/$D25,0)</f>
        <v/>
      </c>
      <c r="K25" s="36">
        <f>$D25*$I25</f>
        <v/>
      </c>
      <c r="L25" s="36">
        <f>$D25*($J25-$I25)</f>
        <v/>
      </c>
      <c r="M25" s="44">
        <f>IFERROR($D25/$C25-1,"")</f>
        <v/>
      </c>
    </row>
    <row r="26">
      <c r="A26" s="41" t="inlineStr">
        <is>
          <t>Boston Beer Company</t>
        </is>
      </c>
      <c r="B26" s="41" t="inlineStr">
        <is>
          <t>Hard Mountain Dew</t>
        </is>
      </c>
      <c r="C26" s="33">
        <f>SUMIFS('Data - Control'!$C$5:$C$296,'Data - Control'!$A$5:$A$296,$A26,'Data - Control'!$B$5:$B$296,$B26)</f>
        <v/>
      </c>
      <c r="D26" s="33">
        <f>SUMIFS('Data - Control'!$D$5:$D$296,'Data - Control'!$A$5:$A$296,$A26,'Data - Control'!$B$5:$B$296,$B26)</f>
        <v/>
      </c>
      <c r="E26" s="36">
        <f>SUMIFS('Data - Control'!$E$5:$E$296,'Data - Control'!$A$5:$A$296,$A26,'Data - Control'!$B$5:$B$296,$B26)</f>
        <v/>
      </c>
      <c r="F26" s="36">
        <f>SUMIFS('Data - Control'!$F$5:$F$296,'Data - Control'!$A$5:$A$296,$A26,'Data - Control'!$B$5:$B$296,$B26)</f>
        <v/>
      </c>
      <c r="G26" s="36">
        <f>SUMIFS('Data - Control'!$G$5:$G$296,'Data - Control'!$A$5:$A$296,$A26,'Data - Control'!$B$5:$B$296,$B26)</f>
        <v/>
      </c>
      <c r="H26" s="36">
        <f>SUMIFS('Data - Control'!$H$5:$H$296,'Data - Control'!$A$5:$A$296,$A26,'Data - Control'!$B$5:$B$296,$B26)</f>
        <v/>
      </c>
      <c r="I26" s="49">
        <f>IFERROR($G26/$C26,0)</f>
        <v/>
      </c>
      <c r="J26" s="49">
        <f>IFERROR($H26/$D26,0)</f>
        <v/>
      </c>
      <c r="K26" s="36">
        <f>$D26*$I26</f>
        <v/>
      </c>
      <c r="L26" s="36">
        <f>$D26*($J26-$I26)</f>
        <v/>
      </c>
      <c r="M26" s="44">
        <f>IFERROR($D26/$C26-1,"")</f>
        <v/>
      </c>
    </row>
    <row r="27">
      <c r="A27" s="41" t="inlineStr">
        <is>
          <t>Boston Beer Company</t>
        </is>
      </c>
      <c r="B27" s="41" t="inlineStr">
        <is>
          <t>Lytt</t>
        </is>
      </c>
      <c r="C27" s="33">
        <f>SUMIFS('Data - Control'!$C$5:$C$296,'Data - Control'!$A$5:$A$296,$A27,'Data - Control'!$B$5:$B$296,$B27)</f>
        <v/>
      </c>
      <c r="D27" s="33">
        <f>SUMIFS('Data - Control'!$D$5:$D$296,'Data - Control'!$A$5:$A$296,$A27,'Data - Control'!$B$5:$B$296,$B27)</f>
        <v/>
      </c>
      <c r="E27" s="36">
        <f>SUMIFS('Data - Control'!$E$5:$E$296,'Data - Control'!$A$5:$A$296,$A27,'Data - Control'!$B$5:$B$296,$B27)</f>
        <v/>
      </c>
      <c r="F27" s="36">
        <f>SUMIFS('Data - Control'!$F$5:$F$296,'Data - Control'!$A$5:$A$296,$A27,'Data - Control'!$B$5:$B$296,$B27)</f>
        <v/>
      </c>
      <c r="G27" s="36">
        <f>SUMIFS('Data - Control'!$G$5:$G$296,'Data - Control'!$A$5:$A$296,$A27,'Data - Control'!$B$5:$B$296,$B27)</f>
        <v/>
      </c>
      <c r="H27" s="36">
        <f>SUMIFS('Data - Control'!$H$5:$H$296,'Data - Control'!$A$5:$A$296,$A27,'Data - Control'!$B$5:$B$296,$B27)</f>
        <v/>
      </c>
      <c r="I27" s="49">
        <f>IFERROR($G27/$C27,0)</f>
        <v/>
      </c>
      <c r="J27" s="49">
        <f>IFERROR($H27/$D27,0)</f>
        <v/>
      </c>
      <c r="K27" s="36">
        <f>$D27*$I27</f>
        <v/>
      </c>
      <c r="L27" s="36">
        <f>$D27*($J27-$I27)</f>
        <v/>
      </c>
      <c r="M27" s="44">
        <f>IFERROR($D27/$C27-1,"")</f>
        <v/>
      </c>
    </row>
    <row r="28">
      <c r="A28" s="41" t="inlineStr">
        <is>
          <t>Boston Beer Company</t>
        </is>
      </c>
      <c r="B28" s="41" t="inlineStr">
        <is>
          <t>Samuel Adams</t>
        </is>
      </c>
      <c r="C28" s="33">
        <f>SUMIFS('Data - Control'!$C$5:$C$296,'Data - Control'!$A$5:$A$296,$A28,'Data - Control'!$B$5:$B$296,$B28)</f>
        <v/>
      </c>
      <c r="D28" s="33">
        <f>SUMIFS('Data - Control'!$D$5:$D$296,'Data - Control'!$A$5:$A$296,$A28,'Data - Control'!$B$5:$B$296,$B28)</f>
        <v/>
      </c>
      <c r="E28" s="36">
        <f>SUMIFS('Data - Control'!$E$5:$E$296,'Data - Control'!$A$5:$A$296,$A28,'Data - Control'!$B$5:$B$296,$B28)</f>
        <v/>
      </c>
      <c r="F28" s="36">
        <f>SUMIFS('Data - Control'!$F$5:$F$296,'Data - Control'!$A$5:$A$296,$A28,'Data - Control'!$B$5:$B$296,$B28)</f>
        <v/>
      </c>
      <c r="G28" s="36">
        <f>SUMIFS('Data - Control'!$G$5:$G$296,'Data - Control'!$A$5:$A$296,$A28,'Data - Control'!$B$5:$B$296,$B28)</f>
        <v/>
      </c>
      <c r="H28" s="36">
        <f>SUMIFS('Data - Control'!$H$5:$H$296,'Data - Control'!$A$5:$A$296,$A28,'Data - Control'!$B$5:$B$296,$B28)</f>
        <v/>
      </c>
      <c r="I28" s="49">
        <f>IFERROR($G28/$C28,0)</f>
        <v/>
      </c>
      <c r="J28" s="49">
        <f>IFERROR($H28/$D28,0)</f>
        <v/>
      </c>
      <c r="K28" s="36">
        <f>$D28*$I28</f>
        <v/>
      </c>
      <c r="L28" s="36">
        <f>$D28*($J28-$I28)</f>
        <v/>
      </c>
      <c r="M28" s="44">
        <f>IFERROR($D28/$C28-1,"")</f>
        <v/>
      </c>
    </row>
    <row r="29">
      <c r="A29" s="41" t="inlineStr">
        <is>
          <t>Boston Beer Company</t>
        </is>
      </c>
      <c r="B29" s="41" t="inlineStr">
        <is>
          <t>Sinless Vodka Cocktail</t>
        </is>
      </c>
      <c r="C29" s="33">
        <f>SUMIFS('Data - Control'!$C$5:$C$296,'Data - Control'!$A$5:$A$296,$A29,'Data - Control'!$B$5:$B$296,$B29)</f>
        <v/>
      </c>
      <c r="D29" s="33">
        <f>SUMIFS('Data - Control'!$D$5:$D$296,'Data - Control'!$A$5:$A$296,$A29,'Data - Control'!$B$5:$B$296,$B29)</f>
        <v/>
      </c>
      <c r="E29" s="36">
        <f>SUMIFS('Data - Control'!$E$5:$E$296,'Data - Control'!$A$5:$A$296,$A29,'Data - Control'!$B$5:$B$296,$B29)</f>
        <v/>
      </c>
      <c r="F29" s="36">
        <f>SUMIFS('Data - Control'!$F$5:$F$296,'Data - Control'!$A$5:$A$296,$A29,'Data - Control'!$B$5:$B$296,$B29)</f>
        <v/>
      </c>
      <c r="G29" s="36">
        <f>SUMIFS('Data - Control'!$G$5:$G$296,'Data - Control'!$A$5:$A$296,$A29,'Data - Control'!$B$5:$B$296,$B29)</f>
        <v/>
      </c>
      <c r="H29" s="36">
        <f>SUMIFS('Data - Control'!$H$5:$H$296,'Data - Control'!$A$5:$A$296,$A29,'Data - Control'!$B$5:$B$296,$B29)</f>
        <v/>
      </c>
      <c r="I29" s="49">
        <f>IFERROR($G29/$C29,0)</f>
        <v/>
      </c>
      <c r="J29" s="49">
        <f>IFERROR($H29/$D29,0)</f>
        <v/>
      </c>
      <c r="K29" s="36">
        <f>$D29*$I29</f>
        <v/>
      </c>
      <c r="L29" s="36">
        <f>$D29*($J29-$I29)</f>
        <v/>
      </c>
      <c r="M29" s="44">
        <f>IFERROR($D29/$C29-1,"")</f>
        <v/>
      </c>
    </row>
    <row r="30">
      <c r="A30" s="41" t="inlineStr">
        <is>
          <t>Boston Beer Company</t>
        </is>
      </c>
      <c r="B30" s="41" t="inlineStr">
        <is>
          <t>Sun Cruiser</t>
        </is>
      </c>
      <c r="C30" s="33">
        <f>SUMIFS('Data - Control'!$C$5:$C$296,'Data - Control'!$A$5:$A$296,$A30,'Data - Control'!$B$5:$B$296,$B30)</f>
        <v/>
      </c>
      <c r="D30" s="33">
        <f>SUMIFS('Data - Control'!$D$5:$D$296,'Data - Control'!$A$5:$A$296,$A30,'Data - Control'!$B$5:$B$296,$B30)</f>
        <v/>
      </c>
      <c r="E30" s="36">
        <f>SUMIFS('Data - Control'!$E$5:$E$296,'Data - Control'!$A$5:$A$296,$A30,'Data - Control'!$B$5:$B$296,$B30)</f>
        <v/>
      </c>
      <c r="F30" s="36">
        <f>SUMIFS('Data - Control'!$F$5:$F$296,'Data - Control'!$A$5:$A$296,$A30,'Data - Control'!$B$5:$B$296,$B30)</f>
        <v/>
      </c>
      <c r="G30" s="36">
        <f>SUMIFS('Data - Control'!$G$5:$G$296,'Data - Control'!$A$5:$A$296,$A30,'Data - Control'!$B$5:$B$296,$B30)</f>
        <v/>
      </c>
      <c r="H30" s="36">
        <f>SUMIFS('Data - Control'!$H$5:$H$296,'Data - Control'!$A$5:$A$296,$A30,'Data - Control'!$B$5:$B$296,$B30)</f>
        <v/>
      </c>
      <c r="I30" s="49">
        <f>IFERROR($G30/$C30,0)</f>
        <v/>
      </c>
      <c r="J30" s="49">
        <f>IFERROR($H30/$D30,0)</f>
        <v/>
      </c>
      <c r="K30" s="36">
        <f>$D30*$I30</f>
        <v/>
      </c>
      <c r="L30" s="36">
        <f>$D30*($J30-$I30)</f>
        <v/>
      </c>
      <c r="M30" s="44">
        <f>IFERROR($D30/$C30-1,"")</f>
        <v/>
      </c>
    </row>
    <row r="31">
      <c r="A31" s="41" t="inlineStr">
        <is>
          <t>Brewt's LLC</t>
        </is>
      </c>
      <c r="B31" s="41" t="inlineStr">
        <is>
          <t>Brewt's</t>
        </is>
      </c>
      <c r="C31" s="33">
        <f>SUMIFS('Data - Control'!$C$5:$C$296,'Data - Control'!$A$5:$A$296,$A31,'Data - Control'!$B$5:$B$296,$B31)</f>
        <v/>
      </c>
      <c r="D31" s="33">
        <f>SUMIFS('Data - Control'!$D$5:$D$296,'Data - Control'!$A$5:$A$296,$A31,'Data - Control'!$B$5:$B$296,$B31)</f>
        <v/>
      </c>
      <c r="E31" s="36">
        <f>SUMIFS('Data - Control'!$E$5:$E$296,'Data - Control'!$A$5:$A$296,$A31,'Data - Control'!$B$5:$B$296,$B31)</f>
        <v/>
      </c>
      <c r="F31" s="36">
        <f>SUMIFS('Data - Control'!$F$5:$F$296,'Data - Control'!$A$5:$A$296,$A31,'Data - Control'!$B$5:$B$296,$B31)</f>
        <v/>
      </c>
      <c r="G31" s="36">
        <f>SUMIFS('Data - Control'!$G$5:$G$296,'Data - Control'!$A$5:$A$296,$A31,'Data - Control'!$B$5:$B$296,$B31)</f>
        <v/>
      </c>
      <c r="H31" s="36">
        <f>SUMIFS('Data - Control'!$H$5:$H$296,'Data - Control'!$A$5:$A$296,$A31,'Data - Control'!$B$5:$B$296,$B31)</f>
        <v/>
      </c>
      <c r="I31" s="49">
        <f>IFERROR($G31/$C31,0)</f>
        <v/>
      </c>
      <c r="J31" s="49">
        <f>IFERROR($H31/$D31,0)</f>
        <v/>
      </c>
      <c r="K31" s="36">
        <f>$D31*$I31</f>
        <v/>
      </c>
      <c r="L31" s="36">
        <f>$D31*($J31-$I31)</f>
        <v/>
      </c>
      <c r="M31" s="44">
        <f>IFERROR($D31/$C31-1,"")</f>
        <v/>
      </c>
    </row>
    <row r="32">
      <c r="A32" s="41" t="inlineStr">
        <is>
          <t>Buzbee's Beverages USA LLC</t>
        </is>
      </c>
      <c r="B32" s="41" t="inlineStr">
        <is>
          <t>Buzbee's</t>
        </is>
      </c>
      <c r="C32" s="33">
        <f>SUMIFS('Data - Control'!$C$5:$C$296,'Data - Control'!$A$5:$A$296,$A32,'Data - Control'!$B$5:$B$296,$B32)</f>
        <v/>
      </c>
      <c r="D32" s="33">
        <f>SUMIFS('Data - Control'!$D$5:$D$296,'Data - Control'!$A$5:$A$296,$A32,'Data - Control'!$B$5:$B$296,$B32)</f>
        <v/>
      </c>
      <c r="E32" s="36">
        <f>SUMIFS('Data - Control'!$E$5:$E$296,'Data - Control'!$A$5:$A$296,$A32,'Data - Control'!$B$5:$B$296,$B32)</f>
        <v/>
      </c>
      <c r="F32" s="36">
        <f>SUMIFS('Data - Control'!$F$5:$F$296,'Data - Control'!$A$5:$A$296,$A32,'Data - Control'!$B$5:$B$296,$B32)</f>
        <v/>
      </c>
      <c r="G32" s="36">
        <f>SUMIFS('Data - Control'!$G$5:$G$296,'Data - Control'!$A$5:$A$296,$A32,'Data - Control'!$B$5:$B$296,$B32)</f>
        <v/>
      </c>
      <c r="H32" s="36">
        <f>SUMIFS('Data - Control'!$H$5:$H$296,'Data - Control'!$A$5:$A$296,$A32,'Data - Control'!$B$5:$B$296,$B32)</f>
        <v/>
      </c>
      <c r="I32" s="49">
        <f>IFERROR($G32/$C32,0)</f>
        <v/>
      </c>
      <c r="J32" s="49">
        <f>IFERROR($H32/$D32,0)</f>
        <v/>
      </c>
      <c r="K32" s="36">
        <f>$D32*$I32</f>
        <v/>
      </c>
      <c r="L32" s="36">
        <f>$D32*($J32-$I32)</f>
        <v/>
      </c>
      <c r="M32" s="44">
        <f>IFERROR($D32/$C32-1,"")</f>
        <v/>
      </c>
    </row>
    <row r="33">
      <c r="A33" s="41" t="inlineStr">
        <is>
          <t>Caravella Inc</t>
        </is>
      </c>
      <c r="B33" s="41" t="inlineStr">
        <is>
          <t>2 Canos</t>
        </is>
      </c>
      <c r="C33" s="33">
        <f>SUMIFS('Data - Control'!$C$5:$C$296,'Data - Control'!$A$5:$A$296,$A33,'Data - Control'!$B$5:$B$296,$B33)</f>
        <v/>
      </c>
      <c r="D33" s="33">
        <f>SUMIFS('Data - Control'!$D$5:$D$296,'Data - Control'!$A$5:$A$296,$A33,'Data - Control'!$B$5:$B$296,$B33)</f>
        <v/>
      </c>
      <c r="E33" s="36">
        <f>SUMIFS('Data - Control'!$E$5:$E$296,'Data - Control'!$A$5:$A$296,$A33,'Data - Control'!$B$5:$B$296,$B33)</f>
        <v/>
      </c>
      <c r="F33" s="36">
        <f>SUMIFS('Data - Control'!$F$5:$F$296,'Data - Control'!$A$5:$A$296,$A33,'Data - Control'!$B$5:$B$296,$B33)</f>
        <v/>
      </c>
      <c r="G33" s="36">
        <f>SUMIFS('Data - Control'!$G$5:$G$296,'Data - Control'!$A$5:$A$296,$A33,'Data - Control'!$B$5:$B$296,$B33)</f>
        <v/>
      </c>
      <c r="H33" s="36">
        <f>SUMIFS('Data - Control'!$H$5:$H$296,'Data - Control'!$A$5:$A$296,$A33,'Data - Control'!$B$5:$B$296,$B33)</f>
        <v/>
      </c>
      <c r="I33" s="49">
        <f>IFERROR($G33/$C33,0)</f>
        <v/>
      </c>
      <c r="J33" s="49">
        <f>IFERROR($H33/$D33,0)</f>
        <v/>
      </c>
      <c r="K33" s="36">
        <f>$D33*$I33</f>
        <v/>
      </c>
      <c r="L33" s="36">
        <f>$D33*($J33-$I33)</f>
        <v/>
      </c>
      <c r="M33" s="44">
        <f>IFERROR($D33/$C33-1,"")</f>
        <v/>
      </c>
    </row>
    <row r="34">
      <c r="A34" s="41" t="inlineStr">
        <is>
          <t>Caravella Inc</t>
        </is>
      </c>
      <c r="B34" s="41" t="inlineStr">
        <is>
          <t>Caravella</t>
        </is>
      </c>
      <c r="C34" s="33">
        <f>SUMIFS('Data - Control'!$C$5:$C$296,'Data - Control'!$A$5:$A$296,$A34,'Data - Control'!$B$5:$B$296,$B34)</f>
        <v/>
      </c>
      <c r="D34" s="33">
        <f>SUMIFS('Data - Control'!$D$5:$D$296,'Data - Control'!$A$5:$A$296,$A34,'Data - Control'!$B$5:$B$296,$B34)</f>
        <v/>
      </c>
      <c r="E34" s="36">
        <f>SUMIFS('Data - Control'!$E$5:$E$296,'Data - Control'!$A$5:$A$296,$A34,'Data - Control'!$B$5:$B$296,$B34)</f>
        <v/>
      </c>
      <c r="F34" s="36">
        <f>SUMIFS('Data - Control'!$F$5:$F$296,'Data - Control'!$A$5:$A$296,$A34,'Data - Control'!$B$5:$B$296,$B34)</f>
        <v/>
      </c>
      <c r="G34" s="36">
        <f>SUMIFS('Data - Control'!$G$5:$G$296,'Data - Control'!$A$5:$A$296,$A34,'Data - Control'!$B$5:$B$296,$B34)</f>
        <v/>
      </c>
      <c r="H34" s="36">
        <f>SUMIFS('Data - Control'!$H$5:$H$296,'Data - Control'!$A$5:$A$296,$A34,'Data - Control'!$B$5:$B$296,$B34)</f>
        <v/>
      </c>
      <c r="I34" s="49">
        <f>IFERROR($G34/$C34,0)</f>
        <v/>
      </c>
      <c r="J34" s="49">
        <f>IFERROR($H34/$D34,0)</f>
        <v/>
      </c>
      <c r="K34" s="36">
        <f>$D34*$I34</f>
        <v/>
      </c>
      <c r="L34" s="36">
        <f>$D34*($J34-$I34)</f>
        <v/>
      </c>
      <c r="M34" s="44">
        <f>IFERROR($D34/$C34-1,"")</f>
        <v/>
      </c>
    </row>
    <row r="35">
      <c r="A35" s="41" t="inlineStr">
        <is>
          <t>Caravella Inc</t>
        </is>
      </c>
      <c r="B35" s="41" t="inlineStr">
        <is>
          <t>Dancing Vines</t>
        </is>
      </c>
      <c r="C35" s="33">
        <f>SUMIFS('Data - Control'!$C$5:$C$296,'Data - Control'!$A$5:$A$296,$A35,'Data - Control'!$B$5:$B$296,$B35)</f>
        <v/>
      </c>
      <c r="D35" s="33">
        <f>SUMIFS('Data - Control'!$D$5:$D$296,'Data - Control'!$A$5:$A$296,$A35,'Data - Control'!$B$5:$B$296,$B35)</f>
        <v/>
      </c>
      <c r="E35" s="36">
        <f>SUMIFS('Data - Control'!$E$5:$E$296,'Data - Control'!$A$5:$A$296,$A35,'Data - Control'!$B$5:$B$296,$B35)</f>
        <v/>
      </c>
      <c r="F35" s="36">
        <f>SUMIFS('Data - Control'!$F$5:$F$296,'Data - Control'!$A$5:$A$296,$A35,'Data - Control'!$B$5:$B$296,$B35)</f>
        <v/>
      </c>
      <c r="G35" s="36">
        <f>SUMIFS('Data - Control'!$G$5:$G$296,'Data - Control'!$A$5:$A$296,$A35,'Data - Control'!$B$5:$B$296,$B35)</f>
        <v/>
      </c>
      <c r="H35" s="36">
        <f>SUMIFS('Data - Control'!$H$5:$H$296,'Data - Control'!$A$5:$A$296,$A35,'Data - Control'!$B$5:$B$296,$B35)</f>
        <v/>
      </c>
      <c r="I35" s="49">
        <f>IFERROR($G35/$C35,0)</f>
        <v/>
      </c>
      <c r="J35" s="49">
        <f>IFERROR($H35/$D35,0)</f>
        <v/>
      </c>
      <c r="K35" s="36">
        <f>$D35*$I35</f>
        <v/>
      </c>
      <c r="L35" s="36">
        <f>$D35*($J35-$I35)</f>
        <v/>
      </c>
      <c r="M35" s="44">
        <f>IFERROR($D35/$C35-1,"")</f>
        <v/>
      </c>
    </row>
    <row r="36">
      <c r="A36" s="41" t="inlineStr">
        <is>
          <t>Caravella Inc</t>
        </is>
      </c>
      <c r="B36" s="41" t="inlineStr">
        <is>
          <t>Poca Loca</t>
        </is>
      </c>
      <c r="C36" s="33">
        <f>SUMIFS('Data - Control'!$C$5:$C$296,'Data - Control'!$A$5:$A$296,$A36,'Data - Control'!$B$5:$B$296,$B36)</f>
        <v/>
      </c>
      <c r="D36" s="33">
        <f>SUMIFS('Data - Control'!$D$5:$D$296,'Data - Control'!$A$5:$A$296,$A36,'Data - Control'!$B$5:$B$296,$B36)</f>
        <v/>
      </c>
      <c r="E36" s="36">
        <f>SUMIFS('Data - Control'!$E$5:$E$296,'Data - Control'!$A$5:$A$296,$A36,'Data - Control'!$B$5:$B$296,$B36)</f>
        <v/>
      </c>
      <c r="F36" s="36">
        <f>SUMIFS('Data - Control'!$F$5:$F$296,'Data - Control'!$A$5:$A$296,$A36,'Data - Control'!$B$5:$B$296,$B36)</f>
        <v/>
      </c>
      <c r="G36" s="36">
        <f>SUMIFS('Data - Control'!$G$5:$G$296,'Data - Control'!$A$5:$A$296,$A36,'Data - Control'!$B$5:$B$296,$B36)</f>
        <v/>
      </c>
      <c r="H36" s="36">
        <f>SUMIFS('Data - Control'!$H$5:$H$296,'Data - Control'!$A$5:$A$296,$A36,'Data - Control'!$B$5:$B$296,$B36)</f>
        <v/>
      </c>
      <c r="I36" s="49">
        <f>IFERROR($G36/$C36,0)</f>
        <v/>
      </c>
      <c r="J36" s="49">
        <f>IFERROR($H36/$D36,0)</f>
        <v/>
      </c>
      <c r="K36" s="36">
        <f>$D36*$I36</f>
        <v/>
      </c>
      <c r="L36" s="36">
        <f>$D36*($J36-$I36)</f>
        <v/>
      </c>
      <c r="M36" s="44">
        <f>IFERROR($D36/$C36-1,"")</f>
        <v/>
      </c>
    </row>
    <row r="37">
      <c r="A37" s="41" t="inlineStr">
        <is>
          <t>Cavalier Ventures, LLC</t>
        </is>
      </c>
      <c r="B37" s="41" t="inlineStr">
        <is>
          <t>Coastal Cocktails</t>
        </is>
      </c>
      <c r="C37" s="33">
        <f>SUMIFS('Data - Control'!$C$5:$C$296,'Data - Control'!$A$5:$A$296,$A37,'Data - Control'!$B$5:$B$296,$B37)</f>
        <v/>
      </c>
      <c r="D37" s="33">
        <f>SUMIFS('Data - Control'!$D$5:$D$296,'Data - Control'!$A$5:$A$296,$A37,'Data - Control'!$B$5:$B$296,$B37)</f>
        <v/>
      </c>
      <c r="E37" s="36">
        <f>SUMIFS('Data - Control'!$E$5:$E$296,'Data - Control'!$A$5:$A$296,$A37,'Data - Control'!$B$5:$B$296,$B37)</f>
        <v/>
      </c>
      <c r="F37" s="36">
        <f>SUMIFS('Data - Control'!$F$5:$F$296,'Data - Control'!$A$5:$A$296,$A37,'Data - Control'!$B$5:$B$296,$B37)</f>
        <v/>
      </c>
      <c r="G37" s="36">
        <f>SUMIFS('Data - Control'!$G$5:$G$296,'Data - Control'!$A$5:$A$296,$A37,'Data - Control'!$B$5:$B$296,$B37)</f>
        <v/>
      </c>
      <c r="H37" s="36">
        <f>SUMIFS('Data - Control'!$H$5:$H$296,'Data - Control'!$A$5:$A$296,$A37,'Data - Control'!$B$5:$B$296,$B37)</f>
        <v/>
      </c>
      <c r="I37" s="49">
        <f>IFERROR($G37/$C37,0)</f>
        <v/>
      </c>
      <c r="J37" s="49">
        <f>IFERROR($H37/$D37,0)</f>
        <v/>
      </c>
      <c r="K37" s="36">
        <f>$D37*$I37</f>
        <v/>
      </c>
      <c r="L37" s="36">
        <f>$D37*($J37-$I37)</f>
        <v/>
      </c>
      <c r="M37" s="44">
        <f>IFERROR($D37/$C37-1,"")</f>
        <v/>
      </c>
    </row>
    <row r="38">
      <c r="A38" s="41" t="inlineStr">
        <is>
          <t>Cerveceria La Tropical</t>
        </is>
      </c>
      <c r="B38" s="41" t="inlineStr">
        <is>
          <t>La Tropical</t>
        </is>
      </c>
      <c r="C38" s="33">
        <f>SUMIFS('Data - Control'!$C$5:$C$296,'Data - Control'!$A$5:$A$296,$A38,'Data - Control'!$B$5:$B$296,$B38)</f>
        <v/>
      </c>
      <c r="D38" s="33">
        <f>SUMIFS('Data - Control'!$D$5:$D$296,'Data - Control'!$A$5:$A$296,$A38,'Data - Control'!$B$5:$B$296,$B38)</f>
        <v/>
      </c>
      <c r="E38" s="36">
        <f>SUMIFS('Data - Control'!$E$5:$E$296,'Data - Control'!$A$5:$A$296,$A38,'Data - Control'!$B$5:$B$296,$B38)</f>
        <v/>
      </c>
      <c r="F38" s="36">
        <f>SUMIFS('Data - Control'!$F$5:$F$296,'Data - Control'!$A$5:$A$296,$A38,'Data - Control'!$B$5:$B$296,$B38)</f>
        <v/>
      </c>
      <c r="G38" s="36">
        <f>SUMIFS('Data - Control'!$G$5:$G$296,'Data - Control'!$A$5:$A$296,$A38,'Data - Control'!$B$5:$B$296,$B38)</f>
        <v/>
      </c>
      <c r="H38" s="36">
        <f>SUMIFS('Data - Control'!$H$5:$H$296,'Data - Control'!$A$5:$A$296,$A38,'Data - Control'!$B$5:$B$296,$B38)</f>
        <v/>
      </c>
      <c r="I38" s="49">
        <f>IFERROR($G38/$C38,0)</f>
        <v/>
      </c>
      <c r="J38" s="49">
        <f>IFERROR($H38/$D38,0)</f>
        <v/>
      </c>
      <c r="K38" s="36">
        <f>$D38*$I38</f>
        <v/>
      </c>
      <c r="L38" s="36">
        <f>$D38*($J38-$I38)</f>
        <v/>
      </c>
      <c r="M38" s="44">
        <f>IFERROR($D38/$C38-1,"")</f>
        <v/>
      </c>
    </row>
    <row r="39">
      <c r="A39" s="41" t="inlineStr">
        <is>
          <t>Chateau Diana Winery</t>
        </is>
      </c>
      <c r="B39" s="41" t="inlineStr">
        <is>
          <t>Chateau Diana</t>
        </is>
      </c>
      <c r="C39" s="33">
        <f>SUMIFS('Data - Control'!$C$5:$C$296,'Data - Control'!$A$5:$A$296,$A39,'Data - Control'!$B$5:$B$296,$B39)</f>
        <v/>
      </c>
      <c r="D39" s="33">
        <f>SUMIFS('Data - Control'!$D$5:$D$296,'Data - Control'!$A$5:$A$296,$A39,'Data - Control'!$B$5:$B$296,$B39)</f>
        <v/>
      </c>
      <c r="E39" s="36">
        <f>SUMIFS('Data - Control'!$E$5:$E$296,'Data - Control'!$A$5:$A$296,$A39,'Data - Control'!$B$5:$B$296,$B39)</f>
        <v/>
      </c>
      <c r="F39" s="36">
        <f>SUMIFS('Data - Control'!$F$5:$F$296,'Data - Control'!$A$5:$A$296,$A39,'Data - Control'!$B$5:$B$296,$B39)</f>
        <v/>
      </c>
      <c r="G39" s="36">
        <f>SUMIFS('Data - Control'!$G$5:$G$296,'Data - Control'!$A$5:$A$296,$A39,'Data - Control'!$B$5:$B$296,$B39)</f>
        <v/>
      </c>
      <c r="H39" s="36">
        <f>SUMIFS('Data - Control'!$H$5:$H$296,'Data - Control'!$A$5:$A$296,$A39,'Data - Control'!$B$5:$B$296,$B39)</f>
        <v/>
      </c>
      <c r="I39" s="49">
        <f>IFERROR($G39/$C39,0)</f>
        <v/>
      </c>
      <c r="J39" s="49">
        <f>IFERROR($H39/$D39,0)</f>
        <v/>
      </c>
      <c r="K39" s="36">
        <f>$D39*$I39</f>
        <v/>
      </c>
      <c r="L39" s="36">
        <f>$D39*($J39-$I39)</f>
        <v/>
      </c>
      <c r="M39" s="44">
        <f>IFERROR($D39/$C39-1,"")</f>
        <v/>
      </c>
    </row>
    <row r="40">
      <c r="A40" s="41" t="inlineStr">
        <is>
          <t>Citizen Cider</t>
        </is>
      </c>
      <c r="B40" s="41" t="inlineStr">
        <is>
          <t>Citizen Cider</t>
        </is>
      </c>
      <c r="C40" s="33">
        <f>SUMIFS('Data - Control'!$C$5:$C$296,'Data - Control'!$A$5:$A$296,$A40,'Data - Control'!$B$5:$B$296,$B40)</f>
        <v/>
      </c>
      <c r="D40" s="33">
        <f>SUMIFS('Data - Control'!$D$5:$D$296,'Data - Control'!$A$5:$A$296,$A40,'Data - Control'!$B$5:$B$296,$B40)</f>
        <v/>
      </c>
      <c r="E40" s="36">
        <f>SUMIFS('Data - Control'!$E$5:$E$296,'Data - Control'!$A$5:$A$296,$A40,'Data - Control'!$B$5:$B$296,$B40)</f>
        <v/>
      </c>
      <c r="F40" s="36">
        <f>SUMIFS('Data - Control'!$F$5:$F$296,'Data - Control'!$A$5:$A$296,$A40,'Data - Control'!$B$5:$B$296,$B40)</f>
        <v/>
      </c>
      <c r="G40" s="36">
        <f>SUMIFS('Data - Control'!$G$5:$G$296,'Data - Control'!$A$5:$A$296,$A40,'Data - Control'!$B$5:$B$296,$B40)</f>
        <v/>
      </c>
      <c r="H40" s="36">
        <f>SUMIFS('Data - Control'!$H$5:$H$296,'Data - Control'!$A$5:$A$296,$A40,'Data - Control'!$B$5:$B$296,$B40)</f>
        <v/>
      </c>
      <c r="I40" s="49">
        <f>IFERROR($G40/$C40,0)</f>
        <v/>
      </c>
      <c r="J40" s="49">
        <f>IFERROR($H40/$D40,0)</f>
        <v/>
      </c>
      <c r="K40" s="36">
        <f>$D40*$I40</f>
        <v/>
      </c>
      <c r="L40" s="36">
        <f>$D40*($J40-$I40)</f>
        <v/>
      </c>
      <c r="M40" s="44">
        <f>IFERROR($D40/$C40-1,"")</f>
        <v/>
      </c>
    </row>
    <row r="41">
      <c r="A41" s="41" t="inlineStr">
        <is>
          <t>Constellation Brands</t>
        </is>
      </c>
      <c r="B41" s="41" t="inlineStr">
        <is>
          <t>Corona Familiar</t>
        </is>
      </c>
      <c r="C41" s="33">
        <f>SUMIFS('Data - Control'!$C$5:$C$296,'Data - Control'!$A$5:$A$296,$A41,'Data - Control'!$B$5:$B$296,$B41)</f>
        <v/>
      </c>
      <c r="D41" s="33">
        <f>SUMIFS('Data - Control'!$D$5:$D$296,'Data - Control'!$A$5:$A$296,$A41,'Data - Control'!$B$5:$B$296,$B41)</f>
        <v/>
      </c>
      <c r="E41" s="36">
        <f>SUMIFS('Data - Control'!$E$5:$E$296,'Data - Control'!$A$5:$A$296,$A41,'Data - Control'!$B$5:$B$296,$B41)</f>
        <v/>
      </c>
      <c r="F41" s="36">
        <f>SUMIFS('Data - Control'!$F$5:$F$296,'Data - Control'!$A$5:$A$296,$A41,'Data - Control'!$B$5:$B$296,$B41)</f>
        <v/>
      </c>
      <c r="G41" s="36">
        <f>SUMIFS('Data - Control'!$G$5:$G$296,'Data - Control'!$A$5:$A$296,$A41,'Data - Control'!$B$5:$B$296,$B41)</f>
        <v/>
      </c>
      <c r="H41" s="36">
        <f>SUMIFS('Data - Control'!$H$5:$H$296,'Data - Control'!$A$5:$A$296,$A41,'Data - Control'!$B$5:$B$296,$B41)</f>
        <v/>
      </c>
      <c r="I41" s="49">
        <f>IFERROR($G41/$C41,0)</f>
        <v/>
      </c>
      <c r="J41" s="49">
        <f>IFERROR($H41/$D41,0)</f>
        <v/>
      </c>
      <c r="K41" s="36">
        <f>$D41*$I41</f>
        <v/>
      </c>
      <c r="L41" s="36">
        <f>$D41*($J41-$I41)</f>
        <v/>
      </c>
      <c r="M41" s="44">
        <f>IFERROR($D41/$C41-1,"")</f>
        <v/>
      </c>
    </row>
    <row r="42">
      <c r="A42" s="41" t="inlineStr">
        <is>
          <t>Constellation Brands</t>
        </is>
      </c>
      <c r="B42" s="41" t="inlineStr">
        <is>
          <t>Corona Light</t>
        </is>
      </c>
      <c r="C42" s="33">
        <f>SUMIFS('Data - Control'!$C$5:$C$296,'Data - Control'!$A$5:$A$296,$A42,'Data - Control'!$B$5:$B$296,$B42)</f>
        <v/>
      </c>
      <c r="D42" s="33">
        <f>SUMIFS('Data - Control'!$D$5:$D$296,'Data - Control'!$A$5:$A$296,$A42,'Data - Control'!$B$5:$B$296,$B42)</f>
        <v/>
      </c>
      <c r="E42" s="36">
        <f>SUMIFS('Data - Control'!$E$5:$E$296,'Data - Control'!$A$5:$A$296,$A42,'Data - Control'!$B$5:$B$296,$B42)</f>
        <v/>
      </c>
      <c r="F42" s="36">
        <f>SUMIFS('Data - Control'!$F$5:$F$296,'Data - Control'!$A$5:$A$296,$A42,'Data - Control'!$B$5:$B$296,$B42)</f>
        <v/>
      </c>
      <c r="G42" s="36">
        <f>SUMIFS('Data - Control'!$G$5:$G$296,'Data - Control'!$A$5:$A$296,$A42,'Data - Control'!$B$5:$B$296,$B42)</f>
        <v/>
      </c>
      <c r="H42" s="36">
        <f>SUMIFS('Data - Control'!$H$5:$H$296,'Data - Control'!$A$5:$A$296,$A42,'Data - Control'!$B$5:$B$296,$B42)</f>
        <v/>
      </c>
      <c r="I42" s="49">
        <f>IFERROR($G42/$C42,0)</f>
        <v/>
      </c>
      <c r="J42" s="49">
        <f>IFERROR($H42/$D42,0)</f>
        <v/>
      </c>
      <c r="K42" s="36">
        <f>$D42*$I42</f>
        <v/>
      </c>
      <c r="L42" s="36">
        <f>$D42*($J42-$I42)</f>
        <v/>
      </c>
      <c r="M42" s="44">
        <f>IFERROR($D42/$C42-1,"")</f>
        <v/>
      </c>
    </row>
    <row r="43">
      <c r="A43" s="41" t="inlineStr">
        <is>
          <t>Constellation Brands</t>
        </is>
      </c>
      <c r="B43" s="41" t="inlineStr">
        <is>
          <t>Corona NA</t>
        </is>
      </c>
      <c r="C43" s="33">
        <f>SUMIFS('Data - Control'!$C$5:$C$296,'Data - Control'!$A$5:$A$296,$A43,'Data - Control'!$B$5:$B$296,$B43)</f>
        <v/>
      </c>
      <c r="D43" s="33">
        <f>SUMIFS('Data - Control'!$D$5:$D$296,'Data - Control'!$A$5:$A$296,$A43,'Data - Control'!$B$5:$B$296,$B43)</f>
        <v/>
      </c>
      <c r="E43" s="36">
        <f>SUMIFS('Data - Control'!$E$5:$E$296,'Data - Control'!$A$5:$A$296,$A43,'Data - Control'!$B$5:$B$296,$B43)</f>
        <v/>
      </c>
      <c r="F43" s="36">
        <f>SUMIFS('Data - Control'!$F$5:$F$296,'Data - Control'!$A$5:$A$296,$A43,'Data - Control'!$B$5:$B$296,$B43)</f>
        <v/>
      </c>
      <c r="G43" s="36">
        <f>SUMIFS('Data - Control'!$G$5:$G$296,'Data - Control'!$A$5:$A$296,$A43,'Data - Control'!$B$5:$B$296,$B43)</f>
        <v/>
      </c>
      <c r="H43" s="36">
        <f>SUMIFS('Data - Control'!$H$5:$H$296,'Data - Control'!$A$5:$A$296,$A43,'Data - Control'!$B$5:$B$296,$B43)</f>
        <v/>
      </c>
      <c r="I43" s="49">
        <f>IFERROR($G43/$C43,0)</f>
        <v/>
      </c>
      <c r="J43" s="49">
        <f>IFERROR($H43/$D43,0)</f>
        <v/>
      </c>
      <c r="K43" s="36">
        <f>$D43*$I43</f>
        <v/>
      </c>
      <c r="L43" s="36">
        <f>$D43*($J43-$I43)</f>
        <v/>
      </c>
      <c r="M43" s="44">
        <f>IFERROR($D43/$C43-1,"")</f>
        <v/>
      </c>
    </row>
    <row r="44">
      <c r="A44" s="41" t="inlineStr">
        <is>
          <t>Constellation Brands</t>
        </is>
      </c>
      <c r="B44" s="41" t="inlineStr">
        <is>
          <t>Corona Refresca</t>
        </is>
      </c>
      <c r="C44" s="33">
        <f>SUMIFS('Data - Control'!$C$5:$C$296,'Data - Control'!$A$5:$A$296,$A44,'Data - Control'!$B$5:$B$296,$B44)</f>
        <v/>
      </c>
      <c r="D44" s="33">
        <f>SUMIFS('Data - Control'!$D$5:$D$296,'Data - Control'!$A$5:$A$296,$A44,'Data - Control'!$B$5:$B$296,$B44)</f>
        <v/>
      </c>
      <c r="E44" s="36">
        <f>SUMIFS('Data - Control'!$E$5:$E$296,'Data - Control'!$A$5:$A$296,$A44,'Data - Control'!$B$5:$B$296,$B44)</f>
        <v/>
      </c>
      <c r="F44" s="36">
        <f>SUMIFS('Data - Control'!$F$5:$F$296,'Data - Control'!$A$5:$A$296,$A44,'Data - Control'!$B$5:$B$296,$B44)</f>
        <v/>
      </c>
      <c r="G44" s="36">
        <f>SUMIFS('Data - Control'!$G$5:$G$296,'Data - Control'!$A$5:$A$296,$A44,'Data - Control'!$B$5:$B$296,$B44)</f>
        <v/>
      </c>
      <c r="H44" s="36">
        <f>SUMIFS('Data - Control'!$H$5:$H$296,'Data - Control'!$A$5:$A$296,$A44,'Data - Control'!$B$5:$B$296,$B44)</f>
        <v/>
      </c>
      <c r="I44" s="49">
        <f>IFERROR($G44/$C44,0)</f>
        <v/>
      </c>
      <c r="J44" s="49">
        <f>IFERROR($H44/$D44,0)</f>
        <v/>
      </c>
      <c r="K44" s="36">
        <f>$D44*$I44</f>
        <v/>
      </c>
      <c r="L44" s="36">
        <f>$D44*($J44-$I44)</f>
        <v/>
      </c>
      <c r="M44" s="44">
        <f>IFERROR($D44/$C44-1,"")</f>
        <v/>
      </c>
    </row>
    <row r="45">
      <c r="A45" s="41" t="inlineStr">
        <is>
          <t>Constellation Brands</t>
        </is>
      </c>
      <c r="B45" s="41" t="inlineStr">
        <is>
          <t>Corona Sunbrew</t>
        </is>
      </c>
      <c r="C45" s="33">
        <f>SUMIFS('Data - Control'!$C$5:$C$296,'Data - Control'!$A$5:$A$296,$A45,'Data - Control'!$B$5:$B$296,$B45)</f>
        <v/>
      </c>
      <c r="D45" s="33">
        <f>SUMIFS('Data - Control'!$D$5:$D$296,'Data - Control'!$A$5:$A$296,$A45,'Data - Control'!$B$5:$B$296,$B45)</f>
        <v/>
      </c>
      <c r="E45" s="36">
        <f>SUMIFS('Data - Control'!$E$5:$E$296,'Data - Control'!$A$5:$A$296,$A45,'Data - Control'!$B$5:$B$296,$B45)</f>
        <v/>
      </c>
      <c r="F45" s="36">
        <f>SUMIFS('Data - Control'!$F$5:$F$296,'Data - Control'!$A$5:$A$296,$A45,'Data - Control'!$B$5:$B$296,$B45)</f>
        <v/>
      </c>
      <c r="G45" s="36">
        <f>SUMIFS('Data - Control'!$G$5:$G$296,'Data - Control'!$A$5:$A$296,$A45,'Data - Control'!$B$5:$B$296,$B45)</f>
        <v/>
      </c>
      <c r="H45" s="36">
        <f>SUMIFS('Data - Control'!$H$5:$H$296,'Data - Control'!$A$5:$A$296,$A45,'Data - Control'!$B$5:$B$296,$B45)</f>
        <v/>
      </c>
      <c r="I45" s="49">
        <f>IFERROR($G45/$C45,0)</f>
        <v/>
      </c>
      <c r="J45" s="49">
        <f>IFERROR($H45/$D45,0)</f>
        <v/>
      </c>
      <c r="K45" s="36">
        <f>$D45*$I45</f>
        <v/>
      </c>
      <c r="L45" s="36">
        <f>$D45*($J45-$I45)</f>
        <v/>
      </c>
      <c r="M45" s="44">
        <f>IFERROR($D45/$C45-1,"")</f>
        <v/>
      </c>
    </row>
    <row r="46">
      <c r="A46" s="41" t="inlineStr">
        <is>
          <t>Constellation Brands</t>
        </is>
      </c>
      <c r="B46" s="41" t="inlineStr">
        <is>
          <t>Modelo Aquas Frescas</t>
        </is>
      </c>
      <c r="C46" s="33">
        <f>SUMIFS('Data - Control'!$C$5:$C$296,'Data - Control'!$A$5:$A$296,$A46,'Data - Control'!$B$5:$B$296,$B46)</f>
        <v/>
      </c>
      <c r="D46" s="33">
        <f>SUMIFS('Data - Control'!$D$5:$D$296,'Data - Control'!$A$5:$A$296,$A46,'Data - Control'!$B$5:$B$296,$B46)</f>
        <v/>
      </c>
      <c r="E46" s="36">
        <f>SUMIFS('Data - Control'!$E$5:$E$296,'Data - Control'!$A$5:$A$296,$A46,'Data - Control'!$B$5:$B$296,$B46)</f>
        <v/>
      </c>
      <c r="F46" s="36">
        <f>SUMIFS('Data - Control'!$F$5:$F$296,'Data - Control'!$A$5:$A$296,$A46,'Data - Control'!$B$5:$B$296,$B46)</f>
        <v/>
      </c>
      <c r="G46" s="36">
        <f>SUMIFS('Data - Control'!$G$5:$G$296,'Data - Control'!$A$5:$A$296,$A46,'Data - Control'!$B$5:$B$296,$B46)</f>
        <v/>
      </c>
      <c r="H46" s="36">
        <f>SUMIFS('Data - Control'!$H$5:$H$296,'Data - Control'!$A$5:$A$296,$A46,'Data - Control'!$B$5:$B$296,$B46)</f>
        <v/>
      </c>
      <c r="I46" s="49">
        <f>IFERROR($G46/$C46,0)</f>
        <v/>
      </c>
      <c r="J46" s="49">
        <f>IFERROR($H46/$D46,0)</f>
        <v/>
      </c>
      <c r="K46" s="36">
        <f>$D46*$I46</f>
        <v/>
      </c>
      <c r="L46" s="36">
        <f>$D46*($J46-$I46)</f>
        <v/>
      </c>
      <c r="M46" s="44">
        <f>IFERROR($D46/$C46-1,"")</f>
        <v/>
      </c>
    </row>
    <row r="47">
      <c r="A47" s="41" t="inlineStr">
        <is>
          <t>Constellation Brands</t>
        </is>
      </c>
      <c r="B47" s="41" t="inlineStr">
        <is>
          <t>Modelo Negra</t>
        </is>
      </c>
      <c r="C47" s="33">
        <f>SUMIFS('Data - Control'!$C$5:$C$296,'Data - Control'!$A$5:$A$296,$A47,'Data - Control'!$B$5:$B$296,$B47)</f>
        <v/>
      </c>
      <c r="D47" s="33">
        <f>SUMIFS('Data - Control'!$D$5:$D$296,'Data - Control'!$A$5:$A$296,$A47,'Data - Control'!$B$5:$B$296,$B47)</f>
        <v/>
      </c>
      <c r="E47" s="36">
        <f>SUMIFS('Data - Control'!$E$5:$E$296,'Data - Control'!$A$5:$A$296,$A47,'Data - Control'!$B$5:$B$296,$B47)</f>
        <v/>
      </c>
      <c r="F47" s="36">
        <f>SUMIFS('Data - Control'!$F$5:$F$296,'Data - Control'!$A$5:$A$296,$A47,'Data - Control'!$B$5:$B$296,$B47)</f>
        <v/>
      </c>
      <c r="G47" s="36">
        <f>SUMIFS('Data - Control'!$G$5:$G$296,'Data - Control'!$A$5:$A$296,$A47,'Data - Control'!$B$5:$B$296,$B47)</f>
        <v/>
      </c>
      <c r="H47" s="36">
        <f>SUMIFS('Data - Control'!$H$5:$H$296,'Data - Control'!$A$5:$A$296,$A47,'Data - Control'!$B$5:$B$296,$B47)</f>
        <v/>
      </c>
      <c r="I47" s="49">
        <f>IFERROR($G47/$C47,0)</f>
        <v/>
      </c>
      <c r="J47" s="49">
        <f>IFERROR($H47/$D47,0)</f>
        <v/>
      </c>
      <c r="K47" s="36">
        <f>$D47*$I47</f>
        <v/>
      </c>
      <c r="L47" s="36">
        <f>$D47*($J47-$I47)</f>
        <v/>
      </c>
      <c r="M47" s="44">
        <f>IFERROR($D47/$C47-1,"")</f>
        <v/>
      </c>
    </row>
    <row r="48">
      <c r="A48" s="41" t="inlineStr">
        <is>
          <t>Constellation Brands</t>
        </is>
      </c>
      <c r="B48" s="41" t="inlineStr">
        <is>
          <t>Modelo Oro</t>
        </is>
      </c>
      <c r="C48" s="33">
        <f>SUMIFS('Data - Control'!$C$5:$C$296,'Data - Control'!$A$5:$A$296,$A48,'Data - Control'!$B$5:$B$296,$B48)</f>
        <v/>
      </c>
      <c r="D48" s="33">
        <f>SUMIFS('Data - Control'!$D$5:$D$296,'Data - Control'!$A$5:$A$296,$A48,'Data - Control'!$B$5:$B$296,$B48)</f>
        <v/>
      </c>
      <c r="E48" s="36">
        <f>SUMIFS('Data - Control'!$E$5:$E$296,'Data - Control'!$A$5:$A$296,$A48,'Data - Control'!$B$5:$B$296,$B48)</f>
        <v/>
      </c>
      <c r="F48" s="36">
        <f>SUMIFS('Data - Control'!$F$5:$F$296,'Data - Control'!$A$5:$A$296,$A48,'Data - Control'!$B$5:$B$296,$B48)</f>
        <v/>
      </c>
      <c r="G48" s="36">
        <f>SUMIFS('Data - Control'!$G$5:$G$296,'Data - Control'!$A$5:$A$296,$A48,'Data - Control'!$B$5:$B$296,$B48)</f>
        <v/>
      </c>
      <c r="H48" s="36">
        <f>SUMIFS('Data - Control'!$H$5:$H$296,'Data - Control'!$A$5:$A$296,$A48,'Data - Control'!$B$5:$B$296,$B48)</f>
        <v/>
      </c>
      <c r="I48" s="49">
        <f>IFERROR($G48/$C48,0)</f>
        <v/>
      </c>
      <c r="J48" s="49">
        <f>IFERROR($H48/$D48,0)</f>
        <v/>
      </c>
      <c r="K48" s="36">
        <f>$D48*$I48</f>
        <v/>
      </c>
      <c r="L48" s="36">
        <f>$D48*($J48-$I48)</f>
        <v/>
      </c>
      <c r="M48" s="44">
        <f>IFERROR($D48/$C48-1,"")</f>
        <v/>
      </c>
    </row>
    <row r="49">
      <c r="A49" s="41" t="inlineStr">
        <is>
          <t>Constellation Brands</t>
        </is>
      </c>
      <c r="B49" s="41" t="inlineStr">
        <is>
          <t>The Drop</t>
        </is>
      </c>
      <c r="C49" s="33">
        <f>SUMIFS('Data - Control'!$C$5:$C$296,'Data - Control'!$A$5:$A$296,$A49,'Data - Control'!$B$5:$B$296,$B49)</f>
        <v/>
      </c>
      <c r="D49" s="33">
        <f>SUMIFS('Data - Control'!$D$5:$D$296,'Data - Control'!$A$5:$A$296,$A49,'Data - Control'!$B$5:$B$296,$B49)</f>
        <v/>
      </c>
      <c r="E49" s="36">
        <f>SUMIFS('Data - Control'!$E$5:$E$296,'Data - Control'!$A$5:$A$296,$A49,'Data - Control'!$B$5:$B$296,$B49)</f>
        <v/>
      </c>
      <c r="F49" s="36">
        <f>SUMIFS('Data - Control'!$F$5:$F$296,'Data - Control'!$A$5:$A$296,$A49,'Data - Control'!$B$5:$B$296,$B49)</f>
        <v/>
      </c>
      <c r="G49" s="36">
        <f>SUMIFS('Data - Control'!$G$5:$G$296,'Data - Control'!$A$5:$A$296,$A49,'Data - Control'!$B$5:$B$296,$B49)</f>
        <v/>
      </c>
      <c r="H49" s="36">
        <f>SUMIFS('Data - Control'!$H$5:$H$296,'Data - Control'!$A$5:$A$296,$A49,'Data - Control'!$B$5:$B$296,$B49)</f>
        <v/>
      </c>
      <c r="I49" s="49">
        <f>IFERROR($G49/$C49,0)</f>
        <v/>
      </c>
      <c r="J49" s="49">
        <f>IFERROR($H49/$D49,0)</f>
        <v/>
      </c>
      <c r="K49" s="36">
        <f>$D49*$I49</f>
        <v/>
      </c>
      <c r="L49" s="36">
        <f>$D49*($J49-$I49)</f>
        <v/>
      </c>
      <c r="M49" s="44">
        <f>IFERROR($D49/$C49-1,"")</f>
        <v/>
      </c>
    </row>
    <row r="50">
      <c r="A50" s="41" t="inlineStr">
        <is>
          <t>Crescent Canna</t>
        </is>
      </c>
      <c r="B50" s="41" t="inlineStr">
        <is>
          <t>Crescent 9</t>
        </is>
      </c>
      <c r="C50" s="33">
        <f>SUMIFS('Data - Control'!$C$5:$C$296,'Data - Control'!$A$5:$A$296,$A50,'Data - Control'!$B$5:$B$296,$B50)</f>
        <v/>
      </c>
      <c r="D50" s="33">
        <f>SUMIFS('Data - Control'!$D$5:$D$296,'Data - Control'!$A$5:$A$296,$A50,'Data - Control'!$B$5:$B$296,$B50)</f>
        <v/>
      </c>
      <c r="E50" s="36">
        <f>SUMIFS('Data - Control'!$E$5:$E$296,'Data - Control'!$A$5:$A$296,$A50,'Data - Control'!$B$5:$B$296,$B50)</f>
        <v/>
      </c>
      <c r="F50" s="36">
        <f>SUMIFS('Data - Control'!$F$5:$F$296,'Data - Control'!$A$5:$A$296,$A50,'Data - Control'!$B$5:$B$296,$B50)</f>
        <v/>
      </c>
      <c r="G50" s="36">
        <f>SUMIFS('Data - Control'!$G$5:$G$296,'Data - Control'!$A$5:$A$296,$A50,'Data - Control'!$B$5:$B$296,$B50)</f>
        <v/>
      </c>
      <c r="H50" s="36">
        <f>SUMIFS('Data - Control'!$H$5:$H$296,'Data - Control'!$A$5:$A$296,$A50,'Data - Control'!$B$5:$B$296,$B50)</f>
        <v/>
      </c>
      <c r="I50" s="49">
        <f>IFERROR($G50/$C50,0)</f>
        <v/>
      </c>
      <c r="J50" s="49">
        <f>IFERROR($H50/$D50,0)</f>
        <v/>
      </c>
      <c r="K50" s="36">
        <f>$D50*$I50</f>
        <v/>
      </c>
      <c r="L50" s="36">
        <f>$D50*($J50-$I50)</f>
        <v/>
      </c>
      <c r="M50" s="44">
        <f>IFERROR($D50/$C50-1,"")</f>
        <v/>
      </c>
    </row>
    <row r="51">
      <c r="A51" s="41" t="inlineStr">
        <is>
          <t>Cricket Hill</t>
        </is>
      </c>
      <c r="B51" s="41" t="inlineStr">
        <is>
          <t>Cricket Hill</t>
        </is>
      </c>
      <c r="C51" s="33">
        <f>SUMIFS('Data - Control'!$C$5:$C$296,'Data - Control'!$A$5:$A$296,$A51,'Data - Control'!$B$5:$B$296,$B51)</f>
        <v/>
      </c>
      <c r="D51" s="33">
        <f>SUMIFS('Data - Control'!$D$5:$D$296,'Data - Control'!$A$5:$A$296,$A51,'Data - Control'!$B$5:$B$296,$B51)</f>
        <v/>
      </c>
      <c r="E51" s="36">
        <f>SUMIFS('Data - Control'!$E$5:$E$296,'Data - Control'!$A$5:$A$296,$A51,'Data - Control'!$B$5:$B$296,$B51)</f>
        <v/>
      </c>
      <c r="F51" s="36">
        <f>SUMIFS('Data - Control'!$F$5:$F$296,'Data - Control'!$A$5:$A$296,$A51,'Data - Control'!$B$5:$B$296,$B51)</f>
        <v/>
      </c>
      <c r="G51" s="36">
        <f>SUMIFS('Data - Control'!$G$5:$G$296,'Data - Control'!$A$5:$A$296,$A51,'Data - Control'!$B$5:$B$296,$B51)</f>
        <v/>
      </c>
      <c r="H51" s="36">
        <f>SUMIFS('Data - Control'!$H$5:$H$296,'Data - Control'!$A$5:$A$296,$A51,'Data - Control'!$B$5:$B$296,$B51)</f>
        <v/>
      </c>
      <c r="I51" s="49">
        <f>IFERROR($G51/$C51,0)</f>
        <v/>
      </c>
      <c r="J51" s="49">
        <f>IFERROR($H51/$D51,0)</f>
        <v/>
      </c>
      <c r="K51" s="36">
        <f>$D51*$I51</f>
        <v/>
      </c>
      <c r="L51" s="36">
        <f>$D51*($J51-$I51)</f>
        <v/>
      </c>
      <c r="M51" s="44">
        <f>IFERROR($D51/$C51-1,"")</f>
        <v/>
      </c>
    </row>
    <row r="52">
      <c r="A52" s="41" t="inlineStr">
        <is>
          <t>Crook &amp; Marker</t>
        </is>
      </c>
      <c r="B52" s="41" t="inlineStr">
        <is>
          <t>Crook&amp;Marker</t>
        </is>
      </c>
      <c r="C52" s="33">
        <f>SUMIFS('Data - Control'!$C$5:$C$296,'Data - Control'!$A$5:$A$296,$A52,'Data - Control'!$B$5:$B$296,$B52)</f>
        <v/>
      </c>
      <c r="D52" s="33">
        <f>SUMIFS('Data - Control'!$D$5:$D$296,'Data - Control'!$A$5:$A$296,$A52,'Data - Control'!$B$5:$B$296,$B52)</f>
        <v/>
      </c>
      <c r="E52" s="36">
        <f>SUMIFS('Data - Control'!$E$5:$E$296,'Data - Control'!$A$5:$A$296,$A52,'Data - Control'!$B$5:$B$296,$B52)</f>
        <v/>
      </c>
      <c r="F52" s="36">
        <f>SUMIFS('Data - Control'!$F$5:$F$296,'Data - Control'!$A$5:$A$296,$A52,'Data - Control'!$B$5:$B$296,$B52)</f>
        <v/>
      </c>
      <c r="G52" s="36">
        <f>SUMIFS('Data - Control'!$G$5:$G$296,'Data - Control'!$A$5:$A$296,$A52,'Data - Control'!$B$5:$B$296,$B52)</f>
        <v/>
      </c>
      <c r="H52" s="36">
        <f>SUMIFS('Data - Control'!$H$5:$H$296,'Data - Control'!$A$5:$A$296,$A52,'Data - Control'!$B$5:$B$296,$B52)</f>
        <v/>
      </c>
      <c r="I52" s="49">
        <f>IFERROR($G52/$C52,0)</f>
        <v/>
      </c>
      <c r="J52" s="49">
        <f>IFERROR($H52/$D52,0)</f>
        <v/>
      </c>
      <c r="K52" s="36">
        <f>$D52*$I52</f>
        <v/>
      </c>
      <c r="L52" s="36">
        <f>$D52*($J52-$I52)</f>
        <v/>
      </c>
      <c r="M52" s="44">
        <f>IFERROR($D52/$C52-1,"")</f>
        <v/>
      </c>
    </row>
    <row r="53">
      <c r="A53" s="41" t="inlineStr">
        <is>
          <t>Crook &amp; Marker</t>
        </is>
      </c>
      <c r="B53" s="41" t="inlineStr">
        <is>
          <t>Crooked Tea</t>
        </is>
      </c>
      <c r="C53" s="33">
        <f>SUMIFS('Data - Control'!$C$5:$C$296,'Data - Control'!$A$5:$A$296,$A53,'Data - Control'!$B$5:$B$296,$B53)</f>
        <v/>
      </c>
      <c r="D53" s="33">
        <f>SUMIFS('Data - Control'!$D$5:$D$296,'Data - Control'!$A$5:$A$296,$A53,'Data - Control'!$B$5:$B$296,$B53)</f>
        <v/>
      </c>
      <c r="E53" s="36">
        <f>SUMIFS('Data - Control'!$E$5:$E$296,'Data - Control'!$A$5:$A$296,$A53,'Data - Control'!$B$5:$B$296,$B53)</f>
        <v/>
      </c>
      <c r="F53" s="36">
        <f>SUMIFS('Data - Control'!$F$5:$F$296,'Data - Control'!$A$5:$A$296,$A53,'Data - Control'!$B$5:$B$296,$B53)</f>
        <v/>
      </c>
      <c r="G53" s="36">
        <f>SUMIFS('Data - Control'!$G$5:$G$296,'Data - Control'!$A$5:$A$296,$A53,'Data - Control'!$B$5:$B$296,$B53)</f>
        <v/>
      </c>
      <c r="H53" s="36">
        <f>SUMIFS('Data - Control'!$H$5:$H$296,'Data - Control'!$A$5:$A$296,$A53,'Data - Control'!$B$5:$B$296,$B53)</f>
        <v/>
      </c>
      <c r="I53" s="49">
        <f>IFERROR($G53/$C53,0)</f>
        <v/>
      </c>
      <c r="J53" s="49">
        <f>IFERROR($H53/$D53,0)</f>
        <v/>
      </c>
      <c r="K53" s="36">
        <f>$D53*$I53</f>
        <v/>
      </c>
      <c r="L53" s="36">
        <f>$D53*($J53-$I53)</f>
        <v/>
      </c>
      <c r="M53" s="44">
        <f>IFERROR($D53/$C53-1,"")</f>
        <v/>
      </c>
    </row>
    <row r="54">
      <c r="A54" s="41" t="inlineStr">
        <is>
          <t>Cruz Beverage</t>
        </is>
      </c>
      <c r="B54" s="41" t="inlineStr">
        <is>
          <t>YaVe Tequila</t>
        </is>
      </c>
      <c r="C54" s="33">
        <f>SUMIFS('Data - Control'!$C$5:$C$296,'Data - Control'!$A$5:$A$296,$A54,'Data - Control'!$B$5:$B$296,$B54)</f>
        <v/>
      </c>
      <c r="D54" s="33">
        <f>SUMIFS('Data - Control'!$D$5:$D$296,'Data - Control'!$A$5:$A$296,$A54,'Data - Control'!$B$5:$B$296,$B54)</f>
        <v/>
      </c>
      <c r="E54" s="36">
        <f>SUMIFS('Data - Control'!$E$5:$E$296,'Data - Control'!$A$5:$A$296,$A54,'Data - Control'!$B$5:$B$296,$B54)</f>
        <v/>
      </c>
      <c r="F54" s="36">
        <f>SUMIFS('Data - Control'!$F$5:$F$296,'Data - Control'!$A$5:$A$296,$A54,'Data - Control'!$B$5:$B$296,$B54)</f>
        <v/>
      </c>
      <c r="G54" s="36">
        <f>SUMIFS('Data - Control'!$G$5:$G$296,'Data - Control'!$A$5:$A$296,$A54,'Data - Control'!$B$5:$B$296,$B54)</f>
        <v/>
      </c>
      <c r="H54" s="36">
        <f>SUMIFS('Data - Control'!$H$5:$H$296,'Data - Control'!$A$5:$A$296,$A54,'Data - Control'!$B$5:$B$296,$B54)</f>
        <v/>
      </c>
      <c r="I54" s="49">
        <f>IFERROR($G54/$C54,0)</f>
        <v/>
      </c>
      <c r="J54" s="49">
        <f>IFERROR($H54/$D54,0)</f>
        <v/>
      </c>
      <c r="K54" s="36">
        <f>$D54*$I54</f>
        <v/>
      </c>
      <c r="L54" s="36">
        <f>$D54*($J54-$I54)</f>
        <v/>
      </c>
      <c r="M54" s="44">
        <f>IFERROR($D54/$C54-1,"")</f>
        <v/>
      </c>
    </row>
    <row r="55">
      <c r="A55" s="41" t="inlineStr">
        <is>
          <t>DG Yuengling Inc</t>
        </is>
      </c>
      <c r="B55" s="41" t="inlineStr">
        <is>
          <t>Dg Yuengling Inc</t>
        </is>
      </c>
      <c r="C55" s="33">
        <f>SUMIFS('Data - Control'!$C$5:$C$296,'Data - Control'!$A$5:$A$296,$A55,'Data - Control'!$B$5:$B$296,$B55)</f>
        <v/>
      </c>
      <c r="D55" s="33">
        <f>SUMIFS('Data - Control'!$D$5:$D$296,'Data - Control'!$A$5:$A$296,$A55,'Data - Control'!$B$5:$B$296,$B55)</f>
        <v/>
      </c>
      <c r="E55" s="36">
        <f>SUMIFS('Data - Control'!$E$5:$E$296,'Data - Control'!$A$5:$A$296,$A55,'Data - Control'!$B$5:$B$296,$B55)</f>
        <v/>
      </c>
      <c r="F55" s="36">
        <f>SUMIFS('Data - Control'!$F$5:$F$296,'Data - Control'!$A$5:$A$296,$A55,'Data - Control'!$B$5:$B$296,$B55)</f>
        <v/>
      </c>
      <c r="G55" s="36">
        <f>SUMIFS('Data - Control'!$G$5:$G$296,'Data - Control'!$A$5:$A$296,$A55,'Data - Control'!$B$5:$B$296,$B55)</f>
        <v/>
      </c>
      <c r="H55" s="36">
        <f>SUMIFS('Data - Control'!$H$5:$H$296,'Data - Control'!$A$5:$A$296,$A55,'Data - Control'!$B$5:$B$296,$B55)</f>
        <v/>
      </c>
      <c r="I55" s="49">
        <f>IFERROR($G55/$C55,0)</f>
        <v/>
      </c>
      <c r="J55" s="49">
        <f>IFERROR($H55/$D55,0)</f>
        <v/>
      </c>
      <c r="K55" s="36">
        <f>$D55*$I55</f>
        <v/>
      </c>
      <c r="L55" s="36">
        <f>$D55*($J55-$I55)</f>
        <v/>
      </c>
      <c r="M55" s="44">
        <f>IFERROR($D55/$C55-1,"")</f>
        <v/>
      </c>
    </row>
    <row r="56">
      <c r="A56" s="41" t="inlineStr">
        <is>
          <t>DG Yuengling Inc</t>
        </is>
      </c>
      <c r="B56" s="41" t="inlineStr">
        <is>
          <t>Yuengling Black &amp; Tan</t>
        </is>
      </c>
      <c r="C56" s="33">
        <f>SUMIFS('Data - Control'!$C$5:$C$296,'Data - Control'!$A$5:$A$296,$A56,'Data - Control'!$B$5:$B$296,$B56)</f>
        <v/>
      </c>
      <c r="D56" s="33">
        <f>SUMIFS('Data - Control'!$D$5:$D$296,'Data - Control'!$A$5:$A$296,$A56,'Data - Control'!$B$5:$B$296,$B56)</f>
        <v/>
      </c>
      <c r="E56" s="36">
        <f>SUMIFS('Data - Control'!$E$5:$E$296,'Data - Control'!$A$5:$A$296,$A56,'Data - Control'!$B$5:$B$296,$B56)</f>
        <v/>
      </c>
      <c r="F56" s="36">
        <f>SUMIFS('Data - Control'!$F$5:$F$296,'Data - Control'!$A$5:$A$296,$A56,'Data - Control'!$B$5:$B$296,$B56)</f>
        <v/>
      </c>
      <c r="G56" s="36">
        <f>SUMIFS('Data - Control'!$G$5:$G$296,'Data - Control'!$A$5:$A$296,$A56,'Data - Control'!$B$5:$B$296,$B56)</f>
        <v/>
      </c>
      <c r="H56" s="36">
        <f>SUMIFS('Data - Control'!$H$5:$H$296,'Data - Control'!$A$5:$A$296,$A56,'Data - Control'!$B$5:$B$296,$B56)</f>
        <v/>
      </c>
      <c r="I56" s="49">
        <f>IFERROR($G56/$C56,0)</f>
        <v/>
      </c>
      <c r="J56" s="49">
        <f>IFERROR($H56/$D56,0)</f>
        <v/>
      </c>
      <c r="K56" s="36">
        <f>$D56*$I56</f>
        <v/>
      </c>
      <c r="L56" s="36">
        <f>$D56*($J56-$I56)</f>
        <v/>
      </c>
      <c r="M56" s="44">
        <f>IFERROR($D56/$C56-1,"")</f>
        <v/>
      </c>
    </row>
    <row r="57">
      <c r="A57" s="41" t="inlineStr">
        <is>
          <t>DG Yuengling Inc</t>
        </is>
      </c>
      <c r="B57" s="41" t="inlineStr">
        <is>
          <t>Yuengling Golden Pilsner</t>
        </is>
      </c>
      <c r="C57" s="33">
        <f>SUMIFS('Data - Control'!$C$5:$C$296,'Data - Control'!$A$5:$A$296,$A57,'Data - Control'!$B$5:$B$296,$B57)</f>
        <v/>
      </c>
      <c r="D57" s="33">
        <f>SUMIFS('Data - Control'!$D$5:$D$296,'Data - Control'!$A$5:$A$296,$A57,'Data - Control'!$B$5:$B$296,$B57)</f>
        <v/>
      </c>
      <c r="E57" s="36">
        <f>SUMIFS('Data - Control'!$E$5:$E$296,'Data - Control'!$A$5:$A$296,$A57,'Data - Control'!$B$5:$B$296,$B57)</f>
        <v/>
      </c>
      <c r="F57" s="36">
        <f>SUMIFS('Data - Control'!$F$5:$F$296,'Data - Control'!$A$5:$A$296,$A57,'Data - Control'!$B$5:$B$296,$B57)</f>
        <v/>
      </c>
      <c r="G57" s="36">
        <f>SUMIFS('Data - Control'!$G$5:$G$296,'Data - Control'!$A$5:$A$296,$A57,'Data - Control'!$B$5:$B$296,$B57)</f>
        <v/>
      </c>
      <c r="H57" s="36">
        <f>SUMIFS('Data - Control'!$H$5:$H$296,'Data - Control'!$A$5:$A$296,$A57,'Data - Control'!$B$5:$B$296,$B57)</f>
        <v/>
      </c>
      <c r="I57" s="49">
        <f>IFERROR($G57/$C57,0)</f>
        <v/>
      </c>
      <c r="J57" s="49">
        <f>IFERROR($H57/$D57,0)</f>
        <v/>
      </c>
      <c r="K57" s="36">
        <f>$D57*$I57</f>
        <v/>
      </c>
      <c r="L57" s="36">
        <f>$D57*($J57-$I57)</f>
        <v/>
      </c>
      <c r="M57" s="44">
        <f>IFERROR($D57/$C57-1,"")</f>
        <v/>
      </c>
    </row>
    <row r="58">
      <c r="A58" s="41" t="inlineStr">
        <is>
          <t>DG Yuengling Inc</t>
        </is>
      </c>
      <c r="B58" s="41" t="inlineStr">
        <is>
          <t>Yuengling Oktoberfest</t>
        </is>
      </c>
      <c r="C58" s="33">
        <f>SUMIFS('Data - Control'!$C$5:$C$296,'Data - Control'!$A$5:$A$296,$A58,'Data - Control'!$B$5:$B$296,$B58)</f>
        <v/>
      </c>
      <c r="D58" s="33">
        <f>SUMIFS('Data - Control'!$D$5:$D$296,'Data - Control'!$A$5:$A$296,$A58,'Data - Control'!$B$5:$B$296,$B58)</f>
        <v/>
      </c>
      <c r="E58" s="36">
        <f>SUMIFS('Data - Control'!$E$5:$E$296,'Data - Control'!$A$5:$A$296,$A58,'Data - Control'!$B$5:$B$296,$B58)</f>
        <v/>
      </c>
      <c r="F58" s="36">
        <f>SUMIFS('Data - Control'!$F$5:$F$296,'Data - Control'!$A$5:$A$296,$A58,'Data - Control'!$B$5:$B$296,$B58)</f>
        <v/>
      </c>
      <c r="G58" s="36">
        <f>SUMIFS('Data - Control'!$G$5:$G$296,'Data - Control'!$A$5:$A$296,$A58,'Data - Control'!$B$5:$B$296,$B58)</f>
        <v/>
      </c>
      <c r="H58" s="36">
        <f>SUMIFS('Data - Control'!$H$5:$H$296,'Data - Control'!$A$5:$A$296,$A58,'Data - Control'!$B$5:$B$296,$B58)</f>
        <v/>
      </c>
      <c r="I58" s="49">
        <f>IFERROR($G58/$C58,0)</f>
        <v/>
      </c>
      <c r="J58" s="49">
        <f>IFERROR($H58/$D58,0)</f>
        <v/>
      </c>
      <c r="K58" s="36">
        <f>$D58*$I58</f>
        <v/>
      </c>
      <c r="L58" s="36">
        <f>$D58*($J58-$I58)</f>
        <v/>
      </c>
      <c r="M58" s="44">
        <f>IFERROR($D58/$C58-1,"")</f>
        <v/>
      </c>
    </row>
    <row r="59">
      <c r="A59" s="41" t="inlineStr">
        <is>
          <t>DG Yuengling Inc</t>
        </is>
      </c>
      <c r="B59" s="41" t="inlineStr">
        <is>
          <t>Yuengling Premium</t>
        </is>
      </c>
      <c r="C59" s="33">
        <f>SUMIFS('Data - Control'!$C$5:$C$296,'Data - Control'!$A$5:$A$296,$A59,'Data - Control'!$B$5:$B$296,$B59)</f>
        <v/>
      </c>
      <c r="D59" s="33">
        <f>SUMIFS('Data - Control'!$D$5:$D$296,'Data - Control'!$A$5:$A$296,$A59,'Data - Control'!$B$5:$B$296,$B59)</f>
        <v/>
      </c>
      <c r="E59" s="36">
        <f>SUMIFS('Data - Control'!$E$5:$E$296,'Data - Control'!$A$5:$A$296,$A59,'Data - Control'!$B$5:$B$296,$B59)</f>
        <v/>
      </c>
      <c r="F59" s="36">
        <f>SUMIFS('Data - Control'!$F$5:$F$296,'Data - Control'!$A$5:$A$296,$A59,'Data - Control'!$B$5:$B$296,$B59)</f>
        <v/>
      </c>
      <c r="G59" s="36">
        <f>SUMIFS('Data - Control'!$G$5:$G$296,'Data - Control'!$A$5:$A$296,$A59,'Data - Control'!$B$5:$B$296,$B59)</f>
        <v/>
      </c>
      <c r="H59" s="36">
        <f>SUMIFS('Data - Control'!$H$5:$H$296,'Data - Control'!$A$5:$A$296,$A59,'Data - Control'!$B$5:$B$296,$B59)</f>
        <v/>
      </c>
      <c r="I59" s="49">
        <f>IFERROR($G59/$C59,0)</f>
        <v/>
      </c>
      <c r="J59" s="49">
        <f>IFERROR($H59/$D59,0)</f>
        <v/>
      </c>
      <c r="K59" s="36">
        <f>$D59*$I59</f>
        <v/>
      </c>
      <c r="L59" s="36">
        <f>$D59*($J59-$I59)</f>
        <v/>
      </c>
      <c r="M59" s="44">
        <f>IFERROR($D59/$C59-1,"")</f>
        <v/>
      </c>
    </row>
    <row r="60">
      <c r="A60" s="41" t="inlineStr">
        <is>
          <t>DG Yuengling Inc</t>
        </is>
      </c>
      <c r="B60" s="41" t="inlineStr">
        <is>
          <t>Yuengling Premium Light</t>
        </is>
      </c>
      <c r="C60" s="33">
        <f>SUMIFS('Data - Control'!$C$5:$C$296,'Data - Control'!$A$5:$A$296,$A60,'Data - Control'!$B$5:$B$296,$B60)</f>
        <v/>
      </c>
      <c r="D60" s="33">
        <f>SUMIFS('Data - Control'!$D$5:$D$296,'Data - Control'!$A$5:$A$296,$A60,'Data - Control'!$B$5:$B$296,$B60)</f>
        <v/>
      </c>
      <c r="E60" s="36">
        <f>SUMIFS('Data - Control'!$E$5:$E$296,'Data - Control'!$A$5:$A$296,$A60,'Data - Control'!$B$5:$B$296,$B60)</f>
        <v/>
      </c>
      <c r="F60" s="36">
        <f>SUMIFS('Data - Control'!$F$5:$F$296,'Data - Control'!$A$5:$A$296,$A60,'Data - Control'!$B$5:$B$296,$B60)</f>
        <v/>
      </c>
      <c r="G60" s="36">
        <f>SUMIFS('Data - Control'!$G$5:$G$296,'Data - Control'!$A$5:$A$296,$A60,'Data - Control'!$B$5:$B$296,$B60)</f>
        <v/>
      </c>
      <c r="H60" s="36">
        <f>SUMIFS('Data - Control'!$H$5:$H$296,'Data - Control'!$A$5:$A$296,$A60,'Data - Control'!$B$5:$B$296,$B60)</f>
        <v/>
      </c>
      <c r="I60" s="49">
        <f>IFERROR($G60/$C60,0)</f>
        <v/>
      </c>
      <c r="J60" s="49">
        <f>IFERROR($H60/$D60,0)</f>
        <v/>
      </c>
      <c r="K60" s="36">
        <f>$D60*$I60</f>
        <v/>
      </c>
      <c r="L60" s="36">
        <f>$D60*($J60-$I60)</f>
        <v/>
      </c>
      <c r="M60" s="44">
        <f>IFERROR($D60/$C60-1,"")</f>
        <v/>
      </c>
    </row>
    <row r="61">
      <c r="A61" s="41" t="inlineStr">
        <is>
          <t>Dad Grass</t>
        </is>
      </c>
      <c r="B61" s="41" t="inlineStr">
        <is>
          <t>Dad Grass</t>
        </is>
      </c>
      <c r="C61" s="33">
        <f>SUMIFS('Data - Control'!$C$5:$C$296,'Data - Control'!$A$5:$A$296,$A61,'Data - Control'!$B$5:$B$296,$B61)</f>
        <v/>
      </c>
      <c r="D61" s="33">
        <f>SUMIFS('Data - Control'!$D$5:$D$296,'Data - Control'!$A$5:$A$296,$A61,'Data - Control'!$B$5:$B$296,$B61)</f>
        <v/>
      </c>
      <c r="E61" s="36">
        <f>SUMIFS('Data - Control'!$E$5:$E$296,'Data - Control'!$A$5:$A$296,$A61,'Data - Control'!$B$5:$B$296,$B61)</f>
        <v/>
      </c>
      <c r="F61" s="36">
        <f>SUMIFS('Data - Control'!$F$5:$F$296,'Data - Control'!$A$5:$A$296,$A61,'Data - Control'!$B$5:$B$296,$B61)</f>
        <v/>
      </c>
      <c r="G61" s="36">
        <f>SUMIFS('Data - Control'!$G$5:$G$296,'Data - Control'!$A$5:$A$296,$A61,'Data - Control'!$B$5:$B$296,$B61)</f>
        <v/>
      </c>
      <c r="H61" s="36">
        <f>SUMIFS('Data - Control'!$H$5:$H$296,'Data - Control'!$A$5:$A$296,$A61,'Data - Control'!$B$5:$B$296,$B61)</f>
        <v/>
      </c>
      <c r="I61" s="49">
        <f>IFERROR($G61/$C61,0)</f>
        <v/>
      </c>
      <c r="J61" s="49">
        <f>IFERROR($H61/$D61,0)</f>
        <v/>
      </c>
      <c r="K61" s="36">
        <f>$D61*$I61</f>
        <v/>
      </c>
      <c r="L61" s="36">
        <f>$D61*($J61-$I61)</f>
        <v/>
      </c>
      <c r="M61" s="44">
        <f>IFERROR($D61/$C61-1,"")</f>
        <v/>
      </c>
    </row>
    <row r="62">
      <c r="A62" s="41" t="inlineStr">
        <is>
          <t>Defiant Brewing Co.</t>
        </is>
      </c>
      <c r="B62" s="41" t="inlineStr">
        <is>
          <t>Defiant</t>
        </is>
      </c>
      <c r="C62" s="33">
        <f>SUMIFS('Data - Control'!$C$5:$C$296,'Data - Control'!$A$5:$A$296,$A62,'Data - Control'!$B$5:$B$296,$B62)</f>
        <v/>
      </c>
      <c r="D62" s="33">
        <f>SUMIFS('Data - Control'!$D$5:$D$296,'Data - Control'!$A$5:$A$296,$A62,'Data - Control'!$B$5:$B$296,$B62)</f>
        <v/>
      </c>
      <c r="E62" s="36">
        <f>SUMIFS('Data - Control'!$E$5:$E$296,'Data - Control'!$A$5:$A$296,$A62,'Data - Control'!$B$5:$B$296,$B62)</f>
        <v/>
      </c>
      <c r="F62" s="36">
        <f>SUMIFS('Data - Control'!$F$5:$F$296,'Data - Control'!$A$5:$A$296,$A62,'Data - Control'!$B$5:$B$296,$B62)</f>
        <v/>
      </c>
      <c r="G62" s="36">
        <f>SUMIFS('Data - Control'!$G$5:$G$296,'Data - Control'!$A$5:$A$296,$A62,'Data - Control'!$B$5:$B$296,$B62)</f>
        <v/>
      </c>
      <c r="H62" s="36">
        <f>SUMIFS('Data - Control'!$H$5:$H$296,'Data - Control'!$A$5:$A$296,$A62,'Data - Control'!$B$5:$B$296,$B62)</f>
        <v/>
      </c>
      <c r="I62" s="49">
        <f>IFERROR($G62/$C62,0)</f>
        <v/>
      </c>
      <c r="J62" s="49">
        <f>IFERROR($H62/$D62,0)</f>
        <v/>
      </c>
      <c r="K62" s="36">
        <f>$D62*$I62</f>
        <v/>
      </c>
      <c r="L62" s="36">
        <f>$D62*($J62-$I62)</f>
        <v/>
      </c>
      <c r="M62" s="44">
        <f>IFERROR($D62/$C62-1,"")</f>
        <v/>
      </c>
    </row>
    <row r="63">
      <c r="A63" s="41" t="inlineStr">
        <is>
          <t>Delta Beverage LLC</t>
        </is>
      </c>
      <c r="B63" s="41" t="inlineStr">
        <is>
          <t>Delta</t>
        </is>
      </c>
      <c r="C63" s="33">
        <f>SUMIFS('Data - Control'!$C$5:$C$296,'Data - Control'!$A$5:$A$296,$A63,'Data - Control'!$B$5:$B$296,$B63)</f>
        <v/>
      </c>
      <c r="D63" s="33">
        <f>SUMIFS('Data - Control'!$D$5:$D$296,'Data - Control'!$A$5:$A$296,$A63,'Data - Control'!$B$5:$B$296,$B63)</f>
        <v/>
      </c>
      <c r="E63" s="36">
        <f>SUMIFS('Data - Control'!$E$5:$E$296,'Data - Control'!$A$5:$A$296,$A63,'Data - Control'!$B$5:$B$296,$B63)</f>
        <v/>
      </c>
      <c r="F63" s="36">
        <f>SUMIFS('Data - Control'!$F$5:$F$296,'Data - Control'!$A$5:$A$296,$A63,'Data - Control'!$B$5:$B$296,$B63)</f>
        <v/>
      </c>
      <c r="G63" s="36">
        <f>SUMIFS('Data - Control'!$G$5:$G$296,'Data - Control'!$A$5:$A$296,$A63,'Data - Control'!$B$5:$B$296,$B63)</f>
        <v/>
      </c>
      <c r="H63" s="36">
        <f>SUMIFS('Data - Control'!$H$5:$H$296,'Data - Control'!$A$5:$A$296,$A63,'Data - Control'!$B$5:$B$296,$B63)</f>
        <v/>
      </c>
      <c r="I63" s="49">
        <f>IFERROR($G63/$C63,0)</f>
        <v/>
      </c>
      <c r="J63" s="49">
        <f>IFERROR($H63/$D63,0)</f>
        <v/>
      </c>
      <c r="K63" s="36">
        <f>$D63*$I63</f>
        <v/>
      </c>
      <c r="L63" s="36">
        <f>$D63*($J63-$I63)</f>
        <v/>
      </c>
      <c r="M63" s="44">
        <f>IFERROR($D63/$C63-1,"")</f>
        <v/>
      </c>
    </row>
    <row r="64">
      <c r="A64" s="41" t="inlineStr">
        <is>
          <t>Dreamz Invenstments LLC</t>
        </is>
      </c>
      <c r="B64" s="41" t="inlineStr">
        <is>
          <t>Brio</t>
        </is>
      </c>
      <c r="C64" s="33">
        <f>SUMIFS('Data - Control'!$C$5:$C$296,'Data - Control'!$A$5:$A$296,$A64,'Data - Control'!$B$5:$B$296,$B64)</f>
        <v/>
      </c>
      <c r="D64" s="33">
        <f>SUMIFS('Data - Control'!$D$5:$D$296,'Data - Control'!$A$5:$A$296,$A64,'Data - Control'!$B$5:$B$296,$B64)</f>
        <v/>
      </c>
      <c r="E64" s="36">
        <f>SUMIFS('Data - Control'!$E$5:$E$296,'Data - Control'!$A$5:$A$296,$A64,'Data - Control'!$B$5:$B$296,$B64)</f>
        <v/>
      </c>
      <c r="F64" s="36">
        <f>SUMIFS('Data - Control'!$F$5:$F$296,'Data - Control'!$A$5:$A$296,$A64,'Data - Control'!$B$5:$B$296,$B64)</f>
        <v/>
      </c>
      <c r="G64" s="36">
        <f>SUMIFS('Data - Control'!$G$5:$G$296,'Data - Control'!$A$5:$A$296,$A64,'Data - Control'!$B$5:$B$296,$B64)</f>
        <v/>
      </c>
      <c r="H64" s="36">
        <f>SUMIFS('Data - Control'!$H$5:$H$296,'Data - Control'!$A$5:$A$296,$A64,'Data - Control'!$B$5:$B$296,$B64)</f>
        <v/>
      </c>
      <c r="I64" s="49">
        <f>IFERROR($G64/$C64,0)</f>
        <v/>
      </c>
      <c r="J64" s="49">
        <f>IFERROR($H64/$D64,0)</f>
        <v/>
      </c>
      <c r="K64" s="36">
        <f>$D64*$I64</f>
        <v/>
      </c>
      <c r="L64" s="36">
        <f>$D64*($J64-$I64)</f>
        <v/>
      </c>
      <c r="M64" s="44">
        <f>IFERROR($D64/$C64-1,"")</f>
        <v/>
      </c>
    </row>
    <row r="65">
      <c r="A65" s="41" t="inlineStr">
        <is>
          <t>Duclaw Brewing</t>
        </is>
      </c>
      <c r="B65" s="41" t="inlineStr">
        <is>
          <t>Duclaw</t>
        </is>
      </c>
      <c r="C65" s="33">
        <f>SUMIFS('Data - Control'!$C$5:$C$296,'Data - Control'!$A$5:$A$296,$A65,'Data - Control'!$B$5:$B$296,$B65)</f>
        <v/>
      </c>
      <c r="D65" s="33">
        <f>SUMIFS('Data - Control'!$D$5:$D$296,'Data - Control'!$A$5:$A$296,$A65,'Data - Control'!$B$5:$B$296,$B65)</f>
        <v/>
      </c>
      <c r="E65" s="36">
        <f>SUMIFS('Data - Control'!$E$5:$E$296,'Data - Control'!$A$5:$A$296,$A65,'Data - Control'!$B$5:$B$296,$B65)</f>
        <v/>
      </c>
      <c r="F65" s="36">
        <f>SUMIFS('Data - Control'!$F$5:$F$296,'Data - Control'!$A$5:$A$296,$A65,'Data - Control'!$B$5:$B$296,$B65)</f>
        <v/>
      </c>
      <c r="G65" s="36">
        <f>SUMIFS('Data - Control'!$G$5:$G$296,'Data - Control'!$A$5:$A$296,$A65,'Data - Control'!$B$5:$B$296,$B65)</f>
        <v/>
      </c>
      <c r="H65" s="36">
        <f>SUMIFS('Data - Control'!$H$5:$H$296,'Data - Control'!$A$5:$A$296,$A65,'Data - Control'!$B$5:$B$296,$B65)</f>
        <v/>
      </c>
      <c r="I65" s="49">
        <f>IFERROR($G65/$C65,0)</f>
        <v/>
      </c>
      <c r="J65" s="49">
        <f>IFERROR($H65/$D65,0)</f>
        <v/>
      </c>
      <c r="K65" s="36">
        <f>$D65*$I65</f>
        <v/>
      </c>
      <c r="L65" s="36">
        <f>$D65*($J65-$I65)</f>
        <v/>
      </c>
      <c r="M65" s="44">
        <f>IFERROR($D65/$C65-1,"")</f>
        <v/>
      </c>
    </row>
    <row r="66">
      <c r="A66" s="41" t="inlineStr">
        <is>
          <t>Efes</t>
        </is>
      </c>
      <c r="B66" s="41" t="inlineStr">
        <is>
          <t>Efes</t>
        </is>
      </c>
      <c r="C66" s="33">
        <f>SUMIFS('Data - Control'!$C$5:$C$296,'Data - Control'!$A$5:$A$296,$A66,'Data - Control'!$B$5:$B$296,$B66)</f>
        <v/>
      </c>
      <c r="D66" s="33">
        <f>SUMIFS('Data - Control'!$D$5:$D$296,'Data - Control'!$A$5:$A$296,$A66,'Data - Control'!$B$5:$B$296,$B66)</f>
        <v/>
      </c>
      <c r="E66" s="36">
        <f>SUMIFS('Data - Control'!$E$5:$E$296,'Data - Control'!$A$5:$A$296,$A66,'Data - Control'!$B$5:$B$296,$B66)</f>
        <v/>
      </c>
      <c r="F66" s="36">
        <f>SUMIFS('Data - Control'!$F$5:$F$296,'Data - Control'!$A$5:$A$296,$A66,'Data - Control'!$B$5:$B$296,$B66)</f>
        <v/>
      </c>
      <c r="G66" s="36">
        <f>SUMIFS('Data - Control'!$G$5:$G$296,'Data - Control'!$A$5:$A$296,$A66,'Data - Control'!$B$5:$B$296,$B66)</f>
        <v/>
      </c>
      <c r="H66" s="36">
        <f>SUMIFS('Data - Control'!$H$5:$H$296,'Data - Control'!$A$5:$A$296,$A66,'Data - Control'!$B$5:$B$296,$B66)</f>
        <v/>
      </c>
      <c r="I66" s="49">
        <f>IFERROR($G66/$C66,0)</f>
        <v/>
      </c>
      <c r="J66" s="49">
        <f>IFERROR($H66/$D66,0)</f>
        <v/>
      </c>
      <c r="K66" s="36">
        <f>$D66*$I66</f>
        <v/>
      </c>
      <c r="L66" s="36">
        <f>$D66*($J66-$I66)</f>
        <v/>
      </c>
      <c r="M66" s="44">
        <f>IFERROR($D66/$C66-1,"")</f>
        <v/>
      </c>
    </row>
    <row r="67">
      <c r="A67" s="41" t="inlineStr">
        <is>
          <t>Eleven20</t>
        </is>
      </c>
      <c r="B67" s="41" t="inlineStr">
        <is>
          <t>Eleven20 Tequila</t>
        </is>
      </c>
      <c r="C67" s="33">
        <f>SUMIFS('Data - Control'!$C$5:$C$296,'Data - Control'!$A$5:$A$296,$A67,'Data - Control'!$B$5:$B$296,$B67)</f>
        <v/>
      </c>
      <c r="D67" s="33">
        <f>SUMIFS('Data - Control'!$D$5:$D$296,'Data - Control'!$A$5:$A$296,$A67,'Data - Control'!$B$5:$B$296,$B67)</f>
        <v/>
      </c>
      <c r="E67" s="36">
        <f>SUMIFS('Data - Control'!$E$5:$E$296,'Data - Control'!$A$5:$A$296,$A67,'Data - Control'!$B$5:$B$296,$B67)</f>
        <v/>
      </c>
      <c r="F67" s="36">
        <f>SUMIFS('Data - Control'!$F$5:$F$296,'Data - Control'!$A$5:$A$296,$A67,'Data - Control'!$B$5:$B$296,$B67)</f>
        <v/>
      </c>
      <c r="G67" s="36">
        <f>SUMIFS('Data - Control'!$G$5:$G$296,'Data - Control'!$A$5:$A$296,$A67,'Data - Control'!$B$5:$B$296,$B67)</f>
        <v/>
      </c>
      <c r="H67" s="36">
        <f>SUMIFS('Data - Control'!$H$5:$H$296,'Data - Control'!$A$5:$A$296,$A67,'Data - Control'!$B$5:$B$296,$B67)</f>
        <v/>
      </c>
      <c r="I67" s="49">
        <f>IFERROR($G67/$C67,0)</f>
        <v/>
      </c>
      <c r="J67" s="49">
        <f>IFERROR($H67/$D67,0)</f>
        <v/>
      </c>
      <c r="K67" s="36">
        <f>$D67*$I67</f>
        <v/>
      </c>
      <c r="L67" s="36">
        <f>$D67*($J67-$I67)</f>
        <v/>
      </c>
      <c r="M67" s="44">
        <f>IFERROR($D67/$C67-1,"")</f>
        <v/>
      </c>
    </row>
    <row r="68">
      <c r="A68" s="41" t="inlineStr">
        <is>
          <t>Emergent Beverage Partners</t>
        </is>
      </c>
      <c r="B68" s="41" t="inlineStr">
        <is>
          <t>Beckett's D9</t>
        </is>
      </c>
      <c r="C68" s="33">
        <f>SUMIFS('Data - Control'!$C$5:$C$296,'Data - Control'!$A$5:$A$296,$A68,'Data - Control'!$B$5:$B$296,$B68)</f>
        <v/>
      </c>
      <c r="D68" s="33">
        <f>SUMIFS('Data - Control'!$D$5:$D$296,'Data - Control'!$A$5:$A$296,$A68,'Data - Control'!$B$5:$B$296,$B68)</f>
        <v/>
      </c>
      <c r="E68" s="36">
        <f>SUMIFS('Data - Control'!$E$5:$E$296,'Data - Control'!$A$5:$A$296,$A68,'Data - Control'!$B$5:$B$296,$B68)</f>
        <v/>
      </c>
      <c r="F68" s="36">
        <f>SUMIFS('Data - Control'!$F$5:$F$296,'Data - Control'!$A$5:$A$296,$A68,'Data - Control'!$B$5:$B$296,$B68)</f>
        <v/>
      </c>
      <c r="G68" s="36">
        <f>SUMIFS('Data - Control'!$G$5:$G$296,'Data - Control'!$A$5:$A$296,$A68,'Data - Control'!$B$5:$B$296,$B68)</f>
        <v/>
      </c>
      <c r="H68" s="36">
        <f>SUMIFS('Data - Control'!$H$5:$H$296,'Data - Control'!$A$5:$A$296,$A68,'Data - Control'!$B$5:$B$296,$B68)</f>
        <v/>
      </c>
      <c r="I68" s="49">
        <f>IFERROR($G68/$C68,0)</f>
        <v/>
      </c>
      <c r="J68" s="49">
        <f>IFERROR($H68/$D68,0)</f>
        <v/>
      </c>
      <c r="K68" s="36">
        <f>$D68*$I68</f>
        <v/>
      </c>
      <c r="L68" s="36">
        <f>$D68*($J68-$I68)</f>
        <v/>
      </c>
      <c r="M68" s="44">
        <f>IFERROR($D68/$C68-1,"")</f>
        <v/>
      </c>
    </row>
    <row r="69">
      <c r="A69" s="41" t="inlineStr">
        <is>
          <t>Emergent Beverage Partners</t>
        </is>
      </c>
      <c r="B69" s="41" t="inlineStr">
        <is>
          <t>Boldt Infused D9</t>
        </is>
      </c>
      <c r="C69" s="33">
        <f>SUMIFS('Data - Control'!$C$5:$C$296,'Data - Control'!$A$5:$A$296,$A69,'Data - Control'!$B$5:$B$296,$B69)</f>
        <v/>
      </c>
      <c r="D69" s="33">
        <f>SUMIFS('Data - Control'!$D$5:$D$296,'Data - Control'!$A$5:$A$296,$A69,'Data - Control'!$B$5:$B$296,$B69)</f>
        <v/>
      </c>
      <c r="E69" s="36">
        <f>SUMIFS('Data - Control'!$E$5:$E$296,'Data - Control'!$A$5:$A$296,$A69,'Data - Control'!$B$5:$B$296,$B69)</f>
        <v/>
      </c>
      <c r="F69" s="36">
        <f>SUMIFS('Data - Control'!$F$5:$F$296,'Data - Control'!$A$5:$A$296,$A69,'Data - Control'!$B$5:$B$296,$B69)</f>
        <v/>
      </c>
      <c r="G69" s="36">
        <f>SUMIFS('Data - Control'!$G$5:$G$296,'Data - Control'!$A$5:$A$296,$A69,'Data - Control'!$B$5:$B$296,$B69)</f>
        <v/>
      </c>
      <c r="H69" s="36">
        <f>SUMIFS('Data - Control'!$H$5:$H$296,'Data - Control'!$A$5:$A$296,$A69,'Data - Control'!$B$5:$B$296,$B69)</f>
        <v/>
      </c>
      <c r="I69" s="49">
        <f>IFERROR($G69/$C69,0)</f>
        <v/>
      </c>
      <c r="J69" s="49">
        <f>IFERROR($H69/$D69,0)</f>
        <v/>
      </c>
      <c r="K69" s="36">
        <f>$D69*$I69</f>
        <v/>
      </c>
      <c r="L69" s="36">
        <f>$D69*($J69-$I69)</f>
        <v/>
      </c>
      <c r="M69" s="44">
        <f>IFERROR($D69/$C69-1,"")</f>
        <v/>
      </c>
    </row>
    <row r="70">
      <c r="A70" s="41" t="inlineStr">
        <is>
          <t>Emergent Beverage Partners</t>
        </is>
      </c>
      <c r="B70" s="41" t="inlineStr">
        <is>
          <t>Crooked Beverage</t>
        </is>
      </c>
      <c r="C70" s="33">
        <f>SUMIFS('Data - Control'!$C$5:$C$296,'Data - Control'!$A$5:$A$296,$A70,'Data - Control'!$B$5:$B$296,$B70)</f>
        <v/>
      </c>
      <c r="D70" s="33">
        <f>SUMIFS('Data - Control'!$D$5:$D$296,'Data - Control'!$A$5:$A$296,$A70,'Data - Control'!$B$5:$B$296,$B70)</f>
        <v/>
      </c>
      <c r="E70" s="36">
        <f>SUMIFS('Data - Control'!$E$5:$E$296,'Data - Control'!$A$5:$A$296,$A70,'Data - Control'!$B$5:$B$296,$B70)</f>
        <v/>
      </c>
      <c r="F70" s="36">
        <f>SUMIFS('Data - Control'!$F$5:$F$296,'Data - Control'!$A$5:$A$296,$A70,'Data - Control'!$B$5:$B$296,$B70)</f>
        <v/>
      </c>
      <c r="G70" s="36">
        <f>SUMIFS('Data - Control'!$G$5:$G$296,'Data - Control'!$A$5:$A$296,$A70,'Data - Control'!$B$5:$B$296,$B70)</f>
        <v/>
      </c>
      <c r="H70" s="36">
        <f>SUMIFS('Data - Control'!$H$5:$H$296,'Data - Control'!$A$5:$A$296,$A70,'Data - Control'!$B$5:$B$296,$B70)</f>
        <v/>
      </c>
      <c r="I70" s="49">
        <f>IFERROR($G70/$C70,0)</f>
        <v/>
      </c>
      <c r="J70" s="49">
        <f>IFERROR($H70/$D70,0)</f>
        <v/>
      </c>
      <c r="K70" s="36">
        <f>$D70*$I70</f>
        <v/>
      </c>
      <c r="L70" s="36">
        <f>$D70*($J70-$I70)</f>
        <v/>
      </c>
      <c r="M70" s="44">
        <f>IFERROR($D70/$C70-1,"")</f>
        <v/>
      </c>
    </row>
    <row r="71">
      <c r="A71" s="41" t="inlineStr">
        <is>
          <t>Emergent Beverage Partners</t>
        </is>
      </c>
      <c r="B71" s="41" t="inlineStr">
        <is>
          <t>Hectare's</t>
        </is>
      </c>
      <c r="C71" s="33">
        <f>SUMIFS('Data - Control'!$C$5:$C$296,'Data - Control'!$A$5:$A$296,$A71,'Data - Control'!$B$5:$B$296,$B71)</f>
        <v/>
      </c>
      <c r="D71" s="33">
        <f>SUMIFS('Data - Control'!$D$5:$D$296,'Data - Control'!$A$5:$A$296,$A71,'Data - Control'!$B$5:$B$296,$B71)</f>
        <v/>
      </c>
      <c r="E71" s="36">
        <f>SUMIFS('Data - Control'!$E$5:$E$296,'Data - Control'!$A$5:$A$296,$A71,'Data - Control'!$B$5:$B$296,$B71)</f>
        <v/>
      </c>
      <c r="F71" s="36">
        <f>SUMIFS('Data - Control'!$F$5:$F$296,'Data - Control'!$A$5:$A$296,$A71,'Data - Control'!$B$5:$B$296,$B71)</f>
        <v/>
      </c>
      <c r="G71" s="36">
        <f>SUMIFS('Data - Control'!$G$5:$G$296,'Data - Control'!$A$5:$A$296,$A71,'Data - Control'!$B$5:$B$296,$B71)</f>
        <v/>
      </c>
      <c r="H71" s="36">
        <f>SUMIFS('Data - Control'!$H$5:$H$296,'Data - Control'!$A$5:$A$296,$A71,'Data - Control'!$B$5:$B$296,$B71)</f>
        <v/>
      </c>
      <c r="I71" s="49">
        <f>IFERROR($G71/$C71,0)</f>
        <v/>
      </c>
      <c r="J71" s="49">
        <f>IFERROR($H71/$D71,0)</f>
        <v/>
      </c>
      <c r="K71" s="36">
        <f>$D71*$I71</f>
        <v/>
      </c>
      <c r="L71" s="36">
        <f>$D71*($J71-$I71)</f>
        <v/>
      </c>
      <c r="M71" s="44">
        <f>IFERROR($D71/$C71-1,"")</f>
        <v/>
      </c>
    </row>
    <row r="72">
      <c r="A72" s="41" t="inlineStr">
        <is>
          <t>Emergent Beverage Partners</t>
        </is>
      </c>
      <c r="B72" s="41" t="inlineStr">
        <is>
          <t>Lark Infused D9</t>
        </is>
      </c>
      <c r="C72" s="33">
        <f>SUMIFS('Data - Control'!$C$5:$C$296,'Data - Control'!$A$5:$A$296,$A72,'Data - Control'!$B$5:$B$296,$B72)</f>
        <v/>
      </c>
      <c r="D72" s="33">
        <f>SUMIFS('Data - Control'!$D$5:$D$296,'Data - Control'!$A$5:$A$296,$A72,'Data - Control'!$B$5:$B$296,$B72)</f>
        <v/>
      </c>
      <c r="E72" s="36">
        <f>SUMIFS('Data - Control'!$E$5:$E$296,'Data - Control'!$A$5:$A$296,$A72,'Data - Control'!$B$5:$B$296,$B72)</f>
        <v/>
      </c>
      <c r="F72" s="36">
        <f>SUMIFS('Data - Control'!$F$5:$F$296,'Data - Control'!$A$5:$A$296,$A72,'Data - Control'!$B$5:$B$296,$B72)</f>
        <v/>
      </c>
      <c r="G72" s="36">
        <f>SUMIFS('Data - Control'!$G$5:$G$296,'Data - Control'!$A$5:$A$296,$A72,'Data - Control'!$B$5:$B$296,$B72)</f>
        <v/>
      </c>
      <c r="H72" s="36">
        <f>SUMIFS('Data - Control'!$H$5:$H$296,'Data - Control'!$A$5:$A$296,$A72,'Data - Control'!$B$5:$B$296,$B72)</f>
        <v/>
      </c>
      <c r="I72" s="49">
        <f>IFERROR($G72/$C72,0)</f>
        <v/>
      </c>
      <c r="J72" s="49">
        <f>IFERROR($H72/$D72,0)</f>
        <v/>
      </c>
      <c r="K72" s="36">
        <f>$D72*$I72</f>
        <v/>
      </c>
      <c r="L72" s="36">
        <f>$D72*($J72-$I72)</f>
        <v/>
      </c>
      <c r="M72" s="44">
        <f>IFERROR($D72/$C72-1,"")</f>
        <v/>
      </c>
    </row>
    <row r="73">
      <c r="A73" s="41" t="inlineStr">
        <is>
          <t>Ever Grand Group LLC</t>
        </is>
      </c>
      <c r="B73" s="41" t="inlineStr">
        <is>
          <t>Snow Beer</t>
        </is>
      </c>
      <c r="C73" s="33">
        <f>SUMIFS('Data - Control'!$C$5:$C$296,'Data - Control'!$A$5:$A$296,$A73,'Data - Control'!$B$5:$B$296,$B73)</f>
        <v/>
      </c>
      <c r="D73" s="33">
        <f>SUMIFS('Data - Control'!$D$5:$D$296,'Data - Control'!$A$5:$A$296,$A73,'Data - Control'!$B$5:$B$296,$B73)</f>
        <v/>
      </c>
      <c r="E73" s="36">
        <f>SUMIFS('Data - Control'!$E$5:$E$296,'Data - Control'!$A$5:$A$296,$A73,'Data - Control'!$B$5:$B$296,$B73)</f>
        <v/>
      </c>
      <c r="F73" s="36">
        <f>SUMIFS('Data - Control'!$F$5:$F$296,'Data - Control'!$A$5:$A$296,$A73,'Data - Control'!$B$5:$B$296,$B73)</f>
        <v/>
      </c>
      <c r="G73" s="36">
        <f>SUMIFS('Data - Control'!$G$5:$G$296,'Data - Control'!$A$5:$A$296,$A73,'Data - Control'!$B$5:$B$296,$B73)</f>
        <v/>
      </c>
      <c r="H73" s="36">
        <f>SUMIFS('Data - Control'!$H$5:$H$296,'Data - Control'!$A$5:$A$296,$A73,'Data - Control'!$B$5:$B$296,$B73)</f>
        <v/>
      </c>
      <c r="I73" s="49">
        <f>IFERROR($G73/$C73,0)</f>
        <v/>
      </c>
      <c r="J73" s="49">
        <f>IFERROR($H73/$D73,0)</f>
        <v/>
      </c>
      <c r="K73" s="36">
        <f>$D73*$I73</f>
        <v/>
      </c>
      <c r="L73" s="36">
        <f>$D73*($J73-$I73)</f>
        <v/>
      </c>
      <c r="M73" s="44">
        <f>IFERROR($D73/$C73-1,"")</f>
        <v/>
      </c>
    </row>
    <row r="74">
      <c r="A74" s="41" t="inlineStr">
        <is>
          <t>Evil Genius</t>
        </is>
      </c>
      <c r="B74" s="41" t="inlineStr">
        <is>
          <t>Evil Genius</t>
        </is>
      </c>
      <c r="C74" s="33">
        <f>SUMIFS('Data - Control'!$C$5:$C$296,'Data - Control'!$A$5:$A$296,$A74,'Data - Control'!$B$5:$B$296,$B74)</f>
        <v/>
      </c>
      <c r="D74" s="33">
        <f>SUMIFS('Data - Control'!$D$5:$D$296,'Data - Control'!$A$5:$A$296,$A74,'Data - Control'!$B$5:$B$296,$B74)</f>
        <v/>
      </c>
      <c r="E74" s="36">
        <f>SUMIFS('Data - Control'!$E$5:$E$296,'Data - Control'!$A$5:$A$296,$A74,'Data - Control'!$B$5:$B$296,$B74)</f>
        <v/>
      </c>
      <c r="F74" s="36">
        <f>SUMIFS('Data - Control'!$F$5:$F$296,'Data - Control'!$A$5:$A$296,$A74,'Data - Control'!$B$5:$B$296,$B74)</f>
        <v/>
      </c>
      <c r="G74" s="36">
        <f>SUMIFS('Data - Control'!$G$5:$G$296,'Data - Control'!$A$5:$A$296,$A74,'Data - Control'!$B$5:$B$296,$B74)</f>
        <v/>
      </c>
      <c r="H74" s="36">
        <f>SUMIFS('Data - Control'!$H$5:$H$296,'Data - Control'!$A$5:$A$296,$A74,'Data - Control'!$B$5:$B$296,$B74)</f>
        <v/>
      </c>
      <c r="I74" s="49">
        <f>IFERROR($G74/$C74,0)</f>
        <v/>
      </c>
      <c r="J74" s="49">
        <f>IFERROR($H74/$D74,0)</f>
        <v/>
      </c>
      <c r="K74" s="36">
        <f>$D74*$I74</f>
        <v/>
      </c>
      <c r="L74" s="36">
        <f>$D74*($J74-$I74)</f>
        <v/>
      </c>
      <c r="M74" s="44">
        <f>IFERROR($D74/$C74-1,"")</f>
        <v/>
      </c>
    </row>
    <row r="75">
      <c r="A75" s="41" t="inlineStr">
        <is>
          <t>FIFCO</t>
        </is>
      </c>
      <c r="B75" s="41" t="inlineStr">
        <is>
          <t>Genesee</t>
        </is>
      </c>
      <c r="C75" s="33">
        <f>SUMIFS('Data - Control'!$C$5:$C$296,'Data - Control'!$A$5:$A$296,$A75,'Data - Control'!$B$5:$B$296,$B75)</f>
        <v/>
      </c>
      <c r="D75" s="33">
        <f>SUMIFS('Data - Control'!$D$5:$D$296,'Data - Control'!$A$5:$A$296,$A75,'Data - Control'!$B$5:$B$296,$B75)</f>
        <v/>
      </c>
      <c r="E75" s="36">
        <f>SUMIFS('Data - Control'!$E$5:$E$296,'Data - Control'!$A$5:$A$296,$A75,'Data - Control'!$B$5:$B$296,$B75)</f>
        <v/>
      </c>
      <c r="F75" s="36">
        <f>SUMIFS('Data - Control'!$F$5:$F$296,'Data - Control'!$A$5:$A$296,$A75,'Data - Control'!$B$5:$B$296,$B75)</f>
        <v/>
      </c>
      <c r="G75" s="36">
        <f>SUMIFS('Data - Control'!$G$5:$G$296,'Data - Control'!$A$5:$A$296,$A75,'Data - Control'!$B$5:$B$296,$B75)</f>
        <v/>
      </c>
      <c r="H75" s="36">
        <f>SUMIFS('Data - Control'!$H$5:$H$296,'Data - Control'!$A$5:$A$296,$A75,'Data - Control'!$B$5:$B$296,$B75)</f>
        <v/>
      </c>
      <c r="I75" s="49">
        <f>IFERROR($G75/$C75,0)</f>
        <v/>
      </c>
      <c r="J75" s="49">
        <f>IFERROR($H75/$D75,0)</f>
        <v/>
      </c>
      <c r="K75" s="36">
        <f>$D75*$I75</f>
        <v/>
      </c>
      <c r="L75" s="36">
        <f>$D75*($J75-$I75)</f>
        <v/>
      </c>
      <c r="M75" s="44">
        <f>IFERROR($D75/$C75-1,"")</f>
        <v/>
      </c>
    </row>
    <row r="76">
      <c r="A76" s="41" t="inlineStr">
        <is>
          <t>FIFCO</t>
        </is>
      </c>
      <c r="B76" s="41" t="inlineStr">
        <is>
          <t>Imperial</t>
        </is>
      </c>
      <c r="C76" s="33">
        <f>SUMIFS('Data - Control'!$C$5:$C$296,'Data - Control'!$A$5:$A$296,$A76,'Data - Control'!$B$5:$B$296,$B76)</f>
        <v/>
      </c>
      <c r="D76" s="33">
        <f>SUMIFS('Data - Control'!$D$5:$D$296,'Data - Control'!$A$5:$A$296,$A76,'Data - Control'!$B$5:$B$296,$B76)</f>
        <v/>
      </c>
      <c r="E76" s="36">
        <f>SUMIFS('Data - Control'!$E$5:$E$296,'Data - Control'!$A$5:$A$296,$A76,'Data - Control'!$B$5:$B$296,$B76)</f>
        <v/>
      </c>
      <c r="F76" s="36">
        <f>SUMIFS('Data - Control'!$F$5:$F$296,'Data - Control'!$A$5:$A$296,$A76,'Data - Control'!$B$5:$B$296,$B76)</f>
        <v/>
      </c>
      <c r="G76" s="36">
        <f>SUMIFS('Data - Control'!$G$5:$G$296,'Data - Control'!$A$5:$A$296,$A76,'Data - Control'!$B$5:$B$296,$B76)</f>
        <v/>
      </c>
      <c r="H76" s="36">
        <f>SUMIFS('Data - Control'!$H$5:$H$296,'Data - Control'!$A$5:$A$296,$A76,'Data - Control'!$B$5:$B$296,$B76)</f>
        <v/>
      </c>
      <c r="I76" s="49">
        <f>IFERROR($G76/$C76,0)</f>
        <v/>
      </c>
      <c r="J76" s="49">
        <f>IFERROR($H76/$D76,0)</f>
        <v/>
      </c>
      <c r="K76" s="36">
        <f>$D76*$I76</f>
        <v/>
      </c>
      <c r="L76" s="36">
        <f>$D76*($J76-$I76)</f>
        <v/>
      </c>
      <c r="M76" s="44">
        <f>IFERROR($D76/$C76-1,"")</f>
        <v/>
      </c>
    </row>
    <row r="77">
      <c r="A77" s="41" t="inlineStr">
        <is>
          <t>FX Matt</t>
        </is>
      </c>
      <c r="B77" s="41" t="inlineStr">
        <is>
          <t>Flying Dog Brewing Co</t>
        </is>
      </c>
      <c r="C77" s="33">
        <f>SUMIFS('Data - Control'!$C$5:$C$296,'Data - Control'!$A$5:$A$296,$A77,'Data - Control'!$B$5:$B$296,$B77)</f>
        <v/>
      </c>
      <c r="D77" s="33">
        <f>SUMIFS('Data - Control'!$D$5:$D$296,'Data - Control'!$A$5:$A$296,$A77,'Data - Control'!$B$5:$B$296,$B77)</f>
        <v/>
      </c>
      <c r="E77" s="36">
        <f>SUMIFS('Data - Control'!$E$5:$E$296,'Data - Control'!$A$5:$A$296,$A77,'Data - Control'!$B$5:$B$296,$B77)</f>
        <v/>
      </c>
      <c r="F77" s="36">
        <f>SUMIFS('Data - Control'!$F$5:$F$296,'Data - Control'!$A$5:$A$296,$A77,'Data - Control'!$B$5:$B$296,$B77)</f>
        <v/>
      </c>
      <c r="G77" s="36">
        <f>SUMIFS('Data - Control'!$G$5:$G$296,'Data - Control'!$A$5:$A$296,$A77,'Data - Control'!$B$5:$B$296,$B77)</f>
        <v/>
      </c>
      <c r="H77" s="36">
        <f>SUMIFS('Data - Control'!$H$5:$H$296,'Data - Control'!$A$5:$A$296,$A77,'Data - Control'!$B$5:$B$296,$B77)</f>
        <v/>
      </c>
      <c r="I77" s="49">
        <f>IFERROR($G77/$C77,0)</f>
        <v/>
      </c>
      <c r="J77" s="49">
        <f>IFERROR($H77/$D77,0)</f>
        <v/>
      </c>
      <c r="K77" s="36">
        <f>$D77*$I77</f>
        <v/>
      </c>
      <c r="L77" s="36">
        <f>$D77*($J77-$I77)</f>
        <v/>
      </c>
      <c r="M77" s="44">
        <f>IFERROR($D77/$C77-1,"")</f>
        <v/>
      </c>
    </row>
    <row r="78">
      <c r="A78" s="41" t="inlineStr">
        <is>
          <t>FX Matt</t>
        </is>
      </c>
      <c r="B78" s="41" t="inlineStr">
        <is>
          <t>Friday Beers</t>
        </is>
      </c>
      <c r="C78" s="33">
        <f>SUMIFS('Data - Control'!$C$5:$C$296,'Data - Control'!$A$5:$A$296,$A78,'Data - Control'!$B$5:$B$296,$B78)</f>
        <v/>
      </c>
      <c r="D78" s="33">
        <f>SUMIFS('Data - Control'!$D$5:$D$296,'Data - Control'!$A$5:$A$296,$A78,'Data - Control'!$B$5:$B$296,$B78)</f>
        <v/>
      </c>
      <c r="E78" s="36">
        <f>SUMIFS('Data - Control'!$E$5:$E$296,'Data - Control'!$A$5:$A$296,$A78,'Data - Control'!$B$5:$B$296,$B78)</f>
        <v/>
      </c>
      <c r="F78" s="36">
        <f>SUMIFS('Data - Control'!$F$5:$F$296,'Data - Control'!$A$5:$A$296,$A78,'Data - Control'!$B$5:$B$296,$B78)</f>
        <v/>
      </c>
      <c r="G78" s="36">
        <f>SUMIFS('Data - Control'!$G$5:$G$296,'Data - Control'!$A$5:$A$296,$A78,'Data - Control'!$B$5:$B$296,$B78)</f>
        <v/>
      </c>
      <c r="H78" s="36">
        <f>SUMIFS('Data - Control'!$H$5:$H$296,'Data - Control'!$A$5:$A$296,$A78,'Data - Control'!$B$5:$B$296,$B78)</f>
        <v/>
      </c>
      <c r="I78" s="49">
        <f>IFERROR($G78/$C78,0)</f>
        <v/>
      </c>
      <c r="J78" s="49">
        <f>IFERROR($H78/$D78,0)</f>
        <v/>
      </c>
      <c r="K78" s="36">
        <f>$D78*$I78</f>
        <v/>
      </c>
      <c r="L78" s="36">
        <f>$D78*($J78-$I78)</f>
        <v/>
      </c>
      <c r="M78" s="44">
        <f>IFERROR($D78/$C78-1,"")</f>
        <v/>
      </c>
    </row>
    <row r="79">
      <c r="A79" s="41" t="inlineStr">
        <is>
          <t>FX Matt</t>
        </is>
      </c>
      <c r="B79" s="41" t="inlineStr">
        <is>
          <t>Kingfisher Premium</t>
        </is>
      </c>
      <c r="C79" s="33">
        <f>SUMIFS('Data - Control'!$C$5:$C$296,'Data - Control'!$A$5:$A$296,$A79,'Data - Control'!$B$5:$B$296,$B79)</f>
        <v/>
      </c>
      <c r="D79" s="33">
        <f>SUMIFS('Data - Control'!$D$5:$D$296,'Data - Control'!$A$5:$A$296,$A79,'Data - Control'!$B$5:$B$296,$B79)</f>
        <v/>
      </c>
      <c r="E79" s="36">
        <f>SUMIFS('Data - Control'!$E$5:$E$296,'Data - Control'!$A$5:$A$296,$A79,'Data - Control'!$B$5:$B$296,$B79)</f>
        <v/>
      </c>
      <c r="F79" s="36">
        <f>SUMIFS('Data - Control'!$F$5:$F$296,'Data - Control'!$A$5:$A$296,$A79,'Data - Control'!$B$5:$B$296,$B79)</f>
        <v/>
      </c>
      <c r="G79" s="36">
        <f>SUMIFS('Data - Control'!$G$5:$G$296,'Data - Control'!$A$5:$A$296,$A79,'Data - Control'!$B$5:$B$296,$B79)</f>
        <v/>
      </c>
      <c r="H79" s="36">
        <f>SUMIFS('Data - Control'!$H$5:$H$296,'Data - Control'!$A$5:$A$296,$A79,'Data - Control'!$B$5:$B$296,$B79)</f>
        <v/>
      </c>
      <c r="I79" s="49">
        <f>IFERROR($G79/$C79,0)</f>
        <v/>
      </c>
      <c r="J79" s="49">
        <f>IFERROR($H79/$D79,0)</f>
        <v/>
      </c>
      <c r="K79" s="36">
        <f>$D79*$I79</f>
        <v/>
      </c>
      <c r="L79" s="36">
        <f>$D79*($J79-$I79)</f>
        <v/>
      </c>
      <c r="M79" s="44">
        <f>IFERROR($D79/$C79-1,"")</f>
        <v/>
      </c>
    </row>
    <row r="80">
      <c r="A80" s="41" t="inlineStr">
        <is>
          <t>FX Matt</t>
        </is>
      </c>
      <c r="B80" s="41" t="inlineStr">
        <is>
          <t>Mckenzie's</t>
        </is>
      </c>
      <c r="C80" s="33">
        <f>SUMIFS('Data - Control'!$C$5:$C$296,'Data - Control'!$A$5:$A$296,$A80,'Data - Control'!$B$5:$B$296,$B80)</f>
        <v/>
      </c>
      <c r="D80" s="33">
        <f>SUMIFS('Data - Control'!$D$5:$D$296,'Data - Control'!$A$5:$A$296,$A80,'Data - Control'!$B$5:$B$296,$B80)</f>
        <v/>
      </c>
      <c r="E80" s="36">
        <f>SUMIFS('Data - Control'!$E$5:$E$296,'Data - Control'!$A$5:$A$296,$A80,'Data - Control'!$B$5:$B$296,$B80)</f>
        <v/>
      </c>
      <c r="F80" s="36">
        <f>SUMIFS('Data - Control'!$F$5:$F$296,'Data - Control'!$A$5:$A$296,$A80,'Data - Control'!$B$5:$B$296,$B80)</f>
        <v/>
      </c>
      <c r="G80" s="36">
        <f>SUMIFS('Data - Control'!$G$5:$G$296,'Data - Control'!$A$5:$A$296,$A80,'Data - Control'!$B$5:$B$296,$B80)</f>
        <v/>
      </c>
      <c r="H80" s="36">
        <f>SUMIFS('Data - Control'!$H$5:$H$296,'Data - Control'!$A$5:$A$296,$A80,'Data - Control'!$B$5:$B$296,$B80)</f>
        <v/>
      </c>
      <c r="I80" s="49">
        <f>IFERROR($G80/$C80,0)</f>
        <v/>
      </c>
      <c r="J80" s="49">
        <f>IFERROR($H80/$D80,0)</f>
        <v/>
      </c>
      <c r="K80" s="36">
        <f>$D80*$I80</f>
        <v/>
      </c>
      <c r="L80" s="36">
        <f>$D80*($J80-$I80)</f>
        <v/>
      </c>
      <c r="M80" s="44">
        <f>IFERROR($D80/$C80-1,"")</f>
        <v/>
      </c>
    </row>
    <row r="81">
      <c r="A81" s="41" t="inlineStr">
        <is>
          <t>FX Matt</t>
        </is>
      </c>
      <c r="B81" s="41" t="inlineStr">
        <is>
          <t>Right Coast</t>
        </is>
      </c>
      <c r="C81" s="33">
        <f>SUMIFS('Data - Control'!$C$5:$C$296,'Data - Control'!$A$5:$A$296,$A81,'Data - Control'!$B$5:$B$296,$B81)</f>
        <v/>
      </c>
      <c r="D81" s="33">
        <f>SUMIFS('Data - Control'!$D$5:$D$296,'Data - Control'!$A$5:$A$296,$A81,'Data - Control'!$B$5:$B$296,$B81)</f>
        <v/>
      </c>
      <c r="E81" s="36">
        <f>SUMIFS('Data - Control'!$E$5:$E$296,'Data - Control'!$A$5:$A$296,$A81,'Data - Control'!$B$5:$B$296,$B81)</f>
        <v/>
      </c>
      <c r="F81" s="36">
        <f>SUMIFS('Data - Control'!$F$5:$F$296,'Data - Control'!$A$5:$A$296,$A81,'Data - Control'!$B$5:$B$296,$B81)</f>
        <v/>
      </c>
      <c r="G81" s="36">
        <f>SUMIFS('Data - Control'!$G$5:$G$296,'Data - Control'!$A$5:$A$296,$A81,'Data - Control'!$B$5:$B$296,$B81)</f>
        <v/>
      </c>
      <c r="H81" s="36">
        <f>SUMIFS('Data - Control'!$H$5:$H$296,'Data - Control'!$A$5:$A$296,$A81,'Data - Control'!$B$5:$B$296,$B81)</f>
        <v/>
      </c>
      <c r="I81" s="49">
        <f>IFERROR($G81/$C81,0)</f>
        <v/>
      </c>
      <c r="J81" s="49">
        <f>IFERROR($H81/$D81,0)</f>
        <v/>
      </c>
      <c r="K81" s="36">
        <f>$D81*$I81</f>
        <v/>
      </c>
      <c r="L81" s="36">
        <f>$D81*($J81-$I81)</f>
        <v/>
      </c>
      <c r="M81" s="44">
        <f>IFERROR($D81/$C81-1,"")</f>
        <v/>
      </c>
    </row>
    <row r="82">
      <c r="A82" s="41" t="inlineStr">
        <is>
          <t>FX Matt</t>
        </is>
      </c>
      <c r="B82" s="41" t="inlineStr">
        <is>
          <t>Saranac</t>
        </is>
      </c>
      <c r="C82" s="33">
        <f>SUMIFS('Data - Control'!$C$5:$C$296,'Data - Control'!$A$5:$A$296,$A82,'Data - Control'!$B$5:$B$296,$B82)</f>
        <v/>
      </c>
      <c r="D82" s="33">
        <f>SUMIFS('Data - Control'!$D$5:$D$296,'Data - Control'!$A$5:$A$296,$A82,'Data - Control'!$B$5:$B$296,$B82)</f>
        <v/>
      </c>
      <c r="E82" s="36">
        <f>SUMIFS('Data - Control'!$E$5:$E$296,'Data - Control'!$A$5:$A$296,$A82,'Data - Control'!$B$5:$B$296,$B82)</f>
        <v/>
      </c>
      <c r="F82" s="36">
        <f>SUMIFS('Data - Control'!$F$5:$F$296,'Data - Control'!$A$5:$A$296,$A82,'Data - Control'!$B$5:$B$296,$B82)</f>
        <v/>
      </c>
      <c r="G82" s="36">
        <f>SUMIFS('Data - Control'!$G$5:$G$296,'Data - Control'!$A$5:$A$296,$A82,'Data - Control'!$B$5:$B$296,$B82)</f>
        <v/>
      </c>
      <c r="H82" s="36">
        <f>SUMIFS('Data - Control'!$H$5:$H$296,'Data - Control'!$A$5:$A$296,$A82,'Data - Control'!$B$5:$B$296,$B82)</f>
        <v/>
      </c>
      <c r="I82" s="49">
        <f>IFERROR($G82/$C82,0)</f>
        <v/>
      </c>
      <c r="J82" s="49">
        <f>IFERROR($H82/$D82,0)</f>
        <v/>
      </c>
      <c r="K82" s="36">
        <f>$D82*$I82</f>
        <v/>
      </c>
      <c r="L82" s="36">
        <f>$D82*($J82-$I82)</f>
        <v/>
      </c>
      <c r="M82" s="44">
        <f>IFERROR($D82/$C82-1,"")</f>
        <v/>
      </c>
    </row>
    <row r="83">
      <c r="A83" s="41" t="inlineStr">
        <is>
          <t>Famosa</t>
        </is>
      </c>
      <c r="B83" s="41" t="inlineStr">
        <is>
          <t>Famosa</t>
        </is>
      </c>
      <c r="C83" s="33">
        <f>SUMIFS('Data - Control'!$C$5:$C$296,'Data - Control'!$A$5:$A$296,$A83,'Data - Control'!$B$5:$B$296,$B83)</f>
        <v/>
      </c>
      <c r="D83" s="33">
        <f>SUMIFS('Data - Control'!$D$5:$D$296,'Data - Control'!$A$5:$A$296,$A83,'Data - Control'!$B$5:$B$296,$B83)</f>
        <v/>
      </c>
      <c r="E83" s="36">
        <f>SUMIFS('Data - Control'!$E$5:$E$296,'Data - Control'!$A$5:$A$296,$A83,'Data - Control'!$B$5:$B$296,$B83)</f>
        <v/>
      </c>
      <c r="F83" s="36">
        <f>SUMIFS('Data - Control'!$F$5:$F$296,'Data - Control'!$A$5:$A$296,$A83,'Data - Control'!$B$5:$B$296,$B83)</f>
        <v/>
      </c>
      <c r="G83" s="36">
        <f>SUMIFS('Data - Control'!$G$5:$G$296,'Data - Control'!$A$5:$A$296,$A83,'Data - Control'!$B$5:$B$296,$B83)</f>
        <v/>
      </c>
      <c r="H83" s="36">
        <f>SUMIFS('Data - Control'!$H$5:$H$296,'Data - Control'!$A$5:$A$296,$A83,'Data - Control'!$B$5:$B$296,$B83)</f>
        <v/>
      </c>
      <c r="I83" s="49">
        <f>IFERROR($G83/$C83,0)</f>
        <v/>
      </c>
      <c r="J83" s="49">
        <f>IFERROR($H83/$D83,0)</f>
        <v/>
      </c>
      <c r="K83" s="36">
        <f>$D83*$I83</f>
        <v/>
      </c>
      <c r="L83" s="36">
        <f>$D83*($J83-$I83)</f>
        <v/>
      </c>
      <c r="M83" s="44">
        <f>IFERROR($D83/$C83-1,"")</f>
        <v/>
      </c>
    </row>
    <row r="84">
      <c r="A84" s="41" t="inlineStr">
        <is>
          <t>Famosa</t>
        </is>
      </c>
      <c r="B84" s="41" t="inlineStr">
        <is>
          <t>Monte Carlo</t>
        </is>
      </c>
      <c r="C84" s="33">
        <f>SUMIFS('Data - Control'!$C$5:$C$296,'Data - Control'!$A$5:$A$296,$A84,'Data - Control'!$B$5:$B$296,$B84)</f>
        <v/>
      </c>
      <c r="D84" s="33">
        <f>SUMIFS('Data - Control'!$D$5:$D$296,'Data - Control'!$A$5:$A$296,$A84,'Data - Control'!$B$5:$B$296,$B84)</f>
        <v/>
      </c>
      <c r="E84" s="36">
        <f>SUMIFS('Data - Control'!$E$5:$E$296,'Data - Control'!$A$5:$A$296,$A84,'Data - Control'!$B$5:$B$296,$B84)</f>
        <v/>
      </c>
      <c r="F84" s="36">
        <f>SUMIFS('Data - Control'!$F$5:$F$296,'Data - Control'!$A$5:$A$296,$A84,'Data - Control'!$B$5:$B$296,$B84)</f>
        <v/>
      </c>
      <c r="G84" s="36">
        <f>SUMIFS('Data - Control'!$G$5:$G$296,'Data - Control'!$A$5:$A$296,$A84,'Data - Control'!$B$5:$B$296,$B84)</f>
        <v/>
      </c>
      <c r="H84" s="36">
        <f>SUMIFS('Data - Control'!$H$5:$H$296,'Data - Control'!$A$5:$A$296,$A84,'Data - Control'!$B$5:$B$296,$B84)</f>
        <v/>
      </c>
      <c r="I84" s="49">
        <f>IFERROR($G84/$C84,0)</f>
        <v/>
      </c>
      <c r="J84" s="49">
        <f>IFERROR($H84/$D84,0)</f>
        <v/>
      </c>
      <c r="K84" s="36">
        <f>$D84*$I84</f>
        <v/>
      </c>
      <c r="L84" s="36">
        <f>$D84*($J84-$I84)</f>
        <v/>
      </c>
      <c r="M84" s="44">
        <f>IFERROR($D84/$C84-1,"")</f>
        <v/>
      </c>
    </row>
    <row r="85">
      <c r="A85" s="41" t="inlineStr">
        <is>
          <t>Flying Fish</t>
        </is>
      </c>
      <c r="B85" s="41" t="inlineStr">
        <is>
          <t>Big Mans Brew</t>
        </is>
      </c>
      <c r="C85" s="33">
        <f>SUMIFS('Data - Control'!$C$5:$C$296,'Data - Control'!$A$5:$A$296,$A85,'Data - Control'!$B$5:$B$296,$B85)</f>
        <v/>
      </c>
      <c r="D85" s="33">
        <f>SUMIFS('Data - Control'!$D$5:$D$296,'Data - Control'!$A$5:$A$296,$A85,'Data - Control'!$B$5:$B$296,$B85)</f>
        <v/>
      </c>
      <c r="E85" s="36">
        <f>SUMIFS('Data - Control'!$E$5:$E$296,'Data - Control'!$A$5:$A$296,$A85,'Data - Control'!$B$5:$B$296,$B85)</f>
        <v/>
      </c>
      <c r="F85" s="36">
        <f>SUMIFS('Data - Control'!$F$5:$F$296,'Data - Control'!$A$5:$A$296,$A85,'Data - Control'!$B$5:$B$296,$B85)</f>
        <v/>
      </c>
      <c r="G85" s="36">
        <f>SUMIFS('Data - Control'!$G$5:$G$296,'Data - Control'!$A$5:$A$296,$A85,'Data - Control'!$B$5:$B$296,$B85)</f>
        <v/>
      </c>
      <c r="H85" s="36">
        <f>SUMIFS('Data - Control'!$H$5:$H$296,'Data - Control'!$A$5:$A$296,$A85,'Data - Control'!$B$5:$B$296,$B85)</f>
        <v/>
      </c>
      <c r="I85" s="49">
        <f>IFERROR($G85/$C85,0)</f>
        <v/>
      </c>
      <c r="J85" s="49">
        <f>IFERROR($H85/$D85,0)</f>
        <v/>
      </c>
      <c r="K85" s="36">
        <f>$D85*$I85</f>
        <v/>
      </c>
      <c r="L85" s="36">
        <f>$D85*($J85-$I85)</f>
        <v/>
      </c>
      <c r="M85" s="44">
        <f>IFERROR($D85/$C85-1,"")</f>
        <v/>
      </c>
    </row>
    <row r="86">
      <c r="A86" s="41" t="inlineStr">
        <is>
          <t>Flying Fish</t>
        </is>
      </c>
      <c r="B86" s="41" t="inlineStr">
        <is>
          <t>Flying Fish</t>
        </is>
      </c>
      <c r="C86" s="33">
        <f>SUMIFS('Data - Control'!$C$5:$C$296,'Data - Control'!$A$5:$A$296,$A86,'Data - Control'!$B$5:$B$296,$B86)</f>
        <v/>
      </c>
      <c r="D86" s="33">
        <f>SUMIFS('Data - Control'!$D$5:$D$296,'Data - Control'!$A$5:$A$296,$A86,'Data - Control'!$B$5:$B$296,$B86)</f>
        <v/>
      </c>
      <c r="E86" s="36">
        <f>SUMIFS('Data - Control'!$E$5:$E$296,'Data - Control'!$A$5:$A$296,$A86,'Data - Control'!$B$5:$B$296,$B86)</f>
        <v/>
      </c>
      <c r="F86" s="36">
        <f>SUMIFS('Data - Control'!$F$5:$F$296,'Data - Control'!$A$5:$A$296,$A86,'Data - Control'!$B$5:$B$296,$B86)</f>
        <v/>
      </c>
      <c r="G86" s="36">
        <f>SUMIFS('Data - Control'!$G$5:$G$296,'Data - Control'!$A$5:$A$296,$A86,'Data - Control'!$B$5:$B$296,$B86)</f>
        <v/>
      </c>
      <c r="H86" s="36">
        <f>SUMIFS('Data - Control'!$H$5:$H$296,'Data - Control'!$A$5:$A$296,$A86,'Data - Control'!$B$5:$B$296,$B86)</f>
        <v/>
      </c>
      <c r="I86" s="49">
        <f>IFERROR($G86/$C86,0)</f>
        <v/>
      </c>
      <c r="J86" s="49">
        <f>IFERROR($H86/$D86,0)</f>
        <v/>
      </c>
      <c r="K86" s="36">
        <f>$D86*$I86</f>
        <v/>
      </c>
      <c r="L86" s="36">
        <f>$D86*($J86-$I86)</f>
        <v/>
      </c>
      <c r="M86" s="44">
        <f>IFERROR($D86/$C86-1,"")</f>
        <v/>
      </c>
    </row>
    <row r="87">
      <c r="A87" s="41" t="inlineStr">
        <is>
          <t>Food &amp; Bev Enterprise LLC</t>
        </is>
      </c>
      <c r="B87" s="41" t="inlineStr">
        <is>
          <t>Aguila Import</t>
        </is>
      </c>
      <c r="C87" s="33">
        <f>SUMIFS('Data - Control'!$C$5:$C$296,'Data - Control'!$A$5:$A$296,$A87,'Data - Control'!$B$5:$B$296,$B87)</f>
        <v/>
      </c>
      <c r="D87" s="33">
        <f>SUMIFS('Data - Control'!$D$5:$D$296,'Data - Control'!$A$5:$A$296,$A87,'Data - Control'!$B$5:$B$296,$B87)</f>
        <v/>
      </c>
      <c r="E87" s="36">
        <f>SUMIFS('Data - Control'!$E$5:$E$296,'Data - Control'!$A$5:$A$296,$A87,'Data - Control'!$B$5:$B$296,$B87)</f>
        <v/>
      </c>
      <c r="F87" s="36">
        <f>SUMIFS('Data - Control'!$F$5:$F$296,'Data - Control'!$A$5:$A$296,$A87,'Data - Control'!$B$5:$B$296,$B87)</f>
        <v/>
      </c>
      <c r="G87" s="36">
        <f>SUMIFS('Data - Control'!$G$5:$G$296,'Data - Control'!$A$5:$A$296,$A87,'Data - Control'!$B$5:$B$296,$B87)</f>
        <v/>
      </c>
      <c r="H87" s="36">
        <f>SUMIFS('Data - Control'!$H$5:$H$296,'Data - Control'!$A$5:$A$296,$A87,'Data - Control'!$B$5:$B$296,$B87)</f>
        <v/>
      </c>
      <c r="I87" s="49">
        <f>IFERROR($G87/$C87,0)</f>
        <v/>
      </c>
      <c r="J87" s="49">
        <f>IFERROR($H87/$D87,0)</f>
        <v/>
      </c>
      <c r="K87" s="36">
        <f>$D87*$I87</f>
        <v/>
      </c>
      <c r="L87" s="36">
        <f>$D87*($J87-$I87)</f>
        <v/>
      </c>
      <c r="M87" s="44">
        <f>IFERROR($D87/$C87-1,"")</f>
        <v/>
      </c>
    </row>
    <row r="88">
      <c r="A88" s="41" t="inlineStr">
        <is>
          <t>Food &amp; Bev Enterprise LLC</t>
        </is>
      </c>
      <c r="B88" s="41" t="inlineStr">
        <is>
          <t>Costenita</t>
        </is>
      </c>
      <c r="C88" s="33">
        <f>SUMIFS('Data - Control'!$C$5:$C$296,'Data - Control'!$A$5:$A$296,$A88,'Data - Control'!$B$5:$B$296,$B88)</f>
        <v/>
      </c>
      <c r="D88" s="33">
        <f>SUMIFS('Data - Control'!$D$5:$D$296,'Data - Control'!$A$5:$A$296,$A88,'Data - Control'!$B$5:$B$296,$B88)</f>
        <v/>
      </c>
      <c r="E88" s="36">
        <f>SUMIFS('Data - Control'!$E$5:$E$296,'Data - Control'!$A$5:$A$296,$A88,'Data - Control'!$B$5:$B$296,$B88)</f>
        <v/>
      </c>
      <c r="F88" s="36">
        <f>SUMIFS('Data - Control'!$F$5:$F$296,'Data - Control'!$A$5:$A$296,$A88,'Data - Control'!$B$5:$B$296,$B88)</f>
        <v/>
      </c>
      <c r="G88" s="36">
        <f>SUMIFS('Data - Control'!$G$5:$G$296,'Data - Control'!$A$5:$A$296,$A88,'Data - Control'!$B$5:$B$296,$B88)</f>
        <v/>
      </c>
      <c r="H88" s="36">
        <f>SUMIFS('Data - Control'!$H$5:$H$296,'Data - Control'!$A$5:$A$296,$A88,'Data - Control'!$B$5:$B$296,$B88)</f>
        <v/>
      </c>
      <c r="I88" s="49">
        <f>IFERROR($G88/$C88,0)</f>
        <v/>
      </c>
      <c r="J88" s="49">
        <f>IFERROR($H88/$D88,0)</f>
        <v/>
      </c>
      <c r="K88" s="36">
        <f>$D88*$I88</f>
        <v/>
      </c>
      <c r="L88" s="36">
        <f>$D88*($J88-$I88)</f>
        <v/>
      </c>
      <c r="M88" s="44">
        <f>IFERROR($D88/$C88-1,"")</f>
        <v/>
      </c>
    </row>
    <row r="89">
      <c r="A89" s="41" t="inlineStr">
        <is>
          <t>Food &amp; Bev Enterprise LLC</t>
        </is>
      </c>
      <c r="B89" s="41" t="inlineStr">
        <is>
          <t>Food &amp; Bev</t>
        </is>
      </c>
      <c r="C89" s="33">
        <f>SUMIFS('Data - Control'!$C$5:$C$296,'Data - Control'!$A$5:$A$296,$A89,'Data - Control'!$B$5:$B$296,$B89)</f>
        <v/>
      </c>
      <c r="D89" s="33">
        <f>SUMIFS('Data - Control'!$D$5:$D$296,'Data - Control'!$A$5:$A$296,$A89,'Data - Control'!$B$5:$B$296,$B89)</f>
        <v/>
      </c>
      <c r="E89" s="36">
        <f>SUMIFS('Data - Control'!$E$5:$E$296,'Data - Control'!$A$5:$A$296,$A89,'Data - Control'!$B$5:$B$296,$B89)</f>
        <v/>
      </c>
      <c r="F89" s="36">
        <f>SUMIFS('Data - Control'!$F$5:$F$296,'Data - Control'!$A$5:$A$296,$A89,'Data - Control'!$B$5:$B$296,$B89)</f>
        <v/>
      </c>
      <c r="G89" s="36">
        <f>SUMIFS('Data - Control'!$G$5:$G$296,'Data - Control'!$A$5:$A$296,$A89,'Data - Control'!$B$5:$B$296,$B89)</f>
        <v/>
      </c>
      <c r="H89" s="36">
        <f>SUMIFS('Data - Control'!$H$5:$H$296,'Data - Control'!$A$5:$A$296,$A89,'Data - Control'!$B$5:$B$296,$B89)</f>
        <v/>
      </c>
      <c r="I89" s="49">
        <f>IFERROR($G89/$C89,0)</f>
        <v/>
      </c>
      <c r="J89" s="49">
        <f>IFERROR($H89/$D89,0)</f>
        <v/>
      </c>
      <c r="K89" s="36">
        <f>$D89*$I89</f>
        <v/>
      </c>
      <c r="L89" s="36">
        <f>$D89*($J89-$I89)</f>
        <v/>
      </c>
      <c r="M89" s="44">
        <f>IFERROR($D89/$C89-1,"")</f>
        <v/>
      </c>
    </row>
    <row r="90">
      <c r="A90" s="41" t="inlineStr">
        <is>
          <t>Food &amp; Bev Enterprise LLC</t>
        </is>
      </c>
      <c r="B90" s="41" t="inlineStr">
        <is>
          <t>Poker Import</t>
        </is>
      </c>
      <c r="C90" s="33">
        <f>SUMIFS('Data - Control'!$C$5:$C$296,'Data - Control'!$A$5:$A$296,$A90,'Data - Control'!$B$5:$B$296,$B90)</f>
        <v/>
      </c>
      <c r="D90" s="33">
        <f>SUMIFS('Data - Control'!$D$5:$D$296,'Data - Control'!$A$5:$A$296,$A90,'Data - Control'!$B$5:$B$296,$B90)</f>
        <v/>
      </c>
      <c r="E90" s="36">
        <f>SUMIFS('Data - Control'!$E$5:$E$296,'Data - Control'!$A$5:$A$296,$A90,'Data - Control'!$B$5:$B$296,$B90)</f>
        <v/>
      </c>
      <c r="F90" s="36">
        <f>SUMIFS('Data - Control'!$F$5:$F$296,'Data - Control'!$A$5:$A$296,$A90,'Data - Control'!$B$5:$B$296,$B90)</f>
        <v/>
      </c>
      <c r="G90" s="36">
        <f>SUMIFS('Data - Control'!$G$5:$G$296,'Data - Control'!$A$5:$A$296,$A90,'Data - Control'!$B$5:$B$296,$B90)</f>
        <v/>
      </c>
      <c r="H90" s="36">
        <f>SUMIFS('Data - Control'!$H$5:$H$296,'Data - Control'!$A$5:$A$296,$A90,'Data - Control'!$B$5:$B$296,$B90)</f>
        <v/>
      </c>
      <c r="I90" s="49">
        <f>IFERROR($G90/$C90,0)</f>
        <v/>
      </c>
      <c r="J90" s="49">
        <f>IFERROR($H90/$D90,0)</f>
        <v/>
      </c>
      <c r="K90" s="36">
        <f>$D90*$I90</f>
        <v/>
      </c>
      <c r="L90" s="36">
        <f>$D90*($J90-$I90)</f>
        <v/>
      </c>
      <c r="M90" s="44">
        <f>IFERROR($D90/$C90-1,"")</f>
        <v/>
      </c>
    </row>
    <row r="91">
      <c r="A91" s="41" t="inlineStr">
        <is>
          <t>Forged Irish Stout</t>
        </is>
      </c>
      <c r="B91" s="41" t="inlineStr">
        <is>
          <t>Forged Irish Stout</t>
        </is>
      </c>
      <c r="C91" s="33">
        <f>SUMIFS('Data - Control'!$C$5:$C$296,'Data - Control'!$A$5:$A$296,$A91,'Data - Control'!$B$5:$B$296,$B91)</f>
        <v/>
      </c>
      <c r="D91" s="33">
        <f>SUMIFS('Data - Control'!$D$5:$D$296,'Data - Control'!$A$5:$A$296,$A91,'Data - Control'!$B$5:$B$296,$B91)</f>
        <v/>
      </c>
      <c r="E91" s="36">
        <f>SUMIFS('Data - Control'!$E$5:$E$296,'Data - Control'!$A$5:$A$296,$A91,'Data - Control'!$B$5:$B$296,$B91)</f>
        <v/>
      </c>
      <c r="F91" s="36">
        <f>SUMIFS('Data - Control'!$F$5:$F$296,'Data - Control'!$A$5:$A$296,$A91,'Data - Control'!$B$5:$B$296,$B91)</f>
        <v/>
      </c>
      <c r="G91" s="36">
        <f>SUMIFS('Data - Control'!$G$5:$G$296,'Data - Control'!$A$5:$A$296,$A91,'Data - Control'!$B$5:$B$296,$B91)</f>
        <v/>
      </c>
      <c r="H91" s="36">
        <f>SUMIFS('Data - Control'!$H$5:$H$296,'Data - Control'!$A$5:$A$296,$A91,'Data - Control'!$B$5:$B$296,$B91)</f>
        <v/>
      </c>
      <c r="I91" s="49">
        <f>IFERROR($G91/$C91,0)</f>
        <v/>
      </c>
      <c r="J91" s="49">
        <f>IFERROR($H91/$D91,0)</f>
        <v/>
      </c>
      <c r="K91" s="36">
        <f>$D91*$I91</f>
        <v/>
      </c>
      <c r="L91" s="36">
        <f>$D91*($J91-$I91)</f>
        <v/>
      </c>
      <c r="M91" s="44">
        <f>IFERROR($D91/$C91-1,"")</f>
        <v/>
      </c>
    </row>
    <row r="92">
      <c r="A92" s="41" t="inlineStr">
        <is>
          <t>GUSH INC</t>
        </is>
      </c>
      <c r="B92" s="41" t="inlineStr">
        <is>
          <t>Gush</t>
        </is>
      </c>
      <c r="C92" s="33">
        <f>SUMIFS('Data - Control'!$C$5:$C$296,'Data - Control'!$A$5:$A$296,$A92,'Data - Control'!$B$5:$B$296,$B92)</f>
        <v/>
      </c>
      <c r="D92" s="33">
        <f>SUMIFS('Data - Control'!$D$5:$D$296,'Data - Control'!$A$5:$A$296,$A92,'Data - Control'!$B$5:$B$296,$B92)</f>
        <v/>
      </c>
      <c r="E92" s="36">
        <f>SUMIFS('Data - Control'!$E$5:$E$296,'Data - Control'!$A$5:$A$296,$A92,'Data - Control'!$B$5:$B$296,$B92)</f>
        <v/>
      </c>
      <c r="F92" s="36">
        <f>SUMIFS('Data - Control'!$F$5:$F$296,'Data - Control'!$A$5:$A$296,$A92,'Data - Control'!$B$5:$B$296,$B92)</f>
        <v/>
      </c>
      <c r="G92" s="36">
        <f>SUMIFS('Data - Control'!$G$5:$G$296,'Data - Control'!$A$5:$A$296,$A92,'Data - Control'!$B$5:$B$296,$B92)</f>
        <v/>
      </c>
      <c r="H92" s="36">
        <f>SUMIFS('Data - Control'!$H$5:$H$296,'Data - Control'!$A$5:$A$296,$A92,'Data - Control'!$B$5:$B$296,$B92)</f>
        <v/>
      </c>
      <c r="I92" s="49">
        <f>IFERROR($G92/$C92,0)</f>
        <v/>
      </c>
      <c r="J92" s="49">
        <f>IFERROR($H92/$D92,0)</f>
        <v/>
      </c>
      <c r="K92" s="36">
        <f>$D92*$I92</f>
        <v/>
      </c>
      <c r="L92" s="36">
        <f>$D92*($J92-$I92)</f>
        <v/>
      </c>
      <c r="M92" s="44">
        <f>IFERROR($D92/$C92-1,"")</f>
        <v/>
      </c>
    </row>
    <row r="93">
      <c r="A93" s="41" t="inlineStr">
        <is>
          <t>Gambrinus Imports</t>
        </is>
      </c>
      <c r="B93" s="41" t="inlineStr">
        <is>
          <t>Shiner</t>
        </is>
      </c>
      <c r="C93" s="33">
        <f>SUMIFS('Data - Control'!$C$5:$C$296,'Data - Control'!$A$5:$A$296,$A93,'Data - Control'!$B$5:$B$296,$B93)</f>
        <v/>
      </c>
      <c r="D93" s="33">
        <f>SUMIFS('Data - Control'!$D$5:$D$296,'Data - Control'!$A$5:$A$296,$A93,'Data - Control'!$B$5:$B$296,$B93)</f>
        <v/>
      </c>
      <c r="E93" s="36">
        <f>SUMIFS('Data - Control'!$E$5:$E$296,'Data - Control'!$A$5:$A$296,$A93,'Data - Control'!$B$5:$B$296,$B93)</f>
        <v/>
      </c>
      <c r="F93" s="36">
        <f>SUMIFS('Data - Control'!$F$5:$F$296,'Data - Control'!$A$5:$A$296,$A93,'Data - Control'!$B$5:$B$296,$B93)</f>
        <v/>
      </c>
      <c r="G93" s="36">
        <f>SUMIFS('Data - Control'!$G$5:$G$296,'Data - Control'!$A$5:$A$296,$A93,'Data - Control'!$B$5:$B$296,$B93)</f>
        <v/>
      </c>
      <c r="H93" s="36">
        <f>SUMIFS('Data - Control'!$H$5:$H$296,'Data - Control'!$A$5:$A$296,$A93,'Data - Control'!$B$5:$B$296,$B93)</f>
        <v/>
      </c>
      <c r="I93" s="49">
        <f>IFERROR($G93/$C93,0)</f>
        <v/>
      </c>
      <c r="J93" s="49">
        <f>IFERROR($H93/$D93,0)</f>
        <v/>
      </c>
      <c r="K93" s="36">
        <f>$D93*$I93</f>
        <v/>
      </c>
      <c r="L93" s="36">
        <f>$D93*($J93-$I93)</f>
        <v/>
      </c>
      <c r="M93" s="44">
        <f>IFERROR($D93/$C93-1,"")</f>
        <v/>
      </c>
    </row>
    <row r="94">
      <c r="A94" s="41" t="inlineStr">
        <is>
          <t>Garage Beer</t>
        </is>
      </c>
      <c r="B94" s="41" t="inlineStr">
        <is>
          <t>Garage Beer</t>
        </is>
      </c>
      <c r="C94" s="33">
        <f>SUMIFS('Data - Control'!$C$5:$C$296,'Data - Control'!$A$5:$A$296,$A94,'Data - Control'!$B$5:$B$296,$B94)</f>
        <v/>
      </c>
      <c r="D94" s="33">
        <f>SUMIFS('Data - Control'!$D$5:$D$296,'Data - Control'!$A$5:$A$296,$A94,'Data - Control'!$B$5:$B$296,$B94)</f>
        <v/>
      </c>
      <c r="E94" s="36">
        <f>SUMIFS('Data - Control'!$E$5:$E$296,'Data - Control'!$A$5:$A$296,$A94,'Data - Control'!$B$5:$B$296,$B94)</f>
        <v/>
      </c>
      <c r="F94" s="36">
        <f>SUMIFS('Data - Control'!$F$5:$F$296,'Data - Control'!$A$5:$A$296,$A94,'Data - Control'!$B$5:$B$296,$B94)</f>
        <v/>
      </c>
      <c r="G94" s="36">
        <f>SUMIFS('Data - Control'!$G$5:$G$296,'Data - Control'!$A$5:$A$296,$A94,'Data - Control'!$B$5:$B$296,$B94)</f>
        <v/>
      </c>
      <c r="H94" s="36">
        <f>SUMIFS('Data - Control'!$H$5:$H$296,'Data - Control'!$A$5:$A$296,$A94,'Data - Control'!$B$5:$B$296,$B94)</f>
        <v/>
      </c>
      <c r="I94" s="49">
        <f>IFERROR($G94/$C94,0)</f>
        <v/>
      </c>
      <c r="J94" s="49">
        <f>IFERROR($H94/$D94,0)</f>
        <v/>
      </c>
      <c r="K94" s="36">
        <f>$D94*$I94</f>
        <v/>
      </c>
      <c r="L94" s="36">
        <f>$D94*($J94-$I94)</f>
        <v/>
      </c>
      <c r="M94" s="44">
        <f>IFERROR($D94/$C94-1,"")</f>
        <v/>
      </c>
    </row>
    <row r="95">
      <c r="A95" s="41" t="inlineStr">
        <is>
          <t>Gigli</t>
        </is>
      </c>
      <c r="B95" s="41" t="inlineStr">
        <is>
          <t>Gigli</t>
        </is>
      </c>
      <c r="C95" s="33">
        <f>SUMIFS('Data - Control'!$C$5:$C$296,'Data - Control'!$A$5:$A$296,$A95,'Data - Control'!$B$5:$B$296,$B95)</f>
        <v/>
      </c>
      <c r="D95" s="33">
        <f>SUMIFS('Data - Control'!$D$5:$D$296,'Data - Control'!$A$5:$A$296,$A95,'Data - Control'!$B$5:$B$296,$B95)</f>
        <v/>
      </c>
      <c r="E95" s="36">
        <f>SUMIFS('Data - Control'!$E$5:$E$296,'Data - Control'!$A$5:$A$296,$A95,'Data - Control'!$B$5:$B$296,$B95)</f>
        <v/>
      </c>
      <c r="F95" s="36">
        <f>SUMIFS('Data - Control'!$F$5:$F$296,'Data - Control'!$A$5:$A$296,$A95,'Data - Control'!$B$5:$B$296,$B95)</f>
        <v/>
      </c>
      <c r="G95" s="36">
        <f>SUMIFS('Data - Control'!$G$5:$G$296,'Data - Control'!$A$5:$A$296,$A95,'Data - Control'!$B$5:$B$296,$B95)</f>
        <v/>
      </c>
      <c r="H95" s="36">
        <f>SUMIFS('Data - Control'!$H$5:$H$296,'Data - Control'!$A$5:$A$296,$A95,'Data - Control'!$B$5:$B$296,$B95)</f>
        <v/>
      </c>
      <c r="I95" s="49">
        <f>IFERROR($G95/$C95,0)</f>
        <v/>
      </c>
      <c r="J95" s="49">
        <f>IFERROR($H95/$D95,0)</f>
        <v/>
      </c>
      <c r="K95" s="36">
        <f>$D95*$I95</f>
        <v/>
      </c>
      <c r="L95" s="36">
        <f>$D95*($J95-$I95)</f>
        <v/>
      </c>
      <c r="M95" s="44">
        <f>IFERROR($D95/$C95-1,"")</f>
        <v/>
      </c>
    </row>
    <row r="96">
      <c r="A96" s="41" t="inlineStr">
        <is>
          <t>Global Beer</t>
        </is>
      </c>
      <c r="B96" s="41" t="inlineStr">
        <is>
          <t>Baptist Wit</t>
        </is>
      </c>
      <c r="C96" s="33">
        <f>SUMIFS('Data - Control'!$C$5:$C$296,'Data - Control'!$A$5:$A$296,$A96,'Data - Control'!$B$5:$B$296,$B96)</f>
        <v/>
      </c>
      <c r="D96" s="33">
        <f>SUMIFS('Data - Control'!$D$5:$D$296,'Data - Control'!$A$5:$A$296,$A96,'Data - Control'!$B$5:$B$296,$B96)</f>
        <v/>
      </c>
      <c r="E96" s="36">
        <f>SUMIFS('Data - Control'!$E$5:$E$296,'Data - Control'!$A$5:$A$296,$A96,'Data - Control'!$B$5:$B$296,$B96)</f>
        <v/>
      </c>
      <c r="F96" s="36">
        <f>SUMIFS('Data - Control'!$F$5:$F$296,'Data - Control'!$A$5:$A$296,$A96,'Data - Control'!$B$5:$B$296,$B96)</f>
        <v/>
      </c>
      <c r="G96" s="36">
        <f>SUMIFS('Data - Control'!$G$5:$G$296,'Data - Control'!$A$5:$A$296,$A96,'Data - Control'!$B$5:$B$296,$B96)</f>
        <v/>
      </c>
      <c r="H96" s="36">
        <f>SUMIFS('Data - Control'!$H$5:$H$296,'Data - Control'!$A$5:$A$296,$A96,'Data - Control'!$B$5:$B$296,$B96)</f>
        <v/>
      </c>
      <c r="I96" s="49">
        <f>IFERROR($G96/$C96,0)</f>
        <v/>
      </c>
      <c r="J96" s="49">
        <f>IFERROR($H96/$D96,0)</f>
        <v/>
      </c>
      <c r="K96" s="36">
        <f>$D96*$I96</f>
        <v/>
      </c>
      <c r="L96" s="36">
        <f>$D96*($J96-$I96)</f>
        <v/>
      </c>
      <c r="M96" s="44">
        <f>IFERROR($D96/$C96-1,"")</f>
        <v/>
      </c>
    </row>
    <row r="97">
      <c r="A97" s="41" t="inlineStr">
        <is>
          <t>Global Beer</t>
        </is>
      </c>
      <c r="B97" s="41" t="inlineStr">
        <is>
          <t>Bavik</t>
        </is>
      </c>
      <c r="C97" s="33">
        <f>SUMIFS('Data - Control'!$C$5:$C$296,'Data - Control'!$A$5:$A$296,$A97,'Data - Control'!$B$5:$B$296,$B97)</f>
        <v/>
      </c>
      <c r="D97" s="33">
        <f>SUMIFS('Data - Control'!$D$5:$D$296,'Data - Control'!$A$5:$A$296,$A97,'Data - Control'!$B$5:$B$296,$B97)</f>
        <v/>
      </c>
      <c r="E97" s="36">
        <f>SUMIFS('Data - Control'!$E$5:$E$296,'Data - Control'!$A$5:$A$296,$A97,'Data - Control'!$B$5:$B$296,$B97)</f>
        <v/>
      </c>
      <c r="F97" s="36">
        <f>SUMIFS('Data - Control'!$F$5:$F$296,'Data - Control'!$A$5:$A$296,$A97,'Data - Control'!$B$5:$B$296,$B97)</f>
        <v/>
      </c>
      <c r="G97" s="36">
        <f>SUMIFS('Data - Control'!$G$5:$G$296,'Data - Control'!$A$5:$A$296,$A97,'Data - Control'!$B$5:$B$296,$B97)</f>
        <v/>
      </c>
      <c r="H97" s="36">
        <f>SUMIFS('Data - Control'!$H$5:$H$296,'Data - Control'!$A$5:$A$296,$A97,'Data - Control'!$B$5:$B$296,$B97)</f>
        <v/>
      </c>
      <c r="I97" s="49">
        <f>IFERROR($G97/$C97,0)</f>
        <v/>
      </c>
      <c r="J97" s="49">
        <f>IFERROR($H97/$D97,0)</f>
        <v/>
      </c>
      <c r="K97" s="36">
        <f>$D97*$I97</f>
        <v/>
      </c>
      <c r="L97" s="36">
        <f>$D97*($J97-$I97)</f>
        <v/>
      </c>
      <c r="M97" s="44">
        <f>IFERROR($D97/$C97-1,"")</f>
        <v/>
      </c>
    </row>
    <row r="98">
      <c r="A98" s="41" t="inlineStr">
        <is>
          <t>Global Beer</t>
        </is>
      </c>
      <c r="B98" s="41" t="inlineStr">
        <is>
          <t>Czechvar</t>
        </is>
      </c>
      <c r="C98" s="33">
        <f>SUMIFS('Data - Control'!$C$5:$C$296,'Data - Control'!$A$5:$A$296,$A98,'Data - Control'!$B$5:$B$296,$B98)</f>
        <v/>
      </c>
      <c r="D98" s="33">
        <f>SUMIFS('Data - Control'!$D$5:$D$296,'Data - Control'!$A$5:$A$296,$A98,'Data - Control'!$B$5:$B$296,$B98)</f>
        <v/>
      </c>
      <c r="E98" s="36">
        <f>SUMIFS('Data - Control'!$E$5:$E$296,'Data - Control'!$A$5:$A$296,$A98,'Data - Control'!$B$5:$B$296,$B98)</f>
        <v/>
      </c>
      <c r="F98" s="36">
        <f>SUMIFS('Data - Control'!$F$5:$F$296,'Data - Control'!$A$5:$A$296,$A98,'Data - Control'!$B$5:$B$296,$B98)</f>
        <v/>
      </c>
      <c r="G98" s="36">
        <f>SUMIFS('Data - Control'!$G$5:$G$296,'Data - Control'!$A$5:$A$296,$A98,'Data - Control'!$B$5:$B$296,$B98)</f>
        <v/>
      </c>
      <c r="H98" s="36">
        <f>SUMIFS('Data - Control'!$H$5:$H$296,'Data - Control'!$A$5:$A$296,$A98,'Data - Control'!$B$5:$B$296,$B98)</f>
        <v/>
      </c>
      <c r="I98" s="49">
        <f>IFERROR($G98/$C98,0)</f>
        <v/>
      </c>
      <c r="J98" s="49">
        <f>IFERROR($H98/$D98,0)</f>
        <v/>
      </c>
      <c r="K98" s="36">
        <f>$D98*$I98</f>
        <v/>
      </c>
      <c r="L98" s="36">
        <f>$D98*($J98-$I98)</f>
        <v/>
      </c>
      <c r="M98" s="44">
        <f>IFERROR($D98/$C98-1,"")</f>
        <v/>
      </c>
    </row>
    <row r="99">
      <c r="A99" s="41" t="inlineStr">
        <is>
          <t>Global Beer</t>
        </is>
      </c>
      <c r="B99" s="41" t="inlineStr">
        <is>
          <t>Gulden Draak</t>
        </is>
      </c>
      <c r="C99" s="33">
        <f>SUMIFS('Data - Control'!$C$5:$C$296,'Data - Control'!$A$5:$A$296,$A99,'Data - Control'!$B$5:$B$296,$B99)</f>
        <v/>
      </c>
      <c r="D99" s="33">
        <f>SUMIFS('Data - Control'!$D$5:$D$296,'Data - Control'!$A$5:$A$296,$A99,'Data - Control'!$B$5:$B$296,$B99)</f>
        <v/>
      </c>
      <c r="E99" s="36">
        <f>SUMIFS('Data - Control'!$E$5:$E$296,'Data - Control'!$A$5:$A$296,$A99,'Data - Control'!$B$5:$B$296,$B99)</f>
        <v/>
      </c>
      <c r="F99" s="36">
        <f>SUMIFS('Data - Control'!$F$5:$F$296,'Data - Control'!$A$5:$A$296,$A99,'Data - Control'!$B$5:$B$296,$B99)</f>
        <v/>
      </c>
      <c r="G99" s="36">
        <f>SUMIFS('Data - Control'!$G$5:$G$296,'Data - Control'!$A$5:$A$296,$A99,'Data - Control'!$B$5:$B$296,$B99)</f>
        <v/>
      </c>
      <c r="H99" s="36">
        <f>SUMIFS('Data - Control'!$H$5:$H$296,'Data - Control'!$A$5:$A$296,$A99,'Data - Control'!$B$5:$B$296,$B99)</f>
        <v/>
      </c>
      <c r="I99" s="49">
        <f>IFERROR($G99/$C99,0)</f>
        <v/>
      </c>
      <c r="J99" s="49">
        <f>IFERROR($H99/$D99,0)</f>
        <v/>
      </c>
      <c r="K99" s="36">
        <f>$D99*$I99</f>
        <v/>
      </c>
      <c r="L99" s="36">
        <f>$D99*($J99-$I99)</f>
        <v/>
      </c>
      <c r="M99" s="44">
        <f>IFERROR($D99/$C99-1,"")</f>
        <v/>
      </c>
    </row>
    <row r="100">
      <c r="A100" s="41" t="inlineStr">
        <is>
          <t>Global Beer</t>
        </is>
      </c>
      <c r="B100" s="41" t="inlineStr">
        <is>
          <t>Petrus</t>
        </is>
      </c>
      <c r="C100" s="33">
        <f>SUMIFS('Data - Control'!$C$5:$C$296,'Data - Control'!$A$5:$A$296,$A100,'Data - Control'!$B$5:$B$296,$B100)</f>
        <v/>
      </c>
      <c r="D100" s="33">
        <f>SUMIFS('Data - Control'!$D$5:$D$296,'Data - Control'!$A$5:$A$296,$A100,'Data - Control'!$B$5:$B$296,$B100)</f>
        <v/>
      </c>
      <c r="E100" s="36">
        <f>SUMIFS('Data - Control'!$E$5:$E$296,'Data - Control'!$A$5:$A$296,$A100,'Data - Control'!$B$5:$B$296,$B100)</f>
        <v/>
      </c>
      <c r="F100" s="36">
        <f>SUMIFS('Data - Control'!$F$5:$F$296,'Data - Control'!$A$5:$A$296,$A100,'Data - Control'!$B$5:$B$296,$B100)</f>
        <v/>
      </c>
      <c r="G100" s="36">
        <f>SUMIFS('Data - Control'!$G$5:$G$296,'Data - Control'!$A$5:$A$296,$A100,'Data - Control'!$B$5:$B$296,$B100)</f>
        <v/>
      </c>
      <c r="H100" s="36">
        <f>SUMIFS('Data - Control'!$H$5:$H$296,'Data - Control'!$A$5:$A$296,$A100,'Data - Control'!$B$5:$B$296,$B100)</f>
        <v/>
      </c>
      <c r="I100" s="49">
        <f>IFERROR($G100/$C100,0)</f>
        <v/>
      </c>
      <c r="J100" s="49">
        <f>IFERROR($H100/$D100,0)</f>
        <v/>
      </c>
      <c r="K100" s="36">
        <f>$D100*$I100</f>
        <v/>
      </c>
      <c r="L100" s="36">
        <f>$D100*($J100-$I100)</f>
        <v/>
      </c>
      <c r="M100" s="44">
        <f>IFERROR($D100/$C100-1,"")</f>
        <v/>
      </c>
    </row>
    <row r="101">
      <c r="A101" s="41" t="inlineStr">
        <is>
          <t>Global Beer</t>
        </is>
      </c>
      <c r="B101" s="41" t="inlineStr">
        <is>
          <t>Piraat</t>
        </is>
      </c>
      <c r="C101" s="33">
        <f>SUMIFS('Data - Control'!$C$5:$C$296,'Data - Control'!$A$5:$A$296,$A101,'Data - Control'!$B$5:$B$296,$B101)</f>
        <v/>
      </c>
      <c r="D101" s="33">
        <f>SUMIFS('Data - Control'!$D$5:$D$296,'Data - Control'!$A$5:$A$296,$A101,'Data - Control'!$B$5:$B$296,$B101)</f>
        <v/>
      </c>
      <c r="E101" s="36">
        <f>SUMIFS('Data - Control'!$E$5:$E$296,'Data - Control'!$A$5:$A$296,$A101,'Data - Control'!$B$5:$B$296,$B101)</f>
        <v/>
      </c>
      <c r="F101" s="36">
        <f>SUMIFS('Data - Control'!$F$5:$F$296,'Data - Control'!$A$5:$A$296,$A101,'Data - Control'!$B$5:$B$296,$B101)</f>
        <v/>
      </c>
      <c r="G101" s="36">
        <f>SUMIFS('Data - Control'!$G$5:$G$296,'Data - Control'!$A$5:$A$296,$A101,'Data - Control'!$B$5:$B$296,$B101)</f>
        <v/>
      </c>
      <c r="H101" s="36">
        <f>SUMIFS('Data - Control'!$H$5:$H$296,'Data - Control'!$A$5:$A$296,$A101,'Data - Control'!$B$5:$B$296,$B101)</f>
        <v/>
      </c>
      <c r="I101" s="49">
        <f>IFERROR($G101/$C101,0)</f>
        <v/>
      </c>
      <c r="J101" s="49">
        <f>IFERROR($H101/$D101,0)</f>
        <v/>
      </c>
      <c r="K101" s="36">
        <f>$D101*$I101</f>
        <v/>
      </c>
      <c r="L101" s="36">
        <f>$D101*($J101-$I101)</f>
        <v/>
      </c>
      <c r="M101" s="44">
        <f>IFERROR($D101/$C101-1,"")</f>
        <v/>
      </c>
    </row>
    <row r="102">
      <c r="A102" s="41" t="inlineStr">
        <is>
          <t>Global Beer</t>
        </is>
      </c>
      <c r="B102" s="41" t="inlineStr">
        <is>
          <t>Stiegl</t>
        </is>
      </c>
      <c r="C102" s="33">
        <f>SUMIFS('Data - Control'!$C$5:$C$296,'Data - Control'!$A$5:$A$296,$A102,'Data - Control'!$B$5:$B$296,$B102)</f>
        <v/>
      </c>
      <c r="D102" s="33">
        <f>SUMIFS('Data - Control'!$D$5:$D$296,'Data - Control'!$A$5:$A$296,$A102,'Data - Control'!$B$5:$B$296,$B102)</f>
        <v/>
      </c>
      <c r="E102" s="36">
        <f>SUMIFS('Data - Control'!$E$5:$E$296,'Data - Control'!$A$5:$A$296,$A102,'Data - Control'!$B$5:$B$296,$B102)</f>
        <v/>
      </c>
      <c r="F102" s="36">
        <f>SUMIFS('Data - Control'!$F$5:$F$296,'Data - Control'!$A$5:$A$296,$A102,'Data - Control'!$B$5:$B$296,$B102)</f>
        <v/>
      </c>
      <c r="G102" s="36">
        <f>SUMIFS('Data - Control'!$G$5:$G$296,'Data - Control'!$A$5:$A$296,$A102,'Data - Control'!$B$5:$B$296,$B102)</f>
        <v/>
      </c>
      <c r="H102" s="36">
        <f>SUMIFS('Data - Control'!$H$5:$H$296,'Data - Control'!$A$5:$A$296,$A102,'Data - Control'!$B$5:$B$296,$B102)</f>
        <v/>
      </c>
      <c r="I102" s="49">
        <f>IFERROR($G102/$C102,0)</f>
        <v/>
      </c>
      <c r="J102" s="49">
        <f>IFERROR($H102/$D102,0)</f>
        <v/>
      </c>
      <c r="K102" s="36">
        <f>$D102*$I102</f>
        <v/>
      </c>
      <c r="L102" s="36">
        <f>$D102*($J102-$I102)</f>
        <v/>
      </c>
      <c r="M102" s="44">
        <f>IFERROR($D102/$C102-1,"")</f>
        <v/>
      </c>
    </row>
    <row r="103">
      <c r="A103" s="41" t="inlineStr">
        <is>
          <t>Global Beer</t>
        </is>
      </c>
      <c r="B103" s="41" t="inlineStr">
        <is>
          <t>Sullivan's</t>
        </is>
      </c>
      <c r="C103" s="33">
        <f>SUMIFS('Data - Control'!$C$5:$C$296,'Data - Control'!$A$5:$A$296,$A103,'Data - Control'!$B$5:$B$296,$B103)</f>
        <v/>
      </c>
      <c r="D103" s="33">
        <f>SUMIFS('Data - Control'!$D$5:$D$296,'Data - Control'!$A$5:$A$296,$A103,'Data - Control'!$B$5:$B$296,$B103)</f>
        <v/>
      </c>
      <c r="E103" s="36">
        <f>SUMIFS('Data - Control'!$E$5:$E$296,'Data - Control'!$A$5:$A$296,$A103,'Data - Control'!$B$5:$B$296,$B103)</f>
        <v/>
      </c>
      <c r="F103" s="36">
        <f>SUMIFS('Data - Control'!$F$5:$F$296,'Data - Control'!$A$5:$A$296,$A103,'Data - Control'!$B$5:$B$296,$B103)</f>
        <v/>
      </c>
      <c r="G103" s="36">
        <f>SUMIFS('Data - Control'!$G$5:$G$296,'Data - Control'!$A$5:$A$296,$A103,'Data - Control'!$B$5:$B$296,$B103)</f>
        <v/>
      </c>
      <c r="H103" s="36">
        <f>SUMIFS('Data - Control'!$H$5:$H$296,'Data - Control'!$A$5:$A$296,$A103,'Data - Control'!$B$5:$B$296,$B103)</f>
        <v/>
      </c>
      <c r="I103" s="49">
        <f>IFERROR($G103/$C103,0)</f>
        <v/>
      </c>
      <c r="J103" s="49">
        <f>IFERROR($H103/$D103,0)</f>
        <v/>
      </c>
      <c r="K103" s="36">
        <f>$D103*$I103</f>
        <v/>
      </c>
      <c r="L103" s="36">
        <f>$D103*($J103-$I103)</f>
        <v/>
      </c>
      <c r="M103" s="44">
        <f>IFERROR($D103/$C103-1,"")</f>
        <v/>
      </c>
    </row>
    <row r="104">
      <c r="A104" s="41" t="inlineStr">
        <is>
          <t>Global Beer</t>
        </is>
      </c>
      <c r="B104" s="41" t="inlineStr">
        <is>
          <t>Van Steenberge</t>
        </is>
      </c>
      <c r="C104" s="33">
        <f>SUMIFS('Data - Control'!$C$5:$C$296,'Data - Control'!$A$5:$A$296,$A104,'Data - Control'!$B$5:$B$296,$B104)</f>
        <v/>
      </c>
      <c r="D104" s="33">
        <f>SUMIFS('Data - Control'!$D$5:$D$296,'Data - Control'!$A$5:$A$296,$A104,'Data - Control'!$B$5:$B$296,$B104)</f>
        <v/>
      </c>
      <c r="E104" s="36">
        <f>SUMIFS('Data - Control'!$E$5:$E$296,'Data - Control'!$A$5:$A$296,$A104,'Data - Control'!$B$5:$B$296,$B104)</f>
        <v/>
      </c>
      <c r="F104" s="36">
        <f>SUMIFS('Data - Control'!$F$5:$F$296,'Data - Control'!$A$5:$A$296,$A104,'Data - Control'!$B$5:$B$296,$B104)</f>
        <v/>
      </c>
      <c r="G104" s="36">
        <f>SUMIFS('Data - Control'!$G$5:$G$296,'Data - Control'!$A$5:$A$296,$A104,'Data - Control'!$B$5:$B$296,$B104)</f>
        <v/>
      </c>
      <c r="H104" s="36">
        <f>SUMIFS('Data - Control'!$H$5:$H$296,'Data - Control'!$A$5:$A$296,$A104,'Data - Control'!$B$5:$B$296,$B104)</f>
        <v/>
      </c>
      <c r="I104" s="49">
        <f>IFERROR($G104/$C104,0)</f>
        <v/>
      </c>
      <c r="J104" s="49">
        <f>IFERROR($H104/$D104,0)</f>
        <v/>
      </c>
      <c r="K104" s="36">
        <f>$D104*$I104</f>
        <v/>
      </c>
      <c r="L104" s="36">
        <f>$D104*($J104-$I104)</f>
        <v/>
      </c>
      <c r="M104" s="44">
        <f>IFERROR($D104/$C104-1,"")</f>
        <v/>
      </c>
    </row>
    <row r="105">
      <c r="A105" s="41" t="inlineStr">
        <is>
          <t>Global Beer</t>
        </is>
      </c>
      <c r="B105" s="41" t="inlineStr">
        <is>
          <t>Yard House</t>
        </is>
      </c>
      <c r="C105" s="33">
        <f>SUMIFS('Data - Control'!$C$5:$C$296,'Data - Control'!$A$5:$A$296,$A105,'Data - Control'!$B$5:$B$296,$B105)</f>
        <v/>
      </c>
      <c r="D105" s="33">
        <f>SUMIFS('Data - Control'!$D$5:$D$296,'Data - Control'!$A$5:$A$296,$A105,'Data - Control'!$B$5:$B$296,$B105)</f>
        <v/>
      </c>
      <c r="E105" s="36">
        <f>SUMIFS('Data - Control'!$E$5:$E$296,'Data - Control'!$A$5:$A$296,$A105,'Data - Control'!$B$5:$B$296,$B105)</f>
        <v/>
      </c>
      <c r="F105" s="36">
        <f>SUMIFS('Data - Control'!$F$5:$F$296,'Data - Control'!$A$5:$A$296,$A105,'Data - Control'!$B$5:$B$296,$B105)</f>
        <v/>
      </c>
      <c r="G105" s="36">
        <f>SUMIFS('Data - Control'!$G$5:$G$296,'Data - Control'!$A$5:$A$296,$A105,'Data - Control'!$B$5:$B$296,$B105)</f>
        <v/>
      </c>
      <c r="H105" s="36">
        <f>SUMIFS('Data - Control'!$H$5:$H$296,'Data - Control'!$A$5:$A$296,$A105,'Data - Control'!$B$5:$B$296,$B105)</f>
        <v/>
      </c>
      <c r="I105" s="49">
        <f>IFERROR($G105/$C105,0)</f>
        <v/>
      </c>
      <c r="J105" s="49">
        <f>IFERROR($H105/$D105,0)</f>
        <v/>
      </c>
      <c r="K105" s="36">
        <f>$D105*$I105</f>
        <v/>
      </c>
      <c r="L105" s="36">
        <f>$D105*($J105-$I105)</f>
        <v/>
      </c>
      <c r="M105" s="44">
        <f>IFERROR($D105/$C105-1,"")</f>
        <v/>
      </c>
    </row>
    <row r="106">
      <c r="A106" s="41" t="inlineStr">
        <is>
          <t>Global Village Imp.</t>
        </is>
      </c>
      <c r="B106" s="41" t="inlineStr">
        <is>
          <t>Augustiner</t>
        </is>
      </c>
      <c r="C106" s="33">
        <f>SUMIFS('Data - Control'!$C$5:$C$296,'Data - Control'!$A$5:$A$296,$A106,'Data - Control'!$B$5:$B$296,$B106)</f>
        <v/>
      </c>
      <c r="D106" s="33">
        <f>SUMIFS('Data - Control'!$D$5:$D$296,'Data - Control'!$A$5:$A$296,$A106,'Data - Control'!$B$5:$B$296,$B106)</f>
        <v/>
      </c>
      <c r="E106" s="36">
        <f>SUMIFS('Data - Control'!$E$5:$E$296,'Data - Control'!$A$5:$A$296,$A106,'Data - Control'!$B$5:$B$296,$B106)</f>
        <v/>
      </c>
      <c r="F106" s="36">
        <f>SUMIFS('Data - Control'!$F$5:$F$296,'Data - Control'!$A$5:$A$296,$A106,'Data - Control'!$B$5:$B$296,$B106)</f>
        <v/>
      </c>
      <c r="G106" s="36">
        <f>SUMIFS('Data - Control'!$G$5:$G$296,'Data - Control'!$A$5:$A$296,$A106,'Data - Control'!$B$5:$B$296,$B106)</f>
        <v/>
      </c>
      <c r="H106" s="36">
        <f>SUMIFS('Data - Control'!$H$5:$H$296,'Data - Control'!$A$5:$A$296,$A106,'Data - Control'!$B$5:$B$296,$B106)</f>
        <v/>
      </c>
      <c r="I106" s="49">
        <f>IFERROR($G106/$C106,0)</f>
        <v/>
      </c>
      <c r="J106" s="49">
        <f>IFERROR($H106/$D106,0)</f>
        <v/>
      </c>
      <c r="K106" s="36">
        <f>$D106*$I106</f>
        <v/>
      </c>
      <c r="L106" s="36">
        <f>$D106*($J106-$I106)</f>
        <v/>
      </c>
      <c r="M106" s="44">
        <f>IFERROR($D106/$C106-1,"")</f>
        <v/>
      </c>
    </row>
    <row r="107">
      <c r="A107" s="41" t="inlineStr">
        <is>
          <t>Great Lakes</t>
        </is>
      </c>
      <c r="B107" s="41" t="inlineStr">
        <is>
          <t>Float Shoppe</t>
        </is>
      </c>
      <c r="C107" s="33">
        <f>SUMIFS('Data - Control'!$C$5:$C$296,'Data - Control'!$A$5:$A$296,$A107,'Data - Control'!$B$5:$B$296,$B107)</f>
        <v/>
      </c>
      <c r="D107" s="33">
        <f>SUMIFS('Data - Control'!$D$5:$D$296,'Data - Control'!$A$5:$A$296,$A107,'Data - Control'!$B$5:$B$296,$B107)</f>
        <v/>
      </c>
      <c r="E107" s="36">
        <f>SUMIFS('Data - Control'!$E$5:$E$296,'Data - Control'!$A$5:$A$296,$A107,'Data - Control'!$B$5:$B$296,$B107)</f>
        <v/>
      </c>
      <c r="F107" s="36">
        <f>SUMIFS('Data - Control'!$F$5:$F$296,'Data - Control'!$A$5:$A$296,$A107,'Data - Control'!$B$5:$B$296,$B107)</f>
        <v/>
      </c>
      <c r="G107" s="36">
        <f>SUMIFS('Data - Control'!$G$5:$G$296,'Data - Control'!$A$5:$A$296,$A107,'Data - Control'!$B$5:$B$296,$B107)</f>
        <v/>
      </c>
      <c r="H107" s="36">
        <f>SUMIFS('Data - Control'!$H$5:$H$296,'Data - Control'!$A$5:$A$296,$A107,'Data - Control'!$B$5:$B$296,$B107)</f>
        <v/>
      </c>
      <c r="I107" s="49">
        <f>IFERROR($G107/$C107,0)</f>
        <v/>
      </c>
      <c r="J107" s="49">
        <f>IFERROR($H107/$D107,0)</f>
        <v/>
      </c>
      <c r="K107" s="36">
        <f>$D107*$I107</f>
        <v/>
      </c>
      <c r="L107" s="36">
        <f>$D107*($J107-$I107)</f>
        <v/>
      </c>
      <c r="M107" s="44">
        <f>IFERROR($D107/$C107-1,"")</f>
        <v/>
      </c>
    </row>
    <row r="108">
      <c r="A108" s="41" t="inlineStr">
        <is>
          <t>Great Lakes</t>
        </is>
      </c>
      <c r="B108" s="41" t="inlineStr">
        <is>
          <t>Great Lakes</t>
        </is>
      </c>
      <c r="C108" s="33">
        <f>SUMIFS('Data - Control'!$C$5:$C$296,'Data - Control'!$A$5:$A$296,$A108,'Data - Control'!$B$5:$B$296,$B108)</f>
        <v/>
      </c>
      <c r="D108" s="33">
        <f>SUMIFS('Data - Control'!$D$5:$D$296,'Data - Control'!$A$5:$A$296,$A108,'Data - Control'!$B$5:$B$296,$B108)</f>
        <v/>
      </c>
      <c r="E108" s="36">
        <f>SUMIFS('Data - Control'!$E$5:$E$296,'Data - Control'!$A$5:$A$296,$A108,'Data - Control'!$B$5:$B$296,$B108)</f>
        <v/>
      </c>
      <c r="F108" s="36">
        <f>SUMIFS('Data - Control'!$F$5:$F$296,'Data - Control'!$A$5:$A$296,$A108,'Data - Control'!$B$5:$B$296,$B108)</f>
        <v/>
      </c>
      <c r="G108" s="36">
        <f>SUMIFS('Data - Control'!$G$5:$G$296,'Data - Control'!$A$5:$A$296,$A108,'Data - Control'!$B$5:$B$296,$B108)</f>
        <v/>
      </c>
      <c r="H108" s="36">
        <f>SUMIFS('Data - Control'!$H$5:$H$296,'Data - Control'!$A$5:$A$296,$A108,'Data - Control'!$B$5:$B$296,$B108)</f>
        <v/>
      </c>
      <c r="I108" s="49">
        <f>IFERROR($G108/$C108,0)</f>
        <v/>
      </c>
      <c r="J108" s="49">
        <f>IFERROR($H108/$D108,0)</f>
        <v/>
      </c>
      <c r="K108" s="36">
        <f>$D108*$I108</f>
        <v/>
      </c>
      <c r="L108" s="36">
        <f>$D108*($J108-$I108)</f>
        <v/>
      </c>
      <c r="M108" s="44">
        <f>IFERROR($D108/$C108-1,"")</f>
        <v/>
      </c>
    </row>
    <row r="109">
      <c r="A109" s="41" t="inlineStr">
        <is>
          <t>HOP WTR</t>
        </is>
      </c>
      <c r="B109" s="41" t="inlineStr">
        <is>
          <t>HOP WTR</t>
        </is>
      </c>
      <c r="C109" s="33">
        <f>SUMIFS('Data - Control'!$C$5:$C$296,'Data - Control'!$A$5:$A$296,$A109,'Data - Control'!$B$5:$B$296,$B109)</f>
        <v/>
      </c>
      <c r="D109" s="33">
        <f>SUMIFS('Data - Control'!$D$5:$D$296,'Data - Control'!$A$5:$A$296,$A109,'Data - Control'!$B$5:$B$296,$B109)</f>
        <v/>
      </c>
      <c r="E109" s="36">
        <f>SUMIFS('Data - Control'!$E$5:$E$296,'Data - Control'!$A$5:$A$296,$A109,'Data - Control'!$B$5:$B$296,$B109)</f>
        <v/>
      </c>
      <c r="F109" s="36">
        <f>SUMIFS('Data - Control'!$F$5:$F$296,'Data - Control'!$A$5:$A$296,$A109,'Data - Control'!$B$5:$B$296,$B109)</f>
        <v/>
      </c>
      <c r="G109" s="36">
        <f>SUMIFS('Data - Control'!$G$5:$G$296,'Data - Control'!$A$5:$A$296,$A109,'Data - Control'!$B$5:$B$296,$B109)</f>
        <v/>
      </c>
      <c r="H109" s="36">
        <f>SUMIFS('Data - Control'!$H$5:$H$296,'Data - Control'!$A$5:$A$296,$A109,'Data - Control'!$B$5:$B$296,$B109)</f>
        <v/>
      </c>
      <c r="I109" s="49">
        <f>IFERROR($G109/$C109,0)</f>
        <v/>
      </c>
      <c r="J109" s="49">
        <f>IFERROR($H109/$D109,0)</f>
        <v/>
      </c>
      <c r="K109" s="36">
        <f>$D109*$I109</f>
        <v/>
      </c>
      <c r="L109" s="36">
        <f>$D109*($J109-$I109)</f>
        <v/>
      </c>
      <c r="M109" s="44">
        <f>IFERROR($D109/$C109-1,"")</f>
        <v/>
      </c>
    </row>
    <row r="110">
      <c r="A110" s="41" t="inlineStr">
        <is>
          <t>Harpoon Brewery</t>
        </is>
      </c>
      <c r="B110" s="41" t="inlineStr">
        <is>
          <t>Long Trail</t>
        </is>
      </c>
      <c r="C110" s="33">
        <f>SUMIFS('Data - Control'!$C$5:$C$296,'Data - Control'!$A$5:$A$296,$A110,'Data - Control'!$B$5:$B$296,$B110)</f>
        <v/>
      </c>
      <c r="D110" s="33">
        <f>SUMIFS('Data - Control'!$D$5:$D$296,'Data - Control'!$A$5:$A$296,$A110,'Data - Control'!$B$5:$B$296,$B110)</f>
        <v/>
      </c>
      <c r="E110" s="36">
        <f>SUMIFS('Data - Control'!$E$5:$E$296,'Data - Control'!$A$5:$A$296,$A110,'Data - Control'!$B$5:$B$296,$B110)</f>
        <v/>
      </c>
      <c r="F110" s="36">
        <f>SUMIFS('Data - Control'!$F$5:$F$296,'Data - Control'!$A$5:$A$296,$A110,'Data - Control'!$B$5:$B$296,$B110)</f>
        <v/>
      </c>
      <c r="G110" s="36">
        <f>SUMIFS('Data - Control'!$G$5:$G$296,'Data - Control'!$A$5:$A$296,$A110,'Data - Control'!$B$5:$B$296,$B110)</f>
        <v/>
      </c>
      <c r="H110" s="36">
        <f>SUMIFS('Data - Control'!$H$5:$H$296,'Data - Control'!$A$5:$A$296,$A110,'Data - Control'!$B$5:$B$296,$B110)</f>
        <v/>
      </c>
      <c r="I110" s="49">
        <f>IFERROR($G110/$C110,0)</f>
        <v/>
      </c>
      <c r="J110" s="49">
        <f>IFERROR($H110/$D110,0)</f>
        <v/>
      </c>
      <c r="K110" s="36">
        <f>$D110*$I110</f>
        <v/>
      </c>
      <c r="L110" s="36">
        <f>$D110*($J110-$I110)</f>
        <v/>
      </c>
      <c r="M110" s="44">
        <f>IFERROR($D110/$C110-1,"")</f>
        <v/>
      </c>
    </row>
    <row r="111">
      <c r="A111" s="41" t="inlineStr">
        <is>
          <t>Harpoon Brewery</t>
        </is>
      </c>
      <c r="B111" s="41" t="inlineStr">
        <is>
          <t>Shed</t>
        </is>
      </c>
      <c r="C111" s="33">
        <f>SUMIFS('Data - Control'!$C$5:$C$296,'Data - Control'!$A$5:$A$296,$A111,'Data - Control'!$B$5:$B$296,$B111)</f>
        <v/>
      </c>
      <c r="D111" s="33">
        <f>SUMIFS('Data - Control'!$D$5:$D$296,'Data - Control'!$A$5:$A$296,$A111,'Data - Control'!$B$5:$B$296,$B111)</f>
        <v/>
      </c>
      <c r="E111" s="36">
        <f>SUMIFS('Data - Control'!$E$5:$E$296,'Data - Control'!$A$5:$A$296,$A111,'Data - Control'!$B$5:$B$296,$B111)</f>
        <v/>
      </c>
      <c r="F111" s="36">
        <f>SUMIFS('Data - Control'!$F$5:$F$296,'Data - Control'!$A$5:$A$296,$A111,'Data - Control'!$B$5:$B$296,$B111)</f>
        <v/>
      </c>
      <c r="G111" s="36">
        <f>SUMIFS('Data - Control'!$G$5:$G$296,'Data - Control'!$A$5:$A$296,$A111,'Data - Control'!$B$5:$B$296,$B111)</f>
        <v/>
      </c>
      <c r="H111" s="36">
        <f>SUMIFS('Data - Control'!$H$5:$H$296,'Data - Control'!$A$5:$A$296,$A111,'Data - Control'!$B$5:$B$296,$B111)</f>
        <v/>
      </c>
      <c r="I111" s="49">
        <f>IFERROR($G111/$C111,0)</f>
        <v/>
      </c>
      <c r="J111" s="49">
        <f>IFERROR($H111/$D111,0)</f>
        <v/>
      </c>
      <c r="K111" s="36">
        <f>$D111*$I111</f>
        <v/>
      </c>
      <c r="L111" s="36">
        <f>$D111*($J111-$I111)</f>
        <v/>
      </c>
      <c r="M111" s="44">
        <f>IFERROR($D111/$C111-1,"")</f>
        <v/>
      </c>
    </row>
    <row r="112">
      <c r="A112" s="41" t="inlineStr">
        <is>
          <t>Heineken USA</t>
        </is>
      </c>
      <c r="B112" s="41" t="inlineStr">
        <is>
          <t>Amstel</t>
        </is>
      </c>
      <c r="C112" s="33">
        <f>SUMIFS('Data - Control'!$C$5:$C$296,'Data - Control'!$A$5:$A$296,$A112,'Data - Control'!$B$5:$B$296,$B112)</f>
        <v/>
      </c>
      <c r="D112" s="33">
        <f>SUMIFS('Data - Control'!$D$5:$D$296,'Data - Control'!$A$5:$A$296,$A112,'Data - Control'!$B$5:$B$296,$B112)</f>
        <v/>
      </c>
      <c r="E112" s="36">
        <f>SUMIFS('Data - Control'!$E$5:$E$296,'Data - Control'!$A$5:$A$296,$A112,'Data - Control'!$B$5:$B$296,$B112)</f>
        <v/>
      </c>
      <c r="F112" s="36">
        <f>SUMIFS('Data - Control'!$F$5:$F$296,'Data - Control'!$A$5:$A$296,$A112,'Data - Control'!$B$5:$B$296,$B112)</f>
        <v/>
      </c>
      <c r="G112" s="36">
        <f>SUMIFS('Data - Control'!$G$5:$G$296,'Data - Control'!$A$5:$A$296,$A112,'Data - Control'!$B$5:$B$296,$B112)</f>
        <v/>
      </c>
      <c r="H112" s="36">
        <f>SUMIFS('Data - Control'!$H$5:$H$296,'Data - Control'!$A$5:$A$296,$A112,'Data - Control'!$B$5:$B$296,$B112)</f>
        <v/>
      </c>
      <c r="I112" s="49">
        <f>IFERROR($G112/$C112,0)</f>
        <v/>
      </c>
      <c r="J112" s="49">
        <f>IFERROR($H112/$D112,0)</f>
        <v/>
      </c>
      <c r="K112" s="36">
        <f>$D112*$I112</f>
        <v/>
      </c>
      <c r="L112" s="36">
        <f>$D112*($J112-$I112)</f>
        <v/>
      </c>
      <c r="M112" s="44">
        <f>IFERROR($D112/$C112-1,"")</f>
        <v/>
      </c>
    </row>
    <row r="113">
      <c r="A113" s="41" t="inlineStr">
        <is>
          <t>Heineken USA</t>
        </is>
      </c>
      <c r="B113" s="41" t="inlineStr">
        <is>
          <t>Buckler</t>
        </is>
      </c>
      <c r="C113" s="33">
        <f>SUMIFS('Data - Control'!$C$5:$C$296,'Data - Control'!$A$5:$A$296,$A113,'Data - Control'!$B$5:$B$296,$B113)</f>
        <v/>
      </c>
      <c r="D113" s="33">
        <f>SUMIFS('Data - Control'!$D$5:$D$296,'Data - Control'!$A$5:$A$296,$A113,'Data - Control'!$B$5:$B$296,$B113)</f>
        <v/>
      </c>
      <c r="E113" s="36">
        <f>SUMIFS('Data - Control'!$E$5:$E$296,'Data - Control'!$A$5:$A$296,$A113,'Data - Control'!$B$5:$B$296,$B113)</f>
        <v/>
      </c>
      <c r="F113" s="36">
        <f>SUMIFS('Data - Control'!$F$5:$F$296,'Data - Control'!$A$5:$A$296,$A113,'Data - Control'!$B$5:$B$296,$B113)</f>
        <v/>
      </c>
      <c r="G113" s="36">
        <f>SUMIFS('Data - Control'!$G$5:$G$296,'Data - Control'!$A$5:$A$296,$A113,'Data - Control'!$B$5:$B$296,$B113)</f>
        <v/>
      </c>
      <c r="H113" s="36">
        <f>SUMIFS('Data - Control'!$H$5:$H$296,'Data - Control'!$A$5:$A$296,$A113,'Data - Control'!$B$5:$B$296,$B113)</f>
        <v/>
      </c>
      <c r="I113" s="49">
        <f>IFERROR($G113/$C113,0)</f>
        <v/>
      </c>
      <c r="J113" s="49">
        <f>IFERROR($H113/$D113,0)</f>
        <v/>
      </c>
      <c r="K113" s="36">
        <f>$D113*$I113</f>
        <v/>
      </c>
      <c r="L113" s="36">
        <f>$D113*($J113-$I113)</f>
        <v/>
      </c>
      <c r="M113" s="44">
        <f>IFERROR($D113/$C113-1,"")</f>
        <v/>
      </c>
    </row>
    <row r="114">
      <c r="A114" s="41" t="inlineStr">
        <is>
          <t>Heineken USA</t>
        </is>
      </c>
      <c r="B114" s="41" t="inlineStr">
        <is>
          <t>Carta Blanca</t>
        </is>
      </c>
      <c r="C114" s="33">
        <f>SUMIFS('Data - Control'!$C$5:$C$296,'Data - Control'!$A$5:$A$296,$A114,'Data - Control'!$B$5:$B$296,$B114)</f>
        <v/>
      </c>
      <c r="D114" s="33">
        <f>SUMIFS('Data - Control'!$D$5:$D$296,'Data - Control'!$A$5:$A$296,$A114,'Data - Control'!$B$5:$B$296,$B114)</f>
        <v/>
      </c>
      <c r="E114" s="36">
        <f>SUMIFS('Data - Control'!$E$5:$E$296,'Data - Control'!$A$5:$A$296,$A114,'Data - Control'!$B$5:$B$296,$B114)</f>
        <v/>
      </c>
      <c r="F114" s="36">
        <f>SUMIFS('Data - Control'!$F$5:$F$296,'Data - Control'!$A$5:$A$296,$A114,'Data - Control'!$B$5:$B$296,$B114)</f>
        <v/>
      </c>
      <c r="G114" s="36">
        <f>SUMIFS('Data - Control'!$G$5:$G$296,'Data - Control'!$A$5:$A$296,$A114,'Data - Control'!$B$5:$B$296,$B114)</f>
        <v/>
      </c>
      <c r="H114" s="36">
        <f>SUMIFS('Data - Control'!$H$5:$H$296,'Data - Control'!$A$5:$A$296,$A114,'Data - Control'!$B$5:$B$296,$B114)</f>
        <v/>
      </c>
      <c r="I114" s="49">
        <f>IFERROR($G114/$C114,0)</f>
        <v/>
      </c>
      <c r="J114" s="49">
        <f>IFERROR($H114/$D114,0)</f>
        <v/>
      </c>
      <c r="K114" s="36">
        <f>$D114*$I114</f>
        <v/>
      </c>
      <c r="L114" s="36">
        <f>$D114*($J114-$I114)</f>
        <v/>
      </c>
      <c r="M114" s="44">
        <f>IFERROR($D114/$C114-1,"")</f>
        <v/>
      </c>
    </row>
    <row r="115">
      <c r="A115" s="41" t="inlineStr">
        <is>
          <t>Heineken USA</t>
        </is>
      </c>
      <c r="B115" s="41" t="inlineStr">
        <is>
          <t>Dos Equis</t>
        </is>
      </c>
      <c r="C115" s="33">
        <f>SUMIFS('Data - Control'!$C$5:$C$296,'Data - Control'!$A$5:$A$296,$A115,'Data - Control'!$B$5:$B$296,$B115)</f>
        <v/>
      </c>
      <c r="D115" s="33">
        <f>SUMIFS('Data - Control'!$D$5:$D$296,'Data - Control'!$A$5:$A$296,$A115,'Data - Control'!$B$5:$B$296,$B115)</f>
        <v/>
      </c>
      <c r="E115" s="36">
        <f>SUMIFS('Data - Control'!$E$5:$E$296,'Data - Control'!$A$5:$A$296,$A115,'Data - Control'!$B$5:$B$296,$B115)</f>
        <v/>
      </c>
      <c r="F115" s="36">
        <f>SUMIFS('Data - Control'!$F$5:$F$296,'Data - Control'!$A$5:$A$296,$A115,'Data - Control'!$B$5:$B$296,$B115)</f>
        <v/>
      </c>
      <c r="G115" s="36">
        <f>SUMIFS('Data - Control'!$G$5:$G$296,'Data - Control'!$A$5:$A$296,$A115,'Data - Control'!$B$5:$B$296,$B115)</f>
        <v/>
      </c>
      <c r="H115" s="36">
        <f>SUMIFS('Data - Control'!$H$5:$H$296,'Data - Control'!$A$5:$A$296,$A115,'Data - Control'!$B$5:$B$296,$B115)</f>
        <v/>
      </c>
      <c r="I115" s="49">
        <f>IFERROR($G115/$C115,0)</f>
        <v/>
      </c>
      <c r="J115" s="49">
        <f>IFERROR($H115/$D115,0)</f>
        <v/>
      </c>
      <c r="K115" s="36">
        <f>$D115*$I115</f>
        <v/>
      </c>
      <c r="L115" s="36">
        <f>$D115*($J115-$I115)</f>
        <v/>
      </c>
      <c r="M115" s="44">
        <f>IFERROR($D115/$C115-1,"")</f>
        <v/>
      </c>
    </row>
    <row r="116">
      <c r="A116" s="41" t="inlineStr">
        <is>
          <t>Heineken USA</t>
        </is>
      </c>
      <c r="B116" s="41" t="inlineStr">
        <is>
          <t>Heineken 0.0 Ultimate</t>
        </is>
      </c>
      <c r="C116" s="33">
        <f>SUMIFS('Data - Control'!$C$5:$C$296,'Data - Control'!$A$5:$A$296,$A116,'Data - Control'!$B$5:$B$296,$B116)</f>
        <v/>
      </c>
      <c r="D116" s="33">
        <f>SUMIFS('Data - Control'!$D$5:$D$296,'Data - Control'!$A$5:$A$296,$A116,'Data - Control'!$B$5:$B$296,$B116)</f>
        <v/>
      </c>
      <c r="E116" s="36">
        <f>SUMIFS('Data - Control'!$E$5:$E$296,'Data - Control'!$A$5:$A$296,$A116,'Data - Control'!$B$5:$B$296,$B116)</f>
        <v/>
      </c>
      <c r="F116" s="36">
        <f>SUMIFS('Data - Control'!$F$5:$F$296,'Data - Control'!$A$5:$A$296,$A116,'Data - Control'!$B$5:$B$296,$B116)</f>
        <v/>
      </c>
      <c r="G116" s="36">
        <f>SUMIFS('Data - Control'!$G$5:$G$296,'Data - Control'!$A$5:$A$296,$A116,'Data - Control'!$B$5:$B$296,$B116)</f>
        <v/>
      </c>
      <c r="H116" s="36">
        <f>SUMIFS('Data - Control'!$H$5:$H$296,'Data - Control'!$A$5:$A$296,$A116,'Data - Control'!$B$5:$B$296,$B116)</f>
        <v/>
      </c>
      <c r="I116" s="49">
        <f>IFERROR($G116/$C116,0)</f>
        <v/>
      </c>
      <c r="J116" s="49">
        <f>IFERROR($H116/$D116,0)</f>
        <v/>
      </c>
      <c r="K116" s="36">
        <f>$D116*$I116</f>
        <v/>
      </c>
      <c r="L116" s="36">
        <f>$D116*($J116-$I116)</f>
        <v/>
      </c>
      <c r="M116" s="44">
        <f>IFERROR($D116/$C116-1,"")</f>
        <v/>
      </c>
    </row>
    <row r="117">
      <c r="A117" s="41" t="inlineStr">
        <is>
          <t>Heineken USA</t>
        </is>
      </c>
      <c r="B117" s="41" t="inlineStr">
        <is>
          <t>Heineken Silver</t>
        </is>
      </c>
      <c r="C117" s="33">
        <f>SUMIFS('Data - Control'!$C$5:$C$296,'Data - Control'!$A$5:$A$296,$A117,'Data - Control'!$B$5:$B$296,$B117)</f>
        <v/>
      </c>
      <c r="D117" s="33">
        <f>SUMIFS('Data - Control'!$D$5:$D$296,'Data - Control'!$A$5:$A$296,$A117,'Data - Control'!$B$5:$B$296,$B117)</f>
        <v/>
      </c>
      <c r="E117" s="36">
        <f>SUMIFS('Data - Control'!$E$5:$E$296,'Data - Control'!$A$5:$A$296,$A117,'Data - Control'!$B$5:$B$296,$B117)</f>
        <v/>
      </c>
      <c r="F117" s="36">
        <f>SUMIFS('Data - Control'!$F$5:$F$296,'Data - Control'!$A$5:$A$296,$A117,'Data - Control'!$B$5:$B$296,$B117)</f>
        <v/>
      </c>
      <c r="G117" s="36">
        <f>SUMIFS('Data - Control'!$G$5:$G$296,'Data - Control'!$A$5:$A$296,$A117,'Data - Control'!$B$5:$B$296,$B117)</f>
        <v/>
      </c>
      <c r="H117" s="36">
        <f>SUMIFS('Data - Control'!$H$5:$H$296,'Data - Control'!$A$5:$A$296,$A117,'Data - Control'!$B$5:$B$296,$B117)</f>
        <v/>
      </c>
      <c r="I117" s="49">
        <f>IFERROR($G117/$C117,0)</f>
        <v/>
      </c>
      <c r="J117" s="49">
        <f>IFERROR($H117/$D117,0)</f>
        <v/>
      </c>
      <c r="K117" s="36">
        <f>$D117*$I117</f>
        <v/>
      </c>
      <c r="L117" s="36">
        <f>$D117*($J117-$I117)</f>
        <v/>
      </c>
      <c r="M117" s="44">
        <f>IFERROR($D117/$C117-1,"")</f>
        <v/>
      </c>
    </row>
    <row r="118">
      <c r="A118" s="41" t="inlineStr">
        <is>
          <t>Heineken USA</t>
        </is>
      </c>
      <c r="B118" s="41" t="inlineStr">
        <is>
          <t>Murphy's</t>
        </is>
      </c>
      <c r="C118" s="33">
        <f>SUMIFS('Data - Control'!$C$5:$C$296,'Data - Control'!$A$5:$A$296,$A118,'Data - Control'!$B$5:$B$296,$B118)</f>
        <v/>
      </c>
      <c r="D118" s="33">
        <f>SUMIFS('Data - Control'!$D$5:$D$296,'Data - Control'!$A$5:$A$296,$A118,'Data - Control'!$B$5:$B$296,$B118)</f>
        <v/>
      </c>
      <c r="E118" s="36">
        <f>SUMIFS('Data - Control'!$E$5:$E$296,'Data - Control'!$A$5:$A$296,$A118,'Data - Control'!$B$5:$B$296,$B118)</f>
        <v/>
      </c>
      <c r="F118" s="36">
        <f>SUMIFS('Data - Control'!$F$5:$F$296,'Data - Control'!$A$5:$A$296,$A118,'Data - Control'!$B$5:$B$296,$B118)</f>
        <v/>
      </c>
      <c r="G118" s="36">
        <f>SUMIFS('Data - Control'!$G$5:$G$296,'Data - Control'!$A$5:$A$296,$A118,'Data - Control'!$B$5:$B$296,$B118)</f>
        <v/>
      </c>
      <c r="H118" s="36">
        <f>SUMIFS('Data - Control'!$H$5:$H$296,'Data - Control'!$A$5:$A$296,$A118,'Data - Control'!$B$5:$B$296,$B118)</f>
        <v/>
      </c>
      <c r="I118" s="49">
        <f>IFERROR($G118/$C118,0)</f>
        <v/>
      </c>
      <c r="J118" s="49">
        <f>IFERROR($H118/$D118,0)</f>
        <v/>
      </c>
      <c r="K118" s="36">
        <f>$D118*$I118</f>
        <v/>
      </c>
      <c r="L118" s="36">
        <f>$D118*($J118-$I118)</f>
        <v/>
      </c>
      <c r="M118" s="44">
        <f>IFERROR($D118/$C118-1,"")</f>
        <v/>
      </c>
    </row>
    <row r="119">
      <c r="A119" s="41" t="inlineStr">
        <is>
          <t>Heineken USA</t>
        </is>
      </c>
      <c r="B119" s="41" t="inlineStr">
        <is>
          <t>Newcastle</t>
        </is>
      </c>
      <c r="C119" s="33">
        <f>SUMIFS('Data - Control'!$C$5:$C$296,'Data - Control'!$A$5:$A$296,$A119,'Data - Control'!$B$5:$B$296,$B119)</f>
        <v/>
      </c>
      <c r="D119" s="33">
        <f>SUMIFS('Data - Control'!$D$5:$D$296,'Data - Control'!$A$5:$A$296,$A119,'Data - Control'!$B$5:$B$296,$B119)</f>
        <v/>
      </c>
      <c r="E119" s="36">
        <f>SUMIFS('Data - Control'!$E$5:$E$296,'Data - Control'!$A$5:$A$296,$A119,'Data - Control'!$B$5:$B$296,$B119)</f>
        <v/>
      </c>
      <c r="F119" s="36">
        <f>SUMIFS('Data - Control'!$F$5:$F$296,'Data - Control'!$A$5:$A$296,$A119,'Data - Control'!$B$5:$B$296,$B119)</f>
        <v/>
      </c>
      <c r="G119" s="36">
        <f>SUMIFS('Data - Control'!$G$5:$G$296,'Data - Control'!$A$5:$A$296,$A119,'Data - Control'!$B$5:$B$296,$B119)</f>
        <v/>
      </c>
      <c r="H119" s="36">
        <f>SUMIFS('Data - Control'!$H$5:$H$296,'Data - Control'!$A$5:$A$296,$A119,'Data - Control'!$B$5:$B$296,$B119)</f>
        <v/>
      </c>
      <c r="I119" s="49">
        <f>IFERROR($G119/$C119,0)</f>
        <v/>
      </c>
      <c r="J119" s="49">
        <f>IFERROR($H119/$D119,0)</f>
        <v/>
      </c>
      <c r="K119" s="36">
        <f>$D119*$I119</f>
        <v/>
      </c>
      <c r="L119" s="36">
        <f>$D119*($J119-$I119)</f>
        <v/>
      </c>
      <c r="M119" s="44">
        <f>IFERROR($D119/$C119-1,"")</f>
        <v/>
      </c>
    </row>
    <row r="120">
      <c r="A120" s="41" t="inlineStr">
        <is>
          <t>Heineken USA</t>
        </is>
      </c>
      <c r="B120" s="41" t="inlineStr">
        <is>
          <t>Prestige Lager</t>
        </is>
      </c>
      <c r="C120" s="33">
        <f>SUMIFS('Data - Control'!$C$5:$C$296,'Data - Control'!$A$5:$A$296,$A120,'Data - Control'!$B$5:$B$296,$B120)</f>
        <v/>
      </c>
      <c r="D120" s="33">
        <f>SUMIFS('Data - Control'!$D$5:$D$296,'Data - Control'!$A$5:$A$296,$A120,'Data - Control'!$B$5:$B$296,$B120)</f>
        <v/>
      </c>
      <c r="E120" s="36">
        <f>SUMIFS('Data - Control'!$E$5:$E$296,'Data - Control'!$A$5:$A$296,$A120,'Data - Control'!$B$5:$B$296,$B120)</f>
        <v/>
      </c>
      <c r="F120" s="36">
        <f>SUMIFS('Data - Control'!$F$5:$F$296,'Data - Control'!$A$5:$A$296,$A120,'Data - Control'!$B$5:$B$296,$B120)</f>
        <v/>
      </c>
      <c r="G120" s="36">
        <f>SUMIFS('Data - Control'!$G$5:$G$296,'Data - Control'!$A$5:$A$296,$A120,'Data - Control'!$B$5:$B$296,$B120)</f>
        <v/>
      </c>
      <c r="H120" s="36">
        <f>SUMIFS('Data - Control'!$H$5:$H$296,'Data - Control'!$A$5:$A$296,$A120,'Data - Control'!$B$5:$B$296,$B120)</f>
        <v/>
      </c>
      <c r="I120" s="49">
        <f>IFERROR($G120/$C120,0)</f>
        <v/>
      </c>
      <c r="J120" s="49">
        <f>IFERROR($H120/$D120,0)</f>
        <v/>
      </c>
      <c r="K120" s="36">
        <f>$D120*$I120</f>
        <v/>
      </c>
      <c r="L120" s="36">
        <f>$D120*($J120-$I120)</f>
        <v/>
      </c>
      <c r="M120" s="44">
        <f>IFERROR($D120/$C120-1,"")</f>
        <v/>
      </c>
    </row>
    <row r="121">
      <c r="A121" s="41" t="inlineStr">
        <is>
          <t>Heineken USA</t>
        </is>
      </c>
      <c r="B121" s="41" t="inlineStr">
        <is>
          <t>Red Stripe</t>
        </is>
      </c>
      <c r="C121" s="33">
        <f>SUMIFS('Data - Control'!$C$5:$C$296,'Data - Control'!$A$5:$A$296,$A121,'Data - Control'!$B$5:$B$296,$B121)</f>
        <v/>
      </c>
      <c r="D121" s="33">
        <f>SUMIFS('Data - Control'!$D$5:$D$296,'Data - Control'!$A$5:$A$296,$A121,'Data - Control'!$B$5:$B$296,$B121)</f>
        <v/>
      </c>
      <c r="E121" s="36">
        <f>SUMIFS('Data - Control'!$E$5:$E$296,'Data - Control'!$A$5:$A$296,$A121,'Data - Control'!$B$5:$B$296,$B121)</f>
        <v/>
      </c>
      <c r="F121" s="36">
        <f>SUMIFS('Data - Control'!$F$5:$F$296,'Data - Control'!$A$5:$A$296,$A121,'Data - Control'!$B$5:$B$296,$B121)</f>
        <v/>
      </c>
      <c r="G121" s="36">
        <f>SUMIFS('Data - Control'!$G$5:$G$296,'Data - Control'!$A$5:$A$296,$A121,'Data - Control'!$B$5:$B$296,$B121)</f>
        <v/>
      </c>
      <c r="H121" s="36">
        <f>SUMIFS('Data - Control'!$H$5:$H$296,'Data - Control'!$A$5:$A$296,$A121,'Data - Control'!$B$5:$B$296,$B121)</f>
        <v/>
      </c>
      <c r="I121" s="49">
        <f>IFERROR($G121/$C121,0)</f>
        <v/>
      </c>
      <c r="J121" s="49">
        <f>IFERROR($H121/$D121,0)</f>
        <v/>
      </c>
      <c r="K121" s="36">
        <f>$D121*$I121</f>
        <v/>
      </c>
      <c r="L121" s="36">
        <f>$D121*($J121-$I121)</f>
        <v/>
      </c>
      <c r="M121" s="44">
        <f>IFERROR($D121/$C121-1,"")</f>
        <v/>
      </c>
    </row>
    <row r="122">
      <c r="A122" s="41" t="inlineStr">
        <is>
          <t>Heineken USA</t>
        </is>
      </c>
      <c r="B122" s="41" t="inlineStr">
        <is>
          <t>Strongbow</t>
        </is>
      </c>
      <c r="C122" s="33">
        <f>SUMIFS('Data - Control'!$C$5:$C$296,'Data - Control'!$A$5:$A$296,$A122,'Data - Control'!$B$5:$B$296,$B122)</f>
        <v/>
      </c>
      <c r="D122" s="33">
        <f>SUMIFS('Data - Control'!$D$5:$D$296,'Data - Control'!$A$5:$A$296,$A122,'Data - Control'!$B$5:$B$296,$B122)</f>
        <v/>
      </c>
      <c r="E122" s="36">
        <f>SUMIFS('Data - Control'!$E$5:$E$296,'Data - Control'!$A$5:$A$296,$A122,'Data - Control'!$B$5:$B$296,$B122)</f>
        <v/>
      </c>
      <c r="F122" s="36">
        <f>SUMIFS('Data - Control'!$F$5:$F$296,'Data - Control'!$A$5:$A$296,$A122,'Data - Control'!$B$5:$B$296,$B122)</f>
        <v/>
      </c>
      <c r="G122" s="36">
        <f>SUMIFS('Data - Control'!$G$5:$G$296,'Data - Control'!$A$5:$A$296,$A122,'Data - Control'!$B$5:$B$296,$B122)</f>
        <v/>
      </c>
      <c r="H122" s="36">
        <f>SUMIFS('Data - Control'!$H$5:$H$296,'Data - Control'!$A$5:$A$296,$A122,'Data - Control'!$B$5:$B$296,$B122)</f>
        <v/>
      </c>
      <c r="I122" s="49">
        <f>IFERROR($G122/$C122,0)</f>
        <v/>
      </c>
      <c r="J122" s="49">
        <f>IFERROR($H122/$D122,0)</f>
        <v/>
      </c>
      <c r="K122" s="36">
        <f>$D122*$I122</f>
        <v/>
      </c>
      <c r="L122" s="36">
        <f>$D122*($J122-$I122)</f>
        <v/>
      </c>
      <c r="M122" s="44">
        <f>IFERROR($D122/$C122-1,"")</f>
        <v/>
      </c>
    </row>
    <row r="123">
      <c r="A123" s="41" t="inlineStr">
        <is>
          <t>Heineken USA</t>
        </is>
      </c>
      <c r="B123" s="41" t="inlineStr">
        <is>
          <t>Tecate</t>
        </is>
      </c>
      <c r="C123" s="33">
        <f>SUMIFS('Data - Control'!$C$5:$C$296,'Data - Control'!$A$5:$A$296,$A123,'Data - Control'!$B$5:$B$296,$B123)</f>
        <v/>
      </c>
      <c r="D123" s="33">
        <f>SUMIFS('Data - Control'!$D$5:$D$296,'Data - Control'!$A$5:$A$296,$A123,'Data - Control'!$B$5:$B$296,$B123)</f>
        <v/>
      </c>
      <c r="E123" s="36">
        <f>SUMIFS('Data - Control'!$E$5:$E$296,'Data - Control'!$A$5:$A$296,$A123,'Data - Control'!$B$5:$B$296,$B123)</f>
        <v/>
      </c>
      <c r="F123" s="36">
        <f>SUMIFS('Data - Control'!$F$5:$F$296,'Data - Control'!$A$5:$A$296,$A123,'Data - Control'!$B$5:$B$296,$B123)</f>
        <v/>
      </c>
      <c r="G123" s="36">
        <f>SUMIFS('Data - Control'!$G$5:$G$296,'Data - Control'!$A$5:$A$296,$A123,'Data - Control'!$B$5:$B$296,$B123)</f>
        <v/>
      </c>
      <c r="H123" s="36">
        <f>SUMIFS('Data - Control'!$H$5:$H$296,'Data - Control'!$A$5:$A$296,$A123,'Data - Control'!$B$5:$B$296,$B123)</f>
        <v/>
      </c>
      <c r="I123" s="49">
        <f>IFERROR($G123/$C123,0)</f>
        <v/>
      </c>
      <c r="J123" s="49">
        <f>IFERROR($H123/$D123,0)</f>
        <v/>
      </c>
      <c r="K123" s="36">
        <f>$D123*$I123</f>
        <v/>
      </c>
      <c r="L123" s="36">
        <f>$D123*($J123-$I123)</f>
        <v/>
      </c>
      <c r="M123" s="44">
        <f>IFERROR($D123/$C123-1,"")</f>
        <v/>
      </c>
    </row>
    <row r="124">
      <c r="A124" s="41" t="inlineStr">
        <is>
          <t>Hofbrauhaus USA</t>
        </is>
      </c>
      <c r="B124" s="41" t="inlineStr">
        <is>
          <t>Hofbrau Usa</t>
        </is>
      </c>
      <c r="C124" s="33">
        <f>SUMIFS('Data - Control'!$C$5:$C$296,'Data - Control'!$A$5:$A$296,$A124,'Data - Control'!$B$5:$B$296,$B124)</f>
        <v/>
      </c>
      <c r="D124" s="33">
        <f>SUMIFS('Data - Control'!$D$5:$D$296,'Data - Control'!$A$5:$A$296,$A124,'Data - Control'!$B$5:$B$296,$B124)</f>
        <v/>
      </c>
      <c r="E124" s="36">
        <f>SUMIFS('Data - Control'!$E$5:$E$296,'Data - Control'!$A$5:$A$296,$A124,'Data - Control'!$B$5:$B$296,$B124)</f>
        <v/>
      </c>
      <c r="F124" s="36">
        <f>SUMIFS('Data - Control'!$F$5:$F$296,'Data - Control'!$A$5:$A$296,$A124,'Data - Control'!$B$5:$B$296,$B124)</f>
        <v/>
      </c>
      <c r="G124" s="36">
        <f>SUMIFS('Data - Control'!$G$5:$G$296,'Data - Control'!$A$5:$A$296,$A124,'Data - Control'!$B$5:$B$296,$B124)</f>
        <v/>
      </c>
      <c r="H124" s="36">
        <f>SUMIFS('Data - Control'!$H$5:$H$296,'Data - Control'!$A$5:$A$296,$A124,'Data - Control'!$B$5:$B$296,$B124)</f>
        <v/>
      </c>
      <c r="I124" s="49">
        <f>IFERROR($G124/$C124,0)</f>
        <v/>
      </c>
      <c r="J124" s="49">
        <f>IFERROR($H124/$D124,0)</f>
        <v/>
      </c>
      <c r="K124" s="36">
        <f>$D124*$I124</f>
        <v/>
      </c>
      <c r="L124" s="36">
        <f>$D124*($J124-$I124)</f>
        <v/>
      </c>
      <c r="M124" s="44">
        <f>IFERROR($D124/$C124-1,"")</f>
        <v/>
      </c>
    </row>
    <row r="125">
      <c r="A125" s="41" t="inlineStr">
        <is>
          <t>Hornell Brewing Company</t>
        </is>
      </c>
      <c r="B125" s="41" t="inlineStr">
        <is>
          <t>Arizona Hard</t>
        </is>
      </c>
      <c r="C125" s="33">
        <f>SUMIFS('Data - Control'!$C$5:$C$296,'Data - Control'!$A$5:$A$296,$A125,'Data - Control'!$B$5:$B$296,$B125)</f>
        <v/>
      </c>
      <c r="D125" s="33">
        <f>SUMIFS('Data - Control'!$D$5:$D$296,'Data - Control'!$A$5:$A$296,$A125,'Data - Control'!$B$5:$B$296,$B125)</f>
        <v/>
      </c>
      <c r="E125" s="36">
        <f>SUMIFS('Data - Control'!$E$5:$E$296,'Data - Control'!$A$5:$A$296,$A125,'Data - Control'!$B$5:$B$296,$B125)</f>
        <v/>
      </c>
      <c r="F125" s="36">
        <f>SUMIFS('Data - Control'!$F$5:$F$296,'Data - Control'!$A$5:$A$296,$A125,'Data - Control'!$B$5:$B$296,$B125)</f>
        <v/>
      </c>
      <c r="G125" s="36">
        <f>SUMIFS('Data - Control'!$G$5:$G$296,'Data - Control'!$A$5:$A$296,$A125,'Data - Control'!$B$5:$B$296,$B125)</f>
        <v/>
      </c>
      <c r="H125" s="36">
        <f>SUMIFS('Data - Control'!$H$5:$H$296,'Data - Control'!$A$5:$A$296,$A125,'Data - Control'!$B$5:$B$296,$B125)</f>
        <v/>
      </c>
      <c r="I125" s="49">
        <f>IFERROR($G125/$C125,0)</f>
        <v/>
      </c>
      <c r="J125" s="49">
        <f>IFERROR($H125/$D125,0)</f>
        <v/>
      </c>
      <c r="K125" s="36">
        <f>$D125*$I125</f>
        <v/>
      </c>
      <c r="L125" s="36">
        <f>$D125*($J125-$I125)</f>
        <v/>
      </c>
      <c r="M125" s="44">
        <f>IFERROR($D125/$C125-1,"")</f>
        <v/>
      </c>
    </row>
    <row r="126">
      <c r="A126" s="41" t="inlineStr">
        <is>
          <t>Island Brands USA</t>
        </is>
      </c>
      <c r="B126" s="41" t="inlineStr">
        <is>
          <t>Island Brands</t>
        </is>
      </c>
      <c r="C126" s="33">
        <f>SUMIFS('Data - Control'!$C$5:$C$296,'Data - Control'!$A$5:$A$296,$A126,'Data - Control'!$B$5:$B$296,$B126)</f>
        <v/>
      </c>
      <c r="D126" s="33">
        <f>SUMIFS('Data - Control'!$D$5:$D$296,'Data - Control'!$A$5:$A$296,$A126,'Data - Control'!$B$5:$B$296,$B126)</f>
        <v/>
      </c>
      <c r="E126" s="36">
        <f>SUMIFS('Data - Control'!$E$5:$E$296,'Data - Control'!$A$5:$A$296,$A126,'Data - Control'!$B$5:$B$296,$B126)</f>
        <v/>
      </c>
      <c r="F126" s="36">
        <f>SUMIFS('Data - Control'!$F$5:$F$296,'Data - Control'!$A$5:$A$296,$A126,'Data - Control'!$B$5:$B$296,$B126)</f>
        <v/>
      </c>
      <c r="G126" s="36">
        <f>SUMIFS('Data - Control'!$G$5:$G$296,'Data - Control'!$A$5:$A$296,$A126,'Data - Control'!$B$5:$B$296,$B126)</f>
        <v/>
      </c>
      <c r="H126" s="36">
        <f>SUMIFS('Data - Control'!$H$5:$H$296,'Data - Control'!$A$5:$A$296,$A126,'Data - Control'!$B$5:$B$296,$B126)</f>
        <v/>
      </c>
      <c r="I126" s="49">
        <f>IFERROR($G126/$C126,0)</f>
        <v/>
      </c>
      <c r="J126" s="49">
        <f>IFERROR($H126/$D126,0)</f>
        <v/>
      </c>
      <c r="K126" s="36">
        <f>$D126*$I126</f>
        <v/>
      </c>
      <c r="L126" s="36">
        <f>$D126*($J126-$I126)</f>
        <v/>
      </c>
      <c r="M126" s="44">
        <f>IFERROR($D126/$C126-1,"")</f>
        <v/>
      </c>
    </row>
    <row r="127">
      <c r="A127" s="41" t="inlineStr">
        <is>
          <t>Ithaca</t>
        </is>
      </c>
      <c r="B127" s="41" t="inlineStr">
        <is>
          <t>Ithaca</t>
        </is>
      </c>
      <c r="C127" s="33">
        <f>SUMIFS('Data - Control'!$C$5:$C$296,'Data - Control'!$A$5:$A$296,$A127,'Data - Control'!$B$5:$B$296,$B127)</f>
        <v/>
      </c>
      <c r="D127" s="33">
        <f>SUMIFS('Data - Control'!$D$5:$D$296,'Data - Control'!$A$5:$A$296,$A127,'Data - Control'!$B$5:$B$296,$B127)</f>
        <v/>
      </c>
      <c r="E127" s="36">
        <f>SUMIFS('Data - Control'!$E$5:$E$296,'Data - Control'!$A$5:$A$296,$A127,'Data - Control'!$B$5:$B$296,$B127)</f>
        <v/>
      </c>
      <c r="F127" s="36">
        <f>SUMIFS('Data - Control'!$F$5:$F$296,'Data - Control'!$A$5:$A$296,$A127,'Data - Control'!$B$5:$B$296,$B127)</f>
        <v/>
      </c>
      <c r="G127" s="36">
        <f>SUMIFS('Data - Control'!$G$5:$G$296,'Data - Control'!$A$5:$A$296,$A127,'Data - Control'!$B$5:$B$296,$B127)</f>
        <v/>
      </c>
      <c r="H127" s="36">
        <f>SUMIFS('Data - Control'!$H$5:$H$296,'Data - Control'!$A$5:$A$296,$A127,'Data - Control'!$B$5:$B$296,$B127)</f>
        <v/>
      </c>
      <c r="I127" s="49">
        <f>IFERROR($G127/$C127,0)</f>
        <v/>
      </c>
      <c r="J127" s="49">
        <f>IFERROR($H127/$D127,0)</f>
        <v/>
      </c>
      <c r="K127" s="36">
        <f>$D127*$I127</f>
        <v/>
      </c>
      <c r="L127" s="36">
        <f>$D127*($J127-$I127)</f>
        <v/>
      </c>
      <c r="M127" s="44">
        <f>IFERROR($D127/$C127-1,"")</f>
        <v/>
      </c>
    </row>
    <row r="128">
      <c r="A128" s="41" t="inlineStr">
        <is>
          <t>Jersey Girl</t>
        </is>
      </c>
      <c r="B128" s="41" t="inlineStr">
        <is>
          <t>Jersey Girl</t>
        </is>
      </c>
      <c r="C128" s="33">
        <f>SUMIFS('Data - Control'!$C$5:$C$296,'Data - Control'!$A$5:$A$296,$A128,'Data - Control'!$B$5:$B$296,$B128)</f>
        <v/>
      </c>
      <c r="D128" s="33">
        <f>SUMIFS('Data - Control'!$D$5:$D$296,'Data - Control'!$A$5:$A$296,$A128,'Data - Control'!$B$5:$B$296,$B128)</f>
        <v/>
      </c>
      <c r="E128" s="36">
        <f>SUMIFS('Data - Control'!$E$5:$E$296,'Data - Control'!$A$5:$A$296,$A128,'Data - Control'!$B$5:$B$296,$B128)</f>
        <v/>
      </c>
      <c r="F128" s="36">
        <f>SUMIFS('Data - Control'!$F$5:$F$296,'Data - Control'!$A$5:$A$296,$A128,'Data - Control'!$B$5:$B$296,$B128)</f>
        <v/>
      </c>
      <c r="G128" s="36">
        <f>SUMIFS('Data - Control'!$G$5:$G$296,'Data - Control'!$A$5:$A$296,$A128,'Data - Control'!$B$5:$B$296,$B128)</f>
        <v/>
      </c>
      <c r="H128" s="36">
        <f>SUMIFS('Data - Control'!$H$5:$H$296,'Data - Control'!$A$5:$A$296,$A128,'Data - Control'!$B$5:$B$296,$B128)</f>
        <v/>
      </c>
      <c r="I128" s="49">
        <f>IFERROR($G128/$C128,0)</f>
        <v/>
      </c>
      <c r="J128" s="49">
        <f>IFERROR($H128/$D128,0)</f>
        <v/>
      </c>
      <c r="K128" s="36">
        <f>$D128*$I128</f>
        <v/>
      </c>
      <c r="L128" s="36">
        <f>$D128*($J128-$I128)</f>
        <v/>
      </c>
      <c r="M128" s="44">
        <f>IFERROR($D128/$C128-1,"")</f>
        <v/>
      </c>
    </row>
    <row r="129">
      <c r="A129" s="41" t="inlineStr">
        <is>
          <t>Jerzey Jungle LLC</t>
        </is>
      </c>
      <c r="B129" s="41" t="inlineStr">
        <is>
          <t>Jerzey Jungle</t>
        </is>
      </c>
      <c r="C129" s="33">
        <f>SUMIFS('Data - Control'!$C$5:$C$296,'Data - Control'!$A$5:$A$296,$A129,'Data - Control'!$B$5:$B$296,$B129)</f>
        <v/>
      </c>
      <c r="D129" s="33">
        <f>SUMIFS('Data - Control'!$D$5:$D$296,'Data - Control'!$A$5:$A$296,$A129,'Data - Control'!$B$5:$B$296,$B129)</f>
        <v/>
      </c>
      <c r="E129" s="36">
        <f>SUMIFS('Data - Control'!$E$5:$E$296,'Data - Control'!$A$5:$A$296,$A129,'Data - Control'!$B$5:$B$296,$B129)</f>
        <v/>
      </c>
      <c r="F129" s="36">
        <f>SUMIFS('Data - Control'!$F$5:$F$296,'Data - Control'!$A$5:$A$296,$A129,'Data - Control'!$B$5:$B$296,$B129)</f>
        <v/>
      </c>
      <c r="G129" s="36">
        <f>SUMIFS('Data - Control'!$G$5:$G$296,'Data - Control'!$A$5:$A$296,$A129,'Data - Control'!$B$5:$B$296,$B129)</f>
        <v/>
      </c>
      <c r="H129" s="36">
        <f>SUMIFS('Data - Control'!$H$5:$H$296,'Data - Control'!$A$5:$A$296,$A129,'Data - Control'!$B$5:$B$296,$B129)</f>
        <v/>
      </c>
      <c r="I129" s="49">
        <f>IFERROR($G129/$C129,0)</f>
        <v/>
      </c>
      <c r="J129" s="49">
        <f>IFERROR($H129/$D129,0)</f>
        <v/>
      </c>
      <c r="K129" s="36">
        <f>$D129*$I129</f>
        <v/>
      </c>
      <c r="L129" s="36">
        <f>$D129*($J129-$I129)</f>
        <v/>
      </c>
      <c r="M129" s="44">
        <f>IFERROR($D129/$C129-1,"")</f>
        <v/>
      </c>
    </row>
    <row r="130">
      <c r="A130" s="41" t="inlineStr">
        <is>
          <t>Lagunitas Brewing Co</t>
        </is>
      </c>
      <c r="B130" s="41" t="inlineStr">
        <is>
          <t>Lagunitas</t>
        </is>
      </c>
      <c r="C130" s="33">
        <f>SUMIFS('Data - Control'!$C$5:$C$296,'Data - Control'!$A$5:$A$296,$A130,'Data - Control'!$B$5:$B$296,$B130)</f>
        <v/>
      </c>
      <c r="D130" s="33">
        <f>SUMIFS('Data - Control'!$D$5:$D$296,'Data - Control'!$A$5:$A$296,$A130,'Data - Control'!$B$5:$B$296,$B130)</f>
        <v/>
      </c>
      <c r="E130" s="36">
        <f>SUMIFS('Data - Control'!$E$5:$E$296,'Data - Control'!$A$5:$A$296,$A130,'Data - Control'!$B$5:$B$296,$B130)</f>
        <v/>
      </c>
      <c r="F130" s="36">
        <f>SUMIFS('Data - Control'!$F$5:$F$296,'Data - Control'!$A$5:$A$296,$A130,'Data - Control'!$B$5:$B$296,$B130)</f>
        <v/>
      </c>
      <c r="G130" s="36">
        <f>SUMIFS('Data - Control'!$G$5:$G$296,'Data - Control'!$A$5:$A$296,$A130,'Data - Control'!$B$5:$B$296,$B130)</f>
        <v/>
      </c>
      <c r="H130" s="36">
        <f>SUMIFS('Data - Control'!$H$5:$H$296,'Data - Control'!$A$5:$A$296,$A130,'Data - Control'!$B$5:$B$296,$B130)</f>
        <v/>
      </c>
      <c r="I130" s="49">
        <f>IFERROR($G130/$C130,0)</f>
        <v/>
      </c>
      <c r="J130" s="49">
        <f>IFERROR($H130/$D130,0)</f>
        <v/>
      </c>
      <c r="K130" s="36">
        <f>$D130*$I130</f>
        <v/>
      </c>
      <c r="L130" s="36">
        <f>$D130*($J130-$I130)</f>
        <v/>
      </c>
      <c r="M130" s="44">
        <f>IFERROR($D130/$C130-1,"")</f>
        <v/>
      </c>
    </row>
    <row r="131">
      <c r="A131" s="41" t="inlineStr">
        <is>
          <t>Lagunitas Brewing Co</t>
        </is>
      </c>
      <c r="B131" s="41" t="inlineStr">
        <is>
          <t>Lagunitas NA</t>
        </is>
      </c>
      <c r="C131" s="33">
        <f>SUMIFS('Data - Control'!$C$5:$C$296,'Data - Control'!$A$5:$A$296,$A131,'Data - Control'!$B$5:$B$296,$B131)</f>
        <v/>
      </c>
      <c r="D131" s="33">
        <f>SUMIFS('Data - Control'!$D$5:$D$296,'Data - Control'!$A$5:$A$296,$A131,'Data - Control'!$B$5:$B$296,$B131)</f>
        <v/>
      </c>
      <c r="E131" s="36">
        <f>SUMIFS('Data - Control'!$E$5:$E$296,'Data - Control'!$A$5:$A$296,$A131,'Data - Control'!$B$5:$B$296,$B131)</f>
        <v/>
      </c>
      <c r="F131" s="36">
        <f>SUMIFS('Data - Control'!$F$5:$F$296,'Data - Control'!$A$5:$A$296,$A131,'Data - Control'!$B$5:$B$296,$B131)</f>
        <v/>
      </c>
      <c r="G131" s="36">
        <f>SUMIFS('Data - Control'!$G$5:$G$296,'Data - Control'!$A$5:$A$296,$A131,'Data - Control'!$B$5:$B$296,$B131)</f>
        <v/>
      </c>
      <c r="H131" s="36">
        <f>SUMIFS('Data - Control'!$H$5:$H$296,'Data - Control'!$A$5:$A$296,$A131,'Data - Control'!$B$5:$B$296,$B131)</f>
        <v/>
      </c>
      <c r="I131" s="49">
        <f>IFERROR($G131/$C131,0)</f>
        <v/>
      </c>
      <c r="J131" s="49">
        <f>IFERROR($H131/$D131,0)</f>
        <v/>
      </c>
      <c r="K131" s="36">
        <f>$D131*$I131</f>
        <v/>
      </c>
      <c r="L131" s="36">
        <f>$D131*($J131-$I131)</f>
        <v/>
      </c>
      <c r="M131" s="44">
        <f>IFERROR($D131/$C131-1,"")</f>
        <v/>
      </c>
    </row>
    <row r="132">
      <c r="A132" s="41" t="inlineStr">
        <is>
          <t>Licores Artesanales</t>
        </is>
      </c>
      <c r="B132" s="41" t="inlineStr">
        <is>
          <t>Desquite</t>
        </is>
      </c>
      <c r="C132" s="33">
        <f>SUMIFS('Data - Control'!$C$5:$C$296,'Data - Control'!$A$5:$A$296,$A132,'Data - Control'!$B$5:$B$296,$B132)</f>
        <v/>
      </c>
      <c r="D132" s="33">
        <f>SUMIFS('Data - Control'!$D$5:$D$296,'Data - Control'!$A$5:$A$296,$A132,'Data - Control'!$B$5:$B$296,$B132)</f>
        <v/>
      </c>
      <c r="E132" s="36">
        <f>SUMIFS('Data - Control'!$E$5:$E$296,'Data - Control'!$A$5:$A$296,$A132,'Data - Control'!$B$5:$B$296,$B132)</f>
        <v/>
      </c>
      <c r="F132" s="36">
        <f>SUMIFS('Data - Control'!$F$5:$F$296,'Data - Control'!$A$5:$A$296,$A132,'Data - Control'!$B$5:$B$296,$B132)</f>
        <v/>
      </c>
      <c r="G132" s="36">
        <f>SUMIFS('Data - Control'!$G$5:$G$296,'Data - Control'!$A$5:$A$296,$A132,'Data - Control'!$B$5:$B$296,$B132)</f>
        <v/>
      </c>
      <c r="H132" s="36">
        <f>SUMIFS('Data - Control'!$H$5:$H$296,'Data - Control'!$A$5:$A$296,$A132,'Data - Control'!$B$5:$B$296,$B132)</f>
        <v/>
      </c>
      <c r="I132" s="49">
        <f>IFERROR($G132/$C132,0)</f>
        <v/>
      </c>
      <c r="J132" s="49">
        <f>IFERROR($H132/$D132,0)</f>
        <v/>
      </c>
      <c r="K132" s="36">
        <f>$D132*$I132</f>
        <v/>
      </c>
      <c r="L132" s="36">
        <f>$D132*($J132-$I132)</f>
        <v/>
      </c>
      <c r="M132" s="44">
        <f>IFERROR($D132/$C132-1,"")</f>
        <v/>
      </c>
    </row>
    <row r="133">
      <c r="A133" s="41" t="inlineStr">
        <is>
          <t>Little Water Distillery</t>
        </is>
      </c>
      <c r="B133" s="41" t="inlineStr">
        <is>
          <t>48 Blocks</t>
        </is>
      </c>
      <c r="C133" s="33">
        <f>SUMIFS('Data - Control'!$C$5:$C$296,'Data - Control'!$A$5:$A$296,$A133,'Data - Control'!$B$5:$B$296,$B133)</f>
        <v/>
      </c>
      <c r="D133" s="33">
        <f>SUMIFS('Data - Control'!$D$5:$D$296,'Data - Control'!$A$5:$A$296,$A133,'Data - Control'!$B$5:$B$296,$B133)</f>
        <v/>
      </c>
      <c r="E133" s="36">
        <f>SUMIFS('Data - Control'!$E$5:$E$296,'Data - Control'!$A$5:$A$296,$A133,'Data - Control'!$B$5:$B$296,$B133)</f>
        <v/>
      </c>
      <c r="F133" s="36">
        <f>SUMIFS('Data - Control'!$F$5:$F$296,'Data - Control'!$A$5:$A$296,$A133,'Data - Control'!$B$5:$B$296,$B133)</f>
        <v/>
      </c>
      <c r="G133" s="36">
        <f>SUMIFS('Data - Control'!$G$5:$G$296,'Data - Control'!$A$5:$A$296,$A133,'Data - Control'!$B$5:$B$296,$B133)</f>
        <v/>
      </c>
      <c r="H133" s="36">
        <f>SUMIFS('Data - Control'!$H$5:$H$296,'Data - Control'!$A$5:$A$296,$A133,'Data - Control'!$B$5:$B$296,$B133)</f>
        <v/>
      </c>
      <c r="I133" s="49">
        <f>IFERROR($G133/$C133,0)</f>
        <v/>
      </c>
      <c r="J133" s="49">
        <f>IFERROR($H133/$D133,0)</f>
        <v/>
      </c>
      <c r="K133" s="36">
        <f>$D133*$I133</f>
        <v/>
      </c>
      <c r="L133" s="36">
        <f>$D133*($J133-$I133)</f>
        <v/>
      </c>
      <c r="M133" s="44">
        <f>IFERROR($D133/$C133-1,"")</f>
        <v/>
      </c>
    </row>
    <row r="134">
      <c r="A134" s="41" t="inlineStr">
        <is>
          <t>Little Water Distillery</t>
        </is>
      </c>
      <c r="B134" s="41" t="inlineStr">
        <is>
          <t>Rusted Revolver</t>
        </is>
      </c>
      <c r="C134" s="33">
        <f>SUMIFS('Data - Control'!$C$5:$C$296,'Data - Control'!$A$5:$A$296,$A134,'Data - Control'!$B$5:$B$296,$B134)</f>
        <v/>
      </c>
      <c r="D134" s="33">
        <f>SUMIFS('Data - Control'!$D$5:$D$296,'Data - Control'!$A$5:$A$296,$A134,'Data - Control'!$B$5:$B$296,$B134)</f>
        <v/>
      </c>
      <c r="E134" s="36">
        <f>SUMIFS('Data - Control'!$E$5:$E$296,'Data - Control'!$A$5:$A$296,$A134,'Data - Control'!$B$5:$B$296,$B134)</f>
        <v/>
      </c>
      <c r="F134" s="36">
        <f>SUMIFS('Data - Control'!$F$5:$F$296,'Data - Control'!$A$5:$A$296,$A134,'Data - Control'!$B$5:$B$296,$B134)</f>
        <v/>
      </c>
      <c r="G134" s="36">
        <f>SUMIFS('Data - Control'!$G$5:$G$296,'Data - Control'!$A$5:$A$296,$A134,'Data - Control'!$B$5:$B$296,$B134)</f>
        <v/>
      </c>
      <c r="H134" s="36">
        <f>SUMIFS('Data - Control'!$H$5:$H$296,'Data - Control'!$A$5:$A$296,$A134,'Data - Control'!$B$5:$B$296,$B134)</f>
        <v/>
      </c>
      <c r="I134" s="49">
        <f>IFERROR($G134/$C134,0)</f>
        <v/>
      </c>
      <c r="J134" s="49">
        <f>IFERROR($H134/$D134,0)</f>
        <v/>
      </c>
      <c r="K134" s="36">
        <f>$D134*$I134</f>
        <v/>
      </c>
      <c r="L134" s="36">
        <f>$D134*($J134-$I134)</f>
        <v/>
      </c>
      <c r="M134" s="44">
        <f>IFERROR($D134/$C134-1,"")</f>
        <v/>
      </c>
    </row>
    <row r="135">
      <c r="A135" s="41" t="inlineStr">
        <is>
          <t>Little Water Distillery</t>
        </is>
      </c>
      <c r="B135" s="41" t="inlineStr">
        <is>
          <t>Whitecap</t>
        </is>
      </c>
      <c r="C135" s="33">
        <f>SUMIFS('Data - Control'!$C$5:$C$296,'Data - Control'!$A$5:$A$296,$A135,'Data - Control'!$B$5:$B$296,$B135)</f>
        <v/>
      </c>
      <c r="D135" s="33">
        <f>SUMIFS('Data - Control'!$D$5:$D$296,'Data - Control'!$A$5:$A$296,$A135,'Data - Control'!$B$5:$B$296,$B135)</f>
        <v/>
      </c>
      <c r="E135" s="36">
        <f>SUMIFS('Data - Control'!$E$5:$E$296,'Data - Control'!$A$5:$A$296,$A135,'Data - Control'!$B$5:$B$296,$B135)</f>
        <v/>
      </c>
      <c r="F135" s="36">
        <f>SUMIFS('Data - Control'!$F$5:$F$296,'Data - Control'!$A$5:$A$296,$A135,'Data - Control'!$B$5:$B$296,$B135)</f>
        <v/>
      </c>
      <c r="G135" s="36">
        <f>SUMIFS('Data - Control'!$G$5:$G$296,'Data - Control'!$A$5:$A$296,$A135,'Data - Control'!$B$5:$B$296,$B135)</f>
        <v/>
      </c>
      <c r="H135" s="36">
        <f>SUMIFS('Data - Control'!$H$5:$H$296,'Data - Control'!$A$5:$A$296,$A135,'Data - Control'!$B$5:$B$296,$B135)</f>
        <v/>
      </c>
      <c r="I135" s="49">
        <f>IFERROR($G135/$C135,0)</f>
        <v/>
      </c>
      <c r="J135" s="49">
        <f>IFERROR($H135/$D135,0)</f>
        <v/>
      </c>
      <c r="K135" s="36">
        <f>$D135*$I135</f>
        <v/>
      </c>
      <c r="L135" s="36">
        <f>$D135*($J135-$I135)</f>
        <v/>
      </c>
      <c r="M135" s="44">
        <f>IFERROR($D135/$C135-1,"")</f>
        <v/>
      </c>
    </row>
    <row r="136">
      <c r="A136" s="41" t="inlineStr">
        <is>
          <t>Lo Secco LLC</t>
        </is>
      </c>
      <c r="B136" s="41" t="inlineStr">
        <is>
          <t>Lo Secco</t>
        </is>
      </c>
      <c r="C136" s="33">
        <f>SUMIFS('Data - Control'!$C$5:$C$296,'Data - Control'!$A$5:$A$296,$A136,'Data - Control'!$B$5:$B$296,$B136)</f>
        <v/>
      </c>
      <c r="D136" s="33">
        <f>SUMIFS('Data - Control'!$D$5:$D$296,'Data - Control'!$A$5:$A$296,$A136,'Data - Control'!$B$5:$B$296,$B136)</f>
        <v/>
      </c>
      <c r="E136" s="36">
        <f>SUMIFS('Data - Control'!$E$5:$E$296,'Data - Control'!$A$5:$A$296,$A136,'Data - Control'!$B$5:$B$296,$B136)</f>
        <v/>
      </c>
      <c r="F136" s="36">
        <f>SUMIFS('Data - Control'!$F$5:$F$296,'Data - Control'!$A$5:$A$296,$A136,'Data - Control'!$B$5:$B$296,$B136)</f>
        <v/>
      </c>
      <c r="G136" s="36">
        <f>SUMIFS('Data - Control'!$G$5:$G$296,'Data - Control'!$A$5:$A$296,$A136,'Data - Control'!$B$5:$B$296,$B136)</f>
        <v/>
      </c>
      <c r="H136" s="36">
        <f>SUMIFS('Data - Control'!$H$5:$H$296,'Data - Control'!$A$5:$A$296,$A136,'Data - Control'!$B$5:$B$296,$B136)</f>
        <v/>
      </c>
      <c r="I136" s="49">
        <f>IFERROR($G136/$C136,0)</f>
        <v/>
      </c>
      <c r="J136" s="49">
        <f>IFERROR($H136/$D136,0)</f>
        <v/>
      </c>
      <c r="K136" s="36">
        <f>$D136*$I136</f>
        <v/>
      </c>
      <c r="L136" s="36">
        <f>$D136*($J136-$I136)</f>
        <v/>
      </c>
      <c r="M136" s="44">
        <f>IFERROR($D136/$C136-1,"")</f>
        <v/>
      </c>
    </row>
    <row r="137">
      <c r="A137" s="41" t="inlineStr">
        <is>
          <t>Local Choice Inc</t>
        </is>
      </c>
      <c r="B137" s="41" t="inlineStr">
        <is>
          <t>Striped Pig</t>
        </is>
      </c>
      <c r="C137" s="33">
        <f>SUMIFS('Data - Control'!$C$5:$C$296,'Data - Control'!$A$5:$A$296,$A137,'Data - Control'!$B$5:$B$296,$B137)</f>
        <v/>
      </c>
      <c r="D137" s="33">
        <f>SUMIFS('Data - Control'!$D$5:$D$296,'Data - Control'!$A$5:$A$296,$A137,'Data - Control'!$B$5:$B$296,$B137)</f>
        <v/>
      </c>
      <c r="E137" s="36">
        <f>SUMIFS('Data - Control'!$E$5:$E$296,'Data - Control'!$A$5:$A$296,$A137,'Data - Control'!$B$5:$B$296,$B137)</f>
        <v/>
      </c>
      <c r="F137" s="36">
        <f>SUMIFS('Data - Control'!$F$5:$F$296,'Data - Control'!$A$5:$A$296,$A137,'Data - Control'!$B$5:$B$296,$B137)</f>
        <v/>
      </c>
      <c r="G137" s="36">
        <f>SUMIFS('Data - Control'!$G$5:$G$296,'Data - Control'!$A$5:$A$296,$A137,'Data - Control'!$B$5:$B$296,$B137)</f>
        <v/>
      </c>
      <c r="H137" s="36">
        <f>SUMIFS('Data - Control'!$H$5:$H$296,'Data - Control'!$A$5:$A$296,$A137,'Data - Control'!$B$5:$B$296,$B137)</f>
        <v/>
      </c>
      <c r="I137" s="49">
        <f>IFERROR($G137/$C137,0)</f>
        <v/>
      </c>
      <c r="J137" s="49">
        <f>IFERROR($H137/$D137,0)</f>
        <v/>
      </c>
      <c r="K137" s="36">
        <f>$D137*$I137</f>
        <v/>
      </c>
      <c r="L137" s="36">
        <f>$D137*($J137-$I137)</f>
        <v/>
      </c>
      <c r="M137" s="44">
        <f>IFERROR($D137/$C137-1,"")</f>
        <v/>
      </c>
    </row>
    <row r="138">
      <c r="A138" s="41" t="inlineStr">
        <is>
          <t>Lodo Brands</t>
        </is>
      </c>
      <c r="B138" s="41" t="inlineStr">
        <is>
          <t>LoDo</t>
        </is>
      </c>
      <c r="C138" s="33">
        <f>SUMIFS('Data - Control'!$C$5:$C$296,'Data - Control'!$A$5:$A$296,$A138,'Data - Control'!$B$5:$B$296,$B138)</f>
        <v/>
      </c>
      <c r="D138" s="33">
        <f>SUMIFS('Data - Control'!$D$5:$D$296,'Data - Control'!$A$5:$A$296,$A138,'Data - Control'!$B$5:$B$296,$B138)</f>
        <v/>
      </c>
      <c r="E138" s="36">
        <f>SUMIFS('Data - Control'!$E$5:$E$296,'Data - Control'!$A$5:$A$296,$A138,'Data - Control'!$B$5:$B$296,$B138)</f>
        <v/>
      </c>
      <c r="F138" s="36">
        <f>SUMIFS('Data - Control'!$F$5:$F$296,'Data - Control'!$A$5:$A$296,$A138,'Data - Control'!$B$5:$B$296,$B138)</f>
        <v/>
      </c>
      <c r="G138" s="36">
        <f>SUMIFS('Data - Control'!$G$5:$G$296,'Data - Control'!$A$5:$A$296,$A138,'Data - Control'!$B$5:$B$296,$B138)</f>
        <v/>
      </c>
      <c r="H138" s="36">
        <f>SUMIFS('Data - Control'!$H$5:$H$296,'Data - Control'!$A$5:$A$296,$A138,'Data - Control'!$B$5:$B$296,$B138)</f>
        <v/>
      </c>
      <c r="I138" s="49">
        <f>IFERROR($G138/$C138,0)</f>
        <v/>
      </c>
      <c r="J138" s="49">
        <f>IFERROR($H138/$D138,0)</f>
        <v/>
      </c>
      <c r="K138" s="36">
        <f>$D138*$I138</f>
        <v/>
      </c>
      <c r="L138" s="36">
        <f>$D138*($J138-$I138)</f>
        <v/>
      </c>
      <c r="M138" s="44">
        <f>IFERROR($D138/$C138-1,"")</f>
        <v/>
      </c>
    </row>
    <row r="139">
      <c r="A139" s="41" t="inlineStr">
        <is>
          <t>Mark Anthony</t>
        </is>
      </c>
      <c r="B139" s="41" t="inlineStr">
        <is>
          <t>Dillon's Cocktails</t>
        </is>
      </c>
      <c r="C139" s="33">
        <f>SUMIFS('Data - Control'!$C$5:$C$296,'Data - Control'!$A$5:$A$296,$A139,'Data - Control'!$B$5:$B$296,$B139)</f>
        <v/>
      </c>
      <c r="D139" s="33">
        <f>SUMIFS('Data - Control'!$D$5:$D$296,'Data - Control'!$A$5:$A$296,$A139,'Data - Control'!$B$5:$B$296,$B139)</f>
        <v/>
      </c>
      <c r="E139" s="36">
        <f>SUMIFS('Data - Control'!$E$5:$E$296,'Data - Control'!$A$5:$A$296,$A139,'Data - Control'!$B$5:$B$296,$B139)</f>
        <v/>
      </c>
      <c r="F139" s="36">
        <f>SUMIFS('Data - Control'!$F$5:$F$296,'Data - Control'!$A$5:$A$296,$A139,'Data - Control'!$B$5:$B$296,$B139)</f>
        <v/>
      </c>
      <c r="G139" s="36">
        <f>SUMIFS('Data - Control'!$G$5:$G$296,'Data - Control'!$A$5:$A$296,$A139,'Data - Control'!$B$5:$B$296,$B139)</f>
        <v/>
      </c>
      <c r="H139" s="36">
        <f>SUMIFS('Data - Control'!$H$5:$H$296,'Data - Control'!$A$5:$A$296,$A139,'Data - Control'!$B$5:$B$296,$B139)</f>
        <v/>
      </c>
      <c r="I139" s="49">
        <f>IFERROR($G139/$C139,0)</f>
        <v/>
      </c>
      <c r="J139" s="49">
        <f>IFERROR($H139/$D139,0)</f>
        <v/>
      </c>
      <c r="K139" s="36">
        <f>$D139*$I139</f>
        <v/>
      </c>
      <c r="L139" s="36">
        <f>$D139*($J139-$I139)</f>
        <v/>
      </c>
      <c r="M139" s="44">
        <f>IFERROR($D139/$C139-1,"")</f>
        <v/>
      </c>
    </row>
    <row r="140">
      <c r="A140" s="41" t="inlineStr">
        <is>
          <t>Mark Anthony</t>
        </is>
      </c>
      <c r="B140" s="41" t="inlineStr">
        <is>
          <t>Mike's Hard Dirty Lemonade</t>
        </is>
      </c>
      <c r="C140" s="33">
        <f>SUMIFS('Data - Control'!$C$5:$C$296,'Data - Control'!$A$5:$A$296,$A140,'Data - Control'!$B$5:$B$296,$B140)</f>
        <v/>
      </c>
      <c r="D140" s="33">
        <f>SUMIFS('Data - Control'!$D$5:$D$296,'Data - Control'!$A$5:$A$296,$A140,'Data - Control'!$B$5:$B$296,$B140)</f>
        <v/>
      </c>
      <c r="E140" s="36">
        <f>SUMIFS('Data - Control'!$E$5:$E$296,'Data - Control'!$A$5:$A$296,$A140,'Data - Control'!$B$5:$B$296,$B140)</f>
        <v/>
      </c>
      <c r="F140" s="36">
        <f>SUMIFS('Data - Control'!$F$5:$F$296,'Data - Control'!$A$5:$A$296,$A140,'Data - Control'!$B$5:$B$296,$B140)</f>
        <v/>
      </c>
      <c r="G140" s="36">
        <f>SUMIFS('Data - Control'!$G$5:$G$296,'Data - Control'!$A$5:$A$296,$A140,'Data - Control'!$B$5:$B$296,$B140)</f>
        <v/>
      </c>
      <c r="H140" s="36">
        <f>SUMIFS('Data - Control'!$H$5:$H$296,'Data - Control'!$A$5:$A$296,$A140,'Data - Control'!$B$5:$B$296,$B140)</f>
        <v/>
      </c>
      <c r="I140" s="49">
        <f>IFERROR($G140/$C140,0)</f>
        <v/>
      </c>
      <c r="J140" s="49">
        <f>IFERROR($H140/$D140,0)</f>
        <v/>
      </c>
      <c r="K140" s="36">
        <f>$D140*$I140</f>
        <v/>
      </c>
      <c r="L140" s="36">
        <f>$D140*($J140-$I140)</f>
        <v/>
      </c>
      <c r="M140" s="44">
        <f>IFERROR($D140/$C140-1,"")</f>
        <v/>
      </c>
    </row>
    <row r="141">
      <c r="A141" s="41" t="inlineStr">
        <is>
          <t>Mark Anthony</t>
        </is>
      </c>
      <c r="B141" s="41" t="inlineStr">
        <is>
          <t>Mike's Hard Lemonade</t>
        </is>
      </c>
      <c r="C141" s="33">
        <f>SUMIFS('Data - Control'!$C$5:$C$296,'Data - Control'!$A$5:$A$296,$A141,'Data - Control'!$B$5:$B$296,$B141)</f>
        <v/>
      </c>
      <c r="D141" s="33">
        <f>SUMIFS('Data - Control'!$D$5:$D$296,'Data - Control'!$A$5:$A$296,$A141,'Data - Control'!$B$5:$B$296,$B141)</f>
        <v/>
      </c>
      <c r="E141" s="36">
        <f>SUMIFS('Data - Control'!$E$5:$E$296,'Data - Control'!$A$5:$A$296,$A141,'Data - Control'!$B$5:$B$296,$B141)</f>
        <v/>
      </c>
      <c r="F141" s="36">
        <f>SUMIFS('Data - Control'!$F$5:$F$296,'Data - Control'!$A$5:$A$296,$A141,'Data - Control'!$B$5:$B$296,$B141)</f>
        <v/>
      </c>
      <c r="G141" s="36">
        <f>SUMIFS('Data - Control'!$G$5:$G$296,'Data - Control'!$A$5:$A$296,$A141,'Data - Control'!$B$5:$B$296,$B141)</f>
        <v/>
      </c>
      <c r="H141" s="36">
        <f>SUMIFS('Data - Control'!$H$5:$H$296,'Data - Control'!$A$5:$A$296,$A141,'Data - Control'!$B$5:$B$296,$B141)</f>
        <v/>
      </c>
      <c r="I141" s="49">
        <f>IFERROR($G141/$C141,0)</f>
        <v/>
      </c>
      <c r="J141" s="49">
        <f>IFERROR($H141/$D141,0)</f>
        <v/>
      </c>
      <c r="K141" s="36">
        <f>$D141*$I141</f>
        <v/>
      </c>
      <c r="L141" s="36">
        <f>$D141*($J141-$I141)</f>
        <v/>
      </c>
      <c r="M141" s="44">
        <f>IFERROR($D141/$C141-1,"")</f>
        <v/>
      </c>
    </row>
    <row r="142">
      <c r="A142" s="41" t="inlineStr">
        <is>
          <t>Mark Anthony</t>
        </is>
      </c>
      <c r="B142" s="41" t="inlineStr">
        <is>
          <t>Ole</t>
        </is>
      </c>
      <c r="C142" s="33">
        <f>SUMIFS('Data - Control'!$C$5:$C$296,'Data - Control'!$A$5:$A$296,$A142,'Data - Control'!$B$5:$B$296,$B142)</f>
        <v/>
      </c>
      <c r="D142" s="33">
        <f>SUMIFS('Data - Control'!$D$5:$D$296,'Data - Control'!$A$5:$A$296,$A142,'Data - Control'!$B$5:$B$296,$B142)</f>
        <v/>
      </c>
      <c r="E142" s="36">
        <f>SUMIFS('Data - Control'!$E$5:$E$296,'Data - Control'!$A$5:$A$296,$A142,'Data - Control'!$B$5:$B$296,$B142)</f>
        <v/>
      </c>
      <c r="F142" s="36">
        <f>SUMIFS('Data - Control'!$F$5:$F$296,'Data - Control'!$A$5:$A$296,$A142,'Data - Control'!$B$5:$B$296,$B142)</f>
        <v/>
      </c>
      <c r="G142" s="36">
        <f>SUMIFS('Data - Control'!$G$5:$G$296,'Data - Control'!$A$5:$A$296,$A142,'Data - Control'!$B$5:$B$296,$B142)</f>
        <v/>
      </c>
      <c r="H142" s="36">
        <f>SUMIFS('Data - Control'!$H$5:$H$296,'Data - Control'!$A$5:$A$296,$A142,'Data - Control'!$B$5:$B$296,$B142)</f>
        <v/>
      </c>
      <c r="I142" s="49">
        <f>IFERROR($G142/$C142,0)</f>
        <v/>
      </c>
      <c r="J142" s="49">
        <f>IFERROR($H142/$D142,0)</f>
        <v/>
      </c>
      <c r="K142" s="36">
        <f>$D142*$I142</f>
        <v/>
      </c>
      <c r="L142" s="36">
        <f>$D142*($J142-$I142)</f>
        <v/>
      </c>
      <c r="M142" s="44">
        <f>IFERROR($D142/$C142-1,"")</f>
        <v/>
      </c>
    </row>
    <row r="143">
      <c r="A143" s="41" t="inlineStr">
        <is>
          <t>Misc</t>
        </is>
      </c>
      <c r="B143" s="41" t="inlineStr">
        <is>
          <t>Misc</t>
        </is>
      </c>
      <c r="C143" s="33">
        <f>SUMIFS('Data - Control'!$C$5:$C$296,'Data - Control'!$A$5:$A$296,$A143,'Data - Control'!$B$5:$B$296,$B143)</f>
        <v/>
      </c>
      <c r="D143" s="33">
        <f>SUMIFS('Data - Control'!$D$5:$D$296,'Data - Control'!$A$5:$A$296,$A143,'Data - Control'!$B$5:$B$296,$B143)</f>
        <v/>
      </c>
      <c r="E143" s="36">
        <f>SUMIFS('Data - Control'!$E$5:$E$296,'Data - Control'!$A$5:$A$296,$A143,'Data - Control'!$B$5:$B$296,$B143)</f>
        <v/>
      </c>
      <c r="F143" s="36">
        <f>SUMIFS('Data - Control'!$F$5:$F$296,'Data - Control'!$A$5:$A$296,$A143,'Data - Control'!$B$5:$B$296,$B143)</f>
        <v/>
      </c>
      <c r="G143" s="36">
        <f>SUMIFS('Data - Control'!$G$5:$G$296,'Data - Control'!$A$5:$A$296,$A143,'Data - Control'!$B$5:$B$296,$B143)</f>
        <v/>
      </c>
      <c r="H143" s="36">
        <f>SUMIFS('Data - Control'!$H$5:$H$296,'Data - Control'!$A$5:$A$296,$A143,'Data - Control'!$B$5:$B$296,$B143)</f>
        <v/>
      </c>
      <c r="I143" s="49">
        <f>IFERROR($G143/$C143,0)</f>
        <v/>
      </c>
      <c r="J143" s="49">
        <f>IFERROR($H143/$D143,0)</f>
        <v/>
      </c>
      <c r="K143" s="36">
        <f>$D143*$I143</f>
        <v/>
      </c>
      <c r="L143" s="36">
        <f>$D143*($J143-$I143)</f>
        <v/>
      </c>
      <c r="M143" s="44">
        <f>IFERROR($D143/$C143-1,"")</f>
        <v/>
      </c>
    </row>
    <row r="144">
      <c r="A144" s="41" t="inlineStr">
        <is>
          <t>Modern Infusions</t>
        </is>
      </c>
      <c r="B144" s="41" t="inlineStr">
        <is>
          <t>Fiveislands</t>
        </is>
      </c>
      <c r="C144" s="33">
        <f>SUMIFS('Data - Control'!$C$5:$C$296,'Data - Control'!$A$5:$A$296,$A144,'Data - Control'!$B$5:$B$296,$B144)</f>
        <v/>
      </c>
      <c r="D144" s="33">
        <f>SUMIFS('Data - Control'!$D$5:$D$296,'Data - Control'!$A$5:$A$296,$A144,'Data - Control'!$B$5:$B$296,$B144)</f>
        <v/>
      </c>
      <c r="E144" s="36">
        <f>SUMIFS('Data - Control'!$E$5:$E$296,'Data - Control'!$A$5:$A$296,$A144,'Data - Control'!$B$5:$B$296,$B144)</f>
        <v/>
      </c>
      <c r="F144" s="36">
        <f>SUMIFS('Data - Control'!$F$5:$F$296,'Data - Control'!$A$5:$A$296,$A144,'Data - Control'!$B$5:$B$296,$B144)</f>
        <v/>
      </c>
      <c r="G144" s="36">
        <f>SUMIFS('Data - Control'!$G$5:$G$296,'Data - Control'!$A$5:$A$296,$A144,'Data - Control'!$B$5:$B$296,$B144)</f>
        <v/>
      </c>
      <c r="H144" s="36">
        <f>SUMIFS('Data - Control'!$H$5:$H$296,'Data - Control'!$A$5:$A$296,$A144,'Data - Control'!$B$5:$B$296,$B144)</f>
        <v/>
      </c>
      <c r="I144" s="49">
        <f>IFERROR($G144/$C144,0)</f>
        <v/>
      </c>
      <c r="J144" s="49">
        <f>IFERROR($H144/$D144,0)</f>
        <v/>
      </c>
      <c r="K144" s="36">
        <f>$D144*$I144</f>
        <v/>
      </c>
      <c r="L144" s="36">
        <f>$D144*($J144-$I144)</f>
        <v/>
      </c>
      <c r="M144" s="44">
        <f>IFERROR($D144/$C144-1,"")</f>
        <v/>
      </c>
    </row>
    <row r="145">
      <c r="A145" s="41" t="inlineStr">
        <is>
          <t>Modern Infusions</t>
        </is>
      </c>
      <c r="B145" s="41" t="inlineStr">
        <is>
          <t>Hi5</t>
        </is>
      </c>
      <c r="C145" s="33">
        <f>SUMIFS('Data - Control'!$C$5:$C$296,'Data - Control'!$A$5:$A$296,$A145,'Data - Control'!$B$5:$B$296,$B145)</f>
        <v/>
      </c>
      <c r="D145" s="33">
        <f>SUMIFS('Data - Control'!$D$5:$D$296,'Data - Control'!$A$5:$A$296,$A145,'Data - Control'!$B$5:$B$296,$B145)</f>
        <v/>
      </c>
      <c r="E145" s="36">
        <f>SUMIFS('Data - Control'!$E$5:$E$296,'Data - Control'!$A$5:$A$296,$A145,'Data - Control'!$B$5:$B$296,$B145)</f>
        <v/>
      </c>
      <c r="F145" s="36">
        <f>SUMIFS('Data - Control'!$F$5:$F$296,'Data - Control'!$A$5:$A$296,$A145,'Data - Control'!$B$5:$B$296,$B145)</f>
        <v/>
      </c>
      <c r="G145" s="36">
        <f>SUMIFS('Data - Control'!$G$5:$G$296,'Data - Control'!$A$5:$A$296,$A145,'Data - Control'!$B$5:$B$296,$B145)</f>
        <v/>
      </c>
      <c r="H145" s="36">
        <f>SUMIFS('Data - Control'!$H$5:$H$296,'Data - Control'!$A$5:$A$296,$A145,'Data - Control'!$B$5:$B$296,$B145)</f>
        <v/>
      </c>
      <c r="I145" s="49">
        <f>IFERROR($G145/$C145,0)</f>
        <v/>
      </c>
      <c r="J145" s="49">
        <f>IFERROR($H145/$D145,0)</f>
        <v/>
      </c>
      <c r="K145" s="36">
        <f>$D145*$I145</f>
        <v/>
      </c>
      <c r="L145" s="36">
        <f>$D145*($J145-$I145)</f>
        <v/>
      </c>
      <c r="M145" s="44">
        <f>IFERROR($D145/$C145-1,"")</f>
        <v/>
      </c>
    </row>
    <row r="146">
      <c r="A146" s="41" t="inlineStr">
        <is>
          <t>Molly's</t>
        </is>
      </c>
      <c r="B146" s="41" t="inlineStr">
        <is>
          <t>Molly's</t>
        </is>
      </c>
      <c r="C146" s="33">
        <f>SUMIFS('Data - Control'!$C$5:$C$296,'Data - Control'!$A$5:$A$296,$A146,'Data - Control'!$B$5:$B$296,$B146)</f>
        <v/>
      </c>
      <c r="D146" s="33">
        <f>SUMIFS('Data - Control'!$D$5:$D$296,'Data - Control'!$A$5:$A$296,$A146,'Data - Control'!$B$5:$B$296,$B146)</f>
        <v/>
      </c>
      <c r="E146" s="36">
        <f>SUMIFS('Data - Control'!$E$5:$E$296,'Data - Control'!$A$5:$A$296,$A146,'Data - Control'!$B$5:$B$296,$B146)</f>
        <v/>
      </c>
      <c r="F146" s="36">
        <f>SUMIFS('Data - Control'!$F$5:$F$296,'Data - Control'!$A$5:$A$296,$A146,'Data - Control'!$B$5:$B$296,$B146)</f>
        <v/>
      </c>
      <c r="G146" s="36">
        <f>SUMIFS('Data - Control'!$G$5:$G$296,'Data - Control'!$A$5:$A$296,$A146,'Data - Control'!$B$5:$B$296,$B146)</f>
        <v/>
      </c>
      <c r="H146" s="36">
        <f>SUMIFS('Data - Control'!$H$5:$H$296,'Data - Control'!$A$5:$A$296,$A146,'Data - Control'!$B$5:$B$296,$B146)</f>
        <v/>
      </c>
      <c r="I146" s="49">
        <f>IFERROR($G146/$C146,0)</f>
        <v/>
      </c>
      <c r="J146" s="49">
        <f>IFERROR($H146/$D146,0)</f>
        <v/>
      </c>
      <c r="K146" s="36">
        <f>$D146*$I146</f>
        <v/>
      </c>
      <c r="L146" s="36">
        <f>$D146*($J146-$I146)</f>
        <v/>
      </c>
      <c r="M146" s="44">
        <f>IFERROR($D146/$C146-1,"")</f>
        <v/>
      </c>
    </row>
    <row r="147">
      <c r="A147" s="41" t="inlineStr">
        <is>
          <t>MolsonCoors Beverage Company</t>
        </is>
      </c>
      <c r="B147" s="41" t="inlineStr">
        <is>
          <t>Aguila</t>
        </is>
      </c>
      <c r="C147" s="33">
        <f>SUMIFS('Data - Control'!$C$5:$C$296,'Data - Control'!$A$5:$A$296,$A147,'Data - Control'!$B$5:$B$296,$B147)</f>
        <v/>
      </c>
      <c r="D147" s="33">
        <f>SUMIFS('Data - Control'!$D$5:$D$296,'Data - Control'!$A$5:$A$296,$A147,'Data - Control'!$B$5:$B$296,$B147)</f>
        <v/>
      </c>
      <c r="E147" s="36">
        <f>SUMIFS('Data - Control'!$E$5:$E$296,'Data - Control'!$A$5:$A$296,$A147,'Data - Control'!$B$5:$B$296,$B147)</f>
        <v/>
      </c>
      <c r="F147" s="36">
        <f>SUMIFS('Data - Control'!$F$5:$F$296,'Data - Control'!$A$5:$A$296,$A147,'Data - Control'!$B$5:$B$296,$B147)</f>
        <v/>
      </c>
      <c r="G147" s="36">
        <f>SUMIFS('Data - Control'!$G$5:$G$296,'Data - Control'!$A$5:$A$296,$A147,'Data - Control'!$B$5:$B$296,$B147)</f>
        <v/>
      </c>
      <c r="H147" s="36">
        <f>SUMIFS('Data - Control'!$H$5:$H$296,'Data - Control'!$A$5:$A$296,$A147,'Data - Control'!$B$5:$B$296,$B147)</f>
        <v/>
      </c>
      <c r="I147" s="49">
        <f>IFERROR($G147/$C147,0)</f>
        <v/>
      </c>
      <c r="J147" s="49">
        <f>IFERROR($H147/$D147,0)</f>
        <v/>
      </c>
      <c r="K147" s="36">
        <f>$D147*$I147</f>
        <v/>
      </c>
      <c r="L147" s="36">
        <f>$D147*($J147-$I147)</f>
        <v/>
      </c>
      <c r="M147" s="44">
        <f>IFERROR($D147/$C147-1,"")</f>
        <v/>
      </c>
    </row>
    <row r="148">
      <c r="A148" s="41" t="inlineStr">
        <is>
          <t>MolsonCoors Beverage Company</t>
        </is>
      </c>
      <c r="B148" s="41" t="inlineStr">
        <is>
          <t>Arnold Palmer</t>
        </is>
      </c>
      <c r="C148" s="33">
        <f>SUMIFS('Data - Control'!$C$5:$C$296,'Data - Control'!$A$5:$A$296,$A148,'Data - Control'!$B$5:$B$296,$B148)</f>
        <v/>
      </c>
      <c r="D148" s="33">
        <f>SUMIFS('Data - Control'!$D$5:$D$296,'Data - Control'!$A$5:$A$296,$A148,'Data - Control'!$B$5:$B$296,$B148)</f>
        <v/>
      </c>
      <c r="E148" s="36">
        <f>SUMIFS('Data - Control'!$E$5:$E$296,'Data - Control'!$A$5:$A$296,$A148,'Data - Control'!$B$5:$B$296,$B148)</f>
        <v/>
      </c>
      <c r="F148" s="36">
        <f>SUMIFS('Data - Control'!$F$5:$F$296,'Data - Control'!$A$5:$A$296,$A148,'Data - Control'!$B$5:$B$296,$B148)</f>
        <v/>
      </c>
      <c r="G148" s="36">
        <f>SUMIFS('Data - Control'!$G$5:$G$296,'Data - Control'!$A$5:$A$296,$A148,'Data - Control'!$B$5:$B$296,$B148)</f>
        <v/>
      </c>
      <c r="H148" s="36">
        <f>SUMIFS('Data - Control'!$H$5:$H$296,'Data - Control'!$A$5:$A$296,$A148,'Data - Control'!$B$5:$B$296,$B148)</f>
        <v/>
      </c>
      <c r="I148" s="49">
        <f>IFERROR($G148/$C148,0)</f>
        <v/>
      </c>
      <c r="J148" s="49">
        <f>IFERROR($H148/$D148,0)</f>
        <v/>
      </c>
      <c r="K148" s="36">
        <f>$D148*$I148</f>
        <v/>
      </c>
      <c r="L148" s="36">
        <f>$D148*($J148-$I148)</f>
        <v/>
      </c>
      <c r="M148" s="44">
        <f>IFERROR($D148/$C148-1,"")</f>
        <v/>
      </c>
    </row>
    <row r="149">
      <c r="A149" s="41" t="inlineStr">
        <is>
          <t>MolsonCoors Beverage Company</t>
        </is>
      </c>
      <c r="B149" s="41" t="inlineStr">
        <is>
          <t>Coors 0.0</t>
        </is>
      </c>
      <c r="C149" s="33">
        <f>SUMIFS('Data - Control'!$C$5:$C$296,'Data - Control'!$A$5:$A$296,$A149,'Data - Control'!$B$5:$B$296,$B149)</f>
        <v/>
      </c>
      <c r="D149" s="33">
        <f>SUMIFS('Data - Control'!$D$5:$D$296,'Data - Control'!$A$5:$A$296,$A149,'Data - Control'!$B$5:$B$296,$B149)</f>
        <v/>
      </c>
      <c r="E149" s="36">
        <f>SUMIFS('Data - Control'!$E$5:$E$296,'Data - Control'!$A$5:$A$296,$A149,'Data - Control'!$B$5:$B$296,$B149)</f>
        <v/>
      </c>
      <c r="F149" s="36">
        <f>SUMIFS('Data - Control'!$F$5:$F$296,'Data - Control'!$A$5:$A$296,$A149,'Data - Control'!$B$5:$B$296,$B149)</f>
        <v/>
      </c>
      <c r="G149" s="36">
        <f>SUMIFS('Data - Control'!$G$5:$G$296,'Data - Control'!$A$5:$A$296,$A149,'Data - Control'!$B$5:$B$296,$B149)</f>
        <v/>
      </c>
      <c r="H149" s="36">
        <f>SUMIFS('Data - Control'!$H$5:$H$296,'Data - Control'!$A$5:$A$296,$A149,'Data - Control'!$B$5:$B$296,$B149)</f>
        <v/>
      </c>
      <c r="I149" s="49">
        <f>IFERROR($G149/$C149,0)</f>
        <v/>
      </c>
      <c r="J149" s="49">
        <f>IFERROR($H149/$D149,0)</f>
        <v/>
      </c>
      <c r="K149" s="36">
        <f>$D149*$I149</f>
        <v/>
      </c>
      <c r="L149" s="36">
        <f>$D149*($J149-$I149)</f>
        <v/>
      </c>
      <c r="M149" s="44">
        <f>IFERROR($D149/$C149-1,"")</f>
        <v/>
      </c>
    </row>
    <row r="150">
      <c r="A150" s="41" t="inlineStr">
        <is>
          <t>MolsonCoors Beverage Company</t>
        </is>
      </c>
      <c r="B150" s="41" t="inlineStr">
        <is>
          <t>Coors Edge</t>
        </is>
      </c>
      <c r="C150" s="33">
        <f>SUMIFS('Data - Control'!$C$5:$C$296,'Data - Control'!$A$5:$A$296,$A150,'Data - Control'!$B$5:$B$296,$B150)</f>
        <v/>
      </c>
      <c r="D150" s="33">
        <f>SUMIFS('Data - Control'!$D$5:$D$296,'Data - Control'!$A$5:$A$296,$A150,'Data - Control'!$B$5:$B$296,$B150)</f>
        <v/>
      </c>
      <c r="E150" s="36">
        <f>SUMIFS('Data - Control'!$E$5:$E$296,'Data - Control'!$A$5:$A$296,$A150,'Data - Control'!$B$5:$B$296,$B150)</f>
        <v/>
      </c>
      <c r="F150" s="36">
        <f>SUMIFS('Data - Control'!$F$5:$F$296,'Data - Control'!$A$5:$A$296,$A150,'Data - Control'!$B$5:$B$296,$B150)</f>
        <v/>
      </c>
      <c r="G150" s="36">
        <f>SUMIFS('Data - Control'!$G$5:$G$296,'Data - Control'!$A$5:$A$296,$A150,'Data - Control'!$B$5:$B$296,$B150)</f>
        <v/>
      </c>
      <c r="H150" s="36">
        <f>SUMIFS('Data - Control'!$H$5:$H$296,'Data - Control'!$A$5:$A$296,$A150,'Data - Control'!$B$5:$B$296,$B150)</f>
        <v/>
      </c>
      <c r="I150" s="49">
        <f>IFERROR($G150/$C150,0)</f>
        <v/>
      </c>
      <c r="J150" s="49">
        <f>IFERROR($H150/$D150,0)</f>
        <v/>
      </c>
      <c r="K150" s="36">
        <f>$D150*$I150</f>
        <v/>
      </c>
      <c r="L150" s="36">
        <f>$D150*($J150-$I150)</f>
        <v/>
      </c>
      <c r="M150" s="44">
        <f>IFERROR($D150/$C150-1,"")</f>
        <v/>
      </c>
    </row>
    <row r="151">
      <c r="A151" s="41" t="inlineStr">
        <is>
          <t>MolsonCoors Beverage Company</t>
        </is>
      </c>
      <c r="B151" s="41" t="inlineStr">
        <is>
          <t>Cusquena</t>
        </is>
      </c>
      <c r="C151" s="33">
        <f>SUMIFS('Data - Control'!$C$5:$C$296,'Data - Control'!$A$5:$A$296,$A151,'Data - Control'!$B$5:$B$296,$B151)</f>
        <v/>
      </c>
      <c r="D151" s="33">
        <f>SUMIFS('Data - Control'!$D$5:$D$296,'Data - Control'!$A$5:$A$296,$A151,'Data - Control'!$B$5:$B$296,$B151)</f>
        <v/>
      </c>
      <c r="E151" s="36">
        <f>SUMIFS('Data - Control'!$E$5:$E$296,'Data - Control'!$A$5:$A$296,$A151,'Data - Control'!$B$5:$B$296,$B151)</f>
        <v/>
      </c>
      <c r="F151" s="36">
        <f>SUMIFS('Data - Control'!$F$5:$F$296,'Data - Control'!$A$5:$A$296,$A151,'Data - Control'!$B$5:$B$296,$B151)</f>
        <v/>
      </c>
      <c r="G151" s="36">
        <f>SUMIFS('Data - Control'!$G$5:$G$296,'Data - Control'!$A$5:$A$296,$A151,'Data - Control'!$B$5:$B$296,$B151)</f>
        <v/>
      </c>
      <c r="H151" s="36">
        <f>SUMIFS('Data - Control'!$H$5:$H$296,'Data - Control'!$A$5:$A$296,$A151,'Data - Control'!$B$5:$B$296,$B151)</f>
        <v/>
      </c>
      <c r="I151" s="49">
        <f>IFERROR($G151/$C151,0)</f>
        <v/>
      </c>
      <c r="J151" s="49">
        <f>IFERROR($H151/$D151,0)</f>
        <v/>
      </c>
      <c r="K151" s="36">
        <f>$D151*$I151</f>
        <v/>
      </c>
      <c r="L151" s="36">
        <f>$D151*($J151-$I151)</f>
        <v/>
      </c>
      <c r="M151" s="44">
        <f>IFERROR($D151/$C151-1,"")</f>
        <v/>
      </c>
    </row>
    <row r="152">
      <c r="A152" s="41" t="inlineStr">
        <is>
          <t>MolsonCoors Beverage Company</t>
        </is>
      </c>
      <c r="B152" s="41" t="inlineStr">
        <is>
          <t>Fosters</t>
        </is>
      </c>
      <c r="C152" s="33">
        <f>SUMIFS('Data - Control'!$C$5:$C$296,'Data - Control'!$A$5:$A$296,$A152,'Data - Control'!$B$5:$B$296,$B152)</f>
        <v/>
      </c>
      <c r="D152" s="33">
        <f>SUMIFS('Data - Control'!$D$5:$D$296,'Data - Control'!$A$5:$A$296,$A152,'Data - Control'!$B$5:$B$296,$B152)</f>
        <v/>
      </c>
      <c r="E152" s="36">
        <f>SUMIFS('Data - Control'!$E$5:$E$296,'Data - Control'!$A$5:$A$296,$A152,'Data - Control'!$B$5:$B$296,$B152)</f>
        <v/>
      </c>
      <c r="F152" s="36">
        <f>SUMIFS('Data - Control'!$F$5:$F$296,'Data - Control'!$A$5:$A$296,$A152,'Data - Control'!$B$5:$B$296,$B152)</f>
        <v/>
      </c>
      <c r="G152" s="36">
        <f>SUMIFS('Data - Control'!$G$5:$G$296,'Data - Control'!$A$5:$A$296,$A152,'Data - Control'!$B$5:$B$296,$B152)</f>
        <v/>
      </c>
      <c r="H152" s="36">
        <f>SUMIFS('Data - Control'!$H$5:$H$296,'Data - Control'!$A$5:$A$296,$A152,'Data - Control'!$B$5:$B$296,$B152)</f>
        <v/>
      </c>
      <c r="I152" s="49">
        <f>IFERROR($G152/$C152,0)</f>
        <v/>
      </c>
      <c r="J152" s="49">
        <f>IFERROR($H152/$D152,0)</f>
        <v/>
      </c>
      <c r="K152" s="36">
        <f>$D152*$I152</f>
        <v/>
      </c>
      <c r="L152" s="36">
        <f>$D152*($J152-$I152)</f>
        <v/>
      </c>
      <c r="M152" s="44">
        <f>IFERROR($D152/$C152-1,"")</f>
        <v/>
      </c>
    </row>
    <row r="153">
      <c r="A153" s="41" t="inlineStr">
        <is>
          <t>MolsonCoors Beverage Company</t>
        </is>
      </c>
      <c r="B153" s="41" t="inlineStr">
        <is>
          <t>George Killian's</t>
        </is>
      </c>
      <c r="C153" s="33">
        <f>SUMIFS('Data - Control'!$C$5:$C$296,'Data - Control'!$A$5:$A$296,$A153,'Data - Control'!$B$5:$B$296,$B153)</f>
        <v/>
      </c>
      <c r="D153" s="33">
        <f>SUMIFS('Data - Control'!$D$5:$D$296,'Data - Control'!$A$5:$A$296,$A153,'Data - Control'!$B$5:$B$296,$B153)</f>
        <v/>
      </c>
      <c r="E153" s="36">
        <f>SUMIFS('Data - Control'!$E$5:$E$296,'Data - Control'!$A$5:$A$296,$A153,'Data - Control'!$B$5:$B$296,$B153)</f>
        <v/>
      </c>
      <c r="F153" s="36">
        <f>SUMIFS('Data - Control'!$F$5:$F$296,'Data - Control'!$A$5:$A$296,$A153,'Data - Control'!$B$5:$B$296,$B153)</f>
        <v/>
      </c>
      <c r="G153" s="36">
        <f>SUMIFS('Data - Control'!$G$5:$G$296,'Data - Control'!$A$5:$A$296,$A153,'Data - Control'!$B$5:$B$296,$B153)</f>
        <v/>
      </c>
      <c r="H153" s="36">
        <f>SUMIFS('Data - Control'!$H$5:$H$296,'Data - Control'!$A$5:$A$296,$A153,'Data - Control'!$B$5:$B$296,$B153)</f>
        <v/>
      </c>
      <c r="I153" s="49">
        <f>IFERROR($G153/$C153,0)</f>
        <v/>
      </c>
      <c r="J153" s="49">
        <f>IFERROR($H153/$D153,0)</f>
        <v/>
      </c>
      <c r="K153" s="36">
        <f>$D153*$I153</f>
        <v/>
      </c>
      <c r="L153" s="36">
        <f>$D153*($J153-$I153)</f>
        <v/>
      </c>
      <c r="M153" s="44">
        <f>IFERROR($D153/$C153-1,"")</f>
        <v/>
      </c>
    </row>
    <row r="154">
      <c r="A154" s="41" t="inlineStr">
        <is>
          <t>MolsonCoors Beverage Company</t>
        </is>
      </c>
      <c r="B154" s="41" t="inlineStr">
        <is>
          <t>Grolsch</t>
        </is>
      </c>
      <c r="C154" s="33">
        <f>SUMIFS('Data - Control'!$C$5:$C$296,'Data - Control'!$A$5:$A$296,$A154,'Data - Control'!$B$5:$B$296,$B154)</f>
        <v/>
      </c>
      <c r="D154" s="33">
        <f>SUMIFS('Data - Control'!$D$5:$D$296,'Data - Control'!$A$5:$A$296,$A154,'Data - Control'!$B$5:$B$296,$B154)</f>
        <v/>
      </c>
      <c r="E154" s="36">
        <f>SUMIFS('Data - Control'!$E$5:$E$296,'Data - Control'!$A$5:$A$296,$A154,'Data - Control'!$B$5:$B$296,$B154)</f>
        <v/>
      </c>
      <c r="F154" s="36">
        <f>SUMIFS('Data - Control'!$F$5:$F$296,'Data - Control'!$A$5:$A$296,$A154,'Data - Control'!$B$5:$B$296,$B154)</f>
        <v/>
      </c>
      <c r="G154" s="36">
        <f>SUMIFS('Data - Control'!$G$5:$G$296,'Data - Control'!$A$5:$A$296,$A154,'Data - Control'!$B$5:$B$296,$B154)</f>
        <v/>
      </c>
      <c r="H154" s="36">
        <f>SUMIFS('Data - Control'!$H$5:$H$296,'Data - Control'!$A$5:$A$296,$A154,'Data - Control'!$B$5:$B$296,$B154)</f>
        <v/>
      </c>
      <c r="I154" s="49">
        <f>IFERROR($G154/$C154,0)</f>
        <v/>
      </c>
      <c r="J154" s="49">
        <f>IFERROR($H154/$D154,0)</f>
        <v/>
      </c>
      <c r="K154" s="36">
        <f>$D154*$I154</f>
        <v/>
      </c>
      <c r="L154" s="36">
        <f>$D154*($J154-$I154)</f>
        <v/>
      </c>
      <c r="M154" s="44">
        <f>IFERROR($D154/$C154-1,"")</f>
        <v/>
      </c>
    </row>
    <row r="155">
      <c r="A155" s="41" t="inlineStr">
        <is>
          <t>MolsonCoors Beverage Company</t>
        </is>
      </c>
      <c r="B155" s="41" t="inlineStr">
        <is>
          <t>Hamm's</t>
        </is>
      </c>
      <c r="C155" s="33">
        <f>SUMIFS('Data - Control'!$C$5:$C$296,'Data - Control'!$A$5:$A$296,$A155,'Data - Control'!$B$5:$B$296,$B155)</f>
        <v/>
      </c>
      <c r="D155" s="33">
        <f>SUMIFS('Data - Control'!$D$5:$D$296,'Data - Control'!$A$5:$A$296,$A155,'Data - Control'!$B$5:$B$296,$B155)</f>
        <v/>
      </c>
      <c r="E155" s="36">
        <f>SUMIFS('Data - Control'!$E$5:$E$296,'Data - Control'!$A$5:$A$296,$A155,'Data - Control'!$B$5:$B$296,$B155)</f>
        <v/>
      </c>
      <c r="F155" s="36">
        <f>SUMIFS('Data - Control'!$F$5:$F$296,'Data - Control'!$A$5:$A$296,$A155,'Data - Control'!$B$5:$B$296,$B155)</f>
        <v/>
      </c>
      <c r="G155" s="36">
        <f>SUMIFS('Data - Control'!$G$5:$G$296,'Data - Control'!$A$5:$A$296,$A155,'Data - Control'!$B$5:$B$296,$B155)</f>
        <v/>
      </c>
      <c r="H155" s="36">
        <f>SUMIFS('Data - Control'!$H$5:$H$296,'Data - Control'!$A$5:$A$296,$A155,'Data - Control'!$B$5:$B$296,$B155)</f>
        <v/>
      </c>
      <c r="I155" s="49">
        <f>IFERROR($G155/$C155,0)</f>
        <v/>
      </c>
      <c r="J155" s="49">
        <f>IFERROR($H155/$D155,0)</f>
        <v/>
      </c>
      <c r="K155" s="36">
        <f>$D155*$I155</f>
        <v/>
      </c>
      <c r="L155" s="36">
        <f>$D155*($J155-$I155)</f>
        <v/>
      </c>
      <c r="M155" s="44">
        <f>IFERROR($D155/$C155-1,"")</f>
        <v/>
      </c>
    </row>
    <row r="156">
      <c r="A156" s="41" t="inlineStr">
        <is>
          <t>MolsonCoors Beverage Company</t>
        </is>
      </c>
      <c r="B156" s="41" t="inlineStr">
        <is>
          <t>Happy Thursday Spiked Refresher</t>
        </is>
      </c>
      <c r="C156" s="33">
        <f>SUMIFS('Data - Control'!$C$5:$C$296,'Data - Control'!$A$5:$A$296,$A156,'Data - Control'!$B$5:$B$296,$B156)</f>
        <v/>
      </c>
      <c r="D156" s="33">
        <f>SUMIFS('Data - Control'!$D$5:$D$296,'Data - Control'!$A$5:$A$296,$A156,'Data - Control'!$B$5:$B$296,$B156)</f>
        <v/>
      </c>
      <c r="E156" s="36">
        <f>SUMIFS('Data - Control'!$E$5:$E$296,'Data - Control'!$A$5:$A$296,$A156,'Data - Control'!$B$5:$B$296,$B156)</f>
        <v/>
      </c>
      <c r="F156" s="36">
        <f>SUMIFS('Data - Control'!$F$5:$F$296,'Data - Control'!$A$5:$A$296,$A156,'Data - Control'!$B$5:$B$296,$B156)</f>
        <v/>
      </c>
      <c r="G156" s="36">
        <f>SUMIFS('Data - Control'!$G$5:$G$296,'Data - Control'!$A$5:$A$296,$A156,'Data - Control'!$B$5:$B$296,$B156)</f>
        <v/>
      </c>
      <c r="H156" s="36">
        <f>SUMIFS('Data - Control'!$H$5:$H$296,'Data - Control'!$A$5:$A$296,$A156,'Data - Control'!$B$5:$B$296,$B156)</f>
        <v/>
      </c>
      <c r="I156" s="49">
        <f>IFERROR($G156/$C156,0)</f>
        <v/>
      </c>
      <c r="J156" s="49">
        <f>IFERROR($H156/$D156,0)</f>
        <v/>
      </c>
      <c r="K156" s="36">
        <f>$D156*$I156</f>
        <v/>
      </c>
      <c r="L156" s="36">
        <f>$D156*($J156-$I156)</f>
        <v/>
      </c>
      <c r="M156" s="44">
        <f>IFERROR($D156/$C156-1,"")</f>
        <v/>
      </c>
    </row>
    <row r="157">
      <c r="A157" s="41" t="inlineStr">
        <is>
          <t>MolsonCoors Beverage Company</t>
        </is>
      </c>
      <c r="B157" s="41" t="inlineStr">
        <is>
          <t>Keystone</t>
        </is>
      </c>
      <c r="C157" s="33">
        <f>SUMIFS('Data - Control'!$C$5:$C$296,'Data - Control'!$A$5:$A$296,$A157,'Data - Control'!$B$5:$B$296,$B157)</f>
        <v/>
      </c>
      <c r="D157" s="33">
        <f>SUMIFS('Data - Control'!$D$5:$D$296,'Data - Control'!$A$5:$A$296,$A157,'Data - Control'!$B$5:$B$296,$B157)</f>
        <v/>
      </c>
      <c r="E157" s="36">
        <f>SUMIFS('Data - Control'!$E$5:$E$296,'Data - Control'!$A$5:$A$296,$A157,'Data - Control'!$B$5:$B$296,$B157)</f>
        <v/>
      </c>
      <c r="F157" s="36">
        <f>SUMIFS('Data - Control'!$F$5:$F$296,'Data - Control'!$A$5:$A$296,$A157,'Data - Control'!$B$5:$B$296,$B157)</f>
        <v/>
      </c>
      <c r="G157" s="36">
        <f>SUMIFS('Data - Control'!$G$5:$G$296,'Data - Control'!$A$5:$A$296,$A157,'Data - Control'!$B$5:$B$296,$B157)</f>
        <v/>
      </c>
      <c r="H157" s="36">
        <f>SUMIFS('Data - Control'!$H$5:$H$296,'Data - Control'!$A$5:$A$296,$A157,'Data - Control'!$B$5:$B$296,$B157)</f>
        <v/>
      </c>
      <c r="I157" s="49">
        <f>IFERROR($G157/$C157,0)</f>
        <v/>
      </c>
      <c r="J157" s="49">
        <f>IFERROR($H157/$D157,0)</f>
        <v/>
      </c>
      <c r="K157" s="36">
        <f>$D157*$I157</f>
        <v/>
      </c>
      <c r="L157" s="36">
        <f>$D157*($J157-$I157)</f>
        <v/>
      </c>
      <c r="M157" s="44">
        <f>IFERROR($D157/$C157-1,"")</f>
        <v/>
      </c>
    </row>
    <row r="158">
      <c r="A158" s="41" t="inlineStr">
        <is>
          <t>MolsonCoors Beverage Company</t>
        </is>
      </c>
      <c r="B158" s="41" t="inlineStr">
        <is>
          <t>Leinenkugel</t>
        </is>
      </c>
      <c r="C158" s="33">
        <f>SUMIFS('Data - Control'!$C$5:$C$296,'Data - Control'!$A$5:$A$296,$A158,'Data - Control'!$B$5:$B$296,$B158)</f>
        <v/>
      </c>
      <c r="D158" s="33">
        <f>SUMIFS('Data - Control'!$D$5:$D$296,'Data - Control'!$A$5:$A$296,$A158,'Data - Control'!$B$5:$B$296,$B158)</f>
        <v/>
      </c>
      <c r="E158" s="36">
        <f>SUMIFS('Data - Control'!$E$5:$E$296,'Data - Control'!$A$5:$A$296,$A158,'Data - Control'!$B$5:$B$296,$B158)</f>
        <v/>
      </c>
      <c r="F158" s="36">
        <f>SUMIFS('Data - Control'!$F$5:$F$296,'Data - Control'!$A$5:$A$296,$A158,'Data - Control'!$B$5:$B$296,$B158)</f>
        <v/>
      </c>
      <c r="G158" s="36">
        <f>SUMIFS('Data - Control'!$G$5:$G$296,'Data - Control'!$A$5:$A$296,$A158,'Data - Control'!$B$5:$B$296,$B158)</f>
        <v/>
      </c>
      <c r="H158" s="36">
        <f>SUMIFS('Data - Control'!$H$5:$H$296,'Data - Control'!$A$5:$A$296,$A158,'Data - Control'!$B$5:$B$296,$B158)</f>
        <v/>
      </c>
      <c r="I158" s="49">
        <f>IFERROR($G158/$C158,0)</f>
        <v/>
      </c>
      <c r="J158" s="49">
        <f>IFERROR($H158/$D158,0)</f>
        <v/>
      </c>
      <c r="K158" s="36">
        <f>$D158*$I158</f>
        <v/>
      </c>
      <c r="L158" s="36">
        <f>$D158*($J158-$I158)</f>
        <v/>
      </c>
      <c r="M158" s="44">
        <f>IFERROR($D158/$C158-1,"")</f>
        <v/>
      </c>
    </row>
    <row r="159">
      <c r="A159" s="41" t="inlineStr">
        <is>
          <t>MolsonCoors Beverage Company</t>
        </is>
      </c>
      <c r="B159" s="41" t="inlineStr">
        <is>
          <t>Miller Extra Light</t>
        </is>
      </c>
      <c r="C159" s="33">
        <f>SUMIFS('Data - Control'!$C$5:$C$296,'Data - Control'!$A$5:$A$296,$A159,'Data - Control'!$B$5:$B$296,$B159)</f>
        <v/>
      </c>
      <c r="D159" s="33">
        <f>SUMIFS('Data - Control'!$D$5:$D$296,'Data - Control'!$A$5:$A$296,$A159,'Data - Control'!$B$5:$B$296,$B159)</f>
        <v/>
      </c>
      <c r="E159" s="36">
        <f>SUMIFS('Data - Control'!$E$5:$E$296,'Data - Control'!$A$5:$A$296,$A159,'Data - Control'!$B$5:$B$296,$B159)</f>
        <v/>
      </c>
      <c r="F159" s="36">
        <f>SUMIFS('Data - Control'!$F$5:$F$296,'Data - Control'!$A$5:$A$296,$A159,'Data - Control'!$B$5:$B$296,$B159)</f>
        <v/>
      </c>
      <c r="G159" s="36">
        <f>SUMIFS('Data - Control'!$G$5:$G$296,'Data - Control'!$A$5:$A$296,$A159,'Data - Control'!$B$5:$B$296,$B159)</f>
        <v/>
      </c>
      <c r="H159" s="36">
        <f>SUMIFS('Data - Control'!$H$5:$H$296,'Data - Control'!$A$5:$A$296,$A159,'Data - Control'!$B$5:$B$296,$B159)</f>
        <v/>
      </c>
      <c r="I159" s="49">
        <f>IFERROR($G159/$C159,0)</f>
        <v/>
      </c>
      <c r="J159" s="49">
        <f>IFERROR($H159/$D159,0)</f>
        <v/>
      </c>
      <c r="K159" s="36">
        <f>$D159*$I159</f>
        <v/>
      </c>
      <c r="L159" s="36">
        <f>$D159*($J159-$I159)</f>
        <v/>
      </c>
      <c r="M159" s="44">
        <f>IFERROR($D159/$C159-1,"")</f>
        <v/>
      </c>
    </row>
    <row r="160">
      <c r="A160" s="41" t="inlineStr">
        <is>
          <t>MolsonCoors Beverage Company</t>
        </is>
      </c>
      <c r="B160" s="41" t="inlineStr">
        <is>
          <t>Miller Genuine Draft</t>
        </is>
      </c>
      <c r="C160" s="33">
        <f>SUMIFS('Data - Control'!$C$5:$C$296,'Data - Control'!$A$5:$A$296,$A160,'Data - Control'!$B$5:$B$296,$B160)</f>
        <v/>
      </c>
      <c r="D160" s="33">
        <f>SUMIFS('Data - Control'!$D$5:$D$296,'Data - Control'!$A$5:$A$296,$A160,'Data - Control'!$B$5:$B$296,$B160)</f>
        <v/>
      </c>
      <c r="E160" s="36">
        <f>SUMIFS('Data - Control'!$E$5:$E$296,'Data - Control'!$A$5:$A$296,$A160,'Data - Control'!$B$5:$B$296,$B160)</f>
        <v/>
      </c>
      <c r="F160" s="36">
        <f>SUMIFS('Data - Control'!$F$5:$F$296,'Data - Control'!$A$5:$A$296,$A160,'Data - Control'!$B$5:$B$296,$B160)</f>
        <v/>
      </c>
      <c r="G160" s="36">
        <f>SUMIFS('Data - Control'!$G$5:$G$296,'Data - Control'!$A$5:$A$296,$A160,'Data - Control'!$B$5:$B$296,$B160)</f>
        <v/>
      </c>
      <c r="H160" s="36">
        <f>SUMIFS('Data - Control'!$H$5:$H$296,'Data - Control'!$A$5:$A$296,$A160,'Data - Control'!$B$5:$B$296,$B160)</f>
        <v/>
      </c>
      <c r="I160" s="49">
        <f>IFERROR($G160/$C160,0)</f>
        <v/>
      </c>
      <c r="J160" s="49">
        <f>IFERROR($H160/$D160,0)</f>
        <v/>
      </c>
      <c r="K160" s="36">
        <f>$D160*$I160</f>
        <v/>
      </c>
      <c r="L160" s="36">
        <f>$D160*($J160-$I160)</f>
        <v/>
      </c>
      <c r="M160" s="44">
        <f>IFERROR($D160/$C160-1,"")</f>
        <v/>
      </c>
    </row>
    <row r="161">
      <c r="A161" s="41" t="inlineStr">
        <is>
          <t>MolsonCoors Beverage Company</t>
        </is>
      </c>
      <c r="B161" s="41" t="inlineStr">
        <is>
          <t>Miller High Life</t>
        </is>
      </c>
      <c r="C161" s="33">
        <f>SUMIFS('Data - Control'!$C$5:$C$296,'Data - Control'!$A$5:$A$296,$A161,'Data - Control'!$B$5:$B$296,$B161)</f>
        <v/>
      </c>
      <c r="D161" s="33">
        <f>SUMIFS('Data - Control'!$D$5:$D$296,'Data - Control'!$A$5:$A$296,$A161,'Data - Control'!$B$5:$B$296,$B161)</f>
        <v/>
      </c>
      <c r="E161" s="36">
        <f>SUMIFS('Data - Control'!$E$5:$E$296,'Data - Control'!$A$5:$A$296,$A161,'Data - Control'!$B$5:$B$296,$B161)</f>
        <v/>
      </c>
      <c r="F161" s="36">
        <f>SUMIFS('Data - Control'!$F$5:$F$296,'Data - Control'!$A$5:$A$296,$A161,'Data - Control'!$B$5:$B$296,$B161)</f>
        <v/>
      </c>
      <c r="G161" s="36">
        <f>SUMIFS('Data - Control'!$G$5:$G$296,'Data - Control'!$A$5:$A$296,$A161,'Data - Control'!$B$5:$B$296,$B161)</f>
        <v/>
      </c>
      <c r="H161" s="36">
        <f>SUMIFS('Data - Control'!$H$5:$H$296,'Data - Control'!$A$5:$A$296,$A161,'Data - Control'!$B$5:$B$296,$B161)</f>
        <v/>
      </c>
      <c r="I161" s="49">
        <f>IFERROR($G161/$C161,0)</f>
        <v/>
      </c>
      <c r="J161" s="49">
        <f>IFERROR($H161/$D161,0)</f>
        <v/>
      </c>
      <c r="K161" s="36">
        <f>$D161*$I161</f>
        <v/>
      </c>
      <c r="L161" s="36">
        <f>$D161*($J161-$I161)</f>
        <v/>
      </c>
      <c r="M161" s="44">
        <f>IFERROR($D161/$C161-1,"")</f>
        <v/>
      </c>
    </row>
    <row r="162">
      <c r="A162" s="41" t="inlineStr">
        <is>
          <t>MolsonCoors Beverage Company</t>
        </is>
      </c>
      <c r="B162" s="41" t="inlineStr">
        <is>
          <t>Milwaukee's Best Ice</t>
        </is>
      </c>
      <c r="C162" s="33">
        <f>SUMIFS('Data - Control'!$C$5:$C$296,'Data - Control'!$A$5:$A$296,$A162,'Data - Control'!$B$5:$B$296,$B162)</f>
        <v/>
      </c>
      <c r="D162" s="33">
        <f>SUMIFS('Data - Control'!$D$5:$D$296,'Data - Control'!$A$5:$A$296,$A162,'Data - Control'!$B$5:$B$296,$B162)</f>
        <v/>
      </c>
      <c r="E162" s="36">
        <f>SUMIFS('Data - Control'!$E$5:$E$296,'Data - Control'!$A$5:$A$296,$A162,'Data - Control'!$B$5:$B$296,$B162)</f>
        <v/>
      </c>
      <c r="F162" s="36">
        <f>SUMIFS('Data - Control'!$F$5:$F$296,'Data - Control'!$A$5:$A$296,$A162,'Data - Control'!$B$5:$B$296,$B162)</f>
        <v/>
      </c>
      <c r="G162" s="36">
        <f>SUMIFS('Data - Control'!$G$5:$G$296,'Data - Control'!$A$5:$A$296,$A162,'Data - Control'!$B$5:$B$296,$B162)</f>
        <v/>
      </c>
      <c r="H162" s="36">
        <f>SUMIFS('Data - Control'!$H$5:$H$296,'Data - Control'!$A$5:$A$296,$A162,'Data - Control'!$B$5:$B$296,$B162)</f>
        <v/>
      </c>
      <c r="I162" s="49">
        <f>IFERROR($G162/$C162,0)</f>
        <v/>
      </c>
      <c r="J162" s="49">
        <f>IFERROR($H162/$D162,0)</f>
        <v/>
      </c>
      <c r="K162" s="36">
        <f>$D162*$I162</f>
        <v/>
      </c>
      <c r="L162" s="36">
        <f>$D162*($J162-$I162)</f>
        <v/>
      </c>
      <c r="M162" s="44">
        <f>IFERROR($D162/$C162-1,"")</f>
        <v/>
      </c>
    </row>
    <row r="163">
      <c r="A163" s="41" t="inlineStr">
        <is>
          <t>MolsonCoors Beverage Company</t>
        </is>
      </c>
      <c r="B163" s="41" t="inlineStr">
        <is>
          <t>Milwaukee's Best Light</t>
        </is>
      </c>
      <c r="C163" s="33">
        <f>SUMIFS('Data - Control'!$C$5:$C$296,'Data - Control'!$A$5:$A$296,$A163,'Data - Control'!$B$5:$B$296,$B163)</f>
        <v/>
      </c>
      <c r="D163" s="33">
        <f>SUMIFS('Data - Control'!$D$5:$D$296,'Data - Control'!$A$5:$A$296,$A163,'Data - Control'!$B$5:$B$296,$B163)</f>
        <v/>
      </c>
      <c r="E163" s="36">
        <f>SUMIFS('Data - Control'!$E$5:$E$296,'Data - Control'!$A$5:$A$296,$A163,'Data - Control'!$B$5:$B$296,$B163)</f>
        <v/>
      </c>
      <c r="F163" s="36">
        <f>SUMIFS('Data - Control'!$F$5:$F$296,'Data - Control'!$A$5:$A$296,$A163,'Data - Control'!$B$5:$B$296,$B163)</f>
        <v/>
      </c>
      <c r="G163" s="36">
        <f>SUMIFS('Data - Control'!$G$5:$G$296,'Data - Control'!$A$5:$A$296,$A163,'Data - Control'!$B$5:$B$296,$B163)</f>
        <v/>
      </c>
      <c r="H163" s="36">
        <f>SUMIFS('Data - Control'!$H$5:$H$296,'Data - Control'!$A$5:$A$296,$A163,'Data - Control'!$B$5:$B$296,$B163)</f>
        <v/>
      </c>
      <c r="I163" s="49">
        <f>IFERROR($G163/$C163,0)</f>
        <v/>
      </c>
      <c r="J163" s="49">
        <f>IFERROR($H163/$D163,0)</f>
        <v/>
      </c>
      <c r="K163" s="36">
        <f>$D163*$I163</f>
        <v/>
      </c>
      <c r="L163" s="36">
        <f>$D163*($J163-$I163)</f>
        <v/>
      </c>
      <c r="M163" s="44">
        <f>IFERROR($D163/$C163-1,"")</f>
        <v/>
      </c>
    </row>
    <row r="164">
      <c r="A164" s="41" t="inlineStr">
        <is>
          <t>MolsonCoors Beverage Company</t>
        </is>
      </c>
      <c r="B164" s="41" t="inlineStr">
        <is>
          <t>Molson</t>
        </is>
      </c>
      <c r="C164" s="33">
        <f>SUMIFS('Data - Control'!$C$5:$C$296,'Data - Control'!$A$5:$A$296,$A164,'Data - Control'!$B$5:$B$296,$B164)</f>
        <v/>
      </c>
      <c r="D164" s="33">
        <f>SUMIFS('Data - Control'!$D$5:$D$296,'Data - Control'!$A$5:$A$296,$A164,'Data - Control'!$B$5:$B$296,$B164)</f>
        <v/>
      </c>
      <c r="E164" s="36">
        <f>SUMIFS('Data - Control'!$E$5:$E$296,'Data - Control'!$A$5:$A$296,$A164,'Data - Control'!$B$5:$B$296,$B164)</f>
        <v/>
      </c>
      <c r="F164" s="36">
        <f>SUMIFS('Data - Control'!$F$5:$F$296,'Data - Control'!$A$5:$A$296,$A164,'Data - Control'!$B$5:$B$296,$B164)</f>
        <v/>
      </c>
      <c r="G164" s="36">
        <f>SUMIFS('Data - Control'!$G$5:$G$296,'Data - Control'!$A$5:$A$296,$A164,'Data - Control'!$B$5:$B$296,$B164)</f>
        <v/>
      </c>
      <c r="H164" s="36">
        <f>SUMIFS('Data - Control'!$H$5:$H$296,'Data - Control'!$A$5:$A$296,$A164,'Data - Control'!$B$5:$B$296,$B164)</f>
        <v/>
      </c>
      <c r="I164" s="49">
        <f>IFERROR($G164/$C164,0)</f>
        <v/>
      </c>
      <c r="J164" s="49">
        <f>IFERROR($H164/$D164,0)</f>
        <v/>
      </c>
      <c r="K164" s="36">
        <f>$D164*$I164</f>
        <v/>
      </c>
      <c r="L164" s="36">
        <f>$D164*($J164-$I164)</f>
        <v/>
      </c>
      <c r="M164" s="44">
        <f>IFERROR($D164/$C164-1,"")</f>
        <v/>
      </c>
    </row>
    <row r="165">
      <c r="A165" s="41" t="inlineStr">
        <is>
          <t>MolsonCoors Beverage Company</t>
        </is>
      </c>
      <c r="B165" s="41" t="inlineStr">
        <is>
          <t>Monaco</t>
        </is>
      </c>
      <c r="C165" s="33">
        <f>SUMIFS('Data - Control'!$C$5:$C$296,'Data - Control'!$A$5:$A$296,$A165,'Data - Control'!$B$5:$B$296,$B165)</f>
        <v/>
      </c>
      <c r="D165" s="33">
        <f>SUMIFS('Data - Control'!$D$5:$D$296,'Data - Control'!$A$5:$A$296,$A165,'Data - Control'!$B$5:$B$296,$B165)</f>
        <v/>
      </c>
      <c r="E165" s="36">
        <f>SUMIFS('Data - Control'!$E$5:$E$296,'Data - Control'!$A$5:$A$296,$A165,'Data - Control'!$B$5:$B$296,$B165)</f>
        <v/>
      </c>
      <c r="F165" s="36">
        <f>SUMIFS('Data - Control'!$F$5:$F$296,'Data - Control'!$A$5:$A$296,$A165,'Data - Control'!$B$5:$B$296,$B165)</f>
        <v/>
      </c>
      <c r="G165" s="36">
        <f>SUMIFS('Data - Control'!$G$5:$G$296,'Data - Control'!$A$5:$A$296,$A165,'Data - Control'!$B$5:$B$296,$B165)</f>
        <v/>
      </c>
      <c r="H165" s="36">
        <f>SUMIFS('Data - Control'!$H$5:$H$296,'Data - Control'!$A$5:$A$296,$A165,'Data - Control'!$B$5:$B$296,$B165)</f>
        <v/>
      </c>
      <c r="I165" s="49">
        <f>IFERROR($G165/$C165,0)</f>
        <v/>
      </c>
      <c r="J165" s="49">
        <f>IFERROR($H165/$D165,0)</f>
        <v/>
      </c>
      <c r="K165" s="36">
        <f>$D165*$I165</f>
        <v/>
      </c>
      <c r="L165" s="36">
        <f>$D165*($J165-$I165)</f>
        <v/>
      </c>
      <c r="M165" s="44">
        <f>IFERROR($D165/$C165-1,"")</f>
        <v/>
      </c>
    </row>
    <row r="166">
      <c r="A166" s="41" t="inlineStr">
        <is>
          <t>MolsonCoors Beverage Company</t>
        </is>
      </c>
      <c r="B166" s="41" t="inlineStr">
        <is>
          <t>NaKed Life</t>
        </is>
      </c>
      <c r="C166" s="33">
        <f>SUMIFS('Data - Control'!$C$5:$C$296,'Data - Control'!$A$5:$A$296,$A166,'Data - Control'!$B$5:$B$296,$B166)</f>
        <v/>
      </c>
      <c r="D166" s="33">
        <f>SUMIFS('Data - Control'!$D$5:$D$296,'Data - Control'!$A$5:$A$296,$A166,'Data - Control'!$B$5:$B$296,$B166)</f>
        <v/>
      </c>
      <c r="E166" s="36">
        <f>SUMIFS('Data - Control'!$E$5:$E$296,'Data - Control'!$A$5:$A$296,$A166,'Data - Control'!$B$5:$B$296,$B166)</f>
        <v/>
      </c>
      <c r="F166" s="36">
        <f>SUMIFS('Data - Control'!$F$5:$F$296,'Data - Control'!$A$5:$A$296,$A166,'Data - Control'!$B$5:$B$296,$B166)</f>
        <v/>
      </c>
      <c r="G166" s="36">
        <f>SUMIFS('Data - Control'!$G$5:$G$296,'Data - Control'!$A$5:$A$296,$A166,'Data - Control'!$B$5:$B$296,$B166)</f>
        <v/>
      </c>
      <c r="H166" s="36">
        <f>SUMIFS('Data - Control'!$H$5:$H$296,'Data - Control'!$A$5:$A$296,$A166,'Data - Control'!$B$5:$B$296,$B166)</f>
        <v/>
      </c>
      <c r="I166" s="49">
        <f>IFERROR($G166/$C166,0)</f>
        <v/>
      </c>
      <c r="J166" s="49">
        <f>IFERROR($H166/$D166,0)</f>
        <v/>
      </c>
      <c r="K166" s="36">
        <f>$D166*$I166</f>
        <v/>
      </c>
      <c r="L166" s="36">
        <f>$D166*($J166-$I166)</f>
        <v/>
      </c>
      <c r="M166" s="44">
        <f>IFERROR($D166/$C166-1,"")</f>
        <v/>
      </c>
    </row>
    <row r="167">
      <c r="A167" s="41" t="inlineStr">
        <is>
          <t>MolsonCoors Beverage Company</t>
        </is>
      </c>
      <c r="B167" s="41" t="inlineStr">
        <is>
          <t>Old English</t>
        </is>
      </c>
      <c r="C167" s="33">
        <f>SUMIFS('Data - Control'!$C$5:$C$296,'Data - Control'!$A$5:$A$296,$A167,'Data - Control'!$B$5:$B$296,$B167)</f>
        <v/>
      </c>
      <c r="D167" s="33">
        <f>SUMIFS('Data - Control'!$D$5:$D$296,'Data - Control'!$A$5:$A$296,$A167,'Data - Control'!$B$5:$B$296,$B167)</f>
        <v/>
      </c>
      <c r="E167" s="36">
        <f>SUMIFS('Data - Control'!$E$5:$E$296,'Data - Control'!$A$5:$A$296,$A167,'Data - Control'!$B$5:$B$296,$B167)</f>
        <v/>
      </c>
      <c r="F167" s="36">
        <f>SUMIFS('Data - Control'!$F$5:$F$296,'Data - Control'!$A$5:$A$296,$A167,'Data - Control'!$B$5:$B$296,$B167)</f>
        <v/>
      </c>
      <c r="G167" s="36">
        <f>SUMIFS('Data - Control'!$G$5:$G$296,'Data - Control'!$A$5:$A$296,$A167,'Data - Control'!$B$5:$B$296,$B167)</f>
        <v/>
      </c>
      <c r="H167" s="36">
        <f>SUMIFS('Data - Control'!$H$5:$H$296,'Data - Control'!$A$5:$A$296,$A167,'Data - Control'!$B$5:$B$296,$B167)</f>
        <v/>
      </c>
      <c r="I167" s="49">
        <f>IFERROR($G167/$C167,0)</f>
        <v/>
      </c>
      <c r="J167" s="49">
        <f>IFERROR($H167/$D167,0)</f>
        <v/>
      </c>
      <c r="K167" s="36">
        <f>$D167*$I167</f>
        <v/>
      </c>
      <c r="L167" s="36">
        <f>$D167*($J167-$I167)</f>
        <v/>
      </c>
      <c r="M167" s="44">
        <f>IFERROR($D167/$C167-1,"")</f>
        <v/>
      </c>
    </row>
    <row r="168">
      <c r="A168" s="41" t="inlineStr">
        <is>
          <t>MolsonCoors Beverage Company</t>
        </is>
      </c>
      <c r="B168" s="41" t="inlineStr">
        <is>
          <t>Pilsner Urquell</t>
        </is>
      </c>
      <c r="C168" s="33">
        <f>SUMIFS('Data - Control'!$C$5:$C$296,'Data - Control'!$A$5:$A$296,$A168,'Data - Control'!$B$5:$B$296,$B168)</f>
        <v/>
      </c>
      <c r="D168" s="33">
        <f>SUMIFS('Data - Control'!$D$5:$D$296,'Data - Control'!$A$5:$A$296,$A168,'Data - Control'!$B$5:$B$296,$B168)</f>
        <v/>
      </c>
      <c r="E168" s="36">
        <f>SUMIFS('Data - Control'!$E$5:$E$296,'Data - Control'!$A$5:$A$296,$A168,'Data - Control'!$B$5:$B$296,$B168)</f>
        <v/>
      </c>
      <c r="F168" s="36">
        <f>SUMIFS('Data - Control'!$F$5:$F$296,'Data - Control'!$A$5:$A$296,$A168,'Data - Control'!$B$5:$B$296,$B168)</f>
        <v/>
      </c>
      <c r="G168" s="36">
        <f>SUMIFS('Data - Control'!$G$5:$G$296,'Data - Control'!$A$5:$A$296,$A168,'Data - Control'!$B$5:$B$296,$B168)</f>
        <v/>
      </c>
      <c r="H168" s="36">
        <f>SUMIFS('Data - Control'!$H$5:$H$296,'Data - Control'!$A$5:$A$296,$A168,'Data - Control'!$B$5:$B$296,$B168)</f>
        <v/>
      </c>
      <c r="I168" s="49">
        <f>IFERROR($G168/$C168,0)</f>
        <v/>
      </c>
      <c r="J168" s="49">
        <f>IFERROR($H168/$D168,0)</f>
        <v/>
      </c>
      <c r="K168" s="36">
        <f>$D168*$I168</f>
        <v/>
      </c>
      <c r="L168" s="36">
        <f>$D168*($J168-$I168)</f>
        <v/>
      </c>
      <c r="M168" s="44">
        <f>IFERROR($D168/$C168-1,"")</f>
        <v/>
      </c>
    </row>
    <row r="169">
      <c r="A169" s="41" t="inlineStr">
        <is>
          <t>MolsonCoors Beverage Company</t>
        </is>
      </c>
      <c r="B169" s="41" t="inlineStr">
        <is>
          <t>Redd's</t>
        </is>
      </c>
      <c r="C169" s="33">
        <f>SUMIFS('Data - Control'!$C$5:$C$296,'Data - Control'!$A$5:$A$296,$A169,'Data - Control'!$B$5:$B$296,$B169)</f>
        <v/>
      </c>
      <c r="D169" s="33">
        <f>SUMIFS('Data - Control'!$D$5:$D$296,'Data - Control'!$A$5:$A$296,$A169,'Data - Control'!$B$5:$B$296,$B169)</f>
        <v/>
      </c>
      <c r="E169" s="36">
        <f>SUMIFS('Data - Control'!$E$5:$E$296,'Data - Control'!$A$5:$A$296,$A169,'Data - Control'!$B$5:$B$296,$B169)</f>
        <v/>
      </c>
      <c r="F169" s="36">
        <f>SUMIFS('Data - Control'!$F$5:$F$296,'Data - Control'!$A$5:$A$296,$A169,'Data - Control'!$B$5:$B$296,$B169)</f>
        <v/>
      </c>
      <c r="G169" s="36">
        <f>SUMIFS('Data - Control'!$G$5:$G$296,'Data - Control'!$A$5:$A$296,$A169,'Data - Control'!$B$5:$B$296,$B169)</f>
        <v/>
      </c>
      <c r="H169" s="36">
        <f>SUMIFS('Data - Control'!$H$5:$H$296,'Data - Control'!$A$5:$A$296,$A169,'Data - Control'!$B$5:$B$296,$B169)</f>
        <v/>
      </c>
      <c r="I169" s="49">
        <f>IFERROR($G169/$C169,0)</f>
        <v/>
      </c>
      <c r="J169" s="49">
        <f>IFERROR($H169/$D169,0)</f>
        <v/>
      </c>
      <c r="K169" s="36">
        <f>$D169*$I169</f>
        <v/>
      </c>
      <c r="L169" s="36">
        <f>$D169*($J169-$I169)</f>
        <v/>
      </c>
      <c r="M169" s="44">
        <f>IFERROR($D169/$C169-1,"")</f>
        <v/>
      </c>
    </row>
    <row r="170">
      <c r="A170" s="41" t="inlineStr">
        <is>
          <t>MolsonCoors Beverage Company</t>
        </is>
      </c>
      <c r="B170" s="41" t="inlineStr">
        <is>
          <t>Redd's Wicked</t>
        </is>
      </c>
      <c r="C170" s="33">
        <f>SUMIFS('Data - Control'!$C$5:$C$296,'Data - Control'!$A$5:$A$296,$A170,'Data - Control'!$B$5:$B$296,$B170)</f>
        <v/>
      </c>
      <c r="D170" s="33">
        <f>SUMIFS('Data - Control'!$D$5:$D$296,'Data - Control'!$A$5:$A$296,$A170,'Data - Control'!$B$5:$B$296,$B170)</f>
        <v/>
      </c>
      <c r="E170" s="36">
        <f>SUMIFS('Data - Control'!$E$5:$E$296,'Data - Control'!$A$5:$A$296,$A170,'Data - Control'!$B$5:$B$296,$B170)</f>
        <v/>
      </c>
      <c r="F170" s="36">
        <f>SUMIFS('Data - Control'!$F$5:$F$296,'Data - Control'!$A$5:$A$296,$A170,'Data - Control'!$B$5:$B$296,$B170)</f>
        <v/>
      </c>
      <c r="G170" s="36">
        <f>SUMIFS('Data - Control'!$G$5:$G$296,'Data - Control'!$A$5:$A$296,$A170,'Data - Control'!$B$5:$B$296,$B170)</f>
        <v/>
      </c>
      <c r="H170" s="36">
        <f>SUMIFS('Data - Control'!$H$5:$H$296,'Data - Control'!$A$5:$A$296,$A170,'Data - Control'!$B$5:$B$296,$B170)</f>
        <v/>
      </c>
      <c r="I170" s="49">
        <f>IFERROR($G170/$C170,0)</f>
        <v/>
      </c>
      <c r="J170" s="49">
        <f>IFERROR($H170/$D170,0)</f>
        <v/>
      </c>
      <c r="K170" s="36">
        <f>$D170*$I170</f>
        <v/>
      </c>
      <c r="L170" s="36">
        <f>$D170*($J170-$I170)</f>
        <v/>
      </c>
      <c r="M170" s="44">
        <f>IFERROR($D170/$C170-1,"")</f>
        <v/>
      </c>
    </row>
    <row r="171">
      <c r="A171" s="41" t="inlineStr">
        <is>
          <t>MolsonCoors Beverage Company</t>
        </is>
      </c>
      <c r="B171" s="41" t="inlineStr">
        <is>
          <t>Simply Spiked</t>
        </is>
      </c>
      <c r="C171" s="33">
        <f>SUMIFS('Data - Control'!$C$5:$C$296,'Data - Control'!$A$5:$A$296,$A171,'Data - Control'!$B$5:$B$296,$B171)</f>
        <v/>
      </c>
      <c r="D171" s="33">
        <f>SUMIFS('Data - Control'!$D$5:$D$296,'Data - Control'!$A$5:$A$296,$A171,'Data - Control'!$B$5:$B$296,$B171)</f>
        <v/>
      </c>
      <c r="E171" s="36">
        <f>SUMIFS('Data - Control'!$E$5:$E$296,'Data - Control'!$A$5:$A$296,$A171,'Data - Control'!$B$5:$B$296,$B171)</f>
        <v/>
      </c>
      <c r="F171" s="36">
        <f>SUMIFS('Data - Control'!$F$5:$F$296,'Data - Control'!$A$5:$A$296,$A171,'Data - Control'!$B$5:$B$296,$B171)</f>
        <v/>
      </c>
      <c r="G171" s="36">
        <f>SUMIFS('Data - Control'!$G$5:$G$296,'Data - Control'!$A$5:$A$296,$A171,'Data - Control'!$B$5:$B$296,$B171)</f>
        <v/>
      </c>
      <c r="H171" s="36">
        <f>SUMIFS('Data - Control'!$H$5:$H$296,'Data - Control'!$A$5:$A$296,$A171,'Data - Control'!$B$5:$B$296,$B171)</f>
        <v/>
      </c>
      <c r="I171" s="49">
        <f>IFERROR($G171/$C171,0)</f>
        <v/>
      </c>
      <c r="J171" s="49">
        <f>IFERROR($H171/$D171,0)</f>
        <v/>
      </c>
      <c r="K171" s="36">
        <f>$D171*$I171</f>
        <v/>
      </c>
      <c r="L171" s="36">
        <f>$D171*($J171-$I171)</f>
        <v/>
      </c>
      <c r="M171" s="44">
        <f>IFERROR($D171/$C171-1,"")</f>
        <v/>
      </c>
    </row>
    <row r="172">
      <c r="A172" s="41" t="inlineStr">
        <is>
          <t>MolsonCoors Beverage Company</t>
        </is>
      </c>
      <c r="B172" s="41" t="inlineStr">
        <is>
          <t>Sol</t>
        </is>
      </c>
      <c r="C172" s="33">
        <f>SUMIFS('Data - Control'!$C$5:$C$296,'Data - Control'!$A$5:$A$296,$A172,'Data - Control'!$B$5:$B$296,$B172)</f>
        <v/>
      </c>
      <c r="D172" s="33">
        <f>SUMIFS('Data - Control'!$D$5:$D$296,'Data - Control'!$A$5:$A$296,$A172,'Data - Control'!$B$5:$B$296,$B172)</f>
        <v/>
      </c>
      <c r="E172" s="36">
        <f>SUMIFS('Data - Control'!$E$5:$E$296,'Data - Control'!$A$5:$A$296,$A172,'Data - Control'!$B$5:$B$296,$B172)</f>
        <v/>
      </c>
      <c r="F172" s="36">
        <f>SUMIFS('Data - Control'!$F$5:$F$296,'Data - Control'!$A$5:$A$296,$A172,'Data - Control'!$B$5:$B$296,$B172)</f>
        <v/>
      </c>
      <c r="G172" s="36">
        <f>SUMIFS('Data - Control'!$G$5:$G$296,'Data - Control'!$A$5:$A$296,$A172,'Data - Control'!$B$5:$B$296,$B172)</f>
        <v/>
      </c>
      <c r="H172" s="36">
        <f>SUMIFS('Data - Control'!$H$5:$H$296,'Data - Control'!$A$5:$A$296,$A172,'Data - Control'!$B$5:$B$296,$B172)</f>
        <v/>
      </c>
      <c r="I172" s="49">
        <f>IFERROR($G172/$C172,0)</f>
        <v/>
      </c>
      <c r="J172" s="49">
        <f>IFERROR($H172/$D172,0)</f>
        <v/>
      </c>
      <c r="K172" s="36">
        <f>$D172*$I172</f>
        <v/>
      </c>
      <c r="L172" s="36">
        <f>$D172*($J172-$I172)</f>
        <v/>
      </c>
      <c r="M172" s="44">
        <f>IFERROR($D172/$C172-1,"")</f>
        <v/>
      </c>
    </row>
    <row r="173">
      <c r="A173" s="41" t="inlineStr">
        <is>
          <t>MolsonCoors Beverage Company</t>
        </is>
      </c>
      <c r="B173" s="41" t="inlineStr">
        <is>
          <t>Steel Reserve</t>
        </is>
      </c>
      <c r="C173" s="33">
        <f>SUMIFS('Data - Control'!$C$5:$C$296,'Data - Control'!$A$5:$A$296,$A173,'Data - Control'!$B$5:$B$296,$B173)</f>
        <v/>
      </c>
      <c r="D173" s="33">
        <f>SUMIFS('Data - Control'!$D$5:$D$296,'Data - Control'!$A$5:$A$296,$A173,'Data - Control'!$B$5:$B$296,$B173)</f>
        <v/>
      </c>
      <c r="E173" s="36">
        <f>SUMIFS('Data - Control'!$E$5:$E$296,'Data - Control'!$A$5:$A$296,$A173,'Data - Control'!$B$5:$B$296,$B173)</f>
        <v/>
      </c>
      <c r="F173" s="36">
        <f>SUMIFS('Data - Control'!$F$5:$F$296,'Data - Control'!$A$5:$A$296,$A173,'Data - Control'!$B$5:$B$296,$B173)</f>
        <v/>
      </c>
      <c r="G173" s="36">
        <f>SUMIFS('Data - Control'!$G$5:$G$296,'Data - Control'!$A$5:$A$296,$A173,'Data - Control'!$B$5:$B$296,$B173)</f>
        <v/>
      </c>
      <c r="H173" s="36">
        <f>SUMIFS('Data - Control'!$H$5:$H$296,'Data - Control'!$A$5:$A$296,$A173,'Data - Control'!$B$5:$B$296,$B173)</f>
        <v/>
      </c>
      <c r="I173" s="49">
        <f>IFERROR($G173/$C173,0)</f>
        <v/>
      </c>
      <c r="J173" s="49">
        <f>IFERROR($H173/$D173,0)</f>
        <v/>
      </c>
      <c r="K173" s="36">
        <f>$D173*$I173</f>
        <v/>
      </c>
      <c r="L173" s="36">
        <f>$D173*($J173-$I173)</f>
        <v/>
      </c>
      <c r="M173" s="44">
        <f>IFERROR($D173/$C173-1,"")</f>
        <v/>
      </c>
    </row>
    <row r="174">
      <c r="A174" s="41" t="inlineStr">
        <is>
          <t>MolsonCoors Beverage Company</t>
        </is>
      </c>
      <c r="B174" s="41" t="inlineStr">
        <is>
          <t>Steel Reserve Alloy Series</t>
        </is>
      </c>
      <c r="C174" s="33">
        <f>SUMIFS('Data - Control'!$C$5:$C$296,'Data - Control'!$A$5:$A$296,$A174,'Data - Control'!$B$5:$B$296,$B174)</f>
        <v/>
      </c>
      <c r="D174" s="33">
        <f>SUMIFS('Data - Control'!$D$5:$D$296,'Data - Control'!$A$5:$A$296,$A174,'Data - Control'!$B$5:$B$296,$B174)</f>
        <v/>
      </c>
      <c r="E174" s="36">
        <f>SUMIFS('Data - Control'!$E$5:$E$296,'Data - Control'!$A$5:$A$296,$A174,'Data - Control'!$B$5:$B$296,$B174)</f>
        <v/>
      </c>
      <c r="F174" s="36">
        <f>SUMIFS('Data - Control'!$F$5:$F$296,'Data - Control'!$A$5:$A$296,$A174,'Data - Control'!$B$5:$B$296,$B174)</f>
        <v/>
      </c>
      <c r="G174" s="36">
        <f>SUMIFS('Data - Control'!$G$5:$G$296,'Data - Control'!$A$5:$A$296,$A174,'Data - Control'!$B$5:$B$296,$B174)</f>
        <v/>
      </c>
      <c r="H174" s="36">
        <f>SUMIFS('Data - Control'!$H$5:$H$296,'Data - Control'!$A$5:$A$296,$A174,'Data - Control'!$B$5:$B$296,$B174)</f>
        <v/>
      </c>
      <c r="I174" s="49">
        <f>IFERROR($G174/$C174,0)</f>
        <v/>
      </c>
      <c r="J174" s="49">
        <f>IFERROR($H174/$D174,0)</f>
        <v/>
      </c>
      <c r="K174" s="36">
        <f>$D174*$I174</f>
        <v/>
      </c>
      <c r="L174" s="36">
        <f>$D174*($J174-$I174)</f>
        <v/>
      </c>
      <c r="M174" s="44">
        <f>IFERROR($D174/$C174-1,"")</f>
        <v/>
      </c>
    </row>
    <row r="175">
      <c r="A175" s="41" t="inlineStr">
        <is>
          <t>MolsonCoors Beverage Company</t>
        </is>
      </c>
      <c r="B175" s="41" t="inlineStr">
        <is>
          <t>Topo Chico</t>
        </is>
      </c>
      <c r="C175" s="33">
        <f>SUMIFS('Data - Control'!$C$5:$C$296,'Data - Control'!$A$5:$A$296,$A175,'Data - Control'!$B$5:$B$296,$B175)</f>
        <v/>
      </c>
      <c r="D175" s="33">
        <f>SUMIFS('Data - Control'!$D$5:$D$296,'Data - Control'!$A$5:$A$296,$A175,'Data - Control'!$B$5:$B$296,$B175)</f>
        <v/>
      </c>
      <c r="E175" s="36">
        <f>SUMIFS('Data - Control'!$E$5:$E$296,'Data - Control'!$A$5:$A$296,$A175,'Data - Control'!$B$5:$B$296,$B175)</f>
        <v/>
      </c>
      <c r="F175" s="36">
        <f>SUMIFS('Data - Control'!$F$5:$F$296,'Data - Control'!$A$5:$A$296,$A175,'Data - Control'!$B$5:$B$296,$B175)</f>
        <v/>
      </c>
      <c r="G175" s="36">
        <f>SUMIFS('Data - Control'!$G$5:$G$296,'Data - Control'!$A$5:$A$296,$A175,'Data - Control'!$B$5:$B$296,$B175)</f>
        <v/>
      </c>
      <c r="H175" s="36">
        <f>SUMIFS('Data - Control'!$H$5:$H$296,'Data - Control'!$A$5:$A$296,$A175,'Data - Control'!$B$5:$B$296,$B175)</f>
        <v/>
      </c>
      <c r="I175" s="49">
        <f>IFERROR($G175/$C175,0)</f>
        <v/>
      </c>
      <c r="J175" s="49">
        <f>IFERROR($H175/$D175,0)</f>
        <v/>
      </c>
      <c r="K175" s="36">
        <f>$D175*$I175</f>
        <v/>
      </c>
      <c r="L175" s="36">
        <f>$D175*($J175-$I175)</f>
        <v/>
      </c>
      <c r="M175" s="44">
        <f>IFERROR($D175/$C175-1,"")</f>
        <v/>
      </c>
    </row>
    <row r="176">
      <c r="A176" s="41" t="inlineStr">
        <is>
          <t>MolsonCoors Beverage Company</t>
        </is>
      </c>
      <c r="B176" s="41" t="inlineStr">
        <is>
          <t>Tyskie Gronie</t>
        </is>
      </c>
      <c r="C176" s="33">
        <f>SUMIFS('Data - Control'!$C$5:$C$296,'Data - Control'!$A$5:$A$296,$A176,'Data - Control'!$B$5:$B$296,$B176)</f>
        <v/>
      </c>
      <c r="D176" s="33">
        <f>SUMIFS('Data - Control'!$D$5:$D$296,'Data - Control'!$A$5:$A$296,$A176,'Data - Control'!$B$5:$B$296,$B176)</f>
        <v/>
      </c>
      <c r="E176" s="36">
        <f>SUMIFS('Data - Control'!$E$5:$E$296,'Data - Control'!$A$5:$A$296,$A176,'Data - Control'!$B$5:$B$296,$B176)</f>
        <v/>
      </c>
      <c r="F176" s="36">
        <f>SUMIFS('Data - Control'!$F$5:$F$296,'Data - Control'!$A$5:$A$296,$A176,'Data - Control'!$B$5:$B$296,$B176)</f>
        <v/>
      </c>
      <c r="G176" s="36">
        <f>SUMIFS('Data - Control'!$G$5:$G$296,'Data - Control'!$A$5:$A$296,$A176,'Data - Control'!$B$5:$B$296,$B176)</f>
        <v/>
      </c>
      <c r="H176" s="36">
        <f>SUMIFS('Data - Control'!$H$5:$H$296,'Data - Control'!$A$5:$A$296,$A176,'Data - Control'!$B$5:$B$296,$B176)</f>
        <v/>
      </c>
      <c r="I176" s="49">
        <f>IFERROR($G176/$C176,0)</f>
        <v/>
      </c>
      <c r="J176" s="49">
        <f>IFERROR($H176/$D176,0)</f>
        <v/>
      </c>
      <c r="K176" s="36">
        <f>$D176*$I176</f>
        <v/>
      </c>
      <c r="L176" s="36">
        <f>$D176*($J176-$I176)</f>
        <v/>
      </c>
      <c r="M176" s="44">
        <f>IFERROR($D176/$C176-1,"")</f>
        <v/>
      </c>
    </row>
    <row r="177">
      <c r="A177" s="41" t="inlineStr">
        <is>
          <t>MolsonCoors Beverage Company</t>
        </is>
      </c>
      <c r="B177" s="41" t="inlineStr">
        <is>
          <t>Vizzy</t>
        </is>
      </c>
      <c r="C177" s="33">
        <f>SUMIFS('Data - Control'!$C$5:$C$296,'Data - Control'!$A$5:$A$296,$A177,'Data - Control'!$B$5:$B$296,$B177)</f>
        <v/>
      </c>
      <c r="D177" s="33">
        <f>SUMIFS('Data - Control'!$D$5:$D$296,'Data - Control'!$A$5:$A$296,$A177,'Data - Control'!$B$5:$B$296,$B177)</f>
        <v/>
      </c>
      <c r="E177" s="36">
        <f>SUMIFS('Data - Control'!$E$5:$E$296,'Data - Control'!$A$5:$A$296,$A177,'Data - Control'!$B$5:$B$296,$B177)</f>
        <v/>
      </c>
      <c r="F177" s="36">
        <f>SUMIFS('Data - Control'!$F$5:$F$296,'Data - Control'!$A$5:$A$296,$A177,'Data - Control'!$B$5:$B$296,$B177)</f>
        <v/>
      </c>
      <c r="G177" s="36">
        <f>SUMIFS('Data - Control'!$G$5:$G$296,'Data - Control'!$A$5:$A$296,$A177,'Data - Control'!$B$5:$B$296,$B177)</f>
        <v/>
      </c>
      <c r="H177" s="36">
        <f>SUMIFS('Data - Control'!$H$5:$H$296,'Data - Control'!$A$5:$A$296,$A177,'Data - Control'!$B$5:$B$296,$B177)</f>
        <v/>
      </c>
      <c r="I177" s="49">
        <f>IFERROR($G177/$C177,0)</f>
        <v/>
      </c>
      <c r="J177" s="49">
        <f>IFERROR($H177/$D177,0)</f>
        <v/>
      </c>
      <c r="K177" s="36">
        <f>$D177*$I177</f>
        <v/>
      </c>
      <c r="L177" s="36">
        <f>$D177*($J177-$I177)</f>
        <v/>
      </c>
      <c r="M177" s="44">
        <f>IFERROR($D177/$C177-1,"")</f>
        <v/>
      </c>
    </row>
    <row r="178">
      <c r="A178" s="41" t="inlineStr">
        <is>
          <t>Montauk Brewing Co</t>
        </is>
      </c>
      <c r="B178" s="41" t="inlineStr">
        <is>
          <t>Montauk</t>
        </is>
      </c>
      <c r="C178" s="33">
        <f>SUMIFS('Data - Control'!$C$5:$C$296,'Data - Control'!$A$5:$A$296,$A178,'Data - Control'!$B$5:$B$296,$B178)</f>
        <v/>
      </c>
      <c r="D178" s="33">
        <f>SUMIFS('Data - Control'!$D$5:$D$296,'Data - Control'!$A$5:$A$296,$A178,'Data - Control'!$B$5:$B$296,$B178)</f>
        <v/>
      </c>
      <c r="E178" s="36">
        <f>SUMIFS('Data - Control'!$E$5:$E$296,'Data - Control'!$A$5:$A$296,$A178,'Data - Control'!$B$5:$B$296,$B178)</f>
        <v/>
      </c>
      <c r="F178" s="36">
        <f>SUMIFS('Data - Control'!$F$5:$F$296,'Data - Control'!$A$5:$A$296,$A178,'Data - Control'!$B$5:$B$296,$B178)</f>
        <v/>
      </c>
      <c r="G178" s="36">
        <f>SUMIFS('Data - Control'!$G$5:$G$296,'Data - Control'!$A$5:$A$296,$A178,'Data - Control'!$B$5:$B$296,$B178)</f>
        <v/>
      </c>
      <c r="H178" s="36">
        <f>SUMIFS('Data - Control'!$H$5:$H$296,'Data - Control'!$A$5:$A$296,$A178,'Data - Control'!$B$5:$B$296,$B178)</f>
        <v/>
      </c>
      <c r="I178" s="49">
        <f>IFERROR($G178/$C178,0)</f>
        <v/>
      </c>
      <c r="J178" s="49">
        <f>IFERROR($H178/$D178,0)</f>
        <v/>
      </c>
      <c r="K178" s="36">
        <f>$D178*$I178</f>
        <v/>
      </c>
      <c r="L178" s="36">
        <f>$D178*($J178-$I178)</f>
        <v/>
      </c>
      <c r="M178" s="44">
        <f>IFERROR($D178/$C178-1,"")</f>
        <v/>
      </c>
    </row>
    <row r="179">
      <c r="A179" s="41" t="inlineStr">
        <is>
          <t>Montauk Brewing Co</t>
        </is>
      </c>
      <c r="B179" s="41" t="inlineStr">
        <is>
          <t>Popsicle Hard</t>
        </is>
      </c>
      <c r="C179" s="33">
        <f>SUMIFS('Data - Control'!$C$5:$C$296,'Data - Control'!$A$5:$A$296,$A179,'Data - Control'!$B$5:$B$296,$B179)</f>
        <v/>
      </c>
      <c r="D179" s="33">
        <f>SUMIFS('Data - Control'!$D$5:$D$296,'Data - Control'!$A$5:$A$296,$A179,'Data - Control'!$B$5:$B$296,$B179)</f>
        <v/>
      </c>
      <c r="E179" s="36">
        <f>SUMIFS('Data - Control'!$E$5:$E$296,'Data - Control'!$A$5:$A$296,$A179,'Data - Control'!$B$5:$B$296,$B179)</f>
        <v/>
      </c>
      <c r="F179" s="36">
        <f>SUMIFS('Data - Control'!$F$5:$F$296,'Data - Control'!$A$5:$A$296,$A179,'Data - Control'!$B$5:$B$296,$B179)</f>
        <v/>
      </c>
      <c r="G179" s="36">
        <f>SUMIFS('Data - Control'!$G$5:$G$296,'Data - Control'!$A$5:$A$296,$A179,'Data - Control'!$B$5:$B$296,$B179)</f>
        <v/>
      </c>
      <c r="H179" s="36">
        <f>SUMIFS('Data - Control'!$H$5:$H$296,'Data - Control'!$A$5:$A$296,$A179,'Data - Control'!$B$5:$B$296,$B179)</f>
        <v/>
      </c>
      <c r="I179" s="49">
        <f>IFERROR($G179/$C179,0)</f>
        <v/>
      </c>
      <c r="J179" s="49">
        <f>IFERROR($H179/$D179,0)</f>
        <v/>
      </c>
      <c r="K179" s="36">
        <f>$D179*$I179</f>
        <v/>
      </c>
      <c r="L179" s="36">
        <f>$D179*($J179-$I179)</f>
        <v/>
      </c>
      <c r="M179" s="44">
        <f>IFERROR($D179/$C179-1,"")</f>
        <v/>
      </c>
    </row>
    <row r="180">
      <c r="A180" s="41" t="inlineStr">
        <is>
          <t>Narragansett</t>
        </is>
      </c>
      <c r="B180" s="41" t="inlineStr">
        <is>
          <t>Del's Shandy</t>
        </is>
      </c>
      <c r="C180" s="33">
        <f>SUMIFS('Data - Control'!$C$5:$C$296,'Data - Control'!$A$5:$A$296,$A180,'Data - Control'!$B$5:$B$296,$B180)</f>
        <v/>
      </c>
      <c r="D180" s="33">
        <f>SUMIFS('Data - Control'!$D$5:$D$296,'Data - Control'!$A$5:$A$296,$A180,'Data - Control'!$B$5:$B$296,$B180)</f>
        <v/>
      </c>
      <c r="E180" s="36">
        <f>SUMIFS('Data - Control'!$E$5:$E$296,'Data - Control'!$A$5:$A$296,$A180,'Data - Control'!$B$5:$B$296,$B180)</f>
        <v/>
      </c>
      <c r="F180" s="36">
        <f>SUMIFS('Data - Control'!$F$5:$F$296,'Data - Control'!$A$5:$A$296,$A180,'Data - Control'!$B$5:$B$296,$B180)</f>
        <v/>
      </c>
      <c r="G180" s="36">
        <f>SUMIFS('Data - Control'!$G$5:$G$296,'Data - Control'!$A$5:$A$296,$A180,'Data - Control'!$B$5:$B$296,$B180)</f>
        <v/>
      </c>
      <c r="H180" s="36">
        <f>SUMIFS('Data - Control'!$H$5:$H$296,'Data - Control'!$A$5:$A$296,$A180,'Data - Control'!$B$5:$B$296,$B180)</f>
        <v/>
      </c>
      <c r="I180" s="49">
        <f>IFERROR($G180/$C180,0)</f>
        <v/>
      </c>
      <c r="J180" s="49">
        <f>IFERROR($H180/$D180,0)</f>
        <v/>
      </c>
      <c r="K180" s="36">
        <f>$D180*$I180</f>
        <v/>
      </c>
      <c r="L180" s="36">
        <f>$D180*($J180-$I180)</f>
        <v/>
      </c>
      <c r="M180" s="44">
        <f>IFERROR($D180/$C180-1,"")</f>
        <v/>
      </c>
    </row>
    <row r="181">
      <c r="A181" s="41" t="inlineStr">
        <is>
          <t>Narragansett</t>
        </is>
      </c>
      <c r="B181" s="41" t="inlineStr">
        <is>
          <t>Narragansett</t>
        </is>
      </c>
      <c r="C181" s="33">
        <f>SUMIFS('Data - Control'!$C$5:$C$296,'Data - Control'!$A$5:$A$296,$A181,'Data - Control'!$B$5:$B$296,$B181)</f>
        <v/>
      </c>
      <c r="D181" s="33">
        <f>SUMIFS('Data - Control'!$D$5:$D$296,'Data - Control'!$A$5:$A$296,$A181,'Data - Control'!$B$5:$B$296,$B181)</f>
        <v/>
      </c>
      <c r="E181" s="36">
        <f>SUMIFS('Data - Control'!$E$5:$E$296,'Data - Control'!$A$5:$A$296,$A181,'Data - Control'!$B$5:$B$296,$B181)</f>
        <v/>
      </c>
      <c r="F181" s="36">
        <f>SUMIFS('Data - Control'!$F$5:$F$296,'Data - Control'!$A$5:$A$296,$A181,'Data - Control'!$B$5:$B$296,$B181)</f>
        <v/>
      </c>
      <c r="G181" s="36">
        <f>SUMIFS('Data - Control'!$G$5:$G$296,'Data - Control'!$A$5:$A$296,$A181,'Data - Control'!$B$5:$B$296,$B181)</f>
        <v/>
      </c>
      <c r="H181" s="36">
        <f>SUMIFS('Data - Control'!$H$5:$H$296,'Data - Control'!$A$5:$A$296,$A181,'Data - Control'!$B$5:$B$296,$B181)</f>
        <v/>
      </c>
      <c r="I181" s="49">
        <f>IFERROR($G181/$C181,0)</f>
        <v/>
      </c>
      <c r="J181" s="49">
        <f>IFERROR($H181/$D181,0)</f>
        <v/>
      </c>
      <c r="K181" s="36">
        <f>$D181*$I181</f>
        <v/>
      </c>
      <c r="L181" s="36">
        <f>$D181*($J181-$I181)</f>
        <v/>
      </c>
      <c r="M181" s="44">
        <f>IFERROR($D181/$C181-1,"")</f>
        <v/>
      </c>
    </row>
    <row r="182">
      <c r="A182" s="41" t="inlineStr">
        <is>
          <t>New Belgium Brewing Company</t>
        </is>
      </c>
      <c r="B182" s="41" t="inlineStr">
        <is>
          <t>Kirin Light</t>
        </is>
      </c>
      <c r="C182" s="33">
        <f>SUMIFS('Data - Control'!$C$5:$C$296,'Data - Control'!$A$5:$A$296,$A182,'Data - Control'!$B$5:$B$296,$B182)</f>
        <v/>
      </c>
      <c r="D182" s="33">
        <f>SUMIFS('Data - Control'!$D$5:$D$296,'Data - Control'!$A$5:$A$296,$A182,'Data - Control'!$B$5:$B$296,$B182)</f>
        <v/>
      </c>
      <c r="E182" s="36">
        <f>SUMIFS('Data - Control'!$E$5:$E$296,'Data - Control'!$A$5:$A$296,$A182,'Data - Control'!$B$5:$B$296,$B182)</f>
        <v/>
      </c>
      <c r="F182" s="36">
        <f>SUMIFS('Data - Control'!$F$5:$F$296,'Data - Control'!$A$5:$A$296,$A182,'Data - Control'!$B$5:$B$296,$B182)</f>
        <v/>
      </c>
      <c r="G182" s="36">
        <f>SUMIFS('Data - Control'!$G$5:$G$296,'Data - Control'!$A$5:$A$296,$A182,'Data - Control'!$B$5:$B$296,$B182)</f>
        <v/>
      </c>
      <c r="H182" s="36">
        <f>SUMIFS('Data - Control'!$H$5:$H$296,'Data - Control'!$A$5:$A$296,$A182,'Data - Control'!$B$5:$B$296,$B182)</f>
        <v/>
      </c>
      <c r="I182" s="49">
        <f>IFERROR($G182/$C182,0)</f>
        <v/>
      </c>
      <c r="J182" s="49">
        <f>IFERROR($H182/$D182,0)</f>
        <v/>
      </c>
      <c r="K182" s="36">
        <f>$D182*$I182</f>
        <v/>
      </c>
      <c r="L182" s="36">
        <f>$D182*($J182-$I182)</f>
        <v/>
      </c>
      <c r="M182" s="44">
        <f>IFERROR($D182/$C182-1,"")</f>
        <v/>
      </c>
    </row>
    <row r="183">
      <c r="A183" s="41" t="inlineStr">
        <is>
          <t>New Belgium Brewing Company</t>
        </is>
      </c>
      <c r="B183" s="41" t="inlineStr">
        <is>
          <t>Lightstrike</t>
        </is>
      </c>
      <c r="C183" s="33">
        <f>SUMIFS('Data - Control'!$C$5:$C$296,'Data - Control'!$A$5:$A$296,$A183,'Data - Control'!$B$5:$B$296,$B183)</f>
        <v/>
      </c>
      <c r="D183" s="33">
        <f>SUMIFS('Data - Control'!$D$5:$D$296,'Data - Control'!$A$5:$A$296,$A183,'Data - Control'!$B$5:$B$296,$B183)</f>
        <v/>
      </c>
      <c r="E183" s="36">
        <f>SUMIFS('Data - Control'!$E$5:$E$296,'Data - Control'!$A$5:$A$296,$A183,'Data - Control'!$B$5:$B$296,$B183)</f>
        <v/>
      </c>
      <c r="F183" s="36">
        <f>SUMIFS('Data - Control'!$F$5:$F$296,'Data - Control'!$A$5:$A$296,$A183,'Data - Control'!$B$5:$B$296,$B183)</f>
        <v/>
      </c>
      <c r="G183" s="36">
        <f>SUMIFS('Data - Control'!$G$5:$G$296,'Data - Control'!$A$5:$A$296,$A183,'Data - Control'!$B$5:$B$296,$B183)</f>
        <v/>
      </c>
      <c r="H183" s="36">
        <f>SUMIFS('Data - Control'!$H$5:$H$296,'Data - Control'!$A$5:$A$296,$A183,'Data - Control'!$B$5:$B$296,$B183)</f>
        <v/>
      </c>
      <c r="I183" s="49">
        <f>IFERROR($G183/$C183,0)</f>
        <v/>
      </c>
      <c r="J183" s="49">
        <f>IFERROR($H183/$D183,0)</f>
        <v/>
      </c>
      <c r="K183" s="36">
        <f>$D183*$I183</f>
        <v/>
      </c>
      <c r="L183" s="36">
        <f>$D183*($J183-$I183)</f>
        <v/>
      </c>
      <c r="M183" s="44">
        <f>IFERROR($D183/$C183-1,"")</f>
        <v/>
      </c>
    </row>
    <row r="184">
      <c r="A184" s="41" t="inlineStr">
        <is>
          <t>New Belgium Brewing Company</t>
        </is>
      </c>
      <c r="B184" s="41" t="inlineStr">
        <is>
          <t>New Belgium Brewing Company</t>
        </is>
      </c>
      <c r="C184" s="33">
        <f>SUMIFS('Data - Control'!$C$5:$C$296,'Data - Control'!$A$5:$A$296,$A184,'Data - Control'!$B$5:$B$296,$B184)</f>
        <v/>
      </c>
      <c r="D184" s="33">
        <f>SUMIFS('Data - Control'!$D$5:$D$296,'Data - Control'!$A$5:$A$296,$A184,'Data - Control'!$B$5:$B$296,$B184)</f>
        <v/>
      </c>
      <c r="E184" s="36">
        <f>SUMIFS('Data - Control'!$E$5:$E$296,'Data - Control'!$A$5:$A$296,$A184,'Data - Control'!$B$5:$B$296,$B184)</f>
        <v/>
      </c>
      <c r="F184" s="36">
        <f>SUMIFS('Data - Control'!$F$5:$F$296,'Data - Control'!$A$5:$A$296,$A184,'Data - Control'!$B$5:$B$296,$B184)</f>
        <v/>
      </c>
      <c r="G184" s="36">
        <f>SUMIFS('Data - Control'!$G$5:$G$296,'Data - Control'!$A$5:$A$296,$A184,'Data - Control'!$B$5:$B$296,$B184)</f>
        <v/>
      </c>
      <c r="H184" s="36">
        <f>SUMIFS('Data - Control'!$H$5:$H$296,'Data - Control'!$A$5:$A$296,$A184,'Data - Control'!$B$5:$B$296,$B184)</f>
        <v/>
      </c>
      <c r="I184" s="49">
        <f>IFERROR($G184/$C184,0)</f>
        <v/>
      </c>
      <c r="J184" s="49">
        <f>IFERROR($H184/$D184,0)</f>
        <v/>
      </c>
      <c r="K184" s="36">
        <f>$D184*$I184</f>
        <v/>
      </c>
      <c r="L184" s="36">
        <f>$D184*($J184-$I184)</f>
        <v/>
      </c>
      <c r="M184" s="44">
        <f>IFERROR($D184/$C184-1,"")</f>
        <v/>
      </c>
    </row>
    <row r="185">
      <c r="A185" s="41" t="inlineStr">
        <is>
          <t>New Belgium Brewing Company</t>
        </is>
      </c>
      <c r="B185" s="41" t="inlineStr">
        <is>
          <t>Voodoo Hardcharged</t>
        </is>
      </c>
      <c r="C185" s="33">
        <f>SUMIFS('Data - Control'!$C$5:$C$296,'Data - Control'!$A$5:$A$296,$A185,'Data - Control'!$B$5:$B$296,$B185)</f>
        <v/>
      </c>
      <c r="D185" s="33">
        <f>SUMIFS('Data - Control'!$D$5:$D$296,'Data - Control'!$A$5:$A$296,$A185,'Data - Control'!$B$5:$B$296,$B185)</f>
        <v/>
      </c>
      <c r="E185" s="36">
        <f>SUMIFS('Data - Control'!$E$5:$E$296,'Data - Control'!$A$5:$A$296,$A185,'Data - Control'!$B$5:$B$296,$B185)</f>
        <v/>
      </c>
      <c r="F185" s="36">
        <f>SUMIFS('Data - Control'!$F$5:$F$296,'Data - Control'!$A$5:$A$296,$A185,'Data - Control'!$B$5:$B$296,$B185)</f>
        <v/>
      </c>
      <c r="G185" s="36">
        <f>SUMIFS('Data - Control'!$G$5:$G$296,'Data - Control'!$A$5:$A$296,$A185,'Data - Control'!$B$5:$B$296,$B185)</f>
        <v/>
      </c>
      <c r="H185" s="36">
        <f>SUMIFS('Data - Control'!$H$5:$H$296,'Data - Control'!$A$5:$A$296,$A185,'Data - Control'!$B$5:$B$296,$B185)</f>
        <v/>
      </c>
      <c r="I185" s="49">
        <f>IFERROR($G185/$C185,0)</f>
        <v/>
      </c>
      <c r="J185" s="49">
        <f>IFERROR($H185/$D185,0)</f>
        <v/>
      </c>
      <c r="K185" s="36">
        <f>$D185*$I185</f>
        <v/>
      </c>
      <c r="L185" s="36">
        <f>$D185*($J185-$I185)</f>
        <v/>
      </c>
      <c r="M185" s="44">
        <f>IFERROR($D185/$C185-1,"")</f>
        <v/>
      </c>
    </row>
    <row r="186">
      <c r="A186" s="41" t="inlineStr">
        <is>
          <t>Newburgh Brewing</t>
        </is>
      </c>
      <c r="B186" s="41" t="inlineStr">
        <is>
          <t>Newburgh</t>
        </is>
      </c>
      <c r="C186" s="33">
        <f>SUMIFS('Data - Control'!$C$5:$C$296,'Data - Control'!$A$5:$A$296,$A186,'Data - Control'!$B$5:$B$296,$B186)</f>
        <v/>
      </c>
      <c r="D186" s="33">
        <f>SUMIFS('Data - Control'!$D$5:$D$296,'Data - Control'!$A$5:$A$296,$A186,'Data - Control'!$B$5:$B$296,$B186)</f>
        <v/>
      </c>
      <c r="E186" s="36">
        <f>SUMIFS('Data - Control'!$E$5:$E$296,'Data - Control'!$A$5:$A$296,$A186,'Data - Control'!$B$5:$B$296,$B186)</f>
        <v/>
      </c>
      <c r="F186" s="36">
        <f>SUMIFS('Data - Control'!$F$5:$F$296,'Data - Control'!$A$5:$A$296,$A186,'Data - Control'!$B$5:$B$296,$B186)</f>
        <v/>
      </c>
      <c r="G186" s="36">
        <f>SUMIFS('Data - Control'!$G$5:$G$296,'Data - Control'!$A$5:$A$296,$A186,'Data - Control'!$B$5:$B$296,$B186)</f>
        <v/>
      </c>
      <c r="H186" s="36">
        <f>SUMIFS('Data - Control'!$H$5:$H$296,'Data - Control'!$A$5:$A$296,$A186,'Data - Control'!$B$5:$B$296,$B186)</f>
        <v/>
      </c>
      <c r="I186" s="49">
        <f>IFERROR($G186/$C186,0)</f>
        <v/>
      </c>
      <c r="J186" s="49">
        <f>IFERROR($H186/$D186,0)</f>
        <v/>
      </c>
      <c r="K186" s="36">
        <f>$D186*$I186</f>
        <v/>
      </c>
      <c r="L186" s="36">
        <f>$D186*($J186-$I186)</f>
        <v/>
      </c>
      <c r="M186" s="44">
        <f>IFERROR($D186/$C186-1,"")</f>
        <v/>
      </c>
    </row>
    <row r="187">
      <c r="A187" s="41" t="inlineStr">
        <is>
          <t>Noca Beverages</t>
        </is>
      </c>
      <c r="B187" s="41" t="inlineStr">
        <is>
          <t>Noca</t>
        </is>
      </c>
      <c r="C187" s="33">
        <f>SUMIFS('Data - Control'!$C$5:$C$296,'Data - Control'!$A$5:$A$296,$A187,'Data - Control'!$B$5:$B$296,$B187)</f>
        <v/>
      </c>
      <c r="D187" s="33">
        <f>SUMIFS('Data - Control'!$D$5:$D$296,'Data - Control'!$A$5:$A$296,$A187,'Data - Control'!$B$5:$B$296,$B187)</f>
        <v/>
      </c>
      <c r="E187" s="36">
        <f>SUMIFS('Data - Control'!$E$5:$E$296,'Data - Control'!$A$5:$A$296,$A187,'Data - Control'!$B$5:$B$296,$B187)</f>
        <v/>
      </c>
      <c r="F187" s="36">
        <f>SUMIFS('Data - Control'!$F$5:$F$296,'Data - Control'!$A$5:$A$296,$A187,'Data - Control'!$B$5:$B$296,$B187)</f>
        <v/>
      </c>
      <c r="G187" s="36">
        <f>SUMIFS('Data - Control'!$G$5:$G$296,'Data - Control'!$A$5:$A$296,$A187,'Data - Control'!$B$5:$B$296,$B187)</f>
        <v/>
      </c>
      <c r="H187" s="36">
        <f>SUMIFS('Data - Control'!$H$5:$H$296,'Data - Control'!$A$5:$A$296,$A187,'Data - Control'!$B$5:$B$296,$B187)</f>
        <v/>
      </c>
      <c r="I187" s="49">
        <f>IFERROR($G187/$C187,0)</f>
        <v/>
      </c>
      <c r="J187" s="49">
        <f>IFERROR($H187/$D187,0)</f>
        <v/>
      </c>
      <c r="K187" s="36">
        <f>$D187*$I187</f>
        <v/>
      </c>
      <c r="L187" s="36">
        <f>$D187*($J187-$I187)</f>
        <v/>
      </c>
      <c r="M187" s="44">
        <f>IFERROR($D187/$C187-1,"")</f>
        <v/>
      </c>
    </row>
    <row r="188">
      <c r="A188" s="41" t="inlineStr">
        <is>
          <t>OVO Vodka LLC</t>
        </is>
      </c>
      <c r="B188" s="41" t="inlineStr">
        <is>
          <t>OVO Vodka</t>
        </is>
      </c>
      <c r="C188" s="33">
        <f>SUMIFS('Data - Control'!$C$5:$C$296,'Data - Control'!$A$5:$A$296,$A188,'Data - Control'!$B$5:$B$296,$B188)</f>
        <v/>
      </c>
      <c r="D188" s="33">
        <f>SUMIFS('Data - Control'!$D$5:$D$296,'Data - Control'!$A$5:$A$296,$A188,'Data - Control'!$B$5:$B$296,$B188)</f>
        <v/>
      </c>
      <c r="E188" s="36">
        <f>SUMIFS('Data - Control'!$E$5:$E$296,'Data - Control'!$A$5:$A$296,$A188,'Data - Control'!$B$5:$B$296,$B188)</f>
        <v/>
      </c>
      <c r="F188" s="36">
        <f>SUMIFS('Data - Control'!$F$5:$F$296,'Data - Control'!$A$5:$A$296,$A188,'Data - Control'!$B$5:$B$296,$B188)</f>
        <v/>
      </c>
      <c r="G188" s="36">
        <f>SUMIFS('Data - Control'!$G$5:$G$296,'Data - Control'!$A$5:$A$296,$A188,'Data - Control'!$B$5:$B$296,$B188)</f>
        <v/>
      </c>
      <c r="H188" s="36">
        <f>SUMIFS('Data - Control'!$H$5:$H$296,'Data - Control'!$A$5:$A$296,$A188,'Data - Control'!$B$5:$B$296,$B188)</f>
        <v/>
      </c>
      <c r="I188" s="49">
        <f>IFERROR($G188/$C188,0)</f>
        <v/>
      </c>
      <c r="J188" s="49">
        <f>IFERROR($H188/$D188,0)</f>
        <v/>
      </c>
      <c r="K188" s="36">
        <f>$D188*$I188</f>
        <v/>
      </c>
      <c r="L188" s="36">
        <f>$D188*($J188-$I188)</f>
        <v/>
      </c>
      <c r="M188" s="44">
        <f>IFERROR($D188/$C188-1,"")</f>
        <v/>
      </c>
    </row>
    <row r="189">
      <c r="A189" s="41" t="inlineStr">
        <is>
          <t>Oceano</t>
        </is>
      </c>
      <c r="B189" s="41" t="inlineStr">
        <is>
          <t>Oceano</t>
        </is>
      </c>
      <c r="C189" s="33">
        <f>SUMIFS('Data - Control'!$C$5:$C$296,'Data - Control'!$A$5:$A$296,$A189,'Data - Control'!$B$5:$B$296,$B189)</f>
        <v/>
      </c>
      <c r="D189" s="33">
        <f>SUMIFS('Data - Control'!$D$5:$D$296,'Data - Control'!$A$5:$A$296,$A189,'Data - Control'!$B$5:$B$296,$B189)</f>
        <v/>
      </c>
      <c r="E189" s="36">
        <f>SUMIFS('Data - Control'!$E$5:$E$296,'Data - Control'!$A$5:$A$296,$A189,'Data - Control'!$B$5:$B$296,$B189)</f>
        <v/>
      </c>
      <c r="F189" s="36">
        <f>SUMIFS('Data - Control'!$F$5:$F$296,'Data - Control'!$A$5:$A$296,$A189,'Data - Control'!$B$5:$B$296,$B189)</f>
        <v/>
      </c>
      <c r="G189" s="36">
        <f>SUMIFS('Data - Control'!$G$5:$G$296,'Data - Control'!$A$5:$A$296,$A189,'Data - Control'!$B$5:$B$296,$B189)</f>
        <v/>
      </c>
      <c r="H189" s="36">
        <f>SUMIFS('Data - Control'!$H$5:$H$296,'Data - Control'!$A$5:$A$296,$A189,'Data - Control'!$B$5:$B$296,$B189)</f>
        <v/>
      </c>
      <c r="I189" s="49">
        <f>IFERROR($G189/$C189,0)</f>
        <v/>
      </c>
      <c r="J189" s="49">
        <f>IFERROR($H189/$D189,0)</f>
        <v/>
      </c>
      <c r="K189" s="36">
        <f>$D189*$I189</f>
        <v/>
      </c>
      <c r="L189" s="36">
        <f>$D189*($J189-$I189)</f>
        <v/>
      </c>
      <c r="M189" s="44">
        <f>IFERROR($D189/$C189-1,"")</f>
        <v/>
      </c>
    </row>
    <row r="190">
      <c r="A190" s="41" t="inlineStr">
        <is>
          <t>Pabst Brewing Company</t>
        </is>
      </c>
      <c r="B190" s="41" t="inlineStr">
        <is>
          <t>Colt 45</t>
        </is>
      </c>
      <c r="C190" s="33">
        <f>SUMIFS('Data - Control'!$C$5:$C$296,'Data - Control'!$A$5:$A$296,$A190,'Data - Control'!$B$5:$B$296,$B190)</f>
        <v/>
      </c>
      <c r="D190" s="33">
        <f>SUMIFS('Data - Control'!$D$5:$D$296,'Data - Control'!$A$5:$A$296,$A190,'Data - Control'!$B$5:$B$296,$B190)</f>
        <v/>
      </c>
      <c r="E190" s="36">
        <f>SUMIFS('Data - Control'!$E$5:$E$296,'Data - Control'!$A$5:$A$296,$A190,'Data - Control'!$B$5:$B$296,$B190)</f>
        <v/>
      </c>
      <c r="F190" s="36">
        <f>SUMIFS('Data - Control'!$F$5:$F$296,'Data - Control'!$A$5:$A$296,$A190,'Data - Control'!$B$5:$B$296,$B190)</f>
        <v/>
      </c>
      <c r="G190" s="36">
        <f>SUMIFS('Data - Control'!$G$5:$G$296,'Data - Control'!$A$5:$A$296,$A190,'Data - Control'!$B$5:$B$296,$B190)</f>
        <v/>
      </c>
      <c r="H190" s="36">
        <f>SUMIFS('Data - Control'!$H$5:$H$296,'Data - Control'!$A$5:$A$296,$A190,'Data - Control'!$B$5:$B$296,$B190)</f>
        <v/>
      </c>
      <c r="I190" s="49">
        <f>IFERROR($G190/$C190,0)</f>
        <v/>
      </c>
      <c r="J190" s="49">
        <f>IFERROR($H190/$D190,0)</f>
        <v/>
      </c>
      <c r="K190" s="36">
        <f>$D190*$I190</f>
        <v/>
      </c>
      <c r="L190" s="36">
        <f>$D190*($J190-$I190)</f>
        <v/>
      </c>
      <c r="M190" s="44">
        <f>IFERROR($D190/$C190-1,"")</f>
        <v/>
      </c>
    </row>
    <row r="191">
      <c r="A191" s="41" t="inlineStr">
        <is>
          <t>Pabst Brewing Company</t>
        </is>
      </c>
      <c r="B191" s="41" t="inlineStr">
        <is>
          <t>Country Club</t>
        </is>
      </c>
      <c r="C191" s="33">
        <f>SUMIFS('Data - Control'!$C$5:$C$296,'Data - Control'!$A$5:$A$296,$A191,'Data - Control'!$B$5:$B$296,$B191)</f>
        <v/>
      </c>
      <c r="D191" s="33">
        <f>SUMIFS('Data - Control'!$D$5:$D$296,'Data - Control'!$A$5:$A$296,$A191,'Data - Control'!$B$5:$B$296,$B191)</f>
        <v/>
      </c>
      <c r="E191" s="36">
        <f>SUMIFS('Data - Control'!$E$5:$E$296,'Data - Control'!$A$5:$A$296,$A191,'Data - Control'!$B$5:$B$296,$B191)</f>
        <v/>
      </c>
      <c r="F191" s="36">
        <f>SUMIFS('Data - Control'!$F$5:$F$296,'Data - Control'!$A$5:$A$296,$A191,'Data - Control'!$B$5:$B$296,$B191)</f>
        <v/>
      </c>
      <c r="G191" s="36">
        <f>SUMIFS('Data - Control'!$G$5:$G$296,'Data - Control'!$A$5:$A$296,$A191,'Data - Control'!$B$5:$B$296,$B191)</f>
        <v/>
      </c>
      <c r="H191" s="36">
        <f>SUMIFS('Data - Control'!$H$5:$H$296,'Data - Control'!$A$5:$A$296,$A191,'Data - Control'!$B$5:$B$296,$B191)</f>
        <v/>
      </c>
      <c r="I191" s="49">
        <f>IFERROR($G191/$C191,0)</f>
        <v/>
      </c>
      <c r="J191" s="49">
        <f>IFERROR($H191/$D191,0)</f>
        <v/>
      </c>
      <c r="K191" s="36">
        <f>$D191*$I191</f>
        <v/>
      </c>
      <c r="L191" s="36">
        <f>$D191*($J191-$I191)</f>
        <v/>
      </c>
      <c r="M191" s="44">
        <f>IFERROR($D191/$C191-1,"")</f>
        <v/>
      </c>
    </row>
    <row r="192">
      <c r="A192" s="41" t="inlineStr">
        <is>
          <t>Pabst Brewing Company</t>
        </is>
      </c>
      <c r="B192" s="41" t="inlineStr">
        <is>
          <t>EL Jimador</t>
        </is>
      </c>
      <c r="C192" s="33">
        <f>SUMIFS('Data - Control'!$C$5:$C$296,'Data - Control'!$A$5:$A$296,$A192,'Data - Control'!$B$5:$B$296,$B192)</f>
        <v/>
      </c>
      <c r="D192" s="33">
        <f>SUMIFS('Data - Control'!$D$5:$D$296,'Data - Control'!$A$5:$A$296,$A192,'Data - Control'!$B$5:$B$296,$B192)</f>
        <v/>
      </c>
      <c r="E192" s="36">
        <f>SUMIFS('Data - Control'!$E$5:$E$296,'Data - Control'!$A$5:$A$296,$A192,'Data - Control'!$B$5:$B$296,$B192)</f>
        <v/>
      </c>
      <c r="F192" s="36">
        <f>SUMIFS('Data - Control'!$F$5:$F$296,'Data - Control'!$A$5:$A$296,$A192,'Data - Control'!$B$5:$B$296,$B192)</f>
        <v/>
      </c>
      <c r="G192" s="36">
        <f>SUMIFS('Data - Control'!$G$5:$G$296,'Data - Control'!$A$5:$A$296,$A192,'Data - Control'!$B$5:$B$296,$B192)</f>
        <v/>
      </c>
      <c r="H192" s="36">
        <f>SUMIFS('Data - Control'!$H$5:$H$296,'Data - Control'!$A$5:$A$296,$A192,'Data - Control'!$B$5:$B$296,$B192)</f>
        <v/>
      </c>
      <c r="I192" s="49">
        <f>IFERROR($G192/$C192,0)</f>
        <v/>
      </c>
      <c r="J192" s="49">
        <f>IFERROR($H192/$D192,0)</f>
        <v/>
      </c>
      <c r="K192" s="36">
        <f>$D192*$I192</f>
        <v/>
      </c>
      <c r="L192" s="36">
        <f>$D192*($J192-$I192)</f>
        <v/>
      </c>
      <c r="M192" s="44">
        <f>IFERROR($D192/$C192-1,"")</f>
        <v/>
      </c>
    </row>
    <row r="193">
      <c r="A193" s="41" t="inlineStr">
        <is>
          <t>Pabst Brewing Company</t>
        </is>
      </c>
      <c r="B193" s="41" t="inlineStr">
        <is>
          <t>Jack Daniels Country Cocktails</t>
        </is>
      </c>
      <c r="C193" s="33">
        <f>SUMIFS('Data - Control'!$C$5:$C$296,'Data - Control'!$A$5:$A$296,$A193,'Data - Control'!$B$5:$B$296,$B193)</f>
        <v/>
      </c>
      <c r="D193" s="33">
        <f>SUMIFS('Data - Control'!$D$5:$D$296,'Data - Control'!$A$5:$A$296,$A193,'Data - Control'!$B$5:$B$296,$B193)</f>
        <v/>
      </c>
      <c r="E193" s="36">
        <f>SUMIFS('Data - Control'!$E$5:$E$296,'Data - Control'!$A$5:$A$296,$A193,'Data - Control'!$B$5:$B$296,$B193)</f>
        <v/>
      </c>
      <c r="F193" s="36">
        <f>SUMIFS('Data - Control'!$F$5:$F$296,'Data - Control'!$A$5:$A$296,$A193,'Data - Control'!$B$5:$B$296,$B193)</f>
        <v/>
      </c>
      <c r="G193" s="36">
        <f>SUMIFS('Data - Control'!$G$5:$G$296,'Data - Control'!$A$5:$A$296,$A193,'Data - Control'!$B$5:$B$296,$B193)</f>
        <v/>
      </c>
      <c r="H193" s="36">
        <f>SUMIFS('Data - Control'!$H$5:$H$296,'Data - Control'!$A$5:$A$296,$A193,'Data - Control'!$B$5:$B$296,$B193)</f>
        <v/>
      </c>
      <c r="I193" s="49">
        <f>IFERROR($G193/$C193,0)</f>
        <v/>
      </c>
      <c r="J193" s="49">
        <f>IFERROR($H193/$D193,0)</f>
        <v/>
      </c>
      <c r="K193" s="36">
        <f>$D193*$I193</f>
        <v/>
      </c>
      <c r="L193" s="36">
        <f>$D193*($J193-$I193)</f>
        <v/>
      </c>
      <c r="M193" s="44">
        <f>IFERROR($D193/$C193-1,"")</f>
        <v/>
      </c>
    </row>
    <row r="194">
      <c r="A194" s="41" t="inlineStr">
        <is>
          <t>Pabst Brewing Company</t>
        </is>
      </c>
      <c r="B194" s="41" t="inlineStr">
        <is>
          <t>Lone Star</t>
        </is>
      </c>
      <c r="C194" s="33">
        <f>SUMIFS('Data - Control'!$C$5:$C$296,'Data - Control'!$A$5:$A$296,$A194,'Data - Control'!$B$5:$B$296,$B194)</f>
        <v/>
      </c>
      <c r="D194" s="33">
        <f>SUMIFS('Data - Control'!$D$5:$D$296,'Data - Control'!$A$5:$A$296,$A194,'Data - Control'!$B$5:$B$296,$B194)</f>
        <v/>
      </c>
      <c r="E194" s="36">
        <f>SUMIFS('Data - Control'!$E$5:$E$296,'Data - Control'!$A$5:$A$296,$A194,'Data - Control'!$B$5:$B$296,$B194)</f>
        <v/>
      </c>
      <c r="F194" s="36">
        <f>SUMIFS('Data - Control'!$F$5:$F$296,'Data - Control'!$A$5:$A$296,$A194,'Data - Control'!$B$5:$B$296,$B194)</f>
        <v/>
      </c>
      <c r="G194" s="36">
        <f>SUMIFS('Data - Control'!$G$5:$G$296,'Data - Control'!$A$5:$A$296,$A194,'Data - Control'!$B$5:$B$296,$B194)</f>
        <v/>
      </c>
      <c r="H194" s="36">
        <f>SUMIFS('Data - Control'!$H$5:$H$296,'Data - Control'!$A$5:$A$296,$A194,'Data - Control'!$B$5:$B$296,$B194)</f>
        <v/>
      </c>
      <c r="I194" s="49">
        <f>IFERROR($G194/$C194,0)</f>
        <v/>
      </c>
      <c r="J194" s="49">
        <f>IFERROR($H194/$D194,0)</f>
        <v/>
      </c>
      <c r="K194" s="36">
        <f>$D194*$I194</f>
        <v/>
      </c>
      <c r="L194" s="36">
        <f>$D194*($J194-$I194)</f>
        <v/>
      </c>
      <c r="M194" s="44">
        <f>IFERROR($D194/$C194-1,"")</f>
        <v/>
      </c>
    </row>
    <row r="195">
      <c r="A195" s="41" t="inlineStr">
        <is>
          <t>Pabst Brewing Company</t>
        </is>
      </c>
      <c r="B195" s="41" t="inlineStr">
        <is>
          <t>New Holland Brewing Co</t>
        </is>
      </c>
      <c r="C195" s="33">
        <f>SUMIFS('Data - Control'!$C$5:$C$296,'Data - Control'!$A$5:$A$296,$A195,'Data - Control'!$B$5:$B$296,$B195)</f>
        <v/>
      </c>
      <c r="D195" s="33">
        <f>SUMIFS('Data - Control'!$D$5:$D$296,'Data - Control'!$A$5:$A$296,$A195,'Data - Control'!$B$5:$B$296,$B195)</f>
        <v/>
      </c>
      <c r="E195" s="36">
        <f>SUMIFS('Data - Control'!$E$5:$E$296,'Data - Control'!$A$5:$A$296,$A195,'Data - Control'!$B$5:$B$296,$B195)</f>
        <v/>
      </c>
      <c r="F195" s="36">
        <f>SUMIFS('Data - Control'!$F$5:$F$296,'Data - Control'!$A$5:$A$296,$A195,'Data - Control'!$B$5:$B$296,$B195)</f>
        <v/>
      </c>
      <c r="G195" s="36">
        <f>SUMIFS('Data - Control'!$G$5:$G$296,'Data - Control'!$A$5:$A$296,$A195,'Data - Control'!$B$5:$B$296,$B195)</f>
        <v/>
      </c>
      <c r="H195" s="36">
        <f>SUMIFS('Data - Control'!$H$5:$H$296,'Data - Control'!$A$5:$A$296,$A195,'Data - Control'!$B$5:$B$296,$B195)</f>
        <v/>
      </c>
      <c r="I195" s="49">
        <f>IFERROR($G195/$C195,0)</f>
        <v/>
      </c>
      <c r="J195" s="49">
        <f>IFERROR($H195/$D195,0)</f>
        <v/>
      </c>
      <c r="K195" s="36">
        <f>$D195*$I195</f>
        <v/>
      </c>
      <c r="L195" s="36">
        <f>$D195*($J195-$I195)</f>
        <v/>
      </c>
      <c r="M195" s="44">
        <f>IFERROR($D195/$C195-1,"")</f>
        <v/>
      </c>
    </row>
    <row r="196">
      <c r="A196" s="41" t="inlineStr">
        <is>
          <t>Pabst Brewing Company</t>
        </is>
      </c>
      <c r="B196" s="41" t="inlineStr">
        <is>
          <t>Old Milwaukee</t>
        </is>
      </c>
      <c r="C196" s="33">
        <f>SUMIFS('Data - Control'!$C$5:$C$296,'Data - Control'!$A$5:$A$296,$A196,'Data - Control'!$B$5:$B$296,$B196)</f>
        <v/>
      </c>
      <c r="D196" s="33">
        <f>SUMIFS('Data - Control'!$D$5:$D$296,'Data - Control'!$A$5:$A$296,$A196,'Data - Control'!$B$5:$B$296,$B196)</f>
        <v/>
      </c>
      <c r="E196" s="36">
        <f>SUMIFS('Data - Control'!$E$5:$E$296,'Data - Control'!$A$5:$A$296,$A196,'Data - Control'!$B$5:$B$296,$B196)</f>
        <v/>
      </c>
      <c r="F196" s="36">
        <f>SUMIFS('Data - Control'!$F$5:$F$296,'Data - Control'!$A$5:$A$296,$A196,'Data - Control'!$B$5:$B$296,$B196)</f>
        <v/>
      </c>
      <c r="G196" s="36">
        <f>SUMIFS('Data - Control'!$G$5:$G$296,'Data - Control'!$A$5:$A$296,$A196,'Data - Control'!$B$5:$B$296,$B196)</f>
        <v/>
      </c>
      <c r="H196" s="36">
        <f>SUMIFS('Data - Control'!$H$5:$H$296,'Data - Control'!$A$5:$A$296,$A196,'Data - Control'!$B$5:$B$296,$B196)</f>
        <v/>
      </c>
      <c r="I196" s="49">
        <f>IFERROR($G196/$C196,0)</f>
        <v/>
      </c>
      <c r="J196" s="49">
        <f>IFERROR($H196/$D196,0)</f>
        <v/>
      </c>
      <c r="K196" s="36">
        <f>$D196*$I196</f>
        <v/>
      </c>
      <c r="L196" s="36">
        <f>$D196*($J196-$I196)</f>
        <v/>
      </c>
      <c r="M196" s="44">
        <f>IFERROR($D196/$C196-1,"")</f>
        <v/>
      </c>
    </row>
    <row r="197">
      <c r="A197" s="41" t="inlineStr">
        <is>
          <t>Pabst Brewing Company</t>
        </is>
      </c>
      <c r="B197" s="41" t="inlineStr">
        <is>
          <t>Pabst Blue Ribbon</t>
        </is>
      </c>
      <c r="C197" s="33">
        <f>SUMIFS('Data - Control'!$C$5:$C$296,'Data - Control'!$A$5:$A$296,$A197,'Data - Control'!$B$5:$B$296,$B197)</f>
        <v/>
      </c>
      <c r="D197" s="33">
        <f>SUMIFS('Data - Control'!$D$5:$D$296,'Data - Control'!$A$5:$A$296,$A197,'Data - Control'!$B$5:$B$296,$B197)</f>
        <v/>
      </c>
      <c r="E197" s="36">
        <f>SUMIFS('Data - Control'!$E$5:$E$296,'Data - Control'!$A$5:$A$296,$A197,'Data - Control'!$B$5:$B$296,$B197)</f>
        <v/>
      </c>
      <c r="F197" s="36">
        <f>SUMIFS('Data - Control'!$F$5:$F$296,'Data - Control'!$A$5:$A$296,$A197,'Data - Control'!$B$5:$B$296,$B197)</f>
        <v/>
      </c>
      <c r="G197" s="36">
        <f>SUMIFS('Data - Control'!$G$5:$G$296,'Data - Control'!$A$5:$A$296,$A197,'Data - Control'!$B$5:$B$296,$B197)</f>
        <v/>
      </c>
      <c r="H197" s="36">
        <f>SUMIFS('Data - Control'!$H$5:$H$296,'Data - Control'!$A$5:$A$296,$A197,'Data - Control'!$B$5:$B$296,$B197)</f>
        <v/>
      </c>
      <c r="I197" s="49">
        <f>IFERROR($G197/$C197,0)</f>
        <v/>
      </c>
      <c r="J197" s="49">
        <f>IFERROR($H197/$D197,0)</f>
        <v/>
      </c>
      <c r="K197" s="36">
        <f>$D197*$I197</f>
        <v/>
      </c>
      <c r="L197" s="36">
        <f>$D197*($J197-$I197)</f>
        <v/>
      </c>
      <c r="M197" s="44">
        <f>IFERROR($D197/$C197-1,"")</f>
        <v/>
      </c>
    </row>
    <row r="198">
      <c r="A198" s="41" t="inlineStr">
        <is>
          <t>Pabst Brewing Company</t>
        </is>
      </c>
      <c r="B198" s="41" t="inlineStr">
        <is>
          <t>Pabst Light</t>
        </is>
      </c>
      <c r="C198" s="33">
        <f>SUMIFS('Data - Control'!$C$5:$C$296,'Data - Control'!$A$5:$A$296,$A198,'Data - Control'!$B$5:$B$296,$B198)</f>
        <v/>
      </c>
      <c r="D198" s="33">
        <f>SUMIFS('Data - Control'!$D$5:$D$296,'Data - Control'!$A$5:$A$296,$A198,'Data - Control'!$B$5:$B$296,$B198)</f>
        <v/>
      </c>
      <c r="E198" s="36">
        <f>SUMIFS('Data - Control'!$E$5:$E$296,'Data - Control'!$A$5:$A$296,$A198,'Data - Control'!$B$5:$B$296,$B198)</f>
        <v/>
      </c>
      <c r="F198" s="36">
        <f>SUMIFS('Data - Control'!$F$5:$F$296,'Data - Control'!$A$5:$A$296,$A198,'Data - Control'!$B$5:$B$296,$B198)</f>
        <v/>
      </c>
      <c r="G198" s="36">
        <f>SUMIFS('Data - Control'!$G$5:$G$296,'Data - Control'!$A$5:$A$296,$A198,'Data - Control'!$B$5:$B$296,$B198)</f>
        <v/>
      </c>
      <c r="H198" s="36">
        <f>SUMIFS('Data - Control'!$H$5:$H$296,'Data - Control'!$A$5:$A$296,$A198,'Data - Control'!$B$5:$B$296,$B198)</f>
        <v/>
      </c>
      <c r="I198" s="49">
        <f>IFERROR($G198/$C198,0)</f>
        <v/>
      </c>
      <c r="J198" s="49">
        <f>IFERROR($H198/$D198,0)</f>
        <v/>
      </c>
      <c r="K198" s="36">
        <f>$D198*$I198</f>
        <v/>
      </c>
      <c r="L198" s="36">
        <f>$D198*($J198-$I198)</f>
        <v/>
      </c>
      <c r="M198" s="44">
        <f>IFERROR($D198/$C198-1,"")</f>
        <v/>
      </c>
    </row>
    <row r="199">
      <c r="A199" s="41" t="inlineStr">
        <is>
          <t>Pabst Brewing Company</t>
        </is>
      </c>
      <c r="B199" s="41" t="inlineStr">
        <is>
          <t>Schaefer</t>
        </is>
      </c>
      <c r="C199" s="33">
        <f>SUMIFS('Data - Control'!$C$5:$C$296,'Data - Control'!$A$5:$A$296,$A199,'Data - Control'!$B$5:$B$296,$B199)</f>
        <v/>
      </c>
      <c r="D199" s="33">
        <f>SUMIFS('Data - Control'!$D$5:$D$296,'Data - Control'!$A$5:$A$296,$A199,'Data - Control'!$B$5:$B$296,$B199)</f>
        <v/>
      </c>
      <c r="E199" s="36">
        <f>SUMIFS('Data - Control'!$E$5:$E$296,'Data - Control'!$A$5:$A$296,$A199,'Data - Control'!$B$5:$B$296,$B199)</f>
        <v/>
      </c>
      <c r="F199" s="36">
        <f>SUMIFS('Data - Control'!$F$5:$F$296,'Data - Control'!$A$5:$A$296,$A199,'Data - Control'!$B$5:$B$296,$B199)</f>
        <v/>
      </c>
      <c r="G199" s="36">
        <f>SUMIFS('Data - Control'!$G$5:$G$296,'Data - Control'!$A$5:$A$296,$A199,'Data - Control'!$B$5:$B$296,$B199)</f>
        <v/>
      </c>
      <c r="H199" s="36">
        <f>SUMIFS('Data - Control'!$H$5:$H$296,'Data - Control'!$A$5:$A$296,$A199,'Data - Control'!$B$5:$B$296,$B199)</f>
        <v/>
      </c>
      <c r="I199" s="49">
        <f>IFERROR($G199/$C199,0)</f>
        <v/>
      </c>
      <c r="J199" s="49">
        <f>IFERROR($H199/$D199,0)</f>
        <v/>
      </c>
      <c r="K199" s="36">
        <f>$D199*$I199</f>
        <v/>
      </c>
      <c r="L199" s="36">
        <f>$D199*($J199-$I199)</f>
        <v/>
      </c>
      <c r="M199" s="44">
        <f>IFERROR($D199/$C199-1,"")</f>
        <v/>
      </c>
    </row>
    <row r="200">
      <c r="A200" s="41" t="inlineStr">
        <is>
          <t>Pabst Brewing Company</t>
        </is>
      </c>
      <c r="B200" s="41" t="inlineStr">
        <is>
          <t>Schlitz Malt</t>
        </is>
      </c>
      <c r="C200" s="33">
        <f>SUMIFS('Data - Control'!$C$5:$C$296,'Data - Control'!$A$5:$A$296,$A200,'Data - Control'!$B$5:$B$296,$B200)</f>
        <v/>
      </c>
      <c r="D200" s="33">
        <f>SUMIFS('Data - Control'!$D$5:$D$296,'Data - Control'!$A$5:$A$296,$A200,'Data - Control'!$B$5:$B$296,$B200)</f>
        <v/>
      </c>
      <c r="E200" s="36">
        <f>SUMIFS('Data - Control'!$E$5:$E$296,'Data - Control'!$A$5:$A$296,$A200,'Data - Control'!$B$5:$B$296,$B200)</f>
        <v/>
      </c>
      <c r="F200" s="36">
        <f>SUMIFS('Data - Control'!$F$5:$F$296,'Data - Control'!$A$5:$A$296,$A200,'Data - Control'!$B$5:$B$296,$B200)</f>
        <v/>
      </c>
      <c r="G200" s="36">
        <f>SUMIFS('Data - Control'!$G$5:$G$296,'Data - Control'!$A$5:$A$296,$A200,'Data - Control'!$B$5:$B$296,$B200)</f>
        <v/>
      </c>
      <c r="H200" s="36">
        <f>SUMIFS('Data - Control'!$H$5:$H$296,'Data - Control'!$A$5:$A$296,$A200,'Data - Control'!$B$5:$B$296,$B200)</f>
        <v/>
      </c>
      <c r="I200" s="49">
        <f>IFERROR($G200/$C200,0)</f>
        <v/>
      </c>
      <c r="J200" s="49">
        <f>IFERROR($H200/$D200,0)</f>
        <v/>
      </c>
      <c r="K200" s="36">
        <f>$D200*$I200</f>
        <v/>
      </c>
      <c r="L200" s="36">
        <f>$D200*($J200-$I200)</f>
        <v/>
      </c>
      <c r="M200" s="44">
        <f>IFERROR($D200/$C200-1,"")</f>
        <v/>
      </c>
    </row>
    <row r="201">
      <c r="A201" s="41" t="inlineStr">
        <is>
          <t>Pabst Brewing Company</t>
        </is>
      </c>
      <c r="B201" s="41" t="inlineStr">
        <is>
          <t>Small Town</t>
        </is>
      </c>
      <c r="C201" s="33">
        <f>SUMIFS('Data - Control'!$C$5:$C$296,'Data - Control'!$A$5:$A$296,$A201,'Data - Control'!$B$5:$B$296,$B201)</f>
        <v/>
      </c>
      <c r="D201" s="33">
        <f>SUMIFS('Data - Control'!$D$5:$D$296,'Data - Control'!$A$5:$A$296,$A201,'Data - Control'!$B$5:$B$296,$B201)</f>
        <v/>
      </c>
      <c r="E201" s="36">
        <f>SUMIFS('Data - Control'!$E$5:$E$296,'Data - Control'!$A$5:$A$296,$A201,'Data - Control'!$B$5:$B$296,$B201)</f>
        <v/>
      </c>
      <c r="F201" s="36">
        <f>SUMIFS('Data - Control'!$F$5:$F$296,'Data - Control'!$A$5:$A$296,$A201,'Data - Control'!$B$5:$B$296,$B201)</f>
        <v/>
      </c>
      <c r="G201" s="36">
        <f>SUMIFS('Data - Control'!$G$5:$G$296,'Data - Control'!$A$5:$A$296,$A201,'Data - Control'!$B$5:$B$296,$B201)</f>
        <v/>
      </c>
      <c r="H201" s="36">
        <f>SUMIFS('Data - Control'!$H$5:$H$296,'Data - Control'!$A$5:$A$296,$A201,'Data - Control'!$B$5:$B$296,$B201)</f>
        <v/>
      </c>
      <c r="I201" s="49">
        <f>IFERROR($G201/$C201,0)</f>
        <v/>
      </c>
      <c r="J201" s="49">
        <f>IFERROR($H201/$D201,0)</f>
        <v/>
      </c>
      <c r="K201" s="36">
        <f>$D201*$I201</f>
        <v/>
      </c>
      <c r="L201" s="36">
        <f>$D201*($J201-$I201)</f>
        <v/>
      </c>
      <c r="M201" s="44">
        <f>IFERROR($D201/$C201-1,"")</f>
        <v/>
      </c>
    </row>
    <row r="202">
      <c r="A202" s="41" t="inlineStr">
        <is>
          <t>Pabst Brewing Company</t>
        </is>
      </c>
      <c r="B202" s="41" t="inlineStr">
        <is>
          <t>St Ides</t>
        </is>
      </c>
      <c r="C202" s="33">
        <f>SUMIFS('Data - Control'!$C$5:$C$296,'Data - Control'!$A$5:$A$296,$A202,'Data - Control'!$B$5:$B$296,$B202)</f>
        <v/>
      </c>
      <c r="D202" s="33">
        <f>SUMIFS('Data - Control'!$D$5:$D$296,'Data - Control'!$A$5:$A$296,$A202,'Data - Control'!$B$5:$B$296,$B202)</f>
        <v/>
      </c>
      <c r="E202" s="36">
        <f>SUMIFS('Data - Control'!$E$5:$E$296,'Data - Control'!$A$5:$A$296,$A202,'Data - Control'!$B$5:$B$296,$B202)</f>
        <v/>
      </c>
      <c r="F202" s="36">
        <f>SUMIFS('Data - Control'!$F$5:$F$296,'Data - Control'!$A$5:$A$296,$A202,'Data - Control'!$B$5:$B$296,$B202)</f>
        <v/>
      </c>
      <c r="G202" s="36">
        <f>SUMIFS('Data - Control'!$G$5:$G$296,'Data - Control'!$A$5:$A$296,$A202,'Data - Control'!$B$5:$B$296,$B202)</f>
        <v/>
      </c>
      <c r="H202" s="36">
        <f>SUMIFS('Data - Control'!$H$5:$H$296,'Data - Control'!$A$5:$A$296,$A202,'Data - Control'!$B$5:$B$296,$B202)</f>
        <v/>
      </c>
      <c r="I202" s="49">
        <f>IFERROR($G202/$C202,0)</f>
        <v/>
      </c>
      <c r="J202" s="49">
        <f>IFERROR($H202/$D202,0)</f>
        <v/>
      </c>
      <c r="K202" s="36">
        <f>$D202*$I202</f>
        <v/>
      </c>
      <c r="L202" s="36">
        <f>$D202*($J202-$I202)</f>
        <v/>
      </c>
      <c r="M202" s="44">
        <f>IFERROR($D202/$C202-1,"")</f>
        <v/>
      </c>
    </row>
    <row r="203">
      <c r="A203" s="41" t="inlineStr">
        <is>
          <t>Pampa Beverages</t>
        </is>
      </c>
      <c r="B203" s="41" t="inlineStr">
        <is>
          <t>Quilmes</t>
        </is>
      </c>
      <c r="C203" s="33">
        <f>SUMIFS('Data - Control'!$C$5:$C$296,'Data - Control'!$A$5:$A$296,$A203,'Data - Control'!$B$5:$B$296,$B203)</f>
        <v/>
      </c>
      <c r="D203" s="33">
        <f>SUMIFS('Data - Control'!$D$5:$D$296,'Data - Control'!$A$5:$A$296,$A203,'Data - Control'!$B$5:$B$296,$B203)</f>
        <v/>
      </c>
      <c r="E203" s="36">
        <f>SUMIFS('Data - Control'!$E$5:$E$296,'Data - Control'!$A$5:$A$296,$A203,'Data - Control'!$B$5:$B$296,$B203)</f>
        <v/>
      </c>
      <c r="F203" s="36">
        <f>SUMIFS('Data - Control'!$F$5:$F$296,'Data - Control'!$A$5:$A$296,$A203,'Data - Control'!$B$5:$B$296,$B203)</f>
        <v/>
      </c>
      <c r="G203" s="36">
        <f>SUMIFS('Data - Control'!$G$5:$G$296,'Data - Control'!$A$5:$A$296,$A203,'Data - Control'!$B$5:$B$296,$B203)</f>
        <v/>
      </c>
      <c r="H203" s="36">
        <f>SUMIFS('Data - Control'!$H$5:$H$296,'Data - Control'!$A$5:$A$296,$A203,'Data - Control'!$B$5:$B$296,$B203)</f>
        <v/>
      </c>
      <c r="I203" s="49">
        <f>IFERROR($G203/$C203,0)</f>
        <v/>
      </c>
      <c r="J203" s="49">
        <f>IFERROR($H203/$D203,0)</f>
        <v/>
      </c>
      <c r="K203" s="36">
        <f>$D203*$I203</f>
        <v/>
      </c>
      <c r="L203" s="36">
        <f>$D203*($J203-$I203)</f>
        <v/>
      </c>
      <c r="M203" s="44">
        <f>IFERROR($D203/$C203-1,"")</f>
        <v/>
      </c>
    </row>
    <row r="204">
      <c r="A204" s="41" t="inlineStr">
        <is>
          <t>Paradisse Spirits LLC</t>
        </is>
      </c>
      <c r="B204" s="41" t="inlineStr">
        <is>
          <t>Paradisse</t>
        </is>
      </c>
      <c r="C204" s="33">
        <f>SUMIFS('Data - Control'!$C$5:$C$296,'Data - Control'!$A$5:$A$296,$A204,'Data - Control'!$B$5:$B$296,$B204)</f>
        <v/>
      </c>
      <c r="D204" s="33">
        <f>SUMIFS('Data - Control'!$D$5:$D$296,'Data - Control'!$A$5:$A$296,$A204,'Data - Control'!$B$5:$B$296,$B204)</f>
        <v/>
      </c>
      <c r="E204" s="36">
        <f>SUMIFS('Data - Control'!$E$5:$E$296,'Data - Control'!$A$5:$A$296,$A204,'Data - Control'!$B$5:$B$296,$B204)</f>
        <v/>
      </c>
      <c r="F204" s="36">
        <f>SUMIFS('Data - Control'!$F$5:$F$296,'Data - Control'!$A$5:$A$296,$A204,'Data - Control'!$B$5:$B$296,$B204)</f>
        <v/>
      </c>
      <c r="G204" s="36">
        <f>SUMIFS('Data - Control'!$G$5:$G$296,'Data - Control'!$A$5:$A$296,$A204,'Data - Control'!$B$5:$B$296,$B204)</f>
        <v/>
      </c>
      <c r="H204" s="36">
        <f>SUMIFS('Data - Control'!$H$5:$H$296,'Data - Control'!$A$5:$A$296,$A204,'Data - Control'!$B$5:$B$296,$B204)</f>
        <v/>
      </c>
      <c r="I204" s="49">
        <f>IFERROR($G204/$C204,0)</f>
        <v/>
      </c>
      <c r="J204" s="49">
        <f>IFERROR($H204/$D204,0)</f>
        <v/>
      </c>
      <c r="K204" s="36">
        <f>$D204*$I204</f>
        <v/>
      </c>
      <c r="L204" s="36">
        <f>$D204*($J204-$I204)</f>
        <v/>
      </c>
      <c r="M204" s="44">
        <f>IFERROR($D204/$C204-1,"")</f>
        <v/>
      </c>
    </row>
    <row r="205">
      <c r="A205" s="41" t="inlineStr">
        <is>
          <t>Park Street Imports</t>
        </is>
      </c>
      <c r="B205" s="41" t="inlineStr">
        <is>
          <t>Plaid Duck</t>
        </is>
      </c>
      <c r="C205" s="33">
        <f>SUMIFS('Data - Control'!$C$5:$C$296,'Data - Control'!$A$5:$A$296,$A205,'Data - Control'!$B$5:$B$296,$B205)</f>
        <v/>
      </c>
      <c r="D205" s="33">
        <f>SUMIFS('Data - Control'!$D$5:$D$296,'Data - Control'!$A$5:$A$296,$A205,'Data - Control'!$B$5:$B$296,$B205)</f>
        <v/>
      </c>
      <c r="E205" s="36">
        <f>SUMIFS('Data - Control'!$E$5:$E$296,'Data - Control'!$A$5:$A$296,$A205,'Data - Control'!$B$5:$B$296,$B205)</f>
        <v/>
      </c>
      <c r="F205" s="36">
        <f>SUMIFS('Data - Control'!$F$5:$F$296,'Data - Control'!$A$5:$A$296,$A205,'Data - Control'!$B$5:$B$296,$B205)</f>
        <v/>
      </c>
      <c r="G205" s="36">
        <f>SUMIFS('Data - Control'!$G$5:$G$296,'Data - Control'!$A$5:$A$296,$A205,'Data - Control'!$B$5:$B$296,$B205)</f>
        <v/>
      </c>
      <c r="H205" s="36">
        <f>SUMIFS('Data - Control'!$H$5:$H$296,'Data - Control'!$A$5:$A$296,$A205,'Data - Control'!$B$5:$B$296,$B205)</f>
        <v/>
      </c>
      <c r="I205" s="49">
        <f>IFERROR($G205/$C205,0)</f>
        <v/>
      </c>
      <c r="J205" s="49">
        <f>IFERROR($H205/$D205,0)</f>
        <v/>
      </c>
      <c r="K205" s="36">
        <f>$D205*$I205</f>
        <v/>
      </c>
      <c r="L205" s="36">
        <f>$D205*($J205-$I205)</f>
        <v/>
      </c>
      <c r="M205" s="44">
        <f>IFERROR($D205/$C205-1,"")</f>
        <v/>
      </c>
    </row>
    <row r="206">
      <c r="A206" s="41" t="inlineStr">
        <is>
          <t>Passion Tree Co</t>
        </is>
      </c>
      <c r="B206" s="41" t="inlineStr">
        <is>
          <t>Pop Sips</t>
        </is>
      </c>
      <c r="C206" s="33">
        <f>SUMIFS('Data - Control'!$C$5:$C$296,'Data - Control'!$A$5:$A$296,$A206,'Data - Control'!$B$5:$B$296,$B206)</f>
        <v/>
      </c>
      <c r="D206" s="33">
        <f>SUMIFS('Data - Control'!$D$5:$D$296,'Data - Control'!$A$5:$A$296,$A206,'Data - Control'!$B$5:$B$296,$B206)</f>
        <v/>
      </c>
      <c r="E206" s="36">
        <f>SUMIFS('Data - Control'!$E$5:$E$296,'Data - Control'!$A$5:$A$296,$A206,'Data - Control'!$B$5:$B$296,$B206)</f>
        <v/>
      </c>
      <c r="F206" s="36">
        <f>SUMIFS('Data - Control'!$F$5:$F$296,'Data - Control'!$A$5:$A$296,$A206,'Data - Control'!$B$5:$B$296,$B206)</f>
        <v/>
      </c>
      <c r="G206" s="36">
        <f>SUMIFS('Data - Control'!$G$5:$G$296,'Data - Control'!$A$5:$A$296,$A206,'Data - Control'!$B$5:$B$296,$B206)</f>
        <v/>
      </c>
      <c r="H206" s="36">
        <f>SUMIFS('Data - Control'!$H$5:$H$296,'Data - Control'!$A$5:$A$296,$A206,'Data - Control'!$B$5:$B$296,$B206)</f>
        <v/>
      </c>
      <c r="I206" s="49">
        <f>IFERROR($G206/$C206,0)</f>
        <v/>
      </c>
      <c r="J206" s="49">
        <f>IFERROR($H206/$D206,0)</f>
        <v/>
      </c>
      <c r="K206" s="36">
        <f>$D206*$I206</f>
        <v/>
      </c>
      <c r="L206" s="36">
        <f>$D206*($J206-$I206)</f>
        <v/>
      </c>
      <c r="M206" s="44">
        <f>IFERROR($D206/$C206-1,"")</f>
        <v/>
      </c>
    </row>
    <row r="207">
      <c r="A207" s="41" t="inlineStr">
        <is>
          <t>Paulaner</t>
        </is>
      </c>
      <c r="B207" s="41" t="inlineStr">
        <is>
          <t>Fuller's</t>
        </is>
      </c>
      <c r="C207" s="33">
        <f>SUMIFS('Data - Control'!$C$5:$C$296,'Data - Control'!$A$5:$A$296,$A207,'Data - Control'!$B$5:$B$296,$B207)</f>
        <v/>
      </c>
      <c r="D207" s="33">
        <f>SUMIFS('Data - Control'!$D$5:$D$296,'Data - Control'!$A$5:$A$296,$A207,'Data - Control'!$B$5:$B$296,$B207)</f>
        <v/>
      </c>
      <c r="E207" s="36">
        <f>SUMIFS('Data - Control'!$E$5:$E$296,'Data - Control'!$A$5:$A$296,$A207,'Data - Control'!$B$5:$B$296,$B207)</f>
        <v/>
      </c>
      <c r="F207" s="36">
        <f>SUMIFS('Data - Control'!$F$5:$F$296,'Data - Control'!$A$5:$A$296,$A207,'Data - Control'!$B$5:$B$296,$B207)</f>
        <v/>
      </c>
      <c r="G207" s="36">
        <f>SUMIFS('Data - Control'!$G$5:$G$296,'Data - Control'!$A$5:$A$296,$A207,'Data - Control'!$B$5:$B$296,$B207)</f>
        <v/>
      </c>
      <c r="H207" s="36">
        <f>SUMIFS('Data - Control'!$H$5:$H$296,'Data - Control'!$A$5:$A$296,$A207,'Data - Control'!$B$5:$B$296,$B207)</f>
        <v/>
      </c>
      <c r="I207" s="49">
        <f>IFERROR($G207/$C207,0)</f>
        <v/>
      </c>
      <c r="J207" s="49">
        <f>IFERROR($H207/$D207,0)</f>
        <v/>
      </c>
      <c r="K207" s="36">
        <f>$D207*$I207</f>
        <v/>
      </c>
      <c r="L207" s="36">
        <f>$D207*($J207-$I207)</f>
        <v/>
      </c>
      <c r="M207" s="44">
        <f>IFERROR($D207/$C207-1,"")</f>
        <v/>
      </c>
    </row>
    <row r="208">
      <c r="A208" s="41" t="inlineStr">
        <is>
          <t>Paulaner</t>
        </is>
      </c>
      <c r="B208" s="41" t="inlineStr">
        <is>
          <t>Hacker-Pschorr</t>
        </is>
      </c>
      <c r="C208" s="33">
        <f>SUMIFS('Data - Control'!$C$5:$C$296,'Data - Control'!$A$5:$A$296,$A208,'Data - Control'!$B$5:$B$296,$B208)</f>
        <v/>
      </c>
      <c r="D208" s="33">
        <f>SUMIFS('Data - Control'!$D$5:$D$296,'Data - Control'!$A$5:$A$296,$A208,'Data - Control'!$B$5:$B$296,$B208)</f>
        <v/>
      </c>
      <c r="E208" s="36">
        <f>SUMIFS('Data - Control'!$E$5:$E$296,'Data - Control'!$A$5:$A$296,$A208,'Data - Control'!$B$5:$B$296,$B208)</f>
        <v/>
      </c>
      <c r="F208" s="36">
        <f>SUMIFS('Data - Control'!$F$5:$F$296,'Data - Control'!$A$5:$A$296,$A208,'Data - Control'!$B$5:$B$296,$B208)</f>
        <v/>
      </c>
      <c r="G208" s="36">
        <f>SUMIFS('Data - Control'!$G$5:$G$296,'Data - Control'!$A$5:$A$296,$A208,'Data - Control'!$B$5:$B$296,$B208)</f>
        <v/>
      </c>
      <c r="H208" s="36">
        <f>SUMIFS('Data - Control'!$H$5:$H$296,'Data - Control'!$A$5:$A$296,$A208,'Data - Control'!$B$5:$B$296,$B208)</f>
        <v/>
      </c>
      <c r="I208" s="49">
        <f>IFERROR($G208/$C208,0)</f>
        <v/>
      </c>
      <c r="J208" s="49">
        <f>IFERROR($H208/$D208,0)</f>
        <v/>
      </c>
      <c r="K208" s="36">
        <f>$D208*$I208</f>
        <v/>
      </c>
      <c r="L208" s="36">
        <f>$D208*($J208-$I208)</f>
        <v/>
      </c>
      <c r="M208" s="44">
        <f>IFERROR($D208/$C208-1,"")</f>
        <v/>
      </c>
    </row>
    <row r="209">
      <c r="A209" s="41" t="inlineStr">
        <is>
          <t>Paulaner</t>
        </is>
      </c>
      <c r="B209" s="41" t="inlineStr">
        <is>
          <t>Paulaner</t>
        </is>
      </c>
      <c r="C209" s="33">
        <f>SUMIFS('Data - Control'!$C$5:$C$296,'Data - Control'!$A$5:$A$296,$A209,'Data - Control'!$B$5:$B$296,$B209)</f>
        <v/>
      </c>
      <c r="D209" s="33">
        <f>SUMIFS('Data - Control'!$D$5:$D$296,'Data - Control'!$A$5:$A$296,$A209,'Data - Control'!$B$5:$B$296,$B209)</f>
        <v/>
      </c>
      <c r="E209" s="36">
        <f>SUMIFS('Data - Control'!$E$5:$E$296,'Data - Control'!$A$5:$A$296,$A209,'Data - Control'!$B$5:$B$296,$B209)</f>
        <v/>
      </c>
      <c r="F209" s="36">
        <f>SUMIFS('Data - Control'!$F$5:$F$296,'Data - Control'!$A$5:$A$296,$A209,'Data - Control'!$B$5:$B$296,$B209)</f>
        <v/>
      </c>
      <c r="G209" s="36">
        <f>SUMIFS('Data - Control'!$G$5:$G$296,'Data - Control'!$A$5:$A$296,$A209,'Data - Control'!$B$5:$B$296,$B209)</f>
        <v/>
      </c>
      <c r="H209" s="36">
        <f>SUMIFS('Data - Control'!$H$5:$H$296,'Data - Control'!$A$5:$A$296,$A209,'Data - Control'!$B$5:$B$296,$B209)</f>
        <v/>
      </c>
      <c r="I209" s="49">
        <f>IFERROR($G209/$C209,0)</f>
        <v/>
      </c>
      <c r="J209" s="49">
        <f>IFERROR($H209/$D209,0)</f>
        <v/>
      </c>
      <c r="K209" s="36">
        <f>$D209*$I209</f>
        <v/>
      </c>
      <c r="L209" s="36">
        <f>$D209*($J209-$I209)</f>
        <v/>
      </c>
      <c r="M209" s="44">
        <f>IFERROR($D209/$C209-1,"")</f>
        <v/>
      </c>
    </row>
    <row r="210">
      <c r="A210" s="41" t="inlineStr">
        <is>
          <t>Paulaner</t>
        </is>
      </c>
      <c r="B210" s="41" t="inlineStr">
        <is>
          <t>Tsingtao</t>
        </is>
      </c>
      <c r="C210" s="33">
        <f>SUMIFS('Data - Control'!$C$5:$C$296,'Data - Control'!$A$5:$A$296,$A210,'Data - Control'!$B$5:$B$296,$B210)</f>
        <v/>
      </c>
      <c r="D210" s="33">
        <f>SUMIFS('Data - Control'!$D$5:$D$296,'Data - Control'!$A$5:$A$296,$A210,'Data - Control'!$B$5:$B$296,$B210)</f>
        <v/>
      </c>
      <c r="E210" s="36">
        <f>SUMIFS('Data - Control'!$E$5:$E$296,'Data - Control'!$A$5:$A$296,$A210,'Data - Control'!$B$5:$B$296,$B210)</f>
        <v/>
      </c>
      <c r="F210" s="36">
        <f>SUMIFS('Data - Control'!$F$5:$F$296,'Data - Control'!$A$5:$A$296,$A210,'Data - Control'!$B$5:$B$296,$B210)</f>
        <v/>
      </c>
      <c r="G210" s="36">
        <f>SUMIFS('Data - Control'!$G$5:$G$296,'Data - Control'!$A$5:$A$296,$A210,'Data - Control'!$B$5:$B$296,$B210)</f>
        <v/>
      </c>
      <c r="H210" s="36">
        <f>SUMIFS('Data - Control'!$H$5:$H$296,'Data - Control'!$A$5:$A$296,$A210,'Data - Control'!$B$5:$B$296,$B210)</f>
        <v/>
      </c>
      <c r="I210" s="49">
        <f>IFERROR($G210/$C210,0)</f>
        <v/>
      </c>
      <c r="J210" s="49">
        <f>IFERROR($H210/$D210,0)</f>
        <v/>
      </c>
      <c r="K210" s="36">
        <f>$D210*$I210</f>
        <v/>
      </c>
      <c r="L210" s="36">
        <f>$D210*($J210-$I210)</f>
        <v/>
      </c>
      <c r="M210" s="44">
        <f>IFERROR($D210/$C210-1,"")</f>
        <v/>
      </c>
    </row>
    <row r="211">
      <c r="A211" s="41" t="inlineStr">
        <is>
          <t>Phusion Projects</t>
        </is>
      </c>
      <c r="B211" s="41" t="inlineStr">
        <is>
          <t>Earthquake</t>
        </is>
      </c>
      <c r="C211" s="33">
        <f>SUMIFS('Data - Control'!$C$5:$C$296,'Data - Control'!$A$5:$A$296,$A211,'Data - Control'!$B$5:$B$296,$B211)</f>
        <v/>
      </c>
      <c r="D211" s="33">
        <f>SUMIFS('Data - Control'!$D$5:$D$296,'Data - Control'!$A$5:$A$296,$A211,'Data - Control'!$B$5:$B$296,$B211)</f>
        <v/>
      </c>
      <c r="E211" s="36">
        <f>SUMIFS('Data - Control'!$E$5:$E$296,'Data - Control'!$A$5:$A$296,$A211,'Data - Control'!$B$5:$B$296,$B211)</f>
        <v/>
      </c>
      <c r="F211" s="36">
        <f>SUMIFS('Data - Control'!$F$5:$F$296,'Data - Control'!$A$5:$A$296,$A211,'Data - Control'!$B$5:$B$296,$B211)</f>
        <v/>
      </c>
      <c r="G211" s="36">
        <f>SUMIFS('Data - Control'!$G$5:$G$296,'Data - Control'!$A$5:$A$296,$A211,'Data - Control'!$B$5:$B$296,$B211)</f>
        <v/>
      </c>
      <c r="H211" s="36">
        <f>SUMIFS('Data - Control'!$H$5:$H$296,'Data - Control'!$A$5:$A$296,$A211,'Data - Control'!$B$5:$B$296,$B211)</f>
        <v/>
      </c>
      <c r="I211" s="49">
        <f>IFERROR($G211/$C211,0)</f>
        <v/>
      </c>
      <c r="J211" s="49">
        <f>IFERROR($H211/$D211,0)</f>
        <v/>
      </c>
      <c r="K211" s="36">
        <f>$D211*$I211</f>
        <v/>
      </c>
      <c r="L211" s="36">
        <f>$D211*($J211-$I211)</f>
        <v/>
      </c>
      <c r="M211" s="44">
        <f>IFERROR($D211/$C211-1,"")</f>
        <v/>
      </c>
    </row>
    <row r="212">
      <c r="A212" s="41" t="inlineStr">
        <is>
          <t>Phusion Projects</t>
        </is>
      </c>
      <c r="B212" s="41" t="inlineStr">
        <is>
          <t>Four Loko</t>
        </is>
      </c>
      <c r="C212" s="33">
        <f>SUMIFS('Data - Control'!$C$5:$C$296,'Data - Control'!$A$5:$A$296,$A212,'Data - Control'!$B$5:$B$296,$B212)</f>
        <v/>
      </c>
      <c r="D212" s="33">
        <f>SUMIFS('Data - Control'!$D$5:$D$296,'Data - Control'!$A$5:$A$296,$A212,'Data - Control'!$B$5:$B$296,$B212)</f>
        <v/>
      </c>
      <c r="E212" s="36">
        <f>SUMIFS('Data - Control'!$E$5:$E$296,'Data - Control'!$A$5:$A$296,$A212,'Data - Control'!$B$5:$B$296,$B212)</f>
        <v/>
      </c>
      <c r="F212" s="36">
        <f>SUMIFS('Data - Control'!$F$5:$F$296,'Data - Control'!$A$5:$A$296,$A212,'Data - Control'!$B$5:$B$296,$B212)</f>
        <v/>
      </c>
      <c r="G212" s="36">
        <f>SUMIFS('Data - Control'!$G$5:$G$296,'Data - Control'!$A$5:$A$296,$A212,'Data - Control'!$B$5:$B$296,$B212)</f>
        <v/>
      </c>
      <c r="H212" s="36">
        <f>SUMIFS('Data - Control'!$H$5:$H$296,'Data - Control'!$A$5:$A$296,$A212,'Data - Control'!$B$5:$B$296,$B212)</f>
        <v/>
      </c>
      <c r="I212" s="49">
        <f>IFERROR($G212/$C212,0)</f>
        <v/>
      </c>
      <c r="J212" s="49">
        <f>IFERROR($H212/$D212,0)</f>
        <v/>
      </c>
      <c r="K212" s="36">
        <f>$D212*$I212</f>
        <v/>
      </c>
      <c r="L212" s="36">
        <f>$D212*($J212-$I212)</f>
        <v/>
      </c>
      <c r="M212" s="44">
        <f>IFERROR($D212/$C212-1,"")</f>
        <v/>
      </c>
    </row>
    <row r="213">
      <c r="A213" s="41" t="inlineStr">
        <is>
          <t>Phusion Projects</t>
        </is>
      </c>
      <c r="B213" s="41" t="inlineStr">
        <is>
          <t>Mamita's</t>
        </is>
      </c>
      <c r="C213" s="33">
        <f>SUMIFS('Data - Control'!$C$5:$C$296,'Data - Control'!$A$5:$A$296,$A213,'Data - Control'!$B$5:$B$296,$B213)</f>
        <v/>
      </c>
      <c r="D213" s="33">
        <f>SUMIFS('Data - Control'!$D$5:$D$296,'Data - Control'!$A$5:$A$296,$A213,'Data - Control'!$B$5:$B$296,$B213)</f>
        <v/>
      </c>
      <c r="E213" s="36">
        <f>SUMIFS('Data - Control'!$E$5:$E$296,'Data - Control'!$A$5:$A$296,$A213,'Data - Control'!$B$5:$B$296,$B213)</f>
        <v/>
      </c>
      <c r="F213" s="36">
        <f>SUMIFS('Data - Control'!$F$5:$F$296,'Data - Control'!$A$5:$A$296,$A213,'Data - Control'!$B$5:$B$296,$B213)</f>
        <v/>
      </c>
      <c r="G213" s="36">
        <f>SUMIFS('Data - Control'!$G$5:$G$296,'Data - Control'!$A$5:$A$296,$A213,'Data - Control'!$B$5:$B$296,$B213)</f>
        <v/>
      </c>
      <c r="H213" s="36">
        <f>SUMIFS('Data - Control'!$H$5:$H$296,'Data - Control'!$A$5:$A$296,$A213,'Data - Control'!$B$5:$B$296,$B213)</f>
        <v/>
      </c>
      <c r="I213" s="49">
        <f>IFERROR($G213/$C213,0)</f>
        <v/>
      </c>
      <c r="J213" s="49">
        <f>IFERROR($H213/$D213,0)</f>
        <v/>
      </c>
      <c r="K213" s="36">
        <f>$D213*$I213</f>
        <v/>
      </c>
      <c r="L213" s="36">
        <f>$D213*($J213-$I213)</f>
        <v/>
      </c>
      <c r="M213" s="44">
        <f>IFERROR($D213/$C213-1,"")</f>
        <v/>
      </c>
    </row>
    <row r="214">
      <c r="A214" s="41" t="inlineStr">
        <is>
          <t>Pio Imports</t>
        </is>
      </c>
      <c r="B214" s="41" t="inlineStr">
        <is>
          <t>Bloom Bubbles</t>
        </is>
      </c>
      <c r="C214" s="33">
        <f>SUMIFS('Data - Control'!$C$5:$C$296,'Data - Control'!$A$5:$A$296,$A214,'Data - Control'!$B$5:$B$296,$B214)</f>
        <v/>
      </c>
      <c r="D214" s="33">
        <f>SUMIFS('Data - Control'!$D$5:$D$296,'Data - Control'!$A$5:$A$296,$A214,'Data - Control'!$B$5:$B$296,$B214)</f>
        <v/>
      </c>
      <c r="E214" s="36">
        <f>SUMIFS('Data - Control'!$E$5:$E$296,'Data - Control'!$A$5:$A$296,$A214,'Data - Control'!$B$5:$B$296,$B214)</f>
        <v/>
      </c>
      <c r="F214" s="36">
        <f>SUMIFS('Data - Control'!$F$5:$F$296,'Data - Control'!$A$5:$A$296,$A214,'Data - Control'!$B$5:$B$296,$B214)</f>
        <v/>
      </c>
      <c r="G214" s="36">
        <f>SUMIFS('Data - Control'!$G$5:$G$296,'Data - Control'!$A$5:$A$296,$A214,'Data - Control'!$B$5:$B$296,$B214)</f>
        <v/>
      </c>
      <c r="H214" s="36">
        <f>SUMIFS('Data - Control'!$H$5:$H$296,'Data - Control'!$A$5:$A$296,$A214,'Data - Control'!$B$5:$B$296,$B214)</f>
        <v/>
      </c>
      <c r="I214" s="49">
        <f>IFERROR($G214/$C214,0)</f>
        <v/>
      </c>
      <c r="J214" s="49">
        <f>IFERROR($H214/$D214,0)</f>
        <v/>
      </c>
      <c r="K214" s="36">
        <f>$D214*$I214</f>
        <v/>
      </c>
      <c r="L214" s="36">
        <f>$D214*($J214-$I214)</f>
        <v/>
      </c>
      <c r="M214" s="44">
        <f>IFERROR($D214/$C214-1,"")</f>
        <v/>
      </c>
    </row>
    <row r="215">
      <c r="A215" s="41" t="inlineStr">
        <is>
          <t>Point Brewing</t>
        </is>
      </c>
      <c r="B215" s="41" t="inlineStr">
        <is>
          <t>Whole Hog</t>
        </is>
      </c>
      <c r="C215" s="33">
        <f>SUMIFS('Data - Control'!$C$5:$C$296,'Data - Control'!$A$5:$A$296,$A215,'Data - Control'!$B$5:$B$296,$B215)</f>
        <v/>
      </c>
      <c r="D215" s="33">
        <f>SUMIFS('Data - Control'!$D$5:$D$296,'Data - Control'!$A$5:$A$296,$A215,'Data - Control'!$B$5:$B$296,$B215)</f>
        <v/>
      </c>
      <c r="E215" s="36">
        <f>SUMIFS('Data - Control'!$E$5:$E$296,'Data - Control'!$A$5:$A$296,$A215,'Data - Control'!$B$5:$B$296,$B215)</f>
        <v/>
      </c>
      <c r="F215" s="36">
        <f>SUMIFS('Data - Control'!$F$5:$F$296,'Data - Control'!$A$5:$A$296,$A215,'Data - Control'!$B$5:$B$296,$B215)</f>
        <v/>
      </c>
      <c r="G215" s="36">
        <f>SUMIFS('Data - Control'!$G$5:$G$296,'Data - Control'!$A$5:$A$296,$A215,'Data - Control'!$B$5:$B$296,$B215)</f>
        <v/>
      </c>
      <c r="H215" s="36">
        <f>SUMIFS('Data - Control'!$H$5:$H$296,'Data - Control'!$A$5:$A$296,$A215,'Data - Control'!$B$5:$B$296,$B215)</f>
        <v/>
      </c>
      <c r="I215" s="49">
        <f>IFERROR($G215/$C215,0)</f>
        <v/>
      </c>
      <c r="J215" s="49">
        <f>IFERROR($H215/$D215,0)</f>
        <v/>
      </c>
      <c r="K215" s="36">
        <f>$D215*$I215</f>
        <v/>
      </c>
      <c r="L215" s="36">
        <f>$D215*($J215-$I215)</f>
        <v/>
      </c>
      <c r="M215" s="44">
        <f>IFERROR($D215/$C215-1,"")</f>
        <v/>
      </c>
    </row>
    <row r="216">
      <c r="A216" s="41" t="inlineStr">
        <is>
          <t>Power Distribution LLC</t>
        </is>
      </c>
      <c r="B216" s="41" t="inlineStr">
        <is>
          <t>Belize Breeze</t>
        </is>
      </c>
      <c r="C216" s="33">
        <f>SUMIFS('Data - Control'!$C$5:$C$296,'Data - Control'!$A$5:$A$296,$A216,'Data - Control'!$B$5:$B$296,$B216)</f>
        <v/>
      </c>
      <c r="D216" s="33">
        <f>SUMIFS('Data - Control'!$D$5:$D$296,'Data - Control'!$A$5:$A$296,$A216,'Data - Control'!$B$5:$B$296,$B216)</f>
        <v/>
      </c>
      <c r="E216" s="36">
        <f>SUMIFS('Data - Control'!$E$5:$E$296,'Data - Control'!$A$5:$A$296,$A216,'Data - Control'!$B$5:$B$296,$B216)</f>
        <v/>
      </c>
      <c r="F216" s="36">
        <f>SUMIFS('Data - Control'!$F$5:$F$296,'Data - Control'!$A$5:$A$296,$A216,'Data - Control'!$B$5:$B$296,$B216)</f>
        <v/>
      </c>
      <c r="G216" s="36">
        <f>SUMIFS('Data - Control'!$G$5:$G$296,'Data - Control'!$A$5:$A$296,$A216,'Data - Control'!$B$5:$B$296,$B216)</f>
        <v/>
      </c>
      <c r="H216" s="36">
        <f>SUMIFS('Data - Control'!$H$5:$H$296,'Data - Control'!$A$5:$A$296,$A216,'Data - Control'!$B$5:$B$296,$B216)</f>
        <v/>
      </c>
      <c r="I216" s="49">
        <f>IFERROR($G216/$C216,0)</f>
        <v/>
      </c>
      <c r="J216" s="49">
        <f>IFERROR($H216/$D216,0)</f>
        <v/>
      </c>
      <c r="K216" s="36">
        <f>$D216*$I216</f>
        <v/>
      </c>
      <c r="L216" s="36">
        <f>$D216*($J216-$I216)</f>
        <v/>
      </c>
      <c r="M216" s="44">
        <f>IFERROR($D216/$C216-1,"")</f>
        <v/>
      </c>
    </row>
    <row r="217">
      <c r="A217" s="41" t="inlineStr">
        <is>
          <t>Prestige</t>
        </is>
      </c>
      <c r="B217" s="41" t="inlineStr">
        <is>
          <t>Fix Hellas</t>
        </is>
      </c>
      <c r="C217" s="33">
        <f>SUMIFS('Data - Control'!$C$5:$C$296,'Data - Control'!$A$5:$A$296,$A217,'Data - Control'!$B$5:$B$296,$B217)</f>
        <v/>
      </c>
      <c r="D217" s="33">
        <f>SUMIFS('Data - Control'!$D$5:$D$296,'Data - Control'!$A$5:$A$296,$A217,'Data - Control'!$B$5:$B$296,$B217)</f>
        <v/>
      </c>
      <c r="E217" s="36">
        <f>SUMIFS('Data - Control'!$E$5:$E$296,'Data - Control'!$A$5:$A$296,$A217,'Data - Control'!$B$5:$B$296,$B217)</f>
        <v/>
      </c>
      <c r="F217" s="36">
        <f>SUMIFS('Data - Control'!$F$5:$F$296,'Data - Control'!$A$5:$A$296,$A217,'Data - Control'!$B$5:$B$296,$B217)</f>
        <v/>
      </c>
      <c r="G217" s="36">
        <f>SUMIFS('Data - Control'!$G$5:$G$296,'Data - Control'!$A$5:$A$296,$A217,'Data - Control'!$B$5:$B$296,$B217)</f>
        <v/>
      </c>
      <c r="H217" s="36">
        <f>SUMIFS('Data - Control'!$H$5:$H$296,'Data - Control'!$A$5:$A$296,$A217,'Data - Control'!$B$5:$B$296,$B217)</f>
        <v/>
      </c>
      <c r="I217" s="49">
        <f>IFERROR($G217/$C217,0)</f>
        <v/>
      </c>
      <c r="J217" s="49">
        <f>IFERROR($H217/$D217,0)</f>
        <v/>
      </c>
      <c r="K217" s="36">
        <f>$D217*$I217</f>
        <v/>
      </c>
      <c r="L217" s="36">
        <f>$D217*($J217-$I217)</f>
        <v/>
      </c>
      <c r="M217" s="44">
        <f>IFERROR($D217/$C217-1,"")</f>
        <v/>
      </c>
    </row>
    <row r="218">
      <c r="A218" s="41" t="inlineStr">
        <is>
          <t>Prestige</t>
        </is>
      </c>
      <c r="B218" s="41" t="inlineStr">
        <is>
          <t>Greek Spirits</t>
        </is>
      </c>
      <c r="C218" s="33">
        <f>SUMIFS('Data - Control'!$C$5:$C$296,'Data - Control'!$A$5:$A$296,$A218,'Data - Control'!$B$5:$B$296,$B218)</f>
        <v/>
      </c>
      <c r="D218" s="33">
        <f>SUMIFS('Data - Control'!$D$5:$D$296,'Data - Control'!$A$5:$A$296,$A218,'Data - Control'!$B$5:$B$296,$B218)</f>
        <v/>
      </c>
      <c r="E218" s="36">
        <f>SUMIFS('Data - Control'!$E$5:$E$296,'Data - Control'!$A$5:$A$296,$A218,'Data - Control'!$B$5:$B$296,$B218)</f>
        <v/>
      </c>
      <c r="F218" s="36">
        <f>SUMIFS('Data - Control'!$F$5:$F$296,'Data - Control'!$A$5:$A$296,$A218,'Data - Control'!$B$5:$B$296,$B218)</f>
        <v/>
      </c>
      <c r="G218" s="36">
        <f>SUMIFS('Data - Control'!$G$5:$G$296,'Data - Control'!$A$5:$A$296,$A218,'Data - Control'!$B$5:$B$296,$B218)</f>
        <v/>
      </c>
      <c r="H218" s="36">
        <f>SUMIFS('Data - Control'!$H$5:$H$296,'Data - Control'!$A$5:$A$296,$A218,'Data - Control'!$B$5:$B$296,$B218)</f>
        <v/>
      </c>
      <c r="I218" s="49">
        <f>IFERROR($G218/$C218,0)</f>
        <v/>
      </c>
      <c r="J218" s="49">
        <f>IFERROR($H218/$D218,0)</f>
        <v/>
      </c>
      <c r="K218" s="36">
        <f>$D218*$I218</f>
        <v/>
      </c>
      <c r="L218" s="36">
        <f>$D218*($J218-$I218)</f>
        <v/>
      </c>
      <c r="M218" s="44">
        <f>IFERROR($D218/$C218-1,"")</f>
        <v/>
      </c>
    </row>
    <row r="219">
      <c r="A219" s="41" t="inlineStr">
        <is>
          <t>Prestige</t>
        </is>
      </c>
      <c r="B219" s="41" t="inlineStr">
        <is>
          <t>Greek Wines</t>
        </is>
      </c>
      <c r="C219" s="33">
        <f>SUMIFS('Data - Control'!$C$5:$C$296,'Data - Control'!$A$5:$A$296,$A219,'Data - Control'!$B$5:$B$296,$B219)</f>
        <v/>
      </c>
      <c r="D219" s="33">
        <f>SUMIFS('Data - Control'!$D$5:$D$296,'Data - Control'!$A$5:$A$296,$A219,'Data - Control'!$B$5:$B$296,$B219)</f>
        <v/>
      </c>
      <c r="E219" s="36">
        <f>SUMIFS('Data - Control'!$E$5:$E$296,'Data - Control'!$A$5:$A$296,$A219,'Data - Control'!$B$5:$B$296,$B219)</f>
        <v/>
      </c>
      <c r="F219" s="36">
        <f>SUMIFS('Data - Control'!$F$5:$F$296,'Data - Control'!$A$5:$A$296,$A219,'Data - Control'!$B$5:$B$296,$B219)</f>
        <v/>
      </c>
      <c r="G219" s="36">
        <f>SUMIFS('Data - Control'!$G$5:$G$296,'Data - Control'!$A$5:$A$296,$A219,'Data - Control'!$B$5:$B$296,$B219)</f>
        <v/>
      </c>
      <c r="H219" s="36">
        <f>SUMIFS('Data - Control'!$H$5:$H$296,'Data - Control'!$A$5:$A$296,$A219,'Data - Control'!$B$5:$B$296,$B219)</f>
        <v/>
      </c>
      <c r="I219" s="49">
        <f>IFERROR($G219/$C219,0)</f>
        <v/>
      </c>
      <c r="J219" s="49">
        <f>IFERROR($H219/$D219,0)</f>
        <v/>
      </c>
      <c r="K219" s="36">
        <f>$D219*$I219</f>
        <v/>
      </c>
      <c r="L219" s="36">
        <f>$D219*($J219-$I219)</f>
        <v/>
      </c>
      <c r="M219" s="44">
        <f>IFERROR($D219/$C219-1,"")</f>
        <v/>
      </c>
    </row>
    <row r="220">
      <c r="A220" s="41" t="inlineStr">
        <is>
          <t>Prestige</t>
        </is>
      </c>
      <c r="B220" s="41" t="inlineStr">
        <is>
          <t>Mythos</t>
        </is>
      </c>
      <c r="C220" s="33">
        <f>SUMIFS('Data - Control'!$C$5:$C$296,'Data - Control'!$A$5:$A$296,$A220,'Data - Control'!$B$5:$B$296,$B220)</f>
        <v/>
      </c>
      <c r="D220" s="33">
        <f>SUMIFS('Data - Control'!$D$5:$D$296,'Data - Control'!$A$5:$A$296,$A220,'Data - Control'!$B$5:$B$296,$B220)</f>
        <v/>
      </c>
      <c r="E220" s="36">
        <f>SUMIFS('Data - Control'!$E$5:$E$296,'Data - Control'!$A$5:$A$296,$A220,'Data - Control'!$B$5:$B$296,$B220)</f>
        <v/>
      </c>
      <c r="F220" s="36">
        <f>SUMIFS('Data - Control'!$F$5:$F$296,'Data - Control'!$A$5:$A$296,$A220,'Data - Control'!$B$5:$B$296,$B220)</f>
        <v/>
      </c>
      <c r="G220" s="36">
        <f>SUMIFS('Data - Control'!$G$5:$G$296,'Data - Control'!$A$5:$A$296,$A220,'Data - Control'!$B$5:$B$296,$B220)</f>
        <v/>
      </c>
      <c r="H220" s="36">
        <f>SUMIFS('Data - Control'!$H$5:$H$296,'Data - Control'!$A$5:$A$296,$A220,'Data - Control'!$B$5:$B$296,$B220)</f>
        <v/>
      </c>
      <c r="I220" s="49">
        <f>IFERROR($G220/$C220,0)</f>
        <v/>
      </c>
      <c r="J220" s="49">
        <f>IFERROR($H220/$D220,0)</f>
        <v/>
      </c>
      <c r="K220" s="36">
        <f>$D220*$I220</f>
        <v/>
      </c>
      <c r="L220" s="36">
        <f>$D220*($J220-$I220)</f>
        <v/>
      </c>
      <c r="M220" s="44">
        <f>IFERROR($D220/$C220-1,"")</f>
        <v/>
      </c>
    </row>
    <row r="221">
      <c r="A221" s="41" t="inlineStr">
        <is>
          <t>Prestige Beverage Group</t>
        </is>
      </c>
      <c r="B221" s="41" t="inlineStr">
        <is>
          <t>2XO</t>
        </is>
      </c>
      <c r="C221" s="33">
        <f>SUMIFS('Data - Control'!$C$5:$C$296,'Data - Control'!$A$5:$A$296,$A221,'Data - Control'!$B$5:$B$296,$B221)</f>
        <v/>
      </c>
      <c r="D221" s="33">
        <f>SUMIFS('Data - Control'!$D$5:$D$296,'Data - Control'!$A$5:$A$296,$A221,'Data - Control'!$B$5:$B$296,$B221)</f>
        <v/>
      </c>
      <c r="E221" s="36">
        <f>SUMIFS('Data - Control'!$E$5:$E$296,'Data - Control'!$A$5:$A$296,$A221,'Data - Control'!$B$5:$B$296,$B221)</f>
        <v/>
      </c>
      <c r="F221" s="36">
        <f>SUMIFS('Data - Control'!$F$5:$F$296,'Data - Control'!$A$5:$A$296,$A221,'Data - Control'!$B$5:$B$296,$B221)</f>
        <v/>
      </c>
      <c r="G221" s="36">
        <f>SUMIFS('Data - Control'!$G$5:$G$296,'Data - Control'!$A$5:$A$296,$A221,'Data - Control'!$B$5:$B$296,$B221)</f>
        <v/>
      </c>
      <c r="H221" s="36">
        <f>SUMIFS('Data - Control'!$H$5:$H$296,'Data - Control'!$A$5:$A$296,$A221,'Data - Control'!$B$5:$B$296,$B221)</f>
        <v/>
      </c>
      <c r="I221" s="49">
        <f>IFERROR($G221/$C221,0)</f>
        <v/>
      </c>
      <c r="J221" s="49">
        <f>IFERROR($H221/$D221,0)</f>
        <v/>
      </c>
      <c r="K221" s="36">
        <f>$D221*$I221</f>
        <v/>
      </c>
      <c r="L221" s="36">
        <f>$D221*($J221-$I221)</f>
        <v/>
      </c>
      <c r="M221" s="44">
        <f>IFERROR($D221/$C221-1,"")</f>
        <v/>
      </c>
    </row>
    <row r="222">
      <c r="A222" s="41" t="inlineStr">
        <is>
          <t>Prestige Beverage Group</t>
        </is>
      </c>
      <c r="B222" s="41" t="inlineStr">
        <is>
          <t>Gionelli</t>
        </is>
      </c>
      <c r="C222" s="33">
        <f>SUMIFS('Data - Control'!$C$5:$C$296,'Data - Control'!$A$5:$A$296,$A222,'Data - Control'!$B$5:$B$296,$B222)</f>
        <v/>
      </c>
      <c r="D222" s="33">
        <f>SUMIFS('Data - Control'!$D$5:$D$296,'Data - Control'!$A$5:$A$296,$A222,'Data - Control'!$B$5:$B$296,$B222)</f>
        <v/>
      </c>
      <c r="E222" s="36">
        <f>SUMIFS('Data - Control'!$E$5:$E$296,'Data - Control'!$A$5:$A$296,$A222,'Data - Control'!$B$5:$B$296,$B222)</f>
        <v/>
      </c>
      <c r="F222" s="36">
        <f>SUMIFS('Data - Control'!$F$5:$F$296,'Data - Control'!$A$5:$A$296,$A222,'Data - Control'!$B$5:$B$296,$B222)</f>
        <v/>
      </c>
      <c r="G222" s="36">
        <f>SUMIFS('Data - Control'!$G$5:$G$296,'Data - Control'!$A$5:$A$296,$A222,'Data - Control'!$B$5:$B$296,$B222)</f>
        <v/>
      </c>
      <c r="H222" s="36">
        <f>SUMIFS('Data - Control'!$H$5:$H$296,'Data - Control'!$A$5:$A$296,$A222,'Data - Control'!$B$5:$B$296,$B222)</f>
        <v/>
      </c>
      <c r="I222" s="49">
        <f>IFERROR($G222/$C222,0)</f>
        <v/>
      </c>
      <c r="J222" s="49">
        <f>IFERROR($H222/$D222,0)</f>
        <v/>
      </c>
      <c r="K222" s="36">
        <f>$D222*$I222</f>
        <v/>
      </c>
      <c r="L222" s="36">
        <f>$D222*($J222-$I222)</f>
        <v/>
      </c>
      <c r="M222" s="44">
        <f>IFERROR($D222/$C222-1,"")</f>
        <v/>
      </c>
    </row>
    <row r="223">
      <c r="A223" s="41" t="inlineStr">
        <is>
          <t>Prestige Beverage Group</t>
        </is>
      </c>
      <c r="B223" s="41" t="inlineStr">
        <is>
          <t>Le Grand Noir</t>
        </is>
      </c>
      <c r="C223" s="33">
        <f>SUMIFS('Data - Control'!$C$5:$C$296,'Data - Control'!$A$5:$A$296,$A223,'Data - Control'!$B$5:$B$296,$B223)</f>
        <v/>
      </c>
      <c r="D223" s="33">
        <f>SUMIFS('Data - Control'!$D$5:$D$296,'Data - Control'!$A$5:$A$296,$A223,'Data - Control'!$B$5:$B$296,$B223)</f>
        <v/>
      </c>
      <c r="E223" s="36">
        <f>SUMIFS('Data - Control'!$E$5:$E$296,'Data - Control'!$A$5:$A$296,$A223,'Data - Control'!$B$5:$B$296,$B223)</f>
        <v/>
      </c>
      <c r="F223" s="36">
        <f>SUMIFS('Data - Control'!$F$5:$F$296,'Data - Control'!$A$5:$A$296,$A223,'Data - Control'!$B$5:$B$296,$B223)</f>
        <v/>
      </c>
      <c r="G223" s="36">
        <f>SUMIFS('Data - Control'!$G$5:$G$296,'Data - Control'!$A$5:$A$296,$A223,'Data - Control'!$B$5:$B$296,$B223)</f>
        <v/>
      </c>
      <c r="H223" s="36">
        <f>SUMIFS('Data - Control'!$H$5:$H$296,'Data - Control'!$A$5:$A$296,$A223,'Data - Control'!$B$5:$B$296,$B223)</f>
        <v/>
      </c>
      <c r="I223" s="49">
        <f>IFERROR($G223/$C223,0)</f>
        <v/>
      </c>
      <c r="J223" s="49">
        <f>IFERROR($H223/$D223,0)</f>
        <v/>
      </c>
      <c r="K223" s="36">
        <f>$D223*$I223</f>
        <v/>
      </c>
      <c r="L223" s="36">
        <f>$D223*($J223-$I223)</f>
        <v/>
      </c>
      <c r="M223" s="44">
        <f>IFERROR($D223/$C223-1,"")</f>
        <v/>
      </c>
    </row>
    <row r="224">
      <c r="A224" s="41" t="inlineStr">
        <is>
          <t>Prestige Beverage Group</t>
        </is>
      </c>
      <c r="B224" s="41" t="inlineStr">
        <is>
          <t>Overstone</t>
        </is>
      </c>
      <c r="C224" s="33">
        <f>SUMIFS('Data - Control'!$C$5:$C$296,'Data - Control'!$A$5:$A$296,$A224,'Data - Control'!$B$5:$B$296,$B224)</f>
        <v/>
      </c>
      <c r="D224" s="33">
        <f>SUMIFS('Data - Control'!$D$5:$D$296,'Data - Control'!$A$5:$A$296,$A224,'Data - Control'!$B$5:$B$296,$B224)</f>
        <v/>
      </c>
      <c r="E224" s="36">
        <f>SUMIFS('Data - Control'!$E$5:$E$296,'Data - Control'!$A$5:$A$296,$A224,'Data - Control'!$B$5:$B$296,$B224)</f>
        <v/>
      </c>
      <c r="F224" s="36">
        <f>SUMIFS('Data - Control'!$F$5:$F$296,'Data - Control'!$A$5:$A$296,$A224,'Data - Control'!$B$5:$B$296,$B224)</f>
        <v/>
      </c>
      <c r="G224" s="36">
        <f>SUMIFS('Data - Control'!$G$5:$G$296,'Data - Control'!$A$5:$A$296,$A224,'Data - Control'!$B$5:$B$296,$B224)</f>
        <v/>
      </c>
      <c r="H224" s="36">
        <f>SUMIFS('Data - Control'!$H$5:$H$296,'Data - Control'!$A$5:$A$296,$A224,'Data - Control'!$B$5:$B$296,$B224)</f>
        <v/>
      </c>
      <c r="I224" s="49">
        <f>IFERROR($G224/$C224,0)</f>
        <v/>
      </c>
      <c r="J224" s="49">
        <f>IFERROR($H224/$D224,0)</f>
        <v/>
      </c>
      <c r="K224" s="36">
        <f>$D224*$I224</f>
        <v/>
      </c>
      <c r="L224" s="36">
        <f>$D224*($J224-$I224)</f>
        <v/>
      </c>
      <c r="M224" s="44">
        <f>IFERROR($D224/$C224-1,"")</f>
        <v/>
      </c>
    </row>
    <row r="225">
      <c r="A225" s="41" t="inlineStr">
        <is>
          <t>Pride &amp; Clarke</t>
        </is>
      </c>
      <c r="B225" s="41" t="inlineStr">
        <is>
          <t>Pride &amp; Clarke</t>
        </is>
      </c>
      <c r="C225" s="33">
        <f>SUMIFS('Data - Control'!$C$5:$C$296,'Data - Control'!$A$5:$A$296,$A225,'Data - Control'!$B$5:$B$296,$B225)</f>
        <v/>
      </c>
      <c r="D225" s="33">
        <f>SUMIFS('Data - Control'!$D$5:$D$296,'Data - Control'!$A$5:$A$296,$A225,'Data - Control'!$B$5:$B$296,$B225)</f>
        <v/>
      </c>
      <c r="E225" s="36">
        <f>SUMIFS('Data - Control'!$E$5:$E$296,'Data - Control'!$A$5:$A$296,$A225,'Data - Control'!$B$5:$B$296,$B225)</f>
        <v/>
      </c>
      <c r="F225" s="36">
        <f>SUMIFS('Data - Control'!$F$5:$F$296,'Data - Control'!$A$5:$A$296,$A225,'Data - Control'!$B$5:$B$296,$B225)</f>
        <v/>
      </c>
      <c r="G225" s="36">
        <f>SUMIFS('Data - Control'!$G$5:$G$296,'Data - Control'!$A$5:$A$296,$A225,'Data - Control'!$B$5:$B$296,$B225)</f>
        <v/>
      </c>
      <c r="H225" s="36">
        <f>SUMIFS('Data - Control'!$H$5:$H$296,'Data - Control'!$A$5:$A$296,$A225,'Data - Control'!$B$5:$B$296,$B225)</f>
        <v/>
      </c>
      <c r="I225" s="49">
        <f>IFERROR($G225/$C225,0)</f>
        <v/>
      </c>
      <c r="J225" s="49">
        <f>IFERROR($H225/$D225,0)</f>
        <v/>
      </c>
      <c r="K225" s="36">
        <f>$D225*$I225</f>
        <v/>
      </c>
      <c r="L225" s="36">
        <f>$D225*($J225-$I225)</f>
        <v/>
      </c>
      <c r="M225" s="44">
        <f>IFERROR($D225/$C225-1,"")</f>
        <v/>
      </c>
    </row>
    <row r="226">
      <c r="A226" s="41" t="inlineStr">
        <is>
          <t>Primos Imports LLC</t>
        </is>
      </c>
      <c r="B226" s="41" t="inlineStr">
        <is>
          <t>Charro</t>
        </is>
      </c>
      <c r="C226" s="33">
        <f>SUMIFS('Data - Control'!$C$5:$C$296,'Data - Control'!$A$5:$A$296,$A226,'Data - Control'!$B$5:$B$296,$B226)</f>
        <v/>
      </c>
      <c r="D226" s="33">
        <f>SUMIFS('Data - Control'!$D$5:$D$296,'Data - Control'!$A$5:$A$296,$A226,'Data - Control'!$B$5:$B$296,$B226)</f>
        <v/>
      </c>
      <c r="E226" s="36">
        <f>SUMIFS('Data - Control'!$E$5:$E$296,'Data - Control'!$A$5:$A$296,$A226,'Data - Control'!$B$5:$B$296,$B226)</f>
        <v/>
      </c>
      <c r="F226" s="36">
        <f>SUMIFS('Data - Control'!$F$5:$F$296,'Data - Control'!$A$5:$A$296,$A226,'Data - Control'!$B$5:$B$296,$B226)</f>
        <v/>
      </c>
      <c r="G226" s="36">
        <f>SUMIFS('Data - Control'!$G$5:$G$296,'Data - Control'!$A$5:$A$296,$A226,'Data - Control'!$B$5:$B$296,$B226)</f>
        <v/>
      </c>
      <c r="H226" s="36">
        <f>SUMIFS('Data - Control'!$H$5:$H$296,'Data - Control'!$A$5:$A$296,$A226,'Data - Control'!$B$5:$B$296,$B226)</f>
        <v/>
      </c>
      <c r="I226" s="49">
        <f>IFERROR($G226/$C226,0)</f>
        <v/>
      </c>
      <c r="J226" s="49">
        <f>IFERROR($H226/$D226,0)</f>
        <v/>
      </c>
      <c r="K226" s="36">
        <f>$D226*$I226</f>
        <v/>
      </c>
      <c r="L226" s="36">
        <f>$D226*($J226-$I226)</f>
        <v/>
      </c>
      <c r="M226" s="44">
        <f>IFERROR($D226/$C226-1,"")</f>
        <v/>
      </c>
    </row>
    <row r="227">
      <c r="A227" s="41" t="inlineStr">
        <is>
          <t>Primos Imports LLC</t>
        </is>
      </c>
      <c r="B227" s="41" t="inlineStr">
        <is>
          <t>Monte Xanic</t>
        </is>
      </c>
      <c r="C227" s="33">
        <f>SUMIFS('Data - Control'!$C$5:$C$296,'Data - Control'!$A$5:$A$296,$A227,'Data - Control'!$B$5:$B$296,$B227)</f>
        <v/>
      </c>
      <c r="D227" s="33">
        <f>SUMIFS('Data - Control'!$D$5:$D$296,'Data - Control'!$A$5:$A$296,$A227,'Data - Control'!$B$5:$B$296,$B227)</f>
        <v/>
      </c>
      <c r="E227" s="36">
        <f>SUMIFS('Data - Control'!$E$5:$E$296,'Data - Control'!$A$5:$A$296,$A227,'Data - Control'!$B$5:$B$296,$B227)</f>
        <v/>
      </c>
      <c r="F227" s="36">
        <f>SUMIFS('Data - Control'!$F$5:$F$296,'Data - Control'!$A$5:$A$296,$A227,'Data - Control'!$B$5:$B$296,$B227)</f>
        <v/>
      </c>
      <c r="G227" s="36">
        <f>SUMIFS('Data - Control'!$G$5:$G$296,'Data - Control'!$A$5:$A$296,$A227,'Data - Control'!$B$5:$B$296,$B227)</f>
        <v/>
      </c>
      <c r="H227" s="36">
        <f>SUMIFS('Data - Control'!$H$5:$H$296,'Data - Control'!$A$5:$A$296,$A227,'Data - Control'!$B$5:$B$296,$B227)</f>
        <v/>
      </c>
      <c r="I227" s="49">
        <f>IFERROR($G227/$C227,0)</f>
        <v/>
      </c>
      <c r="J227" s="49">
        <f>IFERROR($H227/$D227,0)</f>
        <v/>
      </c>
      <c r="K227" s="36">
        <f>$D227*$I227</f>
        <v/>
      </c>
      <c r="L227" s="36">
        <f>$D227*($J227-$I227)</f>
        <v/>
      </c>
      <c r="M227" s="44">
        <f>IFERROR($D227/$C227-1,"")</f>
        <v/>
      </c>
    </row>
    <row r="228">
      <c r="A228" s="41" t="inlineStr">
        <is>
          <t>Primos Imports LLC</t>
        </is>
      </c>
      <c r="B228" s="41" t="inlineStr">
        <is>
          <t>Rompe Corazon</t>
        </is>
      </c>
      <c r="C228" s="33">
        <f>SUMIFS('Data - Control'!$C$5:$C$296,'Data - Control'!$A$5:$A$296,$A228,'Data - Control'!$B$5:$B$296,$B228)</f>
        <v/>
      </c>
      <c r="D228" s="33">
        <f>SUMIFS('Data - Control'!$D$5:$D$296,'Data - Control'!$A$5:$A$296,$A228,'Data - Control'!$B$5:$B$296,$B228)</f>
        <v/>
      </c>
      <c r="E228" s="36">
        <f>SUMIFS('Data - Control'!$E$5:$E$296,'Data - Control'!$A$5:$A$296,$A228,'Data - Control'!$B$5:$B$296,$B228)</f>
        <v/>
      </c>
      <c r="F228" s="36">
        <f>SUMIFS('Data - Control'!$F$5:$F$296,'Data - Control'!$A$5:$A$296,$A228,'Data - Control'!$B$5:$B$296,$B228)</f>
        <v/>
      </c>
      <c r="G228" s="36">
        <f>SUMIFS('Data - Control'!$G$5:$G$296,'Data - Control'!$A$5:$A$296,$A228,'Data - Control'!$B$5:$B$296,$B228)</f>
        <v/>
      </c>
      <c r="H228" s="36">
        <f>SUMIFS('Data - Control'!$H$5:$H$296,'Data - Control'!$A$5:$A$296,$A228,'Data - Control'!$B$5:$B$296,$B228)</f>
        <v/>
      </c>
      <c r="I228" s="49">
        <f>IFERROR($G228/$C228,0)</f>
        <v/>
      </c>
      <c r="J228" s="49">
        <f>IFERROR($H228/$D228,0)</f>
        <v/>
      </c>
      <c r="K228" s="36">
        <f>$D228*$I228</f>
        <v/>
      </c>
      <c r="L228" s="36">
        <f>$D228*($J228-$I228)</f>
        <v/>
      </c>
      <c r="M228" s="44">
        <f>IFERROR($D228/$C228-1,"")</f>
        <v/>
      </c>
    </row>
    <row r="229">
      <c r="A229" s="41" t="inlineStr">
        <is>
          <t>Radeberger USA</t>
        </is>
      </c>
      <c r="B229" s="41" t="inlineStr">
        <is>
          <t>Clausthaler</t>
        </is>
      </c>
      <c r="C229" s="33">
        <f>SUMIFS('Data - Control'!$C$5:$C$296,'Data - Control'!$A$5:$A$296,$A229,'Data - Control'!$B$5:$B$296,$B229)</f>
        <v/>
      </c>
      <c r="D229" s="33">
        <f>SUMIFS('Data - Control'!$D$5:$D$296,'Data - Control'!$A$5:$A$296,$A229,'Data - Control'!$B$5:$B$296,$B229)</f>
        <v/>
      </c>
      <c r="E229" s="36">
        <f>SUMIFS('Data - Control'!$E$5:$E$296,'Data - Control'!$A$5:$A$296,$A229,'Data - Control'!$B$5:$B$296,$B229)</f>
        <v/>
      </c>
      <c r="F229" s="36">
        <f>SUMIFS('Data - Control'!$F$5:$F$296,'Data - Control'!$A$5:$A$296,$A229,'Data - Control'!$B$5:$B$296,$B229)</f>
        <v/>
      </c>
      <c r="G229" s="36">
        <f>SUMIFS('Data - Control'!$G$5:$G$296,'Data - Control'!$A$5:$A$296,$A229,'Data - Control'!$B$5:$B$296,$B229)</f>
        <v/>
      </c>
      <c r="H229" s="36">
        <f>SUMIFS('Data - Control'!$H$5:$H$296,'Data - Control'!$A$5:$A$296,$A229,'Data - Control'!$B$5:$B$296,$B229)</f>
        <v/>
      </c>
      <c r="I229" s="49">
        <f>IFERROR($G229/$C229,0)</f>
        <v/>
      </c>
      <c r="J229" s="49">
        <f>IFERROR($H229/$D229,0)</f>
        <v/>
      </c>
      <c r="K229" s="36">
        <f>$D229*$I229</f>
        <v/>
      </c>
      <c r="L229" s="36">
        <f>$D229*($J229-$I229)</f>
        <v/>
      </c>
      <c r="M229" s="44">
        <f>IFERROR($D229/$C229-1,"")</f>
        <v/>
      </c>
    </row>
    <row r="230">
      <c r="A230" s="41" t="inlineStr">
        <is>
          <t>Radeberger USA</t>
        </is>
      </c>
      <c r="B230" s="41" t="inlineStr">
        <is>
          <t>Dab</t>
        </is>
      </c>
      <c r="C230" s="33">
        <f>SUMIFS('Data - Control'!$C$5:$C$296,'Data - Control'!$A$5:$A$296,$A230,'Data - Control'!$B$5:$B$296,$B230)</f>
        <v/>
      </c>
      <c r="D230" s="33">
        <f>SUMIFS('Data - Control'!$D$5:$D$296,'Data - Control'!$A$5:$A$296,$A230,'Data - Control'!$B$5:$B$296,$B230)</f>
        <v/>
      </c>
      <c r="E230" s="36">
        <f>SUMIFS('Data - Control'!$E$5:$E$296,'Data - Control'!$A$5:$A$296,$A230,'Data - Control'!$B$5:$B$296,$B230)</f>
        <v/>
      </c>
      <c r="F230" s="36">
        <f>SUMIFS('Data - Control'!$F$5:$F$296,'Data - Control'!$A$5:$A$296,$A230,'Data - Control'!$B$5:$B$296,$B230)</f>
        <v/>
      </c>
      <c r="G230" s="36">
        <f>SUMIFS('Data - Control'!$G$5:$G$296,'Data - Control'!$A$5:$A$296,$A230,'Data - Control'!$B$5:$B$296,$B230)</f>
        <v/>
      </c>
      <c r="H230" s="36">
        <f>SUMIFS('Data - Control'!$H$5:$H$296,'Data - Control'!$A$5:$A$296,$A230,'Data - Control'!$B$5:$B$296,$B230)</f>
        <v/>
      </c>
      <c r="I230" s="49">
        <f>IFERROR($G230/$C230,0)</f>
        <v/>
      </c>
      <c r="J230" s="49">
        <f>IFERROR($H230/$D230,0)</f>
        <v/>
      </c>
      <c r="K230" s="36">
        <f>$D230*$I230</f>
        <v/>
      </c>
      <c r="L230" s="36">
        <f>$D230*($J230-$I230)</f>
        <v/>
      </c>
      <c r="M230" s="44">
        <f>IFERROR($D230/$C230-1,"")</f>
        <v/>
      </c>
    </row>
    <row r="231">
      <c r="A231" s="41" t="inlineStr">
        <is>
          <t>Radeberger USA</t>
        </is>
      </c>
      <c r="B231" s="41" t="inlineStr">
        <is>
          <t>Radeberger</t>
        </is>
      </c>
      <c r="C231" s="33">
        <f>SUMIFS('Data - Control'!$C$5:$C$296,'Data - Control'!$A$5:$A$296,$A231,'Data - Control'!$B$5:$B$296,$B231)</f>
        <v/>
      </c>
      <c r="D231" s="33">
        <f>SUMIFS('Data - Control'!$D$5:$D$296,'Data - Control'!$A$5:$A$296,$A231,'Data - Control'!$B$5:$B$296,$B231)</f>
        <v/>
      </c>
      <c r="E231" s="36">
        <f>SUMIFS('Data - Control'!$E$5:$E$296,'Data - Control'!$A$5:$A$296,$A231,'Data - Control'!$B$5:$B$296,$B231)</f>
        <v/>
      </c>
      <c r="F231" s="36">
        <f>SUMIFS('Data - Control'!$F$5:$F$296,'Data - Control'!$A$5:$A$296,$A231,'Data - Control'!$B$5:$B$296,$B231)</f>
        <v/>
      </c>
      <c r="G231" s="36">
        <f>SUMIFS('Data - Control'!$G$5:$G$296,'Data - Control'!$A$5:$A$296,$A231,'Data - Control'!$B$5:$B$296,$B231)</f>
        <v/>
      </c>
      <c r="H231" s="36">
        <f>SUMIFS('Data - Control'!$H$5:$H$296,'Data - Control'!$A$5:$A$296,$A231,'Data - Control'!$B$5:$B$296,$B231)</f>
        <v/>
      </c>
      <c r="I231" s="49">
        <f>IFERROR($G231/$C231,0)</f>
        <v/>
      </c>
      <c r="J231" s="49">
        <f>IFERROR($H231/$D231,0)</f>
        <v/>
      </c>
      <c r="K231" s="36">
        <f>$D231*$I231</f>
        <v/>
      </c>
      <c r="L231" s="36">
        <f>$D231*($J231-$I231)</f>
        <v/>
      </c>
      <c r="M231" s="44">
        <f>IFERROR($D231/$C231-1,"")</f>
        <v/>
      </c>
    </row>
    <row r="232">
      <c r="A232" s="41" t="inlineStr">
        <is>
          <t>Radeberger USA</t>
        </is>
      </c>
      <c r="B232" s="41" t="inlineStr">
        <is>
          <t>Schofferhofer</t>
        </is>
      </c>
      <c r="C232" s="33">
        <f>SUMIFS('Data - Control'!$C$5:$C$296,'Data - Control'!$A$5:$A$296,$A232,'Data - Control'!$B$5:$B$296,$B232)</f>
        <v/>
      </c>
      <c r="D232" s="33">
        <f>SUMIFS('Data - Control'!$D$5:$D$296,'Data - Control'!$A$5:$A$296,$A232,'Data - Control'!$B$5:$B$296,$B232)</f>
        <v/>
      </c>
      <c r="E232" s="36">
        <f>SUMIFS('Data - Control'!$E$5:$E$296,'Data - Control'!$A$5:$A$296,$A232,'Data - Control'!$B$5:$B$296,$B232)</f>
        <v/>
      </c>
      <c r="F232" s="36">
        <f>SUMIFS('Data - Control'!$F$5:$F$296,'Data - Control'!$A$5:$A$296,$A232,'Data - Control'!$B$5:$B$296,$B232)</f>
        <v/>
      </c>
      <c r="G232" s="36">
        <f>SUMIFS('Data - Control'!$G$5:$G$296,'Data - Control'!$A$5:$A$296,$A232,'Data - Control'!$B$5:$B$296,$B232)</f>
        <v/>
      </c>
      <c r="H232" s="36">
        <f>SUMIFS('Data - Control'!$H$5:$H$296,'Data - Control'!$A$5:$A$296,$A232,'Data - Control'!$B$5:$B$296,$B232)</f>
        <v/>
      </c>
      <c r="I232" s="49">
        <f>IFERROR($G232/$C232,0)</f>
        <v/>
      </c>
      <c r="J232" s="49">
        <f>IFERROR($H232/$D232,0)</f>
        <v/>
      </c>
      <c r="K232" s="36">
        <f>$D232*$I232</f>
        <v/>
      </c>
      <c r="L232" s="36">
        <f>$D232*($J232-$I232)</f>
        <v/>
      </c>
      <c r="M232" s="44">
        <f>IFERROR($D232/$C232-1,"")</f>
        <v/>
      </c>
    </row>
    <row r="233">
      <c r="A233" s="41" t="inlineStr">
        <is>
          <t>Radix Labs</t>
        </is>
      </c>
      <c r="B233" s="41" t="inlineStr">
        <is>
          <t>Find Wunder</t>
        </is>
      </c>
      <c r="C233" s="33">
        <f>SUMIFS('Data - Control'!$C$5:$C$296,'Data - Control'!$A$5:$A$296,$A233,'Data - Control'!$B$5:$B$296,$B233)</f>
        <v/>
      </c>
      <c r="D233" s="33">
        <f>SUMIFS('Data - Control'!$D$5:$D$296,'Data - Control'!$A$5:$A$296,$A233,'Data - Control'!$B$5:$B$296,$B233)</f>
        <v/>
      </c>
      <c r="E233" s="36">
        <f>SUMIFS('Data - Control'!$E$5:$E$296,'Data - Control'!$A$5:$A$296,$A233,'Data - Control'!$B$5:$B$296,$B233)</f>
        <v/>
      </c>
      <c r="F233" s="36">
        <f>SUMIFS('Data - Control'!$F$5:$F$296,'Data - Control'!$A$5:$A$296,$A233,'Data - Control'!$B$5:$B$296,$B233)</f>
        <v/>
      </c>
      <c r="G233" s="36">
        <f>SUMIFS('Data - Control'!$G$5:$G$296,'Data - Control'!$A$5:$A$296,$A233,'Data - Control'!$B$5:$B$296,$B233)</f>
        <v/>
      </c>
      <c r="H233" s="36">
        <f>SUMIFS('Data - Control'!$H$5:$H$296,'Data - Control'!$A$5:$A$296,$A233,'Data - Control'!$B$5:$B$296,$B233)</f>
        <v/>
      </c>
      <c r="I233" s="49">
        <f>IFERROR($G233/$C233,0)</f>
        <v/>
      </c>
      <c r="J233" s="49">
        <f>IFERROR($H233/$D233,0)</f>
        <v/>
      </c>
      <c r="K233" s="36">
        <f>$D233*$I233</f>
        <v/>
      </c>
      <c r="L233" s="36">
        <f>$D233*($J233-$I233)</f>
        <v/>
      </c>
      <c r="M233" s="44">
        <f>IFERROR($D233/$C233-1,"")</f>
        <v/>
      </c>
    </row>
    <row r="234">
      <c r="A234" s="41" t="inlineStr">
        <is>
          <t>Red Bull</t>
        </is>
      </c>
      <c r="B234" s="41" t="inlineStr">
        <is>
          <t>Red Bull</t>
        </is>
      </c>
      <c r="C234" s="33">
        <f>SUMIFS('Data - Control'!$C$5:$C$296,'Data - Control'!$A$5:$A$296,$A234,'Data - Control'!$B$5:$B$296,$B234)</f>
        <v/>
      </c>
      <c r="D234" s="33">
        <f>SUMIFS('Data - Control'!$D$5:$D$296,'Data - Control'!$A$5:$A$296,$A234,'Data - Control'!$B$5:$B$296,$B234)</f>
        <v/>
      </c>
      <c r="E234" s="36">
        <f>SUMIFS('Data - Control'!$E$5:$E$296,'Data - Control'!$A$5:$A$296,$A234,'Data - Control'!$B$5:$B$296,$B234)</f>
        <v/>
      </c>
      <c r="F234" s="36">
        <f>SUMIFS('Data - Control'!$F$5:$F$296,'Data - Control'!$A$5:$A$296,$A234,'Data - Control'!$B$5:$B$296,$B234)</f>
        <v/>
      </c>
      <c r="G234" s="36">
        <f>SUMIFS('Data - Control'!$G$5:$G$296,'Data - Control'!$A$5:$A$296,$A234,'Data - Control'!$B$5:$B$296,$B234)</f>
        <v/>
      </c>
      <c r="H234" s="36">
        <f>SUMIFS('Data - Control'!$H$5:$H$296,'Data - Control'!$A$5:$A$296,$A234,'Data - Control'!$B$5:$B$296,$B234)</f>
        <v/>
      </c>
      <c r="I234" s="49">
        <f>IFERROR($G234/$C234,0)</f>
        <v/>
      </c>
      <c r="J234" s="49">
        <f>IFERROR($H234/$D234,0)</f>
        <v/>
      </c>
      <c r="K234" s="36">
        <f>$D234*$I234</f>
        <v/>
      </c>
      <c r="L234" s="36">
        <f>$D234*($J234-$I234)</f>
        <v/>
      </c>
      <c r="M234" s="44">
        <f>IFERROR($D234/$C234-1,"")</f>
        <v/>
      </c>
    </row>
    <row r="235">
      <c r="A235" s="41" t="inlineStr">
        <is>
          <t>River Horse Brewing Co</t>
        </is>
      </c>
      <c r="B235" s="41" t="inlineStr">
        <is>
          <t>River Horse Brewing Co</t>
        </is>
      </c>
      <c r="C235" s="33">
        <f>SUMIFS('Data - Control'!$C$5:$C$296,'Data - Control'!$A$5:$A$296,$A235,'Data - Control'!$B$5:$B$296,$B235)</f>
        <v/>
      </c>
      <c r="D235" s="33">
        <f>SUMIFS('Data - Control'!$D$5:$D$296,'Data - Control'!$A$5:$A$296,$A235,'Data - Control'!$B$5:$B$296,$B235)</f>
        <v/>
      </c>
      <c r="E235" s="36">
        <f>SUMIFS('Data - Control'!$E$5:$E$296,'Data - Control'!$A$5:$A$296,$A235,'Data - Control'!$B$5:$B$296,$B235)</f>
        <v/>
      </c>
      <c r="F235" s="36">
        <f>SUMIFS('Data - Control'!$F$5:$F$296,'Data - Control'!$A$5:$A$296,$A235,'Data - Control'!$B$5:$B$296,$B235)</f>
        <v/>
      </c>
      <c r="G235" s="36">
        <f>SUMIFS('Data - Control'!$G$5:$G$296,'Data - Control'!$A$5:$A$296,$A235,'Data - Control'!$B$5:$B$296,$B235)</f>
        <v/>
      </c>
      <c r="H235" s="36">
        <f>SUMIFS('Data - Control'!$H$5:$H$296,'Data - Control'!$A$5:$A$296,$A235,'Data - Control'!$B$5:$B$296,$B235)</f>
        <v/>
      </c>
      <c r="I235" s="49">
        <f>IFERROR($G235/$C235,0)</f>
        <v/>
      </c>
      <c r="J235" s="49">
        <f>IFERROR($H235/$D235,0)</f>
        <v/>
      </c>
      <c r="K235" s="36">
        <f>$D235*$I235</f>
        <v/>
      </c>
      <c r="L235" s="36">
        <f>$D235*($J235-$I235)</f>
        <v/>
      </c>
      <c r="M235" s="44">
        <f>IFERROR($D235/$C235-1,"")</f>
        <v/>
      </c>
    </row>
    <row r="236">
      <c r="A236" s="41" t="inlineStr">
        <is>
          <t>Riviera Imports</t>
        </is>
      </c>
      <c r="B236" s="41" t="inlineStr">
        <is>
          <t>Ecaana</t>
        </is>
      </c>
      <c r="C236" s="33">
        <f>SUMIFS('Data - Control'!$C$5:$C$296,'Data - Control'!$A$5:$A$296,$A236,'Data - Control'!$B$5:$B$296,$B236)</f>
        <v/>
      </c>
      <c r="D236" s="33">
        <f>SUMIFS('Data - Control'!$D$5:$D$296,'Data - Control'!$A$5:$A$296,$A236,'Data - Control'!$B$5:$B$296,$B236)</f>
        <v/>
      </c>
      <c r="E236" s="36">
        <f>SUMIFS('Data - Control'!$E$5:$E$296,'Data - Control'!$A$5:$A$296,$A236,'Data - Control'!$B$5:$B$296,$B236)</f>
        <v/>
      </c>
      <c r="F236" s="36">
        <f>SUMIFS('Data - Control'!$F$5:$F$296,'Data - Control'!$A$5:$A$296,$A236,'Data - Control'!$B$5:$B$296,$B236)</f>
        <v/>
      </c>
      <c r="G236" s="36">
        <f>SUMIFS('Data - Control'!$G$5:$G$296,'Data - Control'!$A$5:$A$296,$A236,'Data - Control'!$B$5:$B$296,$B236)</f>
        <v/>
      </c>
      <c r="H236" s="36">
        <f>SUMIFS('Data - Control'!$H$5:$H$296,'Data - Control'!$A$5:$A$296,$A236,'Data - Control'!$B$5:$B$296,$B236)</f>
        <v/>
      </c>
      <c r="I236" s="49">
        <f>IFERROR($G236/$C236,0)</f>
        <v/>
      </c>
      <c r="J236" s="49">
        <f>IFERROR($H236/$D236,0)</f>
        <v/>
      </c>
      <c r="K236" s="36">
        <f>$D236*$I236</f>
        <v/>
      </c>
      <c r="L236" s="36">
        <f>$D236*($J236-$I236)</f>
        <v/>
      </c>
      <c r="M236" s="44">
        <f>IFERROR($D236/$C236-1,"")</f>
        <v/>
      </c>
    </row>
    <row r="237">
      <c r="A237" s="41" t="inlineStr">
        <is>
          <t>SAZERAC INC</t>
        </is>
      </c>
      <c r="B237" s="41" t="inlineStr">
        <is>
          <t>Fresca Hard Sparkling</t>
        </is>
      </c>
      <c r="C237" s="33">
        <f>SUMIFS('Data - Control'!$C$5:$C$296,'Data - Control'!$A$5:$A$296,$A237,'Data - Control'!$B$5:$B$296,$B237)</f>
        <v/>
      </c>
      <c r="D237" s="33">
        <f>SUMIFS('Data - Control'!$D$5:$D$296,'Data - Control'!$A$5:$A$296,$A237,'Data - Control'!$B$5:$B$296,$B237)</f>
        <v/>
      </c>
      <c r="E237" s="36">
        <f>SUMIFS('Data - Control'!$E$5:$E$296,'Data - Control'!$A$5:$A$296,$A237,'Data - Control'!$B$5:$B$296,$B237)</f>
        <v/>
      </c>
      <c r="F237" s="36">
        <f>SUMIFS('Data - Control'!$F$5:$F$296,'Data - Control'!$A$5:$A$296,$A237,'Data - Control'!$B$5:$B$296,$B237)</f>
        <v/>
      </c>
      <c r="G237" s="36">
        <f>SUMIFS('Data - Control'!$G$5:$G$296,'Data - Control'!$A$5:$A$296,$A237,'Data - Control'!$B$5:$B$296,$B237)</f>
        <v/>
      </c>
      <c r="H237" s="36">
        <f>SUMIFS('Data - Control'!$H$5:$H$296,'Data - Control'!$A$5:$A$296,$A237,'Data - Control'!$B$5:$B$296,$B237)</f>
        <v/>
      </c>
      <c r="I237" s="49">
        <f>IFERROR($G237/$C237,0)</f>
        <v/>
      </c>
      <c r="J237" s="49">
        <f>IFERROR($H237/$D237,0)</f>
        <v/>
      </c>
      <c r="K237" s="36">
        <f>$D237*$I237</f>
        <v/>
      </c>
      <c r="L237" s="36">
        <f>$D237*($J237-$I237)</f>
        <v/>
      </c>
      <c r="M237" s="44">
        <f>IFERROR($D237/$C237-1,"")</f>
        <v/>
      </c>
    </row>
    <row r="238">
      <c r="A238" s="41" t="inlineStr">
        <is>
          <t>SAZERAC INC</t>
        </is>
      </c>
      <c r="B238" s="41" t="inlineStr">
        <is>
          <t>Fresca Mixed</t>
        </is>
      </c>
      <c r="C238" s="33">
        <f>SUMIFS('Data - Control'!$C$5:$C$296,'Data - Control'!$A$5:$A$296,$A238,'Data - Control'!$B$5:$B$296,$B238)</f>
        <v/>
      </c>
      <c r="D238" s="33">
        <f>SUMIFS('Data - Control'!$D$5:$D$296,'Data - Control'!$A$5:$A$296,$A238,'Data - Control'!$B$5:$B$296,$B238)</f>
        <v/>
      </c>
      <c r="E238" s="36">
        <f>SUMIFS('Data - Control'!$E$5:$E$296,'Data - Control'!$A$5:$A$296,$A238,'Data - Control'!$B$5:$B$296,$B238)</f>
        <v/>
      </c>
      <c r="F238" s="36">
        <f>SUMIFS('Data - Control'!$F$5:$F$296,'Data - Control'!$A$5:$A$296,$A238,'Data - Control'!$B$5:$B$296,$B238)</f>
        <v/>
      </c>
      <c r="G238" s="36">
        <f>SUMIFS('Data - Control'!$G$5:$G$296,'Data - Control'!$A$5:$A$296,$A238,'Data - Control'!$B$5:$B$296,$B238)</f>
        <v/>
      </c>
      <c r="H238" s="36">
        <f>SUMIFS('Data - Control'!$H$5:$H$296,'Data - Control'!$A$5:$A$296,$A238,'Data - Control'!$B$5:$B$296,$B238)</f>
        <v/>
      </c>
      <c r="I238" s="49">
        <f>IFERROR($G238/$C238,0)</f>
        <v/>
      </c>
      <c r="J238" s="49">
        <f>IFERROR($H238/$D238,0)</f>
        <v/>
      </c>
      <c r="K238" s="36">
        <f>$D238*$I238</f>
        <v/>
      </c>
      <c r="L238" s="36">
        <f>$D238*($J238-$I238)</f>
        <v/>
      </c>
      <c r="M238" s="44">
        <f>IFERROR($D238/$C238-1,"")</f>
        <v/>
      </c>
    </row>
    <row r="239">
      <c r="A239" s="41" t="inlineStr">
        <is>
          <t>SN Food &amp; Beverage LLC</t>
        </is>
      </c>
      <c r="B239" s="41" t="inlineStr">
        <is>
          <t>Carbliss</t>
        </is>
      </c>
      <c r="C239" s="33">
        <f>SUMIFS('Data - Control'!$C$5:$C$296,'Data - Control'!$A$5:$A$296,$A239,'Data - Control'!$B$5:$B$296,$B239)</f>
        <v/>
      </c>
      <c r="D239" s="33">
        <f>SUMIFS('Data - Control'!$D$5:$D$296,'Data - Control'!$A$5:$A$296,$A239,'Data - Control'!$B$5:$B$296,$B239)</f>
        <v/>
      </c>
      <c r="E239" s="36">
        <f>SUMIFS('Data - Control'!$E$5:$E$296,'Data - Control'!$A$5:$A$296,$A239,'Data - Control'!$B$5:$B$296,$B239)</f>
        <v/>
      </c>
      <c r="F239" s="36">
        <f>SUMIFS('Data - Control'!$F$5:$F$296,'Data - Control'!$A$5:$A$296,$A239,'Data - Control'!$B$5:$B$296,$B239)</f>
        <v/>
      </c>
      <c r="G239" s="36">
        <f>SUMIFS('Data - Control'!$G$5:$G$296,'Data - Control'!$A$5:$A$296,$A239,'Data - Control'!$B$5:$B$296,$B239)</f>
        <v/>
      </c>
      <c r="H239" s="36">
        <f>SUMIFS('Data - Control'!$H$5:$H$296,'Data - Control'!$A$5:$A$296,$A239,'Data - Control'!$B$5:$B$296,$B239)</f>
        <v/>
      </c>
      <c r="I239" s="49">
        <f>IFERROR($G239/$C239,0)</f>
        <v/>
      </c>
      <c r="J239" s="49">
        <f>IFERROR($H239/$D239,0)</f>
        <v/>
      </c>
      <c r="K239" s="36">
        <f>$D239*$I239</f>
        <v/>
      </c>
      <c r="L239" s="36">
        <f>$D239*($J239-$I239)</f>
        <v/>
      </c>
      <c r="M239" s="44">
        <f>IFERROR($D239/$C239-1,"")</f>
        <v/>
      </c>
    </row>
    <row r="240">
      <c r="A240" s="41" t="inlineStr">
        <is>
          <t>SPYRT Worldwide</t>
        </is>
      </c>
      <c r="B240" s="41" t="inlineStr">
        <is>
          <t>Hetman Vodka</t>
        </is>
      </c>
      <c r="C240" s="33">
        <f>SUMIFS('Data - Control'!$C$5:$C$296,'Data - Control'!$A$5:$A$296,$A240,'Data - Control'!$B$5:$B$296,$B240)</f>
        <v/>
      </c>
      <c r="D240" s="33">
        <f>SUMIFS('Data - Control'!$D$5:$D$296,'Data - Control'!$A$5:$A$296,$A240,'Data - Control'!$B$5:$B$296,$B240)</f>
        <v/>
      </c>
      <c r="E240" s="36">
        <f>SUMIFS('Data - Control'!$E$5:$E$296,'Data - Control'!$A$5:$A$296,$A240,'Data - Control'!$B$5:$B$296,$B240)</f>
        <v/>
      </c>
      <c r="F240" s="36">
        <f>SUMIFS('Data - Control'!$F$5:$F$296,'Data - Control'!$A$5:$A$296,$A240,'Data - Control'!$B$5:$B$296,$B240)</f>
        <v/>
      </c>
      <c r="G240" s="36">
        <f>SUMIFS('Data - Control'!$G$5:$G$296,'Data - Control'!$A$5:$A$296,$A240,'Data - Control'!$B$5:$B$296,$B240)</f>
        <v/>
      </c>
      <c r="H240" s="36">
        <f>SUMIFS('Data - Control'!$H$5:$H$296,'Data - Control'!$A$5:$A$296,$A240,'Data - Control'!$B$5:$B$296,$B240)</f>
        <v/>
      </c>
      <c r="I240" s="49">
        <f>IFERROR($G240/$C240,0)</f>
        <v/>
      </c>
      <c r="J240" s="49">
        <f>IFERROR($H240/$D240,0)</f>
        <v/>
      </c>
      <c r="K240" s="36">
        <f>$D240*$I240</f>
        <v/>
      </c>
      <c r="L240" s="36">
        <f>$D240*($J240-$I240)</f>
        <v/>
      </c>
      <c r="M240" s="44">
        <f>IFERROR($D240/$C240-1,"")</f>
        <v/>
      </c>
    </row>
    <row r="241">
      <c r="A241" s="41" t="inlineStr">
        <is>
          <t>SPYRT Worldwide</t>
        </is>
      </c>
      <c r="B241" s="41" t="inlineStr">
        <is>
          <t>Shabo Wine</t>
        </is>
      </c>
      <c r="C241" s="33">
        <f>SUMIFS('Data - Control'!$C$5:$C$296,'Data - Control'!$A$5:$A$296,$A241,'Data - Control'!$B$5:$B$296,$B241)</f>
        <v/>
      </c>
      <c r="D241" s="33">
        <f>SUMIFS('Data - Control'!$D$5:$D$296,'Data - Control'!$A$5:$A$296,$A241,'Data - Control'!$B$5:$B$296,$B241)</f>
        <v/>
      </c>
      <c r="E241" s="36">
        <f>SUMIFS('Data - Control'!$E$5:$E$296,'Data - Control'!$A$5:$A$296,$A241,'Data - Control'!$B$5:$B$296,$B241)</f>
        <v/>
      </c>
      <c r="F241" s="36">
        <f>SUMIFS('Data - Control'!$F$5:$F$296,'Data - Control'!$A$5:$A$296,$A241,'Data - Control'!$B$5:$B$296,$B241)</f>
        <v/>
      </c>
      <c r="G241" s="36">
        <f>SUMIFS('Data - Control'!$G$5:$G$296,'Data - Control'!$A$5:$A$296,$A241,'Data - Control'!$B$5:$B$296,$B241)</f>
        <v/>
      </c>
      <c r="H241" s="36">
        <f>SUMIFS('Data - Control'!$H$5:$H$296,'Data - Control'!$A$5:$A$296,$A241,'Data - Control'!$B$5:$B$296,$B241)</f>
        <v/>
      </c>
      <c r="I241" s="49">
        <f>IFERROR($G241/$C241,0)</f>
        <v/>
      </c>
      <c r="J241" s="49">
        <f>IFERROR($H241/$D241,0)</f>
        <v/>
      </c>
      <c r="K241" s="36">
        <f>$D241*$I241</f>
        <v/>
      </c>
      <c r="L241" s="36">
        <f>$D241*($J241-$I241)</f>
        <v/>
      </c>
      <c r="M241" s="44">
        <f>IFERROR($D241/$C241-1,"")</f>
        <v/>
      </c>
    </row>
    <row r="242">
      <c r="A242" s="41" t="inlineStr">
        <is>
          <t>SPYRT Worldwide</t>
        </is>
      </c>
      <c r="B242" s="41" t="inlineStr">
        <is>
          <t>Ukrainian Spirit</t>
        </is>
      </c>
      <c r="C242" s="33">
        <f>SUMIFS('Data - Control'!$C$5:$C$296,'Data - Control'!$A$5:$A$296,$A242,'Data - Control'!$B$5:$B$296,$B242)</f>
        <v/>
      </c>
      <c r="D242" s="33">
        <f>SUMIFS('Data - Control'!$D$5:$D$296,'Data - Control'!$A$5:$A$296,$A242,'Data - Control'!$B$5:$B$296,$B242)</f>
        <v/>
      </c>
      <c r="E242" s="36">
        <f>SUMIFS('Data - Control'!$E$5:$E$296,'Data - Control'!$A$5:$A$296,$A242,'Data - Control'!$B$5:$B$296,$B242)</f>
        <v/>
      </c>
      <c r="F242" s="36">
        <f>SUMIFS('Data - Control'!$F$5:$F$296,'Data - Control'!$A$5:$A$296,$A242,'Data - Control'!$B$5:$B$296,$B242)</f>
        <v/>
      </c>
      <c r="G242" s="36">
        <f>SUMIFS('Data - Control'!$G$5:$G$296,'Data - Control'!$A$5:$A$296,$A242,'Data - Control'!$B$5:$B$296,$B242)</f>
        <v/>
      </c>
      <c r="H242" s="36">
        <f>SUMIFS('Data - Control'!$H$5:$H$296,'Data - Control'!$A$5:$A$296,$A242,'Data - Control'!$B$5:$B$296,$B242)</f>
        <v/>
      </c>
      <c r="I242" s="49">
        <f>IFERROR($G242/$C242,0)</f>
        <v/>
      </c>
      <c r="J242" s="49">
        <f>IFERROR($H242/$D242,0)</f>
        <v/>
      </c>
      <c r="K242" s="36">
        <f>$D242*$I242</f>
        <v/>
      </c>
      <c r="L242" s="36">
        <f>$D242*($J242-$I242)</f>
        <v/>
      </c>
      <c r="M242" s="44">
        <f>IFERROR($D242/$C242-1,"")</f>
        <v/>
      </c>
    </row>
    <row r="243">
      <c r="A243" s="41" t="inlineStr">
        <is>
          <t>Saratoga</t>
        </is>
      </c>
      <c r="B243" s="41" t="inlineStr">
        <is>
          <t>Saratoga</t>
        </is>
      </c>
      <c r="C243" s="33">
        <f>SUMIFS('Data - Control'!$C$5:$C$296,'Data - Control'!$A$5:$A$296,$A243,'Data - Control'!$B$5:$B$296,$B243)</f>
        <v/>
      </c>
      <c r="D243" s="33">
        <f>SUMIFS('Data - Control'!$D$5:$D$296,'Data - Control'!$A$5:$A$296,$A243,'Data - Control'!$B$5:$B$296,$B243)</f>
        <v/>
      </c>
      <c r="E243" s="36">
        <f>SUMIFS('Data - Control'!$E$5:$E$296,'Data - Control'!$A$5:$A$296,$A243,'Data - Control'!$B$5:$B$296,$B243)</f>
        <v/>
      </c>
      <c r="F243" s="36">
        <f>SUMIFS('Data - Control'!$F$5:$F$296,'Data - Control'!$A$5:$A$296,$A243,'Data - Control'!$B$5:$B$296,$B243)</f>
        <v/>
      </c>
      <c r="G243" s="36">
        <f>SUMIFS('Data - Control'!$G$5:$G$296,'Data - Control'!$A$5:$A$296,$A243,'Data - Control'!$B$5:$B$296,$B243)</f>
        <v/>
      </c>
      <c r="H243" s="36">
        <f>SUMIFS('Data - Control'!$H$5:$H$296,'Data - Control'!$A$5:$A$296,$A243,'Data - Control'!$B$5:$B$296,$B243)</f>
        <v/>
      </c>
      <c r="I243" s="49">
        <f>IFERROR($G243/$C243,0)</f>
        <v/>
      </c>
      <c r="J243" s="49">
        <f>IFERROR($H243/$D243,0)</f>
        <v/>
      </c>
      <c r="K243" s="36">
        <f>$D243*$I243</f>
        <v/>
      </c>
      <c r="L243" s="36">
        <f>$D243*($J243-$I243)</f>
        <v/>
      </c>
      <c r="M243" s="44">
        <f>IFERROR($D243/$C243-1,"")</f>
        <v/>
      </c>
    </row>
    <row r="244">
      <c r="A244" s="41" t="inlineStr">
        <is>
          <t>Savorian INC</t>
        </is>
      </c>
      <c r="B244" s="41" t="inlineStr">
        <is>
          <t>Castellani Etichetta Gialla</t>
        </is>
      </c>
      <c r="C244" s="33">
        <f>SUMIFS('Data - Control'!$C$5:$C$296,'Data - Control'!$A$5:$A$296,$A244,'Data - Control'!$B$5:$B$296,$B244)</f>
        <v/>
      </c>
      <c r="D244" s="33">
        <f>SUMIFS('Data - Control'!$D$5:$D$296,'Data - Control'!$A$5:$A$296,$A244,'Data - Control'!$B$5:$B$296,$B244)</f>
        <v/>
      </c>
      <c r="E244" s="36">
        <f>SUMIFS('Data - Control'!$E$5:$E$296,'Data - Control'!$A$5:$A$296,$A244,'Data - Control'!$B$5:$B$296,$B244)</f>
        <v/>
      </c>
      <c r="F244" s="36">
        <f>SUMIFS('Data - Control'!$F$5:$F$296,'Data - Control'!$A$5:$A$296,$A244,'Data - Control'!$B$5:$B$296,$B244)</f>
        <v/>
      </c>
      <c r="G244" s="36">
        <f>SUMIFS('Data - Control'!$G$5:$G$296,'Data - Control'!$A$5:$A$296,$A244,'Data - Control'!$B$5:$B$296,$B244)</f>
        <v/>
      </c>
      <c r="H244" s="36">
        <f>SUMIFS('Data - Control'!$H$5:$H$296,'Data - Control'!$A$5:$A$296,$A244,'Data - Control'!$B$5:$B$296,$B244)</f>
        <v/>
      </c>
      <c r="I244" s="49">
        <f>IFERROR($G244/$C244,0)</f>
        <v/>
      </c>
      <c r="J244" s="49">
        <f>IFERROR($H244/$D244,0)</f>
        <v/>
      </c>
      <c r="K244" s="36">
        <f>$D244*$I244</f>
        <v/>
      </c>
      <c r="L244" s="36">
        <f>$D244*($J244-$I244)</f>
        <v/>
      </c>
      <c r="M244" s="44">
        <f>IFERROR($D244/$C244-1,"")</f>
        <v/>
      </c>
    </row>
    <row r="245">
      <c r="A245" s="41" t="inlineStr">
        <is>
          <t>Savorian INC</t>
        </is>
      </c>
      <c r="B245" s="41" t="inlineStr">
        <is>
          <t>Les Domaniales Rose D' Anjou Loire</t>
        </is>
      </c>
      <c r="C245" s="33">
        <f>SUMIFS('Data - Control'!$C$5:$C$296,'Data - Control'!$A$5:$A$296,$A245,'Data - Control'!$B$5:$B$296,$B245)</f>
        <v/>
      </c>
      <c r="D245" s="33">
        <f>SUMIFS('Data - Control'!$D$5:$D$296,'Data - Control'!$A$5:$A$296,$A245,'Data - Control'!$B$5:$B$296,$B245)</f>
        <v/>
      </c>
      <c r="E245" s="36">
        <f>SUMIFS('Data - Control'!$E$5:$E$296,'Data - Control'!$A$5:$A$296,$A245,'Data - Control'!$B$5:$B$296,$B245)</f>
        <v/>
      </c>
      <c r="F245" s="36">
        <f>SUMIFS('Data - Control'!$F$5:$F$296,'Data - Control'!$A$5:$A$296,$A245,'Data - Control'!$B$5:$B$296,$B245)</f>
        <v/>
      </c>
      <c r="G245" s="36">
        <f>SUMIFS('Data - Control'!$G$5:$G$296,'Data - Control'!$A$5:$A$296,$A245,'Data - Control'!$B$5:$B$296,$B245)</f>
        <v/>
      </c>
      <c r="H245" s="36">
        <f>SUMIFS('Data - Control'!$H$5:$H$296,'Data - Control'!$A$5:$A$296,$A245,'Data - Control'!$B$5:$B$296,$B245)</f>
        <v/>
      </c>
      <c r="I245" s="49">
        <f>IFERROR($G245/$C245,0)</f>
        <v/>
      </c>
      <c r="J245" s="49">
        <f>IFERROR($H245/$D245,0)</f>
        <v/>
      </c>
      <c r="K245" s="36">
        <f>$D245*$I245</f>
        <v/>
      </c>
      <c r="L245" s="36">
        <f>$D245*($J245-$I245)</f>
        <v/>
      </c>
      <c r="M245" s="44">
        <f>IFERROR($D245/$C245-1,"")</f>
        <v/>
      </c>
    </row>
    <row r="246">
      <c r="A246" s="41" t="inlineStr">
        <is>
          <t>Savorian INC</t>
        </is>
      </c>
      <c r="B246" s="41" t="inlineStr">
        <is>
          <t>Stoney River</t>
        </is>
      </c>
      <c r="C246" s="33">
        <f>SUMIFS('Data - Control'!$C$5:$C$296,'Data - Control'!$A$5:$A$296,$A246,'Data - Control'!$B$5:$B$296,$B246)</f>
        <v/>
      </c>
      <c r="D246" s="33">
        <f>SUMIFS('Data - Control'!$D$5:$D$296,'Data - Control'!$A$5:$A$296,$A246,'Data - Control'!$B$5:$B$296,$B246)</f>
        <v/>
      </c>
      <c r="E246" s="36">
        <f>SUMIFS('Data - Control'!$E$5:$E$296,'Data - Control'!$A$5:$A$296,$A246,'Data - Control'!$B$5:$B$296,$B246)</f>
        <v/>
      </c>
      <c r="F246" s="36">
        <f>SUMIFS('Data - Control'!$F$5:$F$296,'Data - Control'!$A$5:$A$296,$A246,'Data - Control'!$B$5:$B$296,$B246)</f>
        <v/>
      </c>
      <c r="G246" s="36">
        <f>SUMIFS('Data - Control'!$G$5:$G$296,'Data - Control'!$A$5:$A$296,$A246,'Data - Control'!$B$5:$B$296,$B246)</f>
        <v/>
      </c>
      <c r="H246" s="36">
        <f>SUMIFS('Data - Control'!$H$5:$H$296,'Data - Control'!$A$5:$A$296,$A246,'Data - Control'!$B$5:$B$296,$B246)</f>
        <v/>
      </c>
      <c r="I246" s="49">
        <f>IFERROR($G246/$C246,0)</f>
        <v/>
      </c>
      <c r="J246" s="49">
        <f>IFERROR($H246/$D246,0)</f>
        <v/>
      </c>
      <c r="K246" s="36">
        <f>$D246*$I246</f>
        <v/>
      </c>
      <c r="L246" s="36">
        <f>$D246*($J246-$I246)</f>
        <v/>
      </c>
      <c r="M246" s="44">
        <f>IFERROR($D246/$C246-1,"")</f>
        <v/>
      </c>
    </row>
    <row r="247">
      <c r="A247" s="41" t="inlineStr">
        <is>
          <t>Sierra Nevada Brewing Company</t>
        </is>
      </c>
      <c r="B247" s="41" t="inlineStr">
        <is>
          <t>Sierra Nevada</t>
        </is>
      </c>
      <c r="C247" s="33">
        <f>SUMIFS('Data - Control'!$C$5:$C$296,'Data - Control'!$A$5:$A$296,$A247,'Data - Control'!$B$5:$B$296,$B247)</f>
        <v/>
      </c>
      <c r="D247" s="33">
        <f>SUMIFS('Data - Control'!$D$5:$D$296,'Data - Control'!$A$5:$A$296,$A247,'Data - Control'!$B$5:$B$296,$B247)</f>
        <v/>
      </c>
      <c r="E247" s="36">
        <f>SUMIFS('Data - Control'!$E$5:$E$296,'Data - Control'!$A$5:$A$296,$A247,'Data - Control'!$B$5:$B$296,$B247)</f>
        <v/>
      </c>
      <c r="F247" s="36">
        <f>SUMIFS('Data - Control'!$F$5:$F$296,'Data - Control'!$A$5:$A$296,$A247,'Data - Control'!$B$5:$B$296,$B247)</f>
        <v/>
      </c>
      <c r="G247" s="36">
        <f>SUMIFS('Data - Control'!$G$5:$G$296,'Data - Control'!$A$5:$A$296,$A247,'Data - Control'!$B$5:$B$296,$B247)</f>
        <v/>
      </c>
      <c r="H247" s="36">
        <f>SUMIFS('Data - Control'!$H$5:$H$296,'Data - Control'!$A$5:$A$296,$A247,'Data - Control'!$B$5:$B$296,$B247)</f>
        <v/>
      </c>
      <c r="I247" s="49">
        <f>IFERROR($G247/$C247,0)</f>
        <v/>
      </c>
      <c r="J247" s="49">
        <f>IFERROR($H247/$D247,0)</f>
        <v/>
      </c>
      <c r="K247" s="36">
        <f>$D247*$I247</f>
        <v/>
      </c>
      <c r="L247" s="36">
        <f>$D247*($J247-$I247)</f>
        <v/>
      </c>
      <c r="M247" s="44">
        <f>IFERROR($D247/$C247-1,"")</f>
        <v/>
      </c>
    </row>
    <row r="248">
      <c r="A248" s="41" t="inlineStr">
        <is>
          <t>Sixpoint Brewing</t>
        </is>
      </c>
      <c r="B248" s="41" t="inlineStr">
        <is>
          <t>Sixpoint</t>
        </is>
      </c>
      <c r="C248" s="33">
        <f>SUMIFS('Data - Control'!$C$5:$C$296,'Data - Control'!$A$5:$A$296,$A248,'Data - Control'!$B$5:$B$296,$B248)</f>
        <v/>
      </c>
      <c r="D248" s="33">
        <f>SUMIFS('Data - Control'!$D$5:$D$296,'Data - Control'!$A$5:$A$296,$A248,'Data - Control'!$B$5:$B$296,$B248)</f>
        <v/>
      </c>
      <c r="E248" s="36">
        <f>SUMIFS('Data - Control'!$E$5:$E$296,'Data - Control'!$A$5:$A$296,$A248,'Data - Control'!$B$5:$B$296,$B248)</f>
        <v/>
      </c>
      <c r="F248" s="36">
        <f>SUMIFS('Data - Control'!$F$5:$F$296,'Data - Control'!$A$5:$A$296,$A248,'Data - Control'!$B$5:$B$296,$B248)</f>
        <v/>
      </c>
      <c r="G248" s="36">
        <f>SUMIFS('Data - Control'!$G$5:$G$296,'Data - Control'!$A$5:$A$296,$A248,'Data - Control'!$B$5:$B$296,$B248)</f>
        <v/>
      </c>
      <c r="H248" s="36">
        <f>SUMIFS('Data - Control'!$H$5:$H$296,'Data - Control'!$A$5:$A$296,$A248,'Data - Control'!$B$5:$B$296,$B248)</f>
        <v/>
      </c>
      <c r="I248" s="49">
        <f>IFERROR($G248/$C248,0)</f>
        <v/>
      </c>
      <c r="J248" s="49">
        <f>IFERROR($H248/$D248,0)</f>
        <v/>
      </c>
      <c r="K248" s="36">
        <f>$D248*$I248</f>
        <v/>
      </c>
      <c r="L248" s="36">
        <f>$D248*($J248-$I248)</f>
        <v/>
      </c>
      <c r="M248" s="44">
        <f>IFERROR($D248/$C248-1,"")</f>
        <v/>
      </c>
    </row>
    <row r="249">
      <c r="A249" s="41" t="inlineStr">
        <is>
          <t>Source Brewing</t>
        </is>
      </c>
      <c r="B249" s="41" t="inlineStr">
        <is>
          <t>Source Brewing</t>
        </is>
      </c>
      <c r="C249" s="33">
        <f>SUMIFS('Data - Control'!$C$5:$C$296,'Data - Control'!$A$5:$A$296,$A249,'Data - Control'!$B$5:$B$296,$B249)</f>
        <v/>
      </c>
      <c r="D249" s="33">
        <f>SUMIFS('Data - Control'!$D$5:$D$296,'Data - Control'!$A$5:$A$296,$A249,'Data - Control'!$B$5:$B$296,$B249)</f>
        <v/>
      </c>
      <c r="E249" s="36">
        <f>SUMIFS('Data - Control'!$E$5:$E$296,'Data - Control'!$A$5:$A$296,$A249,'Data - Control'!$B$5:$B$296,$B249)</f>
        <v/>
      </c>
      <c r="F249" s="36">
        <f>SUMIFS('Data - Control'!$F$5:$F$296,'Data - Control'!$A$5:$A$296,$A249,'Data - Control'!$B$5:$B$296,$B249)</f>
        <v/>
      </c>
      <c r="G249" s="36">
        <f>SUMIFS('Data - Control'!$G$5:$G$296,'Data - Control'!$A$5:$A$296,$A249,'Data - Control'!$B$5:$B$296,$B249)</f>
        <v/>
      </c>
      <c r="H249" s="36">
        <f>SUMIFS('Data - Control'!$H$5:$H$296,'Data - Control'!$A$5:$A$296,$A249,'Data - Control'!$B$5:$B$296,$B249)</f>
        <v/>
      </c>
      <c r="I249" s="49">
        <f>IFERROR($G249/$C249,0)</f>
        <v/>
      </c>
      <c r="J249" s="49">
        <f>IFERROR($H249/$D249,0)</f>
        <v/>
      </c>
      <c r="K249" s="36">
        <f>$D249*$I249</f>
        <v/>
      </c>
      <c r="L249" s="36">
        <f>$D249*($J249-$I249)</f>
        <v/>
      </c>
      <c r="M249" s="44">
        <f>IFERROR($D249/$C249-1,"")</f>
        <v/>
      </c>
    </row>
    <row r="250">
      <c r="A250" s="41" t="inlineStr">
        <is>
          <t>Southern Tier Brewing Company</t>
        </is>
      </c>
      <c r="B250" s="41" t="inlineStr">
        <is>
          <t>Southern Tier</t>
        </is>
      </c>
      <c r="C250" s="33">
        <f>SUMIFS('Data - Control'!$C$5:$C$296,'Data - Control'!$A$5:$A$296,$A250,'Data - Control'!$B$5:$B$296,$B250)</f>
        <v/>
      </c>
      <c r="D250" s="33">
        <f>SUMIFS('Data - Control'!$D$5:$D$296,'Data - Control'!$A$5:$A$296,$A250,'Data - Control'!$B$5:$B$296,$B250)</f>
        <v/>
      </c>
      <c r="E250" s="36">
        <f>SUMIFS('Data - Control'!$E$5:$E$296,'Data - Control'!$A$5:$A$296,$A250,'Data - Control'!$B$5:$B$296,$B250)</f>
        <v/>
      </c>
      <c r="F250" s="36">
        <f>SUMIFS('Data - Control'!$F$5:$F$296,'Data - Control'!$A$5:$A$296,$A250,'Data - Control'!$B$5:$B$296,$B250)</f>
        <v/>
      </c>
      <c r="G250" s="36">
        <f>SUMIFS('Data - Control'!$G$5:$G$296,'Data - Control'!$A$5:$A$296,$A250,'Data - Control'!$B$5:$B$296,$B250)</f>
        <v/>
      </c>
      <c r="H250" s="36">
        <f>SUMIFS('Data - Control'!$H$5:$H$296,'Data - Control'!$A$5:$A$296,$A250,'Data - Control'!$B$5:$B$296,$B250)</f>
        <v/>
      </c>
      <c r="I250" s="49">
        <f>IFERROR($G250/$C250,0)</f>
        <v/>
      </c>
      <c r="J250" s="49">
        <f>IFERROR($H250/$D250,0)</f>
        <v/>
      </c>
      <c r="K250" s="36">
        <f>$D250*$I250</f>
        <v/>
      </c>
      <c r="L250" s="36">
        <f>$D250*($J250-$I250)</f>
        <v/>
      </c>
      <c r="M250" s="44">
        <f>IFERROR($D250/$C250-1,"")</f>
        <v/>
      </c>
    </row>
    <row r="251">
      <c r="A251" s="41" t="inlineStr">
        <is>
          <t>Southern Tier Distilling Company</t>
        </is>
      </c>
      <c r="B251" s="41" t="inlineStr">
        <is>
          <t>Southern Tier Distilling</t>
        </is>
      </c>
      <c r="C251" s="33">
        <f>SUMIFS('Data - Control'!$C$5:$C$296,'Data - Control'!$A$5:$A$296,$A251,'Data - Control'!$B$5:$B$296,$B251)</f>
        <v/>
      </c>
      <c r="D251" s="33">
        <f>SUMIFS('Data - Control'!$D$5:$D$296,'Data - Control'!$A$5:$A$296,$A251,'Data - Control'!$B$5:$B$296,$B251)</f>
        <v/>
      </c>
      <c r="E251" s="36">
        <f>SUMIFS('Data - Control'!$E$5:$E$296,'Data - Control'!$A$5:$A$296,$A251,'Data - Control'!$B$5:$B$296,$B251)</f>
        <v/>
      </c>
      <c r="F251" s="36">
        <f>SUMIFS('Data - Control'!$F$5:$F$296,'Data - Control'!$A$5:$A$296,$A251,'Data - Control'!$B$5:$B$296,$B251)</f>
        <v/>
      </c>
      <c r="G251" s="36">
        <f>SUMIFS('Data - Control'!$G$5:$G$296,'Data - Control'!$A$5:$A$296,$A251,'Data - Control'!$B$5:$B$296,$B251)</f>
        <v/>
      </c>
      <c r="H251" s="36">
        <f>SUMIFS('Data - Control'!$H$5:$H$296,'Data - Control'!$A$5:$A$296,$A251,'Data - Control'!$B$5:$B$296,$B251)</f>
        <v/>
      </c>
      <c r="I251" s="49">
        <f>IFERROR($G251/$C251,0)</f>
        <v/>
      </c>
      <c r="J251" s="49">
        <f>IFERROR($H251/$D251,0)</f>
        <v/>
      </c>
      <c r="K251" s="36">
        <f>$D251*$I251</f>
        <v/>
      </c>
      <c r="L251" s="36">
        <f>$D251*($J251-$I251)</f>
        <v/>
      </c>
      <c r="M251" s="44">
        <f>IFERROR($D251/$C251-1,"")</f>
        <v/>
      </c>
    </row>
    <row r="252">
      <c r="A252" s="41" t="inlineStr">
        <is>
          <t>Southern Tier Distilling Company</t>
        </is>
      </c>
      <c r="B252" s="41" t="inlineStr">
        <is>
          <t>Victory House Pour Vodka</t>
        </is>
      </c>
      <c r="C252" s="33">
        <f>SUMIFS('Data - Control'!$C$5:$C$296,'Data - Control'!$A$5:$A$296,$A252,'Data - Control'!$B$5:$B$296,$B252)</f>
        <v/>
      </c>
      <c r="D252" s="33">
        <f>SUMIFS('Data - Control'!$D$5:$D$296,'Data - Control'!$A$5:$A$296,$A252,'Data - Control'!$B$5:$B$296,$B252)</f>
        <v/>
      </c>
      <c r="E252" s="36">
        <f>SUMIFS('Data - Control'!$E$5:$E$296,'Data - Control'!$A$5:$A$296,$A252,'Data - Control'!$B$5:$B$296,$B252)</f>
        <v/>
      </c>
      <c r="F252" s="36">
        <f>SUMIFS('Data - Control'!$F$5:$F$296,'Data - Control'!$A$5:$A$296,$A252,'Data - Control'!$B$5:$B$296,$B252)</f>
        <v/>
      </c>
      <c r="G252" s="36">
        <f>SUMIFS('Data - Control'!$G$5:$G$296,'Data - Control'!$A$5:$A$296,$A252,'Data - Control'!$B$5:$B$296,$B252)</f>
        <v/>
      </c>
      <c r="H252" s="36">
        <f>SUMIFS('Data - Control'!$H$5:$H$296,'Data - Control'!$A$5:$A$296,$A252,'Data - Control'!$B$5:$B$296,$B252)</f>
        <v/>
      </c>
      <c r="I252" s="49">
        <f>IFERROR($G252/$C252,0)</f>
        <v/>
      </c>
      <c r="J252" s="49">
        <f>IFERROR($H252/$D252,0)</f>
        <v/>
      </c>
      <c r="K252" s="36">
        <f>$D252*$I252</f>
        <v/>
      </c>
      <c r="L252" s="36">
        <f>$D252*($J252-$I252)</f>
        <v/>
      </c>
      <c r="M252" s="44">
        <f>IFERROR($D252/$C252-1,"")</f>
        <v/>
      </c>
    </row>
    <row r="253">
      <c r="A253" s="41" t="inlineStr">
        <is>
          <t>Stone Brewing</t>
        </is>
      </c>
      <c r="B253" s="41" t="inlineStr">
        <is>
          <t>Stone Brewing</t>
        </is>
      </c>
      <c r="C253" s="33">
        <f>SUMIFS('Data - Control'!$C$5:$C$296,'Data - Control'!$A$5:$A$296,$A253,'Data - Control'!$B$5:$B$296,$B253)</f>
        <v/>
      </c>
      <c r="D253" s="33">
        <f>SUMIFS('Data - Control'!$D$5:$D$296,'Data - Control'!$A$5:$A$296,$A253,'Data - Control'!$B$5:$B$296,$B253)</f>
        <v/>
      </c>
      <c r="E253" s="36">
        <f>SUMIFS('Data - Control'!$E$5:$E$296,'Data - Control'!$A$5:$A$296,$A253,'Data - Control'!$B$5:$B$296,$B253)</f>
        <v/>
      </c>
      <c r="F253" s="36">
        <f>SUMIFS('Data - Control'!$F$5:$F$296,'Data - Control'!$A$5:$A$296,$A253,'Data - Control'!$B$5:$B$296,$B253)</f>
        <v/>
      </c>
      <c r="G253" s="36">
        <f>SUMIFS('Data - Control'!$G$5:$G$296,'Data - Control'!$A$5:$A$296,$A253,'Data - Control'!$B$5:$B$296,$B253)</f>
        <v/>
      </c>
      <c r="H253" s="36">
        <f>SUMIFS('Data - Control'!$H$5:$H$296,'Data - Control'!$A$5:$A$296,$A253,'Data - Control'!$B$5:$B$296,$B253)</f>
        <v/>
      </c>
      <c r="I253" s="49">
        <f>IFERROR($G253/$C253,0)</f>
        <v/>
      </c>
      <c r="J253" s="49">
        <f>IFERROR($H253/$D253,0)</f>
        <v/>
      </c>
      <c r="K253" s="36">
        <f>$D253*$I253</f>
        <v/>
      </c>
      <c r="L253" s="36">
        <f>$D253*($J253-$I253)</f>
        <v/>
      </c>
      <c r="M253" s="44">
        <f>IFERROR($D253/$C253-1,"")</f>
        <v/>
      </c>
    </row>
    <row r="254">
      <c r="A254" s="41" t="inlineStr">
        <is>
          <t>Stone Brewing</t>
        </is>
      </c>
      <c r="B254" s="41" t="inlineStr">
        <is>
          <t>Stone Premium &amp; Smooth Beer Co</t>
        </is>
      </c>
      <c r="C254" s="33">
        <f>SUMIFS('Data - Control'!$C$5:$C$296,'Data - Control'!$A$5:$A$296,$A254,'Data - Control'!$B$5:$B$296,$B254)</f>
        <v/>
      </c>
      <c r="D254" s="33">
        <f>SUMIFS('Data - Control'!$D$5:$D$296,'Data - Control'!$A$5:$A$296,$A254,'Data - Control'!$B$5:$B$296,$B254)</f>
        <v/>
      </c>
      <c r="E254" s="36">
        <f>SUMIFS('Data - Control'!$E$5:$E$296,'Data - Control'!$A$5:$A$296,$A254,'Data - Control'!$B$5:$B$296,$B254)</f>
        <v/>
      </c>
      <c r="F254" s="36">
        <f>SUMIFS('Data - Control'!$F$5:$F$296,'Data - Control'!$A$5:$A$296,$A254,'Data - Control'!$B$5:$B$296,$B254)</f>
        <v/>
      </c>
      <c r="G254" s="36">
        <f>SUMIFS('Data - Control'!$G$5:$G$296,'Data - Control'!$A$5:$A$296,$A254,'Data - Control'!$B$5:$B$296,$B254)</f>
        <v/>
      </c>
      <c r="H254" s="36">
        <f>SUMIFS('Data - Control'!$H$5:$H$296,'Data - Control'!$A$5:$A$296,$A254,'Data - Control'!$B$5:$B$296,$B254)</f>
        <v/>
      </c>
      <c r="I254" s="49">
        <f>IFERROR($G254/$C254,0)</f>
        <v/>
      </c>
      <c r="J254" s="49">
        <f>IFERROR($H254/$D254,0)</f>
        <v/>
      </c>
      <c r="K254" s="36">
        <f>$D254*$I254</f>
        <v/>
      </c>
      <c r="L254" s="36">
        <f>$D254*($J254-$I254)</f>
        <v/>
      </c>
      <c r="M254" s="44">
        <f>IFERROR($D254/$C254-1,"")</f>
        <v/>
      </c>
    </row>
    <row r="255">
      <c r="A255" s="41" t="inlineStr">
        <is>
          <t>Surface Brands</t>
        </is>
      </c>
      <c r="B255" s="41" t="inlineStr">
        <is>
          <t>La Bodega</t>
        </is>
      </c>
      <c r="C255" s="33">
        <f>SUMIFS('Data - Control'!$C$5:$C$296,'Data - Control'!$A$5:$A$296,$A255,'Data - Control'!$B$5:$B$296,$B255)</f>
        <v/>
      </c>
      <c r="D255" s="33">
        <f>SUMIFS('Data - Control'!$D$5:$D$296,'Data - Control'!$A$5:$A$296,$A255,'Data - Control'!$B$5:$B$296,$B255)</f>
        <v/>
      </c>
      <c r="E255" s="36">
        <f>SUMIFS('Data - Control'!$E$5:$E$296,'Data - Control'!$A$5:$A$296,$A255,'Data - Control'!$B$5:$B$296,$B255)</f>
        <v/>
      </c>
      <c r="F255" s="36">
        <f>SUMIFS('Data - Control'!$F$5:$F$296,'Data - Control'!$A$5:$A$296,$A255,'Data - Control'!$B$5:$B$296,$B255)</f>
        <v/>
      </c>
      <c r="G255" s="36">
        <f>SUMIFS('Data - Control'!$G$5:$G$296,'Data - Control'!$A$5:$A$296,$A255,'Data - Control'!$B$5:$B$296,$B255)</f>
        <v/>
      </c>
      <c r="H255" s="36">
        <f>SUMIFS('Data - Control'!$H$5:$H$296,'Data - Control'!$A$5:$A$296,$A255,'Data - Control'!$B$5:$B$296,$B255)</f>
        <v/>
      </c>
      <c r="I255" s="49">
        <f>IFERROR($G255/$C255,0)</f>
        <v/>
      </c>
      <c r="J255" s="49">
        <f>IFERROR($H255/$D255,0)</f>
        <v/>
      </c>
      <c r="K255" s="36">
        <f>$D255*$I255</f>
        <v/>
      </c>
      <c r="L255" s="36">
        <f>$D255*($J255-$I255)</f>
        <v/>
      </c>
      <c r="M255" s="44">
        <f>IFERROR($D255/$C255-1,"")</f>
        <v/>
      </c>
    </row>
    <row r="256">
      <c r="A256" s="41" t="inlineStr">
        <is>
          <t>Surface Brands</t>
        </is>
      </c>
      <c r="B256" s="41" t="inlineStr">
        <is>
          <t>Poggio Torselli</t>
        </is>
      </c>
      <c r="C256" s="33">
        <f>SUMIFS('Data - Control'!$C$5:$C$296,'Data - Control'!$A$5:$A$296,$A256,'Data - Control'!$B$5:$B$296,$B256)</f>
        <v/>
      </c>
      <c r="D256" s="33">
        <f>SUMIFS('Data - Control'!$D$5:$D$296,'Data - Control'!$A$5:$A$296,$A256,'Data - Control'!$B$5:$B$296,$B256)</f>
        <v/>
      </c>
      <c r="E256" s="36">
        <f>SUMIFS('Data - Control'!$E$5:$E$296,'Data - Control'!$A$5:$A$296,$A256,'Data - Control'!$B$5:$B$296,$B256)</f>
        <v/>
      </c>
      <c r="F256" s="36">
        <f>SUMIFS('Data - Control'!$F$5:$F$296,'Data - Control'!$A$5:$A$296,$A256,'Data - Control'!$B$5:$B$296,$B256)</f>
        <v/>
      </c>
      <c r="G256" s="36">
        <f>SUMIFS('Data - Control'!$G$5:$G$296,'Data - Control'!$A$5:$A$296,$A256,'Data - Control'!$B$5:$B$296,$B256)</f>
        <v/>
      </c>
      <c r="H256" s="36">
        <f>SUMIFS('Data - Control'!$H$5:$H$296,'Data - Control'!$A$5:$A$296,$A256,'Data - Control'!$B$5:$B$296,$B256)</f>
        <v/>
      </c>
      <c r="I256" s="49">
        <f>IFERROR($G256/$C256,0)</f>
        <v/>
      </c>
      <c r="J256" s="49">
        <f>IFERROR($H256/$D256,0)</f>
        <v/>
      </c>
      <c r="K256" s="36">
        <f>$D256*$I256</f>
        <v/>
      </c>
      <c r="L256" s="36">
        <f>$D256*($J256-$I256)</f>
        <v/>
      </c>
      <c r="M256" s="44">
        <f>IFERROR($D256/$C256-1,"")</f>
        <v/>
      </c>
    </row>
    <row r="257">
      <c r="A257" s="41" t="inlineStr">
        <is>
          <t>Talkhouse Encore</t>
        </is>
      </c>
      <c r="B257" s="41" t="inlineStr">
        <is>
          <t>Talkhouse Encore</t>
        </is>
      </c>
      <c r="C257" s="33">
        <f>SUMIFS('Data - Control'!$C$5:$C$296,'Data - Control'!$A$5:$A$296,$A257,'Data - Control'!$B$5:$B$296,$B257)</f>
        <v/>
      </c>
      <c r="D257" s="33">
        <f>SUMIFS('Data - Control'!$D$5:$D$296,'Data - Control'!$A$5:$A$296,$A257,'Data - Control'!$B$5:$B$296,$B257)</f>
        <v/>
      </c>
      <c r="E257" s="36">
        <f>SUMIFS('Data - Control'!$E$5:$E$296,'Data - Control'!$A$5:$A$296,$A257,'Data - Control'!$B$5:$B$296,$B257)</f>
        <v/>
      </c>
      <c r="F257" s="36">
        <f>SUMIFS('Data - Control'!$F$5:$F$296,'Data - Control'!$A$5:$A$296,$A257,'Data - Control'!$B$5:$B$296,$B257)</f>
        <v/>
      </c>
      <c r="G257" s="36">
        <f>SUMIFS('Data - Control'!$G$5:$G$296,'Data - Control'!$A$5:$A$296,$A257,'Data - Control'!$B$5:$B$296,$B257)</f>
        <v/>
      </c>
      <c r="H257" s="36">
        <f>SUMIFS('Data - Control'!$H$5:$H$296,'Data - Control'!$A$5:$A$296,$A257,'Data - Control'!$B$5:$B$296,$B257)</f>
        <v/>
      </c>
      <c r="I257" s="49">
        <f>IFERROR($G257/$C257,0)</f>
        <v/>
      </c>
      <c r="J257" s="49">
        <f>IFERROR($H257/$D257,0)</f>
        <v/>
      </c>
      <c r="K257" s="36">
        <f>$D257*$I257</f>
        <v/>
      </c>
      <c r="L257" s="36">
        <f>$D257*($J257-$I257)</f>
        <v/>
      </c>
      <c r="M257" s="44">
        <f>IFERROR($D257/$C257-1,"")</f>
        <v/>
      </c>
    </row>
    <row r="258">
      <c r="A258" s="41" t="inlineStr">
        <is>
          <t>The Old G LLC</t>
        </is>
      </c>
      <c r="B258" s="41" t="inlineStr">
        <is>
          <t>The Old G</t>
        </is>
      </c>
      <c r="C258" s="33">
        <f>SUMIFS('Data - Control'!$C$5:$C$296,'Data - Control'!$A$5:$A$296,$A258,'Data - Control'!$B$5:$B$296,$B258)</f>
        <v/>
      </c>
      <c r="D258" s="33">
        <f>SUMIFS('Data - Control'!$D$5:$D$296,'Data - Control'!$A$5:$A$296,$A258,'Data - Control'!$B$5:$B$296,$B258)</f>
        <v/>
      </c>
      <c r="E258" s="36">
        <f>SUMIFS('Data - Control'!$E$5:$E$296,'Data - Control'!$A$5:$A$296,$A258,'Data - Control'!$B$5:$B$296,$B258)</f>
        <v/>
      </c>
      <c r="F258" s="36">
        <f>SUMIFS('Data - Control'!$F$5:$F$296,'Data - Control'!$A$5:$A$296,$A258,'Data - Control'!$B$5:$B$296,$B258)</f>
        <v/>
      </c>
      <c r="G258" s="36">
        <f>SUMIFS('Data - Control'!$G$5:$G$296,'Data - Control'!$A$5:$A$296,$A258,'Data - Control'!$B$5:$B$296,$B258)</f>
        <v/>
      </c>
      <c r="H258" s="36">
        <f>SUMIFS('Data - Control'!$H$5:$H$296,'Data - Control'!$A$5:$A$296,$A258,'Data - Control'!$B$5:$B$296,$B258)</f>
        <v/>
      </c>
      <c r="I258" s="49">
        <f>IFERROR($G258/$C258,0)</f>
        <v/>
      </c>
      <c r="J258" s="49">
        <f>IFERROR($H258/$D258,0)</f>
        <v/>
      </c>
      <c r="K258" s="36">
        <f>$D258*$I258</f>
        <v/>
      </c>
      <c r="L258" s="36">
        <f>$D258*($J258-$I258)</f>
        <v/>
      </c>
      <c r="M258" s="44">
        <f>IFERROR($D258/$C258-1,"")</f>
        <v/>
      </c>
    </row>
    <row r="259">
      <c r="A259" s="41" t="inlineStr">
        <is>
          <t>Tilray Alternative Beverage</t>
        </is>
      </c>
      <c r="B259" s="41" t="inlineStr">
        <is>
          <t>Fizzy Jane</t>
        </is>
      </c>
      <c r="C259" s="33">
        <f>SUMIFS('Data - Control'!$C$5:$C$296,'Data - Control'!$A$5:$A$296,$A259,'Data - Control'!$B$5:$B$296,$B259)</f>
        <v/>
      </c>
      <c r="D259" s="33">
        <f>SUMIFS('Data - Control'!$D$5:$D$296,'Data - Control'!$A$5:$A$296,$A259,'Data - Control'!$B$5:$B$296,$B259)</f>
        <v/>
      </c>
      <c r="E259" s="36">
        <f>SUMIFS('Data - Control'!$E$5:$E$296,'Data - Control'!$A$5:$A$296,$A259,'Data - Control'!$B$5:$B$296,$B259)</f>
        <v/>
      </c>
      <c r="F259" s="36">
        <f>SUMIFS('Data - Control'!$F$5:$F$296,'Data - Control'!$A$5:$A$296,$A259,'Data - Control'!$B$5:$B$296,$B259)</f>
        <v/>
      </c>
      <c r="G259" s="36">
        <f>SUMIFS('Data - Control'!$G$5:$G$296,'Data - Control'!$A$5:$A$296,$A259,'Data - Control'!$B$5:$B$296,$B259)</f>
        <v/>
      </c>
      <c r="H259" s="36">
        <f>SUMIFS('Data - Control'!$H$5:$H$296,'Data - Control'!$A$5:$A$296,$A259,'Data - Control'!$B$5:$B$296,$B259)</f>
        <v/>
      </c>
      <c r="I259" s="49">
        <f>IFERROR($G259/$C259,0)</f>
        <v/>
      </c>
      <c r="J259" s="49">
        <f>IFERROR($H259/$D259,0)</f>
        <v/>
      </c>
      <c r="K259" s="36">
        <f>$D259*$I259</f>
        <v/>
      </c>
      <c r="L259" s="36">
        <f>$D259*($J259-$I259)</f>
        <v/>
      </c>
      <c r="M259" s="44">
        <f>IFERROR($D259/$C259-1,"")</f>
        <v/>
      </c>
    </row>
    <row r="260">
      <c r="A260" s="41" t="inlineStr">
        <is>
          <t>Tilray Alternative Beverage</t>
        </is>
      </c>
      <c r="B260" s="41" t="inlineStr">
        <is>
          <t>Happy Flower</t>
        </is>
      </c>
      <c r="C260" s="33">
        <f>SUMIFS('Data - Control'!$C$5:$C$296,'Data - Control'!$A$5:$A$296,$A260,'Data - Control'!$B$5:$B$296,$B260)</f>
        <v/>
      </c>
      <c r="D260" s="33">
        <f>SUMIFS('Data - Control'!$D$5:$D$296,'Data - Control'!$A$5:$A$296,$A260,'Data - Control'!$B$5:$B$296,$B260)</f>
        <v/>
      </c>
      <c r="E260" s="36">
        <f>SUMIFS('Data - Control'!$E$5:$E$296,'Data - Control'!$A$5:$A$296,$A260,'Data - Control'!$B$5:$B$296,$B260)</f>
        <v/>
      </c>
      <c r="F260" s="36">
        <f>SUMIFS('Data - Control'!$F$5:$F$296,'Data - Control'!$A$5:$A$296,$A260,'Data - Control'!$B$5:$B$296,$B260)</f>
        <v/>
      </c>
      <c r="G260" s="36">
        <f>SUMIFS('Data - Control'!$G$5:$G$296,'Data - Control'!$A$5:$A$296,$A260,'Data - Control'!$B$5:$B$296,$B260)</f>
        <v/>
      </c>
      <c r="H260" s="36">
        <f>SUMIFS('Data - Control'!$H$5:$H$296,'Data - Control'!$A$5:$A$296,$A260,'Data - Control'!$B$5:$B$296,$B260)</f>
        <v/>
      </c>
      <c r="I260" s="49">
        <f>IFERROR($G260/$C260,0)</f>
        <v/>
      </c>
      <c r="J260" s="49">
        <f>IFERROR($H260/$D260,0)</f>
        <v/>
      </c>
      <c r="K260" s="36">
        <f>$D260*$I260</f>
        <v/>
      </c>
      <c r="L260" s="36">
        <f>$D260*($J260-$I260)</f>
        <v/>
      </c>
      <c r="M260" s="44">
        <f>IFERROR($D260/$C260-1,"")</f>
        <v/>
      </c>
    </row>
    <row r="261">
      <c r="A261" s="41" t="inlineStr">
        <is>
          <t>Tilray Alternative Beverage</t>
        </is>
      </c>
      <c r="B261" s="41" t="inlineStr">
        <is>
          <t>Herb &amp; Bloom</t>
        </is>
      </c>
      <c r="C261" s="33">
        <f>SUMIFS('Data - Control'!$C$5:$C$296,'Data - Control'!$A$5:$A$296,$A261,'Data - Control'!$B$5:$B$296,$B261)</f>
        <v/>
      </c>
      <c r="D261" s="33">
        <f>SUMIFS('Data - Control'!$D$5:$D$296,'Data - Control'!$A$5:$A$296,$A261,'Data - Control'!$B$5:$B$296,$B261)</f>
        <v/>
      </c>
      <c r="E261" s="36">
        <f>SUMIFS('Data - Control'!$E$5:$E$296,'Data - Control'!$A$5:$A$296,$A261,'Data - Control'!$B$5:$B$296,$B261)</f>
        <v/>
      </c>
      <c r="F261" s="36">
        <f>SUMIFS('Data - Control'!$F$5:$F$296,'Data - Control'!$A$5:$A$296,$A261,'Data - Control'!$B$5:$B$296,$B261)</f>
        <v/>
      </c>
      <c r="G261" s="36">
        <f>SUMIFS('Data - Control'!$G$5:$G$296,'Data - Control'!$A$5:$A$296,$A261,'Data - Control'!$B$5:$B$296,$B261)</f>
        <v/>
      </c>
      <c r="H261" s="36">
        <f>SUMIFS('Data - Control'!$H$5:$H$296,'Data - Control'!$A$5:$A$296,$A261,'Data - Control'!$B$5:$B$296,$B261)</f>
        <v/>
      </c>
      <c r="I261" s="49">
        <f>IFERROR($G261/$C261,0)</f>
        <v/>
      </c>
      <c r="J261" s="49">
        <f>IFERROR($H261/$D261,0)</f>
        <v/>
      </c>
      <c r="K261" s="36">
        <f>$D261*$I261</f>
        <v/>
      </c>
      <c r="L261" s="36">
        <f>$D261*($J261-$I261)</f>
        <v/>
      </c>
      <c r="M261" s="44">
        <f>IFERROR($D261/$C261-1,"")</f>
        <v/>
      </c>
    </row>
    <row r="262">
      <c r="A262" s="41" t="inlineStr">
        <is>
          <t>Total Beverage Solutions</t>
        </is>
      </c>
      <c r="B262" s="41" t="inlineStr">
        <is>
          <t>Banks</t>
        </is>
      </c>
      <c r="C262" s="33">
        <f>SUMIFS('Data - Control'!$C$5:$C$296,'Data - Control'!$A$5:$A$296,$A262,'Data - Control'!$B$5:$B$296,$B262)</f>
        <v/>
      </c>
      <c r="D262" s="33">
        <f>SUMIFS('Data - Control'!$D$5:$D$296,'Data - Control'!$A$5:$A$296,$A262,'Data - Control'!$B$5:$B$296,$B262)</f>
        <v/>
      </c>
      <c r="E262" s="36">
        <f>SUMIFS('Data - Control'!$E$5:$E$296,'Data - Control'!$A$5:$A$296,$A262,'Data - Control'!$B$5:$B$296,$B262)</f>
        <v/>
      </c>
      <c r="F262" s="36">
        <f>SUMIFS('Data - Control'!$F$5:$F$296,'Data - Control'!$A$5:$A$296,$A262,'Data - Control'!$B$5:$B$296,$B262)</f>
        <v/>
      </c>
      <c r="G262" s="36">
        <f>SUMIFS('Data - Control'!$G$5:$G$296,'Data - Control'!$A$5:$A$296,$A262,'Data - Control'!$B$5:$B$296,$B262)</f>
        <v/>
      </c>
      <c r="H262" s="36">
        <f>SUMIFS('Data - Control'!$H$5:$H$296,'Data - Control'!$A$5:$A$296,$A262,'Data - Control'!$B$5:$B$296,$B262)</f>
        <v/>
      </c>
      <c r="I262" s="49">
        <f>IFERROR($G262/$C262,0)</f>
        <v/>
      </c>
      <c r="J262" s="49">
        <f>IFERROR($H262/$D262,0)</f>
        <v/>
      </c>
      <c r="K262" s="36">
        <f>$D262*$I262</f>
        <v/>
      </c>
      <c r="L262" s="36">
        <f>$D262*($J262-$I262)</f>
        <v/>
      </c>
      <c r="M262" s="44">
        <f>IFERROR($D262/$C262-1,"")</f>
        <v/>
      </c>
    </row>
    <row r="263">
      <c r="A263" s="41" t="inlineStr">
        <is>
          <t>Total Beverage Solutions</t>
        </is>
      </c>
      <c r="B263" s="41" t="inlineStr">
        <is>
          <t>Carib</t>
        </is>
      </c>
      <c r="C263" s="33">
        <f>SUMIFS('Data - Control'!$C$5:$C$296,'Data - Control'!$A$5:$A$296,$A263,'Data - Control'!$B$5:$B$296,$B263)</f>
        <v/>
      </c>
      <c r="D263" s="33">
        <f>SUMIFS('Data - Control'!$D$5:$D$296,'Data - Control'!$A$5:$A$296,$A263,'Data - Control'!$B$5:$B$296,$B263)</f>
        <v/>
      </c>
      <c r="E263" s="36">
        <f>SUMIFS('Data - Control'!$E$5:$E$296,'Data - Control'!$A$5:$A$296,$A263,'Data - Control'!$B$5:$B$296,$B263)</f>
        <v/>
      </c>
      <c r="F263" s="36">
        <f>SUMIFS('Data - Control'!$F$5:$F$296,'Data - Control'!$A$5:$A$296,$A263,'Data - Control'!$B$5:$B$296,$B263)</f>
        <v/>
      </c>
      <c r="G263" s="36">
        <f>SUMIFS('Data - Control'!$G$5:$G$296,'Data - Control'!$A$5:$A$296,$A263,'Data - Control'!$B$5:$B$296,$B263)</f>
        <v/>
      </c>
      <c r="H263" s="36">
        <f>SUMIFS('Data - Control'!$H$5:$H$296,'Data - Control'!$A$5:$A$296,$A263,'Data - Control'!$B$5:$B$296,$B263)</f>
        <v/>
      </c>
      <c r="I263" s="49">
        <f>IFERROR($G263/$C263,0)</f>
        <v/>
      </c>
      <c r="J263" s="49">
        <f>IFERROR($H263/$D263,0)</f>
        <v/>
      </c>
      <c r="K263" s="36">
        <f>$D263*$I263</f>
        <v/>
      </c>
      <c r="L263" s="36">
        <f>$D263*($J263-$I263)</f>
        <v/>
      </c>
      <c r="M263" s="44">
        <f>IFERROR($D263/$C263-1,"")</f>
        <v/>
      </c>
    </row>
    <row r="264">
      <c r="A264" s="41" t="inlineStr">
        <is>
          <t>Total Beverage Solutions</t>
        </is>
      </c>
      <c r="B264" s="41" t="inlineStr">
        <is>
          <t>Mackeson</t>
        </is>
      </c>
      <c r="C264" s="33">
        <f>SUMIFS('Data - Control'!$C$5:$C$296,'Data - Control'!$A$5:$A$296,$A264,'Data - Control'!$B$5:$B$296,$B264)</f>
        <v/>
      </c>
      <c r="D264" s="33">
        <f>SUMIFS('Data - Control'!$D$5:$D$296,'Data - Control'!$A$5:$A$296,$A264,'Data - Control'!$B$5:$B$296,$B264)</f>
        <v/>
      </c>
      <c r="E264" s="36">
        <f>SUMIFS('Data - Control'!$E$5:$E$296,'Data - Control'!$A$5:$A$296,$A264,'Data - Control'!$B$5:$B$296,$B264)</f>
        <v/>
      </c>
      <c r="F264" s="36">
        <f>SUMIFS('Data - Control'!$F$5:$F$296,'Data - Control'!$A$5:$A$296,$A264,'Data - Control'!$B$5:$B$296,$B264)</f>
        <v/>
      </c>
      <c r="G264" s="36">
        <f>SUMIFS('Data - Control'!$G$5:$G$296,'Data - Control'!$A$5:$A$296,$A264,'Data - Control'!$B$5:$B$296,$B264)</f>
        <v/>
      </c>
      <c r="H264" s="36">
        <f>SUMIFS('Data - Control'!$H$5:$H$296,'Data - Control'!$A$5:$A$296,$A264,'Data - Control'!$B$5:$B$296,$B264)</f>
        <v/>
      </c>
      <c r="I264" s="49">
        <f>IFERROR($G264/$C264,0)</f>
        <v/>
      </c>
      <c r="J264" s="49">
        <f>IFERROR($H264/$D264,0)</f>
        <v/>
      </c>
      <c r="K264" s="36">
        <f>$D264*$I264</f>
        <v/>
      </c>
      <c r="L264" s="36">
        <f>$D264*($J264-$I264)</f>
        <v/>
      </c>
      <c r="M264" s="44">
        <f>IFERROR($D264/$C264-1,"")</f>
        <v/>
      </c>
    </row>
    <row r="265">
      <c r="A265" s="41" t="inlineStr">
        <is>
          <t>Total Beverage Solutions</t>
        </is>
      </c>
      <c r="B265" s="41" t="inlineStr">
        <is>
          <t>Magners</t>
        </is>
      </c>
      <c r="C265" s="33">
        <f>SUMIFS('Data - Control'!$C$5:$C$296,'Data - Control'!$A$5:$A$296,$A265,'Data - Control'!$B$5:$B$296,$B265)</f>
        <v/>
      </c>
      <c r="D265" s="33">
        <f>SUMIFS('Data - Control'!$D$5:$D$296,'Data - Control'!$A$5:$A$296,$A265,'Data - Control'!$B$5:$B$296,$B265)</f>
        <v/>
      </c>
      <c r="E265" s="36">
        <f>SUMIFS('Data - Control'!$E$5:$E$296,'Data - Control'!$A$5:$A$296,$A265,'Data - Control'!$B$5:$B$296,$B265)</f>
        <v/>
      </c>
      <c r="F265" s="36">
        <f>SUMIFS('Data - Control'!$F$5:$F$296,'Data - Control'!$A$5:$A$296,$A265,'Data - Control'!$B$5:$B$296,$B265)</f>
        <v/>
      </c>
      <c r="G265" s="36">
        <f>SUMIFS('Data - Control'!$G$5:$G$296,'Data - Control'!$A$5:$A$296,$A265,'Data - Control'!$B$5:$B$296,$B265)</f>
        <v/>
      </c>
      <c r="H265" s="36">
        <f>SUMIFS('Data - Control'!$H$5:$H$296,'Data - Control'!$A$5:$A$296,$A265,'Data - Control'!$B$5:$B$296,$B265)</f>
        <v/>
      </c>
      <c r="I265" s="49">
        <f>IFERROR($G265/$C265,0)</f>
        <v/>
      </c>
      <c r="J265" s="49">
        <f>IFERROR($H265/$D265,0)</f>
        <v/>
      </c>
      <c r="K265" s="36">
        <f>$D265*$I265</f>
        <v/>
      </c>
      <c r="L265" s="36">
        <f>$D265*($J265-$I265)</f>
        <v/>
      </c>
      <c r="M265" s="44">
        <f>IFERROR($D265/$C265-1,"")</f>
        <v/>
      </c>
    </row>
    <row r="266">
      <c r="A266" s="41" t="inlineStr">
        <is>
          <t>Total Beverage Solutions</t>
        </is>
      </c>
      <c r="B266" s="41" t="inlineStr">
        <is>
          <t>Rekorderlig</t>
        </is>
      </c>
      <c r="C266" s="33">
        <f>SUMIFS('Data - Control'!$C$5:$C$296,'Data - Control'!$A$5:$A$296,$A266,'Data - Control'!$B$5:$B$296,$B266)</f>
        <v/>
      </c>
      <c r="D266" s="33">
        <f>SUMIFS('Data - Control'!$D$5:$D$296,'Data - Control'!$A$5:$A$296,$A266,'Data - Control'!$B$5:$B$296,$B266)</f>
        <v/>
      </c>
      <c r="E266" s="36">
        <f>SUMIFS('Data - Control'!$E$5:$E$296,'Data - Control'!$A$5:$A$296,$A266,'Data - Control'!$B$5:$B$296,$B266)</f>
        <v/>
      </c>
      <c r="F266" s="36">
        <f>SUMIFS('Data - Control'!$F$5:$F$296,'Data - Control'!$A$5:$A$296,$A266,'Data - Control'!$B$5:$B$296,$B266)</f>
        <v/>
      </c>
      <c r="G266" s="36">
        <f>SUMIFS('Data - Control'!$G$5:$G$296,'Data - Control'!$A$5:$A$296,$A266,'Data - Control'!$B$5:$B$296,$B266)</f>
        <v/>
      </c>
      <c r="H266" s="36">
        <f>SUMIFS('Data - Control'!$H$5:$H$296,'Data - Control'!$A$5:$A$296,$A266,'Data - Control'!$B$5:$B$296,$B266)</f>
        <v/>
      </c>
      <c r="I266" s="49">
        <f>IFERROR($G266/$C266,0)</f>
        <v/>
      </c>
      <c r="J266" s="49">
        <f>IFERROR($H266/$D266,0)</f>
        <v/>
      </c>
      <c r="K266" s="36">
        <f>$D266*$I266</f>
        <v/>
      </c>
      <c r="L266" s="36">
        <f>$D266*($J266-$I266)</f>
        <v/>
      </c>
      <c r="M266" s="44">
        <f>IFERROR($D266/$C266-1,"")</f>
        <v/>
      </c>
    </row>
    <row r="267">
      <c r="A267" s="41" t="inlineStr">
        <is>
          <t>Total Beverage Solutions</t>
        </is>
      </c>
      <c r="B267" s="41" t="inlineStr">
        <is>
          <t>Shipyard</t>
        </is>
      </c>
      <c r="C267" s="33">
        <f>SUMIFS('Data - Control'!$C$5:$C$296,'Data - Control'!$A$5:$A$296,$A267,'Data - Control'!$B$5:$B$296,$B267)</f>
        <v/>
      </c>
      <c r="D267" s="33">
        <f>SUMIFS('Data - Control'!$D$5:$D$296,'Data - Control'!$A$5:$A$296,$A267,'Data - Control'!$B$5:$B$296,$B267)</f>
        <v/>
      </c>
      <c r="E267" s="36">
        <f>SUMIFS('Data - Control'!$E$5:$E$296,'Data - Control'!$A$5:$A$296,$A267,'Data - Control'!$B$5:$B$296,$B267)</f>
        <v/>
      </c>
      <c r="F267" s="36">
        <f>SUMIFS('Data - Control'!$F$5:$F$296,'Data - Control'!$A$5:$A$296,$A267,'Data - Control'!$B$5:$B$296,$B267)</f>
        <v/>
      </c>
      <c r="G267" s="36">
        <f>SUMIFS('Data - Control'!$G$5:$G$296,'Data - Control'!$A$5:$A$296,$A267,'Data - Control'!$B$5:$B$296,$B267)</f>
        <v/>
      </c>
      <c r="H267" s="36">
        <f>SUMIFS('Data - Control'!$H$5:$H$296,'Data - Control'!$A$5:$A$296,$A267,'Data - Control'!$B$5:$B$296,$B267)</f>
        <v/>
      </c>
      <c r="I267" s="49">
        <f>IFERROR($G267/$C267,0)</f>
        <v/>
      </c>
      <c r="J267" s="49">
        <f>IFERROR($H267/$D267,0)</f>
        <v/>
      </c>
      <c r="K267" s="36">
        <f>$D267*$I267</f>
        <v/>
      </c>
      <c r="L267" s="36">
        <f>$D267*($J267-$I267)</f>
        <v/>
      </c>
      <c r="M267" s="44">
        <f>IFERROR($D267/$C267-1,"")</f>
        <v/>
      </c>
    </row>
    <row r="268">
      <c r="A268" s="41" t="inlineStr">
        <is>
          <t>Total Beverage Solutions</t>
        </is>
      </c>
      <c r="B268" s="41" t="inlineStr">
        <is>
          <t>Weihenstephaner</t>
        </is>
      </c>
      <c r="C268" s="33">
        <f>SUMIFS('Data - Control'!$C$5:$C$296,'Data - Control'!$A$5:$A$296,$A268,'Data - Control'!$B$5:$B$296,$B268)</f>
        <v/>
      </c>
      <c r="D268" s="33">
        <f>SUMIFS('Data - Control'!$D$5:$D$296,'Data - Control'!$A$5:$A$296,$A268,'Data - Control'!$B$5:$B$296,$B268)</f>
        <v/>
      </c>
      <c r="E268" s="36">
        <f>SUMIFS('Data - Control'!$E$5:$E$296,'Data - Control'!$A$5:$A$296,$A268,'Data - Control'!$B$5:$B$296,$B268)</f>
        <v/>
      </c>
      <c r="F268" s="36">
        <f>SUMIFS('Data - Control'!$F$5:$F$296,'Data - Control'!$A$5:$A$296,$A268,'Data - Control'!$B$5:$B$296,$B268)</f>
        <v/>
      </c>
      <c r="G268" s="36">
        <f>SUMIFS('Data - Control'!$G$5:$G$296,'Data - Control'!$A$5:$A$296,$A268,'Data - Control'!$B$5:$B$296,$B268)</f>
        <v/>
      </c>
      <c r="H268" s="36">
        <f>SUMIFS('Data - Control'!$H$5:$H$296,'Data - Control'!$A$5:$A$296,$A268,'Data - Control'!$B$5:$B$296,$B268)</f>
        <v/>
      </c>
      <c r="I268" s="49">
        <f>IFERROR($G268/$C268,0)</f>
        <v/>
      </c>
      <c r="J268" s="49">
        <f>IFERROR($H268/$D268,0)</f>
        <v/>
      </c>
      <c r="K268" s="36">
        <f>$D268*$I268</f>
        <v/>
      </c>
      <c r="L268" s="36">
        <f>$D268*($J268-$I268)</f>
        <v/>
      </c>
      <c r="M268" s="44">
        <f>IFERROR($D268/$C268-1,"")</f>
        <v/>
      </c>
    </row>
    <row r="269">
      <c r="A269" s="41" t="inlineStr">
        <is>
          <t>Travelers Club</t>
        </is>
      </c>
      <c r="B269" s="41" t="inlineStr">
        <is>
          <t>Travelers Club</t>
        </is>
      </c>
      <c r="C269" s="33">
        <f>SUMIFS('Data - Control'!$C$5:$C$296,'Data - Control'!$A$5:$A$296,$A269,'Data - Control'!$B$5:$B$296,$B269)</f>
        <v/>
      </c>
      <c r="D269" s="33">
        <f>SUMIFS('Data - Control'!$D$5:$D$296,'Data - Control'!$A$5:$A$296,$A269,'Data - Control'!$B$5:$B$296,$B269)</f>
        <v/>
      </c>
      <c r="E269" s="36">
        <f>SUMIFS('Data - Control'!$E$5:$E$296,'Data - Control'!$A$5:$A$296,$A269,'Data - Control'!$B$5:$B$296,$B269)</f>
        <v/>
      </c>
      <c r="F269" s="36">
        <f>SUMIFS('Data - Control'!$F$5:$F$296,'Data - Control'!$A$5:$A$296,$A269,'Data - Control'!$B$5:$B$296,$B269)</f>
        <v/>
      </c>
      <c r="G269" s="36">
        <f>SUMIFS('Data - Control'!$G$5:$G$296,'Data - Control'!$A$5:$A$296,$A269,'Data - Control'!$B$5:$B$296,$B269)</f>
        <v/>
      </c>
      <c r="H269" s="36">
        <f>SUMIFS('Data - Control'!$H$5:$H$296,'Data - Control'!$A$5:$A$296,$A269,'Data - Control'!$B$5:$B$296,$B269)</f>
        <v/>
      </c>
      <c r="I269" s="49">
        <f>IFERROR($G269/$C269,0)</f>
        <v/>
      </c>
      <c r="J269" s="49">
        <f>IFERROR($H269/$D269,0)</f>
        <v/>
      </c>
      <c r="K269" s="36">
        <f>$D269*$I269</f>
        <v/>
      </c>
      <c r="L269" s="36">
        <f>$D269*($J269-$I269)</f>
        <v/>
      </c>
      <c r="M269" s="44">
        <f>IFERROR($D269/$C269-1,"")</f>
        <v/>
      </c>
    </row>
    <row r="270">
      <c r="A270" s="41" t="inlineStr">
        <is>
          <t>Trinity Flavors</t>
        </is>
      </c>
      <c r="B270" s="41" t="inlineStr">
        <is>
          <t>Trinity</t>
        </is>
      </c>
      <c r="C270" s="33">
        <f>SUMIFS('Data - Control'!$C$5:$C$296,'Data - Control'!$A$5:$A$296,$A270,'Data - Control'!$B$5:$B$296,$B270)</f>
        <v/>
      </c>
      <c r="D270" s="33">
        <f>SUMIFS('Data - Control'!$D$5:$D$296,'Data - Control'!$A$5:$A$296,$A270,'Data - Control'!$B$5:$B$296,$B270)</f>
        <v/>
      </c>
      <c r="E270" s="36">
        <f>SUMIFS('Data - Control'!$E$5:$E$296,'Data - Control'!$A$5:$A$296,$A270,'Data - Control'!$B$5:$B$296,$B270)</f>
        <v/>
      </c>
      <c r="F270" s="36">
        <f>SUMIFS('Data - Control'!$F$5:$F$296,'Data - Control'!$A$5:$A$296,$A270,'Data - Control'!$B$5:$B$296,$B270)</f>
        <v/>
      </c>
      <c r="G270" s="36">
        <f>SUMIFS('Data - Control'!$G$5:$G$296,'Data - Control'!$A$5:$A$296,$A270,'Data - Control'!$B$5:$B$296,$B270)</f>
        <v/>
      </c>
      <c r="H270" s="36">
        <f>SUMIFS('Data - Control'!$H$5:$H$296,'Data - Control'!$A$5:$A$296,$A270,'Data - Control'!$B$5:$B$296,$B270)</f>
        <v/>
      </c>
      <c r="I270" s="49">
        <f>IFERROR($G270/$C270,0)</f>
        <v/>
      </c>
      <c r="J270" s="49">
        <f>IFERROR($H270/$D270,0)</f>
        <v/>
      </c>
      <c r="K270" s="36">
        <f>$D270*$I270</f>
        <v/>
      </c>
      <c r="L270" s="36">
        <f>$D270*($J270-$I270)</f>
        <v/>
      </c>
      <c r="M270" s="44">
        <f>IFERROR($D270/$C270-1,"")</f>
        <v/>
      </c>
    </row>
    <row r="271">
      <c r="A271" s="41" t="inlineStr">
        <is>
          <t>US Beverage</t>
        </is>
      </c>
      <c r="B271" s="41" t="inlineStr">
        <is>
          <t>Birra Moretti</t>
        </is>
      </c>
      <c r="C271" s="33">
        <f>SUMIFS('Data - Control'!$C$5:$C$296,'Data - Control'!$A$5:$A$296,$A271,'Data - Control'!$B$5:$B$296,$B271)</f>
        <v/>
      </c>
      <c r="D271" s="33">
        <f>SUMIFS('Data - Control'!$D$5:$D$296,'Data - Control'!$A$5:$A$296,$A271,'Data - Control'!$B$5:$B$296,$B271)</f>
        <v/>
      </c>
      <c r="E271" s="36">
        <f>SUMIFS('Data - Control'!$E$5:$E$296,'Data - Control'!$A$5:$A$296,$A271,'Data - Control'!$B$5:$B$296,$B271)</f>
        <v/>
      </c>
      <c r="F271" s="36">
        <f>SUMIFS('Data - Control'!$F$5:$F$296,'Data - Control'!$A$5:$A$296,$A271,'Data - Control'!$B$5:$B$296,$B271)</f>
        <v/>
      </c>
      <c r="G271" s="36">
        <f>SUMIFS('Data - Control'!$G$5:$G$296,'Data - Control'!$A$5:$A$296,$A271,'Data - Control'!$B$5:$B$296,$B271)</f>
        <v/>
      </c>
      <c r="H271" s="36">
        <f>SUMIFS('Data - Control'!$H$5:$H$296,'Data - Control'!$A$5:$A$296,$A271,'Data - Control'!$B$5:$B$296,$B271)</f>
        <v/>
      </c>
      <c r="I271" s="49">
        <f>IFERROR($G271/$C271,0)</f>
        <v/>
      </c>
      <c r="J271" s="49">
        <f>IFERROR($H271/$D271,0)</f>
        <v/>
      </c>
      <c r="K271" s="36">
        <f>$D271*$I271</f>
        <v/>
      </c>
      <c r="L271" s="36">
        <f>$D271*($J271-$I271)</f>
        <v/>
      </c>
      <c r="M271" s="44">
        <f>IFERROR($D271/$C271-1,"")</f>
        <v/>
      </c>
    </row>
    <row r="272">
      <c r="A272" s="41" t="inlineStr">
        <is>
          <t>US Beverage</t>
        </is>
      </c>
      <c r="B272" s="41" t="inlineStr">
        <is>
          <t>Daura</t>
        </is>
      </c>
      <c r="C272" s="33">
        <f>SUMIFS('Data - Control'!$C$5:$C$296,'Data - Control'!$A$5:$A$296,$A272,'Data - Control'!$B$5:$B$296,$B272)</f>
        <v/>
      </c>
      <c r="D272" s="33">
        <f>SUMIFS('Data - Control'!$D$5:$D$296,'Data - Control'!$A$5:$A$296,$A272,'Data - Control'!$B$5:$B$296,$B272)</f>
        <v/>
      </c>
      <c r="E272" s="36">
        <f>SUMIFS('Data - Control'!$E$5:$E$296,'Data - Control'!$A$5:$A$296,$A272,'Data - Control'!$B$5:$B$296,$B272)</f>
        <v/>
      </c>
      <c r="F272" s="36">
        <f>SUMIFS('Data - Control'!$F$5:$F$296,'Data - Control'!$A$5:$A$296,$A272,'Data - Control'!$B$5:$B$296,$B272)</f>
        <v/>
      </c>
      <c r="G272" s="36">
        <f>SUMIFS('Data - Control'!$G$5:$G$296,'Data - Control'!$A$5:$A$296,$A272,'Data - Control'!$B$5:$B$296,$B272)</f>
        <v/>
      </c>
      <c r="H272" s="36">
        <f>SUMIFS('Data - Control'!$H$5:$H$296,'Data - Control'!$A$5:$A$296,$A272,'Data - Control'!$B$5:$B$296,$B272)</f>
        <v/>
      </c>
      <c r="I272" s="49">
        <f>IFERROR($G272/$C272,0)</f>
        <v/>
      </c>
      <c r="J272" s="49">
        <f>IFERROR($H272/$D272,0)</f>
        <v/>
      </c>
      <c r="K272" s="36">
        <f>$D272*$I272</f>
        <v/>
      </c>
      <c r="L272" s="36">
        <f>$D272*($J272-$I272)</f>
        <v/>
      </c>
      <c r="M272" s="44">
        <f>IFERROR($D272/$C272-1,"")</f>
        <v/>
      </c>
    </row>
    <row r="273">
      <c r="A273" s="41" t="inlineStr">
        <is>
          <t>US Beverage</t>
        </is>
      </c>
      <c r="B273" s="41" t="inlineStr">
        <is>
          <t>Dragon Stout</t>
        </is>
      </c>
      <c r="C273" s="33">
        <f>SUMIFS('Data - Control'!$C$5:$C$296,'Data - Control'!$A$5:$A$296,$A273,'Data - Control'!$B$5:$B$296,$B273)</f>
        <v/>
      </c>
      <c r="D273" s="33">
        <f>SUMIFS('Data - Control'!$D$5:$D$296,'Data - Control'!$A$5:$A$296,$A273,'Data - Control'!$B$5:$B$296,$B273)</f>
        <v/>
      </c>
      <c r="E273" s="36">
        <f>SUMIFS('Data - Control'!$E$5:$E$296,'Data - Control'!$A$5:$A$296,$A273,'Data - Control'!$B$5:$B$296,$B273)</f>
        <v/>
      </c>
      <c r="F273" s="36">
        <f>SUMIFS('Data - Control'!$F$5:$F$296,'Data - Control'!$A$5:$A$296,$A273,'Data - Control'!$B$5:$B$296,$B273)</f>
        <v/>
      </c>
      <c r="G273" s="36">
        <f>SUMIFS('Data - Control'!$G$5:$G$296,'Data - Control'!$A$5:$A$296,$A273,'Data - Control'!$B$5:$B$296,$B273)</f>
        <v/>
      </c>
      <c r="H273" s="36">
        <f>SUMIFS('Data - Control'!$H$5:$H$296,'Data - Control'!$A$5:$A$296,$A273,'Data - Control'!$B$5:$B$296,$B273)</f>
        <v/>
      </c>
      <c r="I273" s="49">
        <f>IFERROR($G273/$C273,0)</f>
        <v/>
      </c>
      <c r="J273" s="49">
        <f>IFERROR($H273/$D273,0)</f>
        <v/>
      </c>
      <c r="K273" s="36">
        <f>$D273*$I273</f>
        <v/>
      </c>
      <c r="L273" s="36">
        <f>$D273*($J273-$I273)</f>
        <v/>
      </c>
      <c r="M273" s="44">
        <f>IFERROR($D273/$C273-1,"")</f>
        <v/>
      </c>
    </row>
    <row r="274">
      <c r="A274" s="41" t="inlineStr">
        <is>
          <t>US Beverage</t>
        </is>
      </c>
      <c r="B274" s="41" t="inlineStr">
        <is>
          <t>Estrella</t>
        </is>
      </c>
      <c r="C274" s="33">
        <f>SUMIFS('Data - Control'!$C$5:$C$296,'Data - Control'!$A$5:$A$296,$A274,'Data - Control'!$B$5:$B$296,$B274)</f>
        <v/>
      </c>
      <c r="D274" s="33">
        <f>SUMIFS('Data - Control'!$D$5:$D$296,'Data - Control'!$A$5:$A$296,$A274,'Data - Control'!$B$5:$B$296,$B274)</f>
        <v/>
      </c>
      <c r="E274" s="36">
        <f>SUMIFS('Data - Control'!$E$5:$E$296,'Data - Control'!$A$5:$A$296,$A274,'Data - Control'!$B$5:$B$296,$B274)</f>
        <v/>
      </c>
      <c r="F274" s="36">
        <f>SUMIFS('Data - Control'!$F$5:$F$296,'Data - Control'!$A$5:$A$296,$A274,'Data - Control'!$B$5:$B$296,$B274)</f>
        <v/>
      </c>
      <c r="G274" s="36">
        <f>SUMIFS('Data - Control'!$G$5:$G$296,'Data - Control'!$A$5:$A$296,$A274,'Data - Control'!$B$5:$B$296,$B274)</f>
        <v/>
      </c>
      <c r="H274" s="36">
        <f>SUMIFS('Data - Control'!$H$5:$H$296,'Data - Control'!$A$5:$A$296,$A274,'Data - Control'!$B$5:$B$296,$B274)</f>
        <v/>
      </c>
      <c r="I274" s="49">
        <f>IFERROR($G274/$C274,0)</f>
        <v/>
      </c>
      <c r="J274" s="49">
        <f>IFERROR($H274/$D274,0)</f>
        <v/>
      </c>
      <c r="K274" s="36">
        <f>$D274*$I274</f>
        <v/>
      </c>
      <c r="L274" s="36">
        <f>$D274*($J274-$I274)</f>
        <v/>
      </c>
      <c r="M274" s="44">
        <f>IFERROR($D274/$C274-1,"")</f>
        <v/>
      </c>
    </row>
    <row r="275">
      <c r="A275" s="41" t="inlineStr">
        <is>
          <t>US Beverage</t>
        </is>
      </c>
      <c r="B275" s="41" t="inlineStr">
        <is>
          <t>Innis &amp; Gunn</t>
        </is>
      </c>
      <c r="C275" s="33">
        <f>SUMIFS('Data - Control'!$C$5:$C$296,'Data - Control'!$A$5:$A$296,$A275,'Data - Control'!$B$5:$B$296,$B275)</f>
        <v/>
      </c>
      <c r="D275" s="33">
        <f>SUMIFS('Data - Control'!$D$5:$D$296,'Data - Control'!$A$5:$A$296,$A275,'Data - Control'!$B$5:$B$296,$B275)</f>
        <v/>
      </c>
      <c r="E275" s="36">
        <f>SUMIFS('Data - Control'!$E$5:$E$296,'Data - Control'!$A$5:$A$296,$A275,'Data - Control'!$B$5:$B$296,$B275)</f>
        <v/>
      </c>
      <c r="F275" s="36">
        <f>SUMIFS('Data - Control'!$F$5:$F$296,'Data - Control'!$A$5:$A$296,$A275,'Data - Control'!$B$5:$B$296,$B275)</f>
        <v/>
      </c>
      <c r="G275" s="36">
        <f>SUMIFS('Data - Control'!$G$5:$G$296,'Data - Control'!$A$5:$A$296,$A275,'Data - Control'!$B$5:$B$296,$B275)</f>
        <v/>
      </c>
      <c r="H275" s="36">
        <f>SUMIFS('Data - Control'!$H$5:$H$296,'Data - Control'!$A$5:$A$296,$A275,'Data - Control'!$B$5:$B$296,$B275)</f>
        <v/>
      </c>
      <c r="I275" s="49">
        <f>IFERROR($G275/$C275,0)</f>
        <v/>
      </c>
      <c r="J275" s="49">
        <f>IFERROR($H275/$D275,0)</f>
        <v/>
      </c>
      <c r="K275" s="36">
        <f>$D275*$I275</f>
        <v/>
      </c>
      <c r="L275" s="36">
        <f>$D275*($J275-$I275)</f>
        <v/>
      </c>
      <c r="M275" s="44">
        <f>IFERROR($D275/$C275-1,"")</f>
        <v/>
      </c>
    </row>
    <row r="276">
      <c r="A276" s="41" t="inlineStr">
        <is>
          <t>US Beverage</t>
        </is>
      </c>
      <c r="B276" s="41" t="inlineStr">
        <is>
          <t>Krusovice</t>
        </is>
      </c>
      <c r="C276" s="33">
        <f>SUMIFS('Data - Control'!$C$5:$C$296,'Data - Control'!$A$5:$A$296,$A276,'Data - Control'!$B$5:$B$296,$B276)</f>
        <v/>
      </c>
      <c r="D276" s="33">
        <f>SUMIFS('Data - Control'!$D$5:$D$296,'Data - Control'!$A$5:$A$296,$A276,'Data - Control'!$B$5:$B$296,$B276)</f>
        <v/>
      </c>
      <c r="E276" s="36">
        <f>SUMIFS('Data - Control'!$E$5:$E$296,'Data - Control'!$A$5:$A$296,$A276,'Data - Control'!$B$5:$B$296,$B276)</f>
        <v/>
      </c>
      <c r="F276" s="36">
        <f>SUMIFS('Data - Control'!$F$5:$F$296,'Data - Control'!$A$5:$A$296,$A276,'Data - Control'!$B$5:$B$296,$B276)</f>
        <v/>
      </c>
      <c r="G276" s="36">
        <f>SUMIFS('Data - Control'!$G$5:$G$296,'Data - Control'!$A$5:$A$296,$A276,'Data - Control'!$B$5:$B$296,$B276)</f>
        <v/>
      </c>
      <c r="H276" s="36">
        <f>SUMIFS('Data - Control'!$H$5:$H$296,'Data - Control'!$A$5:$A$296,$A276,'Data - Control'!$B$5:$B$296,$B276)</f>
        <v/>
      </c>
      <c r="I276" s="49">
        <f>IFERROR($G276/$C276,0)</f>
        <v/>
      </c>
      <c r="J276" s="49">
        <f>IFERROR($H276/$D276,0)</f>
        <v/>
      </c>
      <c r="K276" s="36">
        <f>$D276*$I276</f>
        <v/>
      </c>
      <c r="L276" s="36">
        <f>$D276*($J276-$I276)</f>
        <v/>
      </c>
      <c r="M276" s="44">
        <f>IFERROR($D276/$C276-1,"")</f>
        <v/>
      </c>
    </row>
    <row r="277">
      <c r="A277" s="41" t="inlineStr">
        <is>
          <t>US Beverage</t>
        </is>
      </c>
      <c r="B277" s="41" t="inlineStr">
        <is>
          <t>Malibu Splash</t>
        </is>
      </c>
      <c r="C277" s="33">
        <f>SUMIFS('Data - Control'!$C$5:$C$296,'Data - Control'!$A$5:$A$296,$A277,'Data - Control'!$B$5:$B$296,$B277)</f>
        <v/>
      </c>
      <c r="D277" s="33">
        <f>SUMIFS('Data - Control'!$D$5:$D$296,'Data - Control'!$A$5:$A$296,$A277,'Data - Control'!$B$5:$B$296,$B277)</f>
        <v/>
      </c>
      <c r="E277" s="36">
        <f>SUMIFS('Data - Control'!$E$5:$E$296,'Data - Control'!$A$5:$A$296,$A277,'Data - Control'!$B$5:$B$296,$B277)</f>
        <v/>
      </c>
      <c r="F277" s="36">
        <f>SUMIFS('Data - Control'!$F$5:$F$296,'Data - Control'!$A$5:$A$296,$A277,'Data - Control'!$B$5:$B$296,$B277)</f>
        <v/>
      </c>
      <c r="G277" s="36">
        <f>SUMIFS('Data - Control'!$G$5:$G$296,'Data - Control'!$A$5:$A$296,$A277,'Data - Control'!$B$5:$B$296,$B277)</f>
        <v/>
      </c>
      <c r="H277" s="36">
        <f>SUMIFS('Data - Control'!$H$5:$H$296,'Data - Control'!$A$5:$A$296,$A277,'Data - Control'!$B$5:$B$296,$B277)</f>
        <v/>
      </c>
      <c r="I277" s="49">
        <f>IFERROR($G277/$C277,0)</f>
        <v/>
      </c>
      <c r="J277" s="49">
        <f>IFERROR($H277/$D277,0)</f>
        <v/>
      </c>
      <c r="K277" s="36">
        <f>$D277*$I277</f>
        <v/>
      </c>
      <c r="L277" s="36">
        <f>$D277*($J277-$I277)</f>
        <v/>
      </c>
      <c r="M277" s="44">
        <f>IFERROR($D277/$C277-1,"")</f>
        <v/>
      </c>
    </row>
    <row r="278">
      <c r="A278" s="41" t="inlineStr">
        <is>
          <t>US Beverage</t>
        </is>
      </c>
      <c r="B278" s="41" t="inlineStr">
        <is>
          <t>Moosehead</t>
        </is>
      </c>
      <c r="C278" s="33">
        <f>SUMIFS('Data - Control'!$C$5:$C$296,'Data - Control'!$A$5:$A$296,$A278,'Data - Control'!$B$5:$B$296,$B278)</f>
        <v/>
      </c>
      <c r="D278" s="33">
        <f>SUMIFS('Data - Control'!$D$5:$D$296,'Data - Control'!$A$5:$A$296,$A278,'Data - Control'!$B$5:$B$296,$B278)</f>
        <v/>
      </c>
      <c r="E278" s="36">
        <f>SUMIFS('Data - Control'!$E$5:$E$296,'Data - Control'!$A$5:$A$296,$A278,'Data - Control'!$B$5:$B$296,$B278)</f>
        <v/>
      </c>
      <c r="F278" s="36">
        <f>SUMIFS('Data - Control'!$F$5:$F$296,'Data - Control'!$A$5:$A$296,$A278,'Data - Control'!$B$5:$B$296,$B278)</f>
        <v/>
      </c>
      <c r="G278" s="36">
        <f>SUMIFS('Data - Control'!$G$5:$G$296,'Data - Control'!$A$5:$A$296,$A278,'Data - Control'!$B$5:$B$296,$B278)</f>
        <v/>
      </c>
      <c r="H278" s="36">
        <f>SUMIFS('Data - Control'!$H$5:$H$296,'Data - Control'!$A$5:$A$296,$A278,'Data - Control'!$B$5:$B$296,$B278)</f>
        <v/>
      </c>
      <c r="I278" s="49">
        <f>IFERROR($G278/$C278,0)</f>
        <v/>
      </c>
      <c r="J278" s="49">
        <f>IFERROR($H278/$D278,0)</f>
        <v/>
      </c>
      <c r="K278" s="36">
        <f>$D278*$I278</f>
        <v/>
      </c>
      <c r="L278" s="36">
        <f>$D278*($J278-$I278)</f>
        <v/>
      </c>
      <c r="M278" s="44">
        <f>IFERROR($D278/$C278-1,"")</f>
        <v/>
      </c>
    </row>
    <row r="279">
      <c r="A279" s="41" t="inlineStr">
        <is>
          <t>US Beverage</t>
        </is>
      </c>
      <c r="B279" s="41" t="inlineStr">
        <is>
          <t>Sagres Cerveja</t>
        </is>
      </c>
      <c r="C279" s="33">
        <f>SUMIFS('Data - Control'!$C$5:$C$296,'Data - Control'!$A$5:$A$296,$A279,'Data - Control'!$B$5:$B$296,$B279)</f>
        <v/>
      </c>
      <c r="D279" s="33">
        <f>SUMIFS('Data - Control'!$D$5:$D$296,'Data - Control'!$A$5:$A$296,$A279,'Data - Control'!$B$5:$B$296,$B279)</f>
        <v/>
      </c>
      <c r="E279" s="36">
        <f>SUMIFS('Data - Control'!$E$5:$E$296,'Data - Control'!$A$5:$A$296,$A279,'Data - Control'!$B$5:$B$296,$B279)</f>
        <v/>
      </c>
      <c r="F279" s="36">
        <f>SUMIFS('Data - Control'!$F$5:$F$296,'Data - Control'!$A$5:$A$296,$A279,'Data - Control'!$B$5:$B$296,$B279)</f>
        <v/>
      </c>
      <c r="G279" s="36">
        <f>SUMIFS('Data - Control'!$G$5:$G$296,'Data - Control'!$A$5:$A$296,$A279,'Data - Control'!$B$5:$B$296,$B279)</f>
        <v/>
      </c>
      <c r="H279" s="36">
        <f>SUMIFS('Data - Control'!$H$5:$H$296,'Data - Control'!$A$5:$A$296,$A279,'Data - Control'!$B$5:$B$296,$B279)</f>
        <v/>
      </c>
      <c r="I279" s="49">
        <f>IFERROR($G279/$C279,0)</f>
        <v/>
      </c>
      <c r="J279" s="49">
        <f>IFERROR($H279/$D279,0)</f>
        <v/>
      </c>
      <c r="K279" s="36">
        <f>$D279*$I279</f>
        <v/>
      </c>
      <c r="L279" s="36">
        <f>$D279*($J279-$I279)</f>
        <v/>
      </c>
      <c r="M279" s="44">
        <f>IFERROR($D279/$C279-1,"")</f>
        <v/>
      </c>
    </row>
    <row r="280">
      <c r="A280" s="41" t="inlineStr">
        <is>
          <t>US Beverage</t>
        </is>
      </c>
      <c r="B280" s="41" t="inlineStr">
        <is>
          <t>Sammy's Beach Bum</t>
        </is>
      </c>
      <c r="C280" s="33">
        <f>SUMIFS('Data - Control'!$C$5:$C$296,'Data - Control'!$A$5:$A$296,$A280,'Data - Control'!$B$5:$B$296,$B280)</f>
        <v/>
      </c>
      <c r="D280" s="33">
        <f>SUMIFS('Data - Control'!$D$5:$D$296,'Data - Control'!$A$5:$A$296,$A280,'Data - Control'!$B$5:$B$296,$B280)</f>
        <v/>
      </c>
      <c r="E280" s="36">
        <f>SUMIFS('Data - Control'!$E$5:$E$296,'Data - Control'!$A$5:$A$296,$A280,'Data - Control'!$B$5:$B$296,$B280)</f>
        <v/>
      </c>
      <c r="F280" s="36">
        <f>SUMIFS('Data - Control'!$F$5:$F$296,'Data - Control'!$A$5:$A$296,$A280,'Data - Control'!$B$5:$B$296,$B280)</f>
        <v/>
      </c>
      <c r="G280" s="36">
        <f>SUMIFS('Data - Control'!$G$5:$G$296,'Data - Control'!$A$5:$A$296,$A280,'Data - Control'!$B$5:$B$296,$B280)</f>
        <v/>
      </c>
      <c r="H280" s="36">
        <f>SUMIFS('Data - Control'!$H$5:$H$296,'Data - Control'!$A$5:$A$296,$A280,'Data - Control'!$B$5:$B$296,$B280)</f>
        <v/>
      </c>
      <c r="I280" s="49">
        <f>IFERROR($G280/$C280,0)</f>
        <v/>
      </c>
      <c r="J280" s="49">
        <f>IFERROR($H280/$D280,0)</f>
        <v/>
      </c>
      <c r="K280" s="36">
        <f>$D280*$I280</f>
        <v/>
      </c>
      <c r="L280" s="36">
        <f>$D280*($J280-$I280)</f>
        <v/>
      </c>
      <c r="M280" s="44">
        <f>IFERROR($D280/$C280-1,"")</f>
        <v/>
      </c>
    </row>
    <row r="281">
      <c r="A281" s="41" t="inlineStr">
        <is>
          <t>US Beverage</t>
        </is>
      </c>
      <c r="B281" s="41" t="inlineStr">
        <is>
          <t>Tagus</t>
        </is>
      </c>
      <c r="C281" s="33">
        <f>SUMIFS('Data - Control'!$C$5:$C$296,'Data - Control'!$A$5:$A$296,$A281,'Data - Control'!$B$5:$B$296,$B281)</f>
        <v/>
      </c>
      <c r="D281" s="33">
        <f>SUMIFS('Data - Control'!$D$5:$D$296,'Data - Control'!$A$5:$A$296,$A281,'Data - Control'!$B$5:$B$296,$B281)</f>
        <v/>
      </c>
      <c r="E281" s="36">
        <f>SUMIFS('Data - Control'!$E$5:$E$296,'Data - Control'!$A$5:$A$296,$A281,'Data - Control'!$B$5:$B$296,$B281)</f>
        <v/>
      </c>
      <c r="F281" s="36">
        <f>SUMIFS('Data - Control'!$F$5:$F$296,'Data - Control'!$A$5:$A$296,$A281,'Data - Control'!$B$5:$B$296,$B281)</f>
        <v/>
      </c>
      <c r="G281" s="36">
        <f>SUMIFS('Data - Control'!$G$5:$G$296,'Data - Control'!$A$5:$A$296,$A281,'Data - Control'!$B$5:$B$296,$B281)</f>
        <v/>
      </c>
      <c r="H281" s="36">
        <f>SUMIFS('Data - Control'!$H$5:$H$296,'Data - Control'!$A$5:$A$296,$A281,'Data - Control'!$B$5:$B$296,$B281)</f>
        <v/>
      </c>
      <c r="I281" s="49">
        <f>IFERROR($G281/$C281,0)</f>
        <v/>
      </c>
      <c r="J281" s="49">
        <f>IFERROR($H281/$D281,0)</f>
        <v/>
      </c>
      <c r="K281" s="36">
        <f>$D281*$I281</f>
        <v/>
      </c>
      <c r="L281" s="36">
        <f>$D281*($J281-$I281)</f>
        <v/>
      </c>
      <c r="M281" s="44">
        <f>IFERROR($D281/$C281-1,"")</f>
        <v/>
      </c>
    </row>
    <row r="282">
      <c r="A282" s="41" t="inlineStr">
        <is>
          <t>Unibroue</t>
        </is>
      </c>
      <c r="B282" s="41" t="inlineStr">
        <is>
          <t>Unibroue</t>
        </is>
      </c>
      <c r="C282" s="33">
        <f>SUMIFS('Data - Control'!$C$5:$C$296,'Data - Control'!$A$5:$A$296,$A282,'Data - Control'!$B$5:$B$296,$B282)</f>
        <v/>
      </c>
      <c r="D282" s="33">
        <f>SUMIFS('Data - Control'!$D$5:$D$296,'Data - Control'!$A$5:$A$296,$A282,'Data - Control'!$B$5:$B$296,$B282)</f>
        <v/>
      </c>
      <c r="E282" s="36">
        <f>SUMIFS('Data - Control'!$E$5:$E$296,'Data - Control'!$A$5:$A$296,$A282,'Data - Control'!$B$5:$B$296,$B282)</f>
        <v/>
      </c>
      <c r="F282" s="36">
        <f>SUMIFS('Data - Control'!$F$5:$F$296,'Data - Control'!$A$5:$A$296,$A282,'Data - Control'!$B$5:$B$296,$B282)</f>
        <v/>
      </c>
      <c r="G282" s="36">
        <f>SUMIFS('Data - Control'!$G$5:$G$296,'Data - Control'!$A$5:$A$296,$A282,'Data - Control'!$B$5:$B$296,$B282)</f>
        <v/>
      </c>
      <c r="H282" s="36">
        <f>SUMIFS('Data - Control'!$H$5:$H$296,'Data - Control'!$A$5:$A$296,$A282,'Data - Control'!$B$5:$B$296,$B282)</f>
        <v/>
      </c>
      <c r="I282" s="49">
        <f>IFERROR($G282/$C282,0)</f>
        <v/>
      </c>
      <c r="J282" s="49">
        <f>IFERROR($H282/$D282,0)</f>
        <v/>
      </c>
      <c r="K282" s="36">
        <f>$D282*$I282</f>
        <v/>
      </c>
      <c r="L282" s="36">
        <f>$D282*($J282-$I282)</f>
        <v/>
      </c>
      <c r="M282" s="44">
        <f>IFERROR($D282/$C282-1,"")</f>
        <v/>
      </c>
    </row>
    <row r="283">
      <c r="A283" s="41" t="inlineStr">
        <is>
          <t>Vermont Hard Cider</t>
        </is>
      </c>
      <c r="B283" s="41" t="inlineStr">
        <is>
          <t>Day Chaser</t>
        </is>
      </c>
      <c r="C283" s="33">
        <f>SUMIFS('Data - Control'!$C$5:$C$296,'Data - Control'!$A$5:$A$296,$A283,'Data - Control'!$B$5:$B$296,$B283)</f>
        <v/>
      </c>
      <c r="D283" s="33">
        <f>SUMIFS('Data - Control'!$D$5:$D$296,'Data - Control'!$A$5:$A$296,$A283,'Data - Control'!$B$5:$B$296,$B283)</f>
        <v/>
      </c>
      <c r="E283" s="36">
        <f>SUMIFS('Data - Control'!$E$5:$E$296,'Data - Control'!$A$5:$A$296,$A283,'Data - Control'!$B$5:$B$296,$B283)</f>
        <v/>
      </c>
      <c r="F283" s="36">
        <f>SUMIFS('Data - Control'!$F$5:$F$296,'Data - Control'!$A$5:$A$296,$A283,'Data - Control'!$B$5:$B$296,$B283)</f>
        <v/>
      </c>
      <c r="G283" s="36">
        <f>SUMIFS('Data - Control'!$G$5:$G$296,'Data - Control'!$A$5:$A$296,$A283,'Data - Control'!$B$5:$B$296,$B283)</f>
        <v/>
      </c>
      <c r="H283" s="36">
        <f>SUMIFS('Data - Control'!$H$5:$H$296,'Data - Control'!$A$5:$A$296,$A283,'Data - Control'!$B$5:$B$296,$B283)</f>
        <v/>
      </c>
      <c r="I283" s="49">
        <f>IFERROR($G283/$C283,0)</f>
        <v/>
      </c>
      <c r="J283" s="49">
        <f>IFERROR($H283/$D283,0)</f>
        <v/>
      </c>
      <c r="K283" s="36">
        <f>$D283*$I283</f>
        <v/>
      </c>
      <c r="L283" s="36">
        <f>$D283*($J283-$I283)</f>
        <v/>
      </c>
      <c r="M283" s="44">
        <f>IFERROR($D283/$C283-1,"")</f>
        <v/>
      </c>
    </row>
    <row r="284">
      <c r="A284" s="41" t="inlineStr">
        <is>
          <t>Vermont Hard Cider</t>
        </is>
      </c>
      <c r="B284" s="41" t="inlineStr">
        <is>
          <t>Woodchuck</t>
        </is>
      </c>
      <c r="C284" s="33">
        <f>SUMIFS('Data - Control'!$C$5:$C$296,'Data - Control'!$A$5:$A$296,$A284,'Data - Control'!$B$5:$B$296,$B284)</f>
        <v/>
      </c>
      <c r="D284" s="33">
        <f>SUMIFS('Data - Control'!$D$5:$D$296,'Data - Control'!$A$5:$A$296,$A284,'Data - Control'!$B$5:$B$296,$B284)</f>
        <v/>
      </c>
      <c r="E284" s="36">
        <f>SUMIFS('Data - Control'!$E$5:$E$296,'Data - Control'!$A$5:$A$296,$A284,'Data - Control'!$B$5:$B$296,$B284)</f>
        <v/>
      </c>
      <c r="F284" s="36">
        <f>SUMIFS('Data - Control'!$F$5:$F$296,'Data - Control'!$A$5:$A$296,$A284,'Data - Control'!$B$5:$B$296,$B284)</f>
        <v/>
      </c>
      <c r="G284" s="36">
        <f>SUMIFS('Data - Control'!$G$5:$G$296,'Data - Control'!$A$5:$A$296,$A284,'Data - Control'!$B$5:$B$296,$B284)</f>
        <v/>
      </c>
      <c r="H284" s="36">
        <f>SUMIFS('Data - Control'!$H$5:$H$296,'Data - Control'!$A$5:$A$296,$A284,'Data - Control'!$B$5:$B$296,$B284)</f>
        <v/>
      </c>
      <c r="I284" s="49">
        <f>IFERROR($G284/$C284,0)</f>
        <v/>
      </c>
      <c r="J284" s="49">
        <f>IFERROR($H284/$D284,0)</f>
        <v/>
      </c>
      <c r="K284" s="36">
        <f>$D284*$I284</f>
        <v/>
      </c>
      <c r="L284" s="36">
        <f>$D284*($J284-$I284)</f>
        <v/>
      </c>
      <c r="M284" s="44">
        <f>IFERROR($D284/$C284-1,"")</f>
        <v/>
      </c>
    </row>
    <row r="285">
      <c r="A285" s="41" t="inlineStr">
        <is>
          <t>Vermont Hard Cider</t>
        </is>
      </c>
      <c r="B285" s="41" t="inlineStr">
        <is>
          <t>Wyder's</t>
        </is>
      </c>
      <c r="C285" s="33">
        <f>SUMIFS('Data - Control'!$C$5:$C$296,'Data - Control'!$A$5:$A$296,$A285,'Data - Control'!$B$5:$B$296,$B285)</f>
        <v/>
      </c>
      <c r="D285" s="33">
        <f>SUMIFS('Data - Control'!$D$5:$D$296,'Data - Control'!$A$5:$A$296,$A285,'Data - Control'!$B$5:$B$296,$B285)</f>
        <v/>
      </c>
      <c r="E285" s="36">
        <f>SUMIFS('Data - Control'!$E$5:$E$296,'Data - Control'!$A$5:$A$296,$A285,'Data - Control'!$B$5:$B$296,$B285)</f>
        <v/>
      </c>
      <c r="F285" s="36">
        <f>SUMIFS('Data - Control'!$F$5:$F$296,'Data - Control'!$A$5:$A$296,$A285,'Data - Control'!$B$5:$B$296,$B285)</f>
        <v/>
      </c>
      <c r="G285" s="36">
        <f>SUMIFS('Data - Control'!$G$5:$G$296,'Data - Control'!$A$5:$A$296,$A285,'Data - Control'!$B$5:$B$296,$B285)</f>
        <v/>
      </c>
      <c r="H285" s="36">
        <f>SUMIFS('Data - Control'!$H$5:$H$296,'Data - Control'!$A$5:$A$296,$A285,'Data - Control'!$B$5:$B$296,$B285)</f>
        <v/>
      </c>
      <c r="I285" s="49">
        <f>IFERROR($G285/$C285,0)</f>
        <v/>
      </c>
      <c r="J285" s="49">
        <f>IFERROR($H285/$D285,0)</f>
        <v/>
      </c>
      <c r="K285" s="36">
        <f>$D285*$I285</f>
        <v/>
      </c>
      <c r="L285" s="36">
        <f>$D285*($J285-$I285)</f>
        <v/>
      </c>
      <c r="M285" s="44">
        <f>IFERROR($D285/$C285-1,"")</f>
        <v/>
      </c>
    </row>
    <row r="286">
      <c r="A286" s="41" t="inlineStr">
        <is>
          <t>Victory Brewing Company</t>
        </is>
      </c>
      <c r="B286" s="41" t="inlineStr">
        <is>
          <t>Monkey Family</t>
        </is>
      </c>
      <c r="C286" s="33">
        <f>SUMIFS('Data - Control'!$C$5:$C$296,'Data - Control'!$A$5:$A$296,$A286,'Data - Control'!$B$5:$B$296,$B286)</f>
        <v/>
      </c>
      <c r="D286" s="33">
        <f>SUMIFS('Data - Control'!$D$5:$D$296,'Data - Control'!$A$5:$A$296,$A286,'Data - Control'!$B$5:$B$296,$B286)</f>
        <v/>
      </c>
      <c r="E286" s="36">
        <f>SUMIFS('Data - Control'!$E$5:$E$296,'Data - Control'!$A$5:$A$296,$A286,'Data - Control'!$B$5:$B$296,$B286)</f>
        <v/>
      </c>
      <c r="F286" s="36">
        <f>SUMIFS('Data - Control'!$F$5:$F$296,'Data - Control'!$A$5:$A$296,$A286,'Data - Control'!$B$5:$B$296,$B286)</f>
        <v/>
      </c>
      <c r="G286" s="36">
        <f>SUMIFS('Data - Control'!$G$5:$G$296,'Data - Control'!$A$5:$A$296,$A286,'Data - Control'!$B$5:$B$296,$B286)</f>
        <v/>
      </c>
      <c r="H286" s="36">
        <f>SUMIFS('Data - Control'!$H$5:$H$296,'Data - Control'!$A$5:$A$296,$A286,'Data - Control'!$B$5:$B$296,$B286)</f>
        <v/>
      </c>
      <c r="I286" s="49">
        <f>IFERROR($G286/$C286,0)</f>
        <v/>
      </c>
      <c r="J286" s="49">
        <f>IFERROR($H286/$D286,0)</f>
        <v/>
      </c>
      <c r="K286" s="36">
        <f>$D286*$I286</f>
        <v/>
      </c>
      <c r="L286" s="36">
        <f>$D286*($J286-$I286)</f>
        <v/>
      </c>
      <c r="M286" s="44">
        <f>IFERROR($D286/$C286-1,"")</f>
        <v/>
      </c>
    </row>
    <row r="287">
      <c r="A287" s="41" t="inlineStr">
        <is>
          <t>Victory Brewing Company</t>
        </is>
      </c>
      <c r="B287" s="41" t="inlineStr">
        <is>
          <t>Victory</t>
        </is>
      </c>
      <c r="C287" s="33">
        <f>SUMIFS('Data - Control'!$C$5:$C$296,'Data - Control'!$A$5:$A$296,$A287,'Data - Control'!$B$5:$B$296,$B287)</f>
        <v/>
      </c>
      <c r="D287" s="33">
        <f>SUMIFS('Data - Control'!$D$5:$D$296,'Data - Control'!$A$5:$A$296,$A287,'Data - Control'!$B$5:$B$296,$B287)</f>
        <v/>
      </c>
      <c r="E287" s="36">
        <f>SUMIFS('Data - Control'!$E$5:$E$296,'Data - Control'!$A$5:$A$296,$A287,'Data - Control'!$B$5:$B$296,$B287)</f>
        <v/>
      </c>
      <c r="F287" s="36">
        <f>SUMIFS('Data - Control'!$F$5:$F$296,'Data - Control'!$A$5:$A$296,$A287,'Data - Control'!$B$5:$B$296,$B287)</f>
        <v/>
      </c>
      <c r="G287" s="36">
        <f>SUMIFS('Data - Control'!$G$5:$G$296,'Data - Control'!$A$5:$A$296,$A287,'Data - Control'!$B$5:$B$296,$B287)</f>
        <v/>
      </c>
      <c r="H287" s="36">
        <f>SUMIFS('Data - Control'!$H$5:$H$296,'Data - Control'!$A$5:$A$296,$A287,'Data - Control'!$B$5:$B$296,$B287)</f>
        <v/>
      </c>
      <c r="I287" s="49">
        <f>IFERROR($G287/$C287,0)</f>
        <v/>
      </c>
      <c r="J287" s="49">
        <f>IFERROR($H287/$D287,0)</f>
        <v/>
      </c>
      <c r="K287" s="36">
        <f>$D287*$I287</f>
        <v/>
      </c>
      <c r="L287" s="36">
        <f>$D287*($J287-$I287)</f>
        <v/>
      </c>
      <c r="M287" s="44">
        <f>IFERROR($D287/$C287-1,"")</f>
        <v/>
      </c>
    </row>
    <row r="288">
      <c r="A288" s="41" t="inlineStr">
        <is>
          <t>Vinaio Imports LTD</t>
        </is>
      </c>
      <c r="B288" s="41" t="inlineStr">
        <is>
          <t>Carinoso</t>
        </is>
      </c>
      <c r="C288" s="33">
        <f>SUMIFS('Data - Control'!$C$5:$C$296,'Data - Control'!$A$5:$A$296,$A288,'Data - Control'!$B$5:$B$296,$B288)</f>
        <v/>
      </c>
      <c r="D288" s="33">
        <f>SUMIFS('Data - Control'!$D$5:$D$296,'Data - Control'!$A$5:$A$296,$A288,'Data - Control'!$B$5:$B$296,$B288)</f>
        <v/>
      </c>
      <c r="E288" s="36">
        <f>SUMIFS('Data - Control'!$E$5:$E$296,'Data - Control'!$A$5:$A$296,$A288,'Data - Control'!$B$5:$B$296,$B288)</f>
        <v/>
      </c>
      <c r="F288" s="36">
        <f>SUMIFS('Data - Control'!$F$5:$F$296,'Data - Control'!$A$5:$A$296,$A288,'Data - Control'!$B$5:$B$296,$B288)</f>
        <v/>
      </c>
      <c r="G288" s="36">
        <f>SUMIFS('Data - Control'!$G$5:$G$296,'Data - Control'!$A$5:$A$296,$A288,'Data - Control'!$B$5:$B$296,$B288)</f>
        <v/>
      </c>
      <c r="H288" s="36">
        <f>SUMIFS('Data - Control'!$H$5:$H$296,'Data - Control'!$A$5:$A$296,$A288,'Data - Control'!$B$5:$B$296,$B288)</f>
        <v/>
      </c>
      <c r="I288" s="49">
        <f>IFERROR($G288/$C288,0)</f>
        <v/>
      </c>
      <c r="J288" s="49">
        <f>IFERROR($H288/$D288,0)</f>
        <v/>
      </c>
      <c r="K288" s="36">
        <f>$D288*$I288</f>
        <v/>
      </c>
      <c r="L288" s="36">
        <f>$D288*($J288-$I288)</f>
        <v/>
      </c>
      <c r="M288" s="44">
        <f>IFERROR($D288/$C288-1,"")</f>
        <v/>
      </c>
    </row>
    <row r="289">
      <c r="A289" s="41" t="inlineStr">
        <is>
          <t>Vinaio Imports LTD</t>
        </is>
      </c>
      <c r="B289" s="41" t="inlineStr">
        <is>
          <t>Cerveza Republica LA Tuya</t>
        </is>
      </c>
      <c r="C289" s="33">
        <f>SUMIFS('Data - Control'!$C$5:$C$296,'Data - Control'!$A$5:$A$296,$A289,'Data - Control'!$B$5:$B$296,$B289)</f>
        <v/>
      </c>
      <c r="D289" s="33">
        <f>SUMIFS('Data - Control'!$D$5:$D$296,'Data - Control'!$A$5:$A$296,$A289,'Data - Control'!$B$5:$B$296,$B289)</f>
        <v/>
      </c>
      <c r="E289" s="36">
        <f>SUMIFS('Data - Control'!$E$5:$E$296,'Data - Control'!$A$5:$A$296,$A289,'Data - Control'!$B$5:$B$296,$B289)</f>
        <v/>
      </c>
      <c r="F289" s="36">
        <f>SUMIFS('Data - Control'!$F$5:$F$296,'Data - Control'!$A$5:$A$296,$A289,'Data - Control'!$B$5:$B$296,$B289)</f>
        <v/>
      </c>
      <c r="G289" s="36">
        <f>SUMIFS('Data - Control'!$G$5:$G$296,'Data - Control'!$A$5:$A$296,$A289,'Data - Control'!$B$5:$B$296,$B289)</f>
        <v/>
      </c>
      <c r="H289" s="36">
        <f>SUMIFS('Data - Control'!$H$5:$H$296,'Data - Control'!$A$5:$A$296,$A289,'Data - Control'!$B$5:$B$296,$B289)</f>
        <v/>
      </c>
      <c r="I289" s="49">
        <f>IFERROR($G289/$C289,0)</f>
        <v/>
      </c>
      <c r="J289" s="49">
        <f>IFERROR($H289/$D289,0)</f>
        <v/>
      </c>
      <c r="K289" s="36">
        <f>$D289*$I289</f>
        <v/>
      </c>
      <c r="L289" s="36">
        <f>$D289*($J289-$I289)</f>
        <v/>
      </c>
      <c r="M289" s="44">
        <f>IFERROR($D289/$C289-1,"")</f>
        <v/>
      </c>
    </row>
    <row r="290">
      <c r="A290" s="41" t="inlineStr">
        <is>
          <t>Vinaio Imports LTD</t>
        </is>
      </c>
      <c r="B290" s="41" t="inlineStr">
        <is>
          <t>Cerveza Republica La Tuya 5.0 La Dura</t>
        </is>
      </c>
      <c r="C290" s="33">
        <f>SUMIFS('Data - Control'!$C$5:$C$296,'Data - Control'!$A$5:$A$296,$A290,'Data - Control'!$B$5:$B$296,$B290)</f>
        <v/>
      </c>
      <c r="D290" s="33">
        <f>SUMIFS('Data - Control'!$D$5:$D$296,'Data - Control'!$A$5:$A$296,$A290,'Data - Control'!$B$5:$B$296,$B290)</f>
        <v/>
      </c>
      <c r="E290" s="36">
        <f>SUMIFS('Data - Control'!$E$5:$E$296,'Data - Control'!$A$5:$A$296,$A290,'Data - Control'!$B$5:$B$296,$B290)</f>
        <v/>
      </c>
      <c r="F290" s="36">
        <f>SUMIFS('Data - Control'!$F$5:$F$296,'Data - Control'!$A$5:$A$296,$A290,'Data - Control'!$B$5:$B$296,$B290)</f>
        <v/>
      </c>
      <c r="G290" s="36">
        <f>SUMIFS('Data - Control'!$G$5:$G$296,'Data - Control'!$A$5:$A$296,$A290,'Data - Control'!$B$5:$B$296,$B290)</f>
        <v/>
      </c>
      <c r="H290" s="36">
        <f>SUMIFS('Data - Control'!$H$5:$H$296,'Data - Control'!$A$5:$A$296,$A290,'Data - Control'!$B$5:$B$296,$B290)</f>
        <v/>
      </c>
      <c r="I290" s="49">
        <f>IFERROR($G290/$C290,0)</f>
        <v/>
      </c>
      <c r="J290" s="49">
        <f>IFERROR($H290/$D290,0)</f>
        <v/>
      </c>
      <c r="K290" s="36">
        <f>$D290*$I290</f>
        <v/>
      </c>
      <c r="L290" s="36">
        <f>$D290*($J290-$I290)</f>
        <v/>
      </c>
      <c r="M290" s="44">
        <f>IFERROR($D290/$C290-1,"")</f>
        <v/>
      </c>
    </row>
    <row r="291">
      <c r="A291" s="41" t="inlineStr">
        <is>
          <t>Viva Beverages Inc</t>
        </is>
      </c>
      <c r="B291" s="41" t="inlineStr">
        <is>
          <t>Viva Tequila Seltzer</t>
        </is>
      </c>
      <c r="C291" s="33">
        <f>SUMIFS('Data - Control'!$C$5:$C$296,'Data - Control'!$A$5:$A$296,$A291,'Data - Control'!$B$5:$B$296,$B291)</f>
        <v/>
      </c>
      <c r="D291" s="33">
        <f>SUMIFS('Data - Control'!$D$5:$D$296,'Data - Control'!$A$5:$A$296,$A291,'Data - Control'!$B$5:$B$296,$B291)</f>
        <v/>
      </c>
      <c r="E291" s="36">
        <f>SUMIFS('Data - Control'!$E$5:$E$296,'Data - Control'!$A$5:$A$296,$A291,'Data - Control'!$B$5:$B$296,$B291)</f>
        <v/>
      </c>
      <c r="F291" s="36">
        <f>SUMIFS('Data - Control'!$F$5:$F$296,'Data - Control'!$A$5:$A$296,$A291,'Data - Control'!$B$5:$B$296,$B291)</f>
        <v/>
      </c>
      <c r="G291" s="36">
        <f>SUMIFS('Data - Control'!$G$5:$G$296,'Data - Control'!$A$5:$A$296,$A291,'Data - Control'!$B$5:$B$296,$B291)</f>
        <v/>
      </c>
      <c r="H291" s="36">
        <f>SUMIFS('Data - Control'!$H$5:$H$296,'Data - Control'!$A$5:$A$296,$A291,'Data - Control'!$B$5:$B$296,$B291)</f>
        <v/>
      </c>
      <c r="I291" s="49">
        <f>IFERROR($G291/$C291,0)</f>
        <v/>
      </c>
      <c r="J291" s="49">
        <f>IFERROR($H291/$D291,0)</f>
        <v/>
      </c>
      <c r="K291" s="36">
        <f>$D291*$I291</f>
        <v/>
      </c>
      <c r="L291" s="36">
        <f>$D291*($J291-$I291)</f>
        <v/>
      </c>
      <c r="M291" s="44">
        <f>IFERROR($D291/$C291-1,"")</f>
        <v/>
      </c>
    </row>
    <row r="292">
      <c r="A292" s="41" t="inlineStr">
        <is>
          <t>Warwick Valley</t>
        </is>
      </c>
      <c r="B292" s="41" t="inlineStr">
        <is>
          <t>Doc's</t>
        </is>
      </c>
      <c r="C292" s="33">
        <f>SUMIFS('Data - Control'!$C$5:$C$296,'Data - Control'!$A$5:$A$296,$A292,'Data - Control'!$B$5:$B$296,$B292)</f>
        <v/>
      </c>
      <c r="D292" s="33">
        <f>SUMIFS('Data - Control'!$D$5:$D$296,'Data - Control'!$A$5:$A$296,$A292,'Data - Control'!$B$5:$B$296,$B292)</f>
        <v/>
      </c>
      <c r="E292" s="36">
        <f>SUMIFS('Data - Control'!$E$5:$E$296,'Data - Control'!$A$5:$A$296,$A292,'Data - Control'!$B$5:$B$296,$B292)</f>
        <v/>
      </c>
      <c r="F292" s="36">
        <f>SUMIFS('Data - Control'!$F$5:$F$296,'Data - Control'!$A$5:$A$296,$A292,'Data - Control'!$B$5:$B$296,$B292)</f>
        <v/>
      </c>
      <c r="G292" s="36">
        <f>SUMIFS('Data - Control'!$G$5:$G$296,'Data - Control'!$A$5:$A$296,$A292,'Data - Control'!$B$5:$B$296,$B292)</f>
        <v/>
      </c>
      <c r="H292" s="36">
        <f>SUMIFS('Data - Control'!$H$5:$H$296,'Data - Control'!$A$5:$A$296,$A292,'Data - Control'!$B$5:$B$296,$B292)</f>
        <v/>
      </c>
      <c r="I292" s="49">
        <f>IFERROR($G292/$C292,0)</f>
        <v/>
      </c>
      <c r="J292" s="49">
        <f>IFERROR($H292/$D292,0)</f>
        <v/>
      </c>
      <c r="K292" s="36">
        <f>$D292*$I292</f>
        <v/>
      </c>
      <c r="L292" s="36">
        <f>$D292*($J292-$I292)</f>
        <v/>
      </c>
      <c r="M292" s="44">
        <f>IFERROR($D292/$C292-1,"")</f>
        <v/>
      </c>
    </row>
    <row r="293">
      <c r="A293" s="41" t="inlineStr">
        <is>
          <t>Warwick Valley</t>
        </is>
      </c>
      <c r="B293" s="41" t="inlineStr">
        <is>
          <t>Gin Pig</t>
        </is>
      </c>
      <c r="C293" s="33">
        <f>SUMIFS('Data - Control'!$C$5:$C$296,'Data - Control'!$A$5:$A$296,$A293,'Data - Control'!$B$5:$B$296,$B293)</f>
        <v/>
      </c>
      <c r="D293" s="33">
        <f>SUMIFS('Data - Control'!$D$5:$D$296,'Data - Control'!$A$5:$A$296,$A293,'Data - Control'!$B$5:$B$296,$B293)</f>
        <v/>
      </c>
      <c r="E293" s="36">
        <f>SUMIFS('Data - Control'!$E$5:$E$296,'Data - Control'!$A$5:$A$296,$A293,'Data - Control'!$B$5:$B$296,$B293)</f>
        <v/>
      </c>
      <c r="F293" s="36">
        <f>SUMIFS('Data - Control'!$F$5:$F$296,'Data - Control'!$A$5:$A$296,$A293,'Data - Control'!$B$5:$B$296,$B293)</f>
        <v/>
      </c>
      <c r="G293" s="36">
        <f>SUMIFS('Data - Control'!$G$5:$G$296,'Data - Control'!$A$5:$A$296,$A293,'Data - Control'!$B$5:$B$296,$B293)</f>
        <v/>
      </c>
      <c r="H293" s="36">
        <f>SUMIFS('Data - Control'!$H$5:$H$296,'Data - Control'!$A$5:$A$296,$A293,'Data - Control'!$B$5:$B$296,$B293)</f>
        <v/>
      </c>
      <c r="I293" s="49">
        <f>IFERROR($G293/$C293,0)</f>
        <v/>
      </c>
      <c r="J293" s="49">
        <f>IFERROR($H293/$D293,0)</f>
        <v/>
      </c>
      <c r="K293" s="36">
        <f>$D293*$I293</f>
        <v/>
      </c>
      <c r="L293" s="36">
        <f>$D293*($J293-$I293)</f>
        <v/>
      </c>
      <c r="M293" s="44">
        <f>IFERROR($D293/$C293-1,"")</f>
        <v/>
      </c>
    </row>
    <row r="294">
      <c r="A294" s="41" t="inlineStr">
        <is>
          <t>Warwick Valley</t>
        </is>
      </c>
      <c r="B294" s="41" t="inlineStr">
        <is>
          <t>Warwick Gin</t>
        </is>
      </c>
      <c r="C294" s="33">
        <f>SUMIFS('Data - Control'!$C$5:$C$296,'Data - Control'!$A$5:$A$296,$A294,'Data - Control'!$B$5:$B$296,$B294)</f>
        <v/>
      </c>
      <c r="D294" s="33">
        <f>SUMIFS('Data - Control'!$D$5:$D$296,'Data - Control'!$A$5:$A$296,$A294,'Data - Control'!$B$5:$B$296,$B294)</f>
        <v/>
      </c>
      <c r="E294" s="36">
        <f>SUMIFS('Data - Control'!$E$5:$E$296,'Data - Control'!$A$5:$A$296,$A294,'Data - Control'!$B$5:$B$296,$B294)</f>
        <v/>
      </c>
      <c r="F294" s="36">
        <f>SUMIFS('Data - Control'!$F$5:$F$296,'Data - Control'!$A$5:$A$296,$A294,'Data - Control'!$B$5:$B$296,$B294)</f>
        <v/>
      </c>
      <c r="G294" s="36">
        <f>SUMIFS('Data - Control'!$G$5:$G$296,'Data - Control'!$A$5:$A$296,$A294,'Data - Control'!$B$5:$B$296,$B294)</f>
        <v/>
      </c>
      <c r="H294" s="36">
        <f>SUMIFS('Data - Control'!$H$5:$H$296,'Data - Control'!$A$5:$A$296,$A294,'Data - Control'!$B$5:$B$296,$B294)</f>
        <v/>
      </c>
      <c r="I294" s="49">
        <f>IFERROR($G294/$C294,0)</f>
        <v/>
      </c>
      <c r="J294" s="49">
        <f>IFERROR($H294/$D294,0)</f>
        <v/>
      </c>
      <c r="K294" s="36">
        <f>$D294*$I294</f>
        <v/>
      </c>
      <c r="L294" s="36">
        <f>$D294*($J294-$I294)</f>
        <v/>
      </c>
      <c r="M294" s="44">
        <f>IFERROR($D294/$C294-1,"")</f>
        <v/>
      </c>
    </row>
    <row r="295">
      <c r="A295" s="41" t="inlineStr">
        <is>
          <t>Waterloo Gin</t>
        </is>
      </c>
      <c r="B295" s="41" t="inlineStr">
        <is>
          <t>Waterloo Gin</t>
        </is>
      </c>
      <c r="C295" s="33">
        <f>SUMIFS('Data - Control'!$C$5:$C$296,'Data - Control'!$A$5:$A$296,$A295,'Data - Control'!$B$5:$B$296,$B295)</f>
        <v/>
      </c>
      <c r="D295" s="33">
        <f>SUMIFS('Data - Control'!$D$5:$D$296,'Data - Control'!$A$5:$A$296,$A295,'Data - Control'!$B$5:$B$296,$B295)</f>
        <v/>
      </c>
      <c r="E295" s="36">
        <f>SUMIFS('Data - Control'!$E$5:$E$296,'Data - Control'!$A$5:$A$296,$A295,'Data - Control'!$B$5:$B$296,$B295)</f>
        <v/>
      </c>
      <c r="F295" s="36">
        <f>SUMIFS('Data - Control'!$F$5:$F$296,'Data - Control'!$A$5:$A$296,$A295,'Data - Control'!$B$5:$B$296,$B295)</f>
        <v/>
      </c>
      <c r="G295" s="36">
        <f>SUMIFS('Data - Control'!$G$5:$G$296,'Data - Control'!$A$5:$A$296,$A295,'Data - Control'!$B$5:$B$296,$B295)</f>
        <v/>
      </c>
      <c r="H295" s="36">
        <f>SUMIFS('Data - Control'!$H$5:$H$296,'Data - Control'!$A$5:$A$296,$A295,'Data - Control'!$B$5:$B$296,$B295)</f>
        <v/>
      </c>
      <c r="I295" s="49">
        <f>IFERROR($G295/$C295,0)</f>
        <v/>
      </c>
      <c r="J295" s="49">
        <f>IFERROR($H295/$D295,0)</f>
        <v/>
      </c>
      <c r="K295" s="36">
        <f>$D295*$I295</f>
        <v/>
      </c>
      <c r="L295" s="36">
        <f>$D295*($J295-$I295)</f>
        <v/>
      </c>
      <c r="M295" s="44">
        <f>IFERROR($D295/$C295-1,"")</f>
        <v/>
      </c>
    </row>
    <row r="296">
      <c r="A296" s="41" t="inlineStr">
        <is>
          <t>XYZ Beverage</t>
        </is>
      </c>
      <c r="B296" s="41" t="inlineStr">
        <is>
          <t>Press</t>
        </is>
      </c>
      <c r="C296" s="33">
        <f>SUMIFS('Data - Control'!$C$5:$C$296,'Data - Control'!$A$5:$A$296,$A296,'Data - Control'!$B$5:$B$296,$B296)</f>
        <v/>
      </c>
      <c r="D296" s="33">
        <f>SUMIFS('Data - Control'!$D$5:$D$296,'Data - Control'!$A$5:$A$296,$A296,'Data - Control'!$B$5:$B$296,$B296)</f>
        <v/>
      </c>
      <c r="E296" s="36">
        <f>SUMIFS('Data - Control'!$E$5:$E$296,'Data - Control'!$A$5:$A$296,$A296,'Data - Control'!$B$5:$B$296,$B296)</f>
        <v/>
      </c>
      <c r="F296" s="36">
        <f>SUMIFS('Data - Control'!$F$5:$F$296,'Data - Control'!$A$5:$A$296,$A296,'Data - Control'!$B$5:$B$296,$B296)</f>
        <v/>
      </c>
      <c r="G296" s="36">
        <f>SUMIFS('Data - Control'!$G$5:$G$296,'Data - Control'!$A$5:$A$296,$A296,'Data - Control'!$B$5:$B$296,$B296)</f>
        <v/>
      </c>
      <c r="H296" s="36">
        <f>SUMIFS('Data - Control'!$H$5:$H$296,'Data - Control'!$A$5:$A$296,$A296,'Data - Control'!$B$5:$B$296,$B296)</f>
        <v/>
      </c>
      <c r="I296" s="49">
        <f>IFERROR($G296/$C296,0)</f>
        <v/>
      </c>
      <c r="J296" s="49">
        <f>IFERROR($H296/$D296,0)</f>
        <v/>
      </c>
      <c r="K296" s="36">
        <f>$D296*$I296</f>
        <v/>
      </c>
      <c r="L296" s="36">
        <f>$D296*($J296-$I296)</f>
        <v/>
      </c>
      <c r="M296" s="44">
        <f>IFERROR($D296/$C296-1,"")</f>
        <v/>
      </c>
    </row>
    <row r="297">
      <c r="A297" s="17" t="inlineStr">
        <is>
          <t>TOTAL</t>
        </is>
      </c>
      <c r="C297" s="43">
        <f>SUM(C5:C296)</f>
        <v/>
      </c>
      <c r="D297" s="43">
        <f>SUM(D5:D296)</f>
        <v/>
      </c>
      <c r="E297" s="38">
        <f>SUM(E5:E296)</f>
        <v/>
      </c>
      <c r="F297" s="38">
        <f>SUM(F5:F296)</f>
        <v/>
      </c>
      <c r="G297" s="38">
        <f>SUM(G5:G296)</f>
        <v/>
      </c>
      <c r="H297" s="38">
        <f>SUM(H5:H296)</f>
        <v/>
      </c>
      <c r="K297" s="38">
        <f>SUM(K5:K296)</f>
        <v/>
      </c>
      <c r="L297" s="38">
        <f>SUM(L5:L296)</f>
        <v/>
      </c>
    </row>
  </sheetData>
  <autoFilter ref="A4:M29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46"/>
  <sheetViews>
    <sheetView showGridLines="0" workbookViewId="0">
      <pane ySplit="4" topLeftCell="A5" activePane="bottomLeft" state="frozen"/>
      <selection pane="bottomLeft" activeCell="A1" sqref="A1"/>
    </sheetView>
  </sheetViews>
  <sheetFormatPr baseColWidth="8" defaultRowHeight="15"/>
  <cols>
    <col width="20" customWidth="1" min="1" max="1"/>
    <col width="11" customWidth="1" min="2" max="2"/>
    <col width="30" customWidth="1" min="3" max="3"/>
    <col width="26" customWidth="1" min="4" max="4"/>
    <col width="11" customWidth="1" min="5" max="5"/>
    <col width="11" customWidth="1" min="6" max="6"/>
    <col width="14" customWidth="1" min="7" max="7"/>
    <col width="14" customWidth="1" min="8" max="8"/>
    <col width="13" customWidth="1" min="9" max="9"/>
    <col width="13" customWidth="1" min="10" max="10"/>
  </cols>
  <sheetData>
    <row r="1">
      <c r="A1" s="22" t="inlineStr">
        <is>
          <t>Source data — Season</t>
        </is>
      </c>
    </row>
    <row r="2">
      <c r="A2" s="2" t="inlineStr">
        <is>
          <t>Program brands, 6/1–8/31 (2026 vs 2025)   ·   Source: RDE_2026_Summer_of_Success_3.csv</t>
        </is>
      </c>
    </row>
    <row r="4" ht="30" customHeight="1">
      <c r="A4" s="6" t="inlineStr">
        <is>
          <t>Rep</t>
        </is>
      </c>
      <c r="B4" s="6" t="inlineStr">
        <is>
          <t>Segment</t>
        </is>
      </c>
      <c r="C4" s="6" t="inlineStr">
        <is>
          <t>Supplier</t>
        </is>
      </c>
      <c r="D4" s="6" t="inlineStr">
        <is>
          <t>Brand Family</t>
        </is>
      </c>
      <c r="E4" s="6" t="inlineStr">
        <is>
          <t>CE 2025</t>
        </is>
      </c>
      <c r="F4" s="6" t="inlineStr">
        <is>
          <t>CE 2026</t>
        </is>
      </c>
      <c r="G4" s="6" t="inlineStr">
        <is>
          <t>Revenue 2025</t>
        </is>
      </c>
      <c r="H4" s="6" t="inlineStr">
        <is>
          <t>Revenue 2026</t>
        </is>
      </c>
      <c r="I4" s="6" t="inlineStr">
        <is>
          <t>GP 2025</t>
        </is>
      </c>
      <c r="J4" s="6" t="inlineStr">
        <is>
          <t>GP 2026</t>
        </is>
      </c>
    </row>
    <row r="5">
      <c r="A5" s="50" t="inlineStr">
        <is>
          <t>Alex Rodriguez</t>
        </is>
      </c>
      <c r="B5" s="50" t="inlineStr">
        <is>
          <t>Amplify</t>
        </is>
      </c>
      <c r="C5" s="50" t="inlineStr">
        <is>
          <t>Sapporo</t>
        </is>
      </c>
      <c r="D5" s="50" t="inlineStr">
        <is>
          <t>Sapporo</t>
        </is>
      </c>
      <c r="E5" s="46" t="n">
        <v>578</v>
      </c>
      <c r="F5" s="46" t="n">
        <v>875</v>
      </c>
      <c r="G5" s="48" t="n">
        <v>18621</v>
      </c>
      <c r="H5" s="48" t="n">
        <v>28010.25</v>
      </c>
      <c r="I5" s="48" t="n">
        <v>4531.08</v>
      </c>
      <c r="J5" s="48" t="n">
        <v>6891.25</v>
      </c>
    </row>
    <row r="6">
      <c r="A6" s="50" t="inlineStr">
        <is>
          <t>Alisa Acciardi</t>
        </is>
      </c>
      <c r="B6" s="50" t="inlineStr">
        <is>
          <t>Amplify</t>
        </is>
      </c>
      <c r="C6" s="50" t="inlineStr">
        <is>
          <t>Cape May</t>
        </is>
      </c>
      <c r="D6" s="50" t="inlineStr">
        <is>
          <t>Cape May</t>
        </is>
      </c>
      <c r="E6" s="46" t="n">
        <v>8</v>
      </c>
      <c r="F6" s="46" t="n">
        <v>0</v>
      </c>
      <c r="G6" s="48" t="n">
        <v>316.5</v>
      </c>
      <c r="H6" s="48" t="n">
        <v>0</v>
      </c>
      <c r="I6" s="48" t="n">
        <v>108.67</v>
      </c>
      <c r="J6" s="48" t="n">
        <v>0</v>
      </c>
    </row>
    <row r="7">
      <c r="A7" s="50" t="inlineStr">
        <is>
          <t>Alisa Acciardi</t>
        </is>
      </c>
      <c r="B7" s="50" t="inlineStr">
        <is>
          <t>Amplify</t>
        </is>
      </c>
      <c r="C7" s="50" t="inlineStr">
        <is>
          <t>Mark Anthony</t>
        </is>
      </c>
      <c r="D7" s="50" t="inlineStr">
        <is>
          <t>Cayman Jack</t>
        </is>
      </c>
      <c r="E7" s="46" t="n">
        <v>5</v>
      </c>
      <c r="F7" s="46" t="n">
        <v>3</v>
      </c>
      <c r="G7" s="48" t="n">
        <v>155</v>
      </c>
      <c r="H7" s="48" t="n">
        <v>92.75</v>
      </c>
      <c r="I7" s="48" t="n">
        <v>37.65</v>
      </c>
      <c r="J7" s="48" t="n">
        <v>22.34</v>
      </c>
    </row>
    <row r="8">
      <c r="A8" s="50" t="inlineStr">
        <is>
          <t>Alisa Acciardi</t>
        </is>
      </c>
      <c r="B8" s="50" t="inlineStr">
        <is>
          <t>Amplify</t>
        </is>
      </c>
      <c r="C8" s="50" t="inlineStr">
        <is>
          <t>MolsonCoors Beverage Company</t>
        </is>
      </c>
      <c r="D8" s="50" t="inlineStr">
        <is>
          <t>Coors</t>
        </is>
      </c>
      <c r="E8" s="46" t="n">
        <v>41</v>
      </c>
      <c r="F8" s="46" t="n">
        <v>15</v>
      </c>
      <c r="G8" s="48" t="n">
        <v>788.6</v>
      </c>
      <c r="H8" s="48" t="n">
        <v>294.5</v>
      </c>
      <c r="I8" s="48" t="n">
        <v>181.25</v>
      </c>
      <c r="J8" s="48" t="n">
        <v>69.36</v>
      </c>
    </row>
    <row r="9">
      <c r="A9" s="50" t="inlineStr">
        <is>
          <t>Alisa Acciardi</t>
        </is>
      </c>
      <c r="B9" s="50" t="inlineStr">
        <is>
          <t>Amplify</t>
        </is>
      </c>
      <c r="C9" s="50" t="inlineStr">
        <is>
          <t>MolsonCoors Beverage Company</t>
        </is>
      </c>
      <c r="D9" s="50" t="inlineStr">
        <is>
          <t>Peroni</t>
        </is>
      </c>
      <c r="E9" s="46" t="n">
        <v>13</v>
      </c>
      <c r="F9" s="46" t="n">
        <v>10</v>
      </c>
      <c r="G9" s="48" t="n">
        <v>449.5</v>
      </c>
      <c r="H9" s="48" t="n">
        <v>316.35</v>
      </c>
      <c r="I9" s="48" t="n">
        <v>91.67</v>
      </c>
      <c r="J9" s="48" t="n">
        <v>65.23999999999999</v>
      </c>
    </row>
    <row r="10">
      <c r="A10" s="50" t="inlineStr">
        <is>
          <t>Alisa Acciardi</t>
        </is>
      </c>
      <c r="B10" s="50" t="inlineStr">
        <is>
          <t>Amplify</t>
        </is>
      </c>
      <c r="C10" s="50" t="inlineStr">
        <is>
          <t>Boston Beer Company</t>
        </is>
      </c>
      <c r="D10" s="50" t="inlineStr">
        <is>
          <t>Dogfish Head Beer</t>
        </is>
      </c>
      <c r="E10" s="46" t="n">
        <v>6</v>
      </c>
      <c r="F10" s="46" t="n">
        <v>2</v>
      </c>
      <c r="G10" s="48" t="n">
        <v>239.8</v>
      </c>
      <c r="H10" s="48" t="n">
        <v>73.59999999999999</v>
      </c>
      <c r="I10" s="48" t="n">
        <v>64.56999999999999</v>
      </c>
      <c r="J10" s="48" t="n">
        <v>23.84</v>
      </c>
    </row>
    <row r="11">
      <c r="A11" s="50" t="inlineStr">
        <is>
          <t>Alisa Acciardi</t>
        </is>
      </c>
      <c r="B11" s="50" t="inlineStr">
        <is>
          <t>Amplify</t>
        </is>
      </c>
      <c r="C11" s="50" t="inlineStr">
        <is>
          <t>Heineken USA</t>
        </is>
      </c>
      <c r="D11" s="50" t="inlineStr">
        <is>
          <t>Heineken 0.0</t>
        </is>
      </c>
      <c r="E11" s="46" t="n">
        <v>8</v>
      </c>
      <c r="F11" s="46" t="n">
        <v>3</v>
      </c>
      <c r="G11" s="48" t="n">
        <v>282.15</v>
      </c>
      <c r="H11" s="48" t="n">
        <v>94.05</v>
      </c>
      <c r="I11" s="48" t="n">
        <v>74.88</v>
      </c>
      <c r="J11" s="48" t="n">
        <v>24.96</v>
      </c>
    </row>
    <row r="12">
      <c r="A12" s="50" t="inlineStr">
        <is>
          <t>Alisa Acciardi</t>
        </is>
      </c>
      <c r="B12" s="50" t="inlineStr">
        <is>
          <t>Amplify</t>
        </is>
      </c>
      <c r="C12" s="50" t="inlineStr">
        <is>
          <t>Heineken USA</t>
        </is>
      </c>
      <c r="D12" s="50" t="inlineStr">
        <is>
          <t>Heineken Light</t>
        </is>
      </c>
      <c r="E12" s="46" t="n">
        <v>19</v>
      </c>
      <c r="F12" s="46" t="n">
        <v>12</v>
      </c>
      <c r="G12" s="48" t="n">
        <v>603.7</v>
      </c>
      <c r="H12" s="48" t="n">
        <v>379.15</v>
      </c>
      <c r="I12" s="48" t="n">
        <v>152.03</v>
      </c>
      <c r="J12" s="48" t="n">
        <v>93.87</v>
      </c>
    </row>
    <row r="13">
      <c r="A13" s="50" t="inlineStr">
        <is>
          <t>Alisa Acciardi</t>
        </is>
      </c>
      <c r="B13" s="50" t="inlineStr">
        <is>
          <t>Amplify</t>
        </is>
      </c>
      <c r="C13" s="50" t="inlineStr">
        <is>
          <t>Constellation Brands</t>
        </is>
      </c>
      <c r="D13" s="50" t="inlineStr">
        <is>
          <t>Corona Premier</t>
        </is>
      </c>
      <c r="E13" s="46" t="n">
        <v>7</v>
      </c>
      <c r="F13" s="46" t="n">
        <v>6</v>
      </c>
      <c r="G13" s="48" t="n">
        <v>212.25</v>
      </c>
      <c r="H13" s="48" t="n">
        <v>158.4</v>
      </c>
      <c r="I13" s="48" t="n">
        <v>38.36</v>
      </c>
      <c r="J13" s="48" t="n">
        <v>41.29</v>
      </c>
    </row>
    <row r="14">
      <c r="A14" s="50" t="inlineStr">
        <is>
          <t>Alisa Acciardi</t>
        </is>
      </c>
      <c r="B14" s="50" t="inlineStr">
        <is>
          <t>Amplify</t>
        </is>
      </c>
      <c r="C14" s="50" t="inlineStr">
        <is>
          <t>Constellation Brands</t>
        </is>
      </c>
      <c r="D14" s="50" t="inlineStr">
        <is>
          <t>Modelo Chelada</t>
        </is>
      </c>
      <c r="E14" s="46" t="n">
        <v>51</v>
      </c>
      <c r="F14" s="46" t="n">
        <v>31</v>
      </c>
      <c r="G14" s="48" t="n">
        <v>1571.4</v>
      </c>
      <c r="H14" s="48" t="n">
        <v>967.75</v>
      </c>
      <c r="I14" s="48" t="n">
        <v>373.99</v>
      </c>
      <c r="J14" s="48" t="n">
        <v>252.09</v>
      </c>
    </row>
    <row r="15">
      <c r="A15" s="50" t="inlineStr">
        <is>
          <t>Alisa Acciardi</t>
        </is>
      </c>
      <c r="B15" s="50" t="inlineStr">
        <is>
          <t>Amplify</t>
        </is>
      </c>
      <c r="C15" s="50" t="inlineStr">
        <is>
          <t>Constellation Brands</t>
        </is>
      </c>
      <c r="D15" s="50" t="inlineStr">
        <is>
          <t>Pacifico</t>
        </is>
      </c>
      <c r="E15" s="46" t="n">
        <v>34</v>
      </c>
      <c r="F15" s="46" t="n">
        <v>8</v>
      </c>
      <c r="G15" s="48" t="n">
        <v>1035</v>
      </c>
      <c r="H15" s="48" t="n">
        <v>233.8</v>
      </c>
      <c r="I15" s="48" t="n">
        <v>240.96</v>
      </c>
      <c r="J15" s="48" t="n">
        <v>54.57</v>
      </c>
    </row>
    <row r="16">
      <c r="A16" s="50" t="inlineStr">
        <is>
          <t>Alisa Acciardi</t>
        </is>
      </c>
      <c r="B16" s="50" t="inlineStr">
        <is>
          <t>Amplify</t>
        </is>
      </c>
      <c r="C16" s="50" t="inlineStr">
        <is>
          <t>Constellation Brands</t>
        </is>
      </c>
      <c r="D16" s="50" t="inlineStr">
        <is>
          <t>Victoria</t>
        </is>
      </c>
      <c r="E16" s="46" t="n">
        <v>5</v>
      </c>
      <c r="F16" s="46" t="n">
        <v>9</v>
      </c>
      <c r="G16" s="48" t="n">
        <v>151.35</v>
      </c>
      <c r="H16" s="48" t="n">
        <v>277</v>
      </c>
      <c r="I16" s="48" t="n">
        <v>33.29</v>
      </c>
      <c r="J16" s="48" t="n">
        <v>63.24</v>
      </c>
    </row>
    <row r="17">
      <c r="A17" s="50" t="inlineStr">
        <is>
          <t>Alisa Acciardi</t>
        </is>
      </c>
      <c r="B17" s="50" t="inlineStr">
        <is>
          <t>Amplify</t>
        </is>
      </c>
      <c r="C17" s="50" t="inlineStr">
        <is>
          <t>Sapporo</t>
        </is>
      </c>
      <c r="D17" s="50" t="inlineStr">
        <is>
          <t>Sapporo</t>
        </is>
      </c>
      <c r="E17" s="46" t="n">
        <v>1600</v>
      </c>
      <c r="F17" s="46" t="n">
        <v>1602</v>
      </c>
      <c r="G17" s="48" t="n">
        <v>44312</v>
      </c>
      <c r="H17" s="48" t="n">
        <v>44484</v>
      </c>
      <c r="I17" s="48" t="n">
        <v>10855.28</v>
      </c>
      <c r="J17" s="48" t="n">
        <v>10956.93</v>
      </c>
    </row>
    <row r="18">
      <c r="A18" s="50" t="inlineStr">
        <is>
          <t>Alisa Acciardi</t>
        </is>
      </c>
      <c r="B18" s="50" t="inlineStr">
        <is>
          <t>Amplify</t>
        </is>
      </c>
      <c r="C18" s="50" t="inlineStr">
        <is>
          <t>New Belgium Brewing Company</t>
        </is>
      </c>
      <c r="D18" s="50" t="inlineStr">
        <is>
          <t>Fat Tire Family</t>
        </is>
      </c>
      <c r="E18" s="46" t="n">
        <v>8</v>
      </c>
      <c r="F18" s="46" t="n">
        <v>0</v>
      </c>
      <c r="G18" s="48" t="n">
        <v>272.25</v>
      </c>
      <c r="H18" s="48" t="n">
        <v>0</v>
      </c>
      <c r="I18" s="48" t="n">
        <v>62.25</v>
      </c>
      <c r="J18" s="48" t="n">
        <v>0</v>
      </c>
    </row>
    <row r="19">
      <c r="A19" s="50" t="inlineStr">
        <is>
          <t>Alisa Acciardi</t>
        </is>
      </c>
      <c r="B19" s="50" t="inlineStr">
        <is>
          <t>Amplify</t>
        </is>
      </c>
      <c r="C19" s="50" t="inlineStr">
        <is>
          <t>New Belgium Brewing Company</t>
        </is>
      </c>
      <c r="D19" s="50" t="inlineStr">
        <is>
          <t>Voodoo Family</t>
        </is>
      </c>
      <c r="E19" s="46" t="n">
        <v>23</v>
      </c>
      <c r="F19" s="46" t="n">
        <v>19</v>
      </c>
      <c r="G19" s="48" t="n">
        <v>814.7</v>
      </c>
      <c r="H19" s="48" t="n">
        <v>677.5</v>
      </c>
      <c r="I19" s="48" t="n">
        <v>222.5</v>
      </c>
      <c r="J19" s="48" t="n">
        <v>192.62</v>
      </c>
    </row>
    <row r="20">
      <c r="A20" s="50" t="inlineStr">
        <is>
          <t>Alisa Acciardi</t>
        </is>
      </c>
      <c r="B20" s="50" t="inlineStr">
        <is>
          <t>Amplify</t>
        </is>
      </c>
      <c r="C20" s="50" t="inlineStr">
        <is>
          <t>DG Yuengling Inc</t>
        </is>
      </c>
      <c r="D20" s="50" t="inlineStr">
        <is>
          <t>Yuengling Flight</t>
        </is>
      </c>
      <c r="E20" s="46" t="n">
        <v>2</v>
      </c>
      <c r="F20" s="46" t="n">
        <v>2</v>
      </c>
      <c r="G20" s="48" t="n">
        <v>46.05</v>
      </c>
      <c r="H20" s="48" t="n">
        <v>42.2</v>
      </c>
      <c r="I20" s="48" t="n">
        <v>12.51</v>
      </c>
      <c r="J20" s="48" t="n">
        <v>10.05</v>
      </c>
    </row>
    <row r="21">
      <c r="A21" s="50" t="inlineStr">
        <is>
          <t>Alisa Acciardi</t>
        </is>
      </c>
      <c r="B21" s="50" t="inlineStr">
        <is>
          <t>Amplify</t>
        </is>
      </c>
      <c r="C21" s="50" t="inlineStr">
        <is>
          <t>DG Yuengling Inc</t>
        </is>
      </c>
      <c r="D21" s="50" t="inlineStr">
        <is>
          <t>Yuengling Light Lager</t>
        </is>
      </c>
      <c r="E21" s="46" t="n">
        <v>1</v>
      </c>
      <c r="F21" s="46" t="n">
        <v>2</v>
      </c>
      <c r="G21" s="48" t="n">
        <v>27</v>
      </c>
      <c r="H21" s="48" t="n">
        <v>42.2</v>
      </c>
      <c r="I21" s="48" t="n">
        <v>7.89</v>
      </c>
      <c r="J21" s="48" t="n">
        <v>10.02</v>
      </c>
    </row>
    <row r="22">
      <c r="A22" s="50" t="inlineStr">
        <is>
          <t>Alisa Acciardi</t>
        </is>
      </c>
      <c r="B22" s="50" t="inlineStr">
        <is>
          <t>Qualifier</t>
        </is>
      </c>
      <c r="C22" s="50" t="inlineStr">
        <is>
          <t>MolsonCoors Beverage Company</t>
        </is>
      </c>
      <c r="D22" s="50" t="inlineStr">
        <is>
          <t>Blue Moon</t>
        </is>
      </c>
      <c r="E22" s="46" t="n">
        <v>25</v>
      </c>
      <c r="F22" s="46" t="n">
        <v>26</v>
      </c>
      <c r="G22" s="48" t="n">
        <v>815.95</v>
      </c>
      <c r="H22" s="48" t="n">
        <v>849.55</v>
      </c>
      <c r="I22" s="48" t="n">
        <v>226.34</v>
      </c>
      <c r="J22" s="48" t="n">
        <v>237.51</v>
      </c>
    </row>
    <row r="23">
      <c r="A23" s="50" t="inlineStr">
        <is>
          <t>Alisa Acciardi</t>
        </is>
      </c>
      <c r="B23" s="50" t="inlineStr">
        <is>
          <t>Qualifier</t>
        </is>
      </c>
      <c r="C23" s="50" t="inlineStr">
        <is>
          <t>MolsonCoors Beverage Company</t>
        </is>
      </c>
      <c r="D23" s="50" t="inlineStr">
        <is>
          <t>Coors Light</t>
        </is>
      </c>
      <c r="E23" s="46" t="n">
        <v>262</v>
      </c>
      <c r="F23" s="46" t="n">
        <v>140</v>
      </c>
      <c r="G23" s="48" t="n">
        <v>5006.7</v>
      </c>
      <c r="H23" s="48" t="n">
        <v>2728.55</v>
      </c>
      <c r="I23" s="48" t="n">
        <v>1121.19</v>
      </c>
      <c r="J23" s="48" t="n">
        <v>615.46</v>
      </c>
    </row>
    <row r="24">
      <c r="A24" s="50" t="inlineStr">
        <is>
          <t>Alisa Acciardi</t>
        </is>
      </c>
      <c r="B24" s="50" t="inlineStr">
        <is>
          <t>Qualifier</t>
        </is>
      </c>
      <c r="C24" s="50" t="inlineStr">
        <is>
          <t>MolsonCoors Beverage Company</t>
        </is>
      </c>
      <c r="D24" s="50" t="inlineStr">
        <is>
          <t>Lite</t>
        </is>
      </c>
      <c r="E24" s="46" t="n">
        <v>204</v>
      </c>
      <c r="F24" s="46" t="n">
        <v>182</v>
      </c>
      <c r="G24" s="48" t="n">
        <v>4052.05</v>
      </c>
      <c r="H24" s="48" t="n">
        <v>3771.75</v>
      </c>
      <c r="I24" s="48" t="n">
        <v>857.62</v>
      </c>
      <c r="J24" s="48" t="n">
        <v>817.01</v>
      </c>
    </row>
    <row r="25">
      <c r="A25" s="50" t="inlineStr">
        <is>
          <t>Alisa Acciardi</t>
        </is>
      </c>
      <c r="B25" s="50" t="inlineStr">
        <is>
          <t>Qualifier</t>
        </is>
      </c>
      <c r="C25" s="50" t="inlineStr">
        <is>
          <t>Heineken USA</t>
        </is>
      </c>
      <c r="D25" s="50" t="inlineStr">
        <is>
          <t>Heineken USA</t>
        </is>
      </c>
      <c r="E25" s="46" t="n">
        <v>158</v>
      </c>
      <c r="F25" s="46" t="n">
        <v>76</v>
      </c>
      <c r="G25" s="48" t="n">
        <v>4908.1</v>
      </c>
      <c r="H25" s="48" t="n">
        <v>2373.15</v>
      </c>
      <c r="I25" s="48" t="n">
        <v>1233.85</v>
      </c>
      <c r="J25" s="48" t="n">
        <v>578.14</v>
      </c>
    </row>
    <row r="26">
      <c r="A26" s="50" t="inlineStr">
        <is>
          <t>Alisa Acciardi</t>
        </is>
      </c>
      <c r="B26" s="50" t="inlineStr">
        <is>
          <t>Qualifier</t>
        </is>
      </c>
      <c r="C26" s="50" t="inlineStr">
        <is>
          <t>Constellation Brands</t>
        </is>
      </c>
      <c r="D26" s="50" t="inlineStr">
        <is>
          <t>Corona Extra</t>
        </is>
      </c>
      <c r="E26" s="46" t="n">
        <v>191</v>
      </c>
      <c r="F26" s="46" t="n">
        <v>155</v>
      </c>
      <c r="G26" s="48" t="n">
        <v>6315.55</v>
      </c>
      <c r="H26" s="48" t="n">
        <v>5109.4</v>
      </c>
      <c r="I26" s="48" t="n">
        <v>1693.17</v>
      </c>
      <c r="J26" s="48" t="n">
        <v>1328.52</v>
      </c>
    </row>
    <row r="27">
      <c r="A27" s="50" t="inlineStr">
        <is>
          <t>Alisa Acciardi</t>
        </is>
      </c>
      <c r="B27" s="50" t="inlineStr">
        <is>
          <t>Qualifier</t>
        </is>
      </c>
      <c r="C27" s="50" t="inlineStr">
        <is>
          <t>Constellation Brands</t>
        </is>
      </c>
      <c r="D27" s="50" t="inlineStr">
        <is>
          <t>Modelo Especial</t>
        </is>
      </c>
      <c r="E27" s="46" t="n">
        <v>263</v>
      </c>
      <c r="F27" s="46" t="n">
        <v>275</v>
      </c>
      <c r="G27" s="48" t="n">
        <v>8182.2</v>
      </c>
      <c r="H27" s="48" t="n">
        <v>8501.25</v>
      </c>
      <c r="I27" s="48" t="n">
        <v>1989.47</v>
      </c>
      <c r="J27" s="48" t="n">
        <v>2095.46</v>
      </c>
    </row>
    <row r="28">
      <c r="A28" s="50" t="inlineStr">
        <is>
          <t>Alisa Acciardi</t>
        </is>
      </c>
      <c r="B28" s="50" t="inlineStr">
        <is>
          <t>Qualifier</t>
        </is>
      </c>
      <c r="C28" s="50" t="inlineStr">
        <is>
          <t>Boston Beer Company</t>
        </is>
      </c>
      <c r="D28" s="50" t="inlineStr">
        <is>
          <t>Twisted Tea</t>
        </is>
      </c>
      <c r="E28" s="46" t="n">
        <v>33</v>
      </c>
      <c r="F28" s="46" t="n">
        <v>24</v>
      </c>
      <c r="G28" s="48" t="n">
        <v>1008</v>
      </c>
      <c r="H28" s="48" t="n">
        <v>735.5</v>
      </c>
      <c r="I28" s="48" t="n">
        <v>290.65</v>
      </c>
      <c r="J28" s="48" t="n">
        <v>209.4</v>
      </c>
    </row>
    <row r="29">
      <c r="A29" s="50" t="inlineStr">
        <is>
          <t>Alisa Acciardi</t>
        </is>
      </c>
      <c r="B29" s="50" t="inlineStr">
        <is>
          <t>Qualifier</t>
        </is>
      </c>
      <c r="C29" s="50" t="inlineStr">
        <is>
          <t>Mark Anthony</t>
        </is>
      </c>
      <c r="D29" s="50" t="inlineStr">
        <is>
          <t>White Claw</t>
        </is>
      </c>
      <c r="E29" s="46" t="n">
        <v>89</v>
      </c>
      <c r="F29" s="46" t="n">
        <v>83</v>
      </c>
      <c r="G29" s="48" t="n">
        <v>2924.9</v>
      </c>
      <c r="H29" s="48" t="n">
        <v>2803.2</v>
      </c>
      <c r="I29" s="48" t="n">
        <v>667.27</v>
      </c>
      <c r="J29" s="48" t="n">
        <v>648.41</v>
      </c>
    </row>
    <row r="30">
      <c r="A30" s="50" t="inlineStr">
        <is>
          <t>Alisa Acciardi</t>
        </is>
      </c>
      <c r="B30" s="50" t="inlineStr">
        <is>
          <t>Qualifier</t>
        </is>
      </c>
      <c r="C30" s="50" t="inlineStr">
        <is>
          <t>DG Yuengling Inc</t>
        </is>
      </c>
      <c r="D30" s="50" t="inlineStr">
        <is>
          <t>Yuengling Lager</t>
        </is>
      </c>
      <c r="E30" s="46" t="n">
        <v>19</v>
      </c>
      <c r="F30" s="46" t="n">
        <v>22</v>
      </c>
      <c r="G30" s="48" t="n">
        <v>362.5</v>
      </c>
      <c r="H30" s="48" t="n">
        <v>487.4</v>
      </c>
      <c r="I30" s="48" t="n">
        <v>114.43</v>
      </c>
      <c r="J30" s="48" t="n">
        <v>154.84</v>
      </c>
    </row>
    <row r="31">
      <c r="A31" s="50" t="inlineStr">
        <is>
          <t>Allison Scott</t>
        </is>
      </c>
      <c r="B31" s="50" t="inlineStr">
        <is>
          <t>Amplify</t>
        </is>
      </c>
      <c r="C31" s="50" t="inlineStr">
        <is>
          <t>Cape May</t>
        </is>
      </c>
      <c r="D31" s="50" t="inlineStr">
        <is>
          <t>Cape May</t>
        </is>
      </c>
      <c r="E31" s="46" t="n">
        <v>334</v>
      </c>
      <c r="F31" s="46" t="n">
        <v>336</v>
      </c>
      <c r="G31" s="48" t="n">
        <v>12358</v>
      </c>
      <c r="H31" s="48" t="n">
        <v>12711.5</v>
      </c>
      <c r="I31" s="48" t="n">
        <v>3133.04</v>
      </c>
      <c r="J31" s="48" t="n">
        <v>3594.8</v>
      </c>
    </row>
    <row r="32">
      <c r="A32" s="50" t="inlineStr">
        <is>
          <t>Allison Scott</t>
        </is>
      </c>
      <c r="B32" s="50" t="inlineStr">
        <is>
          <t>Amplify</t>
        </is>
      </c>
      <c r="C32" s="50" t="inlineStr">
        <is>
          <t>Mark Anthony</t>
        </is>
      </c>
      <c r="D32" s="50" t="inlineStr">
        <is>
          <t>Cayman Jack</t>
        </is>
      </c>
      <c r="E32" s="46" t="n">
        <v>0</v>
      </c>
      <c r="F32" s="46" t="n">
        <v>8</v>
      </c>
      <c r="G32" s="48" t="n">
        <v>0</v>
      </c>
      <c r="H32" s="48" t="n">
        <v>294.5</v>
      </c>
      <c r="I32" s="48" t="n">
        <v>0</v>
      </c>
      <c r="J32" s="48" t="n">
        <v>83.43000000000001</v>
      </c>
    </row>
    <row r="33">
      <c r="A33" s="50" t="inlineStr">
        <is>
          <t>Allison Scott</t>
        </is>
      </c>
      <c r="B33" s="50" t="inlineStr">
        <is>
          <t>Amplify</t>
        </is>
      </c>
      <c r="C33" s="50" t="inlineStr">
        <is>
          <t>MolsonCoors Beverage Company</t>
        </is>
      </c>
      <c r="D33" s="50" t="inlineStr">
        <is>
          <t>Coors</t>
        </is>
      </c>
      <c r="E33" s="46" t="n">
        <v>194</v>
      </c>
      <c r="F33" s="46" t="n">
        <v>212</v>
      </c>
      <c r="G33" s="48" t="n">
        <v>3984.9</v>
      </c>
      <c r="H33" s="48" t="n">
        <v>4498.3</v>
      </c>
      <c r="I33" s="48" t="n">
        <v>1042.72</v>
      </c>
      <c r="J33" s="48" t="n">
        <v>1169.94</v>
      </c>
    </row>
    <row r="34">
      <c r="A34" s="50" t="inlineStr">
        <is>
          <t>Allison Scott</t>
        </is>
      </c>
      <c r="B34" s="50" t="inlineStr">
        <is>
          <t>Amplify</t>
        </is>
      </c>
      <c r="C34" s="50" t="inlineStr">
        <is>
          <t>MolsonCoors Beverage Company</t>
        </is>
      </c>
      <c r="D34" s="50" t="inlineStr">
        <is>
          <t>Fever Tree</t>
        </is>
      </c>
      <c r="E34" s="46" t="n">
        <v>14</v>
      </c>
      <c r="F34" s="46" t="n">
        <v>112</v>
      </c>
      <c r="G34" s="48" t="n">
        <v>617</v>
      </c>
      <c r="H34" s="48" t="n">
        <v>5007.5</v>
      </c>
      <c r="I34" s="48" t="n">
        <v>193.76</v>
      </c>
      <c r="J34" s="48" t="n">
        <v>1574.4</v>
      </c>
    </row>
    <row r="35">
      <c r="A35" s="50" t="inlineStr">
        <is>
          <t>Allison Scott</t>
        </is>
      </c>
      <c r="B35" s="50" t="inlineStr">
        <is>
          <t>Amplify</t>
        </is>
      </c>
      <c r="C35" s="50" t="inlineStr">
        <is>
          <t>MolsonCoors Beverage Company</t>
        </is>
      </c>
      <c r="D35" s="50" t="inlineStr">
        <is>
          <t>Peroni</t>
        </is>
      </c>
      <c r="E35" s="46" t="n">
        <v>523</v>
      </c>
      <c r="F35" s="46" t="n">
        <v>802</v>
      </c>
      <c r="G35" s="48" t="n">
        <v>18240.5</v>
      </c>
      <c r="H35" s="48" t="n">
        <v>26924.65</v>
      </c>
      <c r="I35" s="48" t="n">
        <v>4522.41</v>
      </c>
      <c r="J35" s="48" t="n">
        <v>6568.26</v>
      </c>
    </row>
    <row r="36">
      <c r="A36" s="50" t="inlineStr">
        <is>
          <t>Allison Scott</t>
        </is>
      </c>
      <c r="B36" s="50" t="inlineStr">
        <is>
          <t>Amplify</t>
        </is>
      </c>
      <c r="C36" s="50" t="inlineStr">
        <is>
          <t>Boston Beer Company</t>
        </is>
      </c>
      <c r="D36" s="50" t="inlineStr">
        <is>
          <t>Dogfish Head Beer</t>
        </is>
      </c>
      <c r="E36" s="46" t="n">
        <v>465</v>
      </c>
      <c r="F36" s="46" t="n">
        <v>422</v>
      </c>
      <c r="G36" s="48" t="n">
        <v>15704</v>
      </c>
      <c r="H36" s="48" t="n">
        <v>14600.2</v>
      </c>
      <c r="I36" s="48" t="n">
        <v>4359.66</v>
      </c>
      <c r="J36" s="48" t="n">
        <v>4007.47</v>
      </c>
    </row>
    <row r="37">
      <c r="A37" s="50" t="inlineStr">
        <is>
          <t>Allison Scott</t>
        </is>
      </c>
      <c r="B37" s="50" t="inlineStr">
        <is>
          <t>Amplify</t>
        </is>
      </c>
      <c r="C37" s="50" t="inlineStr">
        <is>
          <t>Boston Beer Company</t>
        </is>
      </c>
      <c r="D37" s="50" t="inlineStr">
        <is>
          <t>Dogfish Head Spirits</t>
        </is>
      </c>
      <c r="E37" s="46" t="n">
        <v>7</v>
      </c>
      <c r="F37" s="46" t="n">
        <v>2</v>
      </c>
      <c r="G37" s="48" t="n">
        <v>440</v>
      </c>
      <c r="H37" s="48" t="n">
        <v>96</v>
      </c>
      <c r="I37" s="48" t="n">
        <v>185.41</v>
      </c>
      <c r="J37" s="48" t="n">
        <v>37.16</v>
      </c>
    </row>
    <row r="38">
      <c r="A38" s="50" t="inlineStr">
        <is>
          <t>Allison Scott</t>
        </is>
      </c>
      <c r="B38" s="50" t="inlineStr">
        <is>
          <t>Amplify</t>
        </is>
      </c>
      <c r="C38" s="50" t="inlineStr">
        <is>
          <t>Heineken USA</t>
        </is>
      </c>
      <c r="D38" s="50" t="inlineStr">
        <is>
          <t>Heineken 0.0</t>
        </is>
      </c>
      <c r="E38" s="46" t="n">
        <v>238</v>
      </c>
      <c r="F38" s="46" t="n">
        <v>261</v>
      </c>
      <c r="G38" s="48" t="n">
        <v>8612.299999999999</v>
      </c>
      <c r="H38" s="48" t="n">
        <v>9353.75</v>
      </c>
      <c r="I38" s="48" t="n">
        <v>2734.83</v>
      </c>
      <c r="J38" s="48" t="n">
        <v>2925.52</v>
      </c>
    </row>
    <row r="39">
      <c r="A39" s="50" t="inlineStr">
        <is>
          <t>Allison Scott</t>
        </is>
      </c>
      <c r="B39" s="50" t="inlineStr">
        <is>
          <t>Amplify</t>
        </is>
      </c>
      <c r="C39" s="50" t="inlineStr">
        <is>
          <t>Heineken USA</t>
        </is>
      </c>
      <c r="D39" s="50" t="inlineStr">
        <is>
          <t>Heineken Light</t>
        </is>
      </c>
      <c r="E39" s="46" t="n">
        <v>184</v>
      </c>
      <c r="F39" s="46" t="n">
        <v>153</v>
      </c>
      <c r="G39" s="48" t="n">
        <v>6161.25</v>
      </c>
      <c r="H39" s="48" t="n">
        <v>5088.8</v>
      </c>
      <c r="I39" s="48" t="n">
        <v>1784.5</v>
      </c>
      <c r="J39" s="48" t="n">
        <v>1447.61</v>
      </c>
    </row>
    <row r="40">
      <c r="A40" s="50" t="inlineStr">
        <is>
          <t>Allison Scott</t>
        </is>
      </c>
      <c r="B40" s="50" t="inlineStr">
        <is>
          <t>Amplify</t>
        </is>
      </c>
      <c r="C40" s="50" t="inlineStr">
        <is>
          <t>Constellation Brands</t>
        </is>
      </c>
      <c r="D40" s="50" t="inlineStr">
        <is>
          <t>Corona Premier</t>
        </is>
      </c>
      <c r="E40" s="46" t="n">
        <v>140</v>
      </c>
      <c r="F40" s="46" t="n">
        <v>86</v>
      </c>
      <c r="G40" s="48" t="n">
        <v>4013.5</v>
      </c>
      <c r="H40" s="48" t="n">
        <v>2501.3</v>
      </c>
      <c r="I40" s="48" t="n">
        <v>1009</v>
      </c>
      <c r="J40" s="48" t="n">
        <v>637.88</v>
      </c>
    </row>
    <row r="41">
      <c r="A41" s="50" t="inlineStr">
        <is>
          <t>Allison Scott</t>
        </is>
      </c>
      <c r="B41" s="50" t="inlineStr">
        <is>
          <t>Amplify</t>
        </is>
      </c>
      <c r="C41" s="50" t="inlineStr">
        <is>
          <t>Constellation Brands</t>
        </is>
      </c>
      <c r="D41" s="50" t="inlineStr">
        <is>
          <t>Modelo Chelada</t>
        </is>
      </c>
      <c r="E41" s="46" t="n">
        <v>3</v>
      </c>
      <c r="F41" s="46" t="n">
        <v>7</v>
      </c>
      <c r="G41" s="48" t="n">
        <v>99</v>
      </c>
      <c r="H41" s="48" t="n">
        <v>231</v>
      </c>
      <c r="I41" s="48" t="n">
        <v>27.42</v>
      </c>
      <c r="J41" s="48" t="n">
        <v>62.09</v>
      </c>
    </row>
    <row r="42">
      <c r="A42" s="50" t="inlineStr">
        <is>
          <t>Allison Scott</t>
        </is>
      </c>
      <c r="B42" s="50" t="inlineStr">
        <is>
          <t>Amplify</t>
        </is>
      </c>
      <c r="C42" s="50" t="inlineStr">
        <is>
          <t>Constellation Brands</t>
        </is>
      </c>
      <c r="D42" s="50" t="inlineStr">
        <is>
          <t>Pacifico</t>
        </is>
      </c>
      <c r="E42" s="46" t="n">
        <v>130</v>
      </c>
      <c r="F42" s="46" t="n">
        <v>155</v>
      </c>
      <c r="G42" s="48" t="n">
        <v>3964.5</v>
      </c>
      <c r="H42" s="48" t="n">
        <v>4885</v>
      </c>
      <c r="I42" s="48" t="n">
        <v>1046.86</v>
      </c>
      <c r="J42" s="48" t="n">
        <v>1258.31</v>
      </c>
    </row>
    <row r="43">
      <c r="A43" s="50" t="inlineStr">
        <is>
          <t>Allison Scott</t>
        </is>
      </c>
      <c r="B43" s="50" t="inlineStr">
        <is>
          <t>Amplify</t>
        </is>
      </c>
      <c r="C43" s="50" t="inlineStr">
        <is>
          <t>Constellation Brands</t>
        </is>
      </c>
      <c r="D43" s="50" t="inlineStr">
        <is>
          <t>Victoria</t>
        </is>
      </c>
      <c r="E43" s="46" t="n">
        <v>81</v>
      </c>
      <c r="F43" s="46" t="n">
        <v>46</v>
      </c>
      <c r="G43" s="48" t="n">
        <v>2539.2</v>
      </c>
      <c r="H43" s="48" t="n">
        <v>1450.85</v>
      </c>
      <c r="I43" s="48" t="n">
        <v>586.7</v>
      </c>
      <c r="J43" s="48" t="n">
        <v>338.71</v>
      </c>
    </row>
    <row r="44">
      <c r="A44" s="50" t="inlineStr">
        <is>
          <t>Allison Scott</t>
        </is>
      </c>
      <c r="B44" s="50" t="inlineStr">
        <is>
          <t>Amplify</t>
        </is>
      </c>
      <c r="C44" s="50" t="inlineStr">
        <is>
          <t>Sapporo</t>
        </is>
      </c>
      <c r="D44" s="50" t="inlineStr">
        <is>
          <t>Sapporo</t>
        </is>
      </c>
      <c r="E44" s="46" t="n">
        <v>169</v>
      </c>
      <c r="F44" s="46" t="n">
        <v>260</v>
      </c>
      <c r="G44" s="48" t="n">
        <v>4304</v>
      </c>
      <c r="H44" s="48" t="n">
        <v>7271</v>
      </c>
      <c r="I44" s="48" t="n">
        <v>1141.14</v>
      </c>
      <c r="J44" s="48" t="n">
        <v>1892.39</v>
      </c>
    </row>
    <row r="45">
      <c r="A45" s="50" t="inlineStr">
        <is>
          <t>Allison Scott</t>
        </is>
      </c>
      <c r="B45" s="50" t="inlineStr">
        <is>
          <t>Amplify</t>
        </is>
      </c>
      <c r="C45" s="50" t="inlineStr">
        <is>
          <t>Bell's</t>
        </is>
      </c>
      <c r="D45" s="50" t="inlineStr">
        <is>
          <t>Bell's</t>
        </is>
      </c>
      <c r="E45" s="46" t="n">
        <v>1</v>
      </c>
      <c r="F45" s="46" t="n">
        <v>0</v>
      </c>
      <c r="G45" s="48" t="n">
        <v>41.1</v>
      </c>
      <c r="H45" s="48" t="n">
        <v>0</v>
      </c>
      <c r="I45" s="48" t="n">
        <v>16.64</v>
      </c>
      <c r="J45" s="48" t="n">
        <v>0</v>
      </c>
    </row>
    <row r="46">
      <c r="A46" s="50" t="inlineStr">
        <is>
          <t>Allison Scott</t>
        </is>
      </c>
      <c r="B46" s="50" t="inlineStr">
        <is>
          <t>Amplify</t>
        </is>
      </c>
      <c r="C46" s="50" t="inlineStr">
        <is>
          <t>New Belgium Brewing Company</t>
        </is>
      </c>
      <c r="D46" s="50" t="inlineStr">
        <is>
          <t>Fat Tire Family</t>
        </is>
      </c>
      <c r="E46" s="46" t="n">
        <v>85</v>
      </c>
      <c r="F46" s="46" t="n">
        <v>137</v>
      </c>
      <c r="G46" s="48" t="n">
        <v>3108</v>
      </c>
      <c r="H46" s="48" t="n">
        <v>3917.75</v>
      </c>
      <c r="I46" s="48" t="n">
        <v>735.54</v>
      </c>
      <c r="J46" s="48" t="n">
        <v>1112.69</v>
      </c>
    </row>
    <row r="47">
      <c r="A47" s="50" t="inlineStr">
        <is>
          <t>Allison Scott</t>
        </is>
      </c>
      <c r="B47" s="50" t="inlineStr">
        <is>
          <t>Amplify</t>
        </is>
      </c>
      <c r="C47" s="50" t="inlineStr">
        <is>
          <t>New Belgium Brewing Company</t>
        </is>
      </c>
      <c r="D47" s="50" t="inlineStr">
        <is>
          <t>Kirin Ichiban</t>
        </is>
      </c>
      <c r="E47" s="46" t="n">
        <v>15</v>
      </c>
      <c r="F47" s="46" t="n">
        <v>7</v>
      </c>
      <c r="G47" s="48" t="n">
        <v>346</v>
      </c>
      <c r="H47" s="48" t="n">
        <v>170</v>
      </c>
      <c r="I47" s="48" t="n">
        <v>93.48</v>
      </c>
      <c r="J47" s="48" t="n">
        <v>49.24</v>
      </c>
    </row>
    <row r="48">
      <c r="A48" s="50" t="inlineStr">
        <is>
          <t>Allison Scott</t>
        </is>
      </c>
      <c r="B48" s="50" t="inlineStr">
        <is>
          <t>Amplify</t>
        </is>
      </c>
      <c r="C48" s="50" t="inlineStr">
        <is>
          <t>New Belgium Brewing Company</t>
        </is>
      </c>
      <c r="D48" s="50" t="inlineStr">
        <is>
          <t>Voodoo Family</t>
        </is>
      </c>
      <c r="E48" s="46" t="n">
        <v>328</v>
      </c>
      <c r="F48" s="46" t="n">
        <v>451</v>
      </c>
      <c r="G48" s="48" t="n">
        <v>12065.6</v>
      </c>
      <c r="H48" s="48" t="n">
        <v>16116.5</v>
      </c>
      <c r="I48" s="48" t="n">
        <v>3183.65</v>
      </c>
      <c r="J48" s="48" t="n">
        <v>4266.67</v>
      </c>
    </row>
    <row r="49">
      <c r="A49" s="50" t="inlineStr">
        <is>
          <t>Allison Scott</t>
        </is>
      </c>
      <c r="B49" s="50" t="inlineStr">
        <is>
          <t>Amplify</t>
        </is>
      </c>
      <c r="C49" s="50" t="inlineStr">
        <is>
          <t>DG Yuengling Inc</t>
        </is>
      </c>
      <c r="D49" s="50" t="inlineStr">
        <is>
          <t>Yuengling Flight</t>
        </is>
      </c>
      <c r="E49" s="46" t="n">
        <v>13</v>
      </c>
      <c r="F49" s="46" t="n">
        <v>3</v>
      </c>
      <c r="G49" s="48" t="n">
        <v>326.5</v>
      </c>
      <c r="H49" s="48" t="n">
        <v>67.65000000000001</v>
      </c>
      <c r="I49" s="48" t="n">
        <v>72.92</v>
      </c>
      <c r="J49" s="48" t="n">
        <v>17.19</v>
      </c>
    </row>
    <row r="50">
      <c r="A50" s="50" t="inlineStr">
        <is>
          <t>Allison Scott</t>
        </is>
      </c>
      <c r="B50" s="50" t="inlineStr">
        <is>
          <t>Qualifier</t>
        </is>
      </c>
      <c r="C50" s="50" t="inlineStr">
        <is>
          <t>MolsonCoors Beverage Company</t>
        </is>
      </c>
      <c r="D50" s="50" t="inlineStr">
        <is>
          <t>Blue Moon</t>
        </is>
      </c>
      <c r="E50" s="46" t="n">
        <v>2833</v>
      </c>
      <c r="F50" s="46" t="n">
        <v>2981</v>
      </c>
      <c r="G50" s="48" t="n">
        <v>85409</v>
      </c>
      <c r="H50" s="48" t="n">
        <v>88923</v>
      </c>
      <c r="I50" s="48" t="n">
        <v>29233.02</v>
      </c>
      <c r="J50" s="48" t="n">
        <v>30539.53</v>
      </c>
    </row>
    <row r="51">
      <c r="A51" s="50" t="inlineStr">
        <is>
          <t>Allison Scott</t>
        </is>
      </c>
      <c r="B51" s="50" t="inlineStr">
        <is>
          <t>Qualifier</t>
        </is>
      </c>
      <c r="C51" s="50" t="inlineStr">
        <is>
          <t>MolsonCoors Beverage Company</t>
        </is>
      </c>
      <c r="D51" s="50" t="inlineStr">
        <is>
          <t>Coors Light</t>
        </is>
      </c>
      <c r="E51" s="46" t="n">
        <v>4931</v>
      </c>
      <c r="F51" s="46" t="n">
        <v>4797</v>
      </c>
      <c r="G51" s="48" t="n">
        <v>99792.75</v>
      </c>
      <c r="H51" s="48" t="n">
        <v>99441.89999999999</v>
      </c>
      <c r="I51" s="48" t="n">
        <v>26327.45</v>
      </c>
      <c r="J51" s="48" t="n">
        <v>26202.81</v>
      </c>
    </row>
    <row r="52">
      <c r="A52" s="50" t="inlineStr">
        <is>
          <t>Allison Scott</t>
        </is>
      </c>
      <c r="B52" s="50" t="inlineStr">
        <is>
          <t>Qualifier</t>
        </is>
      </c>
      <c r="C52" s="50" t="inlineStr">
        <is>
          <t>MolsonCoors Beverage Company</t>
        </is>
      </c>
      <c r="D52" s="50" t="inlineStr">
        <is>
          <t>Lite</t>
        </is>
      </c>
      <c r="E52" s="46" t="n">
        <v>5696</v>
      </c>
      <c r="F52" s="46" t="n">
        <v>5820</v>
      </c>
      <c r="G52" s="48" t="n">
        <v>115559.1</v>
      </c>
      <c r="H52" s="48" t="n">
        <v>121325.2</v>
      </c>
      <c r="I52" s="48" t="n">
        <v>26793.97</v>
      </c>
      <c r="J52" s="48" t="n">
        <v>27820.99</v>
      </c>
    </row>
    <row r="53">
      <c r="A53" s="50" t="inlineStr">
        <is>
          <t>Allison Scott</t>
        </is>
      </c>
      <c r="B53" s="50" t="inlineStr">
        <is>
          <t>Qualifier</t>
        </is>
      </c>
      <c r="C53" s="50" t="inlineStr">
        <is>
          <t>Heineken USA</t>
        </is>
      </c>
      <c r="D53" s="50" t="inlineStr">
        <is>
          <t>Heineken USA</t>
        </is>
      </c>
      <c r="E53" s="46" t="n">
        <v>2039</v>
      </c>
      <c r="F53" s="46" t="n">
        <v>1884</v>
      </c>
      <c r="G53" s="48" t="n">
        <v>69277.3</v>
      </c>
      <c r="H53" s="48" t="n">
        <v>64084.55</v>
      </c>
      <c r="I53" s="48" t="n">
        <v>21363.88</v>
      </c>
      <c r="J53" s="48" t="n">
        <v>19935.63</v>
      </c>
    </row>
    <row r="54">
      <c r="A54" s="50" t="inlineStr">
        <is>
          <t>Allison Scott</t>
        </is>
      </c>
      <c r="B54" s="50" t="inlineStr">
        <is>
          <t>Qualifier</t>
        </is>
      </c>
      <c r="C54" s="50" t="inlineStr">
        <is>
          <t>Constellation Brands</t>
        </is>
      </c>
      <c r="D54" s="50" t="inlineStr">
        <is>
          <t>Corona Extra</t>
        </is>
      </c>
      <c r="E54" s="46" t="n">
        <v>4603</v>
      </c>
      <c r="F54" s="46" t="n">
        <v>4742</v>
      </c>
      <c r="G54" s="48" t="n">
        <v>156188.75</v>
      </c>
      <c r="H54" s="48" t="n">
        <v>160728.15</v>
      </c>
      <c r="I54" s="48" t="n">
        <v>44623.91</v>
      </c>
      <c r="J54" s="48" t="n">
        <v>46325.06</v>
      </c>
    </row>
    <row r="55">
      <c r="A55" s="50" t="inlineStr">
        <is>
          <t>Allison Scott</t>
        </is>
      </c>
      <c r="B55" s="50" t="inlineStr">
        <is>
          <t>Qualifier</t>
        </is>
      </c>
      <c r="C55" s="50" t="inlineStr">
        <is>
          <t>Constellation Brands</t>
        </is>
      </c>
      <c r="D55" s="50" t="inlineStr">
        <is>
          <t>Modelo Especial</t>
        </is>
      </c>
      <c r="E55" s="46" t="n">
        <v>2767</v>
      </c>
      <c r="F55" s="46" t="n">
        <v>3088</v>
      </c>
      <c r="G55" s="48" t="n">
        <v>81775.85000000001</v>
      </c>
      <c r="H55" s="48" t="n">
        <v>90964</v>
      </c>
      <c r="I55" s="48" t="n">
        <v>19986.11</v>
      </c>
      <c r="J55" s="48" t="n">
        <v>24294.23</v>
      </c>
    </row>
    <row r="56">
      <c r="A56" s="50" t="inlineStr">
        <is>
          <t>Allison Scott</t>
        </is>
      </c>
      <c r="B56" s="50" t="inlineStr">
        <is>
          <t>Qualifier</t>
        </is>
      </c>
      <c r="C56" s="50" t="inlineStr">
        <is>
          <t>Boston Beer Company</t>
        </is>
      </c>
      <c r="D56" s="50" t="inlineStr">
        <is>
          <t>Truly</t>
        </is>
      </c>
      <c r="E56" s="46" t="n">
        <v>10</v>
      </c>
      <c r="F56" s="46" t="n">
        <v>58</v>
      </c>
      <c r="G56" s="48" t="n">
        <v>238</v>
      </c>
      <c r="H56" s="48" t="n">
        <v>1628</v>
      </c>
      <c r="I56" s="48" t="n">
        <v>42.15</v>
      </c>
      <c r="J56" s="48" t="n">
        <v>271.98</v>
      </c>
    </row>
    <row r="57">
      <c r="A57" s="50" t="inlineStr">
        <is>
          <t>Allison Scott</t>
        </is>
      </c>
      <c r="B57" s="50" t="inlineStr">
        <is>
          <t>Qualifier</t>
        </is>
      </c>
      <c r="C57" s="50" t="inlineStr">
        <is>
          <t>Boston Beer Company</t>
        </is>
      </c>
      <c r="D57" s="50" t="inlineStr">
        <is>
          <t>Twisted Tea</t>
        </is>
      </c>
      <c r="E57" s="46" t="n">
        <v>254</v>
      </c>
      <c r="F57" s="46" t="n">
        <v>226</v>
      </c>
      <c r="G57" s="48" t="n">
        <v>8364.5</v>
      </c>
      <c r="H57" s="48" t="n">
        <v>7306.5</v>
      </c>
      <c r="I57" s="48" t="n">
        <v>2522.62</v>
      </c>
      <c r="J57" s="48" t="n">
        <v>2240.91</v>
      </c>
    </row>
    <row r="58">
      <c r="A58" s="50" t="inlineStr">
        <is>
          <t>Allison Scott</t>
        </is>
      </c>
      <c r="B58" s="50" t="inlineStr">
        <is>
          <t>Qualifier</t>
        </is>
      </c>
      <c r="C58" s="50" t="inlineStr">
        <is>
          <t>Mark Anthony</t>
        </is>
      </c>
      <c r="D58" s="50" t="inlineStr">
        <is>
          <t>White Claw</t>
        </is>
      </c>
      <c r="E58" s="46" t="n">
        <v>1069</v>
      </c>
      <c r="F58" s="46" t="n">
        <v>897</v>
      </c>
      <c r="G58" s="48" t="n">
        <v>35216.3</v>
      </c>
      <c r="H58" s="48" t="n">
        <v>29983.05</v>
      </c>
      <c r="I58" s="48" t="n">
        <v>8997.030000000001</v>
      </c>
      <c r="J58" s="48" t="n">
        <v>7630.98</v>
      </c>
    </row>
    <row r="59">
      <c r="A59" s="50" t="inlineStr">
        <is>
          <t>Allison Scott</t>
        </is>
      </c>
      <c r="B59" s="50" t="inlineStr">
        <is>
          <t>Qualifier</t>
        </is>
      </c>
      <c r="C59" s="50" t="inlineStr">
        <is>
          <t>DG Yuengling Inc</t>
        </is>
      </c>
      <c r="D59" s="50" t="inlineStr">
        <is>
          <t>Yuengling Lager</t>
        </is>
      </c>
      <c r="E59" s="46" t="n">
        <v>2880</v>
      </c>
      <c r="F59" s="46" t="n">
        <v>2999</v>
      </c>
      <c r="G59" s="48" t="n">
        <v>53774.5</v>
      </c>
      <c r="H59" s="48" t="n">
        <v>54914.7</v>
      </c>
      <c r="I59" s="48" t="n">
        <v>15485.46</v>
      </c>
      <c r="J59" s="48" t="n">
        <v>15987.82</v>
      </c>
    </row>
    <row r="60">
      <c r="A60" s="50" t="inlineStr">
        <is>
          <t>Andrew Lundy</t>
        </is>
      </c>
      <c r="B60" s="50" t="inlineStr">
        <is>
          <t>Amplify</t>
        </is>
      </c>
      <c r="C60" s="50" t="inlineStr">
        <is>
          <t>MolsonCoors Beverage Company</t>
        </is>
      </c>
      <c r="D60" s="50" t="inlineStr">
        <is>
          <t>Fever Tree</t>
        </is>
      </c>
      <c r="E60" s="46" t="n">
        <v>45</v>
      </c>
      <c r="F60" s="46" t="n">
        <v>0</v>
      </c>
      <c r="G60" s="48" t="n">
        <v>2008</v>
      </c>
      <c r="H60" s="48" t="n">
        <v>0</v>
      </c>
      <c r="I60" s="48" t="n">
        <v>646.71</v>
      </c>
      <c r="J60" s="48" t="n">
        <v>0</v>
      </c>
    </row>
    <row r="61">
      <c r="A61" s="50" t="inlineStr">
        <is>
          <t>Andrew Lundy</t>
        </is>
      </c>
      <c r="B61" s="50" t="inlineStr">
        <is>
          <t>Amplify</t>
        </is>
      </c>
      <c r="C61" s="50" t="inlineStr">
        <is>
          <t>Sapporo</t>
        </is>
      </c>
      <c r="D61" s="50" t="inlineStr">
        <is>
          <t>Sapporo</t>
        </is>
      </c>
      <c r="E61" s="46" t="n">
        <v>1730</v>
      </c>
      <c r="F61" s="46" t="n">
        <v>1837</v>
      </c>
      <c r="G61" s="48" t="n">
        <v>47884.25</v>
      </c>
      <c r="H61" s="48" t="n">
        <v>50769.25</v>
      </c>
      <c r="I61" s="48" t="n">
        <v>12163.45</v>
      </c>
      <c r="J61" s="48" t="n">
        <v>12656.57</v>
      </c>
    </row>
    <row r="62">
      <c r="A62" s="50" t="inlineStr">
        <is>
          <t>Anthony Palmisano</t>
        </is>
      </c>
      <c r="B62" s="50" t="inlineStr">
        <is>
          <t>Amplify</t>
        </is>
      </c>
      <c r="C62" s="50" t="inlineStr">
        <is>
          <t>Cape May</t>
        </is>
      </c>
      <c r="D62" s="50" t="inlineStr">
        <is>
          <t>Cape May</t>
        </is>
      </c>
      <c r="E62" s="46" t="n">
        <v>702</v>
      </c>
      <c r="F62" s="46" t="n">
        <v>756</v>
      </c>
      <c r="G62" s="48" t="n">
        <v>28797.2</v>
      </c>
      <c r="H62" s="48" t="n">
        <v>30102.2</v>
      </c>
      <c r="I62" s="48" t="n">
        <v>8322.83</v>
      </c>
      <c r="J62" s="48" t="n">
        <v>8909.860000000001</v>
      </c>
    </row>
    <row r="63">
      <c r="A63" s="50" t="inlineStr">
        <is>
          <t>Anthony Palmisano</t>
        </is>
      </c>
      <c r="B63" s="50" t="inlineStr">
        <is>
          <t>Amplify</t>
        </is>
      </c>
      <c r="C63" s="50" t="inlineStr">
        <is>
          <t>Mark Anthony</t>
        </is>
      </c>
      <c r="D63" s="50" t="inlineStr">
        <is>
          <t>Cayman Jack</t>
        </is>
      </c>
      <c r="E63" s="46" t="n">
        <v>552</v>
      </c>
      <c r="F63" s="46" t="n">
        <v>577</v>
      </c>
      <c r="G63" s="48" t="n">
        <v>17672.75</v>
      </c>
      <c r="H63" s="48" t="n">
        <v>18402.5</v>
      </c>
      <c r="I63" s="48" t="n">
        <v>4220.44</v>
      </c>
      <c r="J63" s="48" t="n">
        <v>4395.84</v>
      </c>
    </row>
    <row r="64">
      <c r="A64" s="50" t="inlineStr">
        <is>
          <t>Anthony Palmisano</t>
        </is>
      </c>
      <c r="B64" s="50" t="inlineStr">
        <is>
          <t>Amplify</t>
        </is>
      </c>
      <c r="C64" s="50" t="inlineStr">
        <is>
          <t>Mark Anthony</t>
        </is>
      </c>
      <c r="D64" s="50" t="inlineStr">
        <is>
          <t>Mike's Harder</t>
        </is>
      </c>
      <c r="E64" s="46" t="n">
        <v>225</v>
      </c>
      <c r="F64" s="46" t="n">
        <v>168</v>
      </c>
      <c r="G64" s="48" t="n">
        <v>6231</v>
      </c>
      <c r="H64" s="48" t="n">
        <v>4976</v>
      </c>
      <c r="I64" s="48" t="n">
        <v>1349.6</v>
      </c>
      <c r="J64" s="48" t="n">
        <v>1056.62</v>
      </c>
    </row>
    <row r="65">
      <c r="A65" s="50" t="inlineStr">
        <is>
          <t>Anthony Palmisano</t>
        </is>
      </c>
      <c r="B65" s="50" t="inlineStr">
        <is>
          <t>Amplify</t>
        </is>
      </c>
      <c r="C65" s="50" t="inlineStr">
        <is>
          <t>MolsonCoors Beverage Company</t>
        </is>
      </c>
      <c r="D65" s="50" t="inlineStr">
        <is>
          <t>Coors</t>
        </is>
      </c>
      <c r="E65" s="46" t="n">
        <v>2237</v>
      </c>
      <c r="F65" s="46" t="n">
        <v>2447</v>
      </c>
      <c r="G65" s="48" t="n">
        <v>50456.4</v>
      </c>
      <c r="H65" s="48" t="n">
        <v>56640.8</v>
      </c>
      <c r="I65" s="48" t="n">
        <v>13619.94</v>
      </c>
      <c r="J65" s="48" t="n">
        <v>15640.15</v>
      </c>
    </row>
    <row r="66">
      <c r="A66" s="50" t="inlineStr">
        <is>
          <t>Anthony Palmisano</t>
        </is>
      </c>
      <c r="B66" s="50" t="inlineStr">
        <is>
          <t>Amplify</t>
        </is>
      </c>
      <c r="C66" s="50" t="inlineStr">
        <is>
          <t>MolsonCoors Beverage Company</t>
        </is>
      </c>
      <c r="D66" s="50" t="inlineStr">
        <is>
          <t>Fever Tree</t>
        </is>
      </c>
      <c r="E66" s="46" t="n">
        <v>74</v>
      </c>
      <c r="F66" s="46" t="n">
        <v>108</v>
      </c>
      <c r="G66" s="48" t="n">
        <v>3412</v>
      </c>
      <c r="H66" s="48" t="n">
        <v>5050.5</v>
      </c>
      <c r="I66" s="48" t="n">
        <v>1163.78</v>
      </c>
      <c r="J66" s="48" t="n">
        <v>1656.33</v>
      </c>
    </row>
    <row r="67">
      <c r="A67" s="50" t="inlineStr">
        <is>
          <t>Anthony Palmisano</t>
        </is>
      </c>
      <c r="B67" s="50" t="inlineStr">
        <is>
          <t>Amplify</t>
        </is>
      </c>
      <c r="C67" s="50" t="inlineStr">
        <is>
          <t>MolsonCoors Beverage Company</t>
        </is>
      </c>
      <c r="D67" s="50" t="inlineStr">
        <is>
          <t>Peroni</t>
        </is>
      </c>
      <c r="E67" s="46" t="n">
        <v>577</v>
      </c>
      <c r="F67" s="46" t="n">
        <v>753</v>
      </c>
      <c r="G67" s="48" t="n">
        <v>19890.8</v>
      </c>
      <c r="H67" s="48" t="n">
        <v>25433.5</v>
      </c>
      <c r="I67" s="48" t="n">
        <v>4195.83</v>
      </c>
      <c r="J67" s="48" t="n">
        <v>5153.69</v>
      </c>
    </row>
    <row r="68">
      <c r="A68" s="50" t="inlineStr">
        <is>
          <t>Anthony Palmisano</t>
        </is>
      </c>
      <c r="B68" s="50" t="inlineStr">
        <is>
          <t>Amplify</t>
        </is>
      </c>
      <c r="C68" s="50" t="inlineStr">
        <is>
          <t>Boston Beer Company</t>
        </is>
      </c>
      <c r="D68" s="50" t="inlineStr">
        <is>
          <t>Dogfish Head Beer</t>
        </is>
      </c>
      <c r="E68" s="46" t="n">
        <v>936</v>
      </c>
      <c r="F68" s="46" t="n">
        <v>936</v>
      </c>
      <c r="G68" s="48" t="n">
        <v>32934.2</v>
      </c>
      <c r="H68" s="48" t="n">
        <v>33281.6</v>
      </c>
      <c r="I68" s="48" t="n">
        <v>8378.440000000001</v>
      </c>
      <c r="J68" s="48" t="n">
        <v>8218.26</v>
      </c>
    </row>
    <row r="69">
      <c r="A69" s="50" t="inlineStr">
        <is>
          <t>Anthony Palmisano</t>
        </is>
      </c>
      <c r="B69" s="50" t="inlineStr">
        <is>
          <t>Amplify</t>
        </is>
      </c>
      <c r="C69" s="50" t="inlineStr">
        <is>
          <t>Boston Beer Company</t>
        </is>
      </c>
      <c r="D69" s="50" t="inlineStr">
        <is>
          <t>Dogfish Head Spirits</t>
        </is>
      </c>
      <c r="E69" s="46" t="n">
        <v>335</v>
      </c>
      <c r="F69" s="46" t="n">
        <v>219</v>
      </c>
      <c r="G69" s="48" t="n">
        <v>17374</v>
      </c>
      <c r="H69" s="48" t="n">
        <v>10680</v>
      </c>
      <c r="I69" s="48" t="n">
        <v>6302.05</v>
      </c>
      <c r="J69" s="48" t="n">
        <v>3604.57</v>
      </c>
    </row>
    <row r="70">
      <c r="A70" s="50" t="inlineStr">
        <is>
          <t>Anthony Palmisano</t>
        </is>
      </c>
      <c r="B70" s="50" t="inlineStr">
        <is>
          <t>Amplify</t>
        </is>
      </c>
      <c r="C70" s="50" t="inlineStr">
        <is>
          <t>Heineken USA</t>
        </is>
      </c>
      <c r="D70" s="50" t="inlineStr">
        <is>
          <t>Heineken 0.0</t>
        </is>
      </c>
      <c r="E70" s="46" t="n">
        <v>336</v>
      </c>
      <c r="F70" s="46" t="n">
        <v>355</v>
      </c>
      <c r="G70" s="48" t="n">
        <v>11501.45</v>
      </c>
      <c r="H70" s="48" t="n">
        <v>12078.8</v>
      </c>
      <c r="I70" s="48" t="n">
        <v>3151.19</v>
      </c>
      <c r="J70" s="48" t="n">
        <v>3261.76</v>
      </c>
    </row>
    <row r="71">
      <c r="A71" s="50" t="inlineStr">
        <is>
          <t>Anthony Palmisano</t>
        </is>
      </c>
      <c r="B71" s="50" t="inlineStr">
        <is>
          <t>Amplify</t>
        </is>
      </c>
      <c r="C71" s="50" t="inlineStr">
        <is>
          <t>Heineken USA</t>
        </is>
      </c>
      <c r="D71" s="50" t="inlineStr">
        <is>
          <t>Heineken Light</t>
        </is>
      </c>
      <c r="E71" s="46" t="n">
        <v>400</v>
      </c>
      <c r="F71" s="46" t="n">
        <v>371</v>
      </c>
      <c r="G71" s="48" t="n">
        <v>12658.3</v>
      </c>
      <c r="H71" s="48" t="n">
        <v>11696.35</v>
      </c>
      <c r="I71" s="48" t="n">
        <v>3147.08</v>
      </c>
      <c r="J71" s="48" t="n">
        <v>2875.47</v>
      </c>
    </row>
    <row r="72">
      <c r="A72" s="50" t="inlineStr">
        <is>
          <t>Anthony Palmisano</t>
        </is>
      </c>
      <c r="B72" s="50" t="inlineStr">
        <is>
          <t>Amplify</t>
        </is>
      </c>
      <c r="C72" s="50" t="inlineStr">
        <is>
          <t>Constellation Brands</t>
        </is>
      </c>
      <c r="D72" s="50" t="inlineStr">
        <is>
          <t>Corona Premier</t>
        </is>
      </c>
      <c r="E72" s="46" t="n">
        <v>515</v>
      </c>
      <c r="F72" s="46" t="n">
        <v>424</v>
      </c>
      <c r="G72" s="48" t="n">
        <v>16099.3</v>
      </c>
      <c r="H72" s="48" t="n">
        <v>11643.95</v>
      </c>
      <c r="I72" s="48" t="n">
        <v>3612.61</v>
      </c>
      <c r="J72" s="48" t="n">
        <v>3000.66</v>
      </c>
    </row>
    <row r="73">
      <c r="A73" s="50" t="inlineStr">
        <is>
          <t>Anthony Palmisano</t>
        </is>
      </c>
      <c r="B73" s="50" t="inlineStr">
        <is>
          <t>Amplify</t>
        </is>
      </c>
      <c r="C73" s="50" t="inlineStr">
        <is>
          <t>Constellation Brands</t>
        </is>
      </c>
      <c r="D73" s="50" t="inlineStr">
        <is>
          <t>Modelo Chelada</t>
        </is>
      </c>
      <c r="E73" s="46" t="n">
        <v>1056</v>
      </c>
      <c r="F73" s="46" t="n">
        <v>1248</v>
      </c>
      <c r="G73" s="48" t="n">
        <v>32678.7</v>
      </c>
      <c r="H73" s="48" t="n">
        <v>38572.6</v>
      </c>
      <c r="I73" s="48" t="n">
        <v>8177.55</v>
      </c>
      <c r="J73" s="48" t="n">
        <v>9673.82</v>
      </c>
    </row>
    <row r="74">
      <c r="A74" s="50" t="inlineStr">
        <is>
          <t>Anthony Palmisano</t>
        </is>
      </c>
      <c r="B74" s="50" t="inlineStr">
        <is>
          <t>Amplify</t>
        </is>
      </c>
      <c r="C74" s="50" t="inlineStr">
        <is>
          <t>Constellation Brands</t>
        </is>
      </c>
      <c r="D74" s="50" t="inlineStr">
        <is>
          <t>Pacifico</t>
        </is>
      </c>
      <c r="E74" s="46" t="n">
        <v>503</v>
      </c>
      <c r="F74" s="46" t="n">
        <v>711</v>
      </c>
      <c r="G74" s="48" t="n">
        <v>15356.85</v>
      </c>
      <c r="H74" s="48" t="n">
        <v>21891.75</v>
      </c>
      <c r="I74" s="48" t="n">
        <v>3508.76</v>
      </c>
      <c r="J74" s="48" t="n">
        <v>5077.07</v>
      </c>
    </row>
    <row r="75">
      <c r="A75" s="50" t="inlineStr">
        <is>
          <t>Anthony Palmisano</t>
        </is>
      </c>
      <c r="B75" s="50" t="inlineStr">
        <is>
          <t>Amplify</t>
        </is>
      </c>
      <c r="C75" s="50" t="inlineStr">
        <is>
          <t>Constellation Brands</t>
        </is>
      </c>
      <c r="D75" s="50" t="inlineStr">
        <is>
          <t>Victoria</t>
        </is>
      </c>
      <c r="E75" s="46" t="n">
        <v>1199</v>
      </c>
      <c r="F75" s="46" t="n">
        <v>1184</v>
      </c>
      <c r="G75" s="48" t="n">
        <v>35843.7</v>
      </c>
      <c r="H75" s="48" t="n">
        <v>35383.5</v>
      </c>
      <c r="I75" s="48" t="n">
        <v>8204.469999999999</v>
      </c>
      <c r="J75" s="48" t="n">
        <v>8254.5</v>
      </c>
    </row>
    <row r="76">
      <c r="A76" s="50" t="inlineStr">
        <is>
          <t>Anthony Palmisano</t>
        </is>
      </c>
      <c r="B76" s="50" t="inlineStr">
        <is>
          <t>Amplify</t>
        </is>
      </c>
      <c r="C76" s="50" t="inlineStr">
        <is>
          <t>Sapporo</t>
        </is>
      </c>
      <c r="D76" s="50" t="inlineStr">
        <is>
          <t>Sapporo</t>
        </is>
      </c>
      <c r="E76" s="46" t="n">
        <v>106</v>
      </c>
      <c r="F76" s="46" t="n">
        <v>181</v>
      </c>
      <c r="G76" s="48" t="n">
        <v>3255</v>
      </c>
      <c r="H76" s="48" t="n">
        <v>5599.5</v>
      </c>
      <c r="I76" s="48" t="n">
        <v>942.73</v>
      </c>
      <c r="J76" s="48" t="n">
        <v>1631.11</v>
      </c>
    </row>
    <row r="77">
      <c r="A77" s="50" t="inlineStr">
        <is>
          <t>Anthony Palmisano</t>
        </is>
      </c>
      <c r="B77" s="50" t="inlineStr">
        <is>
          <t>Amplify</t>
        </is>
      </c>
      <c r="C77" s="50" t="inlineStr">
        <is>
          <t>Bell's</t>
        </is>
      </c>
      <c r="D77" s="50" t="inlineStr">
        <is>
          <t>Bell's</t>
        </is>
      </c>
      <c r="E77" s="46" t="n">
        <v>43</v>
      </c>
      <c r="F77" s="46" t="n">
        <v>8</v>
      </c>
      <c r="G77" s="48" t="n">
        <v>1429.1</v>
      </c>
      <c r="H77" s="48" t="n">
        <v>265.6</v>
      </c>
      <c r="I77" s="48" t="n">
        <v>437.48</v>
      </c>
      <c r="J77" s="48" t="n">
        <v>83.92</v>
      </c>
    </row>
    <row r="78">
      <c r="A78" s="50" t="inlineStr">
        <is>
          <t>Anthony Palmisano</t>
        </is>
      </c>
      <c r="B78" s="50" t="inlineStr">
        <is>
          <t>Amplify</t>
        </is>
      </c>
      <c r="C78" s="50" t="inlineStr">
        <is>
          <t>New Belgium Brewing Company</t>
        </is>
      </c>
      <c r="D78" s="50" t="inlineStr">
        <is>
          <t>Fat Tire Family</t>
        </is>
      </c>
      <c r="E78" s="46" t="n">
        <v>112</v>
      </c>
      <c r="F78" s="46" t="n">
        <v>129</v>
      </c>
      <c r="G78" s="48" t="n">
        <v>3681.6</v>
      </c>
      <c r="H78" s="48" t="n">
        <v>3623.75</v>
      </c>
      <c r="I78" s="48" t="n">
        <v>777.6</v>
      </c>
      <c r="J78" s="48" t="n">
        <v>878.5599999999999</v>
      </c>
    </row>
    <row r="79">
      <c r="A79" s="50" t="inlineStr">
        <is>
          <t>Anthony Palmisano</t>
        </is>
      </c>
      <c r="B79" s="50" t="inlineStr">
        <is>
          <t>Amplify</t>
        </is>
      </c>
      <c r="C79" s="50" t="inlineStr">
        <is>
          <t>New Belgium Brewing Company</t>
        </is>
      </c>
      <c r="D79" s="50" t="inlineStr">
        <is>
          <t>Kirin Ichiban</t>
        </is>
      </c>
      <c r="E79" s="46" t="n">
        <v>2</v>
      </c>
      <c r="F79" s="46" t="n">
        <v>8</v>
      </c>
      <c r="G79" s="48" t="n">
        <v>53</v>
      </c>
      <c r="H79" s="48" t="n">
        <v>250</v>
      </c>
      <c r="I79" s="48" t="n">
        <v>15.28</v>
      </c>
      <c r="J79" s="48" t="n">
        <v>77.84</v>
      </c>
    </row>
    <row r="80">
      <c r="A80" s="50" t="inlineStr">
        <is>
          <t>Anthony Palmisano</t>
        </is>
      </c>
      <c r="B80" s="50" t="inlineStr">
        <is>
          <t>Amplify</t>
        </is>
      </c>
      <c r="C80" s="50" t="inlineStr">
        <is>
          <t>New Belgium Brewing Company</t>
        </is>
      </c>
      <c r="D80" s="50" t="inlineStr">
        <is>
          <t>Voodoo Family</t>
        </is>
      </c>
      <c r="E80" s="46" t="n">
        <v>887</v>
      </c>
      <c r="F80" s="46" t="n">
        <v>1024</v>
      </c>
      <c r="G80" s="48" t="n">
        <v>31898.3</v>
      </c>
      <c r="H80" s="48" t="n">
        <v>36551.4</v>
      </c>
      <c r="I80" s="48" t="n">
        <v>7789.3</v>
      </c>
      <c r="J80" s="48" t="n">
        <v>9141.85</v>
      </c>
    </row>
    <row r="81">
      <c r="A81" s="50" t="inlineStr">
        <is>
          <t>Anthony Palmisano</t>
        </is>
      </c>
      <c r="B81" s="50" t="inlineStr">
        <is>
          <t>Amplify</t>
        </is>
      </c>
      <c r="C81" s="50" t="inlineStr">
        <is>
          <t>DG Yuengling Inc</t>
        </is>
      </c>
      <c r="D81" s="50" t="inlineStr">
        <is>
          <t>Yuengling Flight</t>
        </is>
      </c>
      <c r="E81" s="46" t="n">
        <v>191</v>
      </c>
      <c r="F81" s="46" t="n">
        <v>134</v>
      </c>
      <c r="G81" s="48" t="n">
        <v>4859.1</v>
      </c>
      <c r="H81" s="48" t="n">
        <v>3351.7</v>
      </c>
      <c r="I81" s="48" t="n">
        <v>1478.78</v>
      </c>
      <c r="J81" s="48" t="n">
        <v>992.11</v>
      </c>
    </row>
    <row r="82">
      <c r="A82" s="50" t="inlineStr">
        <is>
          <t>Anthony Palmisano</t>
        </is>
      </c>
      <c r="B82" s="50" t="inlineStr">
        <is>
          <t>Amplify</t>
        </is>
      </c>
      <c r="C82" s="50" t="inlineStr">
        <is>
          <t>DG Yuengling Inc</t>
        </is>
      </c>
      <c r="D82" s="50" t="inlineStr">
        <is>
          <t>Yuengling Light Lager</t>
        </is>
      </c>
      <c r="E82" s="46" t="n">
        <v>209</v>
      </c>
      <c r="F82" s="46" t="n">
        <v>204</v>
      </c>
      <c r="G82" s="48" t="n">
        <v>5132.05</v>
      </c>
      <c r="H82" s="48" t="n">
        <v>4718.9</v>
      </c>
      <c r="I82" s="48" t="n">
        <v>1480.97</v>
      </c>
      <c r="J82" s="48" t="n">
        <v>1230.36</v>
      </c>
    </row>
    <row r="83">
      <c r="A83" s="50" t="inlineStr">
        <is>
          <t>Anthony Palmisano</t>
        </is>
      </c>
      <c r="B83" s="50" t="inlineStr">
        <is>
          <t>Qualifier</t>
        </is>
      </c>
      <c r="C83" s="50" t="inlineStr">
        <is>
          <t>MolsonCoors Beverage Company</t>
        </is>
      </c>
      <c r="D83" s="50" t="inlineStr">
        <is>
          <t>Blue Moon</t>
        </is>
      </c>
      <c r="E83" s="46" t="n">
        <v>2051</v>
      </c>
      <c r="F83" s="46" t="n">
        <v>1805</v>
      </c>
      <c r="G83" s="48" t="n">
        <v>68061</v>
      </c>
      <c r="H83" s="48" t="n">
        <v>58900.75</v>
      </c>
      <c r="I83" s="48" t="n">
        <v>18129.74</v>
      </c>
      <c r="J83" s="48" t="n">
        <v>15841.15</v>
      </c>
    </row>
    <row r="84">
      <c r="A84" s="50" t="inlineStr">
        <is>
          <t>Anthony Palmisano</t>
        </is>
      </c>
      <c r="B84" s="50" t="inlineStr">
        <is>
          <t>Qualifier</t>
        </is>
      </c>
      <c r="C84" s="50" t="inlineStr">
        <is>
          <t>MolsonCoors Beverage Company</t>
        </is>
      </c>
      <c r="D84" s="50" t="inlineStr">
        <is>
          <t>Coors Light</t>
        </is>
      </c>
      <c r="E84" s="46" t="n">
        <v>11304</v>
      </c>
      <c r="F84" s="46" t="n">
        <v>10789</v>
      </c>
      <c r="G84" s="48" t="n">
        <v>243793.5</v>
      </c>
      <c r="H84" s="48" t="n">
        <v>238861.35</v>
      </c>
      <c r="I84" s="48" t="n">
        <v>63422.11</v>
      </c>
      <c r="J84" s="48" t="n">
        <v>63223.9</v>
      </c>
    </row>
    <row r="85">
      <c r="A85" s="50" t="inlineStr">
        <is>
          <t>Anthony Palmisano</t>
        </is>
      </c>
      <c r="B85" s="50" t="inlineStr">
        <is>
          <t>Qualifier</t>
        </is>
      </c>
      <c r="C85" s="50" t="inlineStr">
        <is>
          <t>MolsonCoors Beverage Company</t>
        </is>
      </c>
      <c r="D85" s="50" t="inlineStr">
        <is>
          <t>Lite</t>
        </is>
      </c>
      <c r="E85" s="46" t="n">
        <v>16332</v>
      </c>
      <c r="F85" s="46" t="n">
        <v>15323</v>
      </c>
      <c r="G85" s="48" t="n">
        <v>347643.15</v>
      </c>
      <c r="H85" s="48" t="n">
        <v>332167.1</v>
      </c>
      <c r="I85" s="48" t="n">
        <v>79662.36</v>
      </c>
      <c r="J85" s="48" t="n">
        <v>77360.55</v>
      </c>
    </row>
    <row r="86">
      <c r="A86" s="50" t="inlineStr">
        <is>
          <t>Anthony Palmisano</t>
        </is>
      </c>
      <c r="B86" s="50" t="inlineStr">
        <is>
          <t>Qualifier</t>
        </is>
      </c>
      <c r="C86" s="50" t="inlineStr">
        <is>
          <t>Heineken USA</t>
        </is>
      </c>
      <c r="D86" s="50" t="inlineStr">
        <is>
          <t>Heineken USA</t>
        </is>
      </c>
      <c r="E86" s="46" t="n">
        <v>2985</v>
      </c>
      <c r="F86" s="46" t="n">
        <v>2640</v>
      </c>
      <c r="G86" s="48" t="n">
        <v>93944.95</v>
      </c>
      <c r="H86" s="48" t="n">
        <v>82799.60000000001</v>
      </c>
      <c r="I86" s="48" t="n">
        <v>23401.3</v>
      </c>
      <c r="J86" s="48" t="n">
        <v>20368.84</v>
      </c>
    </row>
    <row r="87">
      <c r="A87" s="50" t="inlineStr">
        <is>
          <t>Anthony Palmisano</t>
        </is>
      </c>
      <c r="B87" s="50" t="inlineStr">
        <is>
          <t>Qualifier</t>
        </is>
      </c>
      <c r="C87" s="50" t="inlineStr">
        <is>
          <t>Constellation Brands</t>
        </is>
      </c>
      <c r="D87" s="50" t="inlineStr">
        <is>
          <t>Corona Extra</t>
        </is>
      </c>
      <c r="E87" s="46" t="n">
        <v>8419</v>
      </c>
      <c r="F87" s="46" t="n">
        <v>8829</v>
      </c>
      <c r="G87" s="48" t="n">
        <v>269943.35</v>
      </c>
      <c r="H87" s="48" t="n">
        <v>284439.75</v>
      </c>
      <c r="I87" s="48" t="n">
        <v>65583</v>
      </c>
      <c r="J87" s="48" t="n">
        <v>70863.75</v>
      </c>
    </row>
    <row r="88">
      <c r="A88" s="50" t="inlineStr">
        <is>
          <t>Anthony Palmisano</t>
        </is>
      </c>
      <c r="B88" s="50" t="inlineStr">
        <is>
          <t>Qualifier</t>
        </is>
      </c>
      <c r="C88" s="50" t="inlineStr">
        <is>
          <t>Constellation Brands</t>
        </is>
      </c>
      <c r="D88" s="50" t="inlineStr">
        <is>
          <t>Modelo Especial</t>
        </is>
      </c>
      <c r="E88" s="46" t="n">
        <v>9731</v>
      </c>
      <c r="F88" s="46" t="n">
        <v>9782</v>
      </c>
      <c r="G88" s="48" t="n">
        <v>294097.5</v>
      </c>
      <c r="H88" s="48" t="n">
        <v>296089.35</v>
      </c>
      <c r="I88" s="48" t="n">
        <v>65062.49</v>
      </c>
      <c r="J88" s="48" t="n">
        <v>68792</v>
      </c>
    </row>
    <row r="89">
      <c r="A89" s="50" t="inlineStr">
        <is>
          <t>Anthony Palmisano</t>
        </is>
      </c>
      <c r="B89" s="50" t="inlineStr">
        <is>
          <t>Qualifier</t>
        </is>
      </c>
      <c r="C89" s="50" t="inlineStr">
        <is>
          <t>Boston Beer Company</t>
        </is>
      </c>
      <c r="D89" s="50" t="inlineStr">
        <is>
          <t>Truly</t>
        </is>
      </c>
      <c r="E89" s="46" t="n">
        <v>630</v>
      </c>
      <c r="F89" s="46" t="n">
        <v>512</v>
      </c>
      <c r="G89" s="48" t="n">
        <v>18221</v>
      </c>
      <c r="H89" s="48" t="n">
        <v>14865.3</v>
      </c>
      <c r="I89" s="48" t="n">
        <v>3961.94</v>
      </c>
      <c r="J89" s="48" t="n">
        <v>3275.1</v>
      </c>
    </row>
    <row r="90">
      <c r="A90" s="50" t="inlineStr">
        <is>
          <t>Anthony Palmisano</t>
        </is>
      </c>
      <c r="B90" s="50" t="inlineStr">
        <is>
          <t>Qualifier</t>
        </is>
      </c>
      <c r="C90" s="50" t="inlineStr">
        <is>
          <t>Boston Beer Company</t>
        </is>
      </c>
      <c r="D90" s="50" t="inlineStr">
        <is>
          <t>Twisted Tea</t>
        </is>
      </c>
      <c r="E90" s="46" t="n">
        <v>4038</v>
      </c>
      <c r="F90" s="46" t="n">
        <v>3159</v>
      </c>
      <c r="G90" s="48" t="n">
        <v>119296.5</v>
      </c>
      <c r="H90" s="48" t="n">
        <v>91852.5</v>
      </c>
      <c r="I90" s="48" t="n">
        <v>29904.93</v>
      </c>
      <c r="J90" s="48" t="n">
        <v>21577.26</v>
      </c>
    </row>
    <row r="91">
      <c r="A91" s="50" t="inlineStr">
        <is>
          <t>Anthony Palmisano</t>
        </is>
      </c>
      <c r="B91" s="50" t="inlineStr">
        <is>
          <t>Qualifier</t>
        </is>
      </c>
      <c r="C91" s="50" t="inlineStr">
        <is>
          <t>Mark Anthony</t>
        </is>
      </c>
      <c r="D91" s="50" t="inlineStr">
        <is>
          <t>White Claw</t>
        </is>
      </c>
      <c r="E91" s="46" t="n">
        <v>7406</v>
      </c>
      <c r="F91" s="46" t="n">
        <v>7386</v>
      </c>
      <c r="G91" s="48" t="n">
        <v>233603.35</v>
      </c>
      <c r="H91" s="48" t="n">
        <v>234497.1</v>
      </c>
      <c r="I91" s="48" t="n">
        <v>49518.43</v>
      </c>
      <c r="J91" s="48" t="n">
        <v>47805.79</v>
      </c>
    </row>
    <row r="92">
      <c r="A92" s="50" t="inlineStr">
        <is>
          <t>Anthony Palmisano</t>
        </is>
      </c>
      <c r="B92" s="50" t="inlineStr">
        <is>
          <t>Qualifier</t>
        </is>
      </c>
      <c r="C92" s="50" t="inlineStr">
        <is>
          <t>DG Yuengling Inc</t>
        </is>
      </c>
      <c r="D92" s="50" t="inlineStr">
        <is>
          <t>Yuengling Lager</t>
        </is>
      </c>
      <c r="E92" s="46" t="n">
        <v>4420</v>
      </c>
      <c r="F92" s="46" t="n">
        <v>4275</v>
      </c>
      <c r="G92" s="48" t="n">
        <v>97287.7</v>
      </c>
      <c r="H92" s="48" t="n">
        <v>92215.5</v>
      </c>
      <c r="I92" s="48" t="n">
        <v>27959.27</v>
      </c>
      <c r="J92" s="48" t="n">
        <v>26128.49</v>
      </c>
    </row>
    <row r="93">
      <c r="A93" s="50" t="inlineStr">
        <is>
          <t>Brian Sengebush</t>
        </is>
      </c>
      <c r="B93" s="50" t="inlineStr">
        <is>
          <t>Amplify</t>
        </is>
      </c>
      <c r="C93" s="50" t="inlineStr">
        <is>
          <t>Cape May</t>
        </is>
      </c>
      <c r="D93" s="50" t="inlineStr">
        <is>
          <t>Cape May</t>
        </is>
      </c>
      <c r="E93" s="46" t="n">
        <v>277</v>
      </c>
      <c r="F93" s="46" t="n">
        <v>337</v>
      </c>
      <c r="G93" s="48" t="n">
        <v>10461.92</v>
      </c>
      <c r="H93" s="48" t="n">
        <v>12424.55</v>
      </c>
      <c r="I93" s="48" t="n">
        <v>2748.66</v>
      </c>
      <c r="J93" s="48" t="n">
        <v>3701.82</v>
      </c>
    </row>
    <row r="94">
      <c r="A94" s="50" t="inlineStr">
        <is>
          <t>Brian Sengebush</t>
        </is>
      </c>
      <c r="B94" s="50" t="inlineStr">
        <is>
          <t>Amplify</t>
        </is>
      </c>
      <c r="C94" s="50" t="inlineStr">
        <is>
          <t>Mark Anthony</t>
        </is>
      </c>
      <c r="D94" s="50" t="inlineStr">
        <is>
          <t>Cayman Jack</t>
        </is>
      </c>
      <c r="E94" s="46" t="n">
        <v>25</v>
      </c>
      <c r="F94" s="46" t="n">
        <v>19</v>
      </c>
      <c r="G94" s="48" t="n">
        <v>833.75</v>
      </c>
      <c r="H94" s="48" t="n">
        <v>638.5</v>
      </c>
      <c r="I94" s="48" t="n">
        <v>223.81</v>
      </c>
      <c r="J94" s="48" t="n">
        <v>169.31</v>
      </c>
    </row>
    <row r="95">
      <c r="A95" s="50" t="inlineStr">
        <is>
          <t>Brian Sengebush</t>
        </is>
      </c>
      <c r="B95" s="50" t="inlineStr">
        <is>
          <t>Amplify</t>
        </is>
      </c>
      <c r="C95" s="50" t="inlineStr">
        <is>
          <t>Mark Anthony</t>
        </is>
      </c>
      <c r="D95" s="50" t="inlineStr">
        <is>
          <t>Mike's Harder</t>
        </is>
      </c>
      <c r="E95" s="46" t="n">
        <v>13</v>
      </c>
      <c r="F95" s="46" t="n">
        <v>3</v>
      </c>
      <c r="G95" s="48" t="n">
        <v>351</v>
      </c>
      <c r="H95" s="48" t="n">
        <v>87</v>
      </c>
      <c r="I95" s="48" t="n">
        <v>75.98999999999999</v>
      </c>
      <c r="J95" s="48" t="n">
        <v>18.29</v>
      </c>
    </row>
    <row r="96">
      <c r="A96" s="50" t="inlineStr">
        <is>
          <t>Brian Sengebush</t>
        </is>
      </c>
      <c r="B96" s="50" t="inlineStr">
        <is>
          <t>Amplify</t>
        </is>
      </c>
      <c r="C96" s="50" t="inlineStr">
        <is>
          <t>MolsonCoors Beverage Company</t>
        </is>
      </c>
      <c r="D96" s="50" t="inlineStr">
        <is>
          <t>Coors</t>
        </is>
      </c>
      <c r="E96" s="46" t="n">
        <v>416</v>
      </c>
      <c r="F96" s="46" t="n">
        <v>545</v>
      </c>
      <c r="G96" s="48" t="n">
        <v>9544.51</v>
      </c>
      <c r="H96" s="48" t="n">
        <v>12850.16</v>
      </c>
      <c r="I96" s="48" t="n">
        <v>2687.84</v>
      </c>
      <c r="J96" s="48" t="n">
        <v>3658.51</v>
      </c>
    </row>
    <row r="97">
      <c r="A97" s="50" t="inlineStr">
        <is>
          <t>Brian Sengebush</t>
        </is>
      </c>
      <c r="B97" s="50" t="inlineStr">
        <is>
          <t>Amplify</t>
        </is>
      </c>
      <c r="C97" s="50" t="inlineStr">
        <is>
          <t>MolsonCoors Beverage Company</t>
        </is>
      </c>
      <c r="D97" s="50" t="inlineStr">
        <is>
          <t>Fever Tree</t>
        </is>
      </c>
      <c r="E97" s="46" t="n">
        <v>31</v>
      </c>
      <c r="F97" s="46" t="n">
        <v>54</v>
      </c>
      <c r="G97" s="48" t="n">
        <v>1350</v>
      </c>
      <c r="H97" s="48" t="n">
        <v>2438.5</v>
      </c>
      <c r="I97" s="48" t="n">
        <v>434.34</v>
      </c>
      <c r="J97" s="48" t="n">
        <v>808.77</v>
      </c>
    </row>
    <row r="98">
      <c r="A98" s="50" t="inlineStr">
        <is>
          <t>Brian Sengebush</t>
        </is>
      </c>
      <c r="B98" s="50" t="inlineStr">
        <is>
          <t>Amplify</t>
        </is>
      </c>
      <c r="C98" s="50" t="inlineStr">
        <is>
          <t>MolsonCoors Beverage Company</t>
        </is>
      </c>
      <c r="D98" s="50" t="inlineStr">
        <is>
          <t>Peroni</t>
        </is>
      </c>
      <c r="E98" s="46" t="n">
        <v>72</v>
      </c>
      <c r="F98" s="46" t="n">
        <v>139</v>
      </c>
      <c r="G98" s="48" t="n">
        <v>2654.45</v>
      </c>
      <c r="H98" s="48" t="n">
        <v>4933.35</v>
      </c>
      <c r="I98" s="48" t="n">
        <v>628.77</v>
      </c>
      <c r="J98" s="48" t="n">
        <v>1159.83</v>
      </c>
    </row>
    <row r="99">
      <c r="A99" s="50" t="inlineStr">
        <is>
          <t>Brian Sengebush</t>
        </is>
      </c>
      <c r="B99" s="50" t="inlineStr">
        <is>
          <t>Amplify</t>
        </is>
      </c>
      <c r="C99" s="50" t="inlineStr">
        <is>
          <t>Boston Beer Company</t>
        </is>
      </c>
      <c r="D99" s="50" t="inlineStr">
        <is>
          <t>Dogfish Head Beer</t>
        </is>
      </c>
      <c r="E99" s="46" t="n">
        <v>438</v>
      </c>
      <c r="F99" s="46" t="n">
        <v>422</v>
      </c>
      <c r="G99" s="48" t="n">
        <v>15726.16</v>
      </c>
      <c r="H99" s="48" t="n">
        <v>15117.48</v>
      </c>
      <c r="I99" s="48" t="n">
        <v>4304.49</v>
      </c>
      <c r="J99" s="48" t="n">
        <v>4085.09</v>
      </c>
    </row>
    <row r="100">
      <c r="A100" s="50" t="inlineStr">
        <is>
          <t>Brian Sengebush</t>
        </is>
      </c>
      <c r="B100" s="50" t="inlineStr">
        <is>
          <t>Amplify</t>
        </is>
      </c>
      <c r="C100" s="50" t="inlineStr">
        <is>
          <t>Constellation Brands</t>
        </is>
      </c>
      <c r="D100" s="50" t="inlineStr">
        <is>
          <t>Corona Premier</t>
        </is>
      </c>
      <c r="E100" s="46" t="n">
        <v>137</v>
      </c>
      <c r="F100" s="46" t="n">
        <v>131</v>
      </c>
      <c r="G100" s="48" t="n">
        <v>4274.44</v>
      </c>
      <c r="H100" s="48" t="n">
        <v>3674.07</v>
      </c>
      <c r="I100" s="48" t="n">
        <v>1044.42</v>
      </c>
      <c r="J100" s="48" t="n">
        <v>997.27</v>
      </c>
    </row>
    <row r="101">
      <c r="A101" s="50" t="inlineStr">
        <is>
          <t>Brian Sengebush</t>
        </is>
      </c>
      <c r="B101" s="50" t="inlineStr">
        <is>
          <t>Amplify</t>
        </is>
      </c>
      <c r="C101" s="50" t="inlineStr">
        <is>
          <t>Constellation Brands</t>
        </is>
      </c>
      <c r="D101" s="50" t="inlineStr">
        <is>
          <t>Modelo Chelada</t>
        </is>
      </c>
      <c r="E101" s="46" t="n">
        <v>59</v>
      </c>
      <c r="F101" s="46" t="n">
        <v>60</v>
      </c>
      <c r="G101" s="48" t="n">
        <v>1829.2</v>
      </c>
      <c r="H101" s="48" t="n">
        <v>1852.15</v>
      </c>
      <c r="I101" s="48" t="n">
        <v>445.91</v>
      </c>
      <c r="J101" s="48" t="n">
        <v>453.68</v>
      </c>
    </row>
    <row r="102">
      <c r="A102" s="50" t="inlineStr">
        <is>
          <t>Brian Sengebush</t>
        </is>
      </c>
      <c r="B102" s="50" t="inlineStr">
        <is>
          <t>Amplify</t>
        </is>
      </c>
      <c r="C102" s="50" t="inlineStr">
        <is>
          <t>Constellation Brands</t>
        </is>
      </c>
      <c r="D102" s="50" t="inlineStr">
        <is>
          <t>Pacifico</t>
        </is>
      </c>
      <c r="E102" s="46" t="n">
        <v>233</v>
      </c>
      <c r="F102" s="46" t="n">
        <v>180</v>
      </c>
      <c r="G102" s="48" t="n">
        <v>6788.5</v>
      </c>
      <c r="H102" s="48" t="n">
        <v>5341.5</v>
      </c>
      <c r="I102" s="48" t="n">
        <v>1757.8</v>
      </c>
      <c r="J102" s="48" t="n">
        <v>1359.58</v>
      </c>
    </row>
    <row r="103">
      <c r="A103" s="50" t="inlineStr">
        <is>
          <t>Brian Sengebush</t>
        </is>
      </c>
      <c r="B103" s="50" t="inlineStr">
        <is>
          <t>Amplify</t>
        </is>
      </c>
      <c r="C103" s="50" t="inlineStr">
        <is>
          <t>Constellation Brands</t>
        </is>
      </c>
      <c r="D103" s="50" t="inlineStr">
        <is>
          <t>Victoria</t>
        </is>
      </c>
      <c r="E103" s="46" t="n">
        <v>24</v>
      </c>
      <c r="F103" s="46" t="n">
        <v>37</v>
      </c>
      <c r="G103" s="48" t="n">
        <v>761.7</v>
      </c>
      <c r="H103" s="48" t="n">
        <v>1183.8</v>
      </c>
      <c r="I103" s="48" t="n">
        <v>184.68</v>
      </c>
      <c r="J103" s="48" t="n">
        <v>290.99</v>
      </c>
    </row>
    <row r="104">
      <c r="A104" s="50" t="inlineStr">
        <is>
          <t>Brian Sengebush</t>
        </is>
      </c>
      <c r="B104" s="50" t="inlineStr">
        <is>
          <t>Amplify</t>
        </is>
      </c>
      <c r="C104" s="50" t="inlineStr">
        <is>
          <t>Sapporo</t>
        </is>
      </c>
      <c r="D104" s="50" t="inlineStr">
        <is>
          <t>Sapporo</t>
        </is>
      </c>
      <c r="E104" s="46" t="n">
        <v>17</v>
      </c>
      <c r="F104" s="46" t="n">
        <v>23</v>
      </c>
      <c r="G104" s="48" t="n">
        <v>412.5</v>
      </c>
      <c r="H104" s="48" t="n">
        <v>558</v>
      </c>
      <c r="I104" s="48" t="n">
        <v>104.48</v>
      </c>
      <c r="J104" s="48" t="n">
        <v>153.07</v>
      </c>
    </row>
    <row r="105">
      <c r="A105" s="50" t="inlineStr">
        <is>
          <t>Brian Sengebush</t>
        </is>
      </c>
      <c r="B105" s="50" t="inlineStr">
        <is>
          <t>Amplify</t>
        </is>
      </c>
      <c r="C105" s="50" t="inlineStr">
        <is>
          <t>Bell's</t>
        </is>
      </c>
      <c r="D105" s="50" t="inlineStr">
        <is>
          <t>Bell's</t>
        </is>
      </c>
      <c r="E105" s="46" t="n">
        <v>7</v>
      </c>
      <c r="F105" s="46" t="n">
        <v>0</v>
      </c>
      <c r="G105" s="48" t="n">
        <v>204</v>
      </c>
      <c r="H105" s="48" t="n">
        <v>0</v>
      </c>
      <c r="I105" s="48" t="n">
        <v>59.95</v>
      </c>
      <c r="J105" s="48" t="n">
        <v>0</v>
      </c>
    </row>
    <row r="106">
      <c r="A106" s="50" t="inlineStr">
        <is>
          <t>Brian Sengebush</t>
        </is>
      </c>
      <c r="B106" s="50" t="inlineStr">
        <is>
          <t>Amplify</t>
        </is>
      </c>
      <c r="C106" s="50" t="inlineStr">
        <is>
          <t>New Belgium Brewing Company</t>
        </is>
      </c>
      <c r="D106" s="50" t="inlineStr">
        <is>
          <t>Fat Tire Family</t>
        </is>
      </c>
      <c r="E106" s="46" t="n">
        <v>104</v>
      </c>
      <c r="F106" s="46" t="n">
        <v>64</v>
      </c>
      <c r="G106" s="48" t="n">
        <v>3669.5</v>
      </c>
      <c r="H106" s="48" t="n">
        <v>2047.5</v>
      </c>
      <c r="I106" s="48" t="n">
        <v>944.17</v>
      </c>
      <c r="J106" s="48" t="n">
        <v>545.74</v>
      </c>
    </row>
    <row r="107">
      <c r="A107" s="50" t="inlineStr">
        <is>
          <t>Brian Sengebush</t>
        </is>
      </c>
      <c r="B107" s="50" t="inlineStr">
        <is>
          <t>Amplify</t>
        </is>
      </c>
      <c r="C107" s="50" t="inlineStr">
        <is>
          <t>New Belgium Brewing Company</t>
        </is>
      </c>
      <c r="D107" s="50" t="inlineStr">
        <is>
          <t>Voodoo Family</t>
        </is>
      </c>
      <c r="E107" s="46" t="n">
        <v>228</v>
      </c>
      <c r="F107" s="46" t="n">
        <v>286</v>
      </c>
      <c r="G107" s="48" t="n">
        <v>8787.41</v>
      </c>
      <c r="H107" s="48" t="n">
        <v>10978.69</v>
      </c>
      <c r="I107" s="48" t="n">
        <v>2275.38</v>
      </c>
      <c r="J107" s="48" t="n">
        <v>2922.65</v>
      </c>
    </row>
    <row r="108">
      <c r="A108" s="50" t="inlineStr">
        <is>
          <t>Brian Sengebush</t>
        </is>
      </c>
      <c r="B108" s="50" t="inlineStr">
        <is>
          <t>Amplify</t>
        </is>
      </c>
      <c r="C108" s="50" t="inlineStr">
        <is>
          <t>DG Yuengling Inc</t>
        </is>
      </c>
      <c r="D108" s="50" t="inlineStr">
        <is>
          <t>Yuengling Flight</t>
        </is>
      </c>
      <c r="E108" s="46" t="n">
        <v>41</v>
      </c>
      <c r="F108" s="46" t="n">
        <v>27</v>
      </c>
      <c r="G108" s="48" t="n">
        <v>989.13</v>
      </c>
      <c r="H108" s="48" t="n">
        <v>654.33</v>
      </c>
      <c r="I108" s="48" t="n">
        <v>289.56</v>
      </c>
      <c r="J108" s="48" t="n">
        <v>184.2</v>
      </c>
    </row>
    <row r="109">
      <c r="A109" s="50" t="inlineStr">
        <is>
          <t>Brian Sengebush</t>
        </is>
      </c>
      <c r="B109" s="50" t="inlineStr">
        <is>
          <t>Amplify</t>
        </is>
      </c>
      <c r="C109" s="50" t="inlineStr">
        <is>
          <t>DG Yuengling Inc</t>
        </is>
      </c>
      <c r="D109" s="50" t="inlineStr">
        <is>
          <t>Yuengling Light Lager</t>
        </is>
      </c>
      <c r="E109" s="46" t="n">
        <v>60</v>
      </c>
      <c r="F109" s="46" t="n">
        <v>54</v>
      </c>
      <c r="G109" s="48" t="n">
        <v>1352.6</v>
      </c>
      <c r="H109" s="48" t="n">
        <v>1222.9</v>
      </c>
      <c r="I109" s="48" t="n">
        <v>346.06</v>
      </c>
      <c r="J109" s="48" t="n">
        <v>316.79</v>
      </c>
    </row>
    <row r="110">
      <c r="A110" s="50" t="inlineStr">
        <is>
          <t>Brian Sengebush</t>
        </is>
      </c>
      <c r="B110" s="50" t="inlineStr">
        <is>
          <t>Qualifier</t>
        </is>
      </c>
      <c r="C110" s="50" t="inlineStr">
        <is>
          <t>MolsonCoors Beverage Company</t>
        </is>
      </c>
      <c r="D110" s="50" t="inlineStr">
        <is>
          <t>Blue Moon</t>
        </is>
      </c>
      <c r="E110" s="46" t="n">
        <v>1761</v>
      </c>
      <c r="F110" s="46" t="n">
        <v>1486</v>
      </c>
      <c r="G110" s="48" t="n">
        <v>57577.3</v>
      </c>
      <c r="H110" s="48" t="n">
        <v>47209.93</v>
      </c>
      <c r="I110" s="48" t="n">
        <v>19136.97</v>
      </c>
      <c r="J110" s="48" t="n">
        <v>15702.21</v>
      </c>
    </row>
    <row r="111">
      <c r="A111" s="50" t="inlineStr">
        <is>
          <t>Brian Sengebush</t>
        </is>
      </c>
      <c r="B111" s="50" t="inlineStr">
        <is>
          <t>Qualifier</t>
        </is>
      </c>
      <c r="C111" s="50" t="inlineStr">
        <is>
          <t>MolsonCoors Beverage Company</t>
        </is>
      </c>
      <c r="D111" s="50" t="inlineStr">
        <is>
          <t>Coors Light</t>
        </is>
      </c>
      <c r="E111" s="46" t="n">
        <v>5116</v>
      </c>
      <c r="F111" s="46" t="n">
        <v>4824</v>
      </c>
      <c r="G111" s="48" t="n">
        <v>109902.15</v>
      </c>
      <c r="H111" s="48" t="n">
        <v>105329.56</v>
      </c>
      <c r="I111" s="48" t="n">
        <v>29110.16</v>
      </c>
      <c r="J111" s="48" t="n">
        <v>27946.14</v>
      </c>
    </row>
    <row r="112">
      <c r="A112" s="50" t="inlineStr">
        <is>
          <t>Brian Sengebush</t>
        </is>
      </c>
      <c r="B112" s="50" t="inlineStr">
        <is>
          <t>Qualifier</t>
        </is>
      </c>
      <c r="C112" s="50" t="inlineStr">
        <is>
          <t>MolsonCoors Beverage Company</t>
        </is>
      </c>
      <c r="D112" s="50" t="inlineStr">
        <is>
          <t>Lite</t>
        </is>
      </c>
      <c r="E112" s="46" t="n">
        <v>9447</v>
      </c>
      <c r="F112" s="46" t="n">
        <v>8503</v>
      </c>
      <c r="G112" s="48" t="n">
        <v>197642.33</v>
      </c>
      <c r="H112" s="48" t="n">
        <v>183295.27</v>
      </c>
      <c r="I112" s="48" t="n">
        <v>44398.47</v>
      </c>
      <c r="J112" s="48" t="n">
        <v>42276.14</v>
      </c>
    </row>
    <row r="113">
      <c r="A113" s="50" t="inlineStr">
        <is>
          <t>Brian Sengebush</t>
        </is>
      </c>
      <c r="B113" s="50" t="inlineStr">
        <is>
          <t>Qualifier</t>
        </is>
      </c>
      <c r="C113" s="50" t="inlineStr">
        <is>
          <t>Constellation Brands</t>
        </is>
      </c>
      <c r="D113" s="50" t="inlineStr">
        <is>
          <t>Corona Extra</t>
        </is>
      </c>
      <c r="E113" s="46" t="n">
        <v>3811</v>
      </c>
      <c r="F113" s="46" t="n">
        <v>3427</v>
      </c>
      <c r="G113" s="48" t="n">
        <v>128196.66</v>
      </c>
      <c r="H113" s="48" t="n">
        <v>115477.41</v>
      </c>
      <c r="I113" s="48" t="n">
        <v>35815.55</v>
      </c>
      <c r="J113" s="48" t="n">
        <v>32661.16</v>
      </c>
    </row>
    <row r="114">
      <c r="A114" s="50" t="inlineStr">
        <is>
          <t>Brian Sengebush</t>
        </is>
      </c>
      <c r="B114" s="50" t="inlineStr">
        <is>
          <t>Qualifier</t>
        </is>
      </c>
      <c r="C114" s="50" t="inlineStr">
        <is>
          <t>Constellation Brands</t>
        </is>
      </c>
      <c r="D114" s="50" t="inlineStr">
        <is>
          <t>Modelo Especial</t>
        </is>
      </c>
      <c r="E114" s="46" t="n">
        <v>1643</v>
      </c>
      <c r="F114" s="46" t="n">
        <v>1606</v>
      </c>
      <c r="G114" s="48" t="n">
        <v>50015.68</v>
      </c>
      <c r="H114" s="48" t="n">
        <v>49280.5</v>
      </c>
      <c r="I114" s="48" t="n">
        <v>12140.51</v>
      </c>
      <c r="J114" s="48" t="n">
        <v>12562.22</v>
      </c>
    </row>
    <row r="115">
      <c r="A115" s="50" t="inlineStr">
        <is>
          <t>Brian Sengebush</t>
        </is>
      </c>
      <c r="B115" s="50" t="inlineStr">
        <is>
          <t>Qualifier</t>
        </is>
      </c>
      <c r="C115" s="50" t="inlineStr">
        <is>
          <t>Boston Beer Company</t>
        </is>
      </c>
      <c r="D115" s="50" t="inlineStr">
        <is>
          <t>Truly</t>
        </is>
      </c>
      <c r="E115" s="46" t="n">
        <v>193</v>
      </c>
      <c r="F115" s="46" t="n">
        <v>70</v>
      </c>
      <c r="G115" s="48" t="n">
        <v>5813.93</v>
      </c>
      <c r="H115" s="48" t="n">
        <v>2301.79</v>
      </c>
      <c r="I115" s="48" t="n">
        <v>1334.78</v>
      </c>
      <c r="J115" s="48" t="n">
        <v>481.27</v>
      </c>
    </row>
    <row r="116">
      <c r="A116" s="50" t="inlineStr">
        <is>
          <t>Brian Sengebush</t>
        </is>
      </c>
      <c r="B116" s="50" t="inlineStr">
        <is>
          <t>Qualifier</t>
        </is>
      </c>
      <c r="C116" s="50" t="inlineStr">
        <is>
          <t>Boston Beer Company</t>
        </is>
      </c>
      <c r="D116" s="50" t="inlineStr">
        <is>
          <t>Twisted Tea</t>
        </is>
      </c>
      <c r="E116" s="46" t="n">
        <v>1383</v>
      </c>
      <c r="F116" s="46" t="n">
        <v>1005</v>
      </c>
      <c r="G116" s="48" t="n">
        <v>42407.09</v>
      </c>
      <c r="H116" s="48" t="n">
        <v>31223.69</v>
      </c>
      <c r="I116" s="48" t="n">
        <v>11425.83</v>
      </c>
      <c r="J116" s="48" t="n">
        <v>8564.42</v>
      </c>
    </row>
    <row r="117">
      <c r="A117" s="50" t="inlineStr">
        <is>
          <t>Brian Sengebush</t>
        </is>
      </c>
      <c r="B117" s="50" t="inlineStr">
        <is>
          <t>Qualifier</t>
        </is>
      </c>
      <c r="C117" s="50" t="inlineStr">
        <is>
          <t>Mark Anthony</t>
        </is>
      </c>
      <c r="D117" s="50" t="inlineStr">
        <is>
          <t>White Claw</t>
        </is>
      </c>
      <c r="E117" s="46" t="n">
        <v>1634</v>
      </c>
      <c r="F117" s="46" t="n">
        <v>1156</v>
      </c>
      <c r="G117" s="48" t="n">
        <v>53545.21</v>
      </c>
      <c r="H117" s="48" t="n">
        <v>38801.23</v>
      </c>
      <c r="I117" s="48" t="n">
        <v>13016.03</v>
      </c>
      <c r="J117" s="48" t="n">
        <v>9453.030000000001</v>
      </c>
    </row>
    <row r="118">
      <c r="A118" s="50" t="inlineStr">
        <is>
          <t>Brian Sengebush</t>
        </is>
      </c>
      <c r="B118" s="50" t="inlineStr">
        <is>
          <t>Qualifier</t>
        </is>
      </c>
      <c r="C118" s="50" t="inlineStr">
        <is>
          <t>DG Yuengling Inc</t>
        </is>
      </c>
      <c r="D118" s="50" t="inlineStr">
        <is>
          <t>Yuengling Lager</t>
        </is>
      </c>
      <c r="E118" s="46" t="n">
        <v>4960</v>
      </c>
      <c r="F118" s="46" t="n">
        <v>4375</v>
      </c>
      <c r="G118" s="48" t="n">
        <v>102724.88</v>
      </c>
      <c r="H118" s="48" t="n">
        <v>90003.67999999999</v>
      </c>
      <c r="I118" s="48" t="n">
        <v>29766.73</v>
      </c>
      <c r="J118" s="48" t="n">
        <v>26385.8</v>
      </c>
    </row>
    <row r="119">
      <c r="A119" s="50" t="inlineStr">
        <is>
          <t>Chris Payton</t>
        </is>
      </c>
      <c r="B119" s="50" t="inlineStr">
        <is>
          <t>Amplify</t>
        </is>
      </c>
      <c r="C119" s="50" t="inlineStr">
        <is>
          <t>Cape May</t>
        </is>
      </c>
      <c r="D119" s="50" t="inlineStr">
        <is>
          <t>Cape May</t>
        </is>
      </c>
      <c r="E119" s="46" t="n">
        <v>247</v>
      </c>
      <c r="F119" s="46" t="n">
        <v>255</v>
      </c>
      <c r="G119" s="48" t="n">
        <v>10208.4</v>
      </c>
      <c r="H119" s="48" t="n">
        <v>10024.3</v>
      </c>
      <c r="I119" s="48" t="n">
        <v>3006.92</v>
      </c>
      <c r="J119" s="48" t="n">
        <v>2983.84</v>
      </c>
    </row>
    <row r="120">
      <c r="A120" s="50" t="inlineStr">
        <is>
          <t>Chris Payton</t>
        </is>
      </c>
      <c r="B120" s="50" t="inlineStr">
        <is>
          <t>Amplify</t>
        </is>
      </c>
      <c r="C120" s="50" t="inlineStr">
        <is>
          <t>Mark Anthony</t>
        </is>
      </c>
      <c r="D120" s="50" t="inlineStr">
        <is>
          <t>Cayman Jack</t>
        </is>
      </c>
      <c r="E120" s="46" t="n">
        <v>1005</v>
      </c>
      <c r="F120" s="46" t="n">
        <v>1253</v>
      </c>
      <c r="G120" s="48" t="n">
        <v>31757.75</v>
      </c>
      <c r="H120" s="48" t="n">
        <v>39491.5</v>
      </c>
      <c r="I120" s="48" t="n">
        <v>7545.42</v>
      </c>
      <c r="J120" s="48" t="n">
        <v>9275.280000000001</v>
      </c>
    </row>
    <row r="121">
      <c r="A121" s="50" t="inlineStr">
        <is>
          <t>Chris Payton</t>
        </is>
      </c>
      <c r="B121" s="50" t="inlineStr">
        <is>
          <t>Amplify</t>
        </is>
      </c>
      <c r="C121" s="50" t="inlineStr">
        <is>
          <t>Mark Anthony</t>
        </is>
      </c>
      <c r="D121" s="50" t="inlineStr">
        <is>
          <t>Mike's Harder</t>
        </is>
      </c>
      <c r="E121" s="46" t="n">
        <v>224</v>
      </c>
      <c r="F121" s="46" t="n">
        <v>257</v>
      </c>
      <c r="G121" s="48" t="n">
        <v>6211</v>
      </c>
      <c r="H121" s="48" t="n">
        <v>7647.5</v>
      </c>
      <c r="I121" s="48" t="n">
        <v>1364.28</v>
      </c>
      <c r="J121" s="48" t="n">
        <v>1647.92</v>
      </c>
    </row>
    <row r="122">
      <c r="A122" s="50" t="inlineStr">
        <is>
          <t>Chris Payton</t>
        </is>
      </c>
      <c r="B122" s="50" t="inlineStr">
        <is>
          <t>Amplify</t>
        </is>
      </c>
      <c r="C122" s="50" t="inlineStr">
        <is>
          <t>Mark Anthony</t>
        </is>
      </c>
      <c r="D122" s="50" t="inlineStr">
        <is>
          <t>Mxd Cocktails</t>
        </is>
      </c>
      <c r="E122" s="46" t="n">
        <v>0</v>
      </c>
      <c r="F122" s="46" t="n">
        <v>16</v>
      </c>
      <c r="G122" s="48" t="n">
        <v>0</v>
      </c>
      <c r="H122" s="48" t="n">
        <v>384</v>
      </c>
      <c r="I122" s="48" t="n">
        <v>0</v>
      </c>
      <c r="J122" s="48" t="n">
        <v>72.48</v>
      </c>
    </row>
    <row r="123">
      <c r="A123" s="50" t="inlineStr">
        <is>
          <t>Chris Payton</t>
        </is>
      </c>
      <c r="B123" s="50" t="inlineStr">
        <is>
          <t>Amplify</t>
        </is>
      </c>
      <c r="C123" s="50" t="inlineStr">
        <is>
          <t>MolsonCoors Beverage Company</t>
        </is>
      </c>
      <c r="D123" s="50" t="inlineStr">
        <is>
          <t>Coors</t>
        </is>
      </c>
      <c r="E123" s="46" t="n">
        <v>1308</v>
      </c>
      <c r="F123" s="46" t="n">
        <v>1321</v>
      </c>
      <c r="G123" s="48" t="n">
        <v>25775.5</v>
      </c>
      <c r="H123" s="48" t="n">
        <v>27948.2</v>
      </c>
      <c r="I123" s="48" t="n">
        <v>5891.45</v>
      </c>
      <c r="J123" s="48" t="n">
        <v>6770.32</v>
      </c>
    </row>
    <row r="124">
      <c r="A124" s="50" t="inlineStr">
        <is>
          <t>Chris Payton</t>
        </is>
      </c>
      <c r="B124" s="50" t="inlineStr">
        <is>
          <t>Amplify</t>
        </is>
      </c>
      <c r="C124" s="50" t="inlineStr">
        <is>
          <t>MolsonCoors Beverage Company</t>
        </is>
      </c>
      <c r="D124" s="50" t="inlineStr">
        <is>
          <t>Fever Tree</t>
        </is>
      </c>
      <c r="E124" s="46" t="n">
        <v>94</v>
      </c>
      <c r="F124" s="46" t="n">
        <v>116</v>
      </c>
      <c r="G124" s="48" t="n">
        <v>4317.5</v>
      </c>
      <c r="H124" s="48" t="n">
        <v>5231</v>
      </c>
      <c r="I124" s="48" t="n">
        <v>1455.69</v>
      </c>
      <c r="J124" s="48" t="n">
        <v>1753.4</v>
      </c>
    </row>
    <row r="125">
      <c r="A125" s="50" t="inlineStr">
        <is>
          <t>Chris Payton</t>
        </is>
      </c>
      <c r="B125" s="50" t="inlineStr">
        <is>
          <t>Amplify</t>
        </is>
      </c>
      <c r="C125" s="50" t="inlineStr">
        <is>
          <t>MolsonCoors Beverage Company</t>
        </is>
      </c>
      <c r="D125" s="50" t="inlineStr">
        <is>
          <t>Peroni</t>
        </is>
      </c>
      <c r="E125" s="46" t="n">
        <v>1033</v>
      </c>
      <c r="F125" s="46" t="n">
        <v>1069</v>
      </c>
      <c r="G125" s="48" t="n">
        <v>35543.25</v>
      </c>
      <c r="H125" s="48" t="n">
        <v>35984.2</v>
      </c>
      <c r="I125" s="48" t="n">
        <v>7117.55</v>
      </c>
      <c r="J125" s="48" t="n">
        <v>6946.37</v>
      </c>
    </row>
    <row r="126">
      <c r="A126" s="50" t="inlineStr">
        <is>
          <t>Chris Payton</t>
        </is>
      </c>
      <c r="B126" s="50" t="inlineStr">
        <is>
          <t>Amplify</t>
        </is>
      </c>
      <c r="C126" s="50" t="inlineStr">
        <is>
          <t>Boston Beer Company</t>
        </is>
      </c>
      <c r="D126" s="50" t="inlineStr">
        <is>
          <t>Dogfish Head Beer</t>
        </is>
      </c>
      <c r="E126" s="46" t="n">
        <v>334</v>
      </c>
      <c r="F126" s="46" t="n">
        <v>306</v>
      </c>
      <c r="G126" s="48" t="n">
        <v>12384.4</v>
      </c>
      <c r="H126" s="48" t="n">
        <v>11147.1</v>
      </c>
      <c r="I126" s="48" t="n">
        <v>3279.4</v>
      </c>
      <c r="J126" s="48" t="n">
        <v>2847.35</v>
      </c>
    </row>
    <row r="127">
      <c r="A127" s="50" t="inlineStr">
        <is>
          <t>Chris Payton</t>
        </is>
      </c>
      <c r="B127" s="50" t="inlineStr">
        <is>
          <t>Amplify</t>
        </is>
      </c>
      <c r="C127" s="50" t="inlineStr">
        <is>
          <t>Boston Beer Company</t>
        </is>
      </c>
      <c r="D127" s="50" t="inlineStr">
        <is>
          <t>Dogfish Head Spirits</t>
        </is>
      </c>
      <c r="E127" s="46" t="n">
        <v>40</v>
      </c>
      <c r="F127" s="46" t="n">
        <v>88</v>
      </c>
      <c r="G127" s="48" t="n">
        <v>1928</v>
      </c>
      <c r="H127" s="48" t="n">
        <v>3902</v>
      </c>
      <c r="I127" s="48" t="n">
        <v>744.25</v>
      </c>
      <c r="J127" s="48" t="n">
        <v>1250.49</v>
      </c>
    </row>
    <row r="128">
      <c r="A128" s="50" t="inlineStr">
        <is>
          <t>Chris Payton</t>
        </is>
      </c>
      <c r="B128" s="50" t="inlineStr">
        <is>
          <t>Amplify</t>
        </is>
      </c>
      <c r="C128" s="50" t="inlineStr">
        <is>
          <t>Heineken USA</t>
        </is>
      </c>
      <c r="D128" s="50" t="inlineStr">
        <is>
          <t>Heineken 0.0</t>
        </is>
      </c>
      <c r="E128" s="46" t="n">
        <v>560</v>
      </c>
      <c r="F128" s="46" t="n">
        <v>608</v>
      </c>
      <c r="G128" s="48" t="n">
        <v>18899.6</v>
      </c>
      <c r="H128" s="48" t="n">
        <v>20475.1</v>
      </c>
      <c r="I128" s="48" t="n">
        <v>5020.7</v>
      </c>
      <c r="J128" s="48" t="n">
        <v>5407.97</v>
      </c>
    </row>
    <row r="129">
      <c r="A129" s="50" t="inlineStr">
        <is>
          <t>Chris Payton</t>
        </is>
      </c>
      <c r="B129" s="50" t="inlineStr">
        <is>
          <t>Amplify</t>
        </is>
      </c>
      <c r="C129" s="50" t="inlineStr">
        <is>
          <t>Heineken USA</t>
        </is>
      </c>
      <c r="D129" s="50" t="inlineStr">
        <is>
          <t>Heineken Light</t>
        </is>
      </c>
      <c r="E129" s="46" t="n">
        <v>772</v>
      </c>
      <c r="F129" s="46" t="n">
        <v>628</v>
      </c>
      <c r="G129" s="48" t="n">
        <v>24038.9</v>
      </c>
      <c r="H129" s="48" t="n">
        <v>19408.6</v>
      </c>
      <c r="I129" s="48" t="n">
        <v>5694.77</v>
      </c>
      <c r="J129" s="48" t="n">
        <v>4485.97</v>
      </c>
    </row>
    <row r="130">
      <c r="A130" s="50" t="inlineStr">
        <is>
          <t>Chris Payton</t>
        </is>
      </c>
      <c r="B130" s="50" t="inlineStr">
        <is>
          <t>Amplify</t>
        </is>
      </c>
      <c r="C130" s="50" t="inlineStr">
        <is>
          <t>Constellation Brands</t>
        </is>
      </c>
      <c r="D130" s="50" t="inlineStr">
        <is>
          <t>Corona Premier</t>
        </is>
      </c>
      <c r="E130" s="46" t="n">
        <v>837</v>
      </c>
      <c r="F130" s="46" t="n">
        <v>702</v>
      </c>
      <c r="G130" s="48" t="n">
        <v>26133.2</v>
      </c>
      <c r="H130" s="48" t="n">
        <v>18991.25</v>
      </c>
      <c r="I130" s="48" t="n">
        <v>5545.76</v>
      </c>
      <c r="J130" s="48" t="n">
        <v>4740.93</v>
      </c>
    </row>
    <row r="131">
      <c r="A131" s="50" t="inlineStr">
        <is>
          <t>Chris Payton</t>
        </is>
      </c>
      <c r="B131" s="50" t="inlineStr">
        <is>
          <t>Amplify</t>
        </is>
      </c>
      <c r="C131" s="50" t="inlineStr">
        <is>
          <t>Constellation Brands</t>
        </is>
      </c>
      <c r="D131" s="50" t="inlineStr">
        <is>
          <t>Modelo Chelada</t>
        </is>
      </c>
      <c r="E131" s="46" t="n">
        <v>1716</v>
      </c>
      <c r="F131" s="46" t="n">
        <v>2102</v>
      </c>
      <c r="G131" s="48" t="n">
        <v>53034.05</v>
      </c>
      <c r="H131" s="48" t="n">
        <v>64758.9</v>
      </c>
      <c r="I131" s="48" t="n">
        <v>13253.77</v>
      </c>
      <c r="J131" s="48" t="n">
        <v>16200.18</v>
      </c>
    </row>
    <row r="132">
      <c r="A132" s="50" t="inlineStr">
        <is>
          <t>Chris Payton</t>
        </is>
      </c>
      <c r="B132" s="50" t="inlineStr">
        <is>
          <t>Amplify</t>
        </is>
      </c>
      <c r="C132" s="50" t="inlineStr">
        <is>
          <t>Constellation Brands</t>
        </is>
      </c>
      <c r="D132" s="50" t="inlineStr">
        <is>
          <t>Pacifico</t>
        </is>
      </c>
      <c r="E132" s="46" t="n">
        <v>824</v>
      </c>
      <c r="F132" s="46" t="n">
        <v>1097</v>
      </c>
      <c r="G132" s="48" t="n">
        <v>25741.8</v>
      </c>
      <c r="H132" s="48" t="n">
        <v>34262.1</v>
      </c>
      <c r="I132" s="48" t="n">
        <v>6023.98</v>
      </c>
      <c r="J132" s="48" t="n">
        <v>8048.59</v>
      </c>
    </row>
    <row r="133">
      <c r="A133" s="50" t="inlineStr">
        <is>
          <t>Chris Payton</t>
        </is>
      </c>
      <c r="B133" s="50" t="inlineStr">
        <is>
          <t>Amplify</t>
        </is>
      </c>
      <c r="C133" s="50" t="inlineStr">
        <is>
          <t>Constellation Brands</t>
        </is>
      </c>
      <c r="D133" s="50" t="inlineStr">
        <is>
          <t>Victoria</t>
        </is>
      </c>
      <c r="E133" s="46" t="n">
        <v>1055</v>
      </c>
      <c r="F133" s="46" t="n">
        <v>1049</v>
      </c>
      <c r="G133" s="48" t="n">
        <v>32096.6</v>
      </c>
      <c r="H133" s="48" t="n">
        <v>31866.5</v>
      </c>
      <c r="I133" s="48" t="n">
        <v>7481.56</v>
      </c>
      <c r="J133" s="48" t="n">
        <v>7489.96</v>
      </c>
    </row>
    <row r="134">
      <c r="A134" s="50" t="inlineStr">
        <is>
          <t>Chris Payton</t>
        </is>
      </c>
      <c r="B134" s="50" t="inlineStr">
        <is>
          <t>Amplify</t>
        </is>
      </c>
      <c r="C134" s="50" t="inlineStr">
        <is>
          <t>Sapporo</t>
        </is>
      </c>
      <c r="D134" s="50" t="inlineStr">
        <is>
          <t>Sapporo</t>
        </is>
      </c>
      <c r="E134" s="46" t="n">
        <v>762</v>
      </c>
      <c r="F134" s="46" t="n">
        <v>951</v>
      </c>
      <c r="G134" s="48" t="n">
        <v>22208.75</v>
      </c>
      <c r="H134" s="48" t="n">
        <v>26990.5</v>
      </c>
      <c r="I134" s="48" t="n">
        <v>5730.1</v>
      </c>
      <c r="J134" s="48" t="n">
        <v>7044.94</v>
      </c>
    </row>
    <row r="135">
      <c r="A135" s="50" t="inlineStr">
        <is>
          <t>Chris Payton</t>
        </is>
      </c>
      <c r="B135" s="50" t="inlineStr">
        <is>
          <t>Amplify</t>
        </is>
      </c>
      <c r="C135" s="50" t="inlineStr">
        <is>
          <t>Bell's</t>
        </is>
      </c>
      <c r="D135" s="50" t="inlineStr">
        <is>
          <t>Bell's</t>
        </is>
      </c>
      <c r="E135" s="46" t="n">
        <v>4</v>
      </c>
      <c r="F135" s="46" t="n">
        <v>6</v>
      </c>
      <c r="G135" s="48" t="n">
        <v>144.7</v>
      </c>
      <c r="H135" s="48" t="n">
        <v>210.4</v>
      </c>
      <c r="I135" s="48" t="n">
        <v>48.22</v>
      </c>
      <c r="J135" s="48" t="n">
        <v>75.12</v>
      </c>
    </row>
    <row r="136">
      <c r="A136" s="50" t="inlineStr">
        <is>
          <t>Chris Payton</t>
        </is>
      </c>
      <c r="B136" s="50" t="inlineStr">
        <is>
          <t>Amplify</t>
        </is>
      </c>
      <c r="C136" s="50" t="inlineStr">
        <is>
          <t>New Belgium Brewing Company</t>
        </is>
      </c>
      <c r="D136" s="50" t="inlineStr">
        <is>
          <t>Fat Tire Family</t>
        </is>
      </c>
      <c r="E136" s="46" t="n">
        <v>54</v>
      </c>
      <c r="F136" s="46" t="n">
        <v>34</v>
      </c>
      <c r="G136" s="48" t="n">
        <v>1803.35</v>
      </c>
      <c r="H136" s="48" t="n">
        <v>1068.6</v>
      </c>
      <c r="I136" s="48" t="n">
        <v>419.35</v>
      </c>
      <c r="J136" s="48" t="n">
        <v>245.32</v>
      </c>
    </row>
    <row r="137">
      <c r="A137" s="50" t="inlineStr">
        <is>
          <t>Chris Payton</t>
        </is>
      </c>
      <c r="B137" s="50" t="inlineStr">
        <is>
          <t>Amplify</t>
        </is>
      </c>
      <c r="C137" s="50" t="inlineStr">
        <is>
          <t>New Belgium Brewing Company</t>
        </is>
      </c>
      <c r="D137" s="50" t="inlineStr">
        <is>
          <t>Kirin Ichiban</t>
        </is>
      </c>
      <c r="E137" s="46" t="n">
        <v>10</v>
      </c>
      <c r="F137" s="46" t="n">
        <v>23</v>
      </c>
      <c r="G137" s="48" t="n">
        <v>315</v>
      </c>
      <c r="H137" s="48" t="n">
        <v>738</v>
      </c>
      <c r="I137" s="48" t="n">
        <v>73.2</v>
      </c>
      <c r="J137" s="48" t="n">
        <v>181.86</v>
      </c>
    </row>
    <row r="138">
      <c r="A138" s="50" t="inlineStr">
        <is>
          <t>Chris Payton</t>
        </is>
      </c>
      <c r="B138" s="50" t="inlineStr">
        <is>
          <t>Amplify</t>
        </is>
      </c>
      <c r="C138" s="50" t="inlineStr">
        <is>
          <t>New Belgium Brewing Company</t>
        </is>
      </c>
      <c r="D138" s="50" t="inlineStr">
        <is>
          <t>Voodoo Family</t>
        </is>
      </c>
      <c r="E138" s="46" t="n">
        <v>764</v>
      </c>
      <c r="F138" s="46" t="n">
        <v>908</v>
      </c>
      <c r="G138" s="48" t="n">
        <v>27623</v>
      </c>
      <c r="H138" s="48" t="n">
        <v>32494</v>
      </c>
      <c r="I138" s="48" t="n">
        <v>6984.64</v>
      </c>
      <c r="J138" s="48" t="n">
        <v>8198.48</v>
      </c>
    </row>
    <row r="139">
      <c r="A139" s="50" t="inlineStr">
        <is>
          <t>Chris Payton</t>
        </is>
      </c>
      <c r="B139" s="50" t="inlineStr">
        <is>
          <t>Amplify</t>
        </is>
      </c>
      <c r="C139" s="50" t="inlineStr">
        <is>
          <t>DG Yuengling Inc</t>
        </is>
      </c>
      <c r="D139" s="50" t="inlineStr">
        <is>
          <t>Yuengling Flight</t>
        </is>
      </c>
      <c r="E139" s="46" t="n">
        <v>113</v>
      </c>
      <c r="F139" s="46" t="n">
        <v>69</v>
      </c>
      <c r="G139" s="48" t="n">
        <v>2675.85</v>
      </c>
      <c r="H139" s="48" t="n">
        <v>1483.85</v>
      </c>
      <c r="I139" s="48" t="n">
        <v>746.27</v>
      </c>
      <c r="J139" s="48" t="n">
        <v>385.2</v>
      </c>
    </row>
    <row r="140">
      <c r="A140" s="50" t="inlineStr">
        <is>
          <t>Chris Payton</t>
        </is>
      </c>
      <c r="B140" s="50" t="inlineStr">
        <is>
          <t>Amplify</t>
        </is>
      </c>
      <c r="C140" s="50" t="inlineStr">
        <is>
          <t>DG Yuengling Inc</t>
        </is>
      </c>
      <c r="D140" s="50" t="inlineStr">
        <is>
          <t>Yuengling Light Lager</t>
        </is>
      </c>
      <c r="E140" s="46" t="n">
        <v>22</v>
      </c>
      <c r="F140" s="46" t="n">
        <v>26</v>
      </c>
      <c r="G140" s="48" t="n">
        <v>590.8</v>
      </c>
      <c r="H140" s="48" t="n">
        <v>686.4</v>
      </c>
      <c r="I140" s="48" t="n">
        <v>175.52</v>
      </c>
      <c r="J140" s="48" t="n">
        <v>209.88</v>
      </c>
    </row>
    <row r="141">
      <c r="A141" s="50" t="inlineStr">
        <is>
          <t>Chris Payton</t>
        </is>
      </c>
      <c r="B141" s="50" t="inlineStr">
        <is>
          <t>Qualifier</t>
        </is>
      </c>
      <c r="C141" s="50" t="inlineStr">
        <is>
          <t>MolsonCoors Beverage Company</t>
        </is>
      </c>
      <c r="D141" s="50" t="inlineStr">
        <is>
          <t>Blue Moon</t>
        </is>
      </c>
      <c r="E141" s="46" t="n">
        <v>1525</v>
      </c>
      <c r="F141" s="46" t="n">
        <v>1417</v>
      </c>
      <c r="G141" s="48" t="n">
        <v>49009.55</v>
      </c>
      <c r="H141" s="48" t="n">
        <v>45681.1</v>
      </c>
      <c r="I141" s="48" t="n">
        <v>10925.09</v>
      </c>
      <c r="J141" s="48" t="n">
        <v>10320.96</v>
      </c>
    </row>
    <row r="142">
      <c r="A142" s="50" t="inlineStr">
        <is>
          <t>Chris Payton</t>
        </is>
      </c>
      <c r="B142" s="50" t="inlineStr">
        <is>
          <t>Qualifier</t>
        </is>
      </c>
      <c r="C142" s="50" t="inlineStr">
        <is>
          <t>MolsonCoors Beverage Company</t>
        </is>
      </c>
      <c r="D142" s="50" t="inlineStr">
        <is>
          <t>Coors Light</t>
        </is>
      </c>
      <c r="E142" s="46" t="n">
        <v>12733</v>
      </c>
      <c r="F142" s="46" t="n">
        <v>10715</v>
      </c>
      <c r="G142" s="48" t="n">
        <v>265163.3</v>
      </c>
      <c r="H142" s="48" t="n">
        <v>226936.25</v>
      </c>
      <c r="I142" s="48" t="n">
        <v>65843.66</v>
      </c>
      <c r="J142" s="48" t="n">
        <v>56894.38</v>
      </c>
    </row>
    <row r="143">
      <c r="A143" s="50" t="inlineStr">
        <is>
          <t>Chris Payton</t>
        </is>
      </c>
      <c r="B143" s="50" t="inlineStr">
        <is>
          <t>Qualifier</t>
        </is>
      </c>
      <c r="C143" s="50" t="inlineStr">
        <is>
          <t>MolsonCoors Beverage Company</t>
        </is>
      </c>
      <c r="D143" s="50" t="inlineStr">
        <is>
          <t>Lite</t>
        </is>
      </c>
      <c r="E143" s="46" t="n">
        <v>4677</v>
      </c>
      <c r="F143" s="46" t="n">
        <v>4619</v>
      </c>
      <c r="G143" s="48" t="n">
        <v>103051.6</v>
      </c>
      <c r="H143" s="48" t="n">
        <v>103383.1</v>
      </c>
      <c r="I143" s="48" t="n">
        <v>24749.05</v>
      </c>
      <c r="J143" s="48" t="n">
        <v>25184.57</v>
      </c>
    </row>
    <row r="144">
      <c r="A144" s="50" t="inlineStr">
        <is>
          <t>Chris Payton</t>
        </is>
      </c>
      <c r="B144" s="50" t="inlineStr">
        <is>
          <t>Qualifier</t>
        </is>
      </c>
      <c r="C144" s="50" t="inlineStr">
        <is>
          <t>Heineken USA</t>
        </is>
      </c>
      <c r="D144" s="50" t="inlineStr">
        <is>
          <t>Heineken USA</t>
        </is>
      </c>
      <c r="E144" s="46" t="n">
        <v>9290</v>
      </c>
      <c r="F144" s="46" t="n">
        <v>8869</v>
      </c>
      <c r="G144" s="48" t="n">
        <v>289980.05</v>
      </c>
      <c r="H144" s="48" t="n">
        <v>274016.6</v>
      </c>
      <c r="I144" s="48" t="n">
        <v>69522.09</v>
      </c>
      <c r="J144" s="48" t="n">
        <v>63569.21</v>
      </c>
    </row>
    <row r="145">
      <c r="A145" s="50" t="inlineStr">
        <is>
          <t>Chris Payton</t>
        </is>
      </c>
      <c r="B145" s="50" t="inlineStr">
        <is>
          <t>Qualifier</t>
        </is>
      </c>
      <c r="C145" s="50" t="inlineStr">
        <is>
          <t>Constellation Brands</t>
        </is>
      </c>
      <c r="D145" s="50" t="inlineStr">
        <is>
          <t>Corona Extra</t>
        </is>
      </c>
      <c r="E145" s="46" t="n">
        <v>25560</v>
      </c>
      <c r="F145" s="46" t="n">
        <v>24622</v>
      </c>
      <c r="G145" s="48" t="n">
        <v>825487.35</v>
      </c>
      <c r="H145" s="48" t="n">
        <v>799322.1</v>
      </c>
      <c r="I145" s="48" t="n">
        <v>193548.42</v>
      </c>
      <c r="J145" s="48" t="n">
        <v>192353.84</v>
      </c>
    </row>
    <row r="146">
      <c r="A146" s="50" t="inlineStr">
        <is>
          <t>Chris Payton</t>
        </is>
      </c>
      <c r="B146" s="50" t="inlineStr">
        <is>
          <t>Qualifier</t>
        </is>
      </c>
      <c r="C146" s="50" t="inlineStr">
        <is>
          <t>Constellation Brands</t>
        </is>
      </c>
      <c r="D146" s="50" t="inlineStr">
        <is>
          <t>Modelo Especial</t>
        </is>
      </c>
      <c r="E146" s="46" t="n">
        <v>19685</v>
      </c>
      <c r="F146" s="46" t="n">
        <v>20168</v>
      </c>
      <c r="G146" s="48" t="n">
        <v>607645.45</v>
      </c>
      <c r="H146" s="48" t="n">
        <v>622734.65</v>
      </c>
      <c r="I146" s="48" t="n">
        <v>135703.61</v>
      </c>
      <c r="J146" s="48" t="n">
        <v>144459.72</v>
      </c>
    </row>
    <row r="147">
      <c r="A147" s="50" t="inlineStr">
        <is>
          <t>Chris Payton</t>
        </is>
      </c>
      <c r="B147" s="50" t="inlineStr">
        <is>
          <t>Qualifier</t>
        </is>
      </c>
      <c r="C147" s="50" t="inlineStr">
        <is>
          <t>Boston Beer Company</t>
        </is>
      </c>
      <c r="D147" s="50" t="inlineStr">
        <is>
          <t>Truly</t>
        </is>
      </c>
      <c r="E147" s="46" t="n">
        <v>539</v>
      </c>
      <c r="F147" s="46" t="n">
        <v>453</v>
      </c>
      <c r="G147" s="48" t="n">
        <v>15386.85</v>
      </c>
      <c r="H147" s="48" t="n">
        <v>13434.4</v>
      </c>
      <c r="I147" s="48" t="n">
        <v>3308.5</v>
      </c>
      <c r="J147" s="48" t="n">
        <v>3189.38</v>
      </c>
    </row>
    <row r="148">
      <c r="A148" s="50" t="inlineStr">
        <is>
          <t>Chris Payton</t>
        </is>
      </c>
      <c r="B148" s="50" t="inlineStr">
        <is>
          <t>Qualifier</t>
        </is>
      </c>
      <c r="C148" s="50" t="inlineStr">
        <is>
          <t>Boston Beer Company</t>
        </is>
      </c>
      <c r="D148" s="50" t="inlineStr">
        <is>
          <t>Twisted Tea</t>
        </is>
      </c>
      <c r="E148" s="46" t="n">
        <v>1897</v>
      </c>
      <c r="F148" s="46" t="n">
        <v>1592</v>
      </c>
      <c r="G148" s="48" t="n">
        <v>55863</v>
      </c>
      <c r="H148" s="48" t="n">
        <v>47253.25</v>
      </c>
      <c r="I148" s="48" t="n">
        <v>14626.74</v>
      </c>
      <c r="J148" s="48" t="n">
        <v>12465.3</v>
      </c>
    </row>
    <row r="149">
      <c r="A149" s="50" t="inlineStr">
        <is>
          <t>Chris Payton</t>
        </is>
      </c>
      <c r="B149" s="50" t="inlineStr">
        <is>
          <t>Qualifier</t>
        </is>
      </c>
      <c r="C149" s="50" t="inlineStr">
        <is>
          <t>Mark Anthony</t>
        </is>
      </c>
      <c r="D149" s="50" t="inlineStr">
        <is>
          <t>White Claw</t>
        </is>
      </c>
      <c r="E149" s="46" t="n">
        <v>4785</v>
      </c>
      <c r="F149" s="46" t="n">
        <v>4200</v>
      </c>
      <c r="G149" s="48" t="n">
        <v>153152.4</v>
      </c>
      <c r="H149" s="48" t="n">
        <v>138900.8</v>
      </c>
      <c r="I149" s="48" t="n">
        <v>33620.45</v>
      </c>
      <c r="J149" s="48" t="n">
        <v>30326.53</v>
      </c>
    </row>
    <row r="150">
      <c r="A150" s="50" t="inlineStr">
        <is>
          <t>Chris Payton</t>
        </is>
      </c>
      <c r="B150" s="50" t="inlineStr">
        <is>
          <t>Qualifier</t>
        </is>
      </c>
      <c r="C150" s="50" t="inlineStr">
        <is>
          <t>DG Yuengling Inc</t>
        </is>
      </c>
      <c r="D150" s="50" t="inlineStr">
        <is>
          <t>Yuengling Lager</t>
        </is>
      </c>
      <c r="E150" s="46" t="n">
        <v>1783</v>
      </c>
      <c r="F150" s="46" t="n">
        <v>1894</v>
      </c>
      <c r="G150" s="48" t="n">
        <v>39626.05</v>
      </c>
      <c r="H150" s="48" t="n">
        <v>41223.15</v>
      </c>
      <c r="I150" s="48" t="n">
        <v>11004.24</v>
      </c>
      <c r="J150" s="48" t="n">
        <v>11203.72</v>
      </c>
    </row>
    <row r="151">
      <c r="A151" s="50" t="inlineStr">
        <is>
          <t>Dan Lagala</t>
        </is>
      </c>
      <c r="B151" s="50" t="inlineStr">
        <is>
          <t>Amplify</t>
        </is>
      </c>
      <c r="C151" s="50" t="inlineStr">
        <is>
          <t>Cape May</t>
        </is>
      </c>
      <c r="D151" s="50" t="inlineStr">
        <is>
          <t>Cape May</t>
        </is>
      </c>
      <c r="E151" s="46" t="n">
        <v>147</v>
      </c>
      <c r="F151" s="46" t="n">
        <v>83</v>
      </c>
      <c r="G151" s="48" t="n">
        <v>5803.4</v>
      </c>
      <c r="H151" s="48" t="n">
        <v>3396</v>
      </c>
      <c r="I151" s="48" t="n">
        <v>1713.86</v>
      </c>
      <c r="J151" s="48" t="n">
        <v>1053.94</v>
      </c>
    </row>
    <row r="152">
      <c r="A152" s="50" t="inlineStr">
        <is>
          <t>Dan Lagala</t>
        </is>
      </c>
      <c r="B152" s="50" t="inlineStr">
        <is>
          <t>Amplify</t>
        </is>
      </c>
      <c r="C152" s="50" t="inlineStr">
        <is>
          <t>Mark Anthony</t>
        </is>
      </c>
      <c r="D152" s="50" t="inlineStr">
        <is>
          <t>Cayman Jack</t>
        </is>
      </c>
      <c r="E152" s="46" t="n">
        <v>162</v>
      </c>
      <c r="F152" s="46" t="n">
        <v>202</v>
      </c>
      <c r="G152" s="48" t="n">
        <v>5383.25</v>
      </c>
      <c r="H152" s="48" t="n">
        <v>6626</v>
      </c>
      <c r="I152" s="48" t="n">
        <v>1409.33</v>
      </c>
      <c r="J152" s="48" t="n">
        <v>1676.38</v>
      </c>
    </row>
    <row r="153">
      <c r="A153" s="50" t="inlineStr">
        <is>
          <t>Dan Lagala</t>
        </is>
      </c>
      <c r="B153" s="50" t="inlineStr">
        <is>
          <t>Amplify</t>
        </is>
      </c>
      <c r="C153" s="50" t="inlineStr">
        <is>
          <t>Mark Anthony</t>
        </is>
      </c>
      <c r="D153" s="50" t="inlineStr">
        <is>
          <t>Mike's Harder</t>
        </is>
      </c>
      <c r="E153" s="46" t="n">
        <v>54</v>
      </c>
      <c r="F153" s="46" t="n">
        <v>32</v>
      </c>
      <c r="G153" s="48" t="n">
        <v>1505</v>
      </c>
      <c r="H153" s="48" t="n">
        <v>968</v>
      </c>
      <c r="I153" s="48" t="n">
        <v>341.51</v>
      </c>
      <c r="J153" s="48" t="n">
        <v>209.33</v>
      </c>
    </row>
    <row r="154">
      <c r="A154" s="50" t="inlineStr">
        <is>
          <t>Dan Lagala</t>
        </is>
      </c>
      <c r="B154" s="50" t="inlineStr">
        <is>
          <t>Amplify</t>
        </is>
      </c>
      <c r="C154" s="50" t="inlineStr">
        <is>
          <t>MolsonCoors Beverage Company</t>
        </is>
      </c>
      <c r="D154" s="50" t="inlineStr">
        <is>
          <t>Coors</t>
        </is>
      </c>
      <c r="E154" s="46" t="n">
        <v>777</v>
      </c>
      <c r="F154" s="46" t="n">
        <v>901</v>
      </c>
      <c r="G154" s="48" t="n">
        <v>14587.25</v>
      </c>
      <c r="H154" s="48" t="n">
        <v>18563.25</v>
      </c>
      <c r="I154" s="48" t="n">
        <v>3155.57</v>
      </c>
      <c r="J154" s="48" t="n">
        <v>4442.27</v>
      </c>
    </row>
    <row r="155">
      <c r="A155" s="50" t="inlineStr">
        <is>
          <t>Dan Lagala</t>
        </is>
      </c>
      <c r="B155" s="50" t="inlineStr">
        <is>
          <t>Amplify</t>
        </is>
      </c>
      <c r="C155" s="50" t="inlineStr">
        <is>
          <t>MolsonCoors Beverage Company</t>
        </is>
      </c>
      <c r="D155" s="50" t="inlineStr">
        <is>
          <t>Fever Tree</t>
        </is>
      </c>
      <c r="E155" s="46" t="n">
        <v>79</v>
      </c>
      <c r="F155" s="46" t="n">
        <v>65</v>
      </c>
      <c r="G155" s="48" t="n">
        <v>3412</v>
      </c>
      <c r="H155" s="48" t="n">
        <v>2783.5</v>
      </c>
      <c r="I155" s="48" t="n">
        <v>981.5599999999999</v>
      </c>
      <c r="J155" s="48" t="n">
        <v>802.6</v>
      </c>
    </row>
    <row r="156">
      <c r="A156" s="50" t="inlineStr">
        <is>
          <t>Dan Lagala</t>
        </is>
      </c>
      <c r="B156" s="50" t="inlineStr">
        <is>
          <t>Amplify</t>
        </is>
      </c>
      <c r="C156" s="50" t="inlineStr">
        <is>
          <t>MolsonCoors Beverage Company</t>
        </is>
      </c>
      <c r="D156" s="50" t="inlineStr">
        <is>
          <t>Peroni</t>
        </is>
      </c>
      <c r="E156" s="46" t="n">
        <v>788</v>
      </c>
      <c r="F156" s="46" t="n">
        <v>878</v>
      </c>
      <c r="G156" s="48" t="n">
        <v>27287.35</v>
      </c>
      <c r="H156" s="48" t="n">
        <v>29833.5</v>
      </c>
      <c r="I156" s="48" t="n">
        <v>5686.64</v>
      </c>
      <c r="J156" s="48" t="n">
        <v>6264.21</v>
      </c>
    </row>
    <row r="157">
      <c r="A157" s="50" t="inlineStr">
        <is>
          <t>Dan Lagala</t>
        </is>
      </c>
      <c r="B157" s="50" t="inlineStr">
        <is>
          <t>Amplify</t>
        </is>
      </c>
      <c r="C157" s="50" t="inlineStr">
        <is>
          <t>Boston Beer Company</t>
        </is>
      </c>
      <c r="D157" s="50" t="inlineStr">
        <is>
          <t>Dogfish Head Beer</t>
        </is>
      </c>
      <c r="E157" s="46" t="n">
        <v>308</v>
      </c>
      <c r="F157" s="46" t="n">
        <v>284</v>
      </c>
      <c r="G157" s="48" t="n">
        <v>12156</v>
      </c>
      <c r="H157" s="48" t="n">
        <v>10919.4</v>
      </c>
      <c r="I157" s="48" t="n">
        <v>3304.76</v>
      </c>
      <c r="J157" s="48" t="n">
        <v>2943.24</v>
      </c>
    </row>
    <row r="158">
      <c r="A158" s="50" t="inlineStr">
        <is>
          <t>Dan Lagala</t>
        </is>
      </c>
      <c r="B158" s="50" t="inlineStr">
        <is>
          <t>Amplify</t>
        </is>
      </c>
      <c r="C158" s="50" t="inlineStr">
        <is>
          <t>Boston Beer Company</t>
        </is>
      </c>
      <c r="D158" s="50" t="inlineStr">
        <is>
          <t>Dogfish Head Spirits</t>
        </is>
      </c>
      <c r="E158" s="46" t="n">
        <v>0</v>
      </c>
      <c r="F158" s="46" t="n">
        <v>19</v>
      </c>
      <c r="G158" s="48" t="n">
        <v>0</v>
      </c>
      <c r="H158" s="48" t="n">
        <v>963</v>
      </c>
      <c r="I158" s="48" t="n">
        <v>0</v>
      </c>
      <c r="J158" s="48" t="n">
        <v>334.52</v>
      </c>
    </row>
    <row r="159">
      <c r="A159" s="50" t="inlineStr">
        <is>
          <t>Dan Lagala</t>
        </is>
      </c>
      <c r="B159" s="50" t="inlineStr">
        <is>
          <t>Amplify</t>
        </is>
      </c>
      <c r="C159" s="50" t="inlineStr">
        <is>
          <t>Heineken USA</t>
        </is>
      </c>
      <c r="D159" s="50" t="inlineStr">
        <is>
          <t>Heineken 0.0</t>
        </is>
      </c>
      <c r="E159" s="46" t="n">
        <v>387</v>
      </c>
      <c r="F159" s="46" t="n">
        <v>428</v>
      </c>
      <c r="G159" s="48" t="n">
        <v>13151.8</v>
      </c>
      <c r="H159" s="48" t="n">
        <v>14501.35</v>
      </c>
      <c r="I159" s="48" t="n">
        <v>3597.53</v>
      </c>
      <c r="J159" s="48" t="n">
        <v>3943.71</v>
      </c>
    </row>
    <row r="160">
      <c r="A160" s="50" t="inlineStr">
        <is>
          <t>Dan Lagala</t>
        </is>
      </c>
      <c r="B160" s="50" t="inlineStr">
        <is>
          <t>Amplify</t>
        </is>
      </c>
      <c r="C160" s="50" t="inlineStr">
        <is>
          <t>Heineken USA</t>
        </is>
      </c>
      <c r="D160" s="50" t="inlineStr">
        <is>
          <t>Heineken Light</t>
        </is>
      </c>
      <c r="E160" s="46" t="n">
        <v>245</v>
      </c>
      <c r="F160" s="46" t="n">
        <v>240</v>
      </c>
      <c r="G160" s="48" t="n">
        <v>7771.9</v>
      </c>
      <c r="H160" s="48" t="n">
        <v>7583.95</v>
      </c>
      <c r="I160" s="48" t="n">
        <v>1945.35</v>
      </c>
      <c r="J160" s="48" t="n">
        <v>1876.29</v>
      </c>
    </row>
    <row r="161">
      <c r="A161" s="50" t="inlineStr">
        <is>
          <t>Dan Lagala</t>
        </is>
      </c>
      <c r="B161" s="50" t="inlineStr">
        <is>
          <t>Amplify</t>
        </is>
      </c>
      <c r="C161" s="50" t="inlineStr">
        <is>
          <t>Constellation Brands</t>
        </is>
      </c>
      <c r="D161" s="50" t="inlineStr">
        <is>
          <t>Corona Premier</t>
        </is>
      </c>
      <c r="E161" s="46" t="n">
        <v>313</v>
      </c>
      <c r="F161" s="46" t="n">
        <v>251</v>
      </c>
      <c r="G161" s="48" t="n">
        <v>9863.049999999999</v>
      </c>
      <c r="H161" s="48" t="n">
        <v>7080.95</v>
      </c>
      <c r="I161" s="48" t="n">
        <v>2037.19</v>
      </c>
      <c r="J161" s="48" t="n">
        <v>1899.7</v>
      </c>
    </row>
    <row r="162">
      <c r="A162" s="50" t="inlineStr">
        <is>
          <t>Dan Lagala</t>
        </is>
      </c>
      <c r="B162" s="50" t="inlineStr">
        <is>
          <t>Amplify</t>
        </is>
      </c>
      <c r="C162" s="50" t="inlineStr">
        <is>
          <t>Constellation Brands</t>
        </is>
      </c>
      <c r="D162" s="50" t="inlineStr">
        <is>
          <t>Modelo Chelada</t>
        </is>
      </c>
      <c r="E162" s="46" t="n">
        <v>2985</v>
      </c>
      <c r="F162" s="46" t="n">
        <v>3730</v>
      </c>
      <c r="G162" s="48" t="n">
        <v>92860.85000000001</v>
      </c>
      <c r="H162" s="48" t="n">
        <v>115203.8</v>
      </c>
      <c r="I162" s="48" t="n">
        <v>24377.05</v>
      </c>
      <c r="J162" s="48" t="n">
        <v>30019.49</v>
      </c>
    </row>
    <row r="163">
      <c r="A163" s="50" t="inlineStr">
        <is>
          <t>Dan Lagala</t>
        </is>
      </c>
      <c r="B163" s="50" t="inlineStr">
        <is>
          <t>Amplify</t>
        </is>
      </c>
      <c r="C163" s="50" t="inlineStr">
        <is>
          <t>Constellation Brands</t>
        </is>
      </c>
      <c r="D163" s="50" t="inlineStr">
        <is>
          <t>Pacifico</t>
        </is>
      </c>
      <c r="E163" s="46" t="n">
        <v>185</v>
      </c>
      <c r="F163" s="46" t="n">
        <v>341</v>
      </c>
      <c r="G163" s="48" t="n">
        <v>5861.55</v>
      </c>
      <c r="H163" s="48" t="n">
        <v>10746.2</v>
      </c>
      <c r="I163" s="48" t="n">
        <v>1401</v>
      </c>
      <c r="J163" s="48" t="n">
        <v>2600.63</v>
      </c>
    </row>
    <row r="164">
      <c r="A164" s="50" t="inlineStr">
        <is>
          <t>Dan Lagala</t>
        </is>
      </c>
      <c r="B164" s="50" t="inlineStr">
        <is>
          <t>Amplify</t>
        </is>
      </c>
      <c r="C164" s="50" t="inlineStr">
        <is>
          <t>Constellation Brands</t>
        </is>
      </c>
      <c r="D164" s="50" t="inlineStr">
        <is>
          <t>Victoria</t>
        </is>
      </c>
      <c r="E164" s="46" t="n">
        <v>229</v>
      </c>
      <c r="F164" s="46" t="n">
        <v>294</v>
      </c>
      <c r="G164" s="48" t="n">
        <v>7027.6</v>
      </c>
      <c r="H164" s="48" t="n">
        <v>8998.299999999999</v>
      </c>
      <c r="I164" s="48" t="n">
        <v>1669.15</v>
      </c>
      <c r="J164" s="48" t="n">
        <v>2193.17</v>
      </c>
    </row>
    <row r="165">
      <c r="A165" s="50" t="inlineStr">
        <is>
          <t>Dan Lagala</t>
        </is>
      </c>
      <c r="B165" s="50" t="inlineStr">
        <is>
          <t>Amplify</t>
        </is>
      </c>
      <c r="C165" s="50" t="inlineStr">
        <is>
          <t>Sapporo</t>
        </is>
      </c>
      <c r="D165" s="50" t="inlineStr">
        <is>
          <t>Sapporo</t>
        </is>
      </c>
      <c r="E165" s="46" t="n">
        <v>2081</v>
      </c>
      <c r="F165" s="46" t="n">
        <v>2894</v>
      </c>
      <c r="G165" s="48" t="n">
        <v>56280.25</v>
      </c>
      <c r="H165" s="48" t="n">
        <v>76894.75</v>
      </c>
      <c r="I165" s="48" t="n">
        <v>14288.86</v>
      </c>
      <c r="J165" s="48" t="n">
        <v>19190.51</v>
      </c>
    </row>
    <row r="166">
      <c r="A166" s="50" t="inlineStr">
        <is>
          <t>Dan Lagala</t>
        </is>
      </c>
      <c r="B166" s="50" t="inlineStr">
        <is>
          <t>Amplify</t>
        </is>
      </c>
      <c r="C166" s="50" t="inlineStr">
        <is>
          <t>Bell's</t>
        </is>
      </c>
      <c r="D166" s="50" t="inlineStr">
        <is>
          <t>Bell's</t>
        </is>
      </c>
      <c r="E166" s="46" t="n">
        <v>1</v>
      </c>
      <c r="F166" s="46" t="n">
        <v>10</v>
      </c>
      <c r="G166" s="48" t="n">
        <v>35.6</v>
      </c>
      <c r="H166" s="48" t="n">
        <v>359.9</v>
      </c>
      <c r="I166" s="48" t="n">
        <v>10.98</v>
      </c>
      <c r="J166" s="48" t="n">
        <v>129.33</v>
      </c>
    </row>
    <row r="167">
      <c r="A167" s="50" t="inlineStr">
        <is>
          <t>Dan Lagala</t>
        </is>
      </c>
      <c r="B167" s="50" t="inlineStr">
        <is>
          <t>Amplify</t>
        </is>
      </c>
      <c r="C167" s="50" t="inlineStr">
        <is>
          <t>New Belgium Brewing Company</t>
        </is>
      </c>
      <c r="D167" s="50" t="inlineStr">
        <is>
          <t>Fat Tire Family</t>
        </is>
      </c>
      <c r="E167" s="46" t="n">
        <v>49</v>
      </c>
      <c r="F167" s="46" t="n">
        <v>43</v>
      </c>
      <c r="G167" s="48" t="n">
        <v>1678.45</v>
      </c>
      <c r="H167" s="48" t="n">
        <v>1305</v>
      </c>
      <c r="I167" s="48" t="n">
        <v>466.47</v>
      </c>
      <c r="J167" s="48" t="n">
        <v>334.16</v>
      </c>
    </row>
    <row r="168">
      <c r="A168" s="50" t="inlineStr">
        <is>
          <t>Dan Lagala</t>
        </is>
      </c>
      <c r="B168" s="50" t="inlineStr">
        <is>
          <t>Amplify</t>
        </is>
      </c>
      <c r="C168" s="50" t="inlineStr">
        <is>
          <t>New Belgium Brewing Company</t>
        </is>
      </c>
      <c r="D168" s="50" t="inlineStr">
        <is>
          <t>Kirin Ichiban</t>
        </is>
      </c>
      <c r="E168" s="46" t="n">
        <v>1365</v>
      </c>
      <c r="F168" s="46" t="n">
        <v>1621</v>
      </c>
      <c r="G168" s="48" t="n">
        <v>32160.9</v>
      </c>
      <c r="H168" s="48" t="n">
        <v>37051.1</v>
      </c>
      <c r="I168" s="48" t="n">
        <v>5067.02</v>
      </c>
      <c r="J168" s="48" t="n">
        <v>7548.48</v>
      </c>
    </row>
    <row r="169">
      <c r="A169" s="50" t="inlineStr">
        <is>
          <t>Dan Lagala</t>
        </is>
      </c>
      <c r="B169" s="50" t="inlineStr">
        <is>
          <t>Amplify</t>
        </is>
      </c>
      <c r="C169" s="50" t="inlineStr">
        <is>
          <t>New Belgium Brewing Company</t>
        </is>
      </c>
      <c r="D169" s="50" t="inlineStr">
        <is>
          <t>Voodoo Family</t>
        </is>
      </c>
      <c r="E169" s="46" t="n">
        <v>517</v>
      </c>
      <c r="F169" s="46" t="n">
        <v>491</v>
      </c>
      <c r="G169" s="48" t="n">
        <v>19123</v>
      </c>
      <c r="H169" s="48" t="n">
        <v>17968</v>
      </c>
      <c r="I169" s="48" t="n">
        <v>4563.54</v>
      </c>
      <c r="J169" s="48" t="n">
        <v>4481.31</v>
      </c>
    </row>
    <row r="170">
      <c r="A170" s="50" t="inlineStr">
        <is>
          <t>Dan Lagala</t>
        </is>
      </c>
      <c r="B170" s="50" t="inlineStr">
        <is>
          <t>Amplify</t>
        </is>
      </c>
      <c r="C170" s="50" t="inlineStr">
        <is>
          <t>DG Yuengling Inc</t>
        </is>
      </c>
      <c r="D170" s="50" t="inlineStr">
        <is>
          <t>Yuengling Flight</t>
        </is>
      </c>
      <c r="E170" s="46" t="n">
        <v>39</v>
      </c>
      <c r="F170" s="46" t="n">
        <v>50</v>
      </c>
      <c r="G170" s="48" t="n">
        <v>686.55</v>
      </c>
      <c r="H170" s="48" t="n">
        <v>926.6</v>
      </c>
      <c r="I170" s="48" t="n">
        <v>131.36</v>
      </c>
      <c r="J170" s="48" t="n">
        <v>210.32</v>
      </c>
    </row>
    <row r="171">
      <c r="A171" s="50" t="inlineStr">
        <is>
          <t>Dan Lagala</t>
        </is>
      </c>
      <c r="B171" s="50" t="inlineStr">
        <is>
          <t>Amplify</t>
        </is>
      </c>
      <c r="C171" s="50" t="inlineStr">
        <is>
          <t>DG Yuengling Inc</t>
        </is>
      </c>
      <c r="D171" s="50" t="inlineStr">
        <is>
          <t>Yuengling Light Lager</t>
        </is>
      </c>
      <c r="E171" s="46" t="n">
        <v>9</v>
      </c>
      <c r="F171" s="46" t="n">
        <v>14</v>
      </c>
      <c r="G171" s="48" t="n">
        <v>246</v>
      </c>
      <c r="H171" s="48" t="n">
        <v>376</v>
      </c>
      <c r="I171" s="48" t="n">
        <v>73.91</v>
      </c>
      <c r="J171" s="48" t="n">
        <v>114.45</v>
      </c>
    </row>
    <row r="172">
      <c r="A172" s="50" t="inlineStr">
        <is>
          <t>Dan Lagala</t>
        </is>
      </c>
      <c r="B172" s="50" t="inlineStr">
        <is>
          <t>Qualifier</t>
        </is>
      </c>
      <c r="C172" s="50" t="inlineStr">
        <is>
          <t>MolsonCoors Beverage Company</t>
        </is>
      </c>
      <c r="D172" s="50" t="inlineStr">
        <is>
          <t>Blue Moon</t>
        </is>
      </c>
      <c r="E172" s="46" t="n">
        <v>1598</v>
      </c>
      <c r="F172" s="46" t="n">
        <v>1492</v>
      </c>
      <c r="G172" s="48" t="n">
        <v>53172.85</v>
      </c>
      <c r="H172" s="48" t="n">
        <v>49259.25</v>
      </c>
      <c r="I172" s="48" t="n">
        <v>13450.58</v>
      </c>
      <c r="J172" s="48" t="n">
        <v>12151.73</v>
      </c>
    </row>
    <row r="173">
      <c r="A173" s="50" t="inlineStr">
        <is>
          <t>Dan Lagala</t>
        </is>
      </c>
      <c r="B173" s="50" t="inlineStr">
        <is>
          <t>Qualifier</t>
        </is>
      </c>
      <c r="C173" s="50" t="inlineStr">
        <is>
          <t>MolsonCoors Beverage Company</t>
        </is>
      </c>
      <c r="D173" s="50" t="inlineStr">
        <is>
          <t>Coors Light</t>
        </is>
      </c>
      <c r="E173" s="46" t="n">
        <v>13085</v>
      </c>
      <c r="F173" s="46" t="n">
        <v>12977</v>
      </c>
      <c r="G173" s="48" t="n">
        <v>265363.15</v>
      </c>
      <c r="H173" s="48" t="n">
        <v>266643.7</v>
      </c>
      <c r="I173" s="48" t="n">
        <v>63834.15</v>
      </c>
      <c r="J173" s="48" t="n">
        <v>64001.43</v>
      </c>
    </row>
    <row r="174">
      <c r="A174" s="50" t="inlineStr">
        <is>
          <t>Dan Lagala</t>
        </is>
      </c>
      <c r="B174" s="50" t="inlineStr">
        <is>
          <t>Qualifier</t>
        </is>
      </c>
      <c r="C174" s="50" t="inlineStr">
        <is>
          <t>MolsonCoors Beverage Company</t>
        </is>
      </c>
      <c r="D174" s="50" t="inlineStr">
        <is>
          <t>Lite</t>
        </is>
      </c>
      <c r="E174" s="46" t="n">
        <v>2010</v>
      </c>
      <c r="F174" s="46" t="n">
        <v>2188</v>
      </c>
      <c r="G174" s="48" t="n">
        <v>42722.15</v>
      </c>
      <c r="H174" s="48" t="n">
        <v>47038.65</v>
      </c>
      <c r="I174" s="48" t="n">
        <v>9534.219999999999</v>
      </c>
      <c r="J174" s="48" t="n">
        <v>10656.94</v>
      </c>
    </row>
    <row r="175">
      <c r="A175" s="50" t="inlineStr">
        <is>
          <t>Dan Lagala</t>
        </is>
      </c>
      <c r="B175" s="50" t="inlineStr">
        <is>
          <t>Qualifier</t>
        </is>
      </c>
      <c r="C175" s="50" t="inlineStr">
        <is>
          <t>Heineken USA</t>
        </is>
      </c>
      <c r="D175" s="50" t="inlineStr">
        <is>
          <t>Heineken USA</t>
        </is>
      </c>
      <c r="E175" s="46" t="n">
        <v>11040</v>
      </c>
      <c r="F175" s="46" t="n">
        <v>9092</v>
      </c>
      <c r="G175" s="48" t="n">
        <v>337551</v>
      </c>
      <c r="H175" s="48" t="n">
        <v>277293.45</v>
      </c>
      <c r="I175" s="48" t="n">
        <v>80425.02</v>
      </c>
      <c r="J175" s="48" t="n">
        <v>65690.8</v>
      </c>
    </row>
    <row r="176">
      <c r="A176" s="50" t="inlineStr">
        <is>
          <t>Dan Lagala</t>
        </is>
      </c>
      <c r="B176" s="50" t="inlineStr">
        <is>
          <t>Qualifier</t>
        </is>
      </c>
      <c r="C176" s="50" t="inlineStr">
        <is>
          <t>Constellation Brands</t>
        </is>
      </c>
      <c r="D176" s="50" t="inlineStr">
        <is>
          <t>Corona Extra</t>
        </is>
      </c>
      <c r="E176" s="46" t="n">
        <v>24372</v>
      </c>
      <c r="F176" s="46" t="n">
        <v>21685</v>
      </c>
      <c r="G176" s="48" t="n">
        <v>773510.7</v>
      </c>
      <c r="H176" s="48" t="n">
        <v>691251.95</v>
      </c>
      <c r="I176" s="48" t="n">
        <v>185161.2</v>
      </c>
      <c r="J176" s="48" t="n">
        <v>169919.75</v>
      </c>
    </row>
    <row r="177">
      <c r="A177" s="50" t="inlineStr">
        <is>
          <t>Dan Lagala</t>
        </is>
      </c>
      <c r="B177" s="50" t="inlineStr">
        <is>
          <t>Qualifier</t>
        </is>
      </c>
      <c r="C177" s="50" t="inlineStr">
        <is>
          <t>Constellation Brands</t>
        </is>
      </c>
      <c r="D177" s="50" t="inlineStr">
        <is>
          <t>Modelo Especial</t>
        </is>
      </c>
      <c r="E177" s="46" t="n">
        <v>22417</v>
      </c>
      <c r="F177" s="46" t="n">
        <v>23041</v>
      </c>
      <c r="G177" s="48" t="n">
        <v>680605.6</v>
      </c>
      <c r="H177" s="48" t="n">
        <v>697458.25</v>
      </c>
      <c r="I177" s="48" t="n">
        <v>151548.59</v>
      </c>
      <c r="J177" s="48" t="n">
        <v>163122.19</v>
      </c>
    </row>
    <row r="178">
      <c r="A178" s="50" t="inlineStr">
        <is>
          <t>Dan Lagala</t>
        </is>
      </c>
      <c r="B178" s="50" t="inlineStr">
        <is>
          <t>Qualifier</t>
        </is>
      </c>
      <c r="C178" s="50" t="inlineStr">
        <is>
          <t>Boston Beer Company</t>
        </is>
      </c>
      <c r="D178" s="50" t="inlineStr">
        <is>
          <t>Truly</t>
        </is>
      </c>
      <c r="E178" s="46" t="n">
        <v>261</v>
      </c>
      <c r="F178" s="46" t="n">
        <v>184</v>
      </c>
      <c r="G178" s="48" t="n">
        <v>7658</v>
      </c>
      <c r="H178" s="48" t="n">
        <v>5581.4</v>
      </c>
      <c r="I178" s="48" t="n">
        <v>1798.25</v>
      </c>
      <c r="J178" s="48" t="n">
        <v>1416.01</v>
      </c>
    </row>
    <row r="179">
      <c r="A179" s="50" t="inlineStr">
        <is>
          <t>Dan Lagala</t>
        </is>
      </c>
      <c r="B179" s="50" t="inlineStr">
        <is>
          <t>Qualifier</t>
        </is>
      </c>
      <c r="C179" s="50" t="inlineStr">
        <is>
          <t>Boston Beer Company</t>
        </is>
      </c>
      <c r="D179" s="50" t="inlineStr">
        <is>
          <t>Twisted Tea</t>
        </is>
      </c>
      <c r="E179" s="46" t="n">
        <v>625</v>
      </c>
      <c r="F179" s="46" t="n">
        <v>435</v>
      </c>
      <c r="G179" s="48" t="n">
        <v>18827.25</v>
      </c>
      <c r="H179" s="48" t="n">
        <v>13217.5</v>
      </c>
      <c r="I179" s="48" t="n">
        <v>5108.6</v>
      </c>
      <c r="J179" s="48" t="n">
        <v>3677.63</v>
      </c>
    </row>
    <row r="180">
      <c r="A180" s="50" t="inlineStr">
        <is>
          <t>Dan Lagala</t>
        </is>
      </c>
      <c r="B180" s="50" t="inlineStr">
        <is>
          <t>Qualifier</t>
        </is>
      </c>
      <c r="C180" s="50" t="inlineStr">
        <is>
          <t>Mark Anthony</t>
        </is>
      </c>
      <c r="D180" s="50" t="inlineStr">
        <is>
          <t>White Claw</t>
        </is>
      </c>
      <c r="E180" s="46" t="n">
        <v>2950</v>
      </c>
      <c r="F180" s="46" t="n">
        <v>2718</v>
      </c>
      <c r="G180" s="48" t="n">
        <v>95963.35000000001</v>
      </c>
      <c r="H180" s="48" t="n">
        <v>90782.25</v>
      </c>
      <c r="I180" s="48" t="n">
        <v>21706.79</v>
      </c>
      <c r="J180" s="48" t="n">
        <v>20376.09</v>
      </c>
    </row>
    <row r="181">
      <c r="A181" s="50" t="inlineStr">
        <is>
          <t>Dan Lagala</t>
        </is>
      </c>
      <c r="B181" s="50" t="inlineStr">
        <is>
          <t>Qualifier</t>
        </is>
      </c>
      <c r="C181" s="50" t="inlineStr">
        <is>
          <t>DG Yuengling Inc</t>
        </is>
      </c>
      <c r="D181" s="50" t="inlineStr">
        <is>
          <t>Yuengling Lager</t>
        </is>
      </c>
      <c r="E181" s="46" t="n">
        <v>1220</v>
      </c>
      <c r="F181" s="46" t="n">
        <v>1082</v>
      </c>
      <c r="G181" s="48" t="n">
        <v>25824.1</v>
      </c>
      <c r="H181" s="48" t="n">
        <v>23254.85</v>
      </c>
      <c r="I181" s="48" t="n">
        <v>7208.01</v>
      </c>
      <c r="J181" s="48" t="n">
        <v>6442.28</v>
      </c>
    </row>
    <row r="182">
      <c r="A182" s="50" t="inlineStr">
        <is>
          <t>Dave Ehlers</t>
        </is>
      </c>
      <c r="B182" s="50" t="inlineStr">
        <is>
          <t>Amplify</t>
        </is>
      </c>
      <c r="C182" s="50" t="inlineStr">
        <is>
          <t>Cape May</t>
        </is>
      </c>
      <c r="D182" s="50" t="inlineStr">
        <is>
          <t>Cape May</t>
        </is>
      </c>
      <c r="E182" s="46" t="n">
        <v>462</v>
      </c>
      <c r="F182" s="46" t="n">
        <v>613</v>
      </c>
      <c r="G182" s="48" t="n">
        <v>18622.9</v>
      </c>
      <c r="H182" s="48" t="n">
        <v>24660.9</v>
      </c>
      <c r="I182" s="48" t="n">
        <v>5474.89</v>
      </c>
      <c r="J182" s="48" t="n">
        <v>7170.95</v>
      </c>
    </row>
    <row r="183">
      <c r="A183" s="50" t="inlineStr">
        <is>
          <t>Dave Ehlers</t>
        </is>
      </c>
      <c r="B183" s="50" t="inlineStr">
        <is>
          <t>Amplify</t>
        </is>
      </c>
      <c r="C183" s="50" t="inlineStr">
        <is>
          <t>Mark Anthony</t>
        </is>
      </c>
      <c r="D183" s="50" t="inlineStr">
        <is>
          <t>Cayman Jack</t>
        </is>
      </c>
      <c r="E183" s="46" t="n">
        <v>1373</v>
      </c>
      <c r="F183" s="46" t="n">
        <v>1678</v>
      </c>
      <c r="G183" s="48" t="n">
        <v>42336.5</v>
      </c>
      <c r="H183" s="48" t="n">
        <v>52095.75</v>
      </c>
      <c r="I183" s="48" t="n">
        <v>9858.07</v>
      </c>
      <c r="J183" s="48" t="n">
        <v>12201.87</v>
      </c>
    </row>
    <row r="184">
      <c r="A184" s="50" t="inlineStr">
        <is>
          <t>Dave Ehlers</t>
        </is>
      </c>
      <c r="B184" s="50" t="inlineStr">
        <is>
          <t>Amplify</t>
        </is>
      </c>
      <c r="C184" s="50" t="inlineStr">
        <is>
          <t>Mark Anthony</t>
        </is>
      </c>
      <c r="D184" s="50" t="inlineStr">
        <is>
          <t>Mike's Harder</t>
        </is>
      </c>
      <c r="E184" s="46" t="n">
        <v>373</v>
      </c>
      <c r="F184" s="46" t="n">
        <v>364</v>
      </c>
      <c r="G184" s="48" t="n">
        <v>10475</v>
      </c>
      <c r="H184" s="48" t="n">
        <v>10838</v>
      </c>
      <c r="I184" s="48" t="n">
        <v>2279.18</v>
      </c>
      <c r="J184" s="48" t="n">
        <v>2318.11</v>
      </c>
    </row>
    <row r="185">
      <c r="A185" s="50" t="inlineStr">
        <is>
          <t>Dave Ehlers</t>
        </is>
      </c>
      <c r="B185" s="50" t="inlineStr">
        <is>
          <t>Amplify</t>
        </is>
      </c>
      <c r="C185" s="50" t="inlineStr">
        <is>
          <t>Mark Anthony</t>
        </is>
      </c>
      <c r="D185" s="50" t="inlineStr">
        <is>
          <t>Mxd Cocktails</t>
        </is>
      </c>
      <c r="E185" s="46" t="n">
        <v>9</v>
      </c>
      <c r="F185" s="46" t="n">
        <v>8</v>
      </c>
      <c r="G185" s="48" t="n">
        <v>224</v>
      </c>
      <c r="H185" s="48" t="n">
        <v>192</v>
      </c>
      <c r="I185" s="48" t="n">
        <v>42.16</v>
      </c>
      <c r="J185" s="48" t="n">
        <v>36.15</v>
      </c>
    </row>
    <row r="186">
      <c r="A186" s="50" t="inlineStr">
        <is>
          <t>Dave Ehlers</t>
        </is>
      </c>
      <c r="B186" s="50" t="inlineStr">
        <is>
          <t>Amplify</t>
        </is>
      </c>
      <c r="C186" s="50" t="inlineStr">
        <is>
          <t>MolsonCoors Beverage Company</t>
        </is>
      </c>
      <c r="D186" s="50" t="inlineStr">
        <is>
          <t>Coors</t>
        </is>
      </c>
      <c r="E186" s="46" t="n">
        <v>2121</v>
      </c>
      <c r="F186" s="46" t="n">
        <v>2299</v>
      </c>
      <c r="G186" s="48" t="n">
        <v>43105.85</v>
      </c>
      <c r="H186" s="48" t="n">
        <v>49367.7</v>
      </c>
      <c r="I186" s="48" t="n">
        <v>10246.93</v>
      </c>
      <c r="J186" s="48" t="n">
        <v>12271.85</v>
      </c>
    </row>
    <row r="187">
      <c r="A187" s="50" t="inlineStr">
        <is>
          <t>Dave Ehlers</t>
        </is>
      </c>
      <c r="B187" s="50" t="inlineStr">
        <is>
          <t>Amplify</t>
        </is>
      </c>
      <c r="C187" s="50" t="inlineStr">
        <is>
          <t>MolsonCoors Beverage Company</t>
        </is>
      </c>
      <c r="D187" s="50" t="inlineStr">
        <is>
          <t>Fever Tree</t>
        </is>
      </c>
      <c r="E187" s="46" t="n">
        <v>33</v>
      </c>
      <c r="F187" s="46" t="n">
        <v>37</v>
      </c>
      <c r="G187" s="48" t="n">
        <v>1456.5</v>
      </c>
      <c r="H187" s="48" t="n">
        <v>1727.5</v>
      </c>
      <c r="I187" s="48" t="n">
        <v>448.5</v>
      </c>
      <c r="J187" s="48" t="n">
        <v>566.6</v>
      </c>
    </row>
    <row r="188">
      <c r="A188" s="50" t="inlineStr">
        <is>
          <t>Dave Ehlers</t>
        </is>
      </c>
      <c r="B188" s="50" t="inlineStr">
        <is>
          <t>Amplify</t>
        </is>
      </c>
      <c r="C188" s="50" t="inlineStr">
        <is>
          <t>MolsonCoors Beverage Company</t>
        </is>
      </c>
      <c r="D188" s="50" t="inlineStr">
        <is>
          <t>Peroni</t>
        </is>
      </c>
      <c r="E188" s="46" t="n">
        <v>1215</v>
      </c>
      <c r="F188" s="46" t="n">
        <v>1608</v>
      </c>
      <c r="G188" s="48" t="n">
        <v>41081.1</v>
      </c>
      <c r="H188" s="48" t="n">
        <v>53380.35</v>
      </c>
      <c r="I188" s="48" t="n">
        <v>8129.89</v>
      </c>
      <c r="J188" s="48" t="n">
        <v>10049.45</v>
      </c>
    </row>
    <row r="189">
      <c r="A189" s="50" t="inlineStr">
        <is>
          <t>Dave Ehlers</t>
        </is>
      </c>
      <c r="B189" s="50" t="inlineStr">
        <is>
          <t>Amplify</t>
        </is>
      </c>
      <c r="C189" s="50" t="inlineStr">
        <is>
          <t>Boston Beer Company</t>
        </is>
      </c>
      <c r="D189" s="50" t="inlineStr">
        <is>
          <t>Dogfish Head Beer</t>
        </is>
      </c>
      <c r="E189" s="46" t="n">
        <v>624</v>
      </c>
      <c r="F189" s="46" t="n">
        <v>767</v>
      </c>
      <c r="G189" s="48" t="n">
        <v>21571.2</v>
      </c>
      <c r="H189" s="48" t="n">
        <v>25805.8</v>
      </c>
      <c r="I189" s="48" t="n">
        <v>5224.19</v>
      </c>
      <c r="J189" s="48" t="n">
        <v>5834.04</v>
      </c>
    </row>
    <row r="190">
      <c r="A190" s="50" t="inlineStr">
        <is>
          <t>Dave Ehlers</t>
        </is>
      </c>
      <c r="B190" s="50" t="inlineStr">
        <is>
          <t>Amplify</t>
        </is>
      </c>
      <c r="C190" s="50" t="inlineStr">
        <is>
          <t>Boston Beer Company</t>
        </is>
      </c>
      <c r="D190" s="50" t="inlineStr">
        <is>
          <t>Dogfish Head Spirits</t>
        </is>
      </c>
      <c r="E190" s="46" t="n">
        <v>161</v>
      </c>
      <c r="F190" s="46" t="n">
        <v>138</v>
      </c>
      <c r="G190" s="48" t="n">
        <v>7778</v>
      </c>
      <c r="H190" s="48" t="n">
        <v>6558</v>
      </c>
      <c r="I190" s="48" t="n">
        <v>2742.53</v>
      </c>
      <c r="J190" s="48" t="n">
        <v>2129.69</v>
      </c>
    </row>
    <row r="191">
      <c r="A191" s="50" t="inlineStr">
        <is>
          <t>Dave Ehlers</t>
        </is>
      </c>
      <c r="B191" s="50" t="inlineStr">
        <is>
          <t>Amplify</t>
        </is>
      </c>
      <c r="C191" s="50" t="inlineStr">
        <is>
          <t>Heineken USA</t>
        </is>
      </c>
      <c r="D191" s="50" t="inlineStr">
        <is>
          <t>Heineken 0.0</t>
        </is>
      </c>
      <c r="E191" s="46" t="n">
        <v>719</v>
      </c>
      <c r="F191" s="46" t="n">
        <v>695</v>
      </c>
      <c r="G191" s="48" t="n">
        <v>24208.35</v>
      </c>
      <c r="H191" s="48" t="n">
        <v>23349.55</v>
      </c>
      <c r="I191" s="48" t="n">
        <v>6336.25</v>
      </c>
      <c r="J191" s="48" t="n">
        <v>6072.49</v>
      </c>
    </row>
    <row r="192">
      <c r="A192" s="50" t="inlineStr">
        <is>
          <t>Dave Ehlers</t>
        </is>
      </c>
      <c r="B192" s="50" t="inlineStr">
        <is>
          <t>Amplify</t>
        </is>
      </c>
      <c r="C192" s="50" t="inlineStr">
        <is>
          <t>Heineken USA</t>
        </is>
      </c>
      <c r="D192" s="50" t="inlineStr">
        <is>
          <t>Heineken Light</t>
        </is>
      </c>
      <c r="E192" s="46" t="n">
        <v>773</v>
      </c>
      <c r="F192" s="46" t="n">
        <v>679</v>
      </c>
      <c r="G192" s="48" t="n">
        <v>24082.6</v>
      </c>
      <c r="H192" s="48" t="n">
        <v>20936.35</v>
      </c>
      <c r="I192" s="48" t="n">
        <v>5708.12</v>
      </c>
      <c r="J192" s="48" t="n">
        <v>4797.85</v>
      </c>
    </row>
    <row r="193">
      <c r="A193" s="50" t="inlineStr">
        <is>
          <t>Dave Ehlers</t>
        </is>
      </c>
      <c r="B193" s="50" t="inlineStr">
        <is>
          <t>Amplify</t>
        </is>
      </c>
      <c r="C193" s="50" t="inlineStr">
        <is>
          <t>Constellation Brands</t>
        </is>
      </c>
      <c r="D193" s="50" t="inlineStr">
        <is>
          <t>Corona Premier</t>
        </is>
      </c>
      <c r="E193" s="46" t="n">
        <v>1169</v>
      </c>
      <c r="F193" s="46" t="n">
        <v>1380</v>
      </c>
      <c r="G193" s="48" t="n">
        <v>35924.75</v>
      </c>
      <c r="H193" s="48" t="n">
        <v>37000.05</v>
      </c>
      <c r="I193" s="48" t="n">
        <v>7481.27</v>
      </c>
      <c r="J193" s="48" t="n">
        <v>9256.27</v>
      </c>
    </row>
    <row r="194">
      <c r="A194" s="50" t="inlineStr">
        <is>
          <t>Dave Ehlers</t>
        </is>
      </c>
      <c r="B194" s="50" t="inlineStr">
        <is>
          <t>Amplify</t>
        </is>
      </c>
      <c r="C194" s="50" t="inlineStr">
        <is>
          <t>Constellation Brands</t>
        </is>
      </c>
      <c r="D194" s="50" t="inlineStr">
        <is>
          <t>Modelo Chelada</t>
        </is>
      </c>
      <c r="E194" s="46" t="n">
        <v>3087</v>
      </c>
      <c r="F194" s="46" t="n">
        <v>3707</v>
      </c>
      <c r="G194" s="48" t="n">
        <v>95006.10000000001</v>
      </c>
      <c r="H194" s="48" t="n">
        <v>114063.45</v>
      </c>
      <c r="I194" s="48" t="n">
        <v>23049.33</v>
      </c>
      <c r="J194" s="48" t="n">
        <v>28048.37</v>
      </c>
    </row>
    <row r="195">
      <c r="A195" s="50" t="inlineStr">
        <is>
          <t>Dave Ehlers</t>
        </is>
      </c>
      <c r="B195" s="50" t="inlineStr">
        <is>
          <t>Amplify</t>
        </is>
      </c>
      <c r="C195" s="50" t="inlineStr">
        <is>
          <t>Constellation Brands</t>
        </is>
      </c>
      <c r="D195" s="50" t="inlineStr">
        <is>
          <t>Pacifico</t>
        </is>
      </c>
      <c r="E195" s="46" t="n">
        <v>1115</v>
      </c>
      <c r="F195" s="46" t="n">
        <v>1516</v>
      </c>
      <c r="G195" s="48" t="n">
        <v>34450.15</v>
      </c>
      <c r="H195" s="48" t="n">
        <v>47411.65</v>
      </c>
      <c r="I195" s="48" t="n">
        <v>7871.43</v>
      </c>
      <c r="J195" s="48" t="n">
        <v>10956.38</v>
      </c>
    </row>
    <row r="196">
      <c r="A196" s="50" t="inlineStr">
        <is>
          <t>Dave Ehlers</t>
        </is>
      </c>
      <c r="B196" s="50" t="inlineStr">
        <is>
          <t>Amplify</t>
        </is>
      </c>
      <c r="C196" s="50" t="inlineStr">
        <is>
          <t>Constellation Brands</t>
        </is>
      </c>
      <c r="D196" s="50" t="inlineStr">
        <is>
          <t>Victoria</t>
        </is>
      </c>
      <c r="E196" s="46" t="n">
        <v>1714</v>
      </c>
      <c r="F196" s="46" t="n">
        <v>2015</v>
      </c>
      <c r="G196" s="48" t="n">
        <v>52135.9</v>
      </c>
      <c r="H196" s="48" t="n">
        <v>61036.3</v>
      </c>
      <c r="I196" s="48" t="n">
        <v>12321.96</v>
      </c>
      <c r="J196" s="48" t="n">
        <v>14761.45</v>
      </c>
    </row>
    <row r="197">
      <c r="A197" s="50" t="inlineStr">
        <is>
          <t>Dave Ehlers</t>
        </is>
      </c>
      <c r="B197" s="50" t="inlineStr">
        <is>
          <t>Amplify</t>
        </is>
      </c>
      <c r="C197" s="50" t="inlineStr">
        <is>
          <t>Sapporo</t>
        </is>
      </c>
      <c r="D197" s="50" t="inlineStr">
        <is>
          <t>Sapporo</t>
        </is>
      </c>
      <c r="E197" s="46" t="n">
        <v>1419</v>
      </c>
      <c r="F197" s="46" t="n">
        <v>1797</v>
      </c>
      <c r="G197" s="48" t="n">
        <v>36734.25</v>
      </c>
      <c r="H197" s="48" t="n">
        <v>46289.5</v>
      </c>
      <c r="I197" s="48" t="n">
        <v>9409.84</v>
      </c>
      <c r="J197" s="48" t="n">
        <v>11662.84</v>
      </c>
    </row>
    <row r="198">
      <c r="A198" s="50" t="inlineStr">
        <is>
          <t>Dave Ehlers</t>
        </is>
      </c>
      <c r="B198" s="50" t="inlineStr">
        <is>
          <t>Amplify</t>
        </is>
      </c>
      <c r="C198" s="50" t="inlineStr">
        <is>
          <t>Bell's</t>
        </is>
      </c>
      <c r="D198" s="50" t="inlineStr">
        <is>
          <t>Bell's</t>
        </is>
      </c>
      <c r="E198" s="46" t="n">
        <v>36</v>
      </c>
      <c r="F198" s="46" t="n">
        <v>26</v>
      </c>
      <c r="G198" s="48" t="n">
        <v>1277.05</v>
      </c>
      <c r="H198" s="48" t="n">
        <v>957.4</v>
      </c>
      <c r="I198" s="48" t="n">
        <v>420.37</v>
      </c>
      <c r="J198" s="48" t="n">
        <v>314.86</v>
      </c>
    </row>
    <row r="199">
      <c r="A199" s="50" t="inlineStr">
        <is>
          <t>Dave Ehlers</t>
        </is>
      </c>
      <c r="B199" s="50" t="inlineStr">
        <is>
          <t>Amplify</t>
        </is>
      </c>
      <c r="C199" s="50" t="inlineStr">
        <is>
          <t>New Belgium Brewing Company</t>
        </is>
      </c>
      <c r="D199" s="50" t="inlineStr">
        <is>
          <t>Fat Tire Family</t>
        </is>
      </c>
      <c r="E199" s="46" t="n">
        <v>167</v>
      </c>
      <c r="F199" s="46" t="n">
        <v>165</v>
      </c>
      <c r="G199" s="48" t="n">
        <v>5532.2</v>
      </c>
      <c r="H199" s="48" t="n">
        <v>4879.35</v>
      </c>
      <c r="I199" s="48" t="n">
        <v>1087.93</v>
      </c>
      <c r="J199" s="48" t="n">
        <v>941.33</v>
      </c>
    </row>
    <row r="200">
      <c r="A200" s="50" t="inlineStr">
        <is>
          <t>Dave Ehlers</t>
        </is>
      </c>
      <c r="B200" s="50" t="inlineStr">
        <is>
          <t>Amplify</t>
        </is>
      </c>
      <c r="C200" s="50" t="inlineStr">
        <is>
          <t>New Belgium Brewing Company</t>
        </is>
      </c>
      <c r="D200" s="50" t="inlineStr">
        <is>
          <t>Kirin Ichiban</t>
        </is>
      </c>
      <c r="E200" s="46" t="n">
        <v>47</v>
      </c>
      <c r="F200" s="46" t="n">
        <v>157</v>
      </c>
      <c r="G200" s="48" t="n">
        <v>1485</v>
      </c>
      <c r="H200" s="48" t="n">
        <v>4034.5</v>
      </c>
      <c r="I200" s="48" t="n">
        <v>348.54</v>
      </c>
      <c r="J200" s="48" t="n">
        <v>780.88</v>
      </c>
    </row>
    <row r="201">
      <c r="A201" s="50" t="inlineStr">
        <is>
          <t>Dave Ehlers</t>
        </is>
      </c>
      <c r="B201" s="50" t="inlineStr">
        <is>
          <t>Amplify</t>
        </is>
      </c>
      <c r="C201" s="50" t="inlineStr">
        <is>
          <t>New Belgium Brewing Company</t>
        </is>
      </c>
      <c r="D201" s="50" t="inlineStr">
        <is>
          <t>Voodoo Family</t>
        </is>
      </c>
      <c r="E201" s="46" t="n">
        <v>1018</v>
      </c>
      <c r="F201" s="46" t="n">
        <v>1205</v>
      </c>
      <c r="G201" s="48" t="n">
        <v>36397.1</v>
      </c>
      <c r="H201" s="48" t="n">
        <v>42531.1</v>
      </c>
      <c r="I201" s="48" t="n">
        <v>8878.690000000001</v>
      </c>
      <c r="J201" s="48" t="n">
        <v>10406.76</v>
      </c>
    </row>
    <row r="202">
      <c r="A202" s="50" t="inlineStr">
        <is>
          <t>Dave Ehlers</t>
        </is>
      </c>
      <c r="B202" s="50" t="inlineStr">
        <is>
          <t>Amplify</t>
        </is>
      </c>
      <c r="C202" s="50" t="inlineStr">
        <is>
          <t>DG Yuengling Inc</t>
        </is>
      </c>
      <c r="D202" s="50" t="inlineStr">
        <is>
          <t>Yuengling Flight</t>
        </is>
      </c>
      <c r="E202" s="46" t="n">
        <v>217</v>
      </c>
      <c r="F202" s="46" t="n">
        <v>198</v>
      </c>
      <c r="G202" s="48" t="n">
        <v>5036.85</v>
      </c>
      <c r="H202" s="48" t="n">
        <v>4387.25</v>
      </c>
      <c r="I202" s="48" t="n">
        <v>1451.91</v>
      </c>
      <c r="J202" s="48" t="n">
        <v>1128.65</v>
      </c>
    </row>
    <row r="203">
      <c r="A203" s="50" t="inlineStr">
        <is>
          <t>Dave Ehlers</t>
        </is>
      </c>
      <c r="B203" s="50" t="inlineStr">
        <is>
          <t>Amplify</t>
        </is>
      </c>
      <c r="C203" s="50" t="inlineStr">
        <is>
          <t>DG Yuengling Inc</t>
        </is>
      </c>
      <c r="D203" s="50" t="inlineStr">
        <is>
          <t>Yuengling Light Lager</t>
        </is>
      </c>
      <c r="E203" s="46" t="n">
        <v>260</v>
      </c>
      <c r="F203" s="46" t="n">
        <v>335</v>
      </c>
      <c r="G203" s="48" t="n">
        <v>5787.8</v>
      </c>
      <c r="H203" s="48" t="n">
        <v>7311.4</v>
      </c>
      <c r="I203" s="48" t="n">
        <v>1499.65</v>
      </c>
      <c r="J203" s="48" t="n">
        <v>1777.85</v>
      </c>
    </row>
    <row r="204">
      <c r="A204" s="50" t="inlineStr">
        <is>
          <t>Dave Ehlers</t>
        </is>
      </c>
      <c r="B204" s="50" t="inlineStr">
        <is>
          <t>Qualifier</t>
        </is>
      </c>
      <c r="C204" s="50" t="inlineStr">
        <is>
          <t>MolsonCoors Beverage Company</t>
        </is>
      </c>
      <c r="D204" s="50" t="inlineStr">
        <is>
          <t>Blue Moon</t>
        </is>
      </c>
      <c r="E204" s="46" t="n">
        <v>2531</v>
      </c>
      <c r="F204" s="46" t="n">
        <v>2331</v>
      </c>
      <c r="G204" s="48" t="n">
        <v>80187.25</v>
      </c>
      <c r="H204" s="48" t="n">
        <v>74601.85000000001</v>
      </c>
      <c r="I204" s="48" t="n">
        <v>17356.98</v>
      </c>
      <c r="J204" s="48" t="n">
        <v>16371.17</v>
      </c>
    </row>
    <row r="205">
      <c r="A205" s="50" t="inlineStr">
        <is>
          <t>Dave Ehlers</t>
        </is>
      </c>
      <c r="B205" s="50" t="inlineStr">
        <is>
          <t>Qualifier</t>
        </is>
      </c>
      <c r="C205" s="50" t="inlineStr">
        <is>
          <t>MolsonCoors Beverage Company</t>
        </is>
      </c>
      <c r="D205" s="50" t="inlineStr">
        <is>
          <t>Coors Light</t>
        </is>
      </c>
      <c r="E205" s="46" t="n">
        <v>13586</v>
      </c>
      <c r="F205" s="46" t="n">
        <v>13658</v>
      </c>
      <c r="G205" s="48" t="n">
        <v>281425.45</v>
      </c>
      <c r="H205" s="48" t="n">
        <v>290240.2</v>
      </c>
      <c r="I205" s="48" t="n">
        <v>69375.24000000001</v>
      </c>
      <c r="J205" s="48" t="n">
        <v>72764.33</v>
      </c>
    </row>
    <row r="206">
      <c r="A206" s="50" t="inlineStr">
        <is>
          <t>Dave Ehlers</t>
        </is>
      </c>
      <c r="B206" s="50" t="inlineStr">
        <is>
          <t>Qualifier</t>
        </is>
      </c>
      <c r="C206" s="50" t="inlineStr">
        <is>
          <t>MolsonCoors Beverage Company</t>
        </is>
      </c>
      <c r="D206" s="50" t="inlineStr">
        <is>
          <t>Lite</t>
        </is>
      </c>
      <c r="E206" s="46" t="n">
        <v>7226</v>
      </c>
      <c r="F206" s="46" t="n">
        <v>7337</v>
      </c>
      <c r="G206" s="48" t="n">
        <v>154461.75</v>
      </c>
      <c r="H206" s="48" t="n">
        <v>160884.65</v>
      </c>
      <c r="I206" s="48" t="n">
        <v>35266.36</v>
      </c>
      <c r="J206" s="48" t="n">
        <v>37565.72</v>
      </c>
    </row>
    <row r="207">
      <c r="A207" s="50" t="inlineStr">
        <is>
          <t>Dave Ehlers</t>
        </is>
      </c>
      <c r="B207" s="50" t="inlineStr">
        <is>
          <t>Qualifier</t>
        </is>
      </c>
      <c r="C207" s="50" t="inlineStr">
        <is>
          <t>Heineken USA</t>
        </is>
      </c>
      <c r="D207" s="50" t="inlineStr">
        <is>
          <t>Heineken USA</t>
        </is>
      </c>
      <c r="E207" s="46" t="n">
        <v>12384</v>
      </c>
      <c r="F207" s="46" t="n">
        <v>12044</v>
      </c>
      <c r="G207" s="48" t="n">
        <v>385987.85</v>
      </c>
      <c r="H207" s="48" t="n">
        <v>373122.65</v>
      </c>
      <c r="I207" s="48" t="n">
        <v>91021.2</v>
      </c>
      <c r="J207" s="48" t="n">
        <v>86797.74000000001</v>
      </c>
    </row>
    <row r="208">
      <c r="A208" s="50" t="inlineStr">
        <is>
          <t>Dave Ehlers</t>
        </is>
      </c>
      <c r="B208" s="50" t="inlineStr">
        <is>
          <t>Qualifier</t>
        </is>
      </c>
      <c r="C208" s="50" t="inlineStr">
        <is>
          <t>Constellation Brands</t>
        </is>
      </c>
      <c r="D208" s="50" t="inlineStr">
        <is>
          <t>Corona Extra</t>
        </is>
      </c>
      <c r="E208" s="46" t="n">
        <v>32998</v>
      </c>
      <c r="F208" s="46" t="n">
        <v>33344</v>
      </c>
      <c r="G208" s="48" t="n">
        <v>1060369.1</v>
      </c>
      <c r="H208" s="48" t="n">
        <v>1079798.7</v>
      </c>
      <c r="I208" s="48" t="n">
        <v>246399.04</v>
      </c>
      <c r="J208" s="48" t="n">
        <v>258075.79</v>
      </c>
    </row>
    <row r="209">
      <c r="A209" s="50" t="inlineStr">
        <is>
          <t>Dave Ehlers</t>
        </is>
      </c>
      <c r="B209" s="50" t="inlineStr">
        <is>
          <t>Qualifier</t>
        </is>
      </c>
      <c r="C209" s="50" t="inlineStr">
        <is>
          <t>Constellation Brands</t>
        </is>
      </c>
      <c r="D209" s="50" t="inlineStr">
        <is>
          <t>Modelo Especial</t>
        </is>
      </c>
      <c r="E209" s="46" t="n">
        <v>24789</v>
      </c>
      <c r="F209" s="46" t="n">
        <v>26019</v>
      </c>
      <c r="G209" s="48" t="n">
        <v>761771.85</v>
      </c>
      <c r="H209" s="48" t="n">
        <v>799769.7</v>
      </c>
      <c r="I209" s="48" t="n">
        <v>169756.89</v>
      </c>
      <c r="J209" s="48" t="n">
        <v>184219.75</v>
      </c>
    </row>
    <row r="210">
      <c r="A210" s="50" t="inlineStr">
        <is>
          <t>Dave Ehlers</t>
        </is>
      </c>
      <c r="B210" s="50" t="inlineStr">
        <is>
          <t>Qualifier</t>
        </is>
      </c>
      <c r="C210" s="50" t="inlineStr">
        <is>
          <t>Boston Beer Company</t>
        </is>
      </c>
      <c r="D210" s="50" t="inlineStr">
        <is>
          <t>Truly</t>
        </is>
      </c>
      <c r="E210" s="46" t="n">
        <v>841</v>
      </c>
      <c r="F210" s="46" t="n">
        <v>1166</v>
      </c>
      <c r="G210" s="48" t="n">
        <v>23887.15</v>
      </c>
      <c r="H210" s="48" t="n">
        <v>33062.8</v>
      </c>
      <c r="I210" s="48" t="n">
        <v>5336.23</v>
      </c>
      <c r="J210" s="48" t="n">
        <v>6619.87</v>
      </c>
    </row>
    <row r="211">
      <c r="A211" s="50" t="inlineStr">
        <is>
          <t>Dave Ehlers</t>
        </is>
      </c>
      <c r="B211" s="50" t="inlineStr">
        <is>
          <t>Qualifier</t>
        </is>
      </c>
      <c r="C211" s="50" t="inlineStr">
        <is>
          <t>Boston Beer Company</t>
        </is>
      </c>
      <c r="D211" s="50" t="inlineStr">
        <is>
          <t>Twisted Tea</t>
        </is>
      </c>
      <c r="E211" s="46" t="n">
        <v>2539</v>
      </c>
      <c r="F211" s="46" t="n">
        <v>2195</v>
      </c>
      <c r="G211" s="48" t="n">
        <v>73502.25</v>
      </c>
      <c r="H211" s="48" t="n">
        <v>63545.25</v>
      </c>
      <c r="I211" s="48" t="n">
        <v>18192.7</v>
      </c>
      <c r="J211" s="48" t="n">
        <v>15673.16</v>
      </c>
    </row>
    <row r="212">
      <c r="A212" s="50" t="inlineStr">
        <is>
          <t>Dave Ehlers</t>
        </is>
      </c>
      <c r="B212" s="50" t="inlineStr">
        <is>
          <t>Qualifier</t>
        </is>
      </c>
      <c r="C212" s="50" t="inlineStr">
        <is>
          <t>Mark Anthony</t>
        </is>
      </c>
      <c r="D212" s="50" t="inlineStr">
        <is>
          <t>White Claw</t>
        </is>
      </c>
      <c r="E212" s="46" t="n">
        <v>6394</v>
      </c>
      <c r="F212" s="46" t="n">
        <v>7117</v>
      </c>
      <c r="G212" s="48" t="n">
        <v>194982.45</v>
      </c>
      <c r="H212" s="48" t="n">
        <v>221456.25</v>
      </c>
      <c r="I212" s="48" t="n">
        <v>37212.28</v>
      </c>
      <c r="J212" s="48" t="n">
        <v>43108.82</v>
      </c>
    </row>
    <row r="213">
      <c r="A213" s="50" t="inlineStr">
        <is>
          <t>Dave Ehlers</t>
        </is>
      </c>
      <c r="B213" s="50" t="inlineStr">
        <is>
          <t>Qualifier</t>
        </is>
      </c>
      <c r="C213" s="50" t="inlineStr">
        <is>
          <t>DG Yuengling Inc</t>
        </is>
      </c>
      <c r="D213" s="50" t="inlineStr">
        <is>
          <t>Yuengling Lager</t>
        </is>
      </c>
      <c r="E213" s="46" t="n">
        <v>2411</v>
      </c>
      <c r="F213" s="46" t="n">
        <v>2743</v>
      </c>
      <c r="G213" s="48" t="n">
        <v>53236.4</v>
      </c>
      <c r="H213" s="48" t="n">
        <v>59368.55</v>
      </c>
      <c r="I213" s="48" t="n">
        <v>14140.62</v>
      </c>
      <c r="J213" s="48" t="n">
        <v>15389.36</v>
      </c>
    </row>
    <row r="214">
      <c r="A214" s="50" t="inlineStr">
        <is>
          <t>Derrick Laws</t>
        </is>
      </c>
      <c r="B214" s="50" t="inlineStr">
        <is>
          <t>Amplify</t>
        </is>
      </c>
      <c r="C214" s="50" t="inlineStr">
        <is>
          <t>Cape May</t>
        </is>
      </c>
      <c r="D214" s="50" t="inlineStr">
        <is>
          <t>Cape May</t>
        </is>
      </c>
      <c r="E214" s="46" t="n">
        <v>117</v>
      </c>
      <c r="F214" s="46" t="n">
        <v>134</v>
      </c>
      <c r="G214" s="48" t="n">
        <v>4755.3</v>
      </c>
      <c r="H214" s="48" t="n">
        <v>5331.2</v>
      </c>
      <c r="I214" s="48" t="n">
        <v>1391.99</v>
      </c>
      <c r="J214" s="48" t="n">
        <v>1555.48</v>
      </c>
    </row>
    <row r="215">
      <c r="A215" s="50" t="inlineStr">
        <is>
          <t>Derrick Laws</t>
        </is>
      </c>
      <c r="B215" s="50" t="inlineStr">
        <is>
          <t>Amplify</t>
        </is>
      </c>
      <c r="C215" s="50" t="inlineStr">
        <is>
          <t>Mark Anthony</t>
        </is>
      </c>
      <c r="D215" s="50" t="inlineStr">
        <is>
          <t>Cayman Jack</t>
        </is>
      </c>
      <c r="E215" s="46" t="n">
        <v>770</v>
      </c>
      <c r="F215" s="46" t="n">
        <v>921</v>
      </c>
      <c r="G215" s="48" t="n">
        <v>24555.75</v>
      </c>
      <c r="H215" s="48" t="n">
        <v>29300</v>
      </c>
      <c r="I215" s="48" t="n">
        <v>5979.65</v>
      </c>
      <c r="J215" s="48" t="n">
        <v>6951.81</v>
      </c>
    </row>
    <row r="216">
      <c r="A216" s="50" t="inlineStr">
        <is>
          <t>Derrick Laws</t>
        </is>
      </c>
      <c r="B216" s="50" t="inlineStr">
        <is>
          <t>Amplify</t>
        </is>
      </c>
      <c r="C216" s="50" t="inlineStr">
        <is>
          <t>Mark Anthony</t>
        </is>
      </c>
      <c r="D216" s="50" t="inlineStr">
        <is>
          <t>Mike's Harder</t>
        </is>
      </c>
      <c r="E216" s="46" t="n">
        <v>136</v>
      </c>
      <c r="F216" s="46" t="n">
        <v>110</v>
      </c>
      <c r="G216" s="48" t="n">
        <v>3798</v>
      </c>
      <c r="H216" s="48" t="n">
        <v>3255.5</v>
      </c>
      <c r="I216" s="48" t="n">
        <v>822.79</v>
      </c>
      <c r="J216" s="48" t="n">
        <v>687.9299999999999</v>
      </c>
    </row>
    <row r="217">
      <c r="A217" s="50" t="inlineStr">
        <is>
          <t>Derrick Laws</t>
        </is>
      </c>
      <c r="B217" s="50" t="inlineStr">
        <is>
          <t>Amplify</t>
        </is>
      </c>
      <c r="C217" s="50" t="inlineStr">
        <is>
          <t>Mark Anthony</t>
        </is>
      </c>
      <c r="D217" s="50" t="inlineStr">
        <is>
          <t>Mxd Cocktails</t>
        </is>
      </c>
      <c r="E217" s="46" t="n">
        <v>268</v>
      </c>
      <c r="F217" s="46" t="n">
        <v>433</v>
      </c>
      <c r="G217" s="48" t="n">
        <v>6432</v>
      </c>
      <c r="H217" s="48" t="n">
        <v>10511.6</v>
      </c>
      <c r="I217" s="48" t="n">
        <v>1208.28</v>
      </c>
      <c r="J217" s="48" t="n">
        <v>1983.77</v>
      </c>
    </row>
    <row r="218">
      <c r="A218" s="50" t="inlineStr">
        <is>
          <t>Derrick Laws</t>
        </is>
      </c>
      <c r="B218" s="50" t="inlineStr">
        <is>
          <t>Amplify</t>
        </is>
      </c>
      <c r="C218" s="50" t="inlineStr">
        <is>
          <t>MolsonCoors Beverage Company</t>
        </is>
      </c>
      <c r="D218" s="50" t="inlineStr">
        <is>
          <t>Coors</t>
        </is>
      </c>
      <c r="E218" s="46" t="n">
        <v>1888</v>
      </c>
      <c r="F218" s="46" t="n">
        <v>1887</v>
      </c>
      <c r="G218" s="48" t="n">
        <v>33795.9</v>
      </c>
      <c r="H218" s="48" t="n">
        <v>35037.45</v>
      </c>
      <c r="I218" s="48" t="n">
        <v>6699.4</v>
      </c>
      <c r="J218" s="48" t="n">
        <v>7134.8</v>
      </c>
    </row>
    <row r="219">
      <c r="A219" s="50" t="inlineStr">
        <is>
          <t>Derrick Laws</t>
        </is>
      </c>
      <c r="B219" s="50" t="inlineStr">
        <is>
          <t>Amplify</t>
        </is>
      </c>
      <c r="C219" s="50" t="inlineStr">
        <is>
          <t>MolsonCoors Beverage Company</t>
        </is>
      </c>
      <c r="D219" s="50" t="inlineStr">
        <is>
          <t>Fever Tree</t>
        </is>
      </c>
      <c r="E219" s="46" t="n">
        <v>5</v>
      </c>
      <c r="F219" s="46" t="n">
        <v>24</v>
      </c>
      <c r="G219" s="48" t="n">
        <v>211.6</v>
      </c>
      <c r="H219" s="48" t="n">
        <v>1108</v>
      </c>
      <c r="I219" s="48" t="n">
        <v>90.13</v>
      </c>
      <c r="J219" s="48" t="n">
        <v>356.04</v>
      </c>
    </row>
    <row r="220">
      <c r="A220" s="50" t="inlineStr">
        <is>
          <t>Derrick Laws</t>
        </is>
      </c>
      <c r="B220" s="50" t="inlineStr">
        <is>
          <t>Amplify</t>
        </is>
      </c>
      <c r="C220" s="50" t="inlineStr">
        <is>
          <t>MolsonCoors Beverage Company</t>
        </is>
      </c>
      <c r="D220" s="50" t="inlineStr">
        <is>
          <t>Peroni</t>
        </is>
      </c>
      <c r="E220" s="46" t="n">
        <v>464</v>
      </c>
      <c r="F220" s="46" t="n">
        <v>544</v>
      </c>
      <c r="G220" s="48" t="n">
        <v>15874.55</v>
      </c>
      <c r="H220" s="48" t="n">
        <v>18500.7</v>
      </c>
      <c r="I220" s="48" t="n">
        <v>3216.02</v>
      </c>
      <c r="J220" s="48" t="n">
        <v>3713.63</v>
      </c>
    </row>
    <row r="221">
      <c r="A221" s="50" t="inlineStr">
        <is>
          <t>Derrick Laws</t>
        </is>
      </c>
      <c r="B221" s="50" t="inlineStr">
        <is>
          <t>Amplify</t>
        </is>
      </c>
      <c r="C221" s="50" t="inlineStr">
        <is>
          <t>Boston Beer Company</t>
        </is>
      </c>
      <c r="D221" s="50" t="inlineStr">
        <is>
          <t>Dogfish Head Beer</t>
        </is>
      </c>
      <c r="E221" s="46" t="n">
        <v>126</v>
      </c>
      <c r="F221" s="46" t="n">
        <v>94</v>
      </c>
      <c r="G221" s="48" t="n">
        <v>4315.9</v>
      </c>
      <c r="H221" s="48" t="n">
        <v>3182.5</v>
      </c>
      <c r="I221" s="48" t="n">
        <v>1112.45</v>
      </c>
      <c r="J221" s="48" t="n">
        <v>781.8099999999999</v>
      </c>
    </row>
    <row r="222">
      <c r="A222" s="50" t="inlineStr">
        <is>
          <t>Derrick Laws</t>
        </is>
      </c>
      <c r="B222" s="50" t="inlineStr">
        <is>
          <t>Amplify</t>
        </is>
      </c>
      <c r="C222" s="50" t="inlineStr">
        <is>
          <t>Boston Beer Company</t>
        </is>
      </c>
      <c r="D222" s="50" t="inlineStr">
        <is>
          <t>Dogfish Head Spirits</t>
        </is>
      </c>
      <c r="E222" s="46" t="n">
        <v>65</v>
      </c>
      <c r="F222" s="46" t="n">
        <v>33</v>
      </c>
      <c r="G222" s="48" t="n">
        <v>3281</v>
      </c>
      <c r="H222" s="48" t="n">
        <v>1672</v>
      </c>
      <c r="I222" s="48" t="n">
        <v>1174.1</v>
      </c>
      <c r="J222" s="48" t="n">
        <v>624.6900000000001</v>
      </c>
    </row>
    <row r="223">
      <c r="A223" s="50" t="inlineStr">
        <is>
          <t>Derrick Laws</t>
        </is>
      </c>
      <c r="B223" s="50" t="inlineStr">
        <is>
          <t>Amplify</t>
        </is>
      </c>
      <c r="C223" s="50" t="inlineStr">
        <is>
          <t>Heineken USA</t>
        </is>
      </c>
      <c r="D223" s="50" t="inlineStr">
        <is>
          <t>Heineken 0.0</t>
        </is>
      </c>
      <c r="E223" s="46" t="n">
        <v>494</v>
      </c>
      <c r="F223" s="46" t="n">
        <v>438</v>
      </c>
      <c r="G223" s="48" t="n">
        <v>16603</v>
      </c>
      <c r="H223" s="48" t="n">
        <v>14743.8</v>
      </c>
      <c r="I223" s="48" t="n">
        <v>4394.61</v>
      </c>
      <c r="J223" s="48" t="n">
        <v>3916.41</v>
      </c>
    </row>
    <row r="224">
      <c r="A224" s="50" t="inlineStr">
        <is>
          <t>Derrick Laws</t>
        </is>
      </c>
      <c r="B224" s="50" t="inlineStr">
        <is>
          <t>Amplify</t>
        </is>
      </c>
      <c r="C224" s="50" t="inlineStr">
        <is>
          <t>Heineken USA</t>
        </is>
      </c>
      <c r="D224" s="50" t="inlineStr">
        <is>
          <t>Heineken Light</t>
        </is>
      </c>
      <c r="E224" s="46" t="n">
        <v>1583</v>
      </c>
      <c r="F224" s="46" t="n">
        <v>1258</v>
      </c>
      <c r="G224" s="48" t="n">
        <v>49143.05</v>
      </c>
      <c r="H224" s="48" t="n">
        <v>39347.8</v>
      </c>
      <c r="I224" s="48" t="n">
        <v>11509.76</v>
      </c>
      <c r="J224" s="48" t="n">
        <v>9442.219999999999</v>
      </c>
    </row>
    <row r="225">
      <c r="A225" s="50" t="inlineStr">
        <is>
          <t>Derrick Laws</t>
        </is>
      </c>
      <c r="B225" s="50" t="inlineStr">
        <is>
          <t>Amplify</t>
        </is>
      </c>
      <c r="C225" s="50" t="inlineStr">
        <is>
          <t>Constellation Brands</t>
        </is>
      </c>
      <c r="D225" s="50" t="inlineStr">
        <is>
          <t>Corona Premier</t>
        </is>
      </c>
      <c r="E225" s="46" t="n">
        <v>550</v>
      </c>
      <c r="F225" s="46" t="n">
        <v>579</v>
      </c>
      <c r="G225" s="48" t="n">
        <v>17265.55</v>
      </c>
      <c r="H225" s="48" t="n">
        <v>16012</v>
      </c>
      <c r="I225" s="48" t="n">
        <v>3744.81</v>
      </c>
      <c r="J225" s="48" t="n">
        <v>4094.05</v>
      </c>
    </row>
    <row r="226">
      <c r="A226" s="50" t="inlineStr">
        <is>
          <t>Derrick Laws</t>
        </is>
      </c>
      <c r="B226" s="50" t="inlineStr">
        <is>
          <t>Amplify</t>
        </is>
      </c>
      <c r="C226" s="50" t="inlineStr">
        <is>
          <t>Constellation Brands</t>
        </is>
      </c>
      <c r="D226" s="50" t="inlineStr">
        <is>
          <t>Modelo Chelada</t>
        </is>
      </c>
      <c r="E226" s="46" t="n">
        <v>2407</v>
      </c>
      <c r="F226" s="46" t="n">
        <v>2502</v>
      </c>
      <c r="G226" s="48" t="n">
        <v>74448.45</v>
      </c>
      <c r="H226" s="48" t="n">
        <v>77268.35000000001</v>
      </c>
      <c r="I226" s="48" t="n">
        <v>18783.03</v>
      </c>
      <c r="J226" s="48" t="n">
        <v>19745.11</v>
      </c>
    </row>
    <row r="227">
      <c r="A227" s="50" t="inlineStr">
        <is>
          <t>Derrick Laws</t>
        </is>
      </c>
      <c r="B227" s="50" t="inlineStr">
        <is>
          <t>Amplify</t>
        </is>
      </c>
      <c r="C227" s="50" t="inlineStr">
        <is>
          <t>Constellation Brands</t>
        </is>
      </c>
      <c r="D227" s="50" t="inlineStr">
        <is>
          <t>Pacifico</t>
        </is>
      </c>
      <c r="E227" s="46" t="n">
        <v>543</v>
      </c>
      <c r="F227" s="46" t="n">
        <v>660</v>
      </c>
      <c r="G227" s="48" t="n">
        <v>16695.25</v>
      </c>
      <c r="H227" s="48" t="n">
        <v>20469.5</v>
      </c>
      <c r="I227" s="48" t="n">
        <v>3791.44</v>
      </c>
      <c r="J227" s="48" t="n">
        <v>4719.26</v>
      </c>
    </row>
    <row r="228">
      <c r="A228" s="50" t="inlineStr">
        <is>
          <t>Derrick Laws</t>
        </is>
      </c>
      <c r="B228" s="50" t="inlineStr">
        <is>
          <t>Amplify</t>
        </is>
      </c>
      <c r="C228" s="50" t="inlineStr">
        <is>
          <t>Constellation Brands</t>
        </is>
      </c>
      <c r="D228" s="50" t="inlineStr">
        <is>
          <t>Victoria</t>
        </is>
      </c>
      <c r="E228" s="46" t="n">
        <v>1223</v>
      </c>
      <c r="F228" s="46" t="n">
        <v>1493</v>
      </c>
      <c r="G228" s="48" t="n">
        <v>37013.2</v>
      </c>
      <c r="H228" s="48" t="n">
        <v>45284.65</v>
      </c>
      <c r="I228" s="48" t="n">
        <v>8805.120000000001</v>
      </c>
      <c r="J228" s="48" t="n">
        <v>10750.59</v>
      </c>
    </row>
    <row r="229">
      <c r="A229" s="50" t="inlineStr">
        <is>
          <t>Derrick Laws</t>
        </is>
      </c>
      <c r="B229" s="50" t="inlineStr">
        <is>
          <t>Amplify</t>
        </is>
      </c>
      <c r="C229" s="50" t="inlineStr">
        <is>
          <t>Sapporo</t>
        </is>
      </c>
      <c r="D229" s="50" t="inlineStr">
        <is>
          <t>Sapporo</t>
        </is>
      </c>
      <c r="E229" s="46" t="n">
        <v>418</v>
      </c>
      <c r="F229" s="46" t="n">
        <v>364</v>
      </c>
      <c r="G229" s="48" t="n">
        <v>12292.25</v>
      </c>
      <c r="H229" s="48" t="n">
        <v>10836</v>
      </c>
      <c r="I229" s="48" t="n">
        <v>3181.63</v>
      </c>
      <c r="J229" s="48" t="n">
        <v>2787.22</v>
      </c>
    </row>
    <row r="230">
      <c r="A230" s="50" t="inlineStr">
        <is>
          <t>Derrick Laws</t>
        </is>
      </c>
      <c r="B230" s="50" t="inlineStr">
        <is>
          <t>Amplify</t>
        </is>
      </c>
      <c r="C230" s="50" t="inlineStr">
        <is>
          <t>Bell's</t>
        </is>
      </c>
      <c r="D230" s="50" t="inlineStr">
        <is>
          <t>Bell's</t>
        </is>
      </c>
      <c r="E230" s="46" t="n">
        <v>0</v>
      </c>
      <c r="F230" s="46" t="n">
        <v>1</v>
      </c>
      <c r="G230" s="48" t="n">
        <v>0</v>
      </c>
      <c r="H230" s="48" t="n">
        <v>35.6</v>
      </c>
      <c r="I230" s="48" t="n">
        <v>0</v>
      </c>
      <c r="J230" s="48" t="n">
        <v>10.33</v>
      </c>
    </row>
    <row r="231">
      <c r="A231" s="50" t="inlineStr">
        <is>
          <t>Derrick Laws</t>
        </is>
      </c>
      <c r="B231" s="50" t="inlineStr">
        <is>
          <t>Amplify</t>
        </is>
      </c>
      <c r="C231" s="50" t="inlineStr">
        <is>
          <t>New Belgium Brewing Company</t>
        </is>
      </c>
      <c r="D231" s="50" t="inlineStr">
        <is>
          <t>Fat Tire Family</t>
        </is>
      </c>
      <c r="E231" s="46" t="n">
        <v>5</v>
      </c>
      <c r="F231" s="46" t="n">
        <v>6</v>
      </c>
      <c r="G231" s="48" t="n">
        <v>180</v>
      </c>
      <c r="H231" s="48" t="n">
        <v>205.75</v>
      </c>
      <c r="I231" s="48" t="n">
        <v>51</v>
      </c>
      <c r="J231" s="48" t="n">
        <v>49.67</v>
      </c>
    </row>
    <row r="232">
      <c r="A232" s="50" t="inlineStr">
        <is>
          <t>Derrick Laws</t>
        </is>
      </c>
      <c r="B232" s="50" t="inlineStr">
        <is>
          <t>Amplify</t>
        </is>
      </c>
      <c r="C232" s="50" t="inlineStr">
        <is>
          <t>New Belgium Brewing Company</t>
        </is>
      </c>
      <c r="D232" s="50" t="inlineStr">
        <is>
          <t>Kirin Ichiban</t>
        </is>
      </c>
      <c r="E232" s="46" t="n">
        <v>0</v>
      </c>
      <c r="F232" s="46" t="n">
        <v>6</v>
      </c>
      <c r="G232" s="48" t="n">
        <v>0</v>
      </c>
      <c r="H232" s="48" t="n">
        <v>188</v>
      </c>
      <c r="I232" s="48" t="n">
        <v>0</v>
      </c>
      <c r="J232" s="48" t="n">
        <v>53.56</v>
      </c>
    </row>
    <row r="233">
      <c r="A233" s="50" t="inlineStr">
        <is>
          <t>Derrick Laws</t>
        </is>
      </c>
      <c r="B233" s="50" t="inlineStr">
        <is>
          <t>Amplify</t>
        </is>
      </c>
      <c r="C233" s="50" t="inlineStr">
        <is>
          <t>New Belgium Brewing Company</t>
        </is>
      </c>
      <c r="D233" s="50" t="inlineStr">
        <is>
          <t>Voodoo Family</t>
        </is>
      </c>
      <c r="E233" s="46" t="n">
        <v>225</v>
      </c>
      <c r="F233" s="46" t="n">
        <v>249</v>
      </c>
      <c r="G233" s="48" t="n">
        <v>8202.799999999999</v>
      </c>
      <c r="H233" s="48" t="n">
        <v>8972.1</v>
      </c>
      <c r="I233" s="48" t="n">
        <v>2065.53</v>
      </c>
      <c r="J233" s="48" t="n">
        <v>2240.5</v>
      </c>
    </row>
    <row r="234">
      <c r="A234" s="50" t="inlineStr">
        <is>
          <t>Derrick Laws</t>
        </is>
      </c>
      <c r="B234" s="50" t="inlineStr">
        <is>
          <t>Amplify</t>
        </is>
      </c>
      <c r="C234" s="50" t="inlineStr">
        <is>
          <t>DG Yuengling Inc</t>
        </is>
      </c>
      <c r="D234" s="50" t="inlineStr">
        <is>
          <t>Yuengling Flight</t>
        </is>
      </c>
      <c r="E234" s="46" t="n">
        <v>65</v>
      </c>
      <c r="F234" s="46" t="n">
        <v>43</v>
      </c>
      <c r="G234" s="48" t="n">
        <v>1589.25</v>
      </c>
      <c r="H234" s="48" t="n">
        <v>1083.25</v>
      </c>
      <c r="I234" s="48" t="n">
        <v>486.54</v>
      </c>
      <c r="J234" s="48" t="n">
        <v>336.56</v>
      </c>
    </row>
    <row r="235">
      <c r="A235" s="50" t="inlineStr">
        <is>
          <t>Derrick Laws</t>
        </is>
      </c>
      <c r="B235" s="50" t="inlineStr">
        <is>
          <t>Amplify</t>
        </is>
      </c>
      <c r="C235" s="50" t="inlineStr">
        <is>
          <t>DG Yuengling Inc</t>
        </is>
      </c>
      <c r="D235" s="50" t="inlineStr">
        <is>
          <t>Yuengling Light Lager</t>
        </is>
      </c>
      <c r="E235" s="46" t="n">
        <v>19</v>
      </c>
      <c r="F235" s="46" t="n">
        <v>7</v>
      </c>
      <c r="G235" s="48" t="n">
        <v>501</v>
      </c>
      <c r="H235" s="48" t="n">
        <v>189</v>
      </c>
      <c r="I235" s="48" t="n">
        <v>128.02</v>
      </c>
      <c r="J235" s="48" t="n">
        <v>54.84</v>
      </c>
    </row>
    <row r="236">
      <c r="A236" s="50" t="inlineStr">
        <is>
          <t>Derrick Laws</t>
        </is>
      </c>
      <c r="B236" s="50" t="inlineStr">
        <is>
          <t>Qualifier</t>
        </is>
      </c>
      <c r="C236" s="50" t="inlineStr">
        <is>
          <t>MolsonCoors Beverage Company</t>
        </is>
      </c>
      <c r="D236" s="50" t="inlineStr">
        <is>
          <t>Blue Moon</t>
        </is>
      </c>
      <c r="E236" s="46" t="n">
        <v>729</v>
      </c>
      <c r="F236" s="46" t="n">
        <v>653</v>
      </c>
      <c r="G236" s="48" t="n">
        <v>23256</v>
      </c>
      <c r="H236" s="48" t="n">
        <v>21175.45</v>
      </c>
      <c r="I236" s="48" t="n">
        <v>4953.62</v>
      </c>
      <c r="J236" s="48" t="n">
        <v>4843.52</v>
      </c>
    </row>
    <row r="237">
      <c r="A237" s="50" t="inlineStr">
        <is>
          <t>Derrick Laws</t>
        </is>
      </c>
      <c r="B237" s="50" t="inlineStr">
        <is>
          <t>Qualifier</t>
        </is>
      </c>
      <c r="C237" s="50" t="inlineStr">
        <is>
          <t>MolsonCoors Beverage Company</t>
        </is>
      </c>
      <c r="D237" s="50" t="inlineStr">
        <is>
          <t>Coors Light</t>
        </is>
      </c>
      <c r="E237" s="46" t="n">
        <v>16713</v>
      </c>
      <c r="F237" s="46" t="n">
        <v>15548</v>
      </c>
      <c r="G237" s="48" t="n">
        <v>317855.8</v>
      </c>
      <c r="H237" s="48" t="n">
        <v>302070.4</v>
      </c>
      <c r="I237" s="48" t="n">
        <v>67714.17</v>
      </c>
      <c r="J237" s="48" t="n">
        <v>65803.85000000001</v>
      </c>
    </row>
    <row r="238">
      <c r="A238" s="50" t="inlineStr">
        <is>
          <t>Derrick Laws</t>
        </is>
      </c>
      <c r="B238" s="50" t="inlineStr">
        <is>
          <t>Qualifier</t>
        </is>
      </c>
      <c r="C238" s="50" t="inlineStr">
        <is>
          <t>MolsonCoors Beverage Company</t>
        </is>
      </c>
      <c r="D238" s="50" t="inlineStr">
        <is>
          <t>Lite</t>
        </is>
      </c>
      <c r="E238" s="46" t="n">
        <v>1946</v>
      </c>
      <c r="F238" s="46" t="n">
        <v>1708</v>
      </c>
      <c r="G238" s="48" t="n">
        <v>41163.65</v>
      </c>
      <c r="H238" s="48" t="n">
        <v>36713.3</v>
      </c>
      <c r="I238" s="48" t="n">
        <v>9206.17</v>
      </c>
      <c r="J238" s="48" t="n">
        <v>8186.21</v>
      </c>
    </row>
    <row r="239">
      <c r="A239" s="50" t="inlineStr">
        <is>
          <t>Derrick Laws</t>
        </is>
      </c>
      <c r="B239" s="50" t="inlineStr">
        <is>
          <t>Qualifier</t>
        </is>
      </c>
      <c r="C239" s="50" t="inlineStr">
        <is>
          <t>Heineken USA</t>
        </is>
      </c>
      <c r="D239" s="50" t="inlineStr">
        <is>
          <t>Heineken USA</t>
        </is>
      </c>
      <c r="E239" s="46" t="n">
        <v>13154</v>
      </c>
      <c r="F239" s="46" t="n">
        <v>11131</v>
      </c>
      <c r="G239" s="48" t="n">
        <v>414509.85</v>
      </c>
      <c r="H239" s="48" t="n">
        <v>349456.45</v>
      </c>
      <c r="I239" s="48" t="n">
        <v>96384.34</v>
      </c>
      <c r="J239" s="48" t="n">
        <v>80425.5</v>
      </c>
    </row>
    <row r="240">
      <c r="A240" s="50" t="inlineStr">
        <is>
          <t>Derrick Laws</t>
        </is>
      </c>
      <c r="B240" s="50" t="inlineStr">
        <is>
          <t>Qualifier</t>
        </is>
      </c>
      <c r="C240" s="50" t="inlineStr">
        <is>
          <t>Constellation Brands</t>
        </is>
      </c>
      <c r="D240" s="50" t="inlineStr">
        <is>
          <t>Corona Extra</t>
        </is>
      </c>
      <c r="E240" s="46" t="n">
        <v>43496</v>
      </c>
      <c r="F240" s="46" t="n">
        <v>41323</v>
      </c>
      <c r="G240" s="48" t="n">
        <v>1437804.45</v>
      </c>
      <c r="H240" s="48" t="n">
        <v>1377165.35</v>
      </c>
      <c r="I240" s="48" t="n">
        <v>342813.96</v>
      </c>
      <c r="J240" s="48" t="n">
        <v>338592.11</v>
      </c>
    </row>
    <row r="241">
      <c r="A241" s="50" t="inlineStr">
        <is>
          <t>Derrick Laws</t>
        </is>
      </c>
      <c r="B241" s="50" t="inlineStr">
        <is>
          <t>Qualifier</t>
        </is>
      </c>
      <c r="C241" s="50" t="inlineStr">
        <is>
          <t>Constellation Brands</t>
        </is>
      </c>
      <c r="D241" s="50" t="inlineStr">
        <is>
          <t>Modelo Especial</t>
        </is>
      </c>
      <c r="E241" s="46" t="n">
        <v>26363</v>
      </c>
      <c r="F241" s="46" t="n">
        <v>25037</v>
      </c>
      <c r="G241" s="48" t="n">
        <v>826965.55</v>
      </c>
      <c r="H241" s="48" t="n">
        <v>785818.65</v>
      </c>
      <c r="I241" s="48" t="n">
        <v>186695.23</v>
      </c>
      <c r="J241" s="48" t="n">
        <v>183822.05</v>
      </c>
    </row>
    <row r="242">
      <c r="A242" s="50" t="inlineStr">
        <is>
          <t>Derrick Laws</t>
        </is>
      </c>
      <c r="B242" s="50" t="inlineStr">
        <is>
          <t>Qualifier</t>
        </is>
      </c>
      <c r="C242" s="50" t="inlineStr">
        <is>
          <t>Boston Beer Company</t>
        </is>
      </c>
      <c r="D242" s="50" t="inlineStr">
        <is>
          <t>Truly</t>
        </is>
      </c>
      <c r="E242" s="46" t="n">
        <v>209</v>
      </c>
      <c r="F242" s="46" t="n">
        <v>183</v>
      </c>
      <c r="G242" s="48" t="n">
        <v>5786.55</v>
      </c>
      <c r="H242" s="48" t="n">
        <v>5330.4</v>
      </c>
      <c r="I242" s="48" t="n">
        <v>1039.56</v>
      </c>
      <c r="J242" s="48" t="n">
        <v>1171.86</v>
      </c>
    </row>
    <row r="243">
      <c r="A243" s="50" t="inlineStr">
        <is>
          <t>Derrick Laws</t>
        </is>
      </c>
      <c r="B243" s="50" t="inlineStr">
        <is>
          <t>Qualifier</t>
        </is>
      </c>
      <c r="C243" s="50" t="inlineStr">
        <is>
          <t>Boston Beer Company</t>
        </is>
      </c>
      <c r="D243" s="50" t="inlineStr">
        <is>
          <t>Twisted Tea</t>
        </is>
      </c>
      <c r="E243" s="46" t="n">
        <v>743</v>
      </c>
      <c r="F243" s="46" t="n">
        <v>637</v>
      </c>
      <c r="G243" s="48" t="n">
        <v>21678</v>
      </c>
      <c r="H243" s="48" t="n">
        <v>18838.25</v>
      </c>
      <c r="I243" s="48" t="n">
        <v>5471.23</v>
      </c>
      <c r="J243" s="48" t="n">
        <v>4876.72</v>
      </c>
    </row>
    <row r="244">
      <c r="A244" s="50" t="inlineStr">
        <is>
          <t>Derrick Laws</t>
        </is>
      </c>
      <c r="B244" s="50" t="inlineStr">
        <is>
          <t>Qualifier</t>
        </is>
      </c>
      <c r="C244" s="50" t="inlineStr">
        <is>
          <t>Mark Anthony</t>
        </is>
      </c>
      <c r="D244" s="50" t="inlineStr">
        <is>
          <t>White Claw</t>
        </is>
      </c>
      <c r="E244" s="46" t="n">
        <v>1801</v>
      </c>
      <c r="F244" s="46" t="n">
        <v>1932</v>
      </c>
      <c r="G244" s="48" t="n">
        <v>55750.05</v>
      </c>
      <c r="H244" s="48" t="n">
        <v>59622.6</v>
      </c>
      <c r="I244" s="48" t="n">
        <v>11370.45</v>
      </c>
      <c r="J244" s="48" t="n">
        <v>11484.83</v>
      </c>
    </row>
    <row r="245">
      <c r="A245" s="50" t="inlineStr">
        <is>
          <t>Derrick Laws</t>
        </is>
      </c>
      <c r="B245" s="50" t="inlineStr">
        <is>
          <t>Qualifier</t>
        </is>
      </c>
      <c r="C245" s="50" t="inlineStr">
        <is>
          <t>DG Yuengling Inc</t>
        </is>
      </c>
      <c r="D245" s="50" t="inlineStr">
        <is>
          <t>Yuengling Lager</t>
        </is>
      </c>
      <c r="E245" s="46" t="n">
        <v>658</v>
      </c>
      <c r="F245" s="46" t="n">
        <v>575</v>
      </c>
      <c r="G245" s="48" t="n">
        <v>14783.6</v>
      </c>
      <c r="H245" s="48" t="n">
        <v>12743.6</v>
      </c>
      <c r="I245" s="48" t="n">
        <v>3982.58</v>
      </c>
      <c r="J245" s="48" t="n">
        <v>3459.35</v>
      </c>
    </row>
    <row r="246">
      <c r="A246" s="50" t="inlineStr">
        <is>
          <t>Dylan Rubino</t>
        </is>
      </c>
      <c r="B246" s="50" t="inlineStr">
        <is>
          <t>Amplify</t>
        </is>
      </c>
      <c r="C246" s="50" t="inlineStr">
        <is>
          <t>Cape May</t>
        </is>
      </c>
      <c r="D246" s="50" t="inlineStr">
        <is>
          <t>Cape May</t>
        </is>
      </c>
      <c r="E246" s="46" t="n">
        <v>0</v>
      </c>
      <c r="F246" s="46" t="n">
        <v>1</v>
      </c>
      <c r="G246" s="48" t="n">
        <v>0</v>
      </c>
      <c r="H246" s="48" t="n">
        <v>44</v>
      </c>
      <c r="I246" s="48" t="n">
        <v>0</v>
      </c>
      <c r="J246" s="48" t="n">
        <v>16.17</v>
      </c>
    </row>
    <row r="247">
      <c r="A247" s="50" t="inlineStr">
        <is>
          <t>Dylan Rubino</t>
        </is>
      </c>
      <c r="B247" s="50" t="inlineStr">
        <is>
          <t>Amplify</t>
        </is>
      </c>
      <c r="C247" s="50" t="inlineStr">
        <is>
          <t>Mark Anthony</t>
        </is>
      </c>
      <c r="D247" s="50" t="inlineStr">
        <is>
          <t>Cayman Jack</t>
        </is>
      </c>
      <c r="E247" s="46" t="n">
        <v>16</v>
      </c>
      <c r="F247" s="46" t="n">
        <v>3</v>
      </c>
      <c r="G247" s="48" t="n">
        <v>504.5</v>
      </c>
      <c r="H247" s="48" t="n">
        <v>97.5</v>
      </c>
      <c r="I247" s="48" t="n">
        <v>129.07</v>
      </c>
      <c r="J247" s="48" t="n">
        <v>27.13</v>
      </c>
    </row>
    <row r="248">
      <c r="A248" s="50" t="inlineStr">
        <is>
          <t>Dylan Rubino</t>
        </is>
      </c>
      <c r="B248" s="50" t="inlineStr">
        <is>
          <t>Amplify</t>
        </is>
      </c>
      <c r="C248" s="50" t="inlineStr">
        <is>
          <t>MolsonCoors Beverage Company</t>
        </is>
      </c>
      <c r="D248" s="50" t="inlineStr">
        <is>
          <t>Peroni</t>
        </is>
      </c>
      <c r="E248" s="46" t="n">
        <v>6</v>
      </c>
      <c r="F248" s="46" t="n">
        <v>3</v>
      </c>
      <c r="G248" s="48" t="n">
        <v>203</v>
      </c>
      <c r="H248" s="48" t="n">
        <v>102.2</v>
      </c>
      <c r="I248" s="48" t="n">
        <v>47.44</v>
      </c>
      <c r="J248" s="48" t="n">
        <v>25.13</v>
      </c>
    </row>
    <row r="249">
      <c r="A249" s="50" t="inlineStr">
        <is>
          <t>Dylan Rubino</t>
        </is>
      </c>
      <c r="B249" s="50" t="inlineStr">
        <is>
          <t>Amplify</t>
        </is>
      </c>
      <c r="C249" s="50" t="inlineStr">
        <is>
          <t>Boston Beer Company</t>
        </is>
      </c>
      <c r="D249" s="50" t="inlineStr">
        <is>
          <t>Dogfish Head Beer</t>
        </is>
      </c>
      <c r="E249" s="46" t="n">
        <v>2</v>
      </c>
      <c r="F249" s="46" t="n">
        <v>4</v>
      </c>
      <c r="G249" s="48" t="n">
        <v>73.59999999999999</v>
      </c>
      <c r="H249" s="48" t="n">
        <v>149.2</v>
      </c>
      <c r="I249" s="48" t="n">
        <v>23.84</v>
      </c>
      <c r="J249" s="48" t="n">
        <v>49.68</v>
      </c>
    </row>
    <row r="250">
      <c r="A250" s="50" t="inlineStr">
        <is>
          <t>Dylan Rubino</t>
        </is>
      </c>
      <c r="B250" s="50" t="inlineStr">
        <is>
          <t>Amplify</t>
        </is>
      </c>
      <c r="C250" s="50" t="inlineStr">
        <is>
          <t>Heineken USA</t>
        </is>
      </c>
      <c r="D250" s="50" t="inlineStr">
        <is>
          <t>Heineken 0.0</t>
        </is>
      </c>
      <c r="E250" s="46" t="n">
        <v>4</v>
      </c>
      <c r="F250" s="46" t="n">
        <v>6</v>
      </c>
      <c r="G250" s="48" t="n">
        <v>129.05</v>
      </c>
      <c r="H250" s="48" t="n">
        <v>188.1</v>
      </c>
      <c r="I250" s="48" t="n">
        <v>36.93</v>
      </c>
      <c r="J250" s="48" t="n">
        <v>49.92</v>
      </c>
    </row>
    <row r="251">
      <c r="A251" s="50" t="inlineStr">
        <is>
          <t>Dylan Rubino</t>
        </is>
      </c>
      <c r="B251" s="50" t="inlineStr">
        <is>
          <t>Amplify</t>
        </is>
      </c>
      <c r="C251" s="50" t="inlineStr">
        <is>
          <t>Heineken USA</t>
        </is>
      </c>
      <c r="D251" s="50" t="inlineStr">
        <is>
          <t>Heineken Light</t>
        </is>
      </c>
      <c r="E251" s="46" t="n">
        <v>1</v>
      </c>
      <c r="F251" s="46" t="n">
        <v>0</v>
      </c>
      <c r="G251" s="48" t="n">
        <v>36</v>
      </c>
      <c r="H251" s="48" t="n">
        <v>0</v>
      </c>
      <c r="I251" s="48" t="n">
        <v>12.2</v>
      </c>
      <c r="J251" s="48" t="n">
        <v>0</v>
      </c>
    </row>
    <row r="252">
      <c r="A252" s="50" t="inlineStr">
        <is>
          <t>Dylan Rubino</t>
        </is>
      </c>
      <c r="B252" s="50" t="inlineStr">
        <is>
          <t>Amplify</t>
        </is>
      </c>
      <c r="C252" s="50" t="inlineStr">
        <is>
          <t>Constellation Brands</t>
        </is>
      </c>
      <c r="D252" s="50" t="inlineStr">
        <is>
          <t>Corona Premier</t>
        </is>
      </c>
      <c r="E252" s="46" t="n">
        <v>1</v>
      </c>
      <c r="F252" s="46" t="n">
        <v>11</v>
      </c>
      <c r="G252" s="48" t="n">
        <v>34</v>
      </c>
      <c r="H252" s="48" t="n">
        <v>297.45</v>
      </c>
      <c r="I252" s="48" t="n">
        <v>9.869999999999999</v>
      </c>
      <c r="J252" s="48" t="n">
        <v>67.08</v>
      </c>
    </row>
    <row r="253">
      <c r="A253" s="50" t="inlineStr">
        <is>
          <t>Dylan Rubino</t>
        </is>
      </c>
      <c r="B253" s="50" t="inlineStr">
        <is>
          <t>Amplify</t>
        </is>
      </c>
      <c r="C253" s="50" t="inlineStr">
        <is>
          <t>Constellation Brands</t>
        </is>
      </c>
      <c r="D253" s="50" t="inlineStr">
        <is>
          <t>Modelo Chelada</t>
        </is>
      </c>
      <c r="E253" s="46" t="n">
        <v>7</v>
      </c>
      <c r="F253" s="46" t="n">
        <v>6</v>
      </c>
      <c r="G253" s="48" t="n">
        <v>220.9</v>
      </c>
      <c r="H253" s="48" t="n">
        <v>193.75</v>
      </c>
      <c r="I253" s="48" t="n">
        <v>62.15</v>
      </c>
      <c r="J253" s="48" t="n">
        <v>57.68</v>
      </c>
    </row>
    <row r="254">
      <c r="A254" s="50" t="inlineStr">
        <is>
          <t>Dylan Rubino</t>
        </is>
      </c>
      <c r="B254" s="50" t="inlineStr">
        <is>
          <t>Amplify</t>
        </is>
      </c>
      <c r="C254" s="50" t="inlineStr">
        <is>
          <t>Constellation Brands</t>
        </is>
      </c>
      <c r="D254" s="50" t="inlineStr">
        <is>
          <t>Pacifico</t>
        </is>
      </c>
      <c r="E254" s="46" t="n">
        <v>0</v>
      </c>
      <c r="F254" s="46" t="n">
        <v>7</v>
      </c>
      <c r="G254" s="48" t="n">
        <v>0</v>
      </c>
      <c r="H254" s="48" t="n">
        <v>227.8</v>
      </c>
      <c r="I254" s="48" t="n">
        <v>0</v>
      </c>
      <c r="J254" s="48" t="n">
        <v>60.09</v>
      </c>
    </row>
    <row r="255">
      <c r="A255" s="50" t="inlineStr">
        <is>
          <t>Dylan Rubino</t>
        </is>
      </c>
      <c r="B255" s="50" t="inlineStr">
        <is>
          <t>Amplify</t>
        </is>
      </c>
      <c r="C255" s="50" t="inlineStr">
        <is>
          <t>Constellation Brands</t>
        </is>
      </c>
      <c r="D255" s="50" t="inlineStr">
        <is>
          <t>Victoria</t>
        </is>
      </c>
      <c r="E255" s="46" t="n">
        <v>9</v>
      </c>
      <c r="F255" s="46" t="n">
        <v>6</v>
      </c>
      <c r="G255" s="48" t="n">
        <v>283.4</v>
      </c>
      <c r="H255" s="48" t="n">
        <v>188.9</v>
      </c>
      <c r="I255" s="48" t="n">
        <v>66.23</v>
      </c>
      <c r="J255" s="48" t="n">
        <v>47.02</v>
      </c>
    </row>
    <row r="256">
      <c r="A256" s="50" t="inlineStr">
        <is>
          <t>Dylan Rubino</t>
        </is>
      </c>
      <c r="B256" s="50" t="inlineStr">
        <is>
          <t>Amplify</t>
        </is>
      </c>
      <c r="C256" s="50" t="inlineStr">
        <is>
          <t>Sapporo</t>
        </is>
      </c>
      <c r="D256" s="50" t="inlineStr">
        <is>
          <t>Sapporo</t>
        </is>
      </c>
      <c r="E256" s="46" t="n">
        <v>3432</v>
      </c>
      <c r="F256" s="46" t="n">
        <v>4101</v>
      </c>
      <c r="G256" s="48" t="n">
        <v>98330.25</v>
      </c>
      <c r="H256" s="48" t="n">
        <v>116385.75</v>
      </c>
      <c r="I256" s="48" t="n">
        <v>24552.36</v>
      </c>
      <c r="J256" s="48" t="n">
        <v>28756.78</v>
      </c>
    </row>
    <row r="257">
      <c r="A257" s="50" t="inlineStr">
        <is>
          <t>Dylan Rubino</t>
        </is>
      </c>
      <c r="B257" s="50" t="inlineStr">
        <is>
          <t>Amplify</t>
        </is>
      </c>
      <c r="C257" s="50" t="inlineStr">
        <is>
          <t>New Belgium Brewing Company</t>
        </is>
      </c>
      <c r="D257" s="50" t="inlineStr">
        <is>
          <t>Voodoo Family</t>
        </is>
      </c>
      <c r="E257" s="46" t="n">
        <v>5</v>
      </c>
      <c r="F257" s="46" t="n">
        <v>13</v>
      </c>
      <c r="G257" s="48" t="n">
        <v>189.3</v>
      </c>
      <c r="H257" s="48" t="n">
        <v>508.1</v>
      </c>
      <c r="I257" s="48" t="n">
        <v>53.1</v>
      </c>
      <c r="J257" s="48" t="n">
        <v>151.1</v>
      </c>
    </row>
    <row r="258">
      <c r="A258" s="50" t="inlineStr">
        <is>
          <t>Dylan Rubino</t>
        </is>
      </c>
      <c r="B258" s="50" t="inlineStr">
        <is>
          <t>Amplify</t>
        </is>
      </c>
      <c r="C258" s="50" t="inlineStr">
        <is>
          <t>DG Yuengling Inc</t>
        </is>
      </c>
      <c r="D258" s="50" t="inlineStr">
        <is>
          <t>Yuengling Flight</t>
        </is>
      </c>
      <c r="E258" s="46" t="n">
        <v>3</v>
      </c>
      <c r="F258" s="46" t="n">
        <v>4</v>
      </c>
      <c r="G258" s="48" t="n">
        <v>40</v>
      </c>
      <c r="H258" s="48" t="n">
        <v>63</v>
      </c>
      <c r="I258" s="48" t="n">
        <v>6.85</v>
      </c>
      <c r="J258" s="48" t="n">
        <v>13.21</v>
      </c>
    </row>
    <row r="259">
      <c r="A259" s="50" t="inlineStr">
        <is>
          <t>Dylan Rubino</t>
        </is>
      </c>
      <c r="B259" s="50" t="inlineStr">
        <is>
          <t>Qualifier</t>
        </is>
      </c>
      <c r="C259" s="50" t="inlineStr">
        <is>
          <t>MolsonCoors Beverage Company</t>
        </is>
      </c>
      <c r="D259" s="50" t="inlineStr">
        <is>
          <t>Blue Moon</t>
        </is>
      </c>
      <c r="E259" s="46" t="n">
        <v>10</v>
      </c>
      <c r="F259" s="46" t="n">
        <v>7</v>
      </c>
      <c r="G259" s="48" t="n">
        <v>333.6</v>
      </c>
      <c r="H259" s="48" t="n">
        <v>244.9</v>
      </c>
      <c r="I259" s="48" t="n">
        <v>86.65000000000001</v>
      </c>
      <c r="J259" s="48" t="n">
        <v>56.66</v>
      </c>
    </row>
    <row r="260">
      <c r="A260" s="50" t="inlineStr">
        <is>
          <t>Dylan Rubino</t>
        </is>
      </c>
      <c r="B260" s="50" t="inlineStr">
        <is>
          <t>Qualifier</t>
        </is>
      </c>
      <c r="C260" s="50" t="inlineStr">
        <is>
          <t>MolsonCoors Beverage Company</t>
        </is>
      </c>
      <c r="D260" s="50" t="inlineStr">
        <is>
          <t>Coors Light</t>
        </is>
      </c>
      <c r="E260" s="46" t="n">
        <v>122</v>
      </c>
      <c r="F260" s="46" t="n">
        <v>111</v>
      </c>
      <c r="G260" s="48" t="n">
        <v>2482.75</v>
      </c>
      <c r="H260" s="48" t="n">
        <v>2140.25</v>
      </c>
      <c r="I260" s="48" t="n">
        <v>494.09</v>
      </c>
      <c r="J260" s="48" t="n">
        <v>367.97</v>
      </c>
    </row>
    <row r="261">
      <c r="A261" s="50" t="inlineStr">
        <is>
          <t>Dylan Rubino</t>
        </is>
      </c>
      <c r="B261" s="50" t="inlineStr">
        <is>
          <t>Qualifier</t>
        </is>
      </c>
      <c r="C261" s="50" t="inlineStr">
        <is>
          <t>MolsonCoors Beverage Company</t>
        </is>
      </c>
      <c r="D261" s="50" t="inlineStr">
        <is>
          <t>Lite</t>
        </is>
      </c>
      <c r="E261" s="46" t="n">
        <v>19</v>
      </c>
      <c r="F261" s="46" t="n">
        <v>31</v>
      </c>
      <c r="G261" s="48" t="n">
        <v>408.5</v>
      </c>
      <c r="H261" s="48" t="n">
        <v>691.65</v>
      </c>
      <c r="I261" s="48" t="n">
        <v>92.45</v>
      </c>
      <c r="J261" s="48" t="n">
        <v>173.22</v>
      </c>
    </row>
    <row r="262">
      <c r="A262" s="50" t="inlineStr">
        <is>
          <t>Dylan Rubino</t>
        </is>
      </c>
      <c r="B262" s="50" t="inlineStr">
        <is>
          <t>Qualifier</t>
        </is>
      </c>
      <c r="C262" s="50" t="inlineStr">
        <is>
          <t>Heineken USA</t>
        </is>
      </c>
      <c r="D262" s="50" t="inlineStr">
        <is>
          <t>Heineken USA</t>
        </is>
      </c>
      <c r="E262" s="46" t="n">
        <v>32</v>
      </c>
      <c r="F262" s="46" t="n">
        <v>49</v>
      </c>
      <c r="G262" s="48" t="n">
        <v>1106.3</v>
      </c>
      <c r="H262" s="48" t="n">
        <v>1709.8</v>
      </c>
      <c r="I262" s="48" t="n">
        <v>335.16</v>
      </c>
      <c r="J262" s="48" t="n">
        <v>533.21</v>
      </c>
    </row>
    <row r="263">
      <c r="A263" s="50" t="inlineStr">
        <is>
          <t>Dylan Rubino</t>
        </is>
      </c>
      <c r="B263" s="50" t="inlineStr">
        <is>
          <t>Qualifier</t>
        </is>
      </c>
      <c r="C263" s="50" t="inlineStr">
        <is>
          <t>Constellation Brands</t>
        </is>
      </c>
      <c r="D263" s="50" t="inlineStr">
        <is>
          <t>Corona Extra</t>
        </is>
      </c>
      <c r="E263" s="46" t="n">
        <v>127</v>
      </c>
      <c r="F263" s="46" t="n">
        <v>115</v>
      </c>
      <c r="G263" s="48" t="n">
        <v>4185.4</v>
      </c>
      <c r="H263" s="48" t="n">
        <v>3872.25</v>
      </c>
      <c r="I263" s="48" t="n">
        <v>1120.88</v>
      </c>
      <c r="J263" s="48" t="n">
        <v>1040.66</v>
      </c>
    </row>
    <row r="264">
      <c r="A264" s="50" t="inlineStr">
        <is>
          <t>Dylan Rubino</t>
        </is>
      </c>
      <c r="B264" s="50" t="inlineStr">
        <is>
          <t>Qualifier</t>
        </is>
      </c>
      <c r="C264" s="50" t="inlineStr">
        <is>
          <t>Constellation Brands</t>
        </is>
      </c>
      <c r="D264" s="50" t="inlineStr">
        <is>
          <t>Modelo Especial</t>
        </is>
      </c>
      <c r="E264" s="46" t="n">
        <v>101</v>
      </c>
      <c r="F264" s="46" t="n">
        <v>125</v>
      </c>
      <c r="G264" s="48" t="n">
        <v>3255.25</v>
      </c>
      <c r="H264" s="48" t="n">
        <v>3998.95</v>
      </c>
      <c r="I264" s="48" t="n">
        <v>840.39</v>
      </c>
      <c r="J264" s="48" t="n">
        <v>1047.93</v>
      </c>
    </row>
    <row r="265">
      <c r="A265" s="50" t="inlineStr">
        <is>
          <t>Dylan Rubino</t>
        </is>
      </c>
      <c r="B265" s="50" t="inlineStr">
        <is>
          <t>Qualifier</t>
        </is>
      </c>
      <c r="C265" s="50" t="inlineStr">
        <is>
          <t>Boston Beer Company</t>
        </is>
      </c>
      <c r="D265" s="50" t="inlineStr">
        <is>
          <t>Truly</t>
        </is>
      </c>
      <c r="E265" s="46" t="n">
        <v>9</v>
      </c>
      <c r="F265" s="46" t="n">
        <v>6</v>
      </c>
      <c r="G265" s="48" t="n">
        <v>247.5</v>
      </c>
      <c r="H265" s="48" t="n">
        <v>174</v>
      </c>
      <c r="I265" s="48" t="n">
        <v>65.25</v>
      </c>
      <c r="J265" s="48" t="n">
        <v>46.2</v>
      </c>
    </row>
    <row r="266">
      <c r="A266" s="50" t="inlineStr">
        <is>
          <t>Dylan Rubino</t>
        </is>
      </c>
      <c r="B266" s="50" t="inlineStr">
        <is>
          <t>Qualifier</t>
        </is>
      </c>
      <c r="C266" s="50" t="inlineStr">
        <is>
          <t>Boston Beer Company</t>
        </is>
      </c>
      <c r="D266" s="50" t="inlineStr">
        <is>
          <t>Twisted Tea</t>
        </is>
      </c>
      <c r="E266" s="46" t="n">
        <v>8</v>
      </c>
      <c r="F266" s="46" t="n">
        <v>7</v>
      </c>
      <c r="G266" s="48" t="n">
        <v>228</v>
      </c>
      <c r="H266" s="48" t="n">
        <v>202</v>
      </c>
      <c r="I266" s="48" t="n">
        <v>60.4</v>
      </c>
      <c r="J266" s="48" t="n">
        <v>52.52</v>
      </c>
    </row>
    <row r="267">
      <c r="A267" s="50" t="inlineStr">
        <is>
          <t>Dylan Rubino</t>
        </is>
      </c>
      <c r="B267" s="50" t="inlineStr">
        <is>
          <t>Qualifier</t>
        </is>
      </c>
      <c r="C267" s="50" t="inlineStr">
        <is>
          <t>Mark Anthony</t>
        </is>
      </c>
      <c r="D267" s="50" t="inlineStr">
        <is>
          <t>White Claw</t>
        </is>
      </c>
      <c r="E267" s="46" t="n">
        <v>25</v>
      </c>
      <c r="F267" s="46" t="n">
        <v>22</v>
      </c>
      <c r="G267" s="48" t="n">
        <v>866</v>
      </c>
      <c r="H267" s="48" t="n">
        <v>798</v>
      </c>
      <c r="I267" s="48" t="n">
        <v>213.18</v>
      </c>
      <c r="J267" s="48" t="n">
        <v>190.07</v>
      </c>
    </row>
    <row r="268">
      <c r="A268" s="50" t="inlineStr">
        <is>
          <t>Dylan Rubino</t>
        </is>
      </c>
      <c r="B268" s="50" t="inlineStr">
        <is>
          <t>Qualifier</t>
        </is>
      </c>
      <c r="C268" s="50" t="inlineStr">
        <is>
          <t>DG Yuengling Inc</t>
        </is>
      </c>
      <c r="D268" s="50" t="inlineStr">
        <is>
          <t>Yuengling Lager</t>
        </is>
      </c>
      <c r="E268" s="46" t="n">
        <v>24</v>
      </c>
      <c r="F268" s="46" t="n">
        <v>6</v>
      </c>
      <c r="G268" s="48" t="n">
        <v>432</v>
      </c>
      <c r="H268" s="48" t="n">
        <v>116</v>
      </c>
      <c r="I268" s="48" t="n">
        <v>108.6</v>
      </c>
      <c r="J268" s="48" t="n">
        <v>31.35</v>
      </c>
    </row>
    <row r="269">
      <c r="A269" s="50" t="inlineStr">
        <is>
          <t>Hakan Sadik</t>
        </is>
      </c>
      <c r="B269" s="50" t="inlineStr">
        <is>
          <t>Amplify</t>
        </is>
      </c>
      <c r="C269" s="50" t="inlineStr">
        <is>
          <t>MolsonCoors Beverage Company</t>
        </is>
      </c>
      <c r="D269" s="50" t="inlineStr">
        <is>
          <t>Fever Tree</t>
        </is>
      </c>
      <c r="E269" s="46" t="n">
        <v>11</v>
      </c>
      <c r="F269" s="46" t="n">
        <v>0</v>
      </c>
      <c r="G269" s="48" t="n">
        <v>470</v>
      </c>
      <c r="H269" s="48" t="n">
        <v>0</v>
      </c>
      <c r="I269" s="48" t="n">
        <v>131.61</v>
      </c>
      <c r="J269" s="48" t="n">
        <v>0</v>
      </c>
    </row>
    <row r="270">
      <c r="A270" s="50" t="inlineStr">
        <is>
          <t>Hakan Sadik</t>
        </is>
      </c>
      <c r="B270" s="50" t="inlineStr">
        <is>
          <t>Amplify</t>
        </is>
      </c>
      <c r="C270" s="50" t="inlineStr">
        <is>
          <t>Boston Beer Company</t>
        </is>
      </c>
      <c r="D270" s="50" t="inlineStr">
        <is>
          <t>Dogfish Head Spirits</t>
        </is>
      </c>
      <c r="E270" s="46" t="n">
        <v>3</v>
      </c>
      <c r="F270" s="46" t="n">
        <v>0</v>
      </c>
      <c r="G270" s="48" t="n">
        <v>165</v>
      </c>
      <c r="H270" s="48" t="n">
        <v>0</v>
      </c>
      <c r="I270" s="48" t="n">
        <v>76.73999999999999</v>
      </c>
      <c r="J270" s="48" t="n">
        <v>0</v>
      </c>
    </row>
    <row r="271">
      <c r="A271" s="50" t="inlineStr">
        <is>
          <t>Hakan Sadik</t>
        </is>
      </c>
      <c r="B271" s="50" t="inlineStr">
        <is>
          <t>Amplify</t>
        </is>
      </c>
      <c r="C271" s="50" t="inlineStr">
        <is>
          <t>Sapporo</t>
        </is>
      </c>
      <c r="D271" s="50" t="inlineStr">
        <is>
          <t>Sapporo</t>
        </is>
      </c>
      <c r="E271" s="46" t="n">
        <v>917</v>
      </c>
      <c r="F271" s="46" t="n">
        <v>912</v>
      </c>
      <c r="G271" s="48" t="n">
        <v>26104.7</v>
      </c>
      <c r="H271" s="48" t="n">
        <v>25914.25</v>
      </c>
      <c r="I271" s="48" t="n">
        <v>6460</v>
      </c>
      <c r="J271" s="48" t="n">
        <v>6368.4</v>
      </c>
    </row>
    <row r="272">
      <c r="A272" s="50" t="inlineStr">
        <is>
          <t>Hakan Sadik</t>
        </is>
      </c>
      <c r="B272" s="50" t="inlineStr">
        <is>
          <t>Amplify</t>
        </is>
      </c>
      <c r="C272" s="50" t="inlineStr">
        <is>
          <t>Bell's</t>
        </is>
      </c>
      <c r="D272" s="50" t="inlineStr">
        <is>
          <t>Bell's</t>
        </is>
      </c>
      <c r="E272" s="46" t="n">
        <v>2</v>
      </c>
      <c r="F272" s="46" t="n">
        <v>0</v>
      </c>
      <c r="G272" s="48" t="n">
        <v>77.2</v>
      </c>
      <c r="H272" s="48" t="n">
        <v>0</v>
      </c>
      <c r="I272" s="48" t="n">
        <v>27.96</v>
      </c>
      <c r="J272" s="48" t="n">
        <v>0</v>
      </c>
    </row>
    <row r="273">
      <c r="A273" s="50" t="inlineStr">
        <is>
          <t>Hakan Sadik</t>
        </is>
      </c>
      <c r="B273" s="50" t="inlineStr">
        <is>
          <t>Amplify</t>
        </is>
      </c>
      <c r="C273" s="50" t="inlineStr">
        <is>
          <t>New Belgium Brewing Company</t>
        </is>
      </c>
      <c r="D273" s="50" t="inlineStr">
        <is>
          <t>Voodoo Family</t>
        </is>
      </c>
      <c r="E273" s="46" t="n">
        <v>3</v>
      </c>
      <c r="F273" s="46" t="n">
        <v>0</v>
      </c>
      <c r="G273" s="48" t="n">
        <v>123.3</v>
      </c>
      <c r="H273" s="48" t="n">
        <v>0</v>
      </c>
      <c r="I273" s="48" t="n">
        <v>38.7</v>
      </c>
      <c r="J273" s="48" t="n">
        <v>0</v>
      </c>
    </row>
    <row r="274">
      <c r="A274" s="50" t="inlineStr">
        <is>
          <t>Hakan Sadik</t>
        </is>
      </c>
      <c r="B274" s="50" t="inlineStr">
        <is>
          <t>Qualifier</t>
        </is>
      </c>
      <c r="C274" s="50" t="inlineStr">
        <is>
          <t>DG Yuengling Inc</t>
        </is>
      </c>
      <c r="D274" s="50" t="inlineStr">
        <is>
          <t>Yuengling Lager</t>
        </is>
      </c>
      <c r="E274" s="46" t="n">
        <v>1</v>
      </c>
      <c r="F274" s="46" t="n">
        <v>0</v>
      </c>
      <c r="G274" s="48" t="n">
        <v>22.1</v>
      </c>
      <c r="H274" s="48" t="n">
        <v>0</v>
      </c>
      <c r="I274" s="48" t="n">
        <v>6.66</v>
      </c>
      <c r="J274" s="48" t="n">
        <v>0</v>
      </c>
    </row>
    <row r="275">
      <c r="A275" s="50" t="inlineStr">
        <is>
          <t>Jaime Colonna</t>
        </is>
      </c>
      <c r="B275" s="50" t="inlineStr">
        <is>
          <t>Amplify</t>
        </is>
      </c>
      <c r="C275" s="50" t="inlineStr">
        <is>
          <t>Cape May</t>
        </is>
      </c>
      <c r="D275" s="50" t="inlineStr">
        <is>
          <t>Cape May</t>
        </is>
      </c>
      <c r="E275" s="46" t="n">
        <v>5</v>
      </c>
      <c r="F275" s="46" t="n">
        <v>4</v>
      </c>
      <c r="G275" s="48" t="n">
        <v>203</v>
      </c>
      <c r="H275" s="48" t="n">
        <v>163</v>
      </c>
      <c r="I275" s="48" t="n">
        <v>61.21</v>
      </c>
      <c r="J275" s="48" t="n">
        <v>49.36</v>
      </c>
    </row>
    <row r="276">
      <c r="A276" s="50" t="inlineStr">
        <is>
          <t>Jaime Colonna</t>
        </is>
      </c>
      <c r="B276" s="50" t="inlineStr">
        <is>
          <t>Amplify</t>
        </is>
      </c>
      <c r="C276" s="50" t="inlineStr">
        <is>
          <t>Mark Anthony</t>
        </is>
      </c>
      <c r="D276" s="50" t="inlineStr">
        <is>
          <t>Cayman Jack</t>
        </is>
      </c>
      <c r="E276" s="46" t="n">
        <v>4</v>
      </c>
      <c r="F276" s="46" t="n">
        <v>7</v>
      </c>
      <c r="G276" s="48" t="n">
        <v>133</v>
      </c>
      <c r="H276" s="48" t="n">
        <v>228.5</v>
      </c>
      <c r="I276" s="48" t="n">
        <v>39.19</v>
      </c>
      <c r="J276" s="48" t="n">
        <v>64.33</v>
      </c>
    </row>
    <row r="277">
      <c r="A277" s="50" t="inlineStr">
        <is>
          <t>Jaime Colonna</t>
        </is>
      </c>
      <c r="B277" s="50" t="inlineStr">
        <is>
          <t>Amplify</t>
        </is>
      </c>
      <c r="C277" s="50" t="inlineStr">
        <is>
          <t>MolsonCoors Beverage Company</t>
        </is>
      </c>
      <c r="D277" s="50" t="inlineStr">
        <is>
          <t>Coors</t>
        </is>
      </c>
      <c r="E277" s="46" t="n">
        <v>2</v>
      </c>
      <c r="F277" s="46" t="n">
        <v>4</v>
      </c>
      <c r="G277" s="48" t="n">
        <v>36</v>
      </c>
      <c r="H277" s="48" t="n">
        <v>70</v>
      </c>
      <c r="I277" s="48" t="n">
        <v>8.359999999999999</v>
      </c>
      <c r="J277" s="48" t="n">
        <v>12.76</v>
      </c>
    </row>
    <row r="278">
      <c r="A278" s="50" t="inlineStr">
        <is>
          <t>Jaime Colonna</t>
        </is>
      </c>
      <c r="B278" s="50" t="inlineStr">
        <is>
          <t>Amplify</t>
        </is>
      </c>
      <c r="C278" s="50" t="inlineStr">
        <is>
          <t>MolsonCoors Beverage Company</t>
        </is>
      </c>
      <c r="D278" s="50" t="inlineStr">
        <is>
          <t>Fever Tree</t>
        </is>
      </c>
      <c r="E278" s="46" t="n">
        <v>4</v>
      </c>
      <c r="F278" s="46" t="n">
        <v>0</v>
      </c>
      <c r="G278" s="48" t="n">
        <v>188</v>
      </c>
      <c r="H278" s="48" t="n">
        <v>0</v>
      </c>
      <c r="I278" s="48" t="n">
        <v>64.23999999999999</v>
      </c>
      <c r="J278" s="48" t="n">
        <v>0</v>
      </c>
    </row>
    <row r="279">
      <c r="A279" s="50" t="inlineStr">
        <is>
          <t>Jaime Colonna</t>
        </is>
      </c>
      <c r="B279" s="50" t="inlineStr">
        <is>
          <t>Amplify</t>
        </is>
      </c>
      <c r="C279" s="50" t="inlineStr">
        <is>
          <t>MolsonCoors Beverage Company</t>
        </is>
      </c>
      <c r="D279" s="50" t="inlineStr">
        <is>
          <t>Peroni</t>
        </is>
      </c>
      <c r="E279" s="46" t="n">
        <v>5</v>
      </c>
      <c r="F279" s="46" t="n">
        <v>9</v>
      </c>
      <c r="G279" s="48" t="n">
        <v>163</v>
      </c>
      <c r="H279" s="48" t="n">
        <v>326</v>
      </c>
      <c r="I279" s="48" t="n">
        <v>32.23</v>
      </c>
      <c r="J279" s="48" t="n">
        <v>64.45999999999999</v>
      </c>
    </row>
    <row r="280">
      <c r="A280" s="50" t="inlineStr">
        <is>
          <t>Jaime Colonna</t>
        </is>
      </c>
      <c r="B280" s="50" t="inlineStr">
        <is>
          <t>Amplify</t>
        </is>
      </c>
      <c r="C280" s="50" t="inlineStr">
        <is>
          <t>Boston Beer Company</t>
        </is>
      </c>
      <c r="D280" s="50" t="inlineStr">
        <is>
          <t>Dogfish Head Beer</t>
        </is>
      </c>
      <c r="E280" s="46" t="n">
        <v>3</v>
      </c>
      <c r="F280" s="46" t="n">
        <v>1</v>
      </c>
      <c r="G280" s="48" t="n">
        <v>120.6</v>
      </c>
      <c r="H280" s="48" t="n">
        <v>37.8</v>
      </c>
      <c r="I280" s="48" t="n">
        <v>40.77</v>
      </c>
      <c r="J280" s="48" t="n">
        <v>12.92</v>
      </c>
    </row>
    <row r="281">
      <c r="A281" s="50" t="inlineStr">
        <is>
          <t>Jaime Colonna</t>
        </is>
      </c>
      <c r="B281" s="50" t="inlineStr">
        <is>
          <t>Amplify</t>
        </is>
      </c>
      <c r="C281" s="50" t="inlineStr">
        <is>
          <t>Boston Beer Company</t>
        </is>
      </c>
      <c r="D281" s="50" t="inlineStr">
        <is>
          <t>Dogfish Head Spirits</t>
        </is>
      </c>
      <c r="E281" s="46" t="n">
        <v>0</v>
      </c>
      <c r="F281" s="46" t="n">
        <v>3</v>
      </c>
      <c r="G281" s="48" t="n">
        <v>0</v>
      </c>
      <c r="H281" s="48" t="n">
        <v>195</v>
      </c>
      <c r="I281" s="48" t="n">
        <v>0</v>
      </c>
      <c r="J281" s="48" t="n">
        <v>85.89</v>
      </c>
    </row>
    <row r="282">
      <c r="A282" s="50" t="inlineStr">
        <is>
          <t>Jaime Colonna</t>
        </is>
      </c>
      <c r="B282" s="50" t="inlineStr">
        <is>
          <t>Amplify</t>
        </is>
      </c>
      <c r="C282" s="50" t="inlineStr">
        <is>
          <t>Heineken USA</t>
        </is>
      </c>
      <c r="D282" s="50" t="inlineStr">
        <is>
          <t>Heineken 0.0</t>
        </is>
      </c>
      <c r="E282" s="46" t="n">
        <v>3</v>
      </c>
      <c r="F282" s="46" t="n">
        <v>3</v>
      </c>
      <c r="G282" s="48" t="n">
        <v>94.05</v>
      </c>
      <c r="H282" s="48" t="n">
        <v>94.05</v>
      </c>
      <c r="I282" s="48" t="n">
        <v>24.96</v>
      </c>
      <c r="J282" s="48" t="n">
        <v>24.96</v>
      </c>
    </row>
    <row r="283">
      <c r="A283" s="50" t="inlineStr">
        <is>
          <t>Jaime Colonna</t>
        </is>
      </c>
      <c r="B283" s="50" t="inlineStr">
        <is>
          <t>Amplify</t>
        </is>
      </c>
      <c r="C283" s="50" t="inlineStr">
        <is>
          <t>Heineken USA</t>
        </is>
      </c>
      <c r="D283" s="50" t="inlineStr">
        <is>
          <t>Heineken Light</t>
        </is>
      </c>
      <c r="E283" s="46" t="n">
        <v>3</v>
      </c>
      <c r="F283" s="46" t="n">
        <v>0</v>
      </c>
      <c r="G283" s="48" t="n">
        <v>93.75</v>
      </c>
      <c r="H283" s="48" t="n">
        <v>0</v>
      </c>
      <c r="I283" s="48" t="n">
        <v>22.38</v>
      </c>
      <c r="J283" s="48" t="n">
        <v>0</v>
      </c>
    </row>
    <row r="284">
      <c r="A284" s="50" t="inlineStr">
        <is>
          <t>Jaime Colonna</t>
        </is>
      </c>
      <c r="B284" s="50" t="inlineStr">
        <is>
          <t>Amplify</t>
        </is>
      </c>
      <c r="C284" s="50" t="inlineStr">
        <is>
          <t>Constellation Brands</t>
        </is>
      </c>
      <c r="D284" s="50" t="inlineStr">
        <is>
          <t>Corona Premier</t>
        </is>
      </c>
      <c r="E284" s="46" t="n">
        <v>12</v>
      </c>
      <c r="F284" s="46" t="n">
        <v>5</v>
      </c>
      <c r="G284" s="48" t="n">
        <v>378</v>
      </c>
      <c r="H284" s="48" t="n">
        <v>145.5</v>
      </c>
      <c r="I284" s="48" t="n">
        <v>88.44</v>
      </c>
      <c r="J284" s="48" t="n">
        <v>40.94</v>
      </c>
    </row>
    <row r="285">
      <c r="A285" s="50" t="inlineStr">
        <is>
          <t>Jaime Colonna</t>
        </is>
      </c>
      <c r="B285" s="50" t="inlineStr">
        <is>
          <t>Amplify</t>
        </is>
      </c>
      <c r="C285" s="50" t="inlineStr">
        <is>
          <t>Constellation Brands</t>
        </is>
      </c>
      <c r="D285" s="50" t="inlineStr">
        <is>
          <t>Modelo Chelada</t>
        </is>
      </c>
      <c r="E285" s="46" t="n">
        <v>12</v>
      </c>
      <c r="F285" s="46" t="n">
        <v>9</v>
      </c>
      <c r="G285" s="48" t="n">
        <v>381</v>
      </c>
      <c r="H285" s="48" t="n">
        <v>285.75</v>
      </c>
      <c r="I285" s="48" t="n">
        <v>108.85</v>
      </c>
      <c r="J285" s="48" t="n">
        <v>81.64</v>
      </c>
    </row>
    <row r="286">
      <c r="A286" s="50" t="inlineStr">
        <is>
          <t>Jaime Colonna</t>
        </is>
      </c>
      <c r="B286" s="50" t="inlineStr">
        <is>
          <t>Amplify</t>
        </is>
      </c>
      <c r="C286" s="50" t="inlineStr">
        <is>
          <t>Constellation Brands</t>
        </is>
      </c>
      <c r="D286" s="50" t="inlineStr">
        <is>
          <t>Victoria</t>
        </is>
      </c>
      <c r="E286" s="46" t="n">
        <v>3</v>
      </c>
      <c r="F286" s="46" t="n">
        <v>1</v>
      </c>
      <c r="G286" s="48" t="n">
        <v>96.7</v>
      </c>
      <c r="H286" s="48" t="n">
        <v>34</v>
      </c>
      <c r="I286" s="48" t="n">
        <v>24.31</v>
      </c>
      <c r="J286" s="48" t="n">
        <v>9.869999999999999</v>
      </c>
    </row>
    <row r="287">
      <c r="A287" s="50" t="inlineStr">
        <is>
          <t>Jaime Colonna</t>
        </is>
      </c>
      <c r="B287" s="50" t="inlineStr">
        <is>
          <t>Amplify</t>
        </is>
      </c>
      <c r="C287" s="50" t="inlineStr">
        <is>
          <t>Sapporo</t>
        </is>
      </c>
      <c r="D287" s="50" t="inlineStr">
        <is>
          <t>Sapporo</t>
        </is>
      </c>
      <c r="E287" s="46" t="n">
        <v>1580</v>
      </c>
      <c r="F287" s="46" t="n">
        <v>1683</v>
      </c>
      <c r="G287" s="48" t="n">
        <v>44112</v>
      </c>
      <c r="H287" s="48" t="n">
        <v>46830.25</v>
      </c>
      <c r="I287" s="48" t="n">
        <v>10921.63</v>
      </c>
      <c r="J287" s="48" t="n">
        <v>11633.47</v>
      </c>
    </row>
    <row r="288">
      <c r="A288" s="50" t="inlineStr">
        <is>
          <t>Jaime Colonna</t>
        </is>
      </c>
      <c r="B288" s="50" t="inlineStr">
        <is>
          <t>Amplify</t>
        </is>
      </c>
      <c r="C288" s="50" t="inlineStr">
        <is>
          <t>New Belgium Brewing Company</t>
        </is>
      </c>
      <c r="D288" s="50" t="inlineStr">
        <is>
          <t>Voodoo Family</t>
        </is>
      </c>
      <c r="E288" s="46" t="n">
        <v>5</v>
      </c>
      <c r="F288" s="46" t="n">
        <v>8</v>
      </c>
      <c r="G288" s="48" t="n">
        <v>193</v>
      </c>
      <c r="H288" s="48" t="n">
        <v>304.5</v>
      </c>
      <c r="I288" s="48" t="n">
        <v>58</v>
      </c>
      <c r="J288" s="48" t="n">
        <v>87.34</v>
      </c>
    </row>
    <row r="289">
      <c r="A289" s="50" t="inlineStr">
        <is>
          <t>Jaime Colonna</t>
        </is>
      </c>
      <c r="B289" s="50" t="inlineStr">
        <is>
          <t>Amplify</t>
        </is>
      </c>
      <c r="C289" s="50" t="inlineStr">
        <is>
          <t>DG Yuengling Inc</t>
        </is>
      </c>
      <c r="D289" s="50" t="inlineStr">
        <is>
          <t>Yuengling Flight</t>
        </is>
      </c>
      <c r="E289" s="46" t="n">
        <v>1</v>
      </c>
      <c r="F289" s="46" t="n">
        <v>0</v>
      </c>
      <c r="G289" s="48" t="n">
        <v>29.5</v>
      </c>
      <c r="H289" s="48" t="n">
        <v>0</v>
      </c>
      <c r="I289" s="48" t="n">
        <v>9.82</v>
      </c>
      <c r="J289" s="48" t="n">
        <v>0</v>
      </c>
    </row>
    <row r="290">
      <c r="A290" s="50" t="inlineStr">
        <is>
          <t>Jaime Colonna</t>
        </is>
      </c>
      <c r="B290" s="50" t="inlineStr">
        <is>
          <t>Qualifier</t>
        </is>
      </c>
      <c r="C290" s="50" t="inlineStr">
        <is>
          <t>MolsonCoors Beverage Company</t>
        </is>
      </c>
      <c r="D290" s="50" t="inlineStr">
        <is>
          <t>Blue Moon</t>
        </is>
      </c>
      <c r="E290" s="46" t="n">
        <v>28</v>
      </c>
      <c r="F290" s="46" t="n">
        <v>21</v>
      </c>
      <c r="G290" s="48" t="n">
        <v>1152.15</v>
      </c>
      <c r="H290" s="48" t="n">
        <v>691.25</v>
      </c>
      <c r="I290" s="48" t="n">
        <v>332.43</v>
      </c>
      <c r="J290" s="48" t="n">
        <v>159.2</v>
      </c>
    </row>
    <row r="291">
      <c r="A291" s="50" t="inlineStr">
        <is>
          <t>Jaime Colonna</t>
        </is>
      </c>
      <c r="B291" s="50" t="inlineStr">
        <is>
          <t>Qualifier</t>
        </is>
      </c>
      <c r="C291" s="50" t="inlineStr">
        <is>
          <t>MolsonCoors Beverage Company</t>
        </is>
      </c>
      <c r="D291" s="50" t="inlineStr">
        <is>
          <t>Coors Light</t>
        </is>
      </c>
      <c r="E291" s="46" t="n">
        <v>131</v>
      </c>
      <c r="F291" s="46" t="n">
        <v>108</v>
      </c>
      <c r="G291" s="48" t="n">
        <v>2880.15</v>
      </c>
      <c r="H291" s="48" t="n">
        <v>2508.75</v>
      </c>
      <c r="I291" s="48" t="n">
        <v>842.4299999999999</v>
      </c>
      <c r="J291" s="48" t="n">
        <v>750.8</v>
      </c>
    </row>
    <row r="292">
      <c r="A292" s="50" t="inlineStr">
        <is>
          <t>Jaime Colonna</t>
        </is>
      </c>
      <c r="B292" s="50" t="inlineStr">
        <is>
          <t>Qualifier</t>
        </is>
      </c>
      <c r="C292" s="50" t="inlineStr">
        <is>
          <t>MolsonCoors Beverage Company</t>
        </is>
      </c>
      <c r="D292" s="50" t="inlineStr">
        <is>
          <t>Lite</t>
        </is>
      </c>
      <c r="E292" s="46" t="n">
        <v>38</v>
      </c>
      <c r="F292" s="46" t="n">
        <v>25</v>
      </c>
      <c r="G292" s="48" t="n">
        <v>840.45</v>
      </c>
      <c r="H292" s="48" t="n">
        <v>510.65</v>
      </c>
      <c r="I292" s="48" t="n">
        <v>202.31</v>
      </c>
      <c r="J292" s="48" t="n">
        <v>114.39</v>
      </c>
    </row>
    <row r="293">
      <c r="A293" s="50" t="inlineStr">
        <is>
          <t>Jaime Colonna</t>
        </is>
      </c>
      <c r="B293" s="50" t="inlineStr">
        <is>
          <t>Qualifier</t>
        </is>
      </c>
      <c r="C293" s="50" t="inlineStr">
        <is>
          <t>Heineken USA</t>
        </is>
      </c>
      <c r="D293" s="50" t="inlineStr">
        <is>
          <t>Heineken USA</t>
        </is>
      </c>
      <c r="E293" s="46" t="n">
        <v>116</v>
      </c>
      <c r="F293" s="46" t="n">
        <v>85</v>
      </c>
      <c r="G293" s="48" t="n">
        <v>3877.15</v>
      </c>
      <c r="H293" s="48" t="n">
        <v>2901.85</v>
      </c>
      <c r="I293" s="48" t="n">
        <v>1104.67</v>
      </c>
      <c r="J293" s="48" t="n">
        <v>878.41</v>
      </c>
    </row>
    <row r="294">
      <c r="A294" s="50" t="inlineStr">
        <is>
          <t>Jaime Colonna</t>
        </is>
      </c>
      <c r="B294" s="50" t="inlineStr">
        <is>
          <t>Qualifier</t>
        </is>
      </c>
      <c r="C294" s="50" t="inlineStr">
        <is>
          <t>Constellation Brands</t>
        </is>
      </c>
      <c r="D294" s="50" t="inlineStr">
        <is>
          <t>Corona Extra</t>
        </is>
      </c>
      <c r="E294" s="46" t="n">
        <v>253</v>
      </c>
      <c r="F294" s="46" t="n">
        <v>287</v>
      </c>
      <c r="G294" s="48" t="n">
        <v>8596.65</v>
      </c>
      <c r="H294" s="48" t="n">
        <v>9937.75</v>
      </c>
      <c r="I294" s="48" t="n">
        <v>2360.99</v>
      </c>
      <c r="J294" s="48" t="n">
        <v>2819.63</v>
      </c>
    </row>
    <row r="295">
      <c r="A295" s="50" t="inlineStr">
        <is>
          <t>Jaime Colonna</t>
        </is>
      </c>
      <c r="B295" s="50" t="inlineStr">
        <is>
          <t>Qualifier</t>
        </is>
      </c>
      <c r="C295" s="50" t="inlineStr">
        <is>
          <t>Constellation Brands</t>
        </is>
      </c>
      <c r="D295" s="50" t="inlineStr">
        <is>
          <t>Modelo Especial</t>
        </is>
      </c>
      <c r="E295" s="46" t="n">
        <v>183</v>
      </c>
      <c r="F295" s="46" t="n">
        <v>191</v>
      </c>
      <c r="G295" s="48" t="n">
        <v>5971.5</v>
      </c>
      <c r="H295" s="48" t="n">
        <v>6098</v>
      </c>
      <c r="I295" s="48" t="n">
        <v>1506.45</v>
      </c>
      <c r="J295" s="48" t="n">
        <v>1514.73</v>
      </c>
    </row>
    <row r="296">
      <c r="A296" s="50" t="inlineStr">
        <is>
          <t>Jaime Colonna</t>
        </is>
      </c>
      <c r="B296" s="50" t="inlineStr">
        <is>
          <t>Qualifier</t>
        </is>
      </c>
      <c r="C296" s="50" t="inlineStr">
        <is>
          <t>Boston Beer Company</t>
        </is>
      </c>
      <c r="D296" s="50" t="inlineStr">
        <is>
          <t>Truly</t>
        </is>
      </c>
      <c r="E296" s="46" t="n">
        <v>15</v>
      </c>
      <c r="F296" s="46" t="n">
        <v>0</v>
      </c>
      <c r="G296" s="48" t="n">
        <v>456</v>
      </c>
      <c r="H296" s="48" t="n">
        <v>0</v>
      </c>
      <c r="I296" s="48" t="n">
        <v>114.9</v>
      </c>
      <c r="J296" s="48" t="n">
        <v>0</v>
      </c>
    </row>
    <row r="297">
      <c r="A297" s="50" t="inlineStr">
        <is>
          <t>Jaime Colonna</t>
        </is>
      </c>
      <c r="B297" s="50" t="inlineStr">
        <is>
          <t>Qualifier</t>
        </is>
      </c>
      <c r="C297" s="50" t="inlineStr">
        <is>
          <t>Boston Beer Company</t>
        </is>
      </c>
      <c r="D297" s="50" t="inlineStr">
        <is>
          <t>Twisted Tea</t>
        </is>
      </c>
      <c r="E297" s="46" t="n">
        <v>18</v>
      </c>
      <c r="F297" s="46" t="n">
        <v>21</v>
      </c>
      <c r="G297" s="48" t="n">
        <v>540.25</v>
      </c>
      <c r="H297" s="48" t="n">
        <v>618</v>
      </c>
      <c r="I297" s="48" t="n">
        <v>148.65</v>
      </c>
      <c r="J297" s="48" t="n">
        <v>160.35</v>
      </c>
    </row>
    <row r="298">
      <c r="A298" s="50" t="inlineStr">
        <is>
          <t>Jaime Colonna</t>
        </is>
      </c>
      <c r="B298" s="50" t="inlineStr">
        <is>
          <t>Qualifier</t>
        </is>
      </c>
      <c r="C298" s="50" t="inlineStr">
        <is>
          <t>Mark Anthony</t>
        </is>
      </c>
      <c r="D298" s="50" t="inlineStr">
        <is>
          <t>White Claw</t>
        </is>
      </c>
      <c r="E298" s="46" t="n">
        <v>90</v>
      </c>
      <c r="F298" s="46" t="n">
        <v>67</v>
      </c>
      <c r="G298" s="48" t="n">
        <v>2930.9</v>
      </c>
      <c r="H298" s="48" t="n">
        <v>2307.15</v>
      </c>
      <c r="I298" s="48" t="n">
        <v>669.62</v>
      </c>
      <c r="J298" s="48" t="n">
        <v>522.49</v>
      </c>
    </row>
    <row r="299">
      <c r="A299" s="50" t="inlineStr">
        <is>
          <t>Jaime Colonna</t>
        </is>
      </c>
      <c r="B299" s="50" t="inlineStr">
        <is>
          <t>Qualifier</t>
        </is>
      </c>
      <c r="C299" s="50" t="inlineStr">
        <is>
          <t>DG Yuengling Inc</t>
        </is>
      </c>
      <c r="D299" s="50" t="inlineStr">
        <is>
          <t>Yuengling Lager</t>
        </is>
      </c>
      <c r="E299" s="46" t="n">
        <v>64</v>
      </c>
      <c r="F299" s="46" t="n">
        <v>8</v>
      </c>
      <c r="G299" s="48" t="n">
        <v>1124</v>
      </c>
      <c r="H299" s="48" t="n">
        <v>164</v>
      </c>
      <c r="I299" s="48" t="n">
        <v>276.75</v>
      </c>
      <c r="J299" s="48" t="n">
        <v>44.62</v>
      </c>
    </row>
    <row r="300">
      <c r="A300" s="50" t="inlineStr">
        <is>
          <t>Javier Melo</t>
        </is>
      </c>
      <c r="B300" s="50" t="inlineStr">
        <is>
          <t>Amplify</t>
        </is>
      </c>
      <c r="C300" s="50" t="inlineStr">
        <is>
          <t>Mark Anthony</t>
        </is>
      </c>
      <c r="D300" s="50" t="inlineStr">
        <is>
          <t>Cayman Jack</t>
        </is>
      </c>
      <c r="E300" s="46" t="n">
        <v>603</v>
      </c>
      <c r="F300" s="46" t="n">
        <v>914</v>
      </c>
      <c r="G300" s="48" t="n">
        <v>18952.75</v>
      </c>
      <c r="H300" s="48" t="n">
        <v>29248.75</v>
      </c>
      <c r="I300" s="48" t="n">
        <v>4583.19</v>
      </c>
      <c r="J300" s="48" t="n">
        <v>7021.48</v>
      </c>
    </row>
    <row r="301">
      <c r="A301" s="50" t="inlineStr">
        <is>
          <t>Javier Melo</t>
        </is>
      </c>
      <c r="B301" s="50" t="inlineStr">
        <is>
          <t>Amplify</t>
        </is>
      </c>
      <c r="C301" s="50" t="inlineStr">
        <is>
          <t>Mark Anthony</t>
        </is>
      </c>
      <c r="D301" s="50" t="inlineStr">
        <is>
          <t>Mike's Harder</t>
        </is>
      </c>
      <c r="E301" s="46" t="n">
        <v>43</v>
      </c>
      <c r="F301" s="46" t="n">
        <v>40</v>
      </c>
      <c r="G301" s="48" t="n">
        <v>1198</v>
      </c>
      <c r="H301" s="48" t="n">
        <v>1194</v>
      </c>
      <c r="I301" s="48" t="n">
        <v>267.19</v>
      </c>
      <c r="J301" s="48" t="n">
        <v>253.77</v>
      </c>
    </row>
    <row r="302">
      <c r="A302" s="50" t="inlineStr">
        <is>
          <t>Javier Melo</t>
        </is>
      </c>
      <c r="B302" s="50" t="inlineStr">
        <is>
          <t>Amplify</t>
        </is>
      </c>
      <c r="C302" s="50" t="inlineStr">
        <is>
          <t>Mark Anthony</t>
        </is>
      </c>
      <c r="D302" s="50" t="inlineStr">
        <is>
          <t>Mxd Cocktails</t>
        </is>
      </c>
      <c r="E302" s="46" t="n">
        <v>143</v>
      </c>
      <c r="F302" s="46" t="n">
        <v>192</v>
      </c>
      <c r="G302" s="48" t="n">
        <v>3424</v>
      </c>
      <c r="H302" s="48" t="n">
        <v>4643.9</v>
      </c>
      <c r="I302" s="48" t="n">
        <v>644.0599999999999</v>
      </c>
      <c r="J302" s="48" t="n">
        <v>875.23</v>
      </c>
    </row>
    <row r="303">
      <c r="A303" s="50" t="inlineStr">
        <is>
          <t>Javier Melo</t>
        </is>
      </c>
      <c r="B303" s="50" t="inlineStr">
        <is>
          <t>Amplify</t>
        </is>
      </c>
      <c r="C303" s="50" t="inlineStr">
        <is>
          <t>MolsonCoors Beverage Company</t>
        </is>
      </c>
      <c r="D303" s="50" t="inlineStr">
        <is>
          <t>Coors</t>
        </is>
      </c>
      <c r="E303" s="46" t="n">
        <v>2096</v>
      </c>
      <c r="F303" s="46" t="n">
        <v>2287</v>
      </c>
      <c r="G303" s="48" t="n">
        <v>35759.1</v>
      </c>
      <c r="H303" s="48" t="n">
        <v>41184.45</v>
      </c>
      <c r="I303" s="48" t="n">
        <v>6424.7</v>
      </c>
      <c r="J303" s="48" t="n">
        <v>7842.9</v>
      </c>
    </row>
    <row r="304">
      <c r="A304" s="50" t="inlineStr">
        <is>
          <t>Javier Melo</t>
        </is>
      </c>
      <c r="B304" s="50" t="inlineStr">
        <is>
          <t>Amplify</t>
        </is>
      </c>
      <c r="C304" s="50" t="inlineStr">
        <is>
          <t>MolsonCoors Beverage Company</t>
        </is>
      </c>
      <c r="D304" s="50" t="inlineStr">
        <is>
          <t>Fever Tree</t>
        </is>
      </c>
      <c r="E304" s="46" t="n">
        <v>0</v>
      </c>
      <c r="F304" s="46" t="n">
        <v>1</v>
      </c>
      <c r="G304" s="48" t="n">
        <v>0</v>
      </c>
      <c r="H304" s="48" t="n">
        <v>28.5</v>
      </c>
      <c r="I304" s="48" t="n">
        <v>0</v>
      </c>
      <c r="J304" s="48" t="n">
        <v>11.11</v>
      </c>
    </row>
    <row r="305">
      <c r="A305" s="50" t="inlineStr">
        <is>
          <t>Javier Melo</t>
        </is>
      </c>
      <c r="B305" s="50" t="inlineStr">
        <is>
          <t>Amplify</t>
        </is>
      </c>
      <c r="C305" s="50" t="inlineStr">
        <is>
          <t>MolsonCoors Beverage Company</t>
        </is>
      </c>
      <c r="D305" s="50" t="inlineStr">
        <is>
          <t>Peroni</t>
        </is>
      </c>
      <c r="E305" s="46" t="n">
        <v>56</v>
      </c>
      <c r="F305" s="46" t="n">
        <v>76</v>
      </c>
      <c r="G305" s="48" t="n">
        <v>1952.1</v>
      </c>
      <c r="H305" s="48" t="n">
        <v>2672.75</v>
      </c>
      <c r="I305" s="48" t="n">
        <v>412.64</v>
      </c>
      <c r="J305" s="48" t="n">
        <v>571.46</v>
      </c>
    </row>
    <row r="306">
      <c r="A306" s="50" t="inlineStr">
        <is>
          <t>Javier Melo</t>
        </is>
      </c>
      <c r="B306" s="50" t="inlineStr">
        <is>
          <t>Amplify</t>
        </is>
      </c>
      <c r="C306" s="50" t="inlineStr">
        <is>
          <t>Boston Beer Company</t>
        </is>
      </c>
      <c r="D306" s="50" t="inlineStr">
        <is>
          <t>Dogfish Head Beer</t>
        </is>
      </c>
      <c r="E306" s="46" t="n">
        <v>17</v>
      </c>
      <c r="F306" s="46" t="n">
        <v>2</v>
      </c>
      <c r="G306" s="48" t="n">
        <v>658.2</v>
      </c>
      <c r="H306" s="48" t="n">
        <v>87.3</v>
      </c>
      <c r="I306" s="48" t="n">
        <v>164.72</v>
      </c>
      <c r="J306" s="48" t="n">
        <v>23.65</v>
      </c>
    </row>
    <row r="307">
      <c r="A307" s="50" t="inlineStr">
        <is>
          <t>Javier Melo</t>
        </is>
      </c>
      <c r="B307" s="50" t="inlineStr">
        <is>
          <t>Amplify</t>
        </is>
      </c>
      <c r="C307" s="50" t="inlineStr">
        <is>
          <t>Boston Beer Company</t>
        </is>
      </c>
      <c r="D307" s="50" t="inlineStr">
        <is>
          <t>Dogfish Head Spirits</t>
        </is>
      </c>
      <c r="E307" s="46" t="n">
        <v>0</v>
      </c>
      <c r="F307" s="46" t="n">
        <v>30</v>
      </c>
      <c r="G307" s="48" t="n">
        <v>0</v>
      </c>
      <c r="H307" s="48" t="n">
        <v>1260</v>
      </c>
      <c r="I307" s="48" t="n">
        <v>0</v>
      </c>
      <c r="J307" s="48" t="n">
        <v>377.4</v>
      </c>
    </row>
    <row r="308">
      <c r="A308" s="50" t="inlineStr">
        <is>
          <t>Javier Melo</t>
        </is>
      </c>
      <c r="B308" s="50" t="inlineStr">
        <is>
          <t>Amplify</t>
        </is>
      </c>
      <c r="C308" s="50" t="inlineStr">
        <is>
          <t>Heineken USA</t>
        </is>
      </c>
      <c r="D308" s="50" t="inlineStr">
        <is>
          <t>Heineken 0.0</t>
        </is>
      </c>
      <c r="E308" s="46" t="n">
        <v>469</v>
      </c>
      <c r="F308" s="46" t="n">
        <v>577</v>
      </c>
      <c r="G308" s="48" t="n">
        <v>15777</v>
      </c>
      <c r="H308" s="48" t="n">
        <v>19413.9</v>
      </c>
      <c r="I308" s="48" t="n">
        <v>4189.98</v>
      </c>
      <c r="J308" s="48" t="n">
        <v>5159.74</v>
      </c>
    </row>
    <row r="309">
      <c r="A309" s="50" t="inlineStr">
        <is>
          <t>Javier Melo</t>
        </is>
      </c>
      <c r="B309" s="50" t="inlineStr">
        <is>
          <t>Amplify</t>
        </is>
      </c>
      <c r="C309" s="50" t="inlineStr">
        <is>
          <t>Heineken USA</t>
        </is>
      </c>
      <c r="D309" s="50" t="inlineStr">
        <is>
          <t>Heineken Light</t>
        </is>
      </c>
      <c r="E309" s="46" t="n">
        <v>739</v>
      </c>
      <c r="F309" s="46" t="n">
        <v>709</v>
      </c>
      <c r="G309" s="48" t="n">
        <v>23059.95</v>
      </c>
      <c r="H309" s="48" t="n">
        <v>22049.25</v>
      </c>
      <c r="I309" s="48" t="n">
        <v>5491.44</v>
      </c>
      <c r="J309" s="48" t="n">
        <v>5197.32</v>
      </c>
    </row>
    <row r="310">
      <c r="A310" s="50" t="inlineStr">
        <is>
          <t>Javier Melo</t>
        </is>
      </c>
      <c r="B310" s="50" t="inlineStr">
        <is>
          <t>Amplify</t>
        </is>
      </c>
      <c r="C310" s="50" t="inlineStr">
        <is>
          <t>Constellation Brands</t>
        </is>
      </c>
      <c r="D310" s="50" t="inlineStr">
        <is>
          <t>Corona Premier</t>
        </is>
      </c>
      <c r="E310" s="46" t="n">
        <v>277</v>
      </c>
      <c r="F310" s="46" t="n">
        <v>292</v>
      </c>
      <c r="G310" s="48" t="n">
        <v>8743.6</v>
      </c>
      <c r="H310" s="48" t="n">
        <v>8106.85</v>
      </c>
      <c r="I310" s="48" t="n">
        <v>1796.64</v>
      </c>
      <c r="J310" s="48" t="n">
        <v>2084.13</v>
      </c>
    </row>
    <row r="311">
      <c r="A311" s="50" t="inlineStr">
        <is>
          <t>Javier Melo</t>
        </is>
      </c>
      <c r="B311" s="50" t="inlineStr">
        <is>
          <t>Amplify</t>
        </is>
      </c>
      <c r="C311" s="50" t="inlineStr">
        <is>
          <t>Constellation Brands</t>
        </is>
      </c>
      <c r="D311" s="50" t="inlineStr">
        <is>
          <t>Modelo Chelada</t>
        </is>
      </c>
      <c r="E311" s="46" t="n">
        <v>3102</v>
      </c>
      <c r="F311" s="46" t="n">
        <v>3272</v>
      </c>
      <c r="G311" s="48" t="n">
        <v>96036.60000000001</v>
      </c>
      <c r="H311" s="48" t="n">
        <v>100780.1</v>
      </c>
      <c r="I311" s="48" t="n">
        <v>24442.32</v>
      </c>
      <c r="J311" s="48" t="n">
        <v>25621.77</v>
      </c>
    </row>
    <row r="312">
      <c r="A312" s="50" t="inlineStr">
        <is>
          <t>Javier Melo</t>
        </is>
      </c>
      <c r="B312" s="50" t="inlineStr">
        <is>
          <t>Amplify</t>
        </is>
      </c>
      <c r="C312" s="50" t="inlineStr">
        <is>
          <t>Constellation Brands</t>
        </is>
      </c>
      <c r="D312" s="50" t="inlineStr">
        <is>
          <t>Pacifico</t>
        </is>
      </c>
      <c r="E312" s="46" t="n">
        <v>975</v>
      </c>
      <c r="F312" s="46" t="n">
        <v>1538</v>
      </c>
      <c r="G312" s="48" t="n">
        <v>30312.75</v>
      </c>
      <c r="H312" s="48" t="n">
        <v>47827.85</v>
      </c>
      <c r="I312" s="48" t="n">
        <v>7067.9</v>
      </c>
      <c r="J312" s="48" t="n">
        <v>11051.84</v>
      </c>
    </row>
    <row r="313">
      <c r="A313" s="50" t="inlineStr">
        <is>
          <t>Javier Melo</t>
        </is>
      </c>
      <c r="B313" s="50" t="inlineStr">
        <is>
          <t>Amplify</t>
        </is>
      </c>
      <c r="C313" s="50" t="inlineStr">
        <is>
          <t>Constellation Brands</t>
        </is>
      </c>
      <c r="D313" s="50" t="inlineStr">
        <is>
          <t>Victoria</t>
        </is>
      </c>
      <c r="E313" s="46" t="n">
        <v>3216</v>
      </c>
      <c r="F313" s="46" t="n">
        <v>3355</v>
      </c>
      <c r="G313" s="48" t="n">
        <v>96847.45</v>
      </c>
      <c r="H313" s="48" t="n">
        <v>100770.95</v>
      </c>
      <c r="I313" s="48" t="n">
        <v>23475.33</v>
      </c>
      <c r="J313" s="48" t="n">
        <v>24517.93</v>
      </c>
    </row>
    <row r="314">
      <c r="A314" s="50" t="inlineStr">
        <is>
          <t>Javier Melo</t>
        </is>
      </c>
      <c r="B314" s="50" t="inlineStr">
        <is>
          <t>Amplify</t>
        </is>
      </c>
      <c r="C314" s="50" t="inlineStr">
        <is>
          <t>Sapporo</t>
        </is>
      </c>
      <c r="D314" s="50" t="inlineStr">
        <is>
          <t>Sapporo</t>
        </is>
      </c>
      <c r="E314" s="46" t="n">
        <v>205</v>
      </c>
      <c r="F314" s="46" t="n">
        <v>280</v>
      </c>
      <c r="G314" s="48" t="n">
        <v>6586.5</v>
      </c>
      <c r="H314" s="48" t="n">
        <v>8730.75</v>
      </c>
      <c r="I314" s="48" t="n">
        <v>1694.97</v>
      </c>
      <c r="J314" s="48" t="n">
        <v>2240.02</v>
      </c>
    </row>
    <row r="315">
      <c r="A315" s="50" t="inlineStr">
        <is>
          <t>Javier Melo</t>
        </is>
      </c>
      <c r="B315" s="50" t="inlineStr">
        <is>
          <t>Amplify</t>
        </is>
      </c>
      <c r="C315" s="50" t="inlineStr">
        <is>
          <t>New Belgium Brewing Company</t>
        </is>
      </c>
      <c r="D315" s="50" t="inlineStr">
        <is>
          <t>Voodoo Family</t>
        </is>
      </c>
      <c r="E315" s="46" t="n">
        <v>45</v>
      </c>
      <c r="F315" s="46" t="n">
        <v>30</v>
      </c>
      <c r="G315" s="48" t="n">
        <v>1613.4</v>
      </c>
      <c r="H315" s="48" t="n">
        <v>1068.1</v>
      </c>
      <c r="I315" s="48" t="n">
        <v>401.52</v>
      </c>
      <c r="J315" s="48" t="n">
        <v>278.42</v>
      </c>
    </row>
    <row r="316">
      <c r="A316" s="50" t="inlineStr">
        <is>
          <t>Javier Melo</t>
        </is>
      </c>
      <c r="B316" s="50" t="inlineStr">
        <is>
          <t>Amplify</t>
        </is>
      </c>
      <c r="C316" s="50" t="inlineStr">
        <is>
          <t>DG Yuengling Inc</t>
        </is>
      </c>
      <c r="D316" s="50" t="inlineStr">
        <is>
          <t>Yuengling Flight</t>
        </is>
      </c>
      <c r="E316" s="46" t="n">
        <v>3</v>
      </c>
      <c r="F316" s="46" t="n">
        <v>0</v>
      </c>
      <c r="G316" s="48" t="n">
        <v>41.5</v>
      </c>
      <c r="H316" s="48" t="n">
        <v>0</v>
      </c>
      <c r="I316" s="48" t="n">
        <v>8.34</v>
      </c>
      <c r="J316" s="48" t="n">
        <v>0</v>
      </c>
    </row>
    <row r="317">
      <c r="A317" s="50" t="inlineStr">
        <is>
          <t>Javier Melo</t>
        </is>
      </c>
      <c r="B317" s="50" t="inlineStr">
        <is>
          <t>Qualifier</t>
        </is>
      </c>
      <c r="C317" s="50" t="inlineStr">
        <is>
          <t>MolsonCoors Beverage Company</t>
        </is>
      </c>
      <c r="D317" s="50" t="inlineStr">
        <is>
          <t>Blue Moon</t>
        </is>
      </c>
      <c r="E317" s="46" t="n">
        <v>325</v>
      </c>
      <c r="F317" s="46" t="n">
        <v>314</v>
      </c>
      <c r="G317" s="48" t="n">
        <v>10501.6</v>
      </c>
      <c r="H317" s="48" t="n">
        <v>10199.45</v>
      </c>
      <c r="I317" s="48" t="n">
        <v>2409.8</v>
      </c>
      <c r="J317" s="48" t="n">
        <v>2424.15</v>
      </c>
    </row>
    <row r="318">
      <c r="A318" s="50" t="inlineStr">
        <is>
          <t>Javier Melo</t>
        </is>
      </c>
      <c r="B318" s="50" t="inlineStr">
        <is>
          <t>Qualifier</t>
        </is>
      </c>
      <c r="C318" s="50" t="inlineStr">
        <is>
          <t>MolsonCoors Beverage Company</t>
        </is>
      </c>
      <c r="D318" s="50" t="inlineStr">
        <is>
          <t>Coors Light</t>
        </is>
      </c>
      <c r="E318" s="46" t="n">
        <v>14909</v>
      </c>
      <c r="F318" s="46" t="n">
        <v>13918</v>
      </c>
      <c r="G318" s="48" t="n">
        <v>274982.05</v>
      </c>
      <c r="H318" s="48" t="n">
        <v>263010.4</v>
      </c>
      <c r="I318" s="48" t="n">
        <v>54845.9</v>
      </c>
      <c r="J318" s="48" t="n">
        <v>54182.95</v>
      </c>
    </row>
    <row r="319">
      <c r="A319" s="50" t="inlineStr">
        <is>
          <t>Javier Melo</t>
        </is>
      </c>
      <c r="B319" s="50" t="inlineStr">
        <is>
          <t>Qualifier</t>
        </is>
      </c>
      <c r="C319" s="50" t="inlineStr">
        <is>
          <t>MolsonCoors Beverage Company</t>
        </is>
      </c>
      <c r="D319" s="50" t="inlineStr">
        <is>
          <t>Lite</t>
        </is>
      </c>
      <c r="E319" s="46" t="n">
        <v>636</v>
      </c>
      <c r="F319" s="46" t="n">
        <v>526</v>
      </c>
      <c r="G319" s="48" t="n">
        <v>11923.75</v>
      </c>
      <c r="H319" s="48" t="n">
        <v>10166.2</v>
      </c>
      <c r="I319" s="48" t="n">
        <v>2231.67</v>
      </c>
      <c r="J319" s="48" t="n">
        <v>1949.7</v>
      </c>
    </row>
    <row r="320">
      <c r="A320" s="50" t="inlineStr">
        <is>
          <t>Javier Melo</t>
        </is>
      </c>
      <c r="B320" s="50" t="inlineStr">
        <is>
          <t>Qualifier</t>
        </is>
      </c>
      <c r="C320" s="50" t="inlineStr">
        <is>
          <t>Heineken USA</t>
        </is>
      </c>
      <c r="D320" s="50" t="inlineStr">
        <is>
          <t>Heineken USA</t>
        </is>
      </c>
      <c r="E320" s="46" t="n">
        <v>10573</v>
      </c>
      <c r="F320" s="46" t="n">
        <v>10004</v>
      </c>
      <c r="G320" s="48" t="n">
        <v>332160.05</v>
      </c>
      <c r="H320" s="48" t="n">
        <v>314045.1</v>
      </c>
      <c r="I320" s="48" t="n">
        <v>78375.88</v>
      </c>
      <c r="J320" s="48" t="n">
        <v>73992.37</v>
      </c>
    </row>
    <row r="321">
      <c r="A321" s="50" t="inlineStr">
        <is>
          <t>Javier Melo</t>
        </is>
      </c>
      <c r="B321" s="50" t="inlineStr">
        <is>
          <t>Qualifier</t>
        </is>
      </c>
      <c r="C321" s="50" t="inlineStr">
        <is>
          <t>Constellation Brands</t>
        </is>
      </c>
      <c r="D321" s="50" t="inlineStr">
        <is>
          <t>Corona Extra</t>
        </is>
      </c>
      <c r="E321" s="46" t="n">
        <v>38291</v>
      </c>
      <c r="F321" s="46" t="n">
        <v>38609</v>
      </c>
      <c r="G321" s="48" t="n">
        <v>1250371</v>
      </c>
      <c r="H321" s="48" t="n">
        <v>1275084.3</v>
      </c>
      <c r="I321" s="48" t="n">
        <v>296621.25</v>
      </c>
      <c r="J321" s="48" t="n">
        <v>312942.95</v>
      </c>
    </row>
    <row r="322">
      <c r="A322" s="50" t="inlineStr">
        <is>
          <t>Javier Melo</t>
        </is>
      </c>
      <c r="B322" s="50" t="inlineStr">
        <is>
          <t>Qualifier</t>
        </is>
      </c>
      <c r="C322" s="50" t="inlineStr">
        <is>
          <t>Constellation Brands</t>
        </is>
      </c>
      <c r="D322" s="50" t="inlineStr">
        <is>
          <t>Modelo Especial</t>
        </is>
      </c>
      <c r="E322" s="46" t="n">
        <v>33298</v>
      </c>
      <c r="F322" s="46" t="n">
        <v>33370</v>
      </c>
      <c r="G322" s="48" t="n">
        <v>1024807.2</v>
      </c>
      <c r="H322" s="48" t="n">
        <v>1027475.55</v>
      </c>
      <c r="I322" s="48" t="n">
        <v>227340.55</v>
      </c>
      <c r="J322" s="48" t="n">
        <v>237520.87</v>
      </c>
    </row>
    <row r="323">
      <c r="A323" s="50" t="inlineStr">
        <is>
          <t>Javier Melo</t>
        </is>
      </c>
      <c r="B323" s="50" t="inlineStr">
        <is>
          <t>Qualifier</t>
        </is>
      </c>
      <c r="C323" s="50" t="inlineStr">
        <is>
          <t>Boston Beer Company</t>
        </is>
      </c>
      <c r="D323" s="50" t="inlineStr">
        <is>
          <t>Truly</t>
        </is>
      </c>
      <c r="E323" s="46" t="n">
        <v>-2</v>
      </c>
      <c r="F323" s="46" t="n">
        <v>0</v>
      </c>
      <c r="G323" s="48" t="n">
        <v>-56.5</v>
      </c>
      <c r="H323" s="48" t="n">
        <v>0</v>
      </c>
      <c r="I323" s="48" t="n">
        <v>-16</v>
      </c>
      <c r="J323" s="48" t="n">
        <v>0</v>
      </c>
    </row>
    <row r="324">
      <c r="A324" s="50" t="inlineStr">
        <is>
          <t>Javier Melo</t>
        </is>
      </c>
      <c r="B324" s="50" t="inlineStr">
        <is>
          <t>Qualifier</t>
        </is>
      </c>
      <c r="C324" s="50" t="inlineStr">
        <is>
          <t>Boston Beer Company</t>
        </is>
      </c>
      <c r="D324" s="50" t="inlineStr">
        <is>
          <t>Twisted Tea</t>
        </is>
      </c>
      <c r="E324" s="46" t="n">
        <v>429</v>
      </c>
      <c r="F324" s="46" t="n">
        <v>532</v>
      </c>
      <c r="G324" s="48" t="n">
        <v>12260.25</v>
      </c>
      <c r="H324" s="48" t="n">
        <v>14464.5</v>
      </c>
      <c r="I324" s="48" t="n">
        <v>3127.75</v>
      </c>
      <c r="J324" s="48" t="n">
        <v>2861.71</v>
      </c>
    </row>
    <row r="325">
      <c r="A325" s="50" t="inlineStr">
        <is>
          <t>Javier Melo</t>
        </is>
      </c>
      <c r="B325" s="50" t="inlineStr">
        <is>
          <t>Qualifier</t>
        </is>
      </c>
      <c r="C325" s="50" t="inlineStr">
        <is>
          <t>Mark Anthony</t>
        </is>
      </c>
      <c r="D325" s="50" t="inlineStr">
        <is>
          <t>White Claw</t>
        </is>
      </c>
      <c r="E325" s="46" t="n">
        <v>1116</v>
      </c>
      <c r="F325" s="46" t="n">
        <v>1392</v>
      </c>
      <c r="G325" s="48" t="n">
        <v>35895.95</v>
      </c>
      <c r="H325" s="48" t="n">
        <v>45033.9</v>
      </c>
      <c r="I325" s="48" t="n">
        <v>7862.93</v>
      </c>
      <c r="J325" s="48" t="n">
        <v>9486.84</v>
      </c>
    </row>
    <row r="326">
      <c r="A326" s="50" t="inlineStr">
        <is>
          <t>Javier Melo</t>
        </is>
      </c>
      <c r="B326" s="50" t="inlineStr">
        <is>
          <t>Qualifier</t>
        </is>
      </c>
      <c r="C326" s="50" t="inlineStr">
        <is>
          <t>DG Yuengling Inc</t>
        </is>
      </c>
      <c r="D326" s="50" t="inlineStr">
        <is>
          <t>Yuengling Lager</t>
        </is>
      </c>
      <c r="E326" s="46" t="n">
        <v>148</v>
      </c>
      <c r="F326" s="46" t="n">
        <v>169</v>
      </c>
      <c r="G326" s="48" t="n">
        <v>3315.6</v>
      </c>
      <c r="H326" s="48" t="n">
        <v>3522.7</v>
      </c>
      <c r="I326" s="48" t="n">
        <v>936.58</v>
      </c>
      <c r="J326" s="48" t="n">
        <v>947.85</v>
      </c>
    </row>
    <row r="327">
      <c r="A327" s="50" t="inlineStr">
        <is>
          <t>Jayson Romine</t>
        </is>
      </c>
      <c r="B327" s="50" t="inlineStr">
        <is>
          <t>Amplify</t>
        </is>
      </c>
      <c r="C327" s="50" t="inlineStr">
        <is>
          <t>Cape May</t>
        </is>
      </c>
      <c r="D327" s="50" t="inlineStr">
        <is>
          <t>Cape May</t>
        </is>
      </c>
      <c r="E327" s="46" t="n">
        <v>1211</v>
      </c>
      <c r="F327" s="46" t="n">
        <v>1222</v>
      </c>
      <c r="G327" s="48" t="n">
        <v>48825.8</v>
      </c>
      <c r="H327" s="48" t="n">
        <v>49218.9</v>
      </c>
      <c r="I327" s="48" t="n">
        <v>14206.55</v>
      </c>
      <c r="J327" s="48" t="n">
        <v>14502.05</v>
      </c>
    </row>
    <row r="328">
      <c r="A328" s="50" t="inlineStr">
        <is>
          <t>Jayson Romine</t>
        </is>
      </c>
      <c r="B328" s="50" t="inlineStr">
        <is>
          <t>Amplify</t>
        </is>
      </c>
      <c r="C328" s="50" t="inlineStr">
        <is>
          <t>Mark Anthony</t>
        </is>
      </c>
      <c r="D328" s="50" t="inlineStr">
        <is>
          <t>Cayman Jack</t>
        </is>
      </c>
      <c r="E328" s="46" t="n">
        <v>837</v>
      </c>
      <c r="F328" s="46" t="n">
        <v>756</v>
      </c>
      <c r="G328" s="48" t="n">
        <v>26501</v>
      </c>
      <c r="H328" s="48" t="n">
        <v>24020.25</v>
      </c>
      <c r="I328" s="48" t="n">
        <v>6188.2</v>
      </c>
      <c r="J328" s="48" t="n">
        <v>5648.62</v>
      </c>
    </row>
    <row r="329">
      <c r="A329" s="50" t="inlineStr">
        <is>
          <t>Jayson Romine</t>
        </is>
      </c>
      <c r="B329" s="50" t="inlineStr">
        <is>
          <t>Amplify</t>
        </is>
      </c>
      <c r="C329" s="50" t="inlineStr">
        <is>
          <t>Mark Anthony</t>
        </is>
      </c>
      <c r="D329" s="50" t="inlineStr">
        <is>
          <t>Mike's Harder</t>
        </is>
      </c>
      <c r="E329" s="46" t="n">
        <v>632</v>
      </c>
      <c r="F329" s="46" t="n">
        <v>549</v>
      </c>
      <c r="G329" s="48" t="n">
        <v>17518.5</v>
      </c>
      <c r="H329" s="48" t="n">
        <v>16290.5</v>
      </c>
      <c r="I329" s="48" t="n">
        <v>3800.06</v>
      </c>
      <c r="J329" s="48" t="n">
        <v>3459.36</v>
      </c>
    </row>
    <row r="330">
      <c r="A330" s="50" t="inlineStr">
        <is>
          <t>Jayson Romine</t>
        </is>
      </c>
      <c r="B330" s="50" t="inlineStr">
        <is>
          <t>Amplify</t>
        </is>
      </c>
      <c r="C330" s="50" t="inlineStr">
        <is>
          <t>Mark Anthony</t>
        </is>
      </c>
      <c r="D330" s="50" t="inlineStr">
        <is>
          <t>Mxd Cocktails</t>
        </is>
      </c>
      <c r="E330" s="46" t="n">
        <v>4</v>
      </c>
      <c r="F330" s="46" t="n">
        <v>0</v>
      </c>
      <c r="G330" s="48" t="n">
        <v>96</v>
      </c>
      <c r="H330" s="48" t="n">
        <v>0</v>
      </c>
      <c r="I330" s="48" t="n">
        <v>18.03</v>
      </c>
      <c r="J330" s="48" t="n">
        <v>0</v>
      </c>
    </row>
    <row r="331">
      <c r="A331" s="50" t="inlineStr">
        <is>
          <t>Jayson Romine</t>
        </is>
      </c>
      <c r="B331" s="50" t="inlineStr">
        <is>
          <t>Amplify</t>
        </is>
      </c>
      <c r="C331" s="50" t="inlineStr">
        <is>
          <t>MolsonCoors Beverage Company</t>
        </is>
      </c>
      <c r="D331" s="50" t="inlineStr">
        <is>
          <t>Coors</t>
        </is>
      </c>
      <c r="E331" s="46" t="n">
        <v>4024</v>
      </c>
      <c r="F331" s="46" t="n">
        <v>4294</v>
      </c>
      <c r="G331" s="48" t="n">
        <v>88813.55</v>
      </c>
      <c r="H331" s="48" t="n">
        <v>98022.35000000001</v>
      </c>
      <c r="I331" s="48" t="n">
        <v>23645.57</v>
      </c>
      <c r="J331" s="48" t="n">
        <v>26871.67</v>
      </c>
    </row>
    <row r="332">
      <c r="A332" s="50" t="inlineStr">
        <is>
          <t>Jayson Romine</t>
        </is>
      </c>
      <c r="B332" s="50" t="inlineStr">
        <is>
          <t>Amplify</t>
        </is>
      </c>
      <c r="C332" s="50" t="inlineStr">
        <is>
          <t>MolsonCoors Beverage Company</t>
        </is>
      </c>
      <c r="D332" s="50" t="inlineStr">
        <is>
          <t>Fever Tree</t>
        </is>
      </c>
      <c r="E332" s="46" t="n">
        <v>147</v>
      </c>
      <c r="F332" s="46" t="n">
        <v>141</v>
      </c>
      <c r="G332" s="48" t="n">
        <v>6588.8</v>
      </c>
      <c r="H332" s="48" t="n">
        <v>6191.5</v>
      </c>
      <c r="I332" s="48" t="n">
        <v>2078.74</v>
      </c>
      <c r="J332" s="48" t="n">
        <v>1966.86</v>
      </c>
    </row>
    <row r="333">
      <c r="A333" s="50" t="inlineStr">
        <is>
          <t>Jayson Romine</t>
        </is>
      </c>
      <c r="B333" s="50" t="inlineStr">
        <is>
          <t>Amplify</t>
        </is>
      </c>
      <c r="C333" s="50" t="inlineStr">
        <is>
          <t>MolsonCoors Beverage Company</t>
        </is>
      </c>
      <c r="D333" s="50" t="inlineStr">
        <is>
          <t>Peroni</t>
        </is>
      </c>
      <c r="E333" s="46" t="n">
        <v>680</v>
      </c>
      <c r="F333" s="46" t="n">
        <v>628</v>
      </c>
      <c r="G333" s="48" t="n">
        <v>23333.4</v>
      </c>
      <c r="H333" s="48" t="n">
        <v>21250.85</v>
      </c>
      <c r="I333" s="48" t="n">
        <v>4716.61</v>
      </c>
      <c r="J333" s="48" t="n">
        <v>4160.55</v>
      </c>
    </row>
    <row r="334">
      <c r="A334" s="50" t="inlineStr">
        <is>
          <t>Jayson Romine</t>
        </is>
      </c>
      <c r="B334" s="50" t="inlineStr">
        <is>
          <t>Amplify</t>
        </is>
      </c>
      <c r="C334" s="50" t="inlineStr">
        <is>
          <t>Boston Beer Company</t>
        </is>
      </c>
      <c r="D334" s="50" t="inlineStr">
        <is>
          <t>Dogfish Head Beer</t>
        </is>
      </c>
      <c r="E334" s="46" t="n">
        <v>1276</v>
      </c>
      <c r="F334" s="46" t="n">
        <v>1175</v>
      </c>
      <c r="G334" s="48" t="n">
        <v>43296</v>
      </c>
      <c r="H334" s="48" t="n">
        <v>39086.3</v>
      </c>
      <c r="I334" s="48" t="n">
        <v>10522.95</v>
      </c>
      <c r="J334" s="48" t="n">
        <v>9022.870000000001</v>
      </c>
    </row>
    <row r="335">
      <c r="A335" s="50" t="inlineStr">
        <is>
          <t>Jayson Romine</t>
        </is>
      </c>
      <c r="B335" s="50" t="inlineStr">
        <is>
          <t>Amplify</t>
        </is>
      </c>
      <c r="C335" s="50" t="inlineStr">
        <is>
          <t>Boston Beer Company</t>
        </is>
      </c>
      <c r="D335" s="50" t="inlineStr">
        <is>
          <t>Dogfish Head Spirits</t>
        </is>
      </c>
      <c r="E335" s="46" t="n">
        <v>646</v>
      </c>
      <c r="F335" s="46" t="n">
        <v>438</v>
      </c>
      <c r="G335" s="48" t="n">
        <v>33200</v>
      </c>
      <c r="H335" s="48" t="n">
        <v>21354</v>
      </c>
      <c r="I335" s="48" t="n">
        <v>12123.58</v>
      </c>
      <c r="J335" s="48" t="n">
        <v>7057.19</v>
      </c>
    </row>
    <row r="336">
      <c r="A336" s="50" t="inlineStr">
        <is>
          <t>Jayson Romine</t>
        </is>
      </c>
      <c r="B336" s="50" t="inlineStr">
        <is>
          <t>Amplify</t>
        </is>
      </c>
      <c r="C336" s="50" t="inlineStr">
        <is>
          <t>Constellation Brands</t>
        </is>
      </c>
      <c r="D336" s="50" t="inlineStr">
        <is>
          <t>Corona Premier</t>
        </is>
      </c>
      <c r="E336" s="46" t="n">
        <v>1112</v>
      </c>
      <c r="F336" s="46" t="n">
        <v>1182</v>
      </c>
      <c r="G336" s="48" t="n">
        <v>34593.25</v>
      </c>
      <c r="H336" s="48" t="n">
        <v>32106.05</v>
      </c>
      <c r="I336" s="48" t="n">
        <v>7403.85</v>
      </c>
      <c r="J336" s="48" t="n">
        <v>8097.31</v>
      </c>
    </row>
    <row r="337">
      <c r="A337" s="50" t="inlineStr">
        <is>
          <t>Jayson Romine</t>
        </is>
      </c>
      <c r="B337" s="50" t="inlineStr">
        <is>
          <t>Amplify</t>
        </is>
      </c>
      <c r="C337" s="50" t="inlineStr">
        <is>
          <t>Constellation Brands</t>
        </is>
      </c>
      <c r="D337" s="50" t="inlineStr">
        <is>
          <t>Modelo Chelada</t>
        </is>
      </c>
      <c r="E337" s="46" t="n">
        <v>873</v>
      </c>
      <c r="F337" s="46" t="n">
        <v>1082</v>
      </c>
      <c r="G337" s="48" t="n">
        <v>26902.65</v>
      </c>
      <c r="H337" s="48" t="n">
        <v>33161.55</v>
      </c>
      <c r="I337" s="48" t="n">
        <v>6518.33</v>
      </c>
      <c r="J337" s="48" t="n">
        <v>7980.9</v>
      </c>
    </row>
    <row r="338">
      <c r="A338" s="50" t="inlineStr">
        <is>
          <t>Jayson Romine</t>
        </is>
      </c>
      <c r="B338" s="50" t="inlineStr">
        <is>
          <t>Amplify</t>
        </is>
      </c>
      <c r="C338" s="50" t="inlineStr">
        <is>
          <t>Constellation Brands</t>
        </is>
      </c>
      <c r="D338" s="50" t="inlineStr">
        <is>
          <t>Pacifico</t>
        </is>
      </c>
      <c r="E338" s="46" t="n">
        <v>290</v>
      </c>
      <c r="F338" s="46" t="n">
        <v>403</v>
      </c>
      <c r="G338" s="48" t="n">
        <v>8821.200000000001</v>
      </c>
      <c r="H338" s="48" t="n">
        <v>12418.2</v>
      </c>
      <c r="I338" s="48" t="n">
        <v>2024.16</v>
      </c>
      <c r="J338" s="48" t="n">
        <v>2879.32</v>
      </c>
    </row>
    <row r="339">
      <c r="A339" s="50" t="inlineStr">
        <is>
          <t>Jayson Romine</t>
        </is>
      </c>
      <c r="B339" s="50" t="inlineStr">
        <is>
          <t>Amplify</t>
        </is>
      </c>
      <c r="C339" s="50" t="inlineStr">
        <is>
          <t>Constellation Brands</t>
        </is>
      </c>
      <c r="D339" s="50" t="inlineStr">
        <is>
          <t>Victoria</t>
        </is>
      </c>
      <c r="E339" s="46" t="n">
        <v>263</v>
      </c>
      <c r="F339" s="46" t="n">
        <v>230</v>
      </c>
      <c r="G339" s="48" t="n">
        <v>7658.9</v>
      </c>
      <c r="H339" s="48" t="n">
        <v>6836.2</v>
      </c>
      <c r="I339" s="48" t="n">
        <v>1926.33</v>
      </c>
      <c r="J339" s="48" t="n">
        <v>1691.02</v>
      </c>
    </row>
    <row r="340">
      <c r="A340" s="50" t="inlineStr">
        <is>
          <t>Jayson Romine</t>
        </is>
      </c>
      <c r="B340" s="50" t="inlineStr">
        <is>
          <t>Amplify</t>
        </is>
      </c>
      <c r="C340" s="50" t="inlineStr">
        <is>
          <t>Sapporo</t>
        </is>
      </c>
      <c r="D340" s="50" t="inlineStr">
        <is>
          <t>Sapporo</t>
        </is>
      </c>
      <c r="E340" s="46" t="n">
        <v>182</v>
      </c>
      <c r="F340" s="46" t="n">
        <v>219</v>
      </c>
      <c r="G340" s="48" t="n">
        <v>5292.5</v>
      </c>
      <c r="H340" s="48" t="n">
        <v>6516</v>
      </c>
      <c r="I340" s="48" t="n">
        <v>1429.65</v>
      </c>
      <c r="J340" s="48" t="n">
        <v>1800.35</v>
      </c>
    </row>
    <row r="341">
      <c r="A341" s="50" t="inlineStr">
        <is>
          <t>Jayson Romine</t>
        </is>
      </c>
      <c r="B341" s="50" t="inlineStr">
        <is>
          <t>Amplify</t>
        </is>
      </c>
      <c r="C341" s="50" t="inlineStr">
        <is>
          <t>Bell's</t>
        </is>
      </c>
      <c r="D341" s="50" t="inlineStr">
        <is>
          <t>Bell's</t>
        </is>
      </c>
      <c r="E341" s="46" t="n">
        <v>36</v>
      </c>
      <c r="F341" s="46" t="n">
        <v>15</v>
      </c>
      <c r="G341" s="48" t="n">
        <v>1268.3</v>
      </c>
      <c r="H341" s="48" t="n">
        <v>512.4</v>
      </c>
      <c r="I341" s="48" t="n">
        <v>409.5</v>
      </c>
      <c r="J341" s="48" t="n">
        <v>168.64</v>
      </c>
    </row>
    <row r="342">
      <c r="A342" s="50" t="inlineStr">
        <is>
          <t>Jayson Romine</t>
        </is>
      </c>
      <c r="B342" s="50" t="inlineStr">
        <is>
          <t>Amplify</t>
        </is>
      </c>
      <c r="C342" s="50" t="inlineStr">
        <is>
          <t>New Belgium Brewing Company</t>
        </is>
      </c>
      <c r="D342" s="50" t="inlineStr">
        <is>
          <t>Fat Tire Family</t>
        </is>
      </c>
      <c r="E342" s="46" t="n">
        <v>265</v>
      </c>
      <c r="F342" s="46" t="n">
        <v>256</v>
      </c>
      <c r="G342" s="48" t="n">
        <v>8571.299999999999</v>
      </c>
      <c r="H342" s="48" t="n">
        <v>7361.95</v>
      </c>
      <c r="I342" s="48" t="n">
        <v>1731.74</v>
      </c>
      <c r="J342" s="48" t="n">
        <v>1517.12</v>
      </c>
    </row>
    <row r="343">
      <c r="A343" s="50" t="inlineStr">
        <is>
          <t>Jayson Romine</t>
        </is>
      </c>
      <c r="B343" s="50" t="inlineStr">
        <is>
          <t>Amplify</t>
        </is>
      </c>
      <c r="C343" s="50" t="inlineStr">
        <is>
          <t>New Belgium Brewing Company</t>
        </is>
      </c>
      <c r="D343" s="50" t="inlineStr">
        <is>
          <t>Kirin Ichiban</t>
        </is>
      </c>
      <c r="E343" s="46" t="n">
        <v>2</v>
      </c>
      <c r="F343" s="46" t="n">
        <v>1</v>
      </c>
      <c r="G343" s="48" t="n">
        <v>72</v>
      </c>
      <c r="H343" s="48" t="n">
        <v>36</v>
      </c>
      <c r="I343" s="48" t="n">
        <v>23.64</v>
      </c>
      <c r="J343" s="48" t="n">
        <v>11.82</v>
      </c>
    </row>
    <row r="344">
      <c r="A344" s="50" t="inlineStr">
        <is>
          <t>Jayson Romine</t>
        </is>
      </c>
      <c r="B344" s="50" t="inlineStr">
        <is>
          <t>Amplify</t>
        </is>
      </c>
      <c r="C344" s="50" t="inlineStr">
        <is>
          <t>New Belgium Brewing Company</t>
        </is>
      </c>
      <c r="D344" s="50" t="inlineStr">
        <is>
          <t>Voodoo Family</t>
        </is>
      </c>
      <c r="E344" s="46" t="n">
        <v>1306</v>
      </c>
      <c r="F344" s="46" t="n">
        <v>1498</v>
      </c>
      <c r="G344" s="48" t="n">
        <v>46824.7</v>
      </c>
      <c r="H344" s="48" t="n">
        <v>53527.9</v>
      </c>
      <c r="I344" s="48" t="n">
        <v>11436.88</v>
      </c>
      <c r="J344" s="48" t="n">
        <v>13081.53</v>
      </c>
    </row>
    <row r="345">
      <c r="A345" s="50" t="inlineStr">
        <is>
          <t>Jayson Romine</t>
        </is>
      </c>
      <c r="B345" s="50" t="inlineStr">
        <is>
          <t>Amplify</t>
        </is>
      </c>
      <c r="C345" s="50" t="inlineStr">
        <is>
          <t>DG Yuengling Inc</t>
        </is>
      </c>
      <c r="D345" s="50" t="inlineStr">
        <is>
          <t>Yuengling Flight</t>
        </is>
      </c>
      <c r="E345" s="46" t="n">
        <v>769</v>
      </c>
      <c r="F345" s="46" t="n">
        <v>726</v>
      </c>
      <c r="G345" s="48" t="n">
        <v>18292.95</v>
      </c>
      <c r="H345" s="48" t="n">
        <v>16640.8</v>
      </c>
      <c r="I345" s="48" t="n">
        <v>5339.81</v>
      </c>
      <c r="J345" s="48" t="n">
        <v>4562.38</v>
      </c>
    </row>
    <row r="346">
      <c r="A346" s="50" t="inlineStr">
        <is>
          <t>Jayson Romine</t>
        </is>
      </c>
      <c r="B346" s="50" t="inlineStr">
        <is>
          <t>Amplify</t>
        </is>
      </c>
      <c r="C346" s="50" t="inlineStr">
        <is>
          <t>DG Yuengling Inc</t>
        </is>
      </c>
      <c r="D346" s="50" t="inlineStr">
        <is>
          <t>Yuengling Light Lager</t>
        </is>
      </c>
      <c r="E346" s="46" t="n">
        <v>710</v>
      </c>
      <c r="F346" s="46" t="n">
        <v>691</v>
      </c>
      <c r="G346" s="48" t="n">
        <v>16457.7</v>
      </c>
      <c r="H346" s="48" t="n">
        <v>15694.1</v>
      </c>
      <c r="I346" s="48" t="n">
        <v>4339.16</v>
      </c>
      <c r="J346" s="48" t="n">
        <v>4088.34</v>
      </c>
    </row>
    <row r="347">
      <c r="A347" s="50" t="inlineStr">
        <is>
          <t>Jayson Romine</t>
        </is>
      </c>
      <c r="B347" s="50" t="inlineStr">
        <is>
          <t>Qualifier</t>
        </is>
      </c>
      <c r="C347" s="50" t="inlineStr">
        <is>
          <t>MolsonCoors Beverage Company</t>
        </is>
      </c>
      <c r="D347" s="50" t="inlineStr">
        <is>
          <t>Blue Moon</t>
        </is>
      </c>
      <c r="E347" s="46" t="n">
        <v>2086</v>
      </c>
      <c r="F347" s="46" t="n">
        <v>1854</v>
      </c>
      <c r="G347" s="48" t="n">
        <v>66780.10000000001</v>
      </c>
      <c r="H347" s="48" t="n">
        <v>59224.55</v>
      </c>
      <c r="I347" s="48" t="n">
        <v>14559.1</v>
      </c>
      <c r="J347" s="48" t="n">
        <v>13347.81</v>
      </c>
    </row>
    <row r="348">
      <c r="A348" s="50" t="inlineStr">
        <is>
          <t>Jayson Romine</t>
        </is>
      </c>
      <c r="B348" s="50" t="inlineStr">
        <is>
          <t>Qualifier</t>
        </is>
      </c>
      <c r="C348" s="50" t="inlineStr">
        <is>
          <t>MolsonCoors Beverage Company</t>
        </is>
      </c>
      <c r="D348" s="50" t="inlineStr">
        <is>
          <t>Coors Light</t>
        </is>
      </c>
      <c r="E348" s="46" t="n">
        <v>15712</v>
      </c>
      <c r="F348" s="46" t="n">
        <v>14238</v>
      </c>
      <c r="G348" s="48" t="n">
        <v>338021.45</v>
      </c>
      <c r="H348" s="48" t="n">
        <v>311681.25</v>
      </c>
      <c r="I348" s="48" t="n">
        <v>88313</v>
      </c>
      <c r="J348" s="48" t="n">
        <v>82387.24000000001</v>
      </c>
    </row>
    <row r="349">
      <c r="A349" s="50" t="inlineStr">
        <is>
          <t>Jayson Romine</t>
        </is>
      </c>
      <c r="B349" s="50" t="inlineStr">
        <is>
          <t>Qualifier</t>
        </is>
      </c>
      <c r="C349" s="50" t="inlineStr">
        <is>
          <t>MolsonCoors Beverage Company</t>
        </is>
      </c>
      <c r="D349" s="50" t="inlineStr">
        <is>
          <t>Lite</t>
        </is>
      </c>
      <c r="E349" s="46" t="n">
        <v>20583</v>
      </c>
      <c r="F349" s="46" t="n">
        <v>19920</v>
      </c>
      <c r="G349" s="48" t="n">
        <v>444022.1</v>
      </c>
      <c r="H349" s="48" t="n">
        <v>434883.6</v>
      </c>
      <c r="I349" s="48" t="n">
        <v>103138.37</v>
      </c>
      <c r="J349" s="48" t="n">
        <v>101867.64</v>
      </c>
    </row>
    <row r="350">
      <c r="A350" s="50" t="inlineStr">
        <is>
          <t>Jayson Romine</t>
        </is>
      </c>
      <c r="B350" s="50" t="inlineStr">
        <is>
          <t>Qualifier</t>
        </is>
      </c>
      <c r="C350" s="50" t="inlineStr">
        <is>
          <t>Constellation Brands</t>
        </is>
      </c>
      <c r="D350" s="50" t="inlineStr">
        <is>
          <t>Corona Extra</t>
        </is>
      </c>
      <c r="E350" s="46" t="n">
        <v>10040</v>
      </c>
      <c r="F350" s="46" t="n">
        <v>9645</v>
      </c>
      <c r="G350" s="48" t="n">
        <v>319411.45</v>
      </c>
      <c r="H350" s="48" t="n">
        <v>308579.35</v>
      </c>
      <c r="I350" s="48" t="n">
        <v>74192.03999999999</v>
      </c>
      <c r="J350" s="48" t="n">
        <v>73654.78999999999</v>
      </c>
    </row>
    <row r="351">
      <c r="A351" s="50" t="inlineStr">
        <is>
          <t>Jayson Romine</t>
        </is>
      </c>
      <c r="B351" s="50" t="inlineStr">
        <is>
          <t>Qualifier</t>
        </is>
      </c>
      <c r="C351" s="50" t="inlineStr">
        <is>
          <t>Constellation Brands</t>
        </is>
      </c>
      <c r="D351" s="50" t="inlineStr">
        <is>
          <t>Modelo Especial</t>
        </is>
      </c>
      <c r="E351" s="46" t="n">
        <v>8734</v>
      </c>
      <c r="F351" s="46" t="n">
        <v>9552</v>
      </c>
      <c r="G351" s="48" t="n">
        <v>263690.15</v>
      </c>
      <c r="H351" s="48" t="n">
        <v>288015.25</v>
      </c>
      <c r="I351" s="48" t="n">
        <v>57717.51</v>
      </c>
      <c r="J351" s="48" t="n">
        <v>65355.73</v>
      </c>
    </row>
    <row r="352">
      <c r="A352" s="50" t="inlineStr">
        <is>
          <t>Jayson Romine</t>
        </is>
      </c>
      <c r="B352" s="50" t="inlineStr">
        <is>
          <t>Qualifier</t>
        </is>
      </c>
      <c r="C352" s="50" t="inlineStr">
        <is>
          <t>Boston Beer Company</t>
        </is>
      </c>
      <c r="D352" s="50" t="inlineStr">
        <is>
          <t>Truly</t>
        </is>
      </c>
      <c r="E352" s="46" t="n">
        <v>1864</v>
      </c>
      <c r="F352" s="46" t="n">
        <v>1506</v>
      </c>
      <c r="G352" s="48" t="n">
        <v>52053.55</v>
      </c>
      <c r="H352" s="48" t="n">
        <v>43267.8</v>
      </c>
      <c r="I352" s="48" t="n">
        <v>10287.13</v>
      </c>
      <c r="J352" s="48" t="n">
        <v>9314.33</v>
      </c>
    </row>
    <row r="353">
      <c r="A353" s="50" t="inlineStr">
        <is>
          <t>Jayson Romine</t>
        </is>
      </c>
      <c r="B353" s="50" t="inlineStr">
        <is>
          <t>Qualifier</t>
        </is>
      </c>
      <c r="C353" s="50" t="inlineStr">
        <is>
          <t>Boston Beer Company</t>
        </is>
      </c>
      <c r="D353" s="50" t="inlineStr">
        <is>
          <t>Twisted Tea</t>
        </is>
      </c>
      <c r="E353" s="46" t="n">
        <v>5858</v>
      </c>
      <c r="F353" s="46" t="n">
        <v>4639</v>
      </c>
      <c r="G353" s="48" t="n">
        <v>170842.5</v>
      </c>
      <c r="H353" s="48" t="n">
        <v>131158.75</v>
      </c>
      <c r="I353" s="48" t="n">
        <v>41426.38</v>
      </c>
      <c r="J353" s="48" t="n">
        <v>28170.89</v>
      </c>
    </row>
    <row r="354">
      <c r="A354" s="50" t="inlineStr">
        <is>
          <t>Jayson Romine</t>
        </is>
      </c>
      <c r="B354" s="50" t="inlineStr">
        <is>
          <t>Qualifier</t>
        </is>
      </c>
      <c r="C354" s="50" t="inlineStr">
        <is>
          <t>Mark Anthony</t>
        </is>
      </c>
      <c r="D354" s="50" t="inlineStr">
        <is>
          <t>White Claw</t>
        </is>
      </c>
      <c r="E354" s="46" t="n">
        <v>11796</v>
      </c>
      <c r="F354" s="46" t="n">
        <v>10001</v>
      </c>
      <c r="G354" s="48" t="n">
        <v>365996.25</v>
      </c>
      <c r="H354" s="48" t="n">
        <v>317118.65</v>
      </c>
      <c r="I354" s="48" t="n">
        <v>73102.11</v>
      </c>
      <c r="J354" s="48" t="n">
        <v>64016.24</v>
      </c>
    </row>
    <row r="355">
      <c r="A355" s="50" t="inlineStr">
        <is>
          <t>Jayson Romine</t>
        </is>
      </c>
      <c r="B355" s="50" t="inlineStr">
        <is>
          <t>Qualifier</t>
        </is>
      </c>
      <c r="C355" s="50" t="inlineStr">
        <is>
          <t>DG Yuengling Inc</t>
        </is>
      </c>
      <c r="D355" s="50" t="inlineStr">
        <is>
          <t>Yuengling Lager</t>
        </is>
      </c>
      <c r="E355" s="46" t="n">
        <v>7208</v>
      </c>
      <c r="F355" s="46" t="n">
        <v>6619</v>
      </c>
      <c r="G355" s="48" t="n">
        <v>157630.25</v>
      </c>
      <c r="H355" s="48" t="n">
        <v>142418.45</v>
      </c>
      <c r="I355" s="48" t="n">
        <v>40975.72</v>
      </c>
      <c r="J355" s="48" t="n">
        <v>35350.05</v>
      </c>
    </row>
    <row r="356">
      <c r="A356" s="50" t="inlineStr">
        <is>
          <t>Jim Heaney</t>
        </is>
      </c>
      <c r="B356" s="50" t="inlineStr">
        <is>
          <t>Amplify</t>
        </is>
      </c>
      <c r="C356" s="50" t="inlineStr">
        <is>
          <t>Cape May</t>
        </is>
      </c>
      <c r="D356" s="50" t="inlineStr">
        <is>
          <t>Cape May</t>
        </is>
      </c>
      <c r="E356" s="46" t="n">
        <v>417</v>
      </c>
      <c r="F356" s="46" t="n">
        <v>428</v>
      </c>
      <c r="G356" s="48" t="n">
        <v>16825.2</v>
      </c>
      <c r="H356" s="48" t="n">
        <v>17143</v>
      </c>
      <c r="I356" s="48" t="n">
        <v>4933.47</v>
      </c>
      <c r="J356" s="48" t="n">
        <v>5144.61</v>
      </c>
    </row>
    <row r="357">
      <c r="A357" s="50" t="inlineStr">
        <is>
          <t>Jim Heaney</t>
        </is>
      </c>
      <c r="B357" s="50" t="inlineStr">
        <is>
          <t>Amplify</t>
        </is>
      </c>
      <c r="C357" s="50" t="inlineStr">
        <is>
          <t>Mark Anthony</t>
        </is>
      </c>
      <c r="D357" s="50" t="inlineStr">
        <is>
          <t>Cayman Jack</t>
        </is>
      </c>
      <c r="E357" s="46" t="n">
        <v>1074</v>
      </c>
      <c r="F357" s="46" t="n">
        <v>1194</v>
      </c>
      <c r="G357" s="48" t="n">
        <v>33787.5</v>
      </c>
      <c r="H357" s="48" t="n">
        <v>38066.75</v>
      </c>
      <c r="I357" s="48" t="n">
        <v>7932.82</v>
      </c>
      <c r="J357" s="48" t="n">
        <v>8951.629999999999</v>
      </c>
    </row>
    <row r="358">
      <c r="A358" s="50" t="inlineStr">
        <is>
          <t>Jim Heaney</t>
        </is>
      </c>
      <c r="B358" s="50" t="inlineStr">
        <is>
          <t>Amplify</t>
        </is>
      </c>
      <c r="C358" s="50" t="inlineStr">
        <is>
          <t>Mark Anthony</t>
        </is>
      </c>
      <c r="D358" s="50" t="inlineStr">
        <is>
          <t>Mike's Harder</t>
        </is>
      </c>
      <c r="E358" s="46" t="n">
        <v>130</v>
      </c>
      <c r="F358" s="46" t="n">
        <v>122</v>
      </c>
      <c r="G358" s="48" t="n">
        <v>3629.5</v>
      </c>
      <c r="H358" s="48" t="n">
        <v>3626</v>
      </c>
      <c r="I358" s="48" t="n">
        <v>800.02</v>
      </c>
      <c r="J358" s="48" t="n">
        <v>786.21</v>
      </c>
    </row>
    <row r="359">
      <c r="A359" s="50" t="inlineStr">
        <is>
          <t>Jim Heaney</t>
        </is>
      </c>
      <c r="B359" s="50" t="inlineStr">
        <is>
          <t>Amplify</t>
        </is>
      </c>
      <c r="C359" s="50" t="inlineStr">
        <is>
          <t>Mark Anthony</t>
        </is>
      </c>
      <c r="D359" s="50" t="inlineStr">
        <is>
          <t>Mxd Cocktails</t>
        </is>
      </c>
      <c r="E359" s="46" t="n">
        <v>5</v>
      </c>
      <c r="F359" s="46" t="n">
        <v>5</v>
      </c>
      <c r="G359" s="48" t="n">
        <v>128</v>
      </c>
      <c r="H359" s="48" t="n">
        <v>128</v>
      </c>
      <c r="I359" s="48" t="n">
        <v>24.04</v>
      </c>
      <c r="J359" s="48" t="n">
        <v>24.04</v>
      </c>
    </row>
    <row r="360">
      <c r="A360" s="50" t="inlineStr">
        <is>
          <t>Jim Heaney</t>
        </is>
      </c>
      <c r="B360" s="50" t="inlineStr">
        <is>
          <t>Amplify</t>
        </is>
      </c>
      <c r="C360" s="50" t="inlineStr">
        <is>
          <t>MolsonCoors Beverage Company</t>
        </is>
      </c>
      <c r="D360" s="50" t="inlineStr">
        <is>
          <t>Coors</t>
        </is>
      </c>
      <c r="E360" s="46" t="n">
        <v>2076</v>
      </c>
      <c r="F360" s="46" t="n">
        <v>1788</v>
      </c>
      <c r="G360" s="48" t="n">
        <v>41673.95</v>
      </c>
      <c r="H360" s="48" t="n">
        <v>37365.1</v>
      </c>
      <c r="I360" s="48" t="n">
        <v>9868.68</v>
      </c>
      <c r="J360" s="48" t="n">
        <v>9001.139999999999</v>
      </c>
    </row>
    <row r="361">
      <c r="A361" s="50" t="inlineStr">
        <is>
          <t>Jim Heaney</t>
        </is>
      </c>
      <c r="B361" s="50" t="inlineStr">
        <is>
          <t>Amplify</t>
        </is>
      </c>
      <c r="C361" s="50" t="inlineStr">
        <is>
          <t>MolsonCoors Beverage Company</t>
        </is>
      </c>
      <c r="D361" s="50" t="inlineStr">
        <is>
          <t>Fever Tree</t>
        </is>
      </c>
      <c r="E361" s="46" t="n">
        <v>41</v>
      </c>
      <c r="F361" s="46" t="n">
        <v>52</v>
      </c>
      <c r="G361" s="48" t="n">
        <v>1734.5</v>
      </c>
      <c r="H361" s="48" t="n">
        <v>2343</v>
      </c>
      <c r="I361" s="48" t="n">
        <v>487.22</v>
      </c>
      <c r="J361" s="48" t="n">
        <v>727.95</v>
      </c>
    </row>
    <row r="362">
      <c r="A362" s="50" t="inlineStr">
        <is>
          <t>Jim Heaney</t>
        </is>
      </c>
      <c r="B362" s="50" t="inlineStr">
        <is>
          <t>Amplify</t>
        </is>
      </c>
      <c r="C362" s="50" t="inlineStr">
        <is>
          <t>MolsonCoors Beverage Company</t>
        </is>
      </c>
      <c r="D362" s="50" t="inlineStr">
        <is>
          <t>Peroni</t>
        </is>
      </c>
      <c r="E362" s="46" t="n">
        <v>1038</v>
      </c>
      <c r="F362" s="46" t="n">
        <v>1001</v>
      </c>
      <c r="G362" s="48" t="n">
        <v>35663.75</v>
      </c>
      <c r="H362" s="48" t="n">
        <v>33878.1</v>
      </c>
      <c r="I362" s="48" t="n">
        <v>7176.68</v>
      </c>
      <c r="J362" s="48" t="n">
        <v>6778.61</v>
      </c>
    </row>
    <row r="363">
      <c r="A363" s="50" t="inlineStr">
        <is>
          <t>Jim Heaney</t>
        </is>
      </c>
      <c r="B363" s="50" t="inlineStr">
        <is>
          <t>Amplify</t>
        </is>
      </c>
      <c r="C363" s="50" t="inlineStr">
        <is>
          <t>Boston Beer Company</t>
        </is>
      </c>
      <c r="D363" s="50" t="inlineStr">
        <is>
          <t>Dogfish Head Beer</t>
        </is>
      </c>
      <c r="E363" s="46" t="n">
        <v>318</v>
      </c>
      <c r="F363" s="46" t="n">
        <v>319</v>
      </c>
      <c r="G363" s="48" t="n">
        <v>11942.3</v>
      </c>
      <c r="H363" s="48" t="n">
        <v>11244.5</v>
      </c>
      <c r="I363" s="48" t="n">
        <v>3133.36</v>
      </c>
      <c r="J363" s="48" t="n">
        <v>2838.19</v>
      </c>
    </row>
    <row r="364">
      <c r="A364" s="50" t="inlineStr">
        <is>
          <t>Jim Heaney</t>
        </is>
      </c>
      <c r="B364" s="50" t="inlineStr">
        <is>
          <t>Amplify</t>
        </is>
      </c>
      <c r="C364" s="50" t="inlineStr">
        <is>
          <t>Boston Beer Company</t>
        </is>
      </c>
      <c r="D364" s="50" t="inlineStr">
        <is>
          <t>Dogfish Head Spirits</t>
        </is>
      </c>
      <c r="E364" s="46" t="n">
        <v>103</v>
      </c>
      <c r="F364" s="46" t="n">
        <v>92</v>
      </c>
      <c r="G364" s="48" t="n">
        <v>5212</v>
      </c>
      <c r="H364" s="48" t="n">
        <v>4242</v>
      </c>
      <c r="I364" s="48" t="n">
        <v>1945.44</v>
      </c>
      <c r="J364" s="48" t="n">
        <v>1375.51</v>
      </c>
    </row>
    <row r="365">
      <c r="A365" s="50" t="inlineStr">
        <is>
          <t>Jim Heaney</t>
        </is>
      </c>
      <c r="B365" s="50" t="inlineStr">
        <is>
          <t>Amplify</t>
        </is>
      </c>
      <c r="C365" s="50" t="inlineStr">
        <is>
          <t>Heineken USA</t>
        </is>
      </c>
      <c r="D365" s="50" t="inlineStr">
        <is>
          <t>Heineken 0.0</t>
        </is>
      </c>
      <c r="E365" s="46" t="n">
        <v>454</v>
      </c>
      <c r="F365" s="46" t="n">
        <v>493</v>
      </c>
      <c r="G365" s="48" t="n">
        <v>15288.05</v>
      </c>
      <c r="H365" s="48" t="n">
        <v>16561.55</v>
      </c>
      <c r="I365" s="48" t="n">
        <v>4055.69</v>
      </c>
      <c r="J365" s="48" t="n">
        <v>4358.55</v>
      </c>
    </row>
    <row r="366">
      <c r="A366" s="50" t="inlineStr">
        <is>
          <t>Jim Heaney</t>
        </is>
      </c>
      <c r="B366" s="50" t="inlineStr">
        <is>
          <t>Amplify</t>
        </is>
      </c>
      <c r="C366" s="50" t="inlineStr">
        <is>
          <t>Heineken USA</t>
        </is>
      </c>
      <c r="D366" s="50" t="inlineStr">
        <is>
          <t>Heineken Light</t>
        </is>
      </c>
      <c r="E366" s="46" t="n">
        <v>750</v>
      </c>
      <c r="F366" s="46" t="n">
        <v>549</v>
      </c>
      <c r="G366" s="48" t="n">
        <v>23539</v>
      </c>
      <c r="H366" s="48" t="n">
        <v>17088.3</v>
      </c>
      <c r="I366" s="48" t="n">
        <v>5710.24</v>
      </c>
      <c r="J366" s="48" t="n">
        <v>4037.55</v>
      </c>
    </row>
    <row r="367">
      <c r="A367" s="50" t="inlineStr">
        <is>
          <t>Jim Heaney</t>
        </is>
      </c>
      <c r="B367" s="50" t="inlineStr">
        <is>
          <t>Amplify</t>
        </is>
      </c>
      <c r="C367" s="50" t="inlineStr">
        <is>
          <t>Constellation Brands</t>
        </is>
      </c>
      <c r="D367" s="50" t="inlineStr">
        <is>
          <t>Corona Premier</t>
        </is>
      </c>
      <c r="E367" s="46" t="n">
        <v>810</v>
      </c>
      <c r="F367" s="46" t="n">
        <v>760</v>
      </c>
      <c r="G367" s="48" t="n">
        <v>25376.15</v>
      </c>
      <c r="H367" s="48" t="n">
        <v>20635.65</v>
      </c>
      <c r="I367" s="48" t="n">
        <v>5211.62</v>
      </c>
      <c r="J367" s="48" t="n">
        <v>5167.39</v>
      </c>
    </row>
    <row r="368">
      <c r="A368" s="50" t="inlineStr">
        <is>
          <t>Jim Heaney</t>
        </is>
      </c>
      <c r="B368" s="50" t="inlineStr">
        <is>
          <t>Amplify</t>
        </is>
      </c>
      <c r="C368" s="50" t="inlineStr">
        <is>
          <t>Constellation Brands</t>
        </is>
      </c>
      <c r="D368" s="50" t="inlineStr">
        <is>
          <t>Modelo Chelada</t>
        </is>
      </c>
      <c r="E368" s="46" t="n">
        <v>1923</v>
      </c>
      <c r="F368" s="46" t="n">
        <v>2428</v>
      </c>
      <c r="G368" s="48" t="n">
        <v>59507.75</v>
      </c>
      <c r="H368" s="48" t="n">
        <v>74499.14999999999</v>
      </c>
      <c r="I368" s="48" t="n">
        <v>15021.46</v>
      </c>
      <c r="J368" s="48" t="n">
        <v>18469.76</v>
      </c>
    </row>
    <row r="369">
      <c r="A369" s="50" t="inlineStr">
        <is>
          <t>Jim Heaney</t>
        </is>
      </c>
      <c r="B369" s="50" t="inlineStr">
        <is>
          <t>Amplify</t>
        </is>
      </c>
      <c r="C369" s="50" t="inlineStr">
        <is>
          <t>Constellation Brands</t>
        </is>
      </c>
      <c r="D369" s="50" t="inlineStr">
        <is>
          <t>Pacifico</t>
        </is>
      </c>
      <c r="E369" s="46" t="n">
        <v>853</v>
      </c>
      <c r="F369" s="46" t="n">
        <v>993</v>
      </c>
      <c r="G369" s="48" t="n">
        <v>26376.2</v>
      </c>
      <c r="H369" s="48" t="n">
        <v>30736.35</v>
      </c>
      <c r="I369" s="48" t="n">
        <v>6067.22</v>
      </c>
      <c r="J369" s="48" t="n">
        <v>7084.74</v>
      </c>
    </row>
    <row r="370">
      <c r="A370" s="50" t="inlineStr">
        <is>
          <t>Jim Heaney</t>
        </is>
      </c>
      <c r="B370" s="50" t="inlineStr">
        <is>
          <t>Amplify</t>
        </is>
      </c>
      <c r="C370" s="50" t="inlineStr">
        <is>
          <t>Constellation Brands</t>
        </is>
      </c>
      <c r="D370" s="50" t="inlineStr">
        <is>
          <t>Victoria</t>
        </is>
      </c>
      <c r="E370" s="46" t="n">
        <v>1464</v>
      </c>
      <c r="F370" s="46" t="n">
        <v>1787</v>
      </c>
      <c r="G370" s="48" t="n">
        <v>44181.5</v>
      </c>
      <c r="H370" s="48" t="n">
        <v>54234.1</v>
      </c>
      <c r="I370" s="48" t="n">
        <v>10607.8</v>
      </c>
      <c r="J370" s="48" t="n">
        <v>13013.88</v>
      </c>
    </row>
    <row r="371">
      <c r="A371" s="50" t="inlineStr">
        <is>
          <t>Jim Heaney</t>
        </is>
      </c>
      <c r="B371" s="50" t="inlineStr">
        <is>
          <t>Amplify</t>
        </is>
      </c>
      <c r="C371" s="50" t="inlineStr">
        <is>
          <t>Sapporo</t>
        </is>
      </c>
      <c r="D371" s="50" t="inlineStr">
        <is>
          <t>Sapporo</t>
        </is>
      </c>
      <c r="E371" s="46" t="n">
        <v>409</v>
      </c>
      <c r="F371" s="46" t="n">
        <v>532</v>
      </c>
      <c r="G371" s="48" t="n">
        <v>12697.25</v>
      </c>
      <c r="H371" s="48" t="n">
        <v>15931.75</v>
      </c>
      <c r="I371" s="48" t="n">
        <v>3352.46</v>
      </c>
      <c r="J371" s="48" t="n">
        <v>4210.16</v>
      </c>
    </row>
    <row r="372">
      <c r="A372" s="50" t="inlineStr">
        <is>
          <t>Jim Heaney</t>
        </is>
      </c>
      <c r="B372" s="50" t="inlineStr">
        <is>
          <t>Amplify</t>
        </is>
      </c>
      <c r="C372" s="50" t="inlineStr">
        <is>
          <t>Bell's</t>
        </is>
      </c>
      <c r="D372" s="50" t="inlineStr">
        <is>
          <t>Bell's</t>
        </is>
      </c>
      <c r="E372" s="46" t="n">
        <v>22</v>
      </c>
      <c r="F372" s="46" t="n">
        <v>7</v>
      </c>
      <c r="G372" s="48" t="n">
        <v>786.95</v>
      </c>
      <c r="H372" s="48" t="n">
        <v>272.7</v>
      </c>
      <c r="I372" s="48" t="n">
        <v>261.27</v>
      </c>
      <c r="J372" s="48" t="n">
        <v>101.48</v>
      </c>
    </row>
    <row r="373">
      <c r="A373" s="50" t="inlineStr">
        <is>
          <t>Jim Heaney</t>
        </is>
      </c>
      <c r="B373" s="50" t="inlineStr">
        <is>
          <t>Amplify</t>
        </is>
      </c>
      <c r="C373" s="50" t="inlineStr">
        <is>
          <t>New Belgium Brewing Company</t>
        </is>
      </c>
      <c r="D373" s="50" t="inlineStr">
        <is>
          <t>Fat Tire Family</t>
        </is>
      </c>
      <c r="E373" s="46" t="n">
        <v>66</v>
      </c>
      <c r="F373" s="46" t="n">
        <v>56</v>
      </c>
      <c r="G373" s="48" t="n">
        <v>2210</v>
      </c>
      <c r="H373" s="48" t="n">
        <v>1753.1</v>
      </c>
      <c r="I373" s="48" t="n">
        <v>494</v>
      </c>
      <c r="J373" s="48" t="n">
        <v>395.02</v>
      </c>
    </row>
    <row r="374">
      <c r="A374" s="50" t="inlineStr">
        <is>
          <t>Jim Heaney</t>
        </is>
      </c>
      <c r="B374" s="50" t="inlineStr">
        <is>
          <t>Amplify</t>
        </is>
      </c>
      <c r="C374" s="50" t="inlineStr">
        <is>
          <t>New Belgium Brewing Company</t>
        </is>
      </c>
      <c r="D374" s="50" t="inlineStr">
        <is>
          <t>Kirin Ichiban</t>
        </is>
      </c>
      <c r="E374" s="46" t="n">
        <v>17</v>
      </c>
      <c r="F374" s="46" t="n">
        <v>18</v>
      </c>
      <c r="G374" s="48" t="n">
        <v>567</v>
      </c>
      <c r="H374" s="48" t="n">
        <v>541.1</v>
      </c>
      <c r="I374" s="48" t="n">
        <v>155.94</v>
      </c>
      <c r="J374" s="48" t="n">
        <v>137.78</v>
      </c>
    </row>
    <row r="375">
      <c r="A375" s="50" t="inlineStr">
        <is>
          <t>Jim Heaney</t>
        </is>
      </c>
      <c r="B375" s="50" t="inlineStr">
        <is>
          <t>Amplify</t>
        </is>
      </c>
      <c r="C375" s="50" t="inlineStr">
        <is>
          <t>New Belgium Brewing Company</t>
        </is>
      </c>
      <c r="D375" s="50" t="inlineStr">
        <is>
          <t>Voodoo Family</t>
        </is>
      </c>
      <c r="E375" s="46" t="n">
        <v>653</v>
      </c>
      <c r="F375" s="46" t="n">
        <v>765</v>
      </c>
      <c r="G375" s="48" t="n">
        <v>23594.5</v>
      </c>
      <c r="H375" s="48" t="n">
        <v>27634.3</v>
      </c>
      <c r="I375" s="48" t="n">
        <v>5950.44</v>
      </c>
      <c r="J375" s="48" t="n">
        <v>7224.43</v>
      </c>
    </row>
    <row r="376">
      <c r="A376" s="50" t="inlineStr">
        <is>
          <t>Jim Heaney</t>
        </is>
      </c>
      <c r="B376" s="50" t="inlineStr">
        <is>
          <t>Amplify</t>
        </is>
      </c>
      <c r="C376" s="50" t="inlineStr">
        <is>
          <t>DG Yuengling Inc</t>
        </is>
      </c>
      <c r="D376" s="50" t="inlineStr">
        <is>
          <t>Yuengling Flight</t>
        </is>
      </c>
      <c r="E376" s="46" t="n">
        <v>58</v>
      </c>
      <c r="F376" s="46" t="n">
        <v>51</v>
      </c>
      <c r="G376" s="48" t="n">
        <v>1400.25</v>
      </c>
      <c r="H376" s="48" t="n">
        <v>1097.7</v>
      </c>
      <c r="I376" s="48" t="n">
        <v>395.2</v>
      </c>
      <c r="J376" s="48" t="n">
        <v>282.24</v>
      </c>
    </row>
    <row r="377">
      <c r="A377" s="50" t="inlineStr">
        <is>
          <t>Jim Heaney</t>
        </is>
      </c>
      <c r="B377" s="50" t="inlineStr">
        <is>
          <t>Amplify</t>
        </is>
      </c>
      <c r="C377" s="50" t="inlineStr">
        <is>
          <t>DG Yuengling Inc</t>
        </is>
      </c>
      <c r="D377" s="50" t="inlineStr">
        <is>
          <t>Yuengling Light Lager</t>
        </is>
      </c>
      <c r="E377" s="46" t="n">
        <v>98</v>
      </c>
      <c r="F377" s="46" t="n">
        <v>67</v>
      </c>
      <c r="G377" s="48" t="n">
        <v>2223.8</v>
      </c>
      <c r="H377" s="48" t="n">
        <v>1587.7</v>
      </c>
      <c r="I377" s="48" t="n">
        <v>576.26</v>
      </c>
      <c r="J377" s="48" t="n">
        <v>426.1</v>
      </c>
    </row>
    <row r="378">
      <c r="A378" s="50" t="inlineStr">
        <is>
          <t>Jim Heaney</t>
        </is>
      </c>
      <c r="B378" s="50" t="inlineStr">
        <is>
          <t>Qualifier</t>
        </is>
      </c>
      <c r="C378" s="50" t="inlineStr">
        <is>
          <t>MolsonCoors Beverage Company</t>
        </is>
      </c>
      <c r="D378" s="50" t="inlineStr">
        <is>
          <t>Blue Moon</t>
        </is>
      </c>
      <c r="E378" s="46" t="n">
        <v>1433</v>
      </c>
      <c r="F378" s="46" t="n">
        <v>1289</v>
      </c>
      <c r="G378" s="48" t="n">
        <v>45737.5</v>
      </c>
      <c r="H378" s="48" t="n">
        <v>41441.2</v>
      </c>
      <c r="I378" s="48" t="n">
        <v>9726.99</v>
      </c>
      <c r="J378" s="48" t="n">
        <v>9077.709999999999</v>
      </c>
    </row>
    <row r="379">
      <c r="A379" s="50" t="inlineStr">
        <is>
          <t>Jim Heaney</t>
        </is>
      </c>
      <c r="B379" s="50" t="inlineStr">
        <is>
          <t>Qualifier</t>
        </is>
      </c>
      <c r="C379" s="50" t="inlineStr">
        <is>
          <t>MolsonCoors Beverage Company</t>
        </is>
      </c>
      <c r="D379" s="50" t="inlineStr">
        <is>
          <t>Coors Light</t>
        </is>
      </c>
      <c r="E379" s="46" t="n">
        <v>13808</v>
      </c>
      <c r="F379" s="46" t="n">
        <v>11213</v>
      </c>
      <c r="G379" s="48" t="n">
        <v>277171.55</v>
      </c>
      <c r="H379" s="48" t="n">
        <v>229369.75</v>
      </c>
      <c r="I379" s="48" t="n">
        <v>64965.79</v>
      </c>
      <c r="J379" s="48" t="n">
        <v>54925.65</v>
      </c>
    </row>
    <row r="380">
      <c r="A380" s="50" t="inlineStr">
        <is>
          <t>Jim Heaney</t>
        </is>
      </c>
      <c r="B380" s="50" t="inlineStr">
        <is>
          <t>Qualifier</t>
        </is>
      </c>
      <c r="C380" s="50" t="inlineStr">
        <is>
          <t>MolsonCoors Beverage Company</t>
        </is>
      </c>
      <c r="D380" s="50" t="inlineStr">
        <is>
          <t>Lite</t>
        </is>
      </c>
      <c r="E380" s="46" t="n">
        <v>7105</v>
      </c>
      <c r="F380" s="46" t="n">
        <v>5563</v>
      </c>
      <c r="G380" s="48" t="n">
        <v>151211.5</v>
      </c>
      <c r="H380" s="48" t="n">
        <v>120782.4</v>
      </c>
      <c r="I380" s="48" t="n">
        <v>34695.38</v>
      </c>
      <c r="J380" s="48" t="n">
        <v>28248.94</v>
      </c>
    </row>
    <row r="381">
      <c r="A381" s="50" t="inlineStr">
        <is>
          <t>Jim Heaney</t>
        </is>
      </c>
      <c r="B381" s="50" t="inlineStr">
        <is>
          <t>Qualifier</t>
        </is>
      </c>
      <c r="C381" s="50" t="inlineStr">
        <is>
          <t>Heineken USA</t>
        </is>
      </c>
      <c r="D381" s="50" t="inlineStr">
        <is>
          <t>Heineken USA</t>
        </is>
      </c>
      <c r="E381" s="46" t="n">
        <v>8243</v>
      </c>
      <c r="F381" s="46" t="n">
        <v>7020</v>
      </c>
      <c r="G381" s="48" t="n">
        <v>254827.75</v>
      </c>
      <c r="H381" s="48" t="n">
        <v>213696.95</v>
      </c>
      <c r="I381" s="48" t="n">
        <v>60019.76</v>
      </c>
      <c r="J381" s="48" t="n">
        <v>48344.67</v>
      </c>
    </row>
    <row r="382">
      <c r="A382" s="50" t="inlineStr">
        <is>
          <t>Jim Heaney</t>
        </is>
      </c>
      <c r="B382" s="50" t="inlineStr">
        <is>
          <t>Qualifier</t>
        </is>
      </c>
      <c r="C382" s="50" t="inlineStr">
        <is>
          <t>Constellation Brands</t>
        </is>
      </c>
      <c r="D382" s="50" t="inlineStr">
        <is>
          <t>Corona Extra</t>
        </is>
      </c>
      <c r="E382" s="46" t="n">
        <v>20142</v>
      </c>
      <c r="F382" s="46" t="n">
        <v>18481</v>
      </c>
      <c r="G382" s="48" t="n">
        <v>652810.75</v>
      </c>
      <c r="H382" s="48" t="n">
        <v>602768.45</v>
      </c>
      <c r="I382" s="48" t="n">
        <v>154236.47</v>
      </c>
      <c r="J382" s="48" t="n">
        <v>145781.64</v>
      </c>
    </row>
    <row r="383">
      <c r="A383" s="50" t="inlineStr">
        <is>
          <t>Jim Heaney</t>
        </is>
      </c>
      <c r="B383" s="50" t="inlineStr">
        <is>
          <t>Qualifier</t>
        </is>
      </c>
      <c r="C383" s="50" t="inlineStr">
        <is>
          <t>Constellation Brands</t>
        </is>
      </c>
      <c r="D383" s="50" t="inlineStr">
        <is>
          <t>Modelo Especial</t>
        </is>
      </c>
      <c r="E383" s="46" t="n">
        <v>19039</v>
      </c>
      <c r="F383" s="46" t="n">
        <v>19486</v>
      </c>
      <c r="G383" s="48" t="n">
        <v>586398.35</v>
      </c>
      <c r="H383" s="48" t="n">
        <v>599309.5</v>
      </c>
      <c r="I383" s="48" t="n">
        <v>131010.95</v>
      </c>
      <c r="J383" s="48" t="n">
        <v>139157.39</v>
      </c>
    </row>
    <row r="384">
      <c r="A384" s="50" t="inlineStr">
        <is>
          <t>Jim Heaney</t>
        </is>
      </c>
      <c r="B384" s="50" t="inlineStr">
        <is>
          <t>Qualifier</t>
        </is>
      </c>
      <c r="C384" s="50" t="inlineStr">
        <is>
          <t>Boston Beer Company</t>
        </is>
      </c>
      <c r="D384" s="50" t="inlineStr">
        <is>
          <t>Truly</t>
        </is>
      </c>
      <c r="E384" s="46" t="n">
        <v>662</v>
      </c>
      <c r="F384" s="46" t="n">
        <v>541</v>
      </c>
      <c r="G384" s="48" t="n">
        <v>19046.4</v>
      </c>
      <c r="H384" s="48" t="n">
        <v>15641</v>
      </c>
      <c r="I384" s="48" t="n">
        <v>4134.31</v>
      </c>
      <c r="J384" s="48" t="n">
        <v>3508.39</v>
      </c>
    </row>
    <row r="385">
      <c r="A385" s="50" t="inlineStr">
        <is>
          <t>Jim Heaney</t>
        </is>
      </c>
      <c r="B385" s="50" t="inlineStr">
        <is>
          <t>Qualifier</t>
        </is>
      </c>
      <c r="C385" s="50" t="inlineStr">
        <is>
          <t>Boston Beer Company</t>
        </is>
      </c>
      <c r="D385" s="50" t="inlineStr">
        <is>
          <t>Twisted Tea</t>
        </is>
      </c>
      <c r="E385" s="46" t="n">
        <v>2387</v>
      </c>
      <c r="F385" s="46" t="n">
        <v>1835</v>
      </c>
      <c r="G385" s="48" t="n">
        <v>69949.05</v>
      </c>
      <c r="H385" s="48" t="n">
        <v>54898.5</v>
      </c>
      <c r="I385" s="48" t="n">
        <v>17648.83</v>
      </c>
      <c r="J385" s="48" t="n">
        <v>13931.62</v>
      </c>
    </row>
    <row r="386">
      <c r="A386" s="50" t="inlineStr">
        <is>
          <t>Jim Heaney</t>
        </is>
      </c>
      <c r="B386" s="50" t="inlineStr">
        <is>
          <t>Qualifier</t>
        </is>
      </c>
      <c r="C386" s="50" t="inlineStr">
        <is>
          <t>Mark Anthony</t>
        </is>
      </c>
      <c r="D386" s="50" t="inlineStr">
        <is>
          <t>White Claw</t>
        </is>
      </c>
      <c r="E386" s="46" t="n">
        <v>5194</v>
      </c>
      <c r="F386" s="46" t="n">
        <v>4667</v>
      </c>
      <c r="G386" s="48" t="n">
        <v>166899.25</v>
      </c>
      <c r="H386" s="48" t="n">
        <v>154128.05</v>
      </c>
      <c r="I386" s="48" t="n">
        <v>36403.4</v>
      </c>
      <c r="J386" s="48" t="n">
        <v>33430.01</v>
      </c>
    </row>
    <row r="387">
      <c r="A387" s="50" t="inlineStr">
        <is>
          <t>Jim Heaney</t>
        </is>
      </c>
      <c r="B387" s="50" t="inlineStr">
        <is>
          <t>Qualifier</t>
        </is>
      </c>
      <c r="C387" s="50" t="inlineStr">
        <is>
          <t>DG Yuengling Inc</t>
        </is>
      </c>
      <c r="D387" s="50" t="inlineStr">
        <is>
          <t>Yuengling Lager</t>
        </is>
      </c>
      <c r="E387" s="46" t="n">
        <v>2077</v>
      </c>
      <c r="F387" s="46" t="n">
        <v>1773</v>
      </c>
      <c r="G387" s="48" t="n">
        <v>45276.3</v>
      </c>
      <c r="H387" s="48" t="n">
        <v>37616.3</v>
      </c>
      <c r="I387" s="48" t="n">
        <v>12308.11</v>
      </c>
      <c r="J387" s="48" t="n">
        <v>9965.67</v>
      </c>
    </row>
    <row r="388">
      <c r="A388" s="50" t="inlineStr">
        <is>
          <t>John Neukum</t>
        </is>
      </c>
      <c r="B388" s="50" t="inlineStr">
        <is>
          <t>Amplify</t>
        </is>
      </c>
      <c r="C388" s="50" t="inlineStr">
        <is>
          <t>Mark Anthony</t>
        </is>
      </c>
      <c r="D388" s="50" t="inlineStr">
        <is>
          <t>Cayman Jack</t>
        </is>
      </c>
      <c r="E388" s="46" t="n">
        <v>943</v>
      </c>
      <c r="F388" s="46" t="n">
        <v>949</v>
      </c>
      <c r="G388" s="48" t="n">
        <v>24604.5</v>
      </c>
      <c r="H388" s="48" t="n">
        <v>24706.5</v>
      </c>
      <c r="I388" s="48" t="n">
        <v>6256.07</v>
      </c>
      <c r="J388" s="48" t="n">
        <v>6217.25</v>
      </c>
    </row>
    <row r="389">
      <c r="A389" s="50" t="inlineStr">
        <is>
          <t>John Neukum</t>
        </is>
      </c>
      <c r="B389" s="50" t="inlineStr">
        <is>
          <t>Amplify</t>
        </is>
      </c>
      <c r="C389" s="50" t="inlineStr">
        <is>
          <t>MolsonCoors Beverage Company</t>
        </is>
      </c>
      <c r="D389" s="50" t="inlineStr">
        <is>
          <t>Coors</t>
        </is>
      </c>
      <c r="E389" s="46" t="n">
        <v>1078</v>
      </c>
      <c r="F389" s="46" t="n">
        <v>1175</v>
      </c>
      <c r="G389" s="48" t="n">
        <v>18218</v>
      </c>
      <c r="H389" s="48" t="n">
        <v>21248.4</v>
      </c>
      <c r="I389" s="48" t="n">
        <v>3198.37</v>
      </c>
      <c r="J389" s="48" t="n">
        <v>4163.33</v>
      </c>
    </row>
    <row r="390">
      <c r="A390" s="50" t="inlineStr">
        <is>
          <t>John Neukum</t>
        </is>
      </c>
      <c r="B390" s="50" t="inlineStr">
        <is>
          <t>Amplify</t>
        </is>
      </c>
      <c r="C390" s="50" t="inlineStr">
        <is>
          <t>MolsonCoors Beverage Company</t>
        </is>
      </c>
      <c r="D390" s="50" t="inlineStr">
        <is>
          <t>Fever Tree</t>
        </is>
      </c>
      <c r="E390" s="46" t="n">
        <v>0</v>
      </c>
      <c r="F390" s="46" t="n">
        <v>39</v>
      </c>
      <c r="G390" s="48" t="n">
        <v>0</v>
      </c>
      <c r="H390" s="48" t="n">
        <v>1800</v>
      </c>
      <c r="I390" s="48" t="n">
        <v>0</v>
      </c>
      <c r="J390" s="48" t="n">
        <v>424.53</v>
      </c>
    </row>
    <row r="391">
      <c r="A391" s="50" t="inlineStr">
        <is>
          <t>John Neukum</t>
        </is>
      </c>
      <c r="B391" s="50" t="inlineStr">
        <is>
          <t>Amplify</t>
        </is>
      </c>
      <c r="C391" s="50" t="inlineStr">
        <is>
          <t>MolsonCoors Beverage Company</t>
        </is>
      </c>
      <c r="D391" s="50" t="inlineStr">
        <is>
          <t>Peroni</t>
        </is>
      </c>
      <c r="E391" s="46" t="n">
        <v>1604</v>
      </c>
      <c r="F391" s="46" t="n">
        <v>1457</v>
      </c>
      <c r="G391" s="48" t="n">
        <v>53134</v>
      </c>
      <c r="H391" s="48" t="n">
        <v>46800</v>
      </c>
      <c r="I391" s="48" t="n">
        <v>10604.22</v>
      </c>
      <c r="J391" s="48" t="n">
        <v>8164.75</v>
      </c>
    </row>
    <row r="392">
      <c r="A392" s="50" t="inlineStr">
        <is>
          <t>John Neukum</t>
        </is>
      </c>
      <c r="B392" s="50" t="inlineStr">
        <is>
          <t>Amplify</t>
        </is>
      </c>
      <c r="C392" s="50" t="inlineStr">
        <is>
          <t>Heineken USA</t>
        </is>
      </c>
      <c r="D392" s="50" t="inlineStr">
        <is>
          <t>Heineken 0.0</t>
        </is>
      </c>
      <c r="E392" s="46" t="n">
        <v>375</v>
      </c>
      <c r="F392" s="46" t="n">
        <v>174</v>
      </c>
      <c r="G392" s="48" t="n">
        <v>11687</v>
      </c>
      <c r="H392" s="48" t="n">
        <v>5821</v>
      </c>
      <c r="I392" s="48" t="n">
        <v>2252.74</v>
      </c>
      <c r="J392" s="48" t="n">
        <v>1492.82</v>
      </c>
    </row>
    <row r="393">
      <c r="A393" s="50" t="inlineStr">
        <is>
          <t>John Neukum</t>
        </is>
      </c>
      <c r="B393" s="50" t="inlineStr">
        <is>
          <t>Amplify</t>
        </is>
      </c>
      <c r="C393" s="50" t="inlineStr">
        <is>
          <t>Heineken USA</t>
        </is>
      </c>
      <c r="D393" s="50" t="inlineStr">
        <is>
          <t>Heineken Light</t>
        </is>
      </c>
      <c r="E393" s="46" t="n">
        <v>588</v>
      </c>
      <c r="F393" s="46" t="n">
        <v>756</v>
      </c>
      <c r="G393" s="48" t="n">
        <v>17493</v>
      </c>
      <c r="H393" s="48" t="n">
        <v>22743</v>
      </c>
      <c r="I393" s="48" t="n">
        <v>3528</v>
      </c>
      <c r="J393" s="48" t="n">
        <v>4788</v>
      </c>
    </row>
    <row r="394">
      <c r="A394" s="50" t="inlineStr">
        <is>
          <t>John Neukum</t>
        </is>
      </c>
      <c r="B394" s="50" t="inlineStr">
        <is>
          <t>Amplify</t>
        </is>
      </c>
      <c r="C394" s="50" t="inlineStr">
        <is>
          <t>Constellation Brands</t>
        </is>
      </c>
      <c r="D394" s="50" t="inlineStr">
        <is>
          <t>Corona Premier</t>
        </is>
      </c>
      <c r="E394" s="46" t="n">
        <v>168</v>
      </c>
      <c r="F394" s="46" t="n">
        <v>336</v>
      </c>
      <c r="G394" s="48" t="n">
        <v>4788</v>
      </c>
      <c r="H394" s="48" t="n">
        <v>7980</v>
      </c>
      <c r="I394" s="48" t="n">
        <v>999.6</v>
      </c>
      <c r="J394" s="48" t="n">
        <v>1886.64</v>
      </c>
    </row>
    <row r="395">
      <c r="A395" s="50" t="inlineStr">
        <is>
          <t>John Neukum</t>
        </is>
      </c>
      <c r="B395" s="50" t="inlineStr">
        <is>
          <t>Amplify</t>
        </is>
      </c>
      <c r="C395" s="50" t="inlineStr">
        <is>
          <t>Constellation Brands</t>
        </is>
      </c>
      <c r="D395" s="50" t="inlineStr">
        <is>
          <t>Modelo Chelada</t>
        </is>
      </c>
      <c r="E395" s="46" t="n">
        <v>987</v>
      </c>
      <c r="F395" s="46" t="n">
        <v>2129</v>
      </c>
      <c r="G395" s="48" t="n">
        <v>29874.6</v>
      </c>
      <c r="H395" s="48" t="n">
        <v>64134.6</v>
      </c>
      <c r="I395" s="48" t="n">
        <v>6402.94</v>
      </c>
      <c r="J395" s="48" t="n">
        <v>13127.48</v>
      </c>
    </row>
    <row r="396">
      <c r="A396" s="50" t="inlineStr">
        <is>
          <t>John Neukum</t>
        </is>
      </c>
      <c r="B396" s="50" t="inlineStr">
        <is>
          <t>Amplify</t>
        </is>
      </c>
      <c r="C396" s="50" t="inlineStr">
        <is>
          <t>Constellation Brands</t>
        </is>
      </c>
      <c r="D396" s="50" t="inlineStr">
        <is>
          <t>Pacifico</t>
        </is>
      </c>
      <c r="E396" s="46" t="n">
        <v>567</v>
      </c>
      <c r="F396" s="46" t="n">
        <v>794</v>
      </c>
      <c r="G396" s="48" t="n">
        <v>16159.5</v>
      </c>
      <c r="H396" s="48" t="n">
        <v>22629</v>
      </c>
      <c r="I396" s="48" t="n">
        <v>3231.9</v>
      </c>
      <c r="J396" s="48" t="n">
        <v>4525.8</v>
      </c>
    </row>
    <row r="397">
      <c r="A397" s="50" t="inlineStr">
        <is>
          <t>John Neukum</t>
        </is>
      </c>
      <c r="B397" s="50" t="inlineStr">
        <is>
          <t>Amplify</t>
        </is>
      </c>
      <c r="C397" s="50" t="inlineStr">
        <is>
          <t>Constellation Brands</t>
        </is>
      </c>
      <c r="D397" s="50" t="inlineStr">
        <is>
          <t>Victoria</t>
        </is>
      </c>
      <c r="E397" s="46" t="n">
        <v>2261</v>
      </c>
      <c r="F397" s="46" t="n">
        <v>3527</v>
      </c>
      <c r="G397" s="48" t="n">
        <v>68822.39999999999</v>
      </c>
      <c r="H397" s="48" t="n">
        <v>105046.6</v>
      </c>
      <c r="I397" s="48" t="n">
        <v>14670.33</v>
      </c>
      <c r="J397" s="48" t="n">
        <v>23783.62</v>
      </c>
    </row>
    <row r="398">
      <c r="A398" s="50" t="inlineStr">
        <is>
          <t>John Neukum</t>
        </is>
      </c>
      <c r="B398" s="50" t="inlineStr">
        <is>
          <t>Amplify</t>
        </is>
      </c>
      <c r="C398" s="50" t="inlineStr">
        <is>
          <t>Sapporo</t>
        </is>
      </c>
      <c r="D398" s="50" t="inlineStr">
        <is>
          <t>Sapporo</t>
        </is>
      </c>
      <c r="E398" s="46" t="n">
        <v>3523</v>
      </c>
      <c r="F398" s="46" t="n">
        <v>4495</v>
      </c>
      <c r="G398" s="48" t="n">
        <v>71228.89999999999</v>
      </c>
      <c r="H398" s="48" t="n">
        <v>94844.5</v>
      </c>
      <c r="I398" s="48" t="n">
        <v>19793.1</v>
      </c>
      <c r="J398" s="48" t="n">
        <v>22609.85</v>
      </c>
    </row>
    <row r="399">
      <c r="A399" s="50" t="inlineStr">
        <is>
          <t>John Neukum</t>
        </is>
      </c>
      <c r="B399" s="50" t="inlineStr">
        <is>
          <t>Amplify</t>
        </is>
      </c>
      <c r="C399" s="50" t="inlineStr">
        <is>
          <t>New Belgium Brewing Company</t>
        </is>
      </c>
      <c r="D399" s="50" t="inlineStr">
        <is>
          <t>Voodoo Family</t>
        </is>
      </c>
      <c r="E399" s="46" t="n">
        <v>60</v>
      </c>
      <c r="F399" s="46" t="n">
        <v>40</v>
      </c>
      <c r="G399" s="48" t="n">
        <v>1944</v>
      </c>
      <c r="H399" s="48" t="n">
        <v>1296</v>
      </c>
      <c r="I399" s="48" t="n">
        <v>374.4</v>
      </c>
      <c r="J399" s="48" t="n">
        <v>249.6</v>
      </c>
    </row>
    <row r="400">
      <c r="A400" s="50" t="inlineStr">
        <is>
          <t>John Neukum</t>
        </is>
      </c>
      <c r="B400" s="50" t="inlineStr">
        <is>
          <t>Qualifier</t>
        </is>
      </c>
      <c r="C400" s="50" t="inlineStr">
        <is>
          <t>MolsonCoors Beverage Company</t>
        </is>
      </c>
      <c r="D400" s="50" t="inlineStr">
        <is>
          <t>Blue Moon</t>
        </is>
      </c>
      <c r="E400" s="46" t="n">
        <v>2415</v>
      </c>
      <c r="F400" s="46" t="n">
        <v>1083</v>
      </c>
      <c r="G400" s="48" t="n">
        <v>69166.05</v>
      </c>
      <c r="H400" s="48" t="n">
        <v>33212.6</v>
      </c>
      <c r="I400" s="48" t="n">
        <v>15607.31</v>
      </c>
      <c r="J400" s="48" t="n">
        <v>7046.6</v>
      </c>
    </row>
    <row r="401">
      <c r="A401" s="50" t="inlineStr">
        <is>
          <t>John Neukum</t>
        </is>
      </c>
      <c r="B401" s="50" t="inlineStr">
        <is>
          <t>Qualifier</t>
        </is>
      </c>
      <c r="C401" s="50" t="inlineStr">
        <is>
          <t>MolsonCoors Beverage Company</t>
        </is>
      </c>
      <c r="D401" s="50" t="inlineStr">
        <is>
          <t>Coors Light</t>
        </is>
      </c>
      <c r="E401" s="46" t="n">
        <v>14278</v>
      </c>
      <c r="F401" s="46" t="n">
        <v>12007</v>
      </c>
      <c r="G401" s="48" t="n">
        <v>270784.2</v>
      </c>
      <c r="H401" s="48" t="n">
        <v>236854</v>
      </c>
      <c r="I401" s="48" t="n">
        <v>59084.62</v>
      </c>
      <c r="J401" s="48" t="n">
        <v>55838.84</v>
      </c>
    </row>
    <row r="402">
      <c r="A402" s="50" t="inlineStr">
        <is>
          <t>John Neukum</t>
        </is>
      </c>
      <c r="B402" s="50" t="inlineStr">
        <is>
          <t>Qualifier</t>
        </is>
      </c>
      <c r="C402" s="50" t="inlineStr">
        <is>
          <t>MolsonCoors Beverage Company</t>
        </is>
      </c>
      <c r="D402" s="50" t="inlineStr">
        <is>
          <t>Lite</t>
        </is>
      </c>
      <c r="E402" s="46" t="n">
        <v>4473</v>
      </c>
      <c r="F402" s="46" t="n">
        <v>4462</v>
      </c>
      <c r="G402" s="48" t="n">
        <v>83099.60000000001</v>
      </c>
      <c r="H402" s="48" t="n">
        <v>85799.60000000001</v>
      </c>
      <c r="I402" s="48" t="n">
        <v>17011.54</v>
      </c>
      <c r="J402" s="48" t="n">
        <v>19843.65</v>
      </c>
    </row>
    <row r="403">
      <c r="A403" s="50" t="inlineStr">
        <is>
          <t>John Neukum</t>
        </is>
      </c>
      <c r="B403" s="50" t="inlineStr">
        <is>
          <t>Qualifier</t>
        </is>
      </c>
      <c r="C403" s="50" t="inlineStr">
        <is>
          <t>Heineken USA</t>
        </is>
      </c>
      <c r="D403" s="50" t="inlineStr">
        <is>
          <t>Heineken USA</t>
        </is>
      </c>
      <c r="E403" s="46" t="n">
        <v>16065</v>
      </c>
      <c r="F403" s="46" t="n">
        <v>13057</v>
      </c>
      <c r="G403" s="48" t="n">
        <v>485718.35</v>
      </c>
      <c r="H403" s="48" t="n">
        <v>398489.15</v>
      </c>
      <c r="I403" s="48" t="n">
        <v>97389.22</v>
      </c>
      <c r="J403" s="48" t="n">
        <v>81770.94</v>
      </c>
    </row>
    <row r="404">
      <c r="A404" s="50" t="inlineStr">
        <is>
          <t>John Neukum</t>
        </is>
      </c>
      <c r="B404" s="50" t="inlineStr">
        <is>
          <t>Qualifier</t>
        </is>
      </c>
      <c r="C404" s="50" t="inlineStr">
        <is>
          <t>Constellation Brands</t>
        </is>
      </c>
      <c r="D404" s="50" t="inlineStr">
        <is>
          <t>Corona Extra</t>
        </is>
      </c>
      <c r="E404" s="46" t="n">
        <v>57715</v>
      </c>
      <c r="F404" s="46" t="n">
        <v>52630</v>
      </c>
      <c r="G404" s="48" t="n">
        <v>1832425.25</v>
      </c>
      <c r="H404" s="48" t="n">
        <v>1676405.5</v>
      </c>
      <c r="I404" s="48" t="n">
        <v>402413.6</v>
      </c>
      <c r="J404" s="48" t="n">
        <v>375106.12</v>
      </c>
    </row>
    <row r="405">
      <c r="A405" s="50" t="inlineStr">
        <is>
          <t>John Neukum</t>
        </is>
      </c>
      <c r="B405" s="50" t="inlineStr">
        <is>
          <t>Qualifier</t>
        </is>
      </c>
      <c r="C405" s="50" t="inlineStr">
        <is>
          <t>Constellation Brands</t>
        </is>
      </c>
      <c r="D405" s="50" t="inlineStr">
        <is>
          <t>Modelo Especial</t>
        </is>
      </c>
      <c r="E405" s="46" t="n">
        <v>58570</v>
      </c>
      <c r="F405" s="46" t="n">
        <v>55711</v>
      </c>
      <c r="G405" s="48" t="n">
        <v>1739312.35</v>
      </c>
      <c r="H405" s="48" t="n">
        <v>1655001.4</v>
      </c>
      <c r="I405" s="48" t="n">
        <v>351491.03</v>
      </c>
      <c r="J405" s="48" t="n">
        <v>343959.12</v>
      </c>
    </row>
    <row r="406">
      <c r="A406" s="50" t="inlineStr">
        <is>
          <t>John Neukum</t>
        </is>
      </c>
      <c r="B406" s="50" t="inlineStr">
        <is>
          <t>Qualifier</t>
        </is>
      </c>
      <c r="C406" s="50" t="inlineStr">
        <is>
          <t>Boston Beer Company</t>
        </is>
      </c>
      <c r="D406" s="50" t="inlineStr">
        <is>
          <t>Truly</t>
        </is>
      </c>
      <c r="E406" s="46" t="n">
        <v>800</v>
      </c>
      <c r="F406" s="46" t="n">
        <v>481</v>
      </c>
      <c r="G406" s="48" t="n">
        <v>20585.5</v>
      </c>
      <c r="H406" s="48" t="n">
        <v>11357.5</v>
      </c>
      <c r="I406" s="48" t="n">
        <v>4819.3</v>
      </c>
      <c r="J406" s="48" t="n">
        <v>2353.31</v>
      </c>
    </row>
    <row r="407">
      <c r="A407" s="50" t="inlineStr">
        <is>
          <t>John Neukum</t>
        </is>
      </c>
      <c r="B407" s="50" t="inlineStr">
        <is>
          <t>Qualifier</t>
        </is>
      </c>
      <c r="C407" s="50" t="inlineStr">
        <is>
          <t>Boston Beer Company</t>
        </is>
      </c>
      <c r="D407" s="50" t="inlineStr">
        <is>
          <t>Twisted Tea</t>
        </is>
      </c>
      <c r="E407" s="46" t="n">
        <v>550</v>
      </c>
      <c r="F407" s="46" t="n">
        <v>300</v>
      </c>
      <c r="G407" s="48" t="n">
        <v>14950</v>
      </c>
      <c r="H407" s="48" t="n">
        <v>8100</v>
      </c>
      <c r="I407" s="48" t="n">
        <v>4052.5</v>
      </c>
      <c r="J407" s="48" t="n">
        <v>2226</v>
      </c>
    </row>
    <row r="408">
      <c r="A408" s="50" t="inlineStr">
        <is>
          <t>John Neukum</t>
        </is>
      </c>
      <c r="B408" s="50" t="inlineStr">
        <is>
          <t>Qualifier</t>
        </is>
      </c>
      <c r="C408" s="50" t="inlineStr">
        <is>
          <t>Mark Anthony</t>
        </is>
      </c>
      <c r="D408" s="50" t="inlineStr">
        <is>
          <t>White Claw</t>
        </is>
      </c>
      <c r="E408" s="46" t="n">
        <v>5148</v>
      </c>
      <c r="F408" s="46" t="n">
        <v>3042</v>
      </c>
      <c r="G408" s="48" t="n">
        <v>131476.8</v>
      </c>
      <c r="H408" s="48" t="n">
        <v>77968.8</v>
      </c>
      <c r="I408" s="48" t="n">
        <v>13925.6</v>
      </c>
      <c r="J408" s="48" t="n">
        <v>8380.32</v>
      </c>
    </row>
    <row r="409">
      <c r="A409" s="50" t="inlineStr">
        <is>
          <t>John Neukum</t>
        </is>
      </c>
      <c r="B409" s="50" t="inlineStr">
        <is>
          <t>Qualifier</t>
        </is>
      </c>
      <c r="C409" s="50" t="inlineStr">
        <is>
          <t>DG Yuengling Inc</t>
        </is>
      </c>
      <c r="D409" s="50" t="inlineStr">
        <is>
          <t>Yuengling Lager</t>
        </is>
      </c>
      <c r="E409" s="46" t="n">
        <v>4010</v>
      </c>
      <c r="F409" s="46" t="n">
        <v>3552</v>
      </c>
      <c r="G409" s="48" t="n">
        <v>84210</v>
      </c>
      <c r="H409" s="48" t="n">
        <v>74599</v>
      </c>
      <c r="I409" s="48" t="n">
        <v>19769.16</v>
      </c>
      <c r="J409" s="48" t="n">
        <v>17172.2</v>
      </c>
    </row>
    <row r="410">
      <c r="A410" s="50" t="inlineStr">
        <is>
          <t>John O'Donoghue</t>
        </is>
      </c>
      <c r="B410" s="50" t="inlineStr">
        <is>
          <t>Amplify</t>
        </is>
      </c>
      <c r="C410" s="50" t="inlineStr">
        <is>
          <t>Cape May</t>
        </is>
      </c>
      <c r="D410" s="50" t="inlineStr">
        <is>
          <t>Cape May</t>
        </is>
      </c>
      <c r="E410" s="46" t="n">
        <v>6</v>
      </c>
      <c r="F410" s="46" t="n">
        <v>4</v>
      </c>
      <c r="G410" s="48" t="n">
        <v>267</v>
      </c>
      <c r="H410" s="48" t="n">
        <v>178</v>
      </c>
      <c r="I410" s="48" t="n">
        <v>92.37</v>
      </c>
      <c r="J410" s="48" t="n">
        <v>64.42</v>
      </c>
    </row>
    <row r="411">
      <c r="A411" s="50" t="inlineStr">
        <is>
          <t>John O'Donoghue</t>
        </is>
      </c>
      <c r="B411" s="50" t="inlineStr">
        <is>
          <t>Amplify</t>
        </is>
      </c>
      <c r="C411" s="50" t="inlineStr">
        <is>
          <t>Mark Anthony</t>
        </is>
      </c>
      <c r="D411" s="50" t="inlineStr">
        <is>
          <t>Cayman Jack</t>
        </is>
      </c>
      <c r="E411" s="46" t="n">
        <v>0</v>
      </c>
      <c r="F411" s="46" t="n">
        <v>12</v>
      </c>
      <c r="G411" s="48" t="n">
        <v>0</v>
      </c>
      <c r="H411" s="48" t="n">
        <v>404</v>
      </c>
      <c r="I411" s="48" t="n">
        <v>0</v>
      </c>
      <c r="J411" s="48" t="n">
        <v>99.62</v>
      </c>
    </row>
    <row r="412">
      <c r="A412" s="50" t="inlineStr">
        <is>
          <t>John O'Donoghue</t>
        </is>
      </c>
      <c r="B412" s="50" t="inlineStr">
        <is>
          <t>Amplify</t>
        </is>
      </c>
      <c r="C412" s="50" t="inlineStr">
        <is>
          <t>Mark Anthony</t>
        </is>
      </c>
      <c r="D412" s="50" t="inlineStr">
        <is>
          <t>Mike's Harder</t>
        </is>
      </c>
      <c r="E412" s="46" t="n">
        <v>3</v>
      </c>
      <c r="F412" s="46" t="n">
        <v>8</v>
      </c>
      <c r="G412" s="48" t="n">
        <v>81</v>
      </c>
      <c r="H412" s="48" t="n">
        <v>232</v>
      </c>
      <c r="I412" s="48" t="n">
        <v>17.54</v>
      </c>
      <c r="J412" s="48" t="n">
        <v>48.77</v>
      </c>
    </row>
    <row r="413">
      <c r="A413" s="50" t="inlineStr">
        <is>
          <t>John O'Donoghue</t>
        </is>
      </c>
      <c r="B413" s="50" t="inlineStr">
        <is>
          <t>Amplify</t>
        </is>
      </c>
      <c r="C413" s="50" t="inlineStr">
        <is>
          <t>MolsonCoors Beverage Company</t>
        </is>
      </c>
      <c r="D413" s="50" t="inlineStr">
        <is>
          <t>Coors</t>
        </is>
      </c>
      <c r="E413" s="46" t="n">
        <v>5</v>
      </c>
      <c r="F413" s="46" t="n">
        <v>5</v>
      </c>
      <c r="G413" s="48" t="n">
        <v>125.2</v>
      </c>
      <c r="H413" s="48" t="n">
        <v>103.2</v>
      </c>
      <c r="I413" s="48" t="n">
        <v>37.01</v>
      </c>
      <c r="J413" s="48" t="n">
        <v>28.73</v>
      </c>
    </row>
    <row r="414">
      <c r="A414" s="50" t="inlineStr">
        <is>
          <t>John O'Donoghue</t>
        </is>
      </c>
      <c r="B414" s="50" t="inlineStr">
        <is>
          <t>Amplify</t>
        </is>
      </c>
      <c r="C414" s="50" t="inlineStr">
        <is>
          <t>MolsonCoors Beverage Company</t>
        </is>
      </c>
      <c r="D414" s="50" t="inlineStr">
        <is>
          <t>Fever Tree</t>
        </is>
      </c>
      <c r="E414" s="46" t="n">
        <v>5</v>
      </c>
      <c r="F414" s="46" t="n">
        <v>0</v>
      </c>
      <c r="G414" s="48" t="n">
        <v>268.5</v>
      </c>
      <c r="H414" s="48" t="n">
        <v>0</v>
      </c>
      <c r="I414" s="48" t="n">
        <v>96.98999999999999</v>
      </c>
      <c r="J414" s="48" t="n">
        <v>0</v>
      </c>
    </row>
    <row r="415">
      <c r="A415" s="50" t="inlineStr">
        <is>
          <t>John O'Donoghue</t>
        </is>
      </c>
      <c r="B415" s="50" t="inlineStr">
        <is>
          <t>Amplify</t>
        </is>
      </c>
      <c r="C415" s="50" t="inlineStr">
        <is>
          <t>MolsonCoors Beverage Company</t>
        </is>
      </c>
      <c r="D415" s="50" t="inlineStr">
        <is>
          <t>Peroni</t>
        </is>
      </c>
      <c r="E415" s="46" t="n">
        <v>5</v>
      </c>
      <c r="F415" s="46" t="n">
        <v>9</v>
      </c>
      <c r="G415" s="48" t="n">
        <v>180.5</v>
      </c>
      <c r="H415" s="48" t="n">
        <v>353.5</v>
      </c>
      <c r="I415" s="48" t="n">
        <v>49.73</v>
      </c>
      <c r="J415" s="48" t="n">
        <v>91.95999999999999</v>
      </c>
    </row>
    <row r="416">
      <c r="A416" s="50" t="inlineStr">
        <is>
          <t>John O'Donoghue</t>
        </is>
      </c>
      <c r="B416" s="50" t="inlineStr">
        <is>
          <t>Amplify</t>
        </is>
      </c>
      <c r="C416" s="50" t="inlineStr">
        <is>
          <t>Boston Beer Company</t>
        </is>
      </c>
      <c r="D416" s="50" t="inlineStr">
        <is>
          <t>Dogfish Head Beer</t>
        </is>
      </c>
      <c r="E416" s="46" t="n">
        <v>0</v>
      </c>
      <c r="F416" s="46" t="n">
        <v>10</v>
      </c>
      <c r="G416" s="48" t="n">
        <v>0</v>
      </c>
      <c r="H416" s="48" t="n">
        <v>334.4</v>
      </c>
      <c r="I416" s="48" t="n">
        <v>0</v>
      </c>
      <c r="J416" s="48" t="n">
        <v>80.14</v>
      </c>
    </row>
    <row r="417">
      <c r="A417" s="50" t="inlineStr">
        <is>
          <t>John O'Donoghue</t>
        </is>
      </c>
      <c r="B417" s="50" t="inlineStr">
        <is>
          <t>Amplify</t>
        </is>
      </c>
      <c r="C417" s="50" t="inlineStr">
        <is>
          <t>Heineken USA</t>
        </is>
      </c>
      <c r="D417" s="50" t="inlineStr">
        <is>
          <t>Heineken 0.0</t>
        </is>
      </c>
      <c r="E417" s="46" t="n">
        <v>6</v>
      </c>
      <c r="F417" s="46" t="n">
        <v>3</v>
      </c>
      <c r="G417" s="48" t="n">
        <v>188.1</v>
      </c>
      <c r="H417" s="48" t="n">
        <v>94.05</v>
      </c>
      <c r="I417" s="48" t="n">
        <v>49.92</v>
      </c>
      <c r="J417" s="48" t="n">
        <v>24.96</v>
      </c>
    </row>
    <row r="418">
      <c r="A418" s="50" t="inlineStr">
        <is>
          <t>John O'Donoghue</t>
        </is>
      </c>
      <c r="B418" s="50" t="inlineStr">
        <is>
          <t>Amplify</t>
        </is>
      </c>
      <c r="C418" s="50" t="inlineStr">
        <is>
          <t>Heineken USA</t>
        </is>
      </c>
      <c r="D418" s="50" t="inlineStr">
        <is>
          <t>Heineken Light</t>
        </is>
      </c>
      <c r="E418" s="46" t="n">
        <v>0</v>
      </c>
      <c r="F418" s="46" t="n">
        <v>2</v>
      </c>
      <c r="G418" s="48" t="n">
        <v>0</v>
      </c>
      <c r="H418" s="48" t="n">
        <v>62.7</v>
      </c>
      <c r="I418" s="48" t="n">
        <v>0</v>
      </c>
      <c r="J418" s="48" t="n">
        <v>15.1</v>
      </c>
    </row>
    <row r="419">
      <c r="A419" s="50" t="inlineStr">
        <is>
          <t>John O'Donoghue</t>
        </is>
      </c>
      <c r="B419" s="50" t="inlineStr">
        <is>
          <t>Amplify</t>
        </is>
      </c>
      <c r="C419" s="50" t="inlineStr">
        <is>
          <t>Constellation Brands</t>
        </is>
      </c>
      <c r="D419" s="50" t="inlineStr">
        <is>
          <t>Corona Premier</t>
        </is>
      </c>
      <c r="E419" s="46" t="n">
        <v>0</v>
      </c>
      <c r="F419" s="46" t="n">
        <v>1</v>
      </c>
      <c r="G419" s="48" t="n">
        <v>0</v>
      </c>
      <c r="H419" s="48" t="n">
        <v>28.9</v>
      </c>
      <c r="I419" s="48" t="n">
        <v>0</v>
      </c>
      <c r="J419" s="48" t="n">
        <v>7.99</v>
      </c>
    </row>
    <row r="420">
      <c r="A420" s="50" t="inlineStr">
        <is>
          <t>John O'Donoghue</t>
        </is>
      </c>
      <c r="B420" s="50" t="inlineStr">
        <is>
          <t>Amplify</t>
        </is>
      </c>
      <c r="C420" s="50" t="inlineStr">
        <is>
          <t>Constellation Brands</t>
        </is>
      </c>
      <c r="D420" s="50" t="inlineStr">
        <is>
          <t>Modelo Chelada</t>
        </is>
      </c>
      <c r="E420" s="46" t="n">
        <v>9</v>
      </c>
      <c r="F420" s="46" t="n">
        <v>25</v>
      </c>
      <c r="G420" s="48" t="n">
        <v>285.75</v>
      </c>
      <c r="H420" s="48" t="n">
        <v>786.5</v>
      </c>
      <c r="I420" s="48" t="n">
        <v>81.64</v>
      </c>
      <c r="J420" s="48" t="n">
        <v>218.42</v>
      </c>
    </row>
    <row r="421">
      <c r="A421" s="50" t="inlineStr">
        <is>
          <t>John O'Donoghue</t>
        </is>
      </c>
      <c r="B421" s="50" t="inlineStr">
        <is>
          <t>Amplify</t>
        </is>
      </c>
      <c r="C421" s="50" t="inlineStr">
        <is>
          <t>Constellation Brands</t>
        </is>
      </c>
      <c r="D421" s="50" t="inlineStr">
        <is>
          <t>Pacifico</t>
        </is>
      </c>
      <c r="E421" s="46" t="n">
        <v>1</v>
      </c>
      <c r="F421" s="46" t="n">
        <v>47</v>
      </c>
      <c r="G421" s="48" t="n">
        <v>32.5</v>
      </c>
      <c r="H421" s="48" t="n">
        <v>1383.25</v>
      </c>
      <c r="I421" s="48" t="n">
        <v>8.369999999999999</v>
      </c>
      <c r="J421" s="48" t="n">
        <v>298.28</v>
      </c>
    </row>
    <row r="422">
      <c r="A422" s="50" t="inlineStr">
        <is>
          <t>John O'Donoghue</t>
        </is>
      </c>
      <c r="B422" s="50" t="inlineStr">
        <is>
          <t>Amplify</t>
        </is>
      </c>
      <c r="C422" s="50" t="inlineStr">
        <is>
          <t>Constellation Brands</t>
        </is>
      </c>
      <c r="D422" s="50" t="inlineStr">
        <is>
          <t>Victoria</t>
        </is>
      </c>
      <c r="E422" s="46" t="n">
        <v>1</v>
      </c>
      <c r="F422" s="46" t="n">
        <v>23</v>
      </c>
      <c r="G422" s="48" t="n">
        <v>31.35</v>
      </c>
      <c r="H422" s="48" t="n">
        <v>688.4</v>
      </c>
      <c r="I422" s="48" t="n">
        <v>7.22</v>
      </c>
      <c r="J422" s="48" t="n">
        <v>162.61</v>
      </c>
    </row>
    <row r="423">
      <c r="A423" s="50" t="inlineStr">
        <is>
          <t>John O'Donoghue</t>
        </is>
      </c>
      <c r="B423" s="50" t="inlineStr">
        <is>
          <t>Amplify</t>
        </is>
      </c>
      <c r="C423" s="50" t="inlineStr">
        <is>
          <t>Sapporo</t>
        </is>
      </c>
      <c r="D423" s="50" t="inlineStr">
        <is>
          <t>Sapporo</t>
        </is>
      </c>
      <c r="E423" s="46" t="n">
        <v>1004</v>
      </c>
      <c r="F423" s="46" t="n">
        <v>963</v>
      </c>
      <c r="G423" s="48" t="n">
        <v>29334.25</v>
      </c>
      <c r="H423" s="48" t="n">
        <v>27627.25</v>
      </c>
      <c r="I423" s="48" t="n">
        <v>7479.87</v>
      </c>
      <c r="J423" s="48" t="n">
        <v>7136.36</v>
      </c>
    </row>
    <row r="424">
      <c r="A424" s="50" t="inlineStr">
        <is>
          <t>John O'Donoghue</t>
        </is>
      </c>
      <c r="B424" s="50" t="inlineStr">
        <is>
          <t>Amplify</t>
        </is>
      </c>
      <c r="C424" s="50" t="inlineStr">
        <is>
          <t>New Belgium Brewing Company</t>
        </is>
      </c>
      <c r="D424" s="50" t="inlineStr">
        <is>
          <t>Kirin Ichiban</t>
        </is>
      </c>
      <c r="E424" s="46" t="n">
        <v>1</v>
      </c>
      <c r="F424" s="46" t="n">
        <v>1</v>
      </c>
      <c r="G424" s="48" t="n">
        <v>36</v>
      </c>
      <c r="H424" s="48" t="n">
        <v>36</v>
      </c>
      <c r="I424" s="48" t="n">
        <v>11.82</v>
      </c>
      <c r="J424" s="48" t="n">
        <v>11.82</v>
      </c>
    </row>
    <row r="425">
      <c r="A425" s="50" t="inlineStr">
        <is>
          <t>John O'Donoghue</t>
        </is>
      </c>
      <c r="B425" s="50" t="inlineStr">
        <is>
          <t>Amplify</t>
        </is>
      </c>
      <c r="C425" s="50" t="inlineStr">
        <is>
          <t>New Belgium Brewing Company</t>
        </is>
      </c>
      <c r="D425" s="50" t="inlineStr">
        <is>
          <t>Voodoo Family</t>
        </is>
      </c>
      <c r="E425" s="46" t="n">
        <v>1</v>
      </c>
      <c r="F425" s="46" t="n">
        <v>0</v>
      </c>
      <c r="G425" s="48" t="n">
        <v>41.1</v>
      </c>
      <c r="H425" s="48" t="n">
        <v>0</v>
      </c>
      <c r="I425" s="48" t="n">
        <v>12.9</v>
      </c>
      <c r="J425" s="48" t="n">
        <v>0</v>
      </c>
    </row>
    <row r="426">
      <c r="A426" s="50" t="inlineStr">
        <is>
          <t>John O'Donoghue</t>
        </is>
      </c>
      <c r="B426" s="50" t="inlineStr">
        <is>
          <t>Qualifier</t>
        </is>
      </c>
      <c r="C426" s="50" t="inlineStr">
        <is>
          <t>MolsonCoors Beverage Company</t>
        </is>
      </c>
      <c r="D426" s="50" t="inlineStr">
        <is>
          <t>Blue Moon</t>
        </is>
      </c>
      <c r="E426" s="46" t="n">
        <v>1</v>
      </c>
      <c r="F426" s="46" t="n">
        <v>15</v>
      </c>
      <c r="G426" s="48" t="n">
        <v>37</v>
      </c>
      <c r="H426" s="48" t="n">
        <v>475.75</v>
      </c>
      <c r="I426" s="48" t="n">
        <v>10.98</v>
      </c>
      <c r="J426" s="48" t="n">
        <v>98.42</v>
      </c>
    </row>
    <row r="427">
      <c r="A427" s="50" t="inlineStr">
        <is>
          <t>John O'Donoghue</t>
        </is>
      </c>
      <c r="B427" s="50" t="inlineStr">
        <is>
          <t>Qualifier</t>
        </is>
      </c>
      <c r="C427" s="50" t="inlineStr">
        <is>
          <t>MolsonCoors Beverage Company</t>
        </is>
      </c>
      <c r="D427" s="50" t="inlineStr">
        <is>
          <t>Coors Light</t>
        </is>
      </c>
      <c r="E427" s="46" t="n">
        <v>46</v>
      </c>
      <c r="F427" s="46" t="n">
        <v>57</v>
      </c>
      <c r="G427" s="48" t="n">
        <v>1170.35</v>
      </c>
      <c r="H427" s="48" t="n">
        <v>1333.05</v>
      </c>
      <c r="I427" s="48" t="n">
        <v>360.76</v>
      </c>
      <c r="J427" s="48" t="n">
        <v>397.7</v>
      </c>
    </row>
    <row r="428">
      <c r="A428" s="50" t="inlineStr">
        <is>
          <t>John O'Donoghue</t>
        </is>
      </c>
      <c r="B428" s="50" t="inlineStr">
        <is>
          <t>Qualifier</t>
        </is>
      </c>
      <c r="C428" s="50" t="inlineStr">
        <is>
          <t>MolsonCoors Beverage Company</t>
        </is>
      </c>
      <c r="D428" s="50" t="inlineStr">
        <is>
          <t>Lite</t>
        </is>
      </c>
      <c r="E428" s="46" t="n">
        <v>60</v>
      </c>
      <c r="F428" s="46" t="n">
        <v>40</v>
      </c>
      <c r="G428" s="48" t="n">
        <v>1505.1</v>
      </c>
      <c r="H428" s="48" t="n">
        <v>946.7</v>
      </c>
      <c r="I428" s="48" t="n">
        <v>394.76</v>
      </c>
      <c r="J428" s="48" t="n">
        <v>252.84</v>
      </c>
    </row>
    <row r="429">
      <c r="A429" s="50" t="inlineStr">
        <is>
          <t>John O'Donoghue</t>
        </is>
      </c>
      <c r="B429" s="50" t="inlineStr">
        <is>
          <t>Qualifier</t>
        </is>
      </c>
      <c r="C429" s="50" t="inlineStr">
        <is>
          <t>Heineken USA</t>
        </is>
      </c>
      <c r="D429" s="50" t="inlineStr">
        <is>
          <t>Heineken USA</t>
        </is>
      </c>
      <c r="E429" s="46" t="n">
        <v>26</v>
      </c>
      <c r="F429" s="46" t="n">
        <v>73</v>
      </c>
      <c r="G429" s="48" t="n">
        <v>868</v>
      </c>
      <c r="H429" s="48" t="n">
        <v>2309.25</v>
      </c>
      <c r="I429" s="48" t="n">
        <v>265.1</v>
      </c>
      <c r="J429" s="48" t="n">
        <v>600.17</v>
      </c>
    </row>
    <row r="430">
      <c r="A430" s="50" t="inlineStr">
        <is>
          <t>John O'Donoghue</t>
        </is>
      </c>
      <c r="B430" s="50" t="inlineStr">
        <is>
          <t>Qualifier</t>
        </is>
      </c>
      <c r="C430" s="50" t="inlineStr">
        <is>
          <t>Constellation Brands</t>
        </is>
      </c>
      <c r="D430" s="50" t="inlineStr">
        <is>
          <t>Corona Extra</t>
        </is>
      </c>
      <c r="E430" s="46" t="n">
        <v>98</v>
      </c>
      <c r="F430" s="46" t="n">
        <v>153</v>
      </c>
      <c r="G430" s="48" t="n">
        <v>3320.75</v>
      </c>
      <c r="H430" s="48" t="n">
        <v>5152</v>
      </c>
      <c r="I430" s="48" t="n">
        <v>955.96</v>
      </c>
      <c r="J430" s="48" t="n">
        <v>1467.55</v>
      </c>
    </row>
    <row r="431">
      <c r="A431" s="50" t="inlineStr">
        <is>
          <t>John O'Donoghue</t>
        </is>
      </c>
      <c r="B431" s="50" t="inlineStr">
        <is>
          <t>Qualifier</t>
        </is>
      </c>
      <c r="C431" s="50" t="inlineStr">
        <is>
          <t>Constellation Brands</t>
        </is>
      </c>
      <c r="D431" s="50" t="inlineStr">
        <is>
          <t>Modelo Especial</t>
        </is>
      </c>
      <c r="E431" s="46" t="n">
        <v>136</v>
      </c>
      <c r="F431" s="46" t="n">
        <v>205</v>
      </c>
      <c r="G431" s="48" t="n">
        <v>4301.75</v>
      </c>
      <c r="H431" s="48" t="n">
        <v>6464.85</v>
      </c>
      <c r="I431" s="48" t="n">
        <v>943.4299999999999</v>
      </c>
      <c r="J431" s="48" t="n">
        <v>1650.06</v>
      </c>
    </row>
    <row r="432">
      <c r="A432" s="50" t="inlineStr">
        <is>
          <t>John O'Donoghue</t>
        </is>
      </c>
      <c r="B432" s="50" t="inlineStr">
        <is>
          <t>Qualifier</t>
        </is>
      </c>
      <c r="C432" s="50" t="inlineStr">
        <is>
          <t>Boston Beer Company</t>
        </is>
      </c>
      <c r="D432" s="50" t="inlineStr">
        <is>
          <t>Twisted Tea</t>
        </is>
      </c>
      <c r="E432" s="46" t="n">
        <v>5</v>
      </c>
      <c r="F432" s="46" t="n">
        <v>17</v>
      </c>
      <c r="G432" s="48" t="n">
        <v>150.75</v>
      </c>
      <c r="H432" s="48" t="n">
        <v>499.75</v>
      </c>
      <c r="I432" s="48" t="n">
        <v>41.65</v>
      </c>
      <c r="J432" s="48" t="n">
        <v>129.45</v>
      </c>
    </row>
    <row r="433">
      <c r="A433" s="50" t="inlineStr">
        <is>
          <t>John O'Donoghue</t>
        </is>
      </c>
      <c r="B433" s="50" t="inlineStr">
        <is>
          <t>Qualifier</t>
        </is>
      </c>
      <c r="C433" s="50" t="inlineStr">
        <is>
          <t>Mark Anthony</t>
        </is>
      </c>
      <c r="D433" s="50" t="inlineStr">
        <is>
          <t>White Claw</t>
        </is>
      </c>
      <c r="E433" s="46" t="n">
        <v>16</v>
      </c>
      <c r="F433" s="46" t="n">
        <v>26</v>
      </c>
      <c r="G433" s="48" t="n">
        <v>537.3</v>
      </c>
      <c r="H433" s="48" t="n">
        <v>898.9</v>
      </c>
      <c r="I433" s="48" t="n">
        <v>130.26</v>
      </c>
      <c r="J433" s="48" t="n">
        <v>213.04</v>
      </c>
    </row>
    <row r="434">
      <c r="A434" s="50" t="inlineStr">
        <is>
          <t>John O'Donoghue</t>
        </is>
      </c>
      <c r="B434" s="50" t="inlineStr">
        <is>
          <t>Qualifier</t>
        </is>
      </c>
      <c r="C434" s="50" t="inlineStr">
        <is>
          <t>DG Yuengling Inc</t>
        </is>
      </c>
      <c r="D434" s="50" t="inlineStr">
        <is>
          <t>Yuengling Lager</t>
        </is>
      </c>
      <c r="E434" s="46" t="n">
        <v>11</v>
      </c>
      <c r="F434" s="46" t="n">
        <v>4</v>
      </c>
      <c r="G434" s="48" t="n">
        <v>303.5</v>
      </c>
      <c r="H434" s="48" t="n">
        <v>112</v>
      </c>
      <c r="I434" s="48" t="n">
        <v>93.09</v>
      </c>
      <c r="J434" s="48" t="n">
        <v>35.34</v>
      </c>
    </row>
    <row r="435">
      <c r="A435" s="50" t="inlineStr">
        <is>
          <t>Klejdi Lamo</t>
        </is>
      </c>
      <c r="B435" s="50" t="inlineStr">
        <is>
          <t>Amplify</t>
        </is>
      </c>
      <c r="C435" s="50" t="inlineStr">
        <is>
          <t>Cape May</t>
        </is>
      </c>
      <c r="D435" s="50" t="inlineStr">
        <is>
          <t>Cape May</t>
        </is>
      </c>
      <c r="E435" s="46" t="n">
        <v>1198</v>
      </c>
      <c r="F435" s="46" t="n">
        <v>1315</v>
      </c>
      <c r="G435" s="48" t="n">
        <v>48809.8</v>
      </c>
      <c r="H435" s="48" t="n">
        <v>53039.7</v>
      </c>
      <c r="I435" s="48" t="n">
        <v>14057.88</v>
      </c>
      <c r="J435" s="48" t="n">
        <v>15520.86</v>
      </c>
    </row>
    <row r="436">
      <c r="A436" s="50" t="inlineStr">
        <is>
          <t>Klejdi Lamo</t>
        </is>
      </c>
      <c r="B436" s="50" t="inlineStr">
        <is>
          <t>Amplify</t>
        </is>
      </c>
      <c r="C436" s="50" t="inlineStr">
        <is>
          <t>Mark Anthony</t>
        </is>
      </c>
      <c r="D436" s="50" t="inlineStr">
        <is>
          <t>Cayman Jack</t>
        </is>
      </c>
      <c r="E436" s="46" t="n">
        <v>617</v>
      </c>
      <c r="F436" s="46" t="n">
        <v>695</v>
      </c>
      <c r="G436" s="48" t="n">
        <v>19778</v>
      </c>
      <c r="H436" s="48" t="n">
        <v>22043.5</v>
      </c>
      <c r="I436" s="48" t="n">
        <v>4736.99</v>
      </c>
      <c r="J436" s="48" t="n">
        <v>5149.79</v>
      </c>
    </row>
    <row r="437">
      <c r="A437" s="50" t="inlineStr">
        <is>
          <t>Klejdi Lamo</t>
        </is>
      </c>
      <c r="B437" s="50" t="inlineStr">
        <is>
          <t>Amplify</t>
        </is>
      </c>
      <c r="C437" s="50" t="inlineStr">
        <is>
          <t>Mark Anthony</t>
        </is>
      </c>
      <c r="D437" s="50" t="inlineStr">
        <is>
          <t>Mike's Harder</t>
        </is>
      </c>
      <c r="E437" s="46" t="n">
        <v>462</v>
      </c>
      <c r="F437" s="46" t="n">
        <v>423</v>
      </c>
      <c r="G437" s="48" t="n">
        <v>12953.5</v>
      </c>
      <c r="H437" s="48" t="n">
        <v>12572</v>
      </c>
      <c r="I437" s="48" t="n">
        <v>2825.58</v>
      </c>
      <c r="J437" s="48" t="n">
        <v>2670.53</v>
      </c>
    </row>
    <row r="438">
      <c r="A438" s="50" t="inlineStr">
        <is>
          <t>Klejdi Lamo</t>
        </is>
      </c>
      <c r="B438" s="50" t="inlineStr">
        <is>
          <t>Amplify</t>
        </is>
      </c>
      <c r="C438" s="50" t="inlineStr">
        <is>
          <t>Mark Anthony</t>
        </is>
      </c>
      <c r="D438" s="50" t="inlineStr">
        <is>
          <t>Mxd Cocktails</t>
        </is>
      </c>
      <c r="E438" s="46" t="n">
        <v>0</v>
      </c>
      <c r="F438" s="46" t="n">
        <v>4</v>
      </c>
      <c r="G438" s="48" t="n">
        <v>0</v>
      </c>
      <c r="H438" s="48" t="n">
        <v>128</v>
      </c>
      <c r="I438" s="48" t="n">
        <v>0</v>
      </c>
      <c r="J438" s="48" t="n">
        <v>22.92</v>
      </c>
    </row>
    <row r="439">
      <c r="A439" s="50" t="inlineStr">
        <is>
          <t>Klejdi Lamo</t>
        </is>
      </c>
      <c r="B439" s="50" t="inlineStr">
        <is>
          <t>Amplify</t>
        </is>
      </c>
      <c r="C439" s="50" t="inlineStr">
        <is>
          <t>MolsonCoors Beverage Company</t>
        </is>
      </c>
      <c r="D439" s="50" t="inlineStr">
        <is>
          <t>Coors</t>
        </is>
      </c>
      <c r="E439" s="46" t="n">
        <v>2628</v>
      </c>
      <c r="F439" s="46" t="n">
        <v>2722</v>
      </c>
      <c r="G439" s="48" t="n">
        <v>57241.7</v>
      </c>
      <c r="H439" s="48" t="n">
        <v>62411.45</v>
      </c>
      <c r="I439" s="48" t="n">
        <v>14859.47</v>
      </c>
      <c r="J439" s="48" t="n">
        <v>17050.39</v>
      </c>
    </row>
    <row r="440">
      <c r="A440" s="50" t="inlineStr">
        <is>
          <t>Klejdi Lamo</t>
        </is>
      </c>
      <c r="B440" s="50" t="inlineStr">
        <is>
          <t>Amplify</t>
        </is>
      </c>
      <c r="C440" s="50" t="inlineStr">
        <is>
          <t>MolsonCoors Beverage Company</t>
        </is>
      </c>
      <c r="D440" s="50" t="inlineStr">
        <is>
          <t>Fever Tree</t>
        </is>
      </c>
      <c r="E440" s="46" t="n">
        <v>44</v>
      </c>
      <c r="F440" s="46" t="n">
        <v>82</v>
      </c>
      <c r="G440" s="48" t="n">
        <v>1912.5</v>
      </c>
      <c r="H440" s="48" t="n">
        <v>3677</v>
      </c>
      <c r="I440" s="48" t="n">
        <v>590.84</v>
      </c>
      <c r="J440" s="48" t="n">
        <v>1118.28</v>
      </c>
    </row>
    <row r="441">
      <c r="A441" s="50" t="inlineStr">
        <is>
          <t>Klejdi Lamo</t>
        </is>
      </c>
      <c r="B441" s="50" t="inlineStr">
        <is>
          <t>Amplify</t>
        </is>
      </c>
      <c r="C441" s="50" t="inlineStr">
        <is>
          <t>MolsonCoors Beverage Company</t>
        </is>
      </c>
      <c r="D441" s="50" t="inlineStr">
        <is>
          <t>Peroni</t>
        </is>
      </c>
      <c r="E441" s="46" t="n">
        <v>697</v>
      </c>
      <c r="F441" s="46" t="n">
        <v>692</v>
      </c>
      <c r="G441" s="48" t="n">
        <v>23631.8</v>
      </c>
      <c r="H441" s="48" t="n">
        <v>23317.5</v>
      </c>
      <c r="I441" s="48" t="n">
        <v>4650.41</v>
      </c>
      <c r="J441" s="48" t="n">
        <v>4525.15</v>
      </c>
    </row>
    <row r="442">
      <c r="A442" s="50" t="inlineStr">
        <is>
          <t>Klejdi Lamo</t>
        </is>
      </c>
      <c r="B442" s="50" t="inlineStr">
        <is>
          <t>Amplify</t>
        </is>
      </c>
      <c r="C442" s="50" t="inlineStr">
        <is>
          <t>Boston Beer Company</t>
        </is>
      </c>
      <c r="D442" s="50" t="inlineStr">
        <is>
          <t>Dogfish Head Beer</t>
        </is>
      </c>
      <c r="E442" s="46" t="n">
        <v>1333</v>
      </c>
      <c r="F442" s="46" t="n">
        <v>1470</v>
      </c>
      <c r="G442" s="48" t="n">
        <v>44433.2</v>
      </c>
      <c r="H442" s="48" t="n">
        <v>48598.6</v>
      </c>
      <c r="I442" s="48" t="n">
        <v>10319.39</v>
      </c>
      <c r="J442" s="48" t="n">
        <v>11090.61</v>
      </c>
    </row>
    <row r="443">
      <c r="A443" s="50" t="inlineStr">
        <is>
          <t>Klejdi Lamo</t>
        </is>
      </c>
      <c r="B443" s="50" t="inlineStr">
        <is>
          <t>Amplify</t>
        </is>
      </c>
      <c r="C443" s="50" t="inlineStr">
        <is>
          <t>Boston Beer Company</t>
        </is>
      </c>
      <c r="D443" s="50" t="inlineStr">
        <is>
          <t>Dogfish Head Spirits</t>
        </is>
      </c>
      <c r="E443" s="46" t="n">
        <v>441</v>
      </c>
      <c r="F443" s="46" t="n">
        <v>405</v>
      </c>
      <c r="G443" s="48" t="n">
        <v>22545</v>
      </c>
      <c r="H443" s="48" t="n">
        <v>19390</v>
      </c>
      <c r="I443" s="48" t="n">
        <v>8159.93</v>
      </c>
      <c r="J443" s="48" t="n">
        <v>6321.2</v>
      </c>
    </row>
    <row r="444">
      <c r="A444" s="50" t="inlineStr">
        <is>
          <t>Klejdi Lamo</t>
        </is>
      </c>
      <c r="B444" s="50" t="inlineStr">
        <is>
          <t>Amplify</t>
        </is>
      </c>
      <c r="C444" s="50" t="inlineStr">
        <is>
          <t>Heineken USA</t>
        </is>
      </c>
      <c r="D444" s="50" t="inlineStr">
        <is>
          <t>Heineken 0.0</t>
        </is>
      </c>
      <c r="E444" s="46" t="n">
        <v>15</v>
      </c>
      <c r="F444" s="46" t="n">
        <v>22</v>
      </c>
      <c r="G444" s="48" t="n">
        <v>501.6</v>
      </c>
      <c r="H444" s="48" t="n">
        <v>752.4</v>
      </c>
      <c r="I444" s="48" t="n">
        <v>133.18</v>
      </c>
      <c r="J444" s="48" t="n">
        <v>199.76</v>
      </c>
    </row>
    <row r="445">
      <c r="A445" s="50" t="inlineStr">
        <is>
          <t>Klejdi Lamo</t>
        </is>
      </c>
      <c r="B445" s="50" t="inlineStr">
        <is>
          <t>Amplify</t>
        </is>
      </c>
      <c r="C445" s="50" t="inlineStr">
        <is>
          <t>Heineken USA</t>
        </is>
      </c>
      <c r="D445" s="50" t="inlineStr">
        <is>
          <t>Heineken Light</t>
        </is>
      </c>
      <c r="E445" s="46" t="n">
        <v>15</v>
      </c>
      <c r="F445" s="46" t="n">
        <v>17</v>
      </c>
      <c r="G445" s="48" t="n">
        <v>469.35</v>
      </c>
      <c r="H445" s="48" t="n">
        <v>542.7</v>
      </c>
      <c r="I445" s="48" t="n">
        <v>112.72</v>
      </c>
      <c r="J445" s="48" t="n">
        <v>138.65</v>
      </c>
    </row>
    <row r="446">
      <c r="A446" s="50" t="inlineStr">
        <is>
          <t>Klejdi Lamo</t>
        </is>
      </c>
      <c r="B446" s="50" t="inlineStr">
        <is>
          <t>Amplify</t>
        </is>
      </c>
      <c r="C446" s="50" t="inlineStr">
        <is>
          <t>Constellation Brands</t>
        </is>
      </c>
      <c r="D446" s="50" t="inlineStr">
        <is>
          <t>Corona Premier</t>
        </is>
      </c>
      <c r="E446" s="46" t="n">
        <v>982</v>
      </c>
      <c r="F446" s="46" t="n">
        <v>989</v>
      </c>
      <c r="G446" s="48" t="n">
        <v>30748.15</v>
      </c>
      <c r="H446" s="48" t="n">
        <v>27253.7</v>
      </c>
      <c r="I446" s="48" t="n">
        <v>6808.03</v>
      </c>
      <c r="J446" s="48" t="n">
        <v>6801.79</v>
      </c>
    </row>
    <row r="447">
      <c r="A447" s="50" t="inlineStr">
        <is>
          <t>Klejdi Lamo</t>
        </is>
      </c>
      <c r="B447" s="50" t="inlineStr">
        <is>
          <t>Amplify</t>
        </is>
      </c>
      <c r="C447" s="50" t="inlineStr">
        <is>
          <t>Constellation Brands</t>
        </is>
      </c>
      <c r="D447" s="50" t="inlineStr">
        <is>
          <t>Modelo Chelada</t>
        </is>
      </c>
      <c r="E447" s="46" t="n">
        <v>1919</v>
      </c>
      <c r="F447" s="46" t="n">
        <v>2197</v>
      </c>
      <c r="G447" s="48" t="n">
        <v>59276.9</v>
      </c>
      <c r="H447" s="48" t="n">
        <v>66861.3</v>
      </c>
      <c r="I447" s="48" t="n">
        <v>14753.02</v>
      </c>
      <c r="J447" s="48" t="n">
        <v>16386.96</v>
      </c>
    </row>
    <row r="448">
      <c r="A448" s="50" t="inlineStr">
        <is>
          <t>Klejdi Lamo</t>
        </is>
      </c>
      <c r="B448" s="50" t="inlineStr">
        <is>
          <t>Amplify</t>
        </is>
      </c>
      <c r="C448" s="50" t="inlineStr">
        <is>
          <t>Constellation Brands</t>
        </is>
      </c>
      <c r="D448" s="50" t="inlineStr">
        <is>
          <t>Pacifico</t>
        </is>
      </c>
      <c r="E448" s="46" t="n">
        <v>459</v>
      </c>
      <c r="F448" s="46" t="n">
        <v>516</v>
      </c>
      <c r="G448" s="48" t="n">
        <v>13949.8</v>
      </c>
      <c r="H448" s="48" t="n">
        <v>15833.1</v>
      </c>
      <c r="I448" s="48" t="n">
        <v>3093.77</v>
      </c>
      <c r="J448" s="48" t="n">
        <v>3559.33</v>
      </c>
    </row>
    <row r="449">
      <c r="A449" s="50" t="inlineStr">
        <is>
          <t>Klejdi Lamo</t>
        </is>
      </c>
      <c r="B449" s="50" t="inlineStr">
        <is>
          <t>Amplify</t>
        </is>
      </c>
      <c r="C449" s="50" t="inlineStr">
        <is>
          <t>Constellation Brands</t>
        </is>
      </c>
      <c r="D449" s="50" t="inlineStr">
        <is>
          <t>Victoria</t>
        </is>
      </c>
      <c r="E449" s="46" t="n">
        <v>595</v>
      </c>
      <c r="F449" s="46" t="n">
        <v>799</v>
      </c>
      <c r="G449" s="48" t="n">
        <v>17652.4</v>
      </c>
      <c r="H449" s="48" t="n">
        <v>23791.35</v>
      </c>
      <c r="I449" s="48" t="n">
        <v>4344.1</v>
      </c>
      <c r="J449" s="48" t="n">
        <v>5701.12</v>
      </c>
    </row>
    <row r="450">
      <c r="A450" s="50" t="inlineStr">
        <is>
          <t>Klejdi Lamo</t>
        </is>
      </c>
      <c r="B450" s="50" t="inlineStr">
        <is>
          <t>Amplify</t>
        </is>
      </c>
      <c r="C450" s="50" t="inlineStr">
        <is>
          <t>Sapporo</t>
        </is>
      </c>
      <c r="D450" s="50" t="inlineStr">
        <is>
          <t>Sapporo</t>
        </is>
      </c>
      <c r="E450" s="46" t="n">
        <v>227</v>
      </c>
      <c r="F450" s="46" t="n">
        <v>403</v>
      </c>
      <c r="G450" s="48" t="n">
        <v>5863.25</v>
      </c>
      <c r="H450" s="48" t="n">
        <v>10973.75</v>
      </c>
      <c r="I450" s="48" t="n">
        <v>1542.5</v>
      </c>
      <c r="J450" s="48" t="n">
        <v>2814.48</v>
      </c>
    </row>
    <row r="451">
      <c r="A451" s="50" t="inlineStr">
        <is>
          <t>Klejdi Lamo</t>
        </is>
      </c>
      <c r="B451" s="50" t="inlineStr">
        <is>
          <t>Amplify</t>
        </is>
      </c>
      <c r="C451" s="50" t="inlineStr">
        <is>
          <t>Bell's</t>
        </is>
      </c>
      <c r="D451" s="50" t="inlineStr">
        <is>
          <t>Bell's</t>
        </is>
      </c>
      <c r="E451" s="46" t="n">
        <v>67</v>
      </c>
      <c r="F451" s="46" t="n">
        <v>46</v>
      </c>
      <c r="G451" s="48" t="n">
        <v>2354.05</v>
      </c>
      <c r="H451" s="48" t="n">
        <v>1654.7</v>
      </c>
      <c r="I451" s="48" t="n">
        <v>749.77</v>
      </c>
      <c r="J451" s="48" t="n">
        <v>569.64</v>
      </c>
    </row>
    <row r="452">
      <c r="A452" s="50" t="inlineStr">
        <is>
          <t>Klejdi Lamo</t>
        </is>
      </c>
      <c r="B452" s="50" t="inlineStr">
        <is>
          <t>Amplify</t>
        </is>
      </c>
      <c r="C452" s="50" t="inlineStr">
        <is>
          <t>New Belgium Brewing Company</t>
        </is>
      </c>
      <c r="D452" s="50" t="inlineStr">
        <is>
          <t>Fat Tire Family</t>
        </is>
      </c>
      <c r="E452" s="46" t="n">
        <v>133</v>
      </c>
      <c r="F452" s="46" t="n">
        <v>128</v>
      </c>
      <c r="G452" s="48" t="n">
        <v>4623.25</v>
      </c>
      <c r="H452" s="48" t="n">
        <v>4013.25</v>
      </c>
      <c r="I452" s="48" t="n">
        <v>1030.98</v>
      </c>
      <c r="J452" s="48" t="n">
        <v>873.11</v>
      </c>
    </row>
    <row r="453">
      <c r="A453" s="50" t="inlineStr">
        <is>
          <t>Klejdi Lamo</t>
        </is>
      </c>
      <c r="B453" s="50" t="inlineStr">
        <is>
          <t>Amplify</t>
        </is>
      </c>
      <c r="C453" s="50" t="inlineStr">
        <is>
          <t>New Belgium Brewing Company</t>
        </is>
      </c>
      <c r="D453" s="50" t="inlineStr">
        <is>
          <t>Kirin Ichiban</t>
        </is>
      </c>
      <c r="E453" s="46" t="n">
        <v>22</v>
      </c>
      <c r="F453" s="46" t="n">
        <v>26</v>
      </c>
      <c r="G453" s="48" t="n">
        <v>651</v>
      </c>
      <c r="H453" s="48" t="n">
        <v>714.1</v>
      </c>
      <c r="I453" s="48" t="n">
        <v>150.96</v>
      </c>
      <c r="J453" s="48" t="n">
        <v>194.92</v>
      </c>
    </row>
    <row r="454">
      <c r="A454" s="50" t="inlineStr">
        <is>
          <t>Klejdi Lamo</t>
        </is>
      </c>
      <c r="B454" s="50" t="inlineStr">
        <is>
          <t>Amplify</t>
        </is>
      </c>
      <c r="C454" s="50" t="inlineStr">
        <is>
          <t>New Belgium Brewing Company</t>
        </is>
      </c>
      <c r="D454" s="50" t="inlineStr">
        <is>
          <t>Voodoo Family</t>
        </is>
      </c>
      <c r="E454" s="46" t="n">
        <v>1118</v>
      </c>
      <c r="F454" s="46" t="n">
        <v>1176</v>
      </c>
      <c r="G454" s="48" t="n">
        <v>40254.6</v>
      </c>
      <c r="H454" s="48" t="n">
        <v>42180</v>
      </c>
      <c r="I454" s="48" t="n">
        <v>9985.530000000001</v>
      </c>
      <c r="J454" s="48" t="n">
        <v>10478.76</v>
      </c>
    </row>
    <row r="455">
      <c r="A455" s="50" t="inlineStr">
        <is>
          <t>Klejdi Lamo</t>
        </is>
      </c>
      <c r="B455" s="50" t="inlineStr">
        <is>
          <t>Amplify</t>
        </is>
      </c>
      <c r="C455" s="50" t="inlineStr">
        <is>
          <t>DG Yuengling Inc</t>
        </is>
      </c>
      <c r="D455" s="50" t="inlineStr">
        <is>
          <t>Yuengling Flight</t>
        </is>
      </c>
      <c r="E455" s="46" t="n">
        <v>489</v>
      </c>
      <c r="F455" s="46" t="n">
        <v>444</v>
      </c>
      <c r="G455" s="48" t="n">
        <v>11075.75</v>
      </c>
      <c r="H455" s="48" t="n">
        <v>9875.549999999999</v>
      </c>
      <c r="I455" s="48" t="n">
        <v>2956.61</v>
      </c>
      <c r="J455" s="48" t="n">
        <v>2593.61</v>
      </c>
    </row>
    <row r="456">
      <c r="A456" s="50" t="inlineStr">
        <is>
          <t>Klejdi Lamo</t>
        </is>
      </c>
      <c r="B456" s="50" t="inlineStr">
        <is>
          <t>Amplify</t>
        </is>
      </c>
      <c r="C456" s="50" t="inlineStr">
        <is>
          <t>DG Yuengling Inc</t>
        </is>
      </c>
      <c r="D456" s="50" t="inlineStr">
        <is>
          <t>Yuengling Light Lager</t>
        </is>
      </c>
      <c r="E456" s="46" t="n">
        <v>275</v>
      </c>
      <c r="F456" s="46" t="n">
        <v>326</v>
      </c>
      <c r="G456" s="48" t="n">
        <v>6002.8</v>
      </c>
      <c r="H456" s="48" t="n">
        <v>6938.7</v>
      </c>
      <c r="I456" s="48" t="n">
        <v>1432.13</v>
      </c>
      <c r="J456" s="48" t="n">
        <v>1556.44</v>
      </c>
    </row>
    <row r="457">
      <c r="A457" s="50" t="inlineStr">
        <is>
          <t>Klejdi Lamo</t>
        </is>
      </c>
      <c r="B457" s="50" t="inlineStr">
        <is>
          <t>Qualifier</t>
        </is>
      </c>
      <c r="C457" s="50" t="inlineStr">
        <is>
          <t>MolsonCoors Beverage Company</t>
        </is>
      </c>
      <c r="D457" s="50" t="inlineStr">
        <is>
          <t>Blue Moon</t>
        </is>
      </c>
      <c r="E457" s="46" t="n">
        <v>2210</v>
      </c>
      <c r="F457" s="46" t="n">
        <v>1906</v>
      </c>
      <c r="G457" s="48" t="n">
        <v>70583.60000000001</v>
      </c>
      <c r="H457" s="48" t="n">
        <v>61612.6</v>
      </c>
      <c r="I457" s="48" t="n">
        <v>14913.02</v>
      </c>
      <c r="J457" s="48" t="n">
        <v>13412.24</v>
      </c>
    </row>
    <row r="458">
      <c r="A458" s="50" t="inlineStr">
        <is>
          <t>Klejdi Lamo</t>
        </is>
      </c>
      <c r="B458" s="50" t="inlineStr">
        <is>
          <t>Qualifier</t>
        </is>
      </c>
      <c r="C458" s="50" t="inlineStr">
        <is>
          <t>MolsonCoors Beverage Company</t>
        </is>
      </c>
      <c r="D458" s="50" t="inlineStr">
        <is>
          <t>Coors Light</t>
        </is>
      </c>
      <c r="E458" s="46" t="n">
        <v>12823</v>
      </c>
      <c r="F458" s="46" t="n">
        <v>11983</v>
      </c>
      <c r="G458" s="48" t="n">
        <v>273797.6</v>
      </c>
      <c r="H458" s="48" t="n">
        <v>263486.6</v>
      </c>
      <c r="I458" s="48" t="n">
        <v>70059.72</v>
      </c>
      <c r="J458" s="48" t="n">
        <v>68640.28</v>
      </c>
    </row>
    <row r="459">
      <c r="A459" s="50" t="inlineStr">
        <is>
          <t>Klejdi Lamo</t>
        </is>
      </c>
      <c r="B459" s="50" t="inlineStr">
        <is>
          <t>Qualifier</t>
        </is>
      </c>
      <c r="C459" s="50" t="inlineStr">
        <is>
          <t>MolsonCoors Beverage Company</t>
        </is>
      </c>
      <c r="D459" s="50" t="inlineStr">
        <is>
          <t>Lite</t>
        </is>
      </c>
      <c r="E459" s="46" t="n">
        <v>15185</v>
      </c>
      <c r="F459" s="46" t="n">
        <v>14298</v>
      </c>
      <c r="G459" s="48" t="n">
        <v>327411.7</v>
      </c>
      <c r="H459" s="48" t="n">
        <v>316390.8</v>
      </c>
      <c r="I459" s="48" t="n">
        <v>75594.7</v>
      </c>
      <c r="J459" s="48" t="n">
        <v>74743.28999999999</v>
      </c>
    </row>
    <row r="460">
      <c r="A460" s="50" t="inlineStr">
        <is>
          <t>Klejdi Lamo</t>
        </is>
      </c>
      <c r="B460" s="50" t="inlineStr">
        <is>
          <t>Qualifier</t>
        </is>
      </c>
      <c r="C460" s="50" t="inlineStr">
        <is>
          <t>Heineken USA</t>
        </is>
      </c>
      <c r="D460" s="50" t="inlineStr">
        <is>
          <t>Heineken USA</t>
        </is>
      </c>
      <c r="E460" s="46" t="n">
        <v>202</v>
      </c>
      <c r="F460" s="46" t="n">
        <v>101</v>
      </c>
      <c r="G460" s="48" t="n">
        <v>6377.9</v>
      </c>
      <c r="H460" s="48" t="n">
        <v>3247.9</v>
      </c>
      <c r="I460" s="48" t="n">
        <v>1601.22</v>
      </c>
      <c r="J460" s="48" t="n">
        <v>855.46</v>
      </c>
    </row>
    <row r="461">
      <c r="A461" s="50" t="inlineStr">
        <is>
          <t>Klejdi Lamo</t>
        </is>
      </c>
      <c r="B461" s="50" t="inlineStr">
        <is>
          <t>Qualifier</t>
        </is>
      </c>
      <c r="C461" s="50" t="inlineStr">
        <is>
          <t>Constellation Brands</t>
        </is>
      </c>
      <c r="D461" s="50" t="inlineStr">
        <is>
          <t>Corona Extra</t>
        </is>
      </c>
      <c r="E461" s="46" t="n">
        <v>13842</v>
      </c>
      <c r="F461" s="46" t="n">
        <v>12759</v>
      </c>
      <c r="G461" s="48" t="n">
        <v>441429.05</v>
      </c>
      <c r="H461" s="48" t="n">
        <v>408914.9</v>
      </c>
      <c r="I461" s="48" t="n">
        <v>102905.78</v>
      </c>
      <c r="J461" s="48" t="n">
        <v>98175.91</v>
      </c>
    </row>
    <row r="462">
      <c r="A462" s="50" t="inlineStr">
        <is>
          <t>Klejdi Lamo</t>
        </is>
      </c>
      <c r="B462" s="50" t="inlineStr">
        <is>
          <t>Qualifier</t>
        </is>
      </c>
      <c r="C462" s="50" t="inlineStr">
        <is>
          <t>Constellation Brands</t>
        </is>
      </c>
      <c r="D462" s="50" t="inlineStr">
        <is>
          <t>Modelo Especial</t>
        </is>
      </c>
      <c r="E462" s="46" t="n">
        <v>11681</v>
      </c>
      <c r="F462" s="46" t="n">
        <v>11974</v>
      </c>
      <c r="G462" s="48" t="n">
        <v>356344.3</v>
      </c>
      <c r="H462" s="48" t="n">
        <v>364986.85</v>
      </c>
      <c r="I462" s="48" t="n">
        <v>79438.16</v>
      </c>
      <c r="J462" s="48" t="n">
        <v>84226.42999999999</v>
      </c>
    </row>
    <row r="463">
      <c r="A463" s="50" t="inlineStr">
        <is>
          <t>Klejdi Lamo</t>
        </is>
      </c>
      <c r="B463" s="50" t="inlineStr">
        <is>
          <t>Qualifier</t>
        </is>
      </c>
      <c r="C463" s="50" t="inlineStr">
        <is>
          <t>Boston Beer Company</t>
        </is>
      </c>
      <c r="D463" s="50" t="inlineStr">
        <is>
          <t>Truly</t>
        </is>
      </c>
      <c r="E463" s="46" t="n">
        <v>1598</v>
      </c>
      <c r="F463" s="46" t="n">
        <v>1002</v>
      </c>
      <c r="G463" s="48" t="n">
        <v>44310.2</v>
      </c>
      <c r="H463" s="48" t="n">
        <v>28622.1</v>
      </c>
      <c r="I463" s="48" t="n">
        <v>8175.23</v>
      </c>
      <c r="J463" s="48" t="n">
        <v>5970.24</v>
      </c>
    </row>
    <row r="464">
      <c r="A464" s="50" t="inlineStr">
        <is>
          <t>Klejdi Lamo</t>
        </is>
      </c>
      <c r="B464" s="50" t="inlineStr">
        <is>
          <t>Qualifier</t>
        </is>
      </c>
      <c r="C464" s="50" t="inlineStr">
        <is>
          <t>Boston Beer Company</t>
        </is>
      </c>
      <c r="D464" s="50" t="inlineStr">
        <is>
          <t>Twisted Tea</t>
        </is>
      </c>
      <c r="E464" s="46" t="n">
        <v>3583</v>
      </c>
      <c r="F464" s="46" t="n">
        <v>2762</v>
      </c>
      <c r="G464" s="48" t="n">
        <v>104689.95</v>
      </c>
      <c r="H464" s="48" t="n">
        <v>79226.25</v>
      </c>
      <c r="I464" s="48" t="n">
        <v>25685.26</v>
      </c>
      <c r="J464" s="48" t="n">
        <v>17871.48</v>
      </c>
    </row>
    <row r="465">
      <c r="A465" s="50" t="inlineStr">
        <is>
          <t>Klejdi Lamo</t>
        </is>
      </c>
      <c r="B465" s="50" t="inlineStr">
        <is>
          <t>Qualifier</t>
        </is>
      </c>
      <c r="C465" s="50" t="inlineStr">
        <is>
          <t>Mark Anthony</t>
        </is>
      </c>
      <c r="D465" s="50" t="inlineStr">
        <is>
          <t>White Claw</t>
        </is>
      </c>
      <c r="E465" s="46" t="n">
        <v>9390</v>
      </c>
      <c r="F465" s="46" t="n">
        <v>8879</v>
      </c>
      <c r="G465" s="48" t="n">
        <v>288918.55</v>
      </c>
      <c r="H465" s="48" t="n">
        <v>279334.95</v>
      </c>
      <c r="I465" s="48" t="n">
        <v>56378.98</v>
      </c>
      <c r="J465" s="48" t="n">
        <v>54639.76</v>
      </c>
    </row>
    <row r="466">
      <c r="A466" s="50" t="inlineStr">
        <is>
          <t>Klejdi Lamo</t>
        </is>
      </c>
      <c r="B466" s="50" t="inlineStr">
        <is>
          <t>Qualifier</t>
        </is>
      </c>
      <c r="C466" s="50" t="inlineStr">
        <is>
          <t>DG Yuengling Inc</t>
        </is>
      </c>
      <c r="D466" s="50" t="inlineStr">
        <is>
          <t>Yuengling Lager</t>
        </is>
      </c>
      <c r="E466" s="46" t="n">
        <v>4145</v>
      </c>
      <c r="F466" s="46" t="n">
        <v>4029</v>
      </c>
      <c r="G466" s="48" t="n">
        <v>92482.10000000001</v>
      </c>
      <c r="H466" s="48" t="n">
        <v>89228.64999999999</v>
      </c>
      <c r="I466" s="48" t="n">
        <v>24954.75</v>
      </c>
      <c r="J466" s="48" t="n">
        <v>23716.28</v>
      </c>
    </row>
    <row r="467">
      <c r="A467" s="50" t="inlineStr">
        <is>
          <t>Matt Powierski</t>
        </is>
      </c>
      <c r="B467" s="50" t="inlineStr">
        <is>
          <t>Amplify</t>
        </is>
      </c>
      <c r="C467" s="50" t="inlineStr">
        <is>
          <t>Cape May</t>
        </is>
      </c>
      <c r="D467" s="50" t="inlineStr">
        <is>
          <t>Cape May</t>
        </is>
      </c>
      <c r="E467" s="46" t="n">
        <v>209</v>
      </c>
      <c r="F467" s="46" t="n">
        <v>241</v>
      </c>
      <c r="G467" s="48" t="n">
        <v>8832.5</v>
      </c>
      <c r="H467" s="48" t="n">
        <v>9946.200000000001</v>
      </c>
      <c r="I467" s="48" t="n">
        <v>2607.7</v>
      </c>
      <c r="J467" s="48" t="n">
        <v>2957.37</v>
      </c>
    </row>
    <row r="468">
      <c r="A468" s="50" t="inlineStr">
        <is>
          <t>Matt Powierski</t>
        </is>
      </c>
      <c r="B468" s="50" t="inlineStr">
        <is>
          <t>Amplify</t>
        </is>
      </c>
      <c r="C468" s="50" t="inlineStr">
        <is>
          <t>Mark Anthony</t>
        </is>
      </c>
      <c r="D468" s="50" t="inlineStr">
        <is>
          <t>Cayman Jack</t>
        </is>
      </c>
      <c r="E468" s="46" t="n">
        <v>833</v>
      </c>
      <c r="F468" s="46" t="n">
        <v>1044</v>
      </c>
      <c r="G468" s="48" t="n">
        <v>26216.25</v>
      </c>
      <c r="H468" s="48" t="n">
        <v>32958.75</v>
      </c>
      <c r="I468" s="48" t="n">
        <v>6033.52</v>
      </c>
      <c r="J468" s="48" t="n">
        <v>7578.55</v>
      </c>
    </row>
    <row r="469">
      <c r="A469" s="50" t="inlineStr">
        <is>
          <t>Matt Powierski</t>
        </is>
      </c>
      <c r="B469" s="50" t="inlineStr">
        <is>
          <t>Amplify</t>
        </is>
      </c>
      <c r="C469" s="50" t="inlineStr">
        <is>
          <t>Mark Anthony</t>
        </is>
      </c>
      <c r="D469" s="50" t="inlineStr">
        <is>
          <t>Mike's Harder</t>
        </is>
      </c>
      <c r="E469" s="46" t="n">
        <v>196</v>
      </c>
      <c r="F469" s="46" t="n">
        <v>162</v>
      </c>
      <c r="G469" s="48" t="n">
        <v>5446.5</v>
      </c>
      <c r="H469" s="48" t="n">
        <v>4807</v>
      </c>
      <c r="I469" s="48" t="n">
        <v>1185.76</v>
      </c>
      <c r="J469" s="48" t="n">
        <v>1015.32</v>
      </c>
    </row>
    <row r="470">
      <c r="A470" s="50" t="inlineStr">
        <is>
          <t>Matt Powierski</t>
        </is>
      </c>
      <c r="B470" s="50" t="inlineStr">
        <is>
          <t>Amplify</t>
        </is>
      </c>
      <c r="C470" s="50" t="inlineStr">
        <is>
          <t>Mark Anthony</t>
        </is>
      </c>
      <c r="D470" s="50" t="inlineStr">
        <is>
          <t>Mxd Cocktails</t>
        </is>
      </c>
      <c r="E470" s="46" t="n">
        <v>23</v>
      </c>
      <c r="F470" s="46" t="n">
        <v>48</v>
      </c>
      <c r="G470" s="48" t="n">
        <v>547.9</v>
      </c>
      <c r="H470" s="48" t="n">
        <v>1152</v>
      </c>
      <c r="I470" s="48" t="n">
        <v>106.07</v>
      </c>
      <c r="J470" s="48" t="n">
        <v>216.45</v>
      </c>
    </row>
    <row r="471">
      <c r="A471" s="50" t="inlineStr">
        <is>
          <t>Matt Powierski</t>
        </is>
      </c>
      <c r="B471" s="50" t="inlineStr">
        <is>
          <t>Amplify</t>
        </is>
      </c>
      <c r="C471" s="50" t="inlineStr">
        <is>
          <t>MolsonCoors Beverage Company</t>
        </is>
      </c>
      <c r="D471" s="50" t="inlineStr">
        <is>
          <t>Coors</t>
        </is>
      </c>
      <c r="E471" s="46" t="n">
        <v>1701</v>
      </c>
      <c r="F471" s="46" t="n">
        <v>1855</v>
      </c>
      <c r="G471" s="48" t="n">
        <v>32188.5</v>
      </c>
      <c r="H471" s="48" t="n">
        <v>36839.2</v>
      </c>
      <c r="I471" s="48" t="n">
        <v>6946.9</v>
      </c>
      <c r="J471" s="48" t="n">
        <v>8338.82</v>
      </c>
    </row>
    <row r="472">
      <c r="A472" s="50" t="inlineStr">
        <is>
          <t>Matt Powierski</t>
        </is>
      </c>
      <c r="B472" s="50" t="inlineStr">
        <is>
          <t>Amplify</t>
        </is>
      </c>
      <c r="C472" s="50" t="inlineStr">
        <is>
          <t>MolsonCoors Beverage Company</t>
        </is>
      </c>
      <c r="D472" s="50" t="inlineStr">
        <is>
          <t>Fever Tree</t>
        </is>
      </c>
      <c r="E472" s="46" t="n">
        <v>36</v>
      </c>
      <c r="F472" s="46" t="n">
        <v>44</v>
      </c>
      <c r="G472" s="48" t="n">
        <v>1562.6</v>
      </c>
      <c r="H472" s="48" t="n">
        <v>1953</v>
      </c>
      <c r="I472" s="48" t="n">
        <v>484.77</v>
      </c>
      <c r="J472" s="48" t="n">
        <v>647.41</v>
      </c>
    </row>
    <row r="473">
      <c r="A473" s="50" t="inlineStr">
        <is>
          <t>Matt Powierski</t>
        </is>
      </c>
      <c r="B473" s="50" t="inlineStr">
        <is>
          <t>Amplify</t>
        </is>
      </c>
      <c r="C473" s="50" t="inlineStr">
        <is>
          <t>MolsonCoors Beverage Company</t>
        </is>
      </c>
      <c r="D473" s="50" t="inlineStr">
        <is>
          <t>Peroni</t>
        </is>
      </c>
      <c r="E473" s="46" t="n">
        <v>998</v>
      </c>
      <c r="F473" s="46" t="n">
        <v>1169</v>
      </c>
      <c r="G473" s="48" t="n">
        <v>34245.8</v>
      </c>
      <c r="H473" s="48" t="n">
        <v>39346.9</v>
      </c>
      <c r="I473" s="48" t="n">
        <v>6721.53</v>
      </c>
      <c r="J473" s="48" t="n">
        <v>7510.21</v>
      </c>
    </row>
    <row r="474">
      <c r="A474" s="50" t="inlineStr">
        <is>
          <t>Matt Powierski</t>
        </is>
      </c>
      <c r="B474" s="50" t="inlineStr">
        <is>
          <t>Amplify</t>
        </is>
      </c>
      <c r="C474" s="50" t="inlineStr">
        <is>
          <t>Boston Beer Company</t>
        </is>
      </c>
      <c r="D474" s="50" t="inlineStr">
        <is>
          <t>Dogfish Head Beer</t>
        </is>
      </c>
      <c r="E474" s="46" t="n">
        <v>214</v>
      </c>
      <c r="F474" s="46" t="n">
        <v>220</v>
      </c>
      <c r="G474" s="48" t="n">
        <v>8146.6</v>
      </c>
      <c r="H474" s="48" t="n">
        <v>7784.2</v>
      </c>
      <c r="I474" s="48" t="n">
        <v>2029.14</v>
      </c>
      <c r="J474" s="48" t="n">
        <v>1934.08</v>
      </c>
    </row>
    <row r="475">
      <c r="A475" s="50" t="inlineStr">
        <is>
          <t>Matt Powierski</t>
        </is>
      </c>
      <c r="B475" s="50" t="inlineStr">
        <is>
          <t>Amplify</t>
        </is>
      </c>
      <c r="C475" s="50" t="inlineStr">
        <is>
          <t>Boston Beer Company</t>
        </is>
      </c>
      <c r="D475" s="50" t="inlineStr">
        <is>
          <t>Dogfish Head Spirits</t>
        </is>
      </c>
      <c r="E475" s="46" t="n">
        <v>45</v>
      </c>
      <c r="F475" s="46" t="n">
        <v>42</v>
      </c>
      <c r="G475" s="48" t="n">
        <v>2457</v>
      </c>
      <c r="H475" s="48" t="n">
        <v>2072</v>
      </c>
      <c r="I475" s="48" t="n">
        <v>945.45</v>
      </c>
      <c r="J475" s="48" t="n">
        <v>711.26</v>
      </c>
    </row>
    <row r="476">
      <c r="A476" s="50" t="inlineStr">
        <is>
          <t>Matt Powierski</t>
        </is>
      </c>
      <c r="B476" s="50" t="inlineStr">
        <is>
          <t>Amplify</t>
        </is>
      </c>
      <c r="C476" s="50" t="inlineStr">
        <is>
          <t>Heineken USA</t>
        </is>
      </c>
      <c r="D476" s="50" t="inlineStr">
        <is>
          <t>Heineken 0.0</t>
        </is>
      </c>
      <c r="E476" s="46" t="n">
        <v>570</v>
      </c>
      <c r="F476" s="46" t="n">
        <v>492</v>
      </c>
      <c r="G476" s="48" t="n">
        <v>19160.3</v>
      </c>
      <c r="H476" s="48" t="n">
        <v>16559.9</v>
      </c>
      <c r="I476" s="48" t="n">
        <v>5071</v>
      </c>
      <c r="J476" s="48" t="n">
        <v>4379.8</v>
      </c>
    </row>
    <row r="477">
      <c r="A477" s="50" t="inlineStr">
        <is>
          <t>Matt Powierski</t>
        </is>
      </c>
      <c r="B477" s="50" t="inlineStr">
        <is>
          <t>Amplify</t>
        </is>
      </c>
      <c r="C477" s="50" t="inlineStr">
        <is>
          <t>Heineken USA</t>
        </is>
      </c>
      <c r="D477" s="50" t="inlineStr">
        <is>
          <t>Heineken Light</t>
        </is>
      </c>
      <c r="E477" s="46" t="n">
        <v>374</v>
      </c>
      <c r="F477" s="46" t="n">
        <v>387</v>
      </c>
      <c r="G477" s="48" t="n">
        <v>11729.6</v>
      </c>
      <c r="H477" s="48" t="n">
        <v>12070.75</v>
      </c>
      <c r="I477" s="48" t="n">
        <v>2838.89</v>
      </c>
      <c r="J477" s="48" t="n">
        <v>2870.22</v>
      </c>
    </row>
    <row r="478">
      <c r="A478" s="50" t="inlineStr">
        <is>
          <t>Matt Powierski</t>
        </is>
      </c>
      <c r="B478" s="50" t="inlineStr">
        <is>
          <t>Amplify</t>
        </is>
      </c>
      <c r="C478" s="50" t="inlineStr">
        <is>
          <t>Constellation Brands</t>
        </is>
      </c>
      <c r="D478" s="50" t="inlineStr">
        <is>
          <t>Corona Premier</t>
        </is>
      </c>
      <c r="E478" s="46" t="n">
        <v>619</v>
      </c>
      <c r="F478" s="46" t="n">
        <v>656</v>
      </c>
      <c r="G478" s="48" t="n">
        <v>19331.7</v>
      </c>
      <c r="H478" s="48" t="n">
        <v>17836.75</v>
      </c>
      <c r="I478" s="48" t="n">
        <v>4201.31</v>
      </c>
      <c r="J478" s="48" t="n">
        <v>4546.98</v>
      </c>
    </row>
    <row r="479">
      <c r="A479" s="50" t="inlineStr">
        <is>
          <t>Matt Powierski</t>
        </is>
      </c>
      <c r="B479" s="50" t="inlineStr">
        <is>
          <t>Amplify</t>
        </is>
      </c>
      <c r="C479" s="50" t="inlineStr">
        <is>
          <t>Constellation Brands</t>
        </is>
      </c>
      <c r="D479" s="50" t="inlineStr">
        <is>
          <t>Modelo Chelada</t>
        </is>
      </c>
      <c r="E479" s="46" t="n">
        <v>1608</v>
      </c>
      <c r="F479" s="46" t="n">
        <v>2119</v>
      </c>
      <c r="G479" s="48" t="n">
        <v>49739.55</v>
      </c>
      <c r="H479" s="48" t="n">
        <v>65409.55</v>
      </c>
      <c r="I479" s="48" t="n">
        <v>12520.82</v>
      </c>
      <c r="J479" s="48" t="n">
        <v>16369.31</v>
      </c>
    </row>
    <row r="480">
      <c r="A480" s="50" t="inlineStr">
        <is>
          <t>Matt Powierski</t>
        </is>
      </c>
      <c r="B480" s="50" t="inlineStr">
        <is>
          <t>Amplify</t>
        </is>
      </c>
      <c r="C480" s="50" t="inlineStr">
        <is>
          <t>Constellation Brands</t>
        </is>
      </c>
      <c r="D480" s="50" t="inlineStr">
        <is>
          <t>Pacifico</t>
        </is>
      </c>
      <c r="E480" s="46" t="n">
        <v>651</v>
      </c>
      <c r="F480" s="46" t="n">
        <v>870</v>
      </c>
      <c r="G480" s="48" t="n">
        <v>20241.5</v>
      </c>
      <c r="H480" s="48" t="n">
        <v>27151</v>
      </c>
      <c r="I480" s="48" t="n">
        <v>4653.05</v>
      </c>
      <c r="J480" s="48" t="n">
        <v>6266.36</v>
      </c>
    </row>
    <row r="481">
      <c r="A481" s="50" t="inlineStr">
        <is>
          <t>Matt Powierski</t>
        </is>
      </c>
      <c r="B481" s="50" t="inlineStr">
        <is>
          <t>Amplify</t>
        </is>
      </c>
      <c r="C481" s="50" t="inlineStr">
        <is>
          <t>Constellation Brands</t>
        </is>
      </c>
      <c r="D481" s="50" t="inlineStr">
        <is>
          <t>Victoria</t>
        </is>
      </c>
      <c r="E481" s="46" t="n">
        <v>1035</v>
      </c>
      <c r="F481" s="46" t="n">
        <v>1179</v>
      </c>
      <c r="G481" s="48" t="n">
        <v>31279.8</v>
      </c>
      <c r="H481" s="48" t="n">
        <v>35647.5</v>
      </c>
      <c r="I481" s="48" t="n">
        <v>7397.94</v>
      </c>
      <c r="J481" s="48" t="n">
        <v>8426.190000000001</v>
      </c>
    </row>
    <row r="482">
      <c r="A482" s="50" t="inlineStr">
        <is>
          <t>Matt Powierski</t>
        </is>
      </c>
      <c r="B482" s="50" t="inlineStr">
        <is>
          <t>Amplify</t>
        </is>
      </c>
      <c r="C482" s="50" t="inlineStr">
        <is>
          <t>Sapporo</t>
        </is>
      </c>
      <c r="D482" s="50" t="inlineStr">
        <is>
          <t>Sapporo</t>
        </is>
      </c>
      <c r="E482" s="46" t="n">
        <v>643</v>
      </c>
      <c r="F482" s="46" t="n">
        <v>878</v>
      </c>
      <c r="G482" s="48" t="n">
        <v>18622.5</v>
      </c>
      <c r="H482" s="48" t="n">
        <v>25120.5</v>
      </c>
      <c r="I482" s="48" t="n">
        <v>4763.75</v>
      </c>
      <c r="J482" s="48" t="n">
        <v>6298.27</v>
      </c>
    </row>
    <row r="483">
      <c r="A483" s="50" t="inlineStr">
        <is>
          <t>Matt Powierski</t>
        </is>
      </c>
      <c r="B483" s="50" t="inlineStr">
        <is>
          <t>Amplify</t>
        </is>
      </c>
      <c r="C483" s="50" t="inlineStr">
        <is>
          <t>Bell's</t>
        </is>
      </c>
      <c r="D483" s="50" t="inlineStr">
        <is>
          <t>Bell's</t>
        </is>
      </c>
      <c r="E483" s="46" t="n">
        <v>3</v>
      </c>
      <c r="F483" s="46" t="n">
        <v>0</v>
      </c>
      <c r="G483" s="48" t="n">
        <v>97.55</v>
      </c>
      <c r="H483" s="48" t="n">
        <v>0</v>
      </c>
      <c r="I483" s="48" t="n">
        <v>29.49</v>
      </c>
      <c r="J483" s="48" t="n">
        <v>0</v>
      </c>
    </row>
    <row r="484">
      <c r="A484" s="50" t="inlineStr">
        <is>
          <t>Matt Powierski</t>
        </is>
      </c>
      <c r="B484" s="50" t="inlineStr">
        <is>
          <t>Amplify</t>
        </is>
      </c>
      <c r="C484" s="50" t="inlineStr">
        <is>
          <t>New Belgium Brewing Company</t>
        </is>
      </c>
      <c r="D484" s="50" t="inlineStr">
        <is>
          <t>Fat Tire Family</t>
        </is>
      </c>
      <c r="E484" s="46" t="n">
        <v>33</v>
      </c>
      <c r="F484" s="46" t="n">
        <v>28</v>
      </c>
      <c r="G484" s="48" t="n">
        <v>1121.75</v>
      </c>
      <c r="H484" s="48" t="n">
        <v>937.5</v>
      </c>
      <c r="I484" s="48" t="n">
        <v>311.26</v>
      </c>
      <c r="J484" s="48" t="n">
        <v>212.67</v>
      </c>
    </row>
    <row r="485">
      <c r="A485" s="50" t="inlineStr">
        <is>
          <t>Matt Powierski</t>
        </is>
      </c>
      <c r="B485" s="50" t="inlineStr">
        <is>
          <t>Amplify</t>
        </is>
      </c>
      <c r="C485" s="50" t="inlineStr">
        <is>
          <t>New Belgium Brewing Company</t>
        </is>
      </c>
      <c r="D485" s="50" t="inlineStr">
        <is>
          <t>Kirin Ichiban</t>
        </is>
      </c>
      <c r="E485" s="46" t="n">
        <v>47</v>
      </c>
      <c r="F485" s="46" t="n">
        <v>47</v>
      </c>
      <c r="G485" s="48" t="n">
        <v>1183.5</v>
      </c>
      <c r="H485" s="48" t="n">
        <v>1228.5</v>
      </c>
      <c r="I485" s="48" t="n">
        <v>222.6</v>
      </c>
      <c r="J485" s="48" t="n">
        <v>241</v>
      </c>
    </row>
    <row r="486">
      <c r="A486" s="50" t="inlineStr">
        <is>
          <t>Matt Powierski</t>
        </is>
      </c>
      <c r="B486" s="50" t="inlineStr">
        <is>
          <t>Amplify</t>
        </is>
      </c>
      <c r="C486" s="50" t="inlineStr">
        <is>
          <t>New Belgium Brewing Company</t>
        </is>
      </c>
      <c r="D486" s="50" t="inlineStr">
        <is>
          <t>Voodoo Family</t>
        </is>
      </c>
      <c r="E486" s="46" t="n">
        <v>482</v>
      </c>
      <c r="F486" s="46" t="n">
        <v>594</v>
      </c>
      <c r="G486" s="48" t="n">
        <v>17610.7</v>
      </c>
      <c r="H486" s="48" t="n">
        <v>21666.5</v>
      </c>
      <c r="I486" s="48" t="n">
        <v>4525.53</v>
      </c>
      <c r="J486" s="48" t="n">
        <v>5572.24</v>
      </c>
    </row>
    <row r="487">
      <c r="A487" s="50" t="inlineStr">
        <is>
          <t>Matt Powierski</t>
        </is>
      </c>
      <c r="B487" s="50" t="inlineStr">
        <is>
          <t>Amplify</t>
        </is>
      </c>
      <c r="C487" s="50" t="inlineStr">
        <is>
          <t>DG Yuengling Inc</t>
        </is>
      </c>
      <c r="D487" s="50" t="inlineStr">
        <is>
          <t>Yuengling Flight</t>
        </is>
      </c>
      <c r="E487" s="46" t="n">
        <v>134</v>
      </c>
      <c r="F487" s="46" t="n">
        <v>112</v>
      </c>
      <c r="G487" s="48" t="n">
        <v>3273.65</v>
      </c>
      <c r="H487" s="48" t="n">
        <v>2636.25</v>
      </c>
      <c r="I487" s="48" t="n">
        <v>981.21</v>
      </c>
      <c r="J487" s="48" t="n">
        <v>777.35</v>
      </c>
    </row>
    <row r="488">
      <c r="A488" s="50" t="inlineStr">
        <is>
          <t>Matt Powierski</t>
        </is>
      </c>
      <c r="B488" s="50" t="inlineStr">
        <is>
          <t>Amplify</t>
        </is>
      </c>
      <c r="C488" s="50" t="inlineStr">
        <is>
          <t>DG Yuengling Inc</t>
        </is>
      </c>
      <c r="D488" s="50" t="inlineStr">
        <is>
          <t>Yuengling Light Lager</t>
        </is>
      </c>
      <c r="E488" s="46" t="n">
        <v>31</v>
      </c>
      <c r="F488" s="46" t="n">
        <v>39</v>
      </c>
      <c r="G488" s="48" t="n">
        <v>825</v>
      </c>
      <c r="H488" s="48" t="n">
        <v>1031.6</v>
      </c>
      <c r="I488" s="48" t="n">
        <v>241.6</v>
      </c>
      <c r="J488" s="48" t="n">
        <v>297.79</v>
      </c>
    </row>
    <row r="489">
      <c r="A489" s="50" t="inlineStr">
        <is>
          <t>Matt Powierski</t>
        </is>
      </c>
      <c r="B489" s="50" t="inlineStr">
        <is>
          <t>Qualifier</t>
        </is>
      </c>
      <c r="C489" s="50" t="inlineStr">
        <is>
          <t>MolsonCoors Beverage Company</t>
        </is>
      </c>
      <c r="D489" s="50" t="inlineStr">
        <is>
          <t>Blue Moon</t>
        </is>
      </c>
      <c r="E489" s="46" t="n">
        <v>1326</v>
      </c>
      <c r="F489" s="46" t="n">
        <v>1275</v>
      </c>
      <c r="G489" s="48" t="n">
        <v>45752.3</v>
      </c>
      <c r="H489" s="48" t="n">
        <v>42538.5</v>
      </c>
      <c r="I489" s="48" t="n">
        <v>11012.22</v>
      </c>
      <c r="J489" s="48" t="n">
        <v>10090.57</v>
      </c>
    </row>
    <row r="490">
      <c r="A490" s="50" t="inlineStr">
        <is>
          <t>Matt Powierski</t>
        </is>
      </c>
      <c r="B490" s="50" t="inlineStr">
        <is>
          <t>Qualifier</t>
        </is>
      </c>
      <c r="C490" s="50" t="inlineStr">
        <is>
          <t>MolsonCoors Beverage Company</t>
        </is>
      </c>
      <c r="D490" s="50" t="inlineStr">
        <is>
          <t>Coors Light</t>
        </is>
      </c>
      <c r="E490" s="46" t="n">
        <v>11633</v>
      </c>
      <c r="F490" s="46" t="n">
        <v>10371</v>
      </c>
      <c r="G490" s="48" t="n">
        <v>233002.7</v>
      </c>
      <c r="H490" s="48" t="n">
        <v>213320.85</v>
      </c>
      <c r="I490" s="48" t="n">
        <v>54499.37</v>
      </c>
      <c r="J490" s="48" t="n">
        <v>51054.12</v>
      </c>
    </row>
    <row r="491">
      <c r="A491" s="50" t="inlineStr">
        <is>
          <t>Matt Powierski</t>
        </is>
      </c>
      <c r="B491" s="50" t="inlineStr">
        <is>
          <t>Qualifier</t>
        </is>
      </c>
      <c r="C491" s="50" t="inlineStr">
        <is>
          <t>MolsonCoors Beverage Company</t>
        </is>
      </c>
      <c r="D491" s="50" t="inlineStr">
        <is>
          <t>Lite</t>
        </is>
      </c>
      <c r="E491" s="46" t="n">
        <v>4041</v>
      </c>
      <c r="F491" s="46" t="n">
        <v>4484</v>
      </c>
      <c r="G491" s="48" t="n">
        <v>87042.95</v>
      </c>
      <c r="H491" s="48" t="n">
        <v>98996.2</v>
      </c>
      <c r="I491" s="48" t="n">
        <v>19761.98</v>
      </c>
      <c r="J491" s="48" t="n">
        <v>23157.13</v>
      </c>
    </row>
    <row r="492">
      <c r="A492" s="50" t="inlineStr">
        <is>
          <t>Matt Powierski</t>
        </is>
      </c>
      <c r="B492" s="50" t="inlineStr">
        <is>
          <t>Qualifier</t>
        </is>
      </c>
      <c r="C492" s="50" t="inlineStr">
        <is>
          <t>Heineken USA</t>
        </is>
      </c>
      <c r="D492" s="50" t="inlineStr">
        <is>
          <t>Heineken USA</t>
        </is>
      </c>
      <c r="E492" s="46" t="n">
        <v>7327</v>
      </c>
      <c r="F492" s="46" t="n">
        <v>6419</v>
      </c>
      <c r="G492" s="48" t="n">
        <v>228734.35</v>
      </c>
      <c r="H492" s="48" t="n">
        <v>199044.4</v>
      </c>
      <c r="I492" s="48" t="n">
        <v>55426.01</v>
      </c>
      <c r="J492" s="48" t="n">
        <v>47859.15</v>
      </c>
    </row>
    <row r="493">
      <c r="A493" s="50" t="inlineStr">
        <is>
          <t>Matt Powierski</t>
        </is>
      </c>
      <c r="B493" s="50" t="inlineStr">
        <is>
          <t>Qualifier</t>
        </is>
      </c>
      <c r="C493" s="50" t="inlineStr">
        <is>
          <t>Constellation Brands</t>
        </is>
      </c>
      <c r="D493" s="50" t="inlineStr">
        <is>
          <t>Corona Extra</t>
        </is>
      </c>
      <c r="E493" s="46" t="n">
        <v>18754</v>
      </c>
      <c r="F493" s="46" t="n">
        <v>18671</v>
      </c>
      <c r="G493" s="48" t="n">
        <v>610589.95</v>
      </c>
      <c r="H493" s="48" t="n">
        <v>612450.3</v>
      </c>
      <c r="I493" s="48" t="n">
        <v>146054.09</v>
      </c>
      <c r="J493" s="48" t="n">
        <v>150766.71</v>
      </c>
    </row>
    <row r="494">
      <c r="A494" s="50" t="inlineStr">
        <is>
          <t>Matt Powierski</t>
        </is>
      </c>
      <c r="B494" s="50" t="inlineStr">
        <is>
          <t>Qualifier</t>
        </is>
      </c>
      <c r="C494" s="50" t="inlineStr">
        <is>
          <t>Constellation Brands</t>
        </is>
      </c>
      <c r="D494" s="50" t="inlineStr">
        <is>
          <t>Modelo Especial</t>
        </is>
      </c>
      <c r="E494" s="46" t="n">
        <v>14021</v>
      </c>
      <c r="F494" s="46" t="n">
        <v>14402</v>
      </c>
      <c r="G494" s="48" t="n">
        <v>433643.35</v>
      </c>
      <c r="H494" s="48" t="n">
        <v>445141.1</v>
      </c>
      <c r="I494" s="48" t="n">
        <v>97957.45</v>
      </c>
      <c r="J494" s="48" t="n">
        <v>104558.98</v>
      </c>
    </row>
    <row r="495">
      <c r="A495" s="50" t="inlineStr">
        <is>
          <t>Matt Powierski</t>
        </is>
      </c>
      <c r="B495" s="50" t="inlineStr">
        <is>
          <t>Qualifier</t>
        </is>
      </c>
      <c r="C495" s="50" t="inlineStr">
        <is>
          <t>Boston Beer Company</t>
        </is>
      </c>
      <c r="D495" s="50" t="inlineStr">
        <is>
          <t>Truly</t>
        </is>
      </c>
      <c r="E495" s="46" t="n">
        <v>560</v>
      </c>
      <c r="F495" s="46" t="n">
        <v>362</v>
      </c>
      <c r="G495" s="48" t="n">
        <v>16039.85</v>
      </c>
      <c r="H495" s="48" t="n">
        <v>10586.4</v>
      </c>
      <c r="I495" s="48" t="n">
        <v>3373.21</v>
      </c>
      <c r="J495" s="48" t="n">
        <v>2384.76</v>
      </c>
    </row>
    <row r="496">
      <c r="A496" s="50" t="inlineStr">
        <is>
          <t>Matt Powierski</t>
        </is>
      </c>
      <c r="B496" s="50" t="inlineStr">
        <is>
          <t>Qualifier</t>
        </is>
      </c>
      <c r="C496" s="50" t="inlineStr">
        <is>
          <t>Boston Beer Company</t>
        </is>
      </c>
      <c r="D496" s="50" t="inlineStr">
        <is>
          <t>Twisted Tea</t>
        </is>
      </c>
      <c r="E496" s="46" t="n">
        <v>1827</v>
      </c>
      <c r="F496" s="46" t="n">
        <v>1644</v>
      </c>
      <c r="G496" s="48" t="n">
        <v>53272.75</v>
      </c>
      <c r="H496" s="48" t="n">
        <v>48280.5</v>
      </c>
      <c r="I496" s="48" t="n">
        <v>13548.65</v>
      </c>
      <c r="J496" s="48" t="n">
        <v>12229.39</v>
      </c>
    </row>
    <row r="497">
      <c r="A497" s="50" t="inlineStr">
        <is>
          <t>Matt Powierski</t>
        </is>
      </c>
      <c r="B497" s="50" t="inlineStr">
        <is>
          <t>Qualifier</t>
        </is>
      </c>
      <c r="C497" s="50" t="inlineStr">
        <is>
          <t>Mark Anthony</t>
        </is>
      </c>
      <c r="D497" s="50" t="inlineStr">
        <is>
          <t>White Claw</t>
        </is>
      </c>
      <c r="E497" s="46" t="n">
        <v>4472</v>
      </c>
      <c r="F497" s="46" t="n">
        <v>4437</v>
      </c>
      <c r="G497" s="48" t="n">
        <v>144140.7</v>
      </c>
      <c r="H497" s="48" t="n">
        <v>148241.1</v>
      </c>
      <c r="I497" s="48" t="n">
        <v>31635.11</v>
      </c>
      <c r="J497" s="48" t="n">
        <v>32505.44</v>
      </c>
    </row>
    <row r="498">
      <c r="A498" s="50" t="inlineStr">
        <is>
          <t>Matt Powierski</t>
        </is>
      </c>
      <c r="B498" s="50" t="inlineStr">
        <is>
          <t>Qualifier</t>
        </is>
      </c>
      <c r="C498" s="50" t="inlineStr">
        <is>
          <t>DG Yuengling Inc</t>
        </is>
      </c>
      <c r="D498" s="50" t="inlineStr">
        <is>
          <t>Yuengling Lager</t>
        </is>
      </c>
      <c r="E498" s="46" t="n">
        <v>1296</v>
      </c>
      <c r="F498" s="46" t="n">
        <v>1439</v>
      </c>
      <c r="G498" s="48" t="n">
        <v>29000.5</v>
      </c>
      <c r="H498" s="48" t="n">
        <v>31575</v>
      </c>
      <c r="I498" s="48" t="n">
        <v>8337.43</v>
      </c>
      <c r="J498" s="48" t="n">
        <v>8849.83</v>
      </c>
    </row>
    <row r="499">
      <c r="A499" s="50" t="inlineStr">
        <is>
          <t>Michael Harboy</t>
        </is>
      </c>
      <c r="B499" s="50" t="inlineStr">
        <is>
          <t>Amplify</t>
        </is>
      </c>
      <c r="C499" s="50" t="inlineStr">
        <is>
          <t>Cape May</t>
        </is>
      </c>
      <c r="D499" s="50" t="inlineStr">
        <is>
          <t>Cape May</t>
        </is>
      </c>
      <c r="E499" s="46" t="n">
        <v>115</v>
      </c>
      <c r="F499" s="46" t="n">
        <v>115</v>
      </c>
      <c r="G499" s="48" t="n">
        <v>4681.5</v>
      </c>
      <c r="H499" s="48" t="n">
        <v>4591.1</v>
      </c>
      <c r="I499" s="48" t="n">
        <v>1347.39</v>
      </c>
      <c r="J499" s="48" t="n">
        <v>1336.3</v>
      </c>
    </row>
    <row r="500">
      <c r="A500" s="50" t="inlineStr">
        <is>
          <t>Michael Harboy</t>
        </is>
      </c>
      <c r="B500" s="50" t="inlineStr">
        <is>
          <t>Amplify</t>
        </is>
      </c>
      <c r="C500" s="50" t="inlineStr">
        <is>
          <t>Mark Anthony</t>
        </is>
      </c>
      <c r="D500" s="50" t="inlineStr">
        <is>
          <t>Cayman Jack</t>
        </is>
      </c>
      <c r="E500" s="46" t="n">
        <v>125</v>
      </c>
      <c r="F500" s="46" t="n">
        <v>92</v>
      </c>
      <c r="G500" s="48" t="n">
        <v>3871.5</v>
      </c>
      <c r="H500" s="48" t="n">
        <v>3010.75</v>
      </c>
      <c r="I500" s="48" t="n">
        <v>921.1900000000001</v>
      </c>
      <c r="J500" s="48" t="n">
        <v>697.4</v>
      </c>
    </row>
    <row r="501">
      <c r="A501" s="50" t="inlineStr">
        <is>
          <t>Michael Harboy</t>
        </is>
      </c>
      <c r="B501" s="50" t="inlineStr">
        <is>
          <t>Amplify</t>
        </is>
      </c>
      <c r="C501" s="50" t="inlineStr">
        <is>
          <t>Mark Anthony</t>
        </is>
      </c>
      <c r="D501" s="50" t="inlineStr">
        <is>
          <t>Mike's Harder</t>
        </is>
      </c>
      <c r="E501" s="46" t="n">
        <v>38</v>
      </c>
      <c r="F501" s="46" t="n">
        <v>50</v>
      </c>
      <c r="G501" s="48" t="n">
        <v>1065</v>
      </c>
      <c r="H501" s="48" t="n">
        <v>1509</v>
      </c>
      <c r="I501" s="48" t="n">
        <v>230.7</v>
      </c>
      <c r="J501" s="48" t="n">
        <v>327.86</v>
      </c>
    </row>
    <row r="502">
      <c r="A502" s="50" t="inlineStr">
        <is>
          <t>Michael Harboy</t>
        </is>
      </c>
      <c r="B502" s="50" t="inlineStr">
        <is>
          <t>Amplify</t>
        </is>
      </c>
      <c r="C502" s="50" t="inlineStr">
        <is>
          <t>MolsonCoors Beverage Company</t>
        </is>
      </c>
      <c r="D502" s="50" t="inlineStr">
        <is>
          <t>Coors</t>
        </is>
      </c>
      <c r="E502" s="46" t="n">
        <v>314</v>
      </c>
      <c r="F502" s="46" t="n">
        <v>415</v>
      </c>
      <c r="G502" s="48" t="n">
        <v>6991.6</v>
      </c>
      <c r="H502" s="48" t="n">
        <v>9273.6</v>
      </c>
      <c r="I502" s="48" t="n">
        <v>1876.14</v>
      </c>
      <c r="J502" s="48" t="n">
        <v>2430.05</v>
      </c>
    </row>
    <row r="503">
      <c r="A503" s="50" t="inlineStr">
        <is>
          <t>Michael Harboy</t>
        </is>
      </c>
      <c r="B503" s="50" t="inlineStr">
        <is>
          <t>Amplify</t>
        </is>
      </c>
      <c r="C503" s="50" t="inlineStr">
        <is>
          <t>MolsonCoors Beverage Company</t>
        </is>
      </c>
      <c r="D503" s="50" t="inlineStr">
        <is>
          <t>Fever Tree</t>
        </is>
      </c>
      <c r="E503" s="46" t="n">
        <v>14</v>
      </c>
      <c r="F503" s="46" t="n">
        <v>13</v>
      </c>
      <c r="G503" s="48" t="n">
        <v>579</v>
      </c>
      <c r="H503" s="48" t="n">
        <v>552</v>
      </c>
      <c r="I503" s="48" t="n">
        <v>161.61</v>
      </c>
      <c r="J503" s="48" t="n">
        <v>151.98</v>
      </c>
    </row>
    <row r="504">
      <c r="A504" s="50" t="inlineStr">
        <is>
          <t>Michael Harboy</t>
        </is>
      </c>
      <c r="B504" s="50" t="inlineStr">
        <is>
          <t>Amplify</t>
        </is>
      </c>
      <c r="C504" s="50" t="inlineStr">
        <is>
          <t>MolsonCoors Beverage Company</t>
        </is>
      </c>
      <c r="D504" s="50" t="inlineStr">
        <is>
          <t>Peroni</t>
        </is>
      </c>
      <c r="E504" s="46" t="n">
        <v>216</v>
      </c>
      <c r="F504" s="46" t="n">
        <v>265</v>
      </c>
      <c r="G504" s="48" t="n">
        <v>7305.8</v>
      </c>
      <c r="H504" s="48" t="n">
        <v>8847.4</v>
      </c>
      <c r="I504" s="48" t="n">
        <v>1434.73</v>
      </c>
      <c r="J504" s="48" t="n">
        <v>1656.64</v>
      </c>
    </row>
    <row r="505">
      <c r="A505" s="50" t="inlineStr">
        <is>
          <t>Michael Harboy</t>
        </is>
      </c>
      <c r="B505" s="50" t="inlineStr">
        <is>
          <t>Amplify</t>
        </is>
      </c>
      <c r="C505" s="50" t="inlineStr">
        <is>
          <t>Boston Beer Company</t>
        </is>
      </c>
      <c r="D505" s="50" t="inlineStr">
        <is>
          <t>Dogfish Head Beer</t>
        </is>
      </c>
      <c r="E505" s="46" t="n">
        <v>99</v>
      </c>
      <c r="F505" s="46" t="n">
        <v>128</v>
      </c>
      <c r="G505" s="48" t="n">
        <v>3490.6</v>
      </c>
      <c r="H505" s="48" t="n">
        <v>4754.5</v>
      </c>
      <c r="I505" s="48" t="n">
        <v>859.27</v>
      </c>
      <c r="J505" s="48" t="n">
        <v>1145.33</v>
      </c>
    </row>
    <row r="506">
      <c r="A506" s="50" t="inlineStr">
        <is>
          <t>Michael Harboy</t>
        </is>
      </c>
      <c r="B506" s="50" t="inlineStr">
        <is>
          <t>Amplify</t>
        </is>
      </c>
      <c r="C506" s="50" t="inlineStr">
        <is>
          <t>Boston Beer Company</t>
        </is>
      </c>
      <c r="D506" s="50" t="inlineStr">
        <is>
          <t>Dogfish Head Spirits</t>
        </is>
      </c>
      <c r="E506" s="46" t="n">
        <v>51</v>
      </c>
      <c r="F506" s="46" t="n">
        <v>23</v>
      </c>
      <c r="G506" s="48" t="n">
        <v>2688</v>
      </c>
      <c r="H506" s="48" t="n">
        <v>1050</v>
      </c>
      <c r="I506" s="48" t="n">
        <v>979.08</v>
      </c>
      <c r="J506" s="48" t="n">
        <v>331.64</v>
      </c>
    </row>
    <row r="507">
      <c r="A507" s="50" t="inlineStr">
        <is>
          <t>Michael Harboy</t>
        </is>
      </c>
      <c r="B507" s="50" t="inlineStr">
        <is>
          <t>Amplify</t>
        </is>
      </c>
      <c r="C507" s="50" t="inlineStr">
        <is>
          <t>Heineken USA</t>
        </is>
      </c>
      <c r="D507" s="50" t="inlineStr">
        <is>
          <t>Heineken 0.0</t>
        </is>
      </c>
      <c r="E507" s="46" t="n">
        <v>77</v>
      </c>
      <c r="F507" s="46" t="n">
        <v>78</v>
      </c>
      <c r="G507" s="48" t="n">
        <v>2570.2</v>
      </c>
      <c r="H507" s="48" t="n">
        <v>2633.3</v>
      </c>
      <c r="I507" s="48" t="n">
        <v>679.41</v>
      </c>
      <c r="J507" s="48" t="n">
        <v>693.45</v>
      </c>
    </row>
    <row r="508">
      <c r="A508" s="50" t="inlineStr">
        <is>
          <t>Michael Harboy</t>
        </is>
      </c>
      <c r="B508" s="50" t="inlineStr">
        <is>
          <t>Amplify</t>
        </is>
      </c>
      <c r="C508" s="50" t="inlineStr">
        <is>
          <t>Heineken USA</t>
        </is>
      </c>
      <c r="D508" s="50" t="inlineStr">
        <is>
          <t>Heineken Light</t>
        </is>
      </c>
      <c r="E508" s="46" t="n">
        <v>137</v>
      </c>
      <c r="F508" s="46" t="n">
        <v>36</v>
      </c>
      <c r="G508" s="48" t="n">
        <v>4288.3</v>
      </c>
      <c r="H508" s="48" t="n">
        <v>1126.2</v>
      </c>
      <c r="I508" s="48" t="n">
        <v>1030.88</v>
      </c>
      <c r="J508" s="48" t="n">
        <v>269.64</v>
      </c>
    </row>
    <row r="509">
      <c r="A509" s="50" t="inlineStr">
        <is>
          <t>Michael Harboy</t>
        </is>
      </c>
      <c r="B509" s="50" t="inlineStr">
        <is>
          <t>Amplify</t>
        </is>
      </c>
      <c r="C509" s="50" t="inlineStr">
        <is>
          <t>Constellation Brands</t>
        </is>
      </c>
      <c r="D509" s="50" t="inlineStr">
        <is>
          <t>Corona Premier</t>
        </is>
      </c>
      <c r="E509" s="46" t="n">
        <v>210</v>
      </c>
      <c r="F509" s="46" t="n">
        <v>202</v>
      </c>
      <c r="G509" s="48" t="n">
        <v>6530.65</v>
      </c>
      <c r="H509" s="48" t="n">
        <v>5522.25</v>
      </c>
      <c r="I509" s="48" t="n">
        <v>1359.06</v>
      </c>
      <c r="J509" s="48" t="n">
        <v>1370.08</v>
      </c>
    </row>
    <row r="510">
      <c r="A510" s="50" t="inlineStr">
        <is>
          <t>Michael Harboy</t>
        </is>
      </c>
      <c r="B510" s="50" t="inlineStr">
        <is>
          <t>Amplify</t>
        </is>
      </c>
      <c r="C510" s="50" t="inlineStr">
        <is>
          <t>Constellation Brands</t>
        </is>
      </c>
      <c r="D510" s="50" t="inlineStr">
        <is>
          <t>Modelo Chelada</t>
        </is>
      </c>
      <c r="E510" s="46" t="n">
        <v>290</v>
      </c>
      <c r="F510" s="46" t="n">
        <v>268</v>
      </c>
      <c r="G510" s="48" t="n">
        <v>9038.5</v>
      </c>
      <c r="H510" s="48" t="n">
        <v>8042.65</v>
      </c>
      <c r="I510" s="48" t="n">
        <v>2404.86</v>
      </c>
      <c r="J510" s="48" t="n">
        <v>2062.6</v>
      </c>
    </row>
    <row r="511">
      <c r="A511" s="50" t="inlineStr">
        <is>
          <t>Michael Harboy</t>
        </is>
      </c>
      <c r="B511" s="50" t="inlineStr">
        <is>
          <t>Amplify</t>
        </is>
      </c>
      <c r="C511" s="50" t="inlineStr">
        <is>
          <t>Constellation Brands</t>
        </is>
      </c>
      <c r="D511" s="50" t="inlineStr">
        <is>
          <t>Pacifico</t>
        </is>
      </c>
      <c r="E511" s="46" t="n">
        <v>89</v>
      </c>
      <c r="F511" s="46" t="n">
        <v>102</v>
      </c>
      <c r="G511" s="48" t="n">
        <v>2694.5</v>
      </c>
      <c r="H511" s="48" t="n">
        <v>3122.55</v>
      </c>
      <c r="I511" s="48" t="n">
        <v>599.6900000000001</v>
      </c>
      <c r="J511" s="48" t="n">
        <v>714.23</v>
      </c>
    </row>
    <row r="512">
      <c r="A512" s="50" t="inlineStr">
        <is>
          <t>Michael Harboy</t>
        </is>
      </c>
      <c r="B512" s="50" t="inlineStr">
        <is>
          <t>Amplify</t>
        </is>
      </c>
      <c r="C512" s="50" t="inlineStr">
        <is>
          <t>Constellation Brands</t>
        </is>
      </c>
      <c r="D512" s="50" t="inlineStr">
        <is>
          <t>Victoria</t>
        </is>
      </c>
      <c r="E512" s="46" t="n">
        <v>160</v>
      </c>
      <c r="F512" s="46" t="n">
        <v>134</v>
      </c>
      <c r="G512" s="48" t="n">
        <v>4831.45</v>
      </c>
      <c r="H512" s="48" t="n">
        <v>4010.35</v>
      </c>
      <c r="I512" s="48" t="n">
        <v>1119.27</v>
      </c>
      <c r="J512" s="48" t="n">
        <v>941.16</v>
      </c>
    </row>
    <row r="513">
      <c r="A513" s="50" t="inlineStr">
        <is>
          <t>Michael Harboy</t>
        </is>
      </c>
      <c r="B513" s="50" t="inlineStr">
        <is>
          <t>Amplify</t>
        </is>
      </c>
      <c r="C513" s="50" t="inlineStr">
        <is>
          <t>Sapporo</t>
        </is>
      </c>
      <c r="D513" s="50" t="inlineStr">
        <is>
          <t>Sapporo</t>
        </is>
      </c>
      <c r="E513" s="46" t="n">
        <v>422</v>
      </c>
      <c r="F513" s="46" t="n">
        <v>621</v>
      </c>
      <c r="G513" s="48" t="n">
        <v>12000.75</v>
      </c>
      <c r="H513" s="48" t="n">
        <v>17698.75</v>
      </c>
      <c r="I513" s="48" t="n">
        <v>3045</v>
      </c>
      <c r="J513" s="48" t="n">
        <v>4387.67</v>
      </c>
    </row>
    <row r="514">
      <c r="A514" s="50" t="inlineStr">
        <is>
          <t>Michael Harboy</t>
        </is>
      </c>
      <c r="B514" s="50" t="inlineStr">
        <is>
          <t>Amplify</t>
        </is>
      </c>
      <c r="C514" s="50" t="inlineStr">
        <is>
          <t>Bell's</t>
        </is>
      </c>
      <c r="D514" s="50" t="inlineStr">
        <is>
          <t>Bell's</t>
        </is>
      </c>
      <c r="E514" s="46" t="n">
        <v>-1</v>
      </c>
      <c r="F514" s="46" t="n">
        <v>0</v>
      </c>
      <c r="G514" s="48" t="n">
        <v>-32.4</v>
      </c>
      <c r="H514" s="48" t="n">
        <v>0</v>
      </c>
      <c r="I514" s="48" t="n">
        <v>-9.619999999999999</v>
      </c>
      <c r="J514" s="48" t="n">
        <v>0</v>
      </c>
    </row>
    <row r="515">
      <c r="A515" s="50" t="inlineStr">
        <is>
          <t>Michael Harboy</t>
        </is>
      </c>
      <c r="B515" s="50" t="inlineStr">
        <is>
          <t>Amplify</t>
        </is>
      </c>
      <c r="C515" s="50" t="inlineStr">
        <is>
          <t>New Belgium Brewing Company</t>
        </is>
      </c>
      <c r="D515" s="50" t="inlineStr">
        <is>
          <t>Fat Tire Family</t>
        </is>
      </c>
      <c r="E515" s="46" t="n">
        <v>14</v>
      </c>
      <c r="F515" s="46" t="n">
        <v>6</v>
      </c>
      <c r="G515" s="48" t="n">
        <v>462</v>
      </c>
      <c r="H515" s="48" t="n">
        <v>195.5</v>
      </c>
      <c r="I515" s="48" t="n">
        <v>106</v>
      </c>
      <c r="J515" s="48" t="n">
        <v>45.34</v>
      </c>
    </row>
    <row r="516">
      <c r="A516" s="50" t="inlineStr">
        <is>
          <t>Michael Harboy</t>
        </is>
      </c>
      <c r="B516" s="50" t="inlineStr">
        <is>
          <t>Amplify</t>
        </is>
      </c>
      <c r="C516" s="50" t="inlineStr">
        <is>
          <t>New Belgium Brewing Company</t>
        </is>
      </c>
      <c r="D516" s="50" t="inlineStr">
        <is>
          <t>Kirin Ichiban</t>
        </is>
      </c>
      <c r="E516" s="46" t="n">
        <v>5</v>
      </c>
      <c r="F516" s="46" t="n">
        <v>5</v>
      </c>
      <c r="G516" s="48" t="n">
        <v>157.5</v>
      </c>
      <c r="H516" s="48" t="n">
        <v>157.5</v>
      </c>
      <c r="I516" s="48" t="n">
        <v>36.6</v>
      </c>
      <c r="J516" s="48" t="n">
        <v>36.6</v>
      </c>
    </row>
    <row r="517">
      <c r="A517" s="50" t="inlineStr">
        <is>
          <t>Michael Harboy</t>
        </is>
      </c>
      <c r="B517" s="50" t="inlineStr">
        <is>
          <t>Amplify</t>
        </is>
      </c>
      <c r="C517" s="50" t="inlineStr">
        <is>
          <t>New Belgium Brewing Company</t>
        </is>
      </c>
      <c r="D517" s="50" t="inlineStr">
        <is>
          <t>Voodoo Family</t>
        </is>
      </c>
      <c r="E517" s="46" t="n">
        <v>216</v>
      </c>
      <c r="F517" s="46" t="n">
        <v>163</v>
      </c>
      <c r="G517" s="48" t="n">
        <v>7686</v>
      </c>
      <c r="H517" s="48" t="n">
        <v>5901.2</v>
      </c>
      <c r="I517" s="48" t="n">
        <v>1836.53</v>
      </c>
      <c r="J517" s="48" t="n">
        <v>1484.88</v>
      </c>
    </row>
    <row r="518">
      <c r="A518" s="50" t="inlineStr">
        <is>
          <t>Michael Harboy</t>
        </is>
      </c>
      <c r="B518" s="50" t="inlineStr">
        <is>
          <t>Amplify</t>
        </is>
      </c>
      <c r="C518" s="50" t="inlineStr">
        <is>
          <t>DG Yuengling Inc</t>
        </is>
      </c>
      <c r="D518" s="50" t="inlineStr">
        <is>
          <t>Yuengling Flight</t>
        </is>
      </c>
      <c r="E518" s="46" t="n">
        <v>26</v>
      </c>
      <c r="F518" s="46" t="n">
        <v>34</v>
      </c>
      <c r="G518" s="48" t="n">
        <v>647.8</v>
      </c>
      <c r="H518" s="48" t="n">
        <v>863.3</v>
      </c>
      <c r="I518" s="48" t="n">
        <v>196.02</v>
      </c>
      <c r="J518" s="48" t="n">
        <v>264.71</v>
      </c>
    </row>
    <row r="519">
      <c r="A519" s="50" t="inlineStr">
        <is>
          <t>Michael Harboy</t>
        </is>
      </c>
      <c r="B519" s="50" t="inlineStr">
        <is>
          <t>Amplify</t>
        </is>
      </c>
      <c r="C519" s="50" t="inlineStr">
        <is>
          <t>DG Yuengling Inc</t>
        </is>
      </c>
      <c r="D519" s="50" t="inlineStr">
        <is>
          <t>Yuengling Light Lager</t>
        </is>
      </c>
      <c r="E519" s="46" t="n">
        <v>44</v>
      </c>
      <c r="F519" s="46" t="n">
        <v>20</v>
      </c>
      <c r="G519" s="48" t="n">
        <v>1021.9</v>
      </c>
      <c r="H519" s="48" t="n">
        <v>507.9</v>
      </c>
      <c r="I519" s="48" t="n">
        <v>275.62</v>
      </c>
      <c r="J519" s="48" t="n">
        <v>145.37</v>
      </c>
    </row>
    <row r="520">
      <c r="A520" s="50" t="inlineStr">
        <is>
          <t>Michael Harboy</t>
        </is>
      </c>
      <c r="B520" s="50" t="inlineStr">
        <is>
          <t>Qualifier</t>
        </is>
      </c>
      <c r="C520" s="50" t="inlineStr">
        <is>
          <t>MolsonCoors Beverage Company</t>
        </is>
      </c>
      <c r="D520" s="50" t="inlineStr">
        <is>
          <t>Blue Moon</t>
        </is>
      </c>
      <c r="E520" s="46" t="n">
        <v>303</v>
      </c>
      <c r="F520" s="46" t="n">
        <v>261</v>
      </c>
      <c r="G520" s="48" t="n">
        <v>9720.200000000001</v>
      </c>
      <c r="H520" s="48" t="n">
        <v>8311.450000000001</v>
      </c>
      <c r="I520" s="48" t="n">
        <v>2120.75</v>
      </c>
      <c r="J520" s="48" t="n">
        <v>1815.11</v>
      </c>
    </row>
    <row r="521">
      <c r="A521" s="50" t="inlineStr">
        <is>
          <t>Michael Harboy</t>
        </is>
      </c>
      <c r="B521" s="50" t="inlineStr">
        <is>
          <t>Qualifier</t>
        </is>
      </c>
      <c r="C521" s="50" t="inlineStr">
        <is>
          <t>MolsonCoors Beverage Company</t>
        </is>
      </c>
      <c r="D521" s="50" t="inlineStr">
        <is>
          <t>Coors Light</t>
        </is>
      </c>
      <c r="E521" s="46" t="n">
        <v>2426</v>
      </c>
      <c r="F521" s="46" t="n">
        <v>2104</v>
      </c>
      <c r="G521" s="48" t="n">
        <v>52615.05</v>
      </c>
      <c r="H521" s="48" t="n">
        <v>46430.5</v>
      </c>
      <c r="I521" s="48" t="n">
        <v>13917.63</v>
      </c>
      <c r="J521" s="48" t="n">
        <v>12220.43</v>
      </c>
    </row>
    <row r="522">
      <c r="A522" s="50" t="inlineStr">
        <is>
          <t>Michael Harboy</t>
        </is>
      </c>
      <c r="B522" s="50" t="inlineStr">
        <is>
          <t>Qualifier</t>
        </is>
      </c>
      <c r="C522" s="50" t="inlineStr">
        <is>
          <t>MolsonCoors Beverage Company</t>
        </is>
      </c>
      <c r="D522" s="50" t="inlineStr">
        <is>
          <t>Lite</t>
        </is>
      </c>
      <c r="E522" s="46" t="n">
        <v>2241</v>
      </c>
      <c r="F522" s="46" t="n">
        <v>1576</v>
      </c>
      <c r="G522" s="48" t="n">
        <v>49410.8</v>
      </c>
      <c r="H522" s="48" t="n">
        <v>35308.85</v>
      </c>
      <c r="I522" s="48" t="n">
        <v>11931.06</v>
      </c>
      <c r="J522" s="48" t="n">
        <v>8533.940000000001</v>
      </c>
    </row>
    <row r="523">
      <c r="A523" s="50" t="inlineStr">
        <is>
          <t>Michael Harboy</t>
        </is>
      </c>
      <c r="B523" s="50" t="inlineStr">
        <is>
          <t>Qualifier</t>
        </is>
      </c>
      <c r="C523" s="50" t="inlineStr">
        <is>
          <t>Heineken USA</t>
        </is>
      </c>
      <c r="D523" s="50" t="inlineStr">
        <is>
          <t>Heineken USA</t>
        </is>
      </c>
      <c r="E523" s="46" t="n">
        <v>910</v>
      </c>
      <c r="F523" s="46" t="n">
        <v>631</v>
      </c>
      <c r="G523" s="48" t="n">
        <v>28332.25</v>
      </c>
      <c r="H523" s="48" t="n">
        <v>19533.8</v>
      </c>
      <c r="I523" s="48" t="n">
        <v>6758.51</v>
      </c>
      <c r="J523" s="48" t="n">
        <v>4621.35</v>
      </c>
    </row>
    <row r="524">
      <c r="A524" s="50" t="inlineStr">
        <is>
          <t>Michael Harboy</t>
        </is>
      </c>
      <c r="B524" s="50" t="inlineStr">
        <is>
          <t>Qualifier</t>
        </is>
      </c>
      <c r="C524" s="50" t="inlineStr">
        <is>
          <t>Constellation Brands</t>
        </is>
      </c>
      <c r="D524" s="50" t="inlineStr">
        <is>
          <t>Corona Extra</t>
        </is>
      </c>
      <c r="E524" s="46" t="n">
        <v>2212</v>
      </c>
      <c r="F524" s="46" t="n">
        <v>1973</v>
      </c>
      <c r="G524" s="48" t="n">
        <v>70293.64999999999</v>
      </c>
      <c r="H524" s="48" t="n">
        <v>62885.9</v>
      </c>
      <c r="I524" s="48" t="n">
        <v>16530.57</v>
      </c>
      <c r="J524" s="48" t="n">
        <v>15070.3</v>
      </c>
    </row>
    <row r="525">
      <c r="A525" s="50" t="inlineStr">
        <is>
          <t>Michael Harboy</t>
        </is>
      </c>
      <c r="B525" s="50" t="inlineStr">
        <is>
          <t>Qualifier</t>
        </is>
      </c>
      <c r="C525" s="50" t="inlineStr">
        <is>
          <t>Constellation Brands</t>
        </is>
      </c>
      <c r="D525" s="50" t="inlineStr">
        <is>
          <t>Modelo Especial</t>
        </is>
      </c>
      <c r="E525" s="46" t="n">
        <v>2231</v>
      </c>
      <c r="F525" s="46" t="n">
        <v>2104</v>
      </c>
      <c r="G525" s="48" t="n">
        <v>66972.55</v>
      </c>
      <c r="H525" s="48" t="n">
        <v>63425.15</v>
      </c>
      <c r="I525" s="48" t="n">
        <v>14670.4</v>
      </c>
      <c r="J525" s="48" t="n">
        <v>14594.51</v>
      </c>
    </row>
    <row r="526">
      <c r="A526" s="50" t="inlineStr">
        <is>
          <t>Michael Harboy</t>
        </is>
      </c>
      <c r="B526" s="50" t="inlineStr">
        <is>
          <t>Qualifier</t>
        </is>
      </c>
      <c r="C526" s="50" t="inlineStr">
        <is>
          <t>Boston Beer Company</t>
        </is>
      </c>
      <c r="D526" s="50" t="inlineStr">
        <is>
          <t>Truly</t>
        </is>
      </c>
      <c r="E526" s="46" t="n">
        <v>109</v>
      </c>
      <c r="F526" s="46" t="n">
        <v>56</v>
      </c>
      <c r="G526" s="48" t="n">
        <v>2903.5</v>
      </c>
      <c r="H526" s="48" t="n">
        <v>1592.2</v>
      </c>
      <c r="I526" s="48" t="n">
        <v>455.01</v>
      </c>
      <c r="J526" s="48" t="n">
        <v>323.08</v>
      </c>
    </row>
    <row r="527">
      <c r="A527" s="50" t="inlineStr">
        <is>
          <t>Michael Harboy</t>
        </is>
      </c>
      <c r="B527" s="50" t="inlineStr">
        <is>
          <t>Qualifier</t>
        </is>
      </c>
      <c r="C527" s="50" t="inlineStr">
        <is>
          <t>Boston Beer Company</t>
        </is>
      </c>
      <c r="D527" s="50" t="inlineStr">
        <is>
          <t>Twisted Tea</t>
        </is>
      </c>
      <c r="E527" s="46" t="n">
        <v>612</v>
      </c>
      <c r="F527" s="46" t="n">
        <v>371</v>
      </c>
      <c r="G527" s="48" t="n">
        <v>17498</v>
      </c>
      <c r="H527" s="48" t="n">
        <v>10866</v>
      </c>
      <c r="I527" s="48" t="n">
        <v>4311.6</v>
      </c>
      <c r="J527" s="48" t="n">
        <v>2756.15</v>
      </c>
    </row>
    <row r="528">
      <c r="A528" s="50" t="inlineStr">
        <is>
          <t>Michael Harboy</t>
        </is>
      </c>
      <c r="B528" s="50" t="inlineStr">
        <is>
          <t>Qualifier</t>
        </is>
      </c>
      <c r="C528" s="50" t="inlineStr">
        <is>
          <t>Mark Anthony</t>
        </is>
      </c>
      <c r="D528" s="50" t="inlineStr">
        <is>
          <t>White Claw</t>
        </is>
      </c>
      <c r="E528" s="46" t="n">
        <v>1505</v>
      </c>
      <c r="F528" s="46" t="n">
        <v>1327</v>
      </c>
      <c r="G528" s="48" t="n">
        <v>46409.85</v>
      </c>
      <c r="H528" s="48" t="n">
        <v>41480.6</v>
      </c>
      <c r="I528" s="48" t="n">
        <v>9144.290000000001</v>
      </c>
      <c r="J528" s="48" t="n">
        <v>7977.37</v>
      </c>
    </row>
    <row r="529">
      <c r="A529" s="50" t="inlineStr">
        <is>
          <t>Michael Harboy</t>
        </is>
      </c>
      <c r="B529" s="50" t="inlineStr">
        <is>
          <t>Qualifier</t>
        </is>
      </c>
      <c r="C529" s="50" t="inlineStr">
        <is>
          <t>DG Yuengling Inc</t>
        </is>
      </c>
      <c r="D529" s="50" t="inlineStr">
        <is>
          <t>Yuengling Lager</t>
        </is>
      </c>
      <c r="E529" s="46" t="n">
        <v>486</v>
      </c>
      <c r="F529" s="46" t="n">
        <v>473</v>
      </c>
      <c r="G529" s="48" t="n">
        <v>11152.4</v>
      </c>
      <c r="H529" s="48" t="n">
        <v>10737.7</v>
      </c>
      <c r="I529" s="48" t="n">
        <v>3150.59</v>
      </c>
      <c r="J529" s="48" t="n">
        <v>2981.85</v>
      </c>
    </row>
    <row r="530">
      <c r="A530" s="50" t="inlineStr">
        <is>
          <t>Mike Ast</t>
        </is>
      </c>
      <c r="B530" s="50" t="inlineStr">
        <is>
          <t>Amplify</t>
        </is>
      </c>
      <c r="C530" s="50" t="inlineStr">
        <is>
          <t>Cape May</t>
        </is>
      </c>
      <c r="D530" s="50" t="inlineStr">
        <is>
          <t>Cape May</t>
        </is>
      </c>
      <c r="E530" s="46" t="n">
        <v>1034</v>
      </c>
      <c r="F530" s="46" t="n">
        <v>1030</v>
      </c>
      <c r="G530" s="48" t="n">
        <v>41896.2</v>
      </c>
      <c r="H530" s="48" t="n">
        <v>41044</v>
      </c>
      <c r="I530" s="48" t="n">
        <v>12298.39</v>
      </c>
      <c r="J530" s="48" t="n">
        <v>12074.85</v>
      </c>
    </row>
    <row r="531">
      <c r="A531" s="50" t="inlineStr">
        <is>
          <t>Mike Ast</t>
        </is>
      </c>
      <c r="B531" s="50" t="inlineStr">
        <is>
          <t>Amplify</t>
        </is>
      </c>
      <c r="C531" s="50" t="inlineStr">
        <is>
          <t>Mark Anthony</t>
        </is>
      </c>
      <c r="D531" s="50" t="inlineStr">
        <is>
          <t>Cayman Jack</t>
        </is>
      </c>
      <c r="E531" s="46" t="n">
        <v>567</v>
      </c>
      <c r="F531" s="46" t="n">
        <v>555</v>
      </c>
      <c r="G531" s="48" t="n">
        <v>17920</v>
      </c>
      <c r="H531" s="48" t="n">
        <v>17320.25</v>
      </c>
      <c r="I531" s="48" t="n">
        <v>4182.44</v>
      </c>
      <c r="J531" s="48" t="n">
        <v>3895.85</v>
      </c>
    </row>
    <row r="532">
      <c r="A532" s="50" t="inlineStr">
        <is>
          <t>Mike Ast</t>
        </is>
      </c>
      <c r="B532" s="50" t="inlineStr">
        <is>
          <t>Amplify</t>
        </is>
      </c>
      <c r="C532" s="50" t="inlineStr">
        <is>
          <t>Mark Anthony</t>
        </is>
      </c>
      <c r="D532" s="50" t="inlineStr">
        <is>
          <t>Mike's Harder</t>
        </is>
      </c>
      <c r="E532" s="46" t="n">
        <v>147</v>
      </c>
      <c r="F532" s="46" t="n">
        <v>131</v>
      </c>
      <c r="G532" s="48" t="n">
        <v>4109</v>
      </c>
      <c r="H532" s="48" t="n">
        <v>3910</v>
      </c>
      <c r="I532" s="48" t="n">
        <v>894.16</v>
      </c>
      <c r="J532" s="48" t="n">
        <v>846.21</v>
      </c>
    </row>
    <row r="533">
      <c r="A533" s="50" t="inlineStr">
        <is>
          <t>Mike Ast</t>
        </is>
      </c>
      <c r="B533" s="50" t="inlineStr">
        <is>
          <t>Amplify</t>
        </is>
      </c>
      <c r="C533" s="50" t="inlineStr">
        <is>
          <t>Mark Anthony</t>
        </is>
      </c>
      <c r="D533" s="50" t="inlineStr">
        <is>
          <t>Mxd Cocktails</t>
        </is>
      </c>
      <c r="E533" s="46" t="n">
        <v>17</v>
      </c>
      <c r="F533" s="46" t="n">
        <v>4</v>
      </c>
      <c r="G533" s="48" t="n">
        <v>416</v>
      </c>
      <c r="H533" s="48" t="n">
        <v>96</v>
      </c>
      <c r="I533" s="48" t="n">
        <v>78.22</v>
      </c>
      <c r="J533" s="48" t="n">
        <v>18.03</v>
      </c>
    </row>
    <row r="534">
      <c r="A534" s="50" t="inlineStr">
        <is>
          <t>Mike Ast</t>
        </is>
      </c>
      <c r="B534" s="50" t="inlineStr">
        <is>
          <t>Amplify</t>
        </is>
      </c>
      <c r="C534" s="50" t="inlineStr">
        <is>
          <t>MolsonCoors Beverage Company</t>
        </is>
      </c>
      <c r="D534" s="50" t="inlineStr">
        <is>
          <t>Coors</t>
        </is>
      </c>
      <c r="E534" s="46" t="n">
        <v>2060</v>
      </c>
      <c r="F534" s="46" t="n">
        <v>2008</v>
      </c>
      <c r="G534" s="48" t="n">
        <v>45193.4</v>
      </c>
      <c r="H534" s="48" t="n">
        <v>45918.6</v>
      </c>
      <c r="I534" s="48" t="n">
        <v>11806.1</v>
      </c>
      <c r="J534" s="48" t="n">
        <v>12446.92</v>
      </c>
    </row>
    <row r="535">
      <c r="A535" s="50" t="inlineStr">
        <is>
          <t>Mike Ast</t>
        </is>
      </c>
      <c r="B535" s="50" t="inlineStr">
        <is>
          <t>Amplify</t>
        </is>
      </c>
      <c r="C535" s="50" t="inlineStr">
        <is>
          <t>MolsonCoors Beverage Company</t>
        </is>
      </c>
      <c r="D535" s="50" t="inlineStr">
        <is>
          <t>Fever Tree</t>
        </is>
      </c>
      <c r="E535" s="46" t="n">
        <v>129</v>
      </c>
      <c r="F535" s="46" t="n">
        <v>198</v>
      </c>
      <c r="G535" s="48" t="n">
        <v>5601.96</v>
      </c>
      <c r="H535" s="48" t="n">
        <v>8906.959999999999</v>
      </c>
      <c r="I535" s="48" t="n">
        <v>1661.33</v>
      </c>
      <c r="J535" s="48" t="n">
        <v>2840.73</v>
      </c>
    </row>
    <row r="536">
      <c r="A536" s="50" t="inlineStr">
        <is>
          <t>Mike Ast</t>
        </is>
      </c>
      <c r="B536" s="50" t="inlineStr">
        <is>
          <t>Amplify</t>
        </is>
      </c>
      <c r="C536" s="50" t="inlineStr">
        <is>
          <t>MolsonCoors Beverage Company</t>
        </is>
      </c>
      <c r="D536" s="50" t="inlineStr">
        <is>
          <t>Peroni</t>
        </is>
      </c>
      <c r="E536" s="46" t="n">
        <v>1309</v>
      </c>
      <c r="F536" s="46" t="n">
        <v>1476</v>
      </c>
      <c r="G536" s="48" t="n">
        <v>44805.6</v>
      </c>
      <c r="H536" s="48" t="n">
        <v>49701.3</v>
      </c>
      <c r="I536" s="48" t="n">
        <v>9125.639999999999</v>
      </c>
      <c r="J536" s="48" t="n">
        <v>9585.32</v>
      </c>
    </row>
    <row r="537">
      <c r="A537" s="50" t="inlineStr">
        <is>
          <t>Mike Ast</t>
        </is>
      </c>
      <c r="B537" s="50" t="inlineStr">
        <is>
          <t>Amplify</t>
        </is>
      </c>
      <c r="C537" s="50" t="inlineStr">
        <is>
          <t>Boston Beer Company</t>
        </is>
      </c>
      <c r="D537" s="50" t="inlineStr">
        <is>
          <t>Dogfish Head Beer</t>
        </is>
      </c>
      <c r="E537" s="46" t="n">
        <v>848</v>
      </c>
      <c r="F537" s="46" t="n">
        <v>954</v>
      </c>
      <c r="G537" s="48" t="n">
        <v>29328.8</v>
      </c>
      <c r="H537" s="48" t="n">
        <v>32190.8</v>
      </c>
      <c r="I537" s="48" t="n">
        <v>7438.74</v>
      </c>
      <c r="J537" s="48" t="n">
        <v>7687.17</v>
      </c>
    </row>
    <row r="538">
      <c r="A538" s="50" t="inlineStr">
        <is>
          <t>Mike Ast</t>
        </is>
      </c>
      <c r="B538" s="50" t="inlineStr">
        <is>
          <t>Amplify</t>
        </is>
      </c>
      <c r="C538" s="50" t="inlineStr">
        <is>
          <t>Boston Beer Company</t>
        </is>
      </c>
      <c r="D538" s="50" t="inlineStr">
        <is>
          <t>Dogfish Head Spirits</t>
        </is>
      </c>
      <c r="E538" s="46" t="n">
        <v>257</v>
      </c>
      <c r="F538" s="46" t="n">
        <v>183</v>
      </c>
      <c r="G538" s="48" t="n">
        <v>13011.8</v>
      </c>
      <c r="H538" s="48" t="n">
        <v>8970.700000000001</v>
      </c>
      <c r="I538" s="48" t="n">
        <v>4640.68</v>
      </c>
      <c r="J538" s="48" t="n">
        <v>2951.89</v>
      </c>
    </row>
    <row r="539">
      <c r="A539" s="50" t="inlineStr">
        <is>
          <t>Mike Ast</t>
        </is>
      </c>
      <c r="B539" s="50" t="inlineStr">
        <is>
          <t>Amplify</t>
        </is>
      </c>
      <c r="C539" s="50" t="inlineStr">
        <is>
          <t>Heineken USA</t>
        </is>
      </c>
      <c r="D539" s="50" t="inlineStr">
        <is>
          <t>Heineken 0.0</t>
        </is>
      </c>
      <c r="E539" s="46" t="n">
        <v>662</v>
      </c>
      <c r="F539" s="46" t="n">
        <v>613</v>
      </c>
      <c r="G539" s="48" t="n">
        <v>22362.9</v>
      </c>
      <c r="H539" s="48" t="n">
        <v>20673.1</v>
      </c>
      <c r="I539" s="48" t="n">
        <v>5915.22</v>
      </c>
      <c r="J539" s="48" t="n">
        <v>5448.17</v>
      </c>
    </row>
    <row r="540">
      <c r="A540" s="50" t="inlineStr">
        <is>
          <t>Mike Ast</t>
        </is>
      </c>
      <c r="B540" s="50" t="inlineStr">
        <is>
          <t>Amplify</t>
        </is>
      </c>
      <c r="C540" s="50" t="inlineStr">
        <is>
          <t>Heineken USA</t>
        </is>
      </c>
      <c r="D540" s="50" t="inlineStr">
        <is>
          <t>Heineken Light</t>
        </is>
      </c>
      <c r="E540" s="46" t="n">
        <v>850</v>
      </c>
      <c r="F540" s="46" t="n">
        <v>619</v>
      </c>
      <c r="G540" s="48" t="n">
        <v>26781.15</v>
      </c>
      <c r="H540" s="48" t="n">
        <v>19307.15</v>
      </c>
      <c r="I540" s="48" t="n">
        <v>6573.65</v>
      </c>
      <c r="J540" s="48" t="n">
        <v>4589.99</v>
      </c>
    </row>
    <row r="541">
      <c r="A541" s="50" t="inlineStr">
        <is>
          <t>Mike Ast</t>
        </is>
      </c>
      <c r="B541" s="50" t="inlineStr">
        <is>
          <t>Amplify</t>
        </is>
      </c>
      <c r="C541" s="50" t="inlineStr">
        <is>
          <t>Constellation Brands</t>
        </is>
      </c>
      <c r="D541" s="50" t="inlineStr">
        <is>
          <t>Corona Premier</t>
        </is>
      </c>
      <c r="E541" s="46" t="n">
        <v>832</v>
      </c>
      <c r="F541" s="46" t="n">
        <v>799</v>
      </c>
      <c r="G541" s="48" t="n">
        <v>26029.45</v>
      </c>
      <c r="H541" s="48" t="n">
        <v>21879.2</v>
      </c>
      <c r="I541" s="48" t="n">
        <v>5467.34</v>
      </c>
      <c r="J541" s="48" t="n">
        <v>5588.19</v>
      </c>
    </row>
    <row r="542">
      <c r="A542" s="50" t="inlineStr">
        <is>
          <t>Mike Ast</t>
        </is>
      </c>
      <c r="B542" s="50" t="inlineStr">
        <is>
          <t>Amplify</t>
        </is>
      </c>
      <c r="C542" s="50" t="inlineStr">
        <is>
          <t>Constellation Brands</t>
        </is>
      </c>
      <c r="D542" s="50" t="inlineStr">
        <is>
          <t>Modelo Chelada</t>
        </is>
      </c>
      <c r="E542" s="46" t="n">
        <v>783</v>
      </c>
      <c r="F542" s="46" t="n">
        <v>1204</v>
      </c>
      <c r="G542" s="48" t="n">
        <v>24365.7</v>
      </c>
      <c r="H542" s="48" t="n">
        <v>37359.05</v>
      </c>
      <c r="I542" s="48" t="n">
        <v>6387.11</v>
      </c>
      <c r="J542" s="48" t="n">
        <v>9616.639999999999</v>
      </c>
    </row>
    <row r="543">
      <c r="A543" s="50" t="inlineStr">
        <is>
          <t>Mike Ast</t>
        </is>
      </c>
      <c r="B543" s="50" t="inlineStr">
        <is>
          <t>Amplify</t>
        </is>
      </c>
      <c r="C543" s="50" t="inlineStr">
        <is>
          <t>Constellation Brands</t>
        </is>
      </c>
      <c r="D543" s="50" t="inlineStr">
        <is>
          <t>Pacifico</t>
        </is>
      </c>
      <c r="E543" s="46" t="n">
        <v>590</v>
      </c>
      <c r="F543" s="46" t="n">
        <v>818</v>
      </c>
      <c r="G543" s="48" t="n">
        <v>17898</v>
      </c>
      <c r="H543" s="48" t="n">
        <v>25020.55</v>
      </c>
      <c r="I543" s="48" t="n">
        <v>4156</v>
      </c>
      <c r="J543" s="48" t="n">
        <v>5817.78</v>
      </c>
    </row>
    <row r="544">
      <c r="A544" s="50" t="inlineStr">
        <is>
          <t>Mike Ast</t>
        </is>
      </c>
      <c r="B544" s="50" t="inlineStr">
        <is>
          <t>Amplify</t>
        </is>
      </c>
      <c r="C544" s="50" t="inlineStr">
        <is>
          <t>Constellation Brands</t>
        </is>
      </c>
      <c r="D544" s="50" t="inlineStr">
        <is>
          <t>Victoria</t>
        </is>
      </c>
      <c r="E544" s="46" t="n">
        <v>292</v>
      </c>
      <c r="F544" s="46" t="n">
        <v>335</v>
      </c>
      <c r="G544" s="48" t="n">
        <v>8808.5</v>
      </c>
      <c r="H544" s="48" t="n">
        <v>10120.5</v>
      </c>
      <c r="I544" s="48" t="n">
        <v>2155.41</v>
      </c>
      <c r="J544" s="48" t="n">
        <v>2437.29</v>
      </c>
    </row>
    <row r="545">
      <c r="A545" s="50" t="inlineStr">
        <is>
          <t>Mike Ast</t>
        </is>
      </c>
      <c r="B545" s="50" t="inlineStr">
        <is>
          <t>Amplify</t>
        </is>
      </c>
      <c r="C545" s="50" t="inlineStr">
        <is>
          <t>Sapporo</t>
        </is>
      </c>
      <c r="D545" s="50" t="inlineStr">
        <is>
          <t>Sapporo</t>
        </is>
      </c>
      <c r="E545" s="46" t="n">
        <v>454</v>
      </c>
      <c r="F545" s="46" t="n">
        <v>467</v>
      </c>
      <c r="G545" s="48" t="n">
        <v>13429.5</v>
      </c>
      <c r="H545" s="48" t="n">
        <v>13891</v>
      </c>
      <c r="I545" s="48" t="n">
        <v>3562.99</v>
      </c>
      <c r="J545" s="48" t="n">
        <v>3638.87</v>
      </c>
    </row>
    <row r="546">
      <c r="A546" s="50" t="inlineStr">
        <is>
          <t>Mike Ast</t>
        </is>
      </c>
      <c r="B546" s="50" t="inlineStr">
        <is>
          <t>Amplify</t>
        </is>
      </c>
      <c r="C546" s="50" t="inlineStr">
        <is>
          <t>Bell's</t>
        </is>
      </c>
      <c r="D546" s="50" t="inlineStr">
        <is>
          <t>Bell's</t>
        </is>
      </c>
      <c r="E546" s="46" t="n">
        <v>34</v>
      </c>
      <c r="F546" s="46" t="n">
        <v>28</v>
      </c>
      <c r="G546" s="48" t="n">
        <v>1199.3</v>
      </c>
      <c r="H546" s="48" t="n">
        <v>985.6</v>
      </c>
      <c r="I546" s="48" t="n">
        <v>387.9</v>
      </c>
      <c r="J546" s="48" t="n">
        <v>321.52</v>
      </c>
    </row>
    <row r="547">
      <c r="A547" s="50" t="inlineStr">
        <is>
          <t>Mike Ast</t>
        </is>
      </c>
      <c r="B547" s="50" t="inlineStr">
        <is>
          <t>Amplify</t>
        </is>
      </c>
      <c r="C547" s="50" t="inlineStr">
        <is>
          <t>New Belgium Brewing Company</t>
        </is>
      </c>
      <c r="D547" s="50" t="inlineStr">
        <is>
          <t>Fat Tire Family</t>
        </is>
      </c>
      <c r="E547" s="46" t="n">
        <v>136</v>
      </c>
      <c r="F547" s="46" t="n">
        <v>99</v>
      </c>
      <c r="G547" s="48" t="n">
        <v>4594.7</v>
      </c>
      <c r="H547" s="48" t="n">
        <v>3103</v>
      </c>
      <c r="I547" s="48" t="n">
        <v>1125.69</v>
      </c>
      <c r="J547" s="48" t="n">
        <v>738.2</v>
      </c>
    </row>
    <row r="548">
      <c r="A548" s="50" t="inlineStr">
        <is>
          <t>Mike Ast</t>
        </is>
      </c>
      <c r="B548" s="50" t="inlineStr">
        <is>
          <t>Amplify</t>
        </is>
      </c>
      <c r="C548" s="50" t="inlineStr">
        <is>
          <t>New Belgium Brewing Company</t>
        </is>
      </c>
      <c r="D548" s="50" t="inlineStr">
        <is>
          <t>Kirin Ichiban</t>
        </is>
      </c>
      <c r="E548" s="46" t="n">
        <v>2</v>
      </c>
      <c r="F548" s="46" t="n">
        <v>21</v>
      </c>
      <c r="G548" s="48" t="n">
        <v>72</v>
      </c>
      <c r="H548" s="48" t="n">
        <v>625.5</v>
      </c>
      <c r="I548" s="48" t="n">
        <v>23.64</v>
      </c>
      <c r="J548" s="48" t="n">
        <v>165.6</v>
      </c>
    </row>
    <row r="549">
      <c r="A549" s="50" t="inlineStr">
        <is>
          <t>Mike Ast</t>
        </is>
      </c>
      <c r="B549" s="50" t="inlineStr">
        <is>
          <t>Amplify</t>
        </is>
      </c>
      <c r="C549" s="50" t="inlineStr">
        <is>
          <t>New Belgium Brewing Company</t>
        </is>
      </c>
      <c r="D549" s="50" t="inlineStr">
        <is>
          <t>Voodoo Family</t>
        </is>
      </c>
      <c r="E549" s="46" t="n">
        <v>669</v>
      </c>
      <c r="F549" s="46" t="n">
        <v>721</v>
      </c>
      <c r="G549" s="48" t="n">
        <v>23932.4</v>
      </c>
      <c r="H549" s="48" t="n">
        <v>25767.7</v>
      </c>
      <c r="I549" s="48" t="n">
        <v>5974.11</v>
      </c>
      <c r="J549" s="48" t="n">
        <v>6420.81</v>
      </c>
    </row>
    <row r="550">
      <c r="A550" s="50" t="inlineStr">
        <is>
          <t>Mike Ast</t>
        </is>
      </c>
      <c r="B550" s="50" t="inlineStr">
        <is>
          <t>Amplify</t>
        </is>
      </c>
      <c r="C550" s="50" t="inlineStr">
        <is>
          <t>DG Yuengling Inc</t>
        </is>
      </c>
      <c r="D550" s="50" t="inlineStr">
        <is>
          <t>Yuengling Flight</t>
        </is>
      </c>
      <c r="E550" s="46" t="n">
        <v>160</v>
      </c>
      <c r="F550" s="46" t="n">
        <v>111</v>
      </c>
      <c r="G550" s="48" t="n">
        <v>3882.85</v>
      </c>
      <c r="H550" s="48" t="n">
        <v>2853.9</v>
      </c>
      <c r="I550" s="48" t="n">
        <v>1099.47</v>
      </c>
      <c r="J550" s="48" t="n">
        <v>860.88</v>
      </c>
    </row>
    <row r="551">
      <c r="A551" s="50" t="inlineStr">
        <is>
          <t>Mike Ast</t>
        </is>
      </c>
      <c r="B551" s="50" t="inlineStr">
        <is>
          <t>Amplify</t>
        </is>
      </c>
      <c r="C551" s="50" t="inlineStr">
        <is>
          <t>DG Yuengling Inc</t>
        </is>
      </c>
      <c r="D551" s="50" t="inlineStr">
        <is>
          <t>Yuengling Light Lager</t>
        </is>
      </c>
      <c r="E551" s="46" t="n">
        <v>143</v>
      </c>
      <c r="F551" s="46" t="n">
        <v>124</v>
      </c>
      <c r="G551" s="48" t="n">
        <v>3612.9</v>
      </c>
      <c r="H551" s="48" t="n">
        <v>3136.2</v>
      </c>
      <c r="I551" s="48" t="n">
        <v>1075.59</v>
      </c>
      <c r="J551" s="48" t="n">
        <v>918.39</v>
      </c>
    </row>
    <row r="552">
      <c r="A552" s="50" t="inlineStr">
        <is>
          <t>Mike Ast</t>
        </is>
      </c>
      <c r="B552" s="50" t="inlineStr">
        <is>
          <t>Qualifier</t>
        </is>
      </c>
      <c r="C552" s="50" t="inlineStr">
        <is>
          <t>MolsonCoors Beverage Company</t>
        </is>
      </c>
      <c r="D552" s="50" t="inlineStr">
        <is>
          <t>Blue Moon</t>
        </is>
      </c>
      <c r="E552" s="46" t="n">
        <v>1937</v>
      </c>
      <c r="F552" s="46" t="n">
        <v>1801</v>
      </c>
      <c r="G552" s="48" t="n">
        <v>62077.8</v>
      </c>
      <c r="H552" s="48" t="n">
        <v>57592.65</v>
      </c>
      <c r="I552" s="48" t="n">
        <v>14155.24</v>
      </c>
      <c r="J552" s="48" t="n">
        <v>13256.07</v>
      </c>
    </row>
    <row r="553">
      <c r="A553" s="50" t="inlineStr">
        <is>
          <t>Mike Ast</t>
        </is>
      </c>
      <c r="B553" s="50" t="inlineStr">
        <is>
          <t>Qualifier</t>
        </is>
      </c>
      <c r="C553" s="50" t="inlineStr">
        <is>
          <t>MolsonCoors Beverage Company</t>
        </is>
      </c>
      <c r="D553" s="50" t="inlineStr">
        <is>
          <t>Coors Light</t>
        </is>
      </c>
      <c r="E553" s="46" t="n">
        <v>12575</v>
      </c>
      <c r="F553" s="46" t="n">
        <v>11972</v>
      </c>
      <c r="G553" s="48" t="n">
        <v>266896.5</v>
      </c>
      <c r="H553" s="48" t="n">
        <v>261424.35</v>
      </c>
      <c r="I553" s="48" t="n">
        <v>67893.10000000001</v>
      </c>
      <c r="J553" s="48" t="n">
        <v>68053.22</v>
      </c>
    </row>
    <row r="554">
      <c r="A554" s="50" t="inlineStr">
        <is>
          <t>Mike Ast</t>
        </is>
      </c>
      <c r="B554" s="50" t="inlineStr">
        <is>
          <t>Qualifier</t>
        </is>
      </c>
      <c r="C554" s="50" t="inlineStr">
        <is>
          <t>MolsonCoors Beverage Company</t>
        </is>
      </c>
      <c r="D554" s="50" t="inlineStr">
        <is>
          <t>Lite</t>
        </is>
      </c>
      <c r="E554" s="46" t="n">
        <v>10816</v>
      </c>
      <c r="F554" s="46" t="n">
        <v>10817</v>
      </c>
      <c r="G554" s="48" t="n">
        <v>233293.8</v>
      </c>
      <c r="H554" s="48" t="n">
        <v>237275.25</v>
      </c>
      <c r="I554" s="48" t="n">
        <v>54086.06</v>
      </c>
      <c r="J554" s="48" t="n">
        <v>55410.22</v>
      </c>
    </row>
    <row r="555">
      <c r="A555" s="50" t="inlineStr">
        <is>
          <t>Mike Ast</t>
        </is>
      </c>
      <c r="B555" s="50" t="inlineStr">
        <is>
          <t>Qualifier</t>
        </is>
      </c>
      <c r="C555" s="50" t="inlineStr">
        <is>
          <t>Heineken USA</t>
        </is>
      </c>
      <c r="D555" s="50" t="inlineStr">
        <is>
          <t>Heineken USA</t>
        </is>
      </c>
      <c r="E555" s="46" t="n">
        <v>4994</v>
      </c>
      <c r="F555" s="46" t="n">
        <v>4833</v>
      </c>
      <c r="G555" s="48" t="n">
        <v>156616.3</v>
      </c>
      <c r="H555" s="48" t="n">
        <v>149758</v>
      </c>
      <c r="I555" s="48" t="n">
        <v>38457.3</v>
      </c>
      <c r="J555" s="48" t="n">
        <v>35483.33</v>
      </c>
    </row>
    <row r="556">
      <c r="A556" s="50" t="inlineStr">
        <is>
          <t>Mike Ast</t>
        </is>
      </c>
      <c r="B556" s="50" t="inlineStr">
        <is>
          <t>Qualifier</t>
        </is>
      </c>
      <c r="C556" s="50" t="inlineStr">
        <is>
          <t>Constellation Brands</t>
        </is>
      </c>
      <c r="D556" s="50" t="inlineStr">
        <is>
          <t>Corona Extra</t>
        </is>
      </c>
      <c r="E556" s="46" t="n">
        <v>13633</v>
      </c>
      <c r="F556" s="46" t="n">
        <v>12997</v>
      </c>
      <c r="G556" s="48" t="n">
        <v>438672.15</v>
      </c>
      <c r="H556" s="48" t="n">
        <v>421971.65</v>
      </c>
      <c r="I556" s="48" t="n">
        <v>103334.76</v>
      </c>
      <c r="J556" s="48" t="n">
        <v>102241.96</v>
      </c>
    </row>
    <row r="557">
      <c r="A557" s="50" t="inlineStr">
        <is>
          <t>Mike Ast</t>
        </is>
      </c>
      <c r="B557" s="50" t="inlineStr">
        <is>
          <t>Qualifier</t>
        </is>
      </c>
      <c r="C557" s="50" t="inlineStr">
        <is>
          <t>Constellation Brands</t>
        </is>
      </c>
      <c r="D557" s="50" t="inlineStr">
        <is>
          <t>Modelo Especial</t>
        </is>
      </c>
      <c r="E557" s="46" t="n">
        <v>10957</v>
      </c>
      <c r="F557" s="46" t="n">
        <v>11817</v>
      </c>
      <c r="G557" s="48" t="n">
        <v>336352.75</v>
      </c>
      <c r="H557" s="48" t="n">
        <v>362886.55</v>
      </c>
      <c r="I557" s="48" t="n">
        <v>74377.55</v>
      </c>
      <c r="J557" s="48" t="n">
        <v>83549.57000000001</v>
      </c>
    </row>
    <row r="558">
      <c r="A558" s="50" t="inlineStr">
        <is>
          <t>Mike Ast</t>
        </is>
      </c>
      <c r="B558" s="50" t="inlineStr">
        <is>
          <t>Qualifier</t>
        </is>
      </c>
      <c r="C558" s="50" t="inlineStr">
        <is>
          <t>Boston Beer Company</t>
        </is>
      </c>
      <c r="D558" s="50" t="inlineStr">
        <is>
          <t>Truly</t>
        </is>
      </c>
      <c r="E558" s="46" t="n">
        <v>667</v>
      </c>
      <c r="F558" s="46" t="n">
        <v>339</v>
      </c>
      <c r="G558" s="48" t="n">
        <v>18993.8</v>
      </c>
      <c r="H558" s="48" t="n">
        <v>9804.6</v>
      </c>
      <c r="I558" s="48" t="n">
        <v>3845.18</v>
      </c>
      <c r="J558" s="48" t="n">
        <v>2106.2</v>
      </c>
    </row>
    <row r="559">
      <c r="A559" s="50" t="inlineStr">
        <is>
          <t>Mike Ast</t>
        </is>
      </c>
      <c r="B559" s="50" t="inlineStr">
        <is>
          <t>Qualifier</t>
        </is>
      </c>
      <c r="C559" s="50" t="inlineStr">
        <is>
          <t>Boston Beer Company</t>
        </is>
      </c>
      <c r="D559" s="50" t="inlineStr">
        <is>
          <t>Twisted Tea</t>
        </is>
      </c>
      <c r="E559" s="46" t="n">
        <v>2088</v>
      </c>
      <c r="F559" s="46" t="n">
        <v>1475</v>
      </c>
      <c r="G559" s="48" t="n">
        <v>61193.25</v>
      </c>
      <c r="H559" s="48" t="n">
        <v>43144.25</v>
      </c>
      <c r="I559" s="48" t="n">
        <v>15329.84</v>
      </c>
      <c r="J559" s="48" t="n">
        <v>10764.67</v>
      </c>
    </row>
    <row r="560">
      <c r="A560" s="50" t="inlineStr">
        <is>
          <t>Mike Ast</t>
        </is>
      </c>
      <c r="B560" s="50" t="inlineStr">
        <is>
          <t>Qualifier</t>
        </is>
      </c>
      <c r="C560" s="50" t="inlineStr">
        <is>
          <t>Mark Anthony</t>
        </is>
      </c>
      <c r="D560" s="50" t="inlineStr">
        <is>
          <t>White Claw</t>
        </is>
      </c>
      <c r="E560" s="46" t="n">
        <v>6286</v>
      </c>
      <c r="F560" s="46" t="n">
        <v>6247</v>
      </c>
      <c r="G560" s="48" t="n">
        <v>195485.8</v>
      </c>
      <c r="H560" s="48" t="n">
        <v>194601.3</v>
      </c>
      <c r="I560" s="48" t="n">
        <v>39557.71</v>
      </c>
      <c r="J560" s="48" t="n">
        <v>37280.31</v>
      </c>
    </row>
    <row r="561">
      <c r="A561" s="50" t="inlineStr">
        <is>
          <t>Mike Ast</t>
        </is>
      </c>
      <c r="B561" s="50" t="inlineStr">
        <is>
          <t>Qualifier</t>
        </is>
      </c>
      <c r="C561" s="50" t="inlineStr">
        <is>
          <t>DG Yuengling Inc</t>
        </is>
      </c>
      <c r="D561" s="50" t="inlineStr">
        <is>
          <t>Yuengling Lager</t>
        </is>
      </c>
      <c r="E561" s="46" t="n">
        <v>3177</v>
      </c>
      <c r="F561" s="46" t="n">
        <v>3175</v>
      </c>
      <c r="G561" s="48" t="n">
        <v>71146.8</v>
      </c>
      <c r="H561" s="48" t="n">
        <v>70086.55</v>
      </c>
      <c r="I561" s="48" t="n">
        <v>19599.3</v>
      </c>
      <c r="J561" s="48" t="n">
        <v>18788.9</v>
      </c>
    </row>
    <row r="562">
      <c r="A562" s="50" t="inlineStr">
        <is>
          <t>Nick Melissari</t>
        </is>
      </c>
      <c r="B562" s="50" t="inlineStr">
        <is>
          <t>Amplify</t>
        </is>
      </c>
      <c r="C562" s="50" t="inlineStr">
        <is>
          <t>Cape May</t>
        </is>
      </c>
      <c r="D562" s="50" t="inlineStr">
        <is>
          <t>Cape May</t>
        </is>
      </c>
      <c r="E562" s="46" t="n">
        <v>240</v>
      </c>
      <c r="F562" s="46" t="n">
        <v>303</v>
      </c>
      <c r="G562" s="48" t="n">
        <v>8508.200000000001</v>
      </c>
      <c r="H562" s="48" t="n">
        <v>11198.7</v>
      </c>
      <c r="I562" s="48" t="n">
        <v>2278.12</v>
      </c>
      <c r="J562" s="48" t="n">
        <v>3275.68</v>
      </c>
    </row>
    <row r="563">
      <c r="A563" s="50" t="inlineStr">
        <is>
          <t>Nick Melissari</t>
        </is>
      </c>
      <c r="B563" s="50" t="inlineStr">
        <is>
          <t>Amplify</t>
        </is>
      </c>
      <c r="C563" s="50" t="inlineStr">
        <is>
          <t>Mark Anthony</t>
        </is>
      </c>
      <c r="D563" s="50" t="inlineStr">
        <is>
          <t>Cayman Jack</t>
        </is>
      </c>
      <c r="E563" s="46" t="n">
        <v>3</v>
      </c>
      <c r="F563" s="46" t="n">
        <v>4</v>
      </c>
      <c r="G563" s="48" t="n">
        <v>83.5</v>
      </c>
      <c r="H563" s="48" t="n">
        <v>146</v>
      </c>
      <c r="I563" s="48" t="n">
        <v>20.05</v>
      </c>
      <c r="J563" s="48" t="n">
        <v>31.51</v>
      </c>
    </row>
    <row r="564">
      <c r="A564" s="50" t="inlineStr">
        <is>
          <t>Nick Melissari</t>
        </is>
      </c>
      <c r="B564" s="50" t="inlineStr">
        <is>
          <t>Amplify</t>
        </is>
      </c>
      <c r="C564" s="50" t="inlineStr">
        <is>
          <t>Mark Anthony</t>
        </is>
      </c>
      <c r="D564" s="50" t="inlineStr">
        <is>
          <t>Mike's Harder</t>
        </is>
      </c>
      <c r="E564" s="46" t="n">
        <v>7</v>
      </c>
      <c r="F564" s="46" t="n">
        <v>0</v>
      </c>
      <c r="G564" s="48" t="n">
        <v>194</v>
      </c>
      <c r="H564" s="48" t="n">
        <v>0</v>
      </c>
      <c r="I564" s="48" t="n">
        <v>45.92</v>
      </c>
      <c r="J564" s="48" t="n">
        <v>0</v>
      </c>
    </row>
    <row r="565">
      <c r="A565" s="50" t="inlineStr">
        <is>
          <t>Nick Melissari</t>
        </is>
      </c>
      <c r="B565" s="50" t="inlineStr">
        <is>
          <t>Amplify</t>
        </is>
      </c>
      <c r="C565" s="50" t="inlineStr">
        <is>
          <t>Mark Anthony</t>
        </is>
      </c>
      <c r="D565" s="50" t="inlineStr">
        <is>
          <t>Mxd Cocktails</t>
        </is>
      </c>
      <c r="E565" s="46" t="n">
        <v>4</v>
      </c>
      <c r="F565" s="46" t="n">
        <v>3</v>
      </c>
      <c r="G565" s="48" t="n">
        <v>99.90000000000001</v>
      </c>
      <c r="H565" s="48" t="n">
        <v>67.90000000000001</v>
      </c>
      <c r="I565" s="48" t="n">
        <v>21.93</v>
      </c>
      <c r="J565" s="48" t="n">
        <v>15.92</v>
      </c>
    </row>
    <row r="566">
      <c r="A566" s="50" t="inlineStr">
        <is>
          <t>Nick Melissari</t>
        </is>
      </c>
      <c r="B566" s="50" t="inlineStr">
        <is>
          <t>Amplify</t>
        </is>
      </c>
      <c r="C566" s="50" t="inlineStr">
        <is>
          <t>MolsonCoors Beverage Company</t>
        </is>
      </c>
      <c r="D566" s="50" t="inlineStr">
        <is>
          <t>Coors</t>
        </is>
      </c>
      <c r="E566" s="46" t="n">
        <v>143</v>
      </c>
      <c r="F566" s="46" t="n">
        <v>159</v>
      </c>
      <c r="G566" s="48" t="n">
        <v>2613.25</v>
      </c>
      <c r="H566" s="48" t="n">
        <v>3294.4</v>
      </c>
      <c r="I566" s="48" t="n">
        <v>554.8</v>
      </c>
      <c r="J566" s="48" t="n">
        <v>803.2</v>
      </c>
    </row>
    <row r="567">
      <c r="A567" s="50" t="inlineStr">
        <is>
          <t>Nick Melissari</t>
        </is>
      </c>
      <c r="B567" s="50" t="inlineStr">
        <is>
          <t>Amplify</t>
        </is>
      </c>
      <c r="C567" s="50" t="inlineStr">
        <is>
          <t>MolsonCoors Beverage Company</t>
        </is>
      </c>
      <c r="D567" s="50" t="inlineStr">
        <is>
          <t>Fever Tree</t>
        </is>
      </c>
      <c r="E567" s="46" t="n">
        <v>112</v>
      </c>
      <c r="F567" s="46" t="n">
        <v>173</v>
      </c>
      <c r="G567" s="48" t="n">
        <v>4526.5</v>
      </c>
      <c r="H567" s="48" t="n">
        <v>7063.9</v>
      </c>
      <c r="I567" s="48" t="n">
        <v>1273.12</v>
      </c>
      <c r="J567" s="48" t="n">
        <v>1966.62</v>
      </c>
    </row>
    <row r="568">
      <c r="A568" s="50" t="inlineStr">
        <is>
          <t>Nick Melissari</t>
        </is>
      </c>
      <c r="B568" s="50" t="inlineStr">
        <is>
          <t>Amplify</t>
        </is>
      </c>
      <c r="C568" s="50" t="inlineStr">
        <is>
          <t>MolsonCoors Beverage Company</t>
        </is>
      </c>
      <c r="D568" s="50" t="inlineStr">
        <is>
          <t>Peroni</t>
        </is>
      </c>
      <c r="E568" s="46" t="n">
        <v>766</v>
      </c>
      <c r="F568" s="46" t="n">
        <v>1193</v>
      </c>
      <c r="G568" s="48" t="n">
        <v>27500.25</v>
      </c>
      <c r="H568" s="48" t="n">
        <v>39713.25</v>
      </c>
      <c r="I568" s="48" t="n">
        <v>6544.51</v>
      </c>
      <c r="J568" s="48" t="n">
        <v>9522.24</v>
      </c>
    </row>
    <row r="569">
      <c r="A569" s="50" t="inlineStr">
        <is>
          <t>Nick Melissari</t>
        </is>
      </c>
      <c r="B569" s="50" t="inlineStr">
        <is>
          <t>Amplify</t>
        </is>
      </c>
      <c r="C569" s="50" t="inlineStr">
        <is>
          <t>Boston Beer Company</t>
        </is>
      </c>
      <c r="D569" s="50" t="inlineStr">
        <is>
          <t>Dogfish Head Beer</t>
        </is>
      </c>
      <c r="E569" s="46" t="n">
        <v>638</v>
      </c>
      <c r="F569" s="46" t="n">
        <v>603</v>
      </c>
      <c r="G569" s="48" t="n">
        <v>21593</v>
      </c>
      <c r="H569" s="48" t="n">
        <v>20978.6</v>
      </c>
      <c r="I569" s="48" t="n">
        <v>5910.68</v>
      </c>
      <c r="J569" s="48" t="n">
        <v>5767.91</v>
      </c>
    </row>
    <row r="570">
      <c r="A570" s="50" t="inlineStr">
        <is>
          <t>Nick Melissari</t>
        </is>
      </c>
      <c r="B570" s="50" t="inlineStr">
        <is>
          <t>Amplify</t>
        </is>
      </c>
      <c r="C570" s="50" t="inlineStr">
        <is>
          <t>Boston Beer Company</t>
        </is>
      </c>
      <c r="D570" s="50" t="inlineStr">
        <is>
          <t>Dogfish Head Spirits</t>
        </is>
      </c>
      <c r="E570" s="46" t="n">
        <v>40</v>
      </c>
      <c r="F570" s="46" t="n">
        <v>155</v>
      </c>
      <c r="G570" s="48" t="n">
        <v>2150</v>
      </c>
      <c r="H570" s="48" t="n">
        <v>6943</v>
      </c>
      <c r="I570" s="48" t="n">
        <v>834.2</v>
      </c>
      <c r="J570" s="48" t="n">
        <v>2271.7</v>
      </c>
    </row>
    <row r="571">
      <c r="A571" s="50" t="inlineStr">
        <is>
          <t>Nick Melissari</t>
        </is>
      </c>
      <c r="B571" s="50" t="inlineStr">
        <is>
          <t>Amplify</t>
        </is>
      </c>
      <c r="C571" s="50" t="inlineStr">
        <is>
          <t>Heineken USA</t>
        </is>
      </c>
      <c r="D571" s="50" t="inlineStr">
        <is>
          <t>Heineken 0.0</t>
        </is>
      </c>
      <c r="E571" s="46" t="n">
        <v>290</v>
      </c>
      <c r="F571" s="46" t="n">
        <v>334</v>
      </c>
      <c r="G571" s="48" t="n">
        <v>10417.25</v>
      </c>
      <c r="H571" s="48" t="n">
        <v>11844.95</v>
      </c>
      <c r="I571" s="48" t="n">
        <v>3271.39</v>
      </c>
      <c r="J571" s="48" t="n">
        <v>3592.18</v>
      </c>
    </row>
    <row r="572">
      <c r="A572" s="50" t="inlineStr">
        <is>
          <t>Nick Melissari</t>
        </is>
      </c>
      <c r="B572" s="50" t="inlineStr">
        <is>
          <t>Amplify</t>
        </is>
      </c>
      <c r="C572" s="50" t="inlineStr">
        <is>
          <t>Heineken USA</t>
        </is>
      </c>
      <c r="D572" s="50" t="inlineStr">
        <is>
          <t>Heineken Light</t>
        </is>
      </c>
      <c r="E572" s="46" t="n">
        <v>99</v>
      </c>
      <c r="F572" s="46" t="n">
        <v>120</v>
      </c>
      <c r="G572" s="48" t="n">
        <v>3247.1</v>
      </c>
      <c r="H572" s="48" t="n">
        <v>3990.3</v>
      </c>
      <c r="I572" s="48" t="n">
        <v>890.96</v>
      </c>
      <c r="J572" s="48" t="n">
        <v>1134.75</v>
      </c>
    </row>
    <row r="573">
      <c r="A573" s="50" t="inlineStr">
        <is>
          <t>Nick Melissari</t>
        </is>
      </c>
      <c r="B573" s="50" t="inlineStr">
        <is>
          <t>Amplify</t>
        </is>
      </c>
      <c r="C573" s="50" t="inlineStr">
        <is>
          <t>Constellation Brands</t>
        </is>
      </c>
      <c r="D573" s="50" t="inlineStr">
        <is>
          <t>Corona Premier</t>
        </is>
      </c>
      <c r="E573" s="46" t="n">
        <v>200</v>
      </c>
      <c r="F573" s="46" t="n">
        <v>208</v>
      </c>
      <c r="G573" s="48" t="n">
        <v>5789.7</v>
      </c>
      <c r="H573" s="48" t="n">
        <v>5833.15</v>
      </c>
      <c r="I573" s="48" t="n">
        <v>1511</v>
      </c>
      <c r="J573" s="48" t="n">
        <v>1534</v>
      </c>
    </row>
    <row r="574">
      <c r="A574" s="50" t="inlineStr">
        <is>
          <t>Nick Melissari</t>
        </is>
      </c>
      <c r="B574" s="50" t="inlineStr">
        <is>
          <t>Amplify</t>
        </is>
      </c>
      <c r="C574" s="50" t="inlineStr">
        <is>
          <t>Constellation Brands</t>
        </is>
      </c>
      <c r="D574" s="50" t="inlineStr">
        <is>
          <t>Modelo Chelada</t>
        </is>
      </c>
      <c r="E574" s="46" t="n">
        <v>24</v>
      </c>
      <c r="F574" s="46" t="n">
        <v>22</v>
      </c>
      <c r="G574" s="48" t="n">
        <v>758.3</v>
      </c>
      <c r="H574" s="48" t="n">
        <v>700.15</v>
      </c>
      <c r="I574" s="48" t="n">
        <v>213.5</v>
      </c>
      <c r="J574" s="48" t="n">
        <v>200.11</v>
      </c>
    </row>
    <row r="575">
      <c r="A575" s="50" t="inlineStr">
        <is>
          <t>Nick Melissari</t>
        </is>
      </c>
      <c r="B575" s="50" t="inlineStr">
        <is>
          <t>Amplify</t>
        </is>
      </c>
      <c r="C575" s="50" t="inlineStr">
        <is>
          <t>Constellation Brands</t>
        </is>
      </c>
      <c r="D575" s="50" t="inlineStr">
        <is>
          <t>Pacifico</t>
        </is>
      </c>
      <c r="E575" s="46" t="n">
        <v>213</v>
      </c>
      <c r="F575" s="46" t="n">
        <v>410</v>
      </c>
      <c r="G575" s="48" t="n">
        <v>6731.8</v>
      </c>
      <c r="H575" s="48" t="n">
        <v>12330.75</v>
      </c>
      <c r="I575" s="48" t="n">
        <v>1757.75</v>
      </c>
      <c r="J575" s="48" t="n">
        <v>3218.15</v>
      </c>
    </row>
    <row r="576">
      <c r="A576" s="50" t="inlineStr">
        <is>
          <t>Nick Melissari</t>
        </is>
      </c>
      <c r="B576" s="50" t="inlineStr">
        <is>
          <t>Amplify</t>
        </is>
      </c>
      <c r="C576" s="50" t="inlineStr">
        <is>
          <t>Constellation Brands</t>
        </is>
      </c>
      <c r="D576" s="50" t="inlineStr">
        <is>
          <t>Victoria</t>
        </is>
      </c>
      <c r="E576" s="46" t="n">
        <v>56</v>
      </c>
      <c r="F576" s="46" t="n">
        <v>76</v>
      </c>
      <c r="G576" s="48" t="n">
        <v>1768.85</v>
      </c>
      <c r="H576" s="48" t="n">
        <v>2395.95</v>
      </c>
      <c r="I576" s="48" t="n">
        <v>410.57</v>
      </c>
      <c r="J576" s="48" t="n">
        <v>572.23</v>
      </c>
    </row>
    <row r="577">
      <c r="A577" s="50" t="inlineStr">
        <is>
          <t>Nick Melissari</t>
        </is>
      </c>
      <c r="B577" s="50" t="inlineStr">
        <is>
          <t>Amplify</t>
        </is>
      </c>
      <c r="C577" s="50" t="inlineStr">
        <is>
          <t>Sapporo</t>
        </is>
      </c>
      <c r="D577" s="50" t="inlineStr">
        <is>
          <t>Sapporo</t>
        </is>
      </c>
      <c r="E577" s="46" t="n">
        <v>142</v>
      </c>
      <c r="F577" s="46" t="n">
        <v>258</v>
      </c>
      <c r="G577" s="48" t="n">
        <v>3748.5</v>
      </c>
      <c r="H577" s="48" t="n">
        <v>7369</v>
      </c>
      <c r="I577" s="48" t="n">
        <v>963.9400000000001</v>
      </c>
      <c r="J577" s="48" t="n">
        <v>1930.78</v>
      </c>
    </row>
    <row r="578">
      <c r="A578" s="50" t="inlineStr">
        <is>
          <t>Nick Melissari</t>
        </is>
      </c>
      <c r="B578" s="50" t="inlineStr">
        <is>
          <t>Amplify</t>
        </is>
      </c>
      <c r="C578" s="50" t="inlineStr">
        <is>
          <t>New Belgium Brewing Company</t>
        </is>
      </c>
      <c r="D578" s="50" t="inlineStr">
        <is>
          <t>Fat Tire Family</t>
        </is>
      </c>
      <c r="E578" s="46" t="n">
        <v>160</v>
      </c>
      <c r="F578" s="46" t="n">
        <v>140</v>
      </c>
      <c r="G578" s="48" t="n">
        <v>5434.25</v>
      </c>
      <c r="H578" s="48" t="n">
        <v>4039</v>
      </c>
      <c r="I578" s="48" t="n">
        <v>1463.64</v>
      </c>
      <c r="J578" s="48" t="n">
        <v>1179.37</v>
      </c>
    </row>
    <row r="579">
      <c r="A579" s="50" t="inlineStr">
        <is>
          <t>Nick Melissari</t>
        </is>
      </c>
      <c r="B579" s="50" t="inlineStr">
        <is>
          <t>Amplify</t>
        </is>
      </c>
      <c r="C579" s="50" t="inlineStr">
        <is>
          <t>New Belgium Brewing Company</t>
        </is>
      </c>
      <c r="D579" s="50" t="inlineStr">
        <is>
          <t>Kirin Ichiban</t>
        </is>
      </c>
      <c r="E579" s="46" t="n">
        <v>54</v>
      </c>
      <c r="F579" s="46" t="n">
        <v>38</v>
      </c>
      <c r="G579" s="48" t="n">
        <v>1503</v>
      </c>
      <c r="H579" s="48" t="n">
        <v>1029</v>
      </c>
      <c r="I579" s="48" t="n">
        <v>397.26</v>
      </c>
      <c r="J579" s="48" t="n">
        <v>264.54</v>
      </c>
    </row>
    <row r="580">
      <c r="A580" s="50" t="inlineStr">
        <is>
          <t>Nick Melissari</t>
        </is>
      </c>
      <c r="B580" s="50" t="inlineStr">
        <is>
          <t>Amplify</t>
        </is>
      </c>
      <c r="C580" s="50" t="inlineStr">
        <is>
          <t>New Belgium Brewing Company</t>
        </is>
      </c>
      <c r="D580" s="50" t="inlineStr">
        <is>
          <t>Voodoo Family</t>
        </is>
      </c>
      <c r="E580" s="46" t="n">
        <v>309</v>
      </c>
      <c r="F580" s="46" t="n">
        <v>570</v>
      </c>
      <c r="G580" s="48" t="n">
        <v>10540.1</v>
      </c>
      <c r="H580" s="48" t="n">
        <v>19126.2</v>
      </c>
      <c r="I580" s="48" t="n">
        <v>2889.89</v>
      </c>
      <c r="J580" s="48" t="n">
        <v>5507.81</v>
      </c>
    </row>
    <row r="581">
      <c r="A581" s="50" t="inlineStr">
        <is>
          <t>Nick Melissari</t>
        </is>
      </c>
      <c r="B581" s="50" t="inlineStr">
        <is>
          <t>Amplify</t>
        </is>
      </c>
      <c r="C581" s="50" t="inlineStr">
        <is>
          <t>DG Yuengling Inc</t>
        </is>
      </c>
      <c r="D581" s="50" t="inlineStr">
        <is>
          <t>Yuengling Flight</t>
        </is>
      </c>
      <c r="E581" s="46" t="n">
        <v>15</v>
      </c>
      <c r="F581" s="46" t="n">
        <v>10</v>
      </c>
      <c r="G581" s="48" t="n">
        <v>282.5</v>
      </c>
      <c r="H581" s="48" t="n">
        <v>157</v>
      </c>
      <c r="I581" s="48" t="n">
        <v>91.19</v>
      </c>
      <c r="J581" s="48" t="n">
        <v>49.61</v>
      </c>
    </row>
    <row r="582">
      <c r="A582" s="50" t="inlineStr">
        <is>
          <t>Nick Melissari</t>
        </is>
      </c>
      <c r="B582" s="50" t="inlineStr">
        <is>
          <t>Amplify</t>
        </is>
      </c>
      <c r="C582" s="50" t="inlineStr">
        <is>
          <t>DG Yuengling Inc</t>
        </is>
      </c>
      <c r="D582" s="50" t="inlineStr">
        <is>
          <t>Yuengling Light Lager</t>
        </is>
      </c>
      <c r="E582" s="46" t="n">
        <v>1</v>
      </c>
      <c r="F582" s="46" t="n">
        <v>2</v>
      </c>
      <c r="G582" s="48" t="n">
        <v>28</v>
      </c>
      <c r="H582" s="48" t="n">
        <v>54</v>
      </c>
      <c r="I582" s="48" t="n">
        <v>8.859999999999999</v>
      </c>
      <c r="J582" s="48" t="n">
        <v>15.71</v>
      </c>
    </row>
    <row r="583">
      <c r="A583" s="50" t="inlineStr">
        <is>
          <t>Nick Melissari</t>
        </is>
      </c>
      <c r="B583" s="50" t="inlineStr">
        <is>
          <t>Qualifier</t>
        </is>
      </c>
      <c r="C583" s="50" t="inlineStr">
        <is>
          <t>MolsonCoors Beverage Company</t>
        </is>
      </c>
      <c r="D583" s="50" t="inlineStr">
        <is>
          <t>Blue Moon</t>
        </is>
      </c>
      <c r="E583" s="46" t="n">
        <v>3295</v>
      </c>
      <c r="F583" s="46" t="n">
        <v>3247</v>
      </c>
      <c r="G583" s="48" t="n">
        <v>107483.75</v>
      </c>
      <c r="H583" s="48" t="n">
        <v>101799.35</v>
      </c>
      <c r="I583" s="48" t="n">
        <v>36847.39</v>
      </c>
      <c r="J583" s="48" t="n">
        <v>34639.8</v>
      </c>
    </row>
    <row r="584">
      <c r="A584" s="50" t="inlineStr">
        <is>
          <t>Nick Melissari</t>
        </is>
      </c>
      <c r="B584" s="50" t="inlineStr">
        <is>
          <t>Qualifier</t>
        </is>
      </c>
      <c r="C584" s="50" t="inlineStr">
        <is>
          <t>MolsonCoors Beverage Company</t>
        </is>
      </c>
      <c r="D584" s="50" t="inlineStr">
        <is>
          <t>Coors Light</t>
        </is>
      </c>
      <c r="E584" s="46" t="n">
        <v>4797</v>
      </c>
      <c r="F584" s="46" t="n">
        <v>4360</v>
      </c>
      <c r="G584" s="48" t="n">
        <v>99113.3</v>
      </c>
      <c r="H584" s="48" t="n">
        <v>92080.8</v>
      </c>
      <c r="I584" s="48" t="n">
        <v>25914.26</v>
      </c>
      <c r="J584" s="48" t="n">
        <v>23987.89</v>
      </c>
    </row>
    <row r="585">
      <c r="A585" s="50" t="inlineStr">
        <is>
          <t>Nick Melissari</t>
        </is>
      </c>
      <c r="B585" s="50" t="inlineStr">
        <is>
          <t>Qualifier</t>
        </is>
      </c>
      <c r="C585" s="50" t="inlineStr">
        <is>
          <t>MolsonCoors Beverage Company</t>
        </is>
      </c>
      <c r="D585" s="50" t="inlineStr">
        <is>
          <t>Lite</t>
        </is>
      </c>
      <c r="E585" s="46" t="n">
        <v>5705</v>
      </c>
      <c r="F585" s="46" t="n">
        <v>5705</v>
      </c>
      <c r="G585" s="48" t="n">
        <v>117824.7</v>
      </c>
      <c r="H585" s="48" t="n">
        <v>120626.4</v>
      </c>
      <c r="I585" s="48" t="n">
        <v>26785.5</v>
      </c>
      <c r="J585" s="48" t="n">
        <v>27274.22</v>
      </c>
    </row>
    <row r="586">
      <c r="A586" s="50" t="inlineStr">
        <is>
          <t>Nick Melissari</t>
        </is>
      </c>
      <c r="B586" s="50" t="inlineStr">
        <is>
          <t>Qualifier</t>
        </is>
      </c>
      <c r="C586" s="50" t="inlineStr">
        <is>
          <t>Heineken USA</t>
        </is>
      </c>
      <c r="D586" s="50" t="inlineStr">
        <is>
          <t>Heineken USA</t>
        </is>
      </c>
      <c r="E586" s="46" t="n">
        <v>2419</v>
      </c>
      <c r="F586" s="46" t="n">
        <v>2556</v>
      </c>
      <c r="G586" s="48" t="n">
        <v>80560.95</v>
      </c>
      <c r="H586" s="48" t="n">
        <v>84872.89999999999</v>
      </c>
      <c r="I586" s="48" t="n">
        <v>24365.8</v>
      </c>
      <c r="J586" s="48" t="n">
        <v>25265.23</v>
      </c>
    </row>
    <row r="587">
      <c r="A587" s="50" t="inlineStr">
        <is>
          <t>Nick Melissari</t>
        </is>
      </c>
      <c r="B587" s="50" t="inlineStr">
        <is>
          <t>Qualifier</t>
        </is>
      </c>
      <c r="C587" s="50" t="inlineStr">
        <is>
          <t>Constellation Brands</t>
        </is>
      </c>
      <c r="D587" s="50" t="inlineStr">
        <is>
          <t>Corona Extra</t>
        </is>
      </c>
      <c r="E587" s="46" t="n">
        <v>4851</v>
      </c>
      <c r="F587" s="46" t="n">
        <v>5804</v>
      </c>
      <c r="G587" s="48" t="n">
        <v>163939.05</v>
      </c>
      <c r="H587" s="48" t="n">
        <v>190078.9</v>
      </c>
      <c r="I587" s="48" t="n">
        <v>46535.77</v>
      </c>
      <c r="J587" s="48" t="n">
        <v>53092.87</v>
      </c>
    </row>
    <row r="588">
      <c r="A588" s="50" t="inlineStr">
        <is>
          <t>Nick Melissari</t>
        </is>
      </c>
      <c r="B588" s="50" t="inlineStr">
        <is>
          <t>Qualifier</t>
        </is>
      </c>
      <c r="C588" s="50" t="inlineStr">
        <is>
          <t>Constellation Brands</t>
        </is>
      </c>
      <c r="D588" s="50" t="inlineStr">
        <is>
          <t>Modelo Especial</t>
        </is>
      </c>
      <c r="E588" s="46" t="n">
        <v>2776</v>
      </c>
      <c r="F588" s="46" t="n">
        <v>3769</v>
      </c>
      <c r="G588" s="48" t="n">
        <v>83558.60000000001</v>
      </c>
      <c r="H588" s="48" t="n">
        <v>111901.25</v>
      </c>
      <c r="I588" s="48" t="n">
        <v>20811.32</v>
      </c>
      <c r="J588" s="48" t="n">
        <v>29422.7</v>
      </c>
    </row>
    <row r="589">
      <c r="A589" s="50" t="inlineStr">
        <is>
          <t>Nick Melissari</t>
        </is>
      </c>
      <c r="B589" s="50" t="inlineStr">
        <is>
          <t>Qualifier</t>
        </is>
      </c>
      <c r="C589" s="50" t="inlineStr">
        <is>
          <t>Boston Beer Company</t>
        </is>
      </c>
      <c r="D589" s="50" t="inlineStr">
        <is>
          <t>Truly</t>
        </is>
      </c>
      <c r="E589" s="46" t="n">
        <v>45</v>
      </c>
      <c r="F589" s="46" t="n">
        <v>72</v>
      </c>
      <c r="G589" s="48" t="n">
        <v>1338.2</v>
      </c>
      <c r="H589" s="48" t="n">
        <v>2062.6</v>
      </c>
      <c r="I589" s="48" t="n">
        <v>377.3</v>
      </c>
      <c r="J589" s="48" t="n">
        <v>512.17</v>
      </c>
    </row>
    <row r="590">
      <c r="A590" s="50" t="inlineStr">
        <is>
          <t>Nick Melissari</t>
        </is>
      </c>
      <c r="B590" s="50" t="inlineStr">
        <is>
          <t>Qualifier</t>
        </is>
      </c>
      <c r="C590" s="50" t="inlineStr">
        <is>
          <t>Boston Beer Company</t>
        </is>
      </c>
      <c r="D590" s="50" t="inlineStr">
        <is>
          <t>Twisted Tea</t>
        </is>
      </c>
      <c r="E590" s="46" t="n">
        <v>192</v>
      </c>
      <c r="F590" s="46" t="n">
        <v>208</v>
      </c>
      <c r="G590" s="48" t="n">
        <v>6080.5</v>
      </c>
      <c r="H590" s="48" t="n">
        <v>6541</v>
      </c>
      <c r="I590" s="48" t="n">
        <v>1845.38</v>
      </c>
      <c r="J590" s="48" t="n">
        <v>1874.52</v>
      </c>
    </row>
    <row r="591">
      <c r="A591" s="50" t="inlineStr">
        <is>
          <t>Nick Melissari</t>
        </is>
      </c>
      <c r="B591" s="50" t="inlineStr">
        <is>
          <t>Qualifier</t>
        </is>
      </c>
      <c r="C591" s="50" t="inlineStr">
        <is>
          <t>Mark Anthony</t>
        </is>
      </c>
      <c r="D591" s="50" t="inlineStr">
        <is>
          <t>White Claw</t>
        </is>
      </c>
      <c r="E591" s="46" t="n">
        <v>640</v>
      </c>
      <c r="F591" s="46" t="n">
        <v>497</v>
      </c>
      <c r="G591" s="48" t="n">
        <v>22260.35</v>
      </c>
      <c r="H591" s="48" t="n">
        <v>17290.4</v>
      </c>
      <c r="I591" s="48" t="n">
        <v>6152.18</v>
      </c>
      <c r="J591" s="48" t="n">
        <v>4607.78</v>
      </c>
    </row>
    <row r="592">
      <c r="A592" s="50" t="inlineStr">
        <is>
          <t>Nick Melissari</t>
        </is>
      </c>
      <c r="B592" s="50" t="inlineStr">
        <is>
          <t>Qualifier</t>
        </is>
      </c>
      <c r="C592" s="50" t="inlineStr">
        <is>
          <t>DG Yuengling Inc</t>
        </is>
      </c>
      <c r="D592" s="50" t="inlineStr">
        <is>
          <t>Yuengling Lager</t>
        </is>
      </c>
      <c r="E592" s="46" t="n">
        <v>2604</v>
      </c>
      <c r="F592" s="46" t="n">
        <v>2762</v>
      </c>
      <c r="G592" s="48" t="n">
        <v>49813</v>
      </c>
      <c r="H592" s="48" t="n">
        <v>52634.55</v>
      </c>
      <c r="I592" s="48" t="n">
        <v>14407.75</v>
      </c>
      <c r="J592" s="48" t="n">
        <v>15531.75</v>
      </c>
    </row>
    <row r="593">
      <c r="A593" s="50" t="inlineStr">
        <is>
          <t>Pablo Lopez</t>
        </is>
      </c>
      <c r="B593" s="50" t="inlineStr">
        <is>
          <t>Amplify</t>
        </is>
      </c>
      <c r="C593" s="50" t="inlineStr">
        <is>
          <t>Cape May</t>
        </is>
      </c>
      <c r="D593" s="50" t="inlineStr">
        <is>
          <t>Cape May</t>
        </is>
      </c>
      <c r="E593" s="46" t="n">
        <v>7</v>
      </c>
      <c r="F593" s="46" t="n">
        <v>0</v>
      </c>
      <c r="G593" s="48" t="n">
        <v>286</v>
      </c>
      <c r="H593" s="48" t="n">
        <v>0</v>
      </c>
      <c r="I593" s="48" t="n">
        <v>86</v>
      </c>
      <c r="J593" s="48" t="n">
        <v>0</v>
      </c>
    </row>
    <row r="594">
      <c r="A594" s="50" t="inlineStr">
        <is>
          <t>Pablo Lopez</t>
        </is>
      </c>
      <c r="B594" s="50" t="inlineStr">
        <is>
          <t>Amplify</t>
        </is>
      </c>
      <c r="C594" s="50" t="inlineStr">
        <is>
          <t>Mark Anthony</t>
        </is>
      </c>
      <c r="D594" s="50" t="inlineStr">
        <is>
          <t>Cayman Jack</t>
        </is>
      </c>
      <c r="E594" s="46" t="n">
        <v>414</v>
      </c>
      <c r="F594" s="46" t="n">
        <v>577</v>
      </c>
      <c r="G594" s="48" t="n">
        <v>12987</v>
      </c>
      <c r="H594" s="48" t="n">
        <v>18412.75</v>
      </c>
      <c r="I594" s="48" t="n">
        <v>3072.35</v>
      </c>
      <c r="J594" s="48" t="n">
        <v>4360.33</v>
      </c>
    </row>
    <row r="595">
      <c r="A595" s="50" t="inlineStr">
        <is>
          <t>Pablo Lopez</t>
        </is>
      </c>
      <c r="B595" s="50" t="inlineStr">
        <is>
          <t>Amplify</t>
        </is>
      </c>
      <c r="C595" s="50" t="inlineStr">
        <is>
          <t>Mark Anthony</t>
        </is>
      </c>
      <c r="D595" s="50" t="inlineStr">
        <is>
          <t>Mike's Harder</t>
        </is>
      </c>
      <c r="E595" s="46" t="n">
        <v>52</v>
      </c>
      <c r="F595" s="46" t="n">
        <v>45</v>
      </c>
      <c r="G595" s="48" t="n">
        <v>1431</v>
      </c>
      <c r="H595" s="48" t="n">
        <v>1334</v>
      </c>
      <c r="I595" s="48" t="n">
        <v>309.81</v>
      </c>
      <c r="J595" s="48" t="n">
        <v>280.39</v>
      </c>
    </row>
    <row r="596">
      <c r="A596" s="50" t="inlineStr">
        <is>
          <t>Pablo Lopez</t>
        </is>
      </c>
      <c r="B596" s="50" t="inlineStr">
        <is>
          <t>Amplify</t>
        </is>
      </c>
      <c r="C596" s="50" t="inlineStr">
        <is>
          <t>Mark Anthony</t>
        </is>
      </c>
      <c r="D596" s="50" t="inlineStr">
        <is>
          <t>Mxd Cocktails</t>
        </is>
      </c>
      <c r="E596" s="46" t="n">
        <v>284</v>
      </c>
      <c r="F596" s="46" t="n">
        <v>364</v>
      </c>
      <c r="G596" s="48" t="n">
        <v>6827.7</v>
      </c>
      <c r="H596" s="48" t="n">
        <v>8736</v>
      </c>
      <c r="I596" s="48" t="n">
        <v>1293.9</v>
      </c>
      <c r="J596" s="48" t="n">
        <v>1641.9</v>
      </c>
    </row>
    <row r="597">
      <c r="A597" s="50" t="inlineStr">
        <is>
          <t>Pablo Lopez</t>
        </is>
      </c>
      <c r="B597" s="50" t="inlineStr">
        <is>
          <t>Amplify</t>
        </is>
      </c>
      <c r="C597" s="50" t="inlineStr">
        <is>
          <t>MolsonCoors Beverage Company</t>
        </is>
      </c>
      <c r="D597" s="50" t="inlineStr">
        <is>
          <t>Coors</t>
        </is>
      </c>
      <c r="E597" s="46" t="n">
        <v>1139</v>
      </c>
      <c r="F597" s="46" t="n">
        <v>1250</v>
      </c>
      <c r="G597" s="48" t="n">
        <v>19519.45</v>
      </c>
      <c r="H597" s="48" t="n">
        <v>22570.75</v>
      </c>
      <c r="I597" s="48" t="n">
        <v>3581.11</v>
      </c>
      <c r="J597" s="48" t="n">
        <v>4351.81</v>
      </c>
    </row>
    <row r="598">
      <c r="A598" s="50" t="inlineStr">
        <is>
          <t>Pablo Lopez</t>
        </is>
      </c>
      <c r="B598" s="50" t="inlineStr">
        <is>
          <t>Amplify</t>
        </is>
      </c>
      <c r="C598" s="50" t="inlineStr">
        <is>
          <t>MolsonCoors Beverage Company</t>
        </is>
      </c>
      <c r="D598" s="50" t="inlineStr">
        <is>
          <t>Fever Tree</t>
        </is>
      </c>
      <c r="E598" s="46" t="n">
        <v>1</v>
      </c>
      <c r="F598" s="46" t="n">
        <v>2</v>
      </c>
      <c r="G598" s="48" t="n">
        <v>57</v>
      </c>
      <c r="H598" s="48" t="n">
        <v>111</v>
      </c>
      <c r="I598" s="48" t="n">
        <v>22.22</v>
      </c>
      <c r="J598" s="48" t="n">
        <v>41.43</v>
      </c>
    </row>
    <row r="599">
      <c r="A599" s="50" t="inlineStr">
        <is>
          <t>Pablo Lopez</t>
        </is>
      </c>
      <c r="B599" s="50" t="inlineStr">
        <is>
          <t>Amplify</t>
        </is>
      </c>
      <c r="C599" s="50" t="inlineStr">
        <is>
          <t>MolsonCoors Beverage Company</t>
        </is>
      </c>
      <c r="D599" s="50" t="inlineStr">
        <is>
          <t>Peroni</t>
        </is>
      </c>
      <c r="E599" s="46" t="n">
        <v>61</v>
      </c>
      <c r="F599" s="46" t="n">
        <v>61</v>
      </c>
      <c r="G599" s="48" t="n">
        <v>2156.1</v>
      </c>
      <c r="H599" s="48" t="n">
        <v>2098.45</v>
      </c>
      <c r="I599" s="48" t="n">
        <v>462.31</v>
      </c>
      <c r="J599" s="48" t="n">
        <v>453.07</v>
      </c>
    </row>
    <row r="600">
      <c r="A600" s="50" t="inlineStr">
        <is>
          <t>Pablo Lopez</t>
        </is>
      </c>
      <c r="B600" s="50" t="inlineStr">
        <is>
          <t>Amplify</t>
        </is>
      </c>
      <c r="C600" s="50" t="inlineStr">
        <is>
          <t>Boston Beer Company</t>
        </is>
      </c>
      <c r="D600" s="50" t="inlineStr">
        <is>
          <t>Dogfish Head Beer</t>
        </is>
      </c>
      <c r="E600" s="46" t="n">
        <v>17</v>
      </c>
      <c r="F600" s="46" t="n">
        <v>15</v>
      </c>
      <c r="G600" s="48" t="n">
        <v>688.5</v>
      </c>
      <c r="H600" s="48" t="n">
        <v>569.6</v>
      </c>
      <c r="I600" s="48" t="n">
        <v>194.56</v>
      </c>
      <c r="J600" s="48" t="n">
        <v>144.66</v>
      </c>
    </row>
    <row r="601">
      <c r="A601" s="50" t="inlineStr">
        <is>
          <t>Pablo Lopez</t>
        </is>
      </c>
      <c r="B601" s="50" t="inlineStr">
        <is>
          <t>Amplify</t>
        </is>
      </c>
      <c r="C601" s="50" t="inlineStr">
        <is>
          <t>Heineken USA</t>
        </is>
      </c>
      <c r="D601" s="50" t="inlineStr">
        <is>
          <t>Heineken 0.0</t>
        </is>
      </c>
      <c r="E601" s="46" t="n">
        <v>385</v>
      </c>
      <c r="F601" s="46" t="n">
        <v>637</v>
      </c>
      <c r="G601" s="48" t="n">
        <v>13103.6</v>
      </c>
      <c r="H601" s="48" t="n">
        <v>21584.3</v>
      </c>
      <c r="I601" s="48" t="n">
        <v>3604.04</v>
      </c>
      <c r="J601" s="48" t="n">
        <v>5822.09</v>
      </c>
    </row>
    <row r="602">
      <c r="A602" s="50" t="inlineStr">
        <is>
          <t>Pablo Lopez</t>
        </is>
      </c>
      <c r="B602" s="50" t="inlineStr">
        <is>
          <t>Amplify</t>
        </is>
      </c>
      <c r="C602" s="50" t="inlineStr">
        <is>
          <t>Heineken USA</t>
        </is>
      </c>
      <c r="D602" s="50" t="inlineStr">
        <is>
          <t>Heineken Light</t>
        </is>
      </c>
      <c r="E602" s="46" t="n">
        <v>1031</v>
      </c>
      <c r="F602" s="46" t="n">
        <v>829</v>
      </c>
      <c r="G602" s="48" t="n">
        <v>32224.95</v>
      </c>
      <c r="H602" s="48" t="n">
        <v>26004.75</v>
      </c>
      <c r="I602" s="48" t="n">
        <v>7718.2</v>
      </c>
      <c r="J602" s="48" t="n">
        <v>6297.32</v>
      </c>
    </row>
    <row r="603">
      <c r="A603" s="50" t="inlineStr">
        <is>
          <t>Pablo Lopez</t>
        </is>
      </c>
      <c r="B603" s="50" t="inlineStr">
        <is>
          <t>Amplify</t>
        </is>
      </c>
      <c r="C603" s="50" t="inlineStr">
        <is>
          <t>Constellation Brands</t>
        </is>
      </c>
      <c r="D603" s="50" t="inlineStr">
        <is>
          <t>Corona Premier</t>
        </is>
      </c>
      <c r="E603" s="46" t="n">
        <v>165</v>
      </c>
      <c r="F603" s="46" t="n">
        <v>129</v>
      </c>
      <c r="G603" s="48" t="n">
        <v>5183.6</v>
      </c>
      <c r="H603" s="48" t="n">
        <v>3515.5</v>
      </c>
      <c r="I603" s="48" t="n">
        <v>921.95</v>
      </c>
      <c r="J603" s="48" t="n">
        <v>910.92</v>
      </c>
    </row>
    <row r="604">
      <c r="A604" s="50" t="inlineStr">
        <is>
          <t>Pablo Lopez</t>
        </is>
      </c>
      <c r="B604" s="50" t="inlineStr">
        <is>
          <t>Amplify</t>
        </is>
      </c>
      <c r="C604" s="50" t="inlineStr">
        <is>
          <t>Constellation Brands</t>
        </is>
      </c>
      <c r="D604" s="50" t="inlineStr">
        <is>
          <t>Modelo Chelada</t>
        </is>
      </c>
      <c r="E604" s="46" t="n">
        <v>2440</v>
      </c>
      <c r="F604" s="46" t="n">
        <v>2755</v>
      </c>
      <c r="G604" s="48" t="n">
        <v>75828.35000000001</v>
      </c>
      <c r="H604" s="48" t="n">
        <v>84856.14999999999</v>
      </c>
      <c r="I604" s="48" t="n">
        <v>19760.26</v>
      </c>
      <c r="J604" s="48" t="n">
        <v>21726.38</v>
      </c>
    </row>
    <row r="605">
      <c r="A605" s="50" t="inlineStr">
        <is>
          <t>Pablo Lopez</t>
        </is>
      </c>
      <c r="B605" s="50" t="inlineStr">
        <is>
          <t>Amplify</t>
        </is>
      </c>
      <c r="C605" s="50" t="inlineStr">
        <is>
          <t>Constellation Brands</t>
        </is>
      </c>
      <c r="D605" s="50" t="inlineStr">
        <is>
          <t>Pacifico</t>
        </is>
      </c>
      <c r="E605" s="46" t="n">
        <v>735</v>
      </c>
      <c r="F605" s="46" t="n">
        <v>859</v>
      </c>
      <c r="G605" s="48" t="n">
        <v>22606.6</v>
      </c>
      <c r="H605" s="48" t="n">
        <v>26401.65</v>
      </c>
      <c r="I605" s="48" t="n">
        <v>5176.1</v>
      </c>
      <c r="J605" s="48" t="n">
        <v>6085.46</v>
      </c>
    </row>
    <row r="606">
      <c r="A606" s="50" t="inlineStr">
        <is>
          <t>Pablo Lopez</t>
        </is>
      </c>
      <c r="B606" s="50" t="inlineStr">
        <is>
          <t>Amplify</t>
        </is>
      </c>
      <c r="C606" s="50" t="inlineStr">
        <is>
          <t>Constellation Brands</t>
        </is>
      </c>
      <c r="D606" s="50" t="inlineStr">
        <is>
          <t>Victoria</t>
        </is>
      </c>
      <c r="E606" s="46" t="n">
        <v>2491</v>
      </c>
      <c r="F606" s="46" t="n">
        <v>2368</v>
      </c>
      <c r="G606" s="48" t="n">
        <v>74175.8</v>
      </c>
      <c r="H606" s="48" t="n">
        <v>71588.89999999999</v>
      </c>
      <c r="I606" s="48" t="n">
        <v>18575.53</v>
      </c>
      <c r="J606" s="48" t="n">
        <v>17959.59</v>
      </c>
    </row>
    <row r="607">
      <c r="A607" s="50" t="inlineStr">
        <is>
          <t>Pablo Lopez</t>
        </is>
      </c>
      <c r="B607" s="50" t="inlineStr">
        <is>
          <t>Amplify</t>
        </is>
      </c>
      <c r="C607" s="50" t="inlineStr">
        <is>
          <t>Sapporo</t>
        </is>
      </c>
      <c r="D607" s="50" t="inlineStr">
        <is>
          <t>Sapporo</t>
        </is>
      </c>
      <c r="E607" s="46" t="n">
        <v>103</v>
      </c>
      <c r="F607" s="46" t="n">
        <v>179</v>
      </c>
      <c r="G607" s="48" t="n">
        <v>3068</v>
      </c>
      <c r="H607" s="48" t="n">
        <v>5557.75</v>
      </c>
      <c r="I607" s="48" t="n">
        <v>801.01</v>
      </c>
      <c r="J607" s="48" t="n">
        <v>1487.36</v>
      </c>
    </row>
    <row r="608">
      <c r="A608" s="50" t="inlineStr">
        <is>
          <t>Pablo Lopez</t>
        </is>
      </c>
      <c r="B608" s="50" t="inlineStr">
        <is>
          <t>Amplify</t>
        </is>
      </c>
      <c r="C608" s="50" t="inlineStr">
        <is>
          <t>New Belgium Brewing Company</t>
        </is>
      </c>
      <c r="D608" s="50" t="inlineStr">
        <is>
          <t>Fat Tire Family</t>
        </is>
      </c>
      <c r="E608" s="46" t="n">
        <v>3</v>
      </c>
      <c r="F608" s="46" t="n">
        <v>0</v>
      </c>
      <c r="G608" s="48" t="n">
        <v>98.25</v>
      </c>
      <c r="H608" s="48" t="n">
        <v>0</v>
      </c>
      <c r="I608" s="48" t="n">
        <v>23.25</v>
      </c>
      <c r="J608" s="48" t="n">
        <v>0</v>
      </c>
    </row>
    <row r="609">
      <c r="A609" s="50" t="inlineStr">
        <is>
          <t>Pablo Lopez</t>
        </is>
      </c>
      <c r="B609" s="50" t="inlineStr">
        <is>
          <t>Amplify</t>
        </is>
      </c>
      <c r="C609" s="50" t="inlineStr">
        <is>
          <t>New Belgium Brewing Company</t>
        </is>
      </c>
      <c r="D609" s="50" t="inlineStr">
        <is>
          <t>Kirin Ichiban</t>
        </is>
      </c>
      <c r="E609" s="46" t="n">
        <v>0</v>
      </c>
      <c r="F609" s="46" t="n">
        <v>4</v>
      </c>
      <c r="G609" s="48" t="n">
        <v>0</v>
      </c>
      <c r="H609" s="48" t="n">
        <v>144</v>
      </c>
      <c r="I609" s="48" t="n">
        <v>0</v>
      </c>
      <c r="J609" s="48" t="n">
        <v>47.28</v>
      </c>
    </row>
    <row r="610">
      <c r="A610" s="50" t="inlineStr">
        <is>
          <t>Pablo Lopez</t>
        </is>
      </c>
      <c r="B610" s="50" t="inlineStr">
        <is>
          <t>Amplify</t>
        </is>
      </c>
      <c r="C610" s="50" t="inlineStr">
        <is>
          <t>New Belgium Brewing Company</t>
        </is>
      </c>
      <c r="D610" s="50" t="inlineStr">
        <is>
          <t>Voodoo Family</t>
        </is>
      </c>
      <c r="E610" s="46" t="n">
        <v>54</v>
      </c>
      <c r="F610" s="46" t="n">
        <v>55</v>
      </c>
      <c r="G610" s="48" t="n">
        <v>2066.8</v>
      </c>
      <c r="H610" s="48" t="n">
        <v>2058.4</v>
      </c>
      <c r="I610" s="48" t="n">
        <v>588.4400000000001</v>
      </c>
      <c r="J610" s="48" t="n">
        <v>596.48</v>
      </c>
    </row>
    <row r="611">
      <c r="A611" s="50" t="inlineStr">
        <is>
          <t>Pablo Lopez</t>
        </is>
      </c>
      <c r="B611" s="50" t="inlineStr">
        <is>
          <t>Amplify</t>
        </is>
      </c>
      <c r="C611" s="50" t="inlineStr">
        <is>
          <t>DG Yuengling Inc</t>
        </is>
      </c>
      <c r="D611" s="50" t="inlineStr">
        <is>
          <t>Yuengling Flight</t>
        </is>
      </c>
      <c r="E611" s="46" t="n">
        <v>7</v>
      </c>
      <c r="F611" s="46" t="n">
        <v>14</v>
      </c>
      <c r="G611" s="48" t="n">
        <v>134</v>
      </c>
      <c r="H611" s="48" t="n">
        <v>257</v>
      </c>
      <c r="I611" s="48" t="n">
        <v>45.1</v>
      </c>
      <c r="J611" s="48" t="n">
        <v>81.40000000000001</v>
      </c>
    </row>
    <row r="612">
      <c r="A612" s="50" t="inlineStr">
        <is>
          <t>Pablo Lopez</t>
        </is>
      </c>
      <c r="B612" s="50" t="inlineStr">
        <is>
          <t>Qualifier</t>
        </is>
      </c>
      <c r="C612" s="50" t="inlineStr">
        <is>
          <t>MolsonCoors Beverage Company</t>
        </is>
      </c>
      <c r="D612" s="50" t="inlineStr">
        <is>
          <t>Blue Moon</t>
        </is>
      </c>
      <c r="E612" s="46" t="n">
        <v>306</v>
      </c>
      <c r="F612" s="46" t="n">
        <v>354</v>
      </c>
      <c r="G612" s="48" t="n">
        <v>10757.65</v>
      </c>
      <c r="H612" s="48" t="n">
        <v>11558.95</v>
      </c>
      <c r="I612" s="48" t="n">
        <v>2843.74</v>
      </c>
      <c r="J612" s="48" t="n">
        <v>2951.92</v>
      </c>
    </row>
    <row r="613">
      <c r="A613" s="50" t="inlineStr">
        <is>
          <t>Pablo Lopez</t>
        </is>
      </c>
      <c r="B613" s="50" t="inlineStr">
        <is>
          <t>Qualifier</t>
        </is>
      </c>
      <c r="C613" s="50" t="inlineStr">
        <is>
          <t>MolsonCoors Beverage Company</t>
        </is>
      </c>
      <c r="D613" s="50" t="inlineStr">
        <is>
          <t>Coors Light</t>
        </is>
      </c>
      <c r="E613" s="46" t="n">
        <v>12403</v>
      </c>
      <c r="F613" s="46" t="n">
        <v>10799</v>
      </c>
      <c r="G613" s="48" t="n">
        <v>234481.1</v>
      </c>
      <c r="H613" s="48" t="n">
        <v>206345.6</v>
      </c>
      <c r="I613" s="48" t="n">
        <v>48261.29</v>
      </c>
      <c r="J613" s="48" t="n">
        <v>43347.07</v>
      </c>
    </row>
    <row r="614">
      <c r="A614" s="50" t="inlineStr">
        <is>
          <t>Pablo Lopez</t>
        </is>
      </c>
      <c r="B614" s="50" t="inlineStr">
        <is>
          <t>Qualifier</t>
        </is>
      </c>
      <c r="C614" s="50" t="inlineStr">
        <is>
          <t>MolsonCoors Beverage Company</t>
        </is>
      </c>
      <c r="D614" s="50" t="inlineStr">
        <is>
          <t>Lite</t>
        </is>
      </c>
      <c r="E614" s="46" t="n">
        <v>578</v>
      </c>
      <c r="F614" s="46" t="n">
        <v>488</v>
      </c>
      <c r="G614" s="48" t="n">
        <v>11520.05</v>
      </c>
      <c r="H614" s="48" t="n">
        <v>10158.55</v>
      </c>
      <c r="I614" s="48" t="n">
        <v>2330.07</v>
      </c>
      <c r="J614" s="48" t="n">
        <v>2046.03</v>
      </c>
    </row>
    <row r="615">
      <c r="A615" s="50" t="inlineStr">
        <is>
          <t>Pablo Lopez</t>
        </is>
      </c>
      <c r="B615" s="50" t="inlineStr">
        <is>
          <t>Qualifier</t>
        </is>
      </c>
      <c r="C615" s="50" t="inlineStr">
        <is>
          <t>Heineken USA</t>
        </is>
      </c>
      <c r="D615" s="50" t="inlineStr">
        <is>
          <t>Heineken USA</t>
        </is>
      </c>
      <c r="E615" s="46" t="n">
        <v>8733</v>
      </c>
      <c r="F615" s="46" t="n">
        <v>7501</v>
      </c>
      <c r="G615" s="48" t="n">
        <v>277450.55</v>
      </c>
      <c r="H615" s="48" t="n">
        <v>238165</v>
      </c>
      <c r="I615" s="48" t="n">
        <v>67388.38</v>
      </c>
      <c r="J615" s="48" t="n">
        <v>57039.06</v>
      </c>
    </row>
    <row r="616">
      <c r="A616" s="50" t="inlineStr">
        <is>
          <t>Pablo Lopez</t>
        </is>
      </c>
      <c r="B616" s="50" t="inlineStr">
        <is>
          <t>Qualifier</t>
        </is>
      </c>
      <c r="C616" s="50" t="inlineStr">
        <is>
          <t>Constellation Brands</t>
        </is>
      </c>
      <c r="D616" s="50" t="inlineStr">
        <is>
          <t>Corona Extra</t>
        </is>
      </c>
      <c r="E616" s="46" t="n">
        <v>28310</v>
      </c>
      <c r="F616" s="46" t="n">
        <v>29087</v>
      </c>
      <c r="G616" s="48" t="n">
        <v>923667.4</v>
      </c>
      <c r="H616" s="48" t="n">
        <v>961040.95</v>
      </c>
      <c r="I616" s="48" t="n">
        <v>223059.85</v>
      </c>
      <c r="J616" s="48" t="n">
        <v>238165.93</v>
      </c>
    </row>
    <row r="617">
      <c r="A617" s="50" t="inlineStr">
        <is>
          <t>Pablo Lopez</t>
        </is>
      </c>
      <c r="B617" s="50" t="inlineStr">
        <is>
          <t>Qualifier</t>
        </is>
      </c>
      <c r="C617" s="50" t="inlineStr">
        <is>
          <t>Constellation Brands</t>
        </is>
      </c>
      <c r="D617" s="50" t="inlineStr">
        <is>
          <t>Modelo Especial</t>
        </is>
      </c>
      <c r="E617" s="46" t="n">
        <v>22393</v>
      </c>
      <c r="F617" s="46" t="n">
        <v>21084</v>
      </c>
      <c r="G617" s="48" t="n">
        <v>688516.1</v>
      </c>
      <c r="H617" s="48" t="n">
        <v>651394.45</v>
      </c>
      <c r="I617" s="48" t="n">
        <v>155676.91</v>
      </c>
      <c r="J617" s="48" t="n">
        <v>153216.48</v>
      </c>
    </row>
    <row r="618">
      <c r="A618" s="50" t="inlineStr">
        <is>
          <t>Pablo Lopez</t>
        </is>
      </c>
      <c r="B618" s="50" t="inlineStr">
        <is>
          <t>Qualifier</t>
        </is>
      </c>
      <c r="C618" s="50" t="inlineStr">
        <is>
          <t>Boston Beer Company</t>
        </is>
      </c>
      <c r="D618" s="50" t="inlineStr">
        <is>
          <t>Truly</t>
        </is>
      </c>
      <c r="E618" s="46" t="n">
        <v>33</v>
      </c>
      <c r="F618" s="46" t="n">
        <v>14</v>
      </c>
      <c r="G618" s="48" t="n">
        <v>994.5</v>
      </c>
      <c r="H618" s="48" t="n">
        <v>428.6</v>
      </c>
      <c r="I618" s="48" t="n">
        <v>251.55</v>
      </c>
      <c r="J618" s="48" t="n">
        <v>110.24</v>
      </c>
    </row>
    <row r="619">
      <c r="A619" s="50" t="inlineStr">
        <is>
          <t>Pablo Lopez</t>
        </is>
      </c>
      <c r="B619" s="50" t="inlineStr">
        <is>
          <t>Qualifier</t>
        </is>
      </c>
      <c r="C619" s="50" t="inlineStr">
        <is>
          <t>Boston Beer Company</t>
        </is>
      </c>
      <c r="D619" s="50" t="inlineStr">
        <is>
          <t>Twisted Tea</t>
        </is>
      </c>
      <c r="E619" s="46" t="n">
        <v>316</v>
      </c>
      <c r="F619" s="46" t="n">
        <v>255</v>
      </c>
      <c r="G619" s="48" t="n">
        <v>9273.25</v>
      </c>
      <c r="H619" s="48" t="n">
        <v>7510.5</v>
      </c>
      <c r="I619" s="48" t="n">
        <v>2510.25</v>
      </c>
      <c r="J619" s="48" t="n">
        <v>2029.38</v>
      </c>
    </row>
    <row r="620">
      <c r="A620" s="50" t="inlineStr">
        <is>
          <t>Pablo Lopez</t>
        </is>
      </c>
      <c r="B620" s="50" t="inlineStr">
        <is>
          <t>Qualifier</t>
        </is>
      </c>
      <c r="C620" s="50" t="inlineStr">
        <is>
          <t>Mark Anthony</t>
        </is>
      </c>
      <c r="D620" s="50" t="inlineStr">
        <is>
          <t>White Claw</t>
        </is>
      </c>
      <c r="E620" s="46" t="n">
        <v>896</v>
      </c>
      <c r="F620" s="46" t="n">
        <v>931</v>
      </c>
      <c r="G620" s="48" t="n">
        <v>29294.4</v>
      </c>
      <c r="H620" s="48" t="n">
        <v>31469.05</v>
      </c>
      <c r="I620" s="48" t="n">
        <v>6563.41</v>
      </c>
      <c r="J620" s="48" t="n">
        <v>6990.85</v>
      </c>
    </row>
    <row r="621">
      <c r="A621" s="50" t="inlineStr">
        <is>
          <t>Pablo Lopez</t>
        </is>
      </c>
      <c r="B621" s="50" t="inlineStr">
        <is>
          <t>Qualifier</t>
        </is>
      </c>
      <c r="C621" s="50" t="inlineStr">
        <is>
          <t>DG Yuengling Inc</t>
        </is>
      </c>
      <c r="D621" s="50" t="inlineStr">
        <is>
          <t>Yuengling Lager</t>
        </is>
      </c>
      <c r="E621" s="46" t="n">
        <v>139</v>
      </c>
      <c r="F621" s="46" t="n">
        <v>189</v>
      </c>
      <c r="G621" s="48" t="n">
        <v>2742.5</v>
      </c>
      <c r="H621" s="48" t="n">
        <v>3388.25</v>
      </c>
      <c r="I621" s="48" t="n">
        <v>726.71</v>
      </c>
      <c r="J621" s="48" t="n">
        <v>852.4400000000001</v>
      </c>
    </row>
    <row r="622">
      <c r="A622" s="50" t="inlineStr">
        <is>
          <t>Paul Mclaughlin</t>
        </is>
      </c>
      <c r="B622" s="50" t="inlineStr">
        <is>
          <t>Amplify</t>
        </is>
      </c>
      <c r="C622" s="50" t="inlineStr">
        <is>
          <t>Cape May</t>
        </is>
      </c>
      <c r="D622" s="50" t="inlineStr">
        <is>
          <t>Cape May</t>
        </is>
      </c>
      <c r="E622" s="46" t="n">
        <v>119</v>
      </c>
      <c r="F622" s="46" t="n">
        <v>212</v>
      </c>
      <c r="G622" s="48" t="n">
        <v>4706</v>
      </c>
      <c r="H622" s="48" t="n">
        <v>8470.4</v>
      </c>
      <c r="I622" s="48" t="n">
        <v>1131.46</v>
      </c>
      <c r="J622" s="48" t="n">
        <v>2374.49</v>
      </c>
    </row>
    <row r="623">
      <c r="A623" s="50" t="inlineStr">
        <is>
          <t>Paul Mclaughlin</t>
        </is>
      </c>
      <c r="B623" s="50" t="inlineStr">
        <is>
          <t>Amplify</t>
        </is>
      </c>
      <c r="C623" s="50" t="inlineStr">
        <is>
          <t>Mark Anthony</t>
        </is>
      </c>
      <c r="D623" s="50" t="inlineStr">
        <is>
          <t>Cayman Jack</t>
        </is>
      </c>
      <c r="E623" s="46" t="n">
        <v>2</v>
      </c>
      <c r="F623" s="46" t="n">
        <v>3</v>
      </c>
      <c r="G623" s="48" t="n">
        <v>66.5</v>
      </c>
      <c r="H623" s="48" t="n">
        <v>92.75</v>
      </c>
      <c r="I623" s="48" t="n">
        <v>19.56</v>
      </c>
      <c r="J623" s="48" t="n">
        <v>22.34</v>
      </c>
    </row>
    <row r="624">
      <c r="A624" s="50" t="inlineStr">
        <is>
          <t>Paul Mclaughlin</t>
        </is>
      </c>
      <c r="B624" s="50" t="inlineStr">
        <is>
          <t>Amplify</t>
        </is>
      </c>
      <c r="C624" s="50" t="inlineStr">
        <is>
          <t>MolsonCoors Beverage Company</t>
        </is>
      </c>
      <c r="D624" s="50" t="inlineStr">
        <is>
          <t>Coors</t>
        </is>
      </c>
      <c r="E624" s="46" t="n">
        <v>88</v>
      </c>
      <c r="F624" s="46" t="n">
        <v>63</v>
      </c>
      <c r="G624" s="48" t="n">
        <v>2150.3</v>
      </c>
      <c r="H624" s="48" t="n">
        <v>1567.15</v>
      </c>
      <c r="I624" s="48" t="n">
        <v>628.46</v>
      </c>
      <c r="J624" s="48" t="n">
        <v>447.95</v>
      </c>
    </row>
    <row r="625">
      <c r="A625" s="50" t="inlineStr">
        <is>
          <t>Paul Mclaughlin</t>
        </is>
      </c>
      <c r="B625" s="50" t="inlineStr">
        <is>
          <t>Amplify</t>
        </is>
      </c>
      <c r="C625" s="50" t="inlineStr">
        <is>
          <t>MolsonCoors Beverage Company</t>
        </is>
      </c>
      <c r="D625" s="50" t="inlineStr">
        <is>
          <t>Fever Tree</t>
        </is>
      </c>
      <c r="E625" s="46" t="n">
        <v>78</v>
      </c>
      <c r="F625" s="46" t="n">
        <v>90</v>
      </c>
      <c r="G625" s="48" t="n">
        <v>3535.5</v>
      </c>
      <c r="H625" s="48" t="n">
        <v>4104.5</v>
      </c>
      <c r="I625" s="48" t="n">
        <v>1074.53</v>
      </c>
      <c r="J625" s="48" t="n">
        <v>1258.85</v>
      </c>
    </row>
    <row r="626">
      <c r="A626" s="50" t="inlineStr">
        <is>
          <t>Paul Mclaughlin</t>
        </is>
      </c>
      <c r="B626" s="50" t="inlineStr">
        <is>
          <t>Amplify</t>
        </is>
      </c>
      <c r="C626" s="50" t="inlineStr">
        <is>
          <t>MolsonCoors Beverage Company</t>
        </is>
      </c>
      <c r="D626" s="50" t="inlineStr">
        <is>
          <t>Peroni</t>
        </is>
      </c>
      <c r="E626" s="46" t="n">
        <v>1086</v>
      </c>
      <c r="F626" s="46" t="n">
        <v>1091</v>
      </c>
      <c r="G626" s="48" t="n">
        <v>37148.65</v>
      </c>
      <c r="H626" s="48" t="n">
        <v>37001.5</v>
      </c>
      <c r="I626" s="48" t="n">
        <v>9256.17</v>
      </c>
      <c r="J626" s="48" t="n">
        <v>9175.370000000001</v>
      </c>
    </row>
    <row r="627">
      <c r="A627" s="50" t="inlineStr">
        <is>
          <t>Paul Mclaughlin</t>
        </is>
      </c>
      <c r="B627" s="50" t="inlineStr">
        <is>
          <t>Amplify</t>
        </is>
      </c>
      <c r="C627" s="50" t="inlineStr">
        <is>
          <t>Boston Beer Company</t>
        </is>
      </c>
      <c r="D627" s="50" t="inlineStr">
        <is>
          <t>Dogfish Head Beer</t>
        </is>
      </c>
      <c r="E627" s="46" t="n">
        <v>392</v>
      </c>
      <c r="F627" s="46" t="n">
        <v>446</v>
      </c>
      <c r="G627" s="48" t="n">
        <v>13525.8</v>
      </c>
      <c r="H627" s="48" t="n">
        <v>15412.8</v>
      </c>
      <c r="I627" s="48" t="n">
        <v>3785.9</v>
      </c>
      <c r="J627" s="48" t="n">
        <v>4331.96</v>
      </c>
    </row>
    <row r="628">
      <c r="A628" s="50" t="inlineStr">
        <is>
          <t>Paul Mclaughlin</t>
        </is>
      </c>
      <c r="B628" s="50" t="inlineStr">
        <is>
          <t>Amplify</t>
        </is>
      </c>
      <c r="C628" s="50" t="inlineStr">
        <is>
          <t>Boston Beer Company</t>
        </is>
      </c>
      <c r="D628" s="50" t="inlineStr">
        <is>
          <t>Dogfish Head Spirits</t>
        </is>
      </c>
      <c r="E628" s="46" t="n">
        <v>6</v>
      </c>
      <c r="F628" s="46" t="n">
        <v>18</v>
      </c>
      <c r="G628" s="48" t="n">
        <v>360</v>
      </c>
      <c r="H628" s="48" t="n">
        <v>1080</v>
      </c>
      <c r="I628" s="48" t="n">
        <v>141.78</v>
      </c>
      <c r="J628" s="48" t="n">
        <v>425.34</v>
      </c>
    </row>
    <row r="629">
      <c r="A629" s="50" t="inlineStr">
        <is>
          <t>Paul Mclaughlin</t>
        </is>
      </c>
      <c r="B629" s="50" t="inlineStr">
        <is>
          <t>Amplify</t>
        </is>
      </c>
      <c r="C629" s="50" t="inlineStr">
        <is>
          <t>Heineken USA</t>
        </is>
      </c>
      <c r="D629" s="50" t="inlineStr">
        <is>
          <t>Heineken 0.0</t>
        </is>
      </c>
      <c r="E629" s="46" t="n">
        <v>234</v>
      </c>
      <c r="F629" s="46" t="n">
        <v>223</v>
      </c>
      <c r="G629" s="48" t="n">
        <v>8416.35</v>
      </c>
      <c r="H629" s="48" t="n">
        <v>8018.25</v>
      </c>
      <c r="I629" s="48" t="n">
        <v>2634.88</v>
      </c>
      <c r="J629" s="48" t="n">
        <v>2511.99</v>
      </c>
    </row>
    <row r="630">
      <c r="A630" s="50" t="inlineStr">
        <is>
          <t>Paul Mclaughlin</t>
        </is>
      </c>
      <c r="B630" s="50" t="inlineStr">
        <is>
          <t>Amplify</t>
        </is>
      </c>
      <c r="C630" s="50" t="inlineStr">
        <is>
          <t>Heineken USA</t>
        </is>
      </c>
      <c r="D630" s="50" t="inlineStr">
        <is>
          <t>Heineken Light</t>
        </is>
      </c>
      <c r="E630" s="46" t="n">
        <v>211</v>
      </c>
      <c r="F630" s="46" t="n">
        <v>174</v>
      </c>
      <c r="G630" s="48" t="n">
        <v>7218.8</v>
      </c>
      <c r="H630" s="48" t="n">
        <v>6004.4</v>
      </c>
      <c r="I630" s="48" t="n">
        <v>2198.35</v>
      </c>
      <c r="J630" s="48" t="n">
        <v>1864.33</v>
      </c>
    </row>
    <row r="631">
      <c r="A631" s="50" t="inlineStr">
        <is>
          <t>Paul Mclaughlin</t>
        </is>
      </c>
      <c r="B631" s="50" t="inlineStr">
        <is>
          <t>Amplify</t>
        </is>
      </c>
      <c r="C631" s="50" t="inlineStr">
        <is>
          <t>Constellation Brands</t>
        </is>
      </c>
      <c r="D631" s="50" t="inlineStr">
        <is>
          <t>Corona Premier</t>
        </is>
      </c>
      <c r="E631" s="46" t="n">
        <v>13</v>
      </c>
      <c r="F631" s="46" t="n">
        <v>20</v>
      </c>
      <c r="G631" s="48" t="n">
        <v>427.5</v>
      </c>
      <c r="H631" s="48" t="n">
        <v>571.85</v>
      </c>
      <c r="I631" s="48" t="n">
        <v>94.37</v>
      </c>
      <c r="J631" s="48" t="n">
        <v>160.8</v>
      </c>
    </row>
    <row r="632">
      <c r="A632" s="50" t="inlineStr">
        <is>
          <t>Paul Mclaughlin</t>
        </is>
      </c>
      <c r="B632" s="50" t="inlineStr">
        <is>
          <t>Amplify</t>
        </is>
      </c>
      <c r="C632" s="50" t="inlineStr">
        <is>
          <t>Constellation Brands</t>
        </is>
      </c>
      <c r="D632" s="50" t="inlineStr">
        <is>
          <t>Modelo Chelada</t>
        </is>
      </c>
      <c r="E632" s="46" t="n">
        <v>3</v>
      </c>
      <c r="F632" s="46" t="n">
        <v>6</v>
      </c>
      <c r="G632" s="48" t="n">
        <v>99</v>
      </c>
      <c r="H632" s="48" t="n">
        <v>197.25</v>
      </c>
      <c r="I632" s="48" t="n">
        <v>26.61</v>
      </c>
      <c r="J632" s="48" t="n">
        <v>61.18</v>
      </c>
    </row>
    <row r="633">
      <c r="A633" s="50" t="inlineStr">
        <is>
          <t>Paul Mclaughlin</t>
        </is>
      </c>
      <c r="B633" s="50" t="inlineStr">
        <is>
          <t>Amplify</t>
        </is>
      </c>
      <c r="C633" s="50" t="inlineStr">
        <is>
          <t>Constellation Brands</t>
        </is>
      </c>
      <c r="D633" s="50" t="inlineStr">
        <is>
          <t>Pacifico</t>
        </is>
      </c>
      <c r="E633" s="46" t="n">
        <v>133</v>
      </c>
      <c r="F633" s="46" t="n">
        <v>189</v>
      </c>
      <c r="G633" s="48" t="n">
        <v>4275</v>
      </c>
      <c r="H633" s="48" t="n">
        <v>5880</v>
      </c>
      <c r="I633" s="48" t="n">
        <v>1113.66</v>
      </c>
      <c r="J633" s="48" t="n">
        <v>1495.84</v>
      </c>
    </row>
    <row r="634">
      <c r="A634" s="50" t="inlineStr">
        <is>
          <t>Paul Mclaughlin</t>
        </is>
      </c>
      <c r="B634" s="50" t="inlineStr">
        <is>
          <t>Amplify</t>
        </is>
      </c>
      <c r="C634" s="50" t="inlineStr">
        <is>
          <t>Constellation Brands</t>
        </is>
      </c>
      <c r="D634" s="50" t="inlineStr">
        <is>
          <t>Victoria</t>
        </is>
      </c>
      <c r="E634" s="46" t="n">
        <v>59</v>
      </c>
      <c r="F634" s="46" t="n">
        <v>74</v>
      </c>
      <c r="G634" s="48" t="n">
        <v>1844.4</v>
      </c>
      <c r="H634" s="48" t="n">
        <v>2315.95</v>
      </c>
      <c r="I634" s="48" t="n">
        <v>417.23</v>
      </c>
      <c r="J634" s="48" t="n">
        <v>530.33</v>
      </c>
    </row>
    <row r="635">
      <c r="A635" s="50" t="inlineStr">
        <is>
          <t>Paul Mclaughlin</t>
        </is>
      </c>
      <c r="B635" s="50" t="inlineStr">
        <is>
          <t>Amplify</t>
        </is>
      </c>
      <c r="C635" s="50" t="inlineStr">
        <is>
          <t>Sapporo</t>
        </is>
      </c>
      <c r="D635" s="50" t="inlineStr">
        <is>
          <t>Sapporo</t>
        </is>
      </c>
      <c r="E635" s="46" t="n">
        <v>45</v>
      </c>
      <c r="F635" s="46" t="n">
        <v>51</v>
      </c>
      <c r="G635" s="48" t="n">
        <v>1231</v>
      </c>
      <c r="H635" s="48" t="n">
        <v>1504</v>
      </c>
      <c r="I635" s="48" t="n">
        <v>332.92</v>
      </c>
      <c r="J635" s="48" t="n">
        <v>459.16</v>
      </c>
    </row>
    <row r="636">
      <c r="A636" s="50" t="inlineStr">
        <is>
          <t>Paul Mclaughlin</t>
        </is>
      </c>
      <c r="B636" s="50" t="inlineStr">
        <is>
          <t>Amplify</t>
        </is>
      </c>
      <c r="C636" s="50" t="inlineStr">
        <is>
          <t>Bell's</t>
        </is>
      </c>
      <c r="D636" s="50" t="inlineStr">
        <is>
          <t>Bell's</t>
        </is>
      </c>
      <c r="E636" s="46" t="n">
        <v>0</v>
      </c>
      <c r="F636" s="46" t="n">
        <v>0</v>
      </c>
      <c r="G636" s="48" t="n">
        <v>-3</v>
      </c>
      <c r="H636" s="48" t="n">
        <v>0</v>
      </c>
      <c r="I636" s="48" t="n">
        <v>-3</v>
      </c>
      <c r="J636" s="48" t="n">
        <v>0</v>
      </c>
    </row>
    <row r="637">
      <c r="A637" s="50" t="inlineStr">
        <is>
          <t>Paul Mclaughlin</t>
        </is>
      </c>
      <c r="B637" s="50" t="inlineStr">
        <is>
          <t>Amplify</t>
        </is>
      </c>
      <c r="C637" s="50" t="inlineStr">
        <is>
          <t>New Belgium Brewing Company</t>
        </is>
      </c>
      <c r="D637" s="50" t="inlineStr">
        <is>
          <t>Fat Tire Family</t>
        </is>
      </c>
      <c r="E637" s="46" t="n">
        <v>113</v>
      </c>
      <c r="F637" s="46" t="n">
        <v>120</v>
      </c>
      <c r="G637" s="48" t="n">
        <v>3908.75</v>
      </c>
      <c r="H637" s="48" t="n">
        <v>3380.25</v>
      </c>
      <c r="I637" s="48" t="n">
        <v>948.33</v>
      </c>
      <c r="J637" s="48" t="n">
        <v>863.5</v>
      </c>
    </row>
    <row r="638">
      <c r="A638" s="50" t="inlineStr">
        <is>
          <t>Paul Mclaughlin</t>
        </is>
      </c>
      <c r="B638" s="50" t="inlineStr">
        <is>
          <t>Amplify</t>
        </is>
      </c>
      <c r="C638" s="50" t="inlineStr">
        <is>
          <t>New Belgium Brewing Company</t>
        </is>
      </c>
      <c r="D638" s="50" t="inlineStr">
        <is>
          <t>Kirin Ichiban</t>
        </is>
      </c>
      <c r="E638" s="46" t="n">
        <v>26</v>
      </c>
      <c r="F638" s="46" t="n">
        <v>2</v>
      </c>
      <c r="G638" s="48" t="n">
        <v>645</v>
      </c>
      <c r="H638" s="48" t="n">
        <v>72</v>
      </c>
      <c r="I638" s="48" t="n">
        <v>186.06</v>
      </c>
      <c r="J638" s="48" t="n">
        <v>23.64</v>
      </c>
    </row>
    <row r="639">
      <c r="A639" s="50" t="inlineStr">
        <is>
          <t>Paul Mclaughlin</t>
        </is>
      </c>
      <c r="B639" s="50" t="inlineStr">
        <is>
          <t>Amplify</t>
        </is>
      </c>
      <c r="C639" s="50" t="inlineStr">
        <is>
          <t>New Belgium Brewing Company</t>
        </is>
      </c>
      <c r="D639" s="50" t="inlineStr">
        <is>
          <t>Voodoo Family</t>
        </is>
      </c>
      <c r="E639" s="46" t="n">
        <v>265</v>
      </c>
      <c r="F639" s="46" t="n">
        <v>234</v>
      </c>
      <c r="G639" s="48" t="n">
        <v>9614.700000000001</v>
      </c>
      <c r="H639" s="48" t="n">
        <v>8313.1</v>
      </c>
      <c r="I639" s="48" t="n">
        <v>2477.24</v>
      </c>
      <c r="J639" s="48" t="n">
        <v>2192.4</v>
      </c>
    </row>
    <row r="640">
      <c r="A640" s="50" t="inlineStr">
        <is>
          <t>Paul Mclaughlin</t>
        </is>
      </c>
      <c r="B640" s="50" t="inlineStr">
        <is>
          <t>Amplify</t>
        </is>
      </c>
      <c r="C640" s="50" t="inlineStr">
        <is>
          <t>DG Yuengling Inc</t>
        </is>
      </c>
      <c r="D640" s="50" t="inlineStr">
        <is>
          <t>Yuengling Flight</t>
        </is>
      </c>
      <c r="E640" s="46" t="n">
        <v>3</v>
      </c>
      <c r="F640" s="46" t="n">
        <v>0</v>
      </c>
      <c r="G640" s="48" t="n">
        <v>89</v>
      </c>
      <c r="H640" s="48" t="n">
        <v>-3</v>
      </c>
      <c r="I640" s="48" t="n">
        <v>20.84</v>
      </c>
      <c r="J640" s="48" t="n">
        <v>-3</v>
      </c>
    </row>
    <row r="641">
      <c r="A641" s="50" t="inlineStr">
        <is>
          <t>Paul Mclaughlin</t>
        </is>
      </c>
      <c r="B641" s="50" t="inlineStr">
        <is>
          <t>Qualifier</t>
        </is>
      </c>
      <c r="C641" s="50" t="inlineStr">
        <is>
          <t>MolsonCoors Beverage Company</t>
        </is>
      </c>
      <c r="D641" s="50" t="inlineStr">
        <is>
          <t>Blue Moon</t>
        </is>
      </c>
      <c r="E641" s="46" t="n">
        <v>1244</v>
      </c>
      <c r="F641" s="46" t="n">
        <v>1157</v>
      </c>
      <c r="G641" s="48" t="n">
        <v>39527.5</v>
      </c>
      <c r="H641" s="48" t="n">
        <v>36550.5</v>
      </c>
      <c r="I641" s="48" t="n">
        <v>13443.28</v>
      </c>
      <c r="J641" s="48" t="n">
        <v>12228.41</v>
      </c>
    </row>
    <row r="642">
      <c r="A642" s="50" t="inlineStr">
        <is>
          <t>Paul Mclaughlin</t>
        </is>
      </c>
      <c r="B642" s="50" t="inlineStr">
        <is>
          <t>Qualifier</t>
        </is>
      </c>
      <c r="C642" s="50" t="inlineStr">
        <is>
          <t>MolsonCoors Beverage Company</t>
        </is>
      </c>
      <c r="D642" s="50" t="inlineStr">
        <is>
          <t>Coors Light</t>
        </is>
      </c>
      <c r="E642" s="46" t="n">
        <v>3679</v>
      </c>
      <c r="F642" s="46" t="n">
        <v>3384</v>
      </c>
      <c r="G642" s="48" t="n">
        <v>79131.64999999999</v>
      </c>
      <c r="H642" s="48" t="n">
        <v>73652.10000000001</v>
      </c>
      <c r="I642" s="48" t="n">
        <v>22561.98</v>
      </c>
      <c r="J642" s="48" t="n">
        <v>20239.37</v>
      </c>
    </row>
    <row r="643">
      <c r="A643" s="50" t="inlineStr">
        <is>
          <t>Paul Mclaughlin</t>
        </is>
      </c>
      <c r="B643" s="50" t="inlineStr">
        <is>
          <t>Qualifier</t>
        </is>
      </c>
      <c r="C643" s="50" t="inlineStr">
        <is>
          <t>MolsonCoors Beverage Company</t>
        </is>
      </c>
      <c r="D643" s="50" t="inlineStr">
        <is>
          <t>Lite</t>
        </is>
      </c>
      <c r="E643" s="46" t="n">
        <v>3085</v>
      </c>
      <c r="F643" s="46" t="n">
        <v>2933</v>
      </c>
      <c r="G643" s="48" t="n">
        <v>68593.5</v>
      </c>
      <c r="H643" s="48" t="n">
        <v>66467.60000000001</v>
      </c>
      <c r="I643" s="48" t="n">
        <v>17483.78</v>
      </c>
      <c r="J643" s="48" t="n">
        <v>16376.63</v>
      </c>
    </row>
    <row r="644">
      <c r="A644" s="50" t="inlineStr">
        <is>
          <t>Paul Mclaughlin</t>
        </is>
      </c>
      <c r="B644" s="50" t="inlineStr">
        <is>
          <t>Qualifier</t>
        </is>
      </c>
      <c r="C644" s="50" t="inlineStr">
        <is>
          <t>Heineken USA</t>
        </is>
      </c>
      <c r="D644" s="50" t="inlineStr">
        <is>
          <t>Heineken USA</t>
        </is>
      </c>
      <c r="E644" s="46" t="n">
        <v>1593</v>
      </c>
      <c r="F644" s="46" t="n">
        <v>1397</v>
      </c>
      <c r="G644" s="48" t="n">
        <v>55465.95</v>
      </c>
      <c r="H644" s="48" t="n">
        <v>48753.55</v>
      </c>
      <c r="I644" s="48" t="n">
        <v>17613.54</v>
      </c>
      <c r="J644" s="48" t="n">
        <v>15590.37</v>
      </c>
    </row>
    <row r="645">
      <c r="A645" s="50" t="inlineStr">
        <is>
          <t>Paul Mclaughlin</t>
        </is>
      </c>
      <c r="B645" s="50" t="inlineStr">
        <is>
          <t>Qualifier</t>
        </is>
      </c>
      <c r="C645" s="50" t="inlineStr">
        <is>
          <t>Constellation Brands</t>
        </is>
      </c>
      <c r="D645" s="50" t="inlineStr">
        <is>
          <t>Corona Extra</t>
        </is>
      </c>
      <c r="E645" s="46" t="n">
        <v>3752</v>
      </c>
      <c r="F645" s="46" t="n">
        <v>3654</v>
      </c>
      <c r="G645" s="48" t="n">
        <v>126601.45</v>
      </c>
      <c r="H645" s="48" t="n">
        <v>123632.75</v>
      </c>
      <c r="I645" s="48" t="n">
        <v>35729.65</v>
      </c>
      <c r="J645" s="48" t="n">
        <v>35547.09</v>
      </c>
    </row>
    <row r="646">
      <c r="A646" s="50" t="inlineStr">
        <is>
          <t>Paul Mclaughlin</t>
        </is>
      </c>
      <c r="B646" s="50" t="inlineStr">
        <is>
          <t>Qualifier</t>
        </is>
      </c>
      <c r="C646" s="50" t="inlineStr">
        <is>
          <t>Constellation Brands</t>
        </is>
      </c>
      <c r="D646" s="50" t="inlineStr">
        <is>
          <t>Modelo Especial</t>
        </is>
      </c>
      <c r="E646" s="46" t="n">
        <v>2225</v>
      </c>
      <c r="F646" s="46" t="n">
        <v>3055</v>
      </c>
      <c r="G646" s="48" t="n">
        <v>66122</v>
      </c>
      <c r="H646" s="48" t="n">
        <v>90468.60000000001</v>
      </c>
      <c r="I646" s="48" t="n">
        <v>16065.62</v>
      </c>
      <c r="J646" s="48" t="n">
        <v>22821.26</v>
      </c>
    </row>
    <row r="647">
      <c r="A647" s="50" t="inlineStr">
        <is>
          <t>Paul Mclaughlin</t>
        </is>
      </c>
      <c r="B647" s="50" t="inlineStr">
        <is>
          <t>Qualifier</t>
        </is>
      </c>
      <c r="C647" s="50" t="inlineStr">
        <is>
          <t>Boston Beer Company</t>
        </is>
      </c>
      <c r="D647" s="50" t="inlineStr">
        <is>
          <t>Truly</t>
        </is>
      </c>
      <c r="E647" s="46" t="n">
        <v>27</v>
      </c>
      <c r="F647" s="46" t="n">
        <v>14</v>
      </c>
      <c r="G647" s="48" t="n">
        <v>906.4</v>
      </c>
      <c r="H647" s="48" t="n">
        <v>376.8</v>
      </c>
      <c r="I647" s="48" t="n">
        <v>247.37</v>
      </c>
      <c r="J647" s="48" t="n">
        <v>66.36</v>
      </c>
    </row>
    <row r="648">
      <c r="A648" s="50" t="inlineStr">
        <is>
          <t>Paul Mclaughlin</t>
        </is>
      </c>
      <c r="B648" s="50" t="inlineStr">
        <is>
          <t>Qualifier</t>
        </is>
      </c>
      <c r="C648" s="50" t="inlineStr">
        <is>
          <t>Boston Beer Company</t>
        </is>
      </c>
      <c r="D648" s="50" t="inlineStr">
        <is>
          <t>Twisted Tea</t>
        </is>
      </c>
      <c r="E648" s="46" t="n">
        <v>109</v>
      </c>
      <c r="F648" s="46" t="n">
        <v>115</v>
      </c>
      <c r="G648" s="48" t="n">
        <v>3606.75</v>
      </c>
      <c r="H648" s="48" t="n">
        <v>3723.25</v>
      </c>
      <c r="I648" s="48" t="n">
        <v>1010.75</v>
      </c>
      <c r="J648" s="48" t="n">
        <v>1037.6</v>
      </c>
    </row>
    <row r="649">
      <c r="A649" s="50" t="inlineStr">
        <is>
          <t>Paul Mclaughlin</t>
        </is>
      </c>
      <c r="B649" s="50" t="inlineStr">
        <is>
          <t>Qualifier</t>
        </is>
      </c>
      <c r="C649" s="50" t="inlineStr">
        <is>
          <t>Mark Anthony</t>
        </is>
      </c>
      <c r="D649" s="50" t="inlineStr">
        <is>
          <t>White Claw</t>
        </is>
      </c>
      <c r="E649" s="46" t="n">
        <v>430</v>
      </c>
      <c r="F649" s="46" t="n">
        <v>331</v>
      </c>
      <c r="G649" s="48" t="n">
        <v>14337.55</v>
      </c>
      <c r="H649" s="48" t="n">
        <v>11255.15</v>
      </c>
      <c r="I649" s="48" t="n">
        <v>3678</v>
      </c>
      <c r="J649" s="48" t="n">
        <v>2941.06</v>
      </c>
    </row>
    <row r="650">
      <c r="A650" s="50" t="inlineStr">
        <is>
          <t>Paul Mclaughlin</t>
        </is>
      </c>
      <c r="B650" s="50" t="inlineStr">
        <is>
          <t>Qualifier</t>
        </is>
      </c>
      <c r="C650" s="50" t="inlineStr">
        <is>
          <t>DG Yuengling Inc</t>
        </is>
      </c>
      <c r="D650" s="50" t="inlineStr">
        <is>
          <t>Yuengling Lager</t>
        </is>
      </c>
      <c r="E650" s="46" t="n">
        <v>1616</v>
      </c>
      <c r="F650" s="46" t="n">
        <v>1572</v>
      </c>
      <c r="G650" s="48" t="n">
        <v>31512.5</v>
      </c>
      <c r="H650" s="48" t="n">
        <v>30411</v>
      </c>
      <c r="I650" s="48" t="n">
        <v>9354.6</v>
      </c>
      <c r="J650" s="48" t="n">
        <v>9080.83</v>
      </c>
    </row>
    <row r="651">
      <c r="A651" s="50" t="inlineStr">
        <is>
          <t>Phil Ernst</t>
        </is>
      </c>
      <c r="B651" s="50" t="inlineStr">
        <is>
          <t>Amplify</t>
        </is>
      </c>
      <c r="C651" s="50" t="inlineStr">
        <is>
          <t>Cape May</t>
        </is>
      </c>
      <c r="D651" s="50" t="inlineStr">
        <is>
          <t>Cape May</t>
        </is>
      </c>
      <c r="E651" s="46" t="n">
        <v>635</v>
      </c>
      <c r="F651" s="46" t="n">
        <v>602</v>
      </c>
      <c r="G651" s="48" t="n">
        <v>25943</v>
      </c>
      <c r="H651" s="48" t="n">
        <v>24690.4</v>
      </c>
      <c r="I651" s="48" t="n">
        <v>7891.26</v>
      </c>
      <c r="J651" s="48" t="n">
        <v>7612</v>
      </c>
    </row>
    <row r="652">
      <c r="A652" s="50" t="inlineStr">
        <is>
          <t>Phil Ernst</t>
        </is>
      </c>
      <c r="B652" s="50" t="inlineStr">
        <is>
          <t>Amplify</t>
        </is>
      </c>
      <c r="C652" s="50" t="inlineStr">
        <is>
          <t>Mark Anthony</t>
        </is>
      </c>
      <c r="D652" s="50" t="inlineStr">
        <is>
          <t>Cayman Jack</t>
        </is>
      </c>
      <c r="E652" s="46" t="n">
        <v>795</v>
      </c>
      <c r="F652" s="46" t="n">
        <v>869</v>
      </c>
      <c r="G652" s="48" t="n">
        <v>25422.5</v>
      </c>
      <c r="H652" s="48" t="n">
        <v>27652.75</v>
      </c>
      <c r="I652" s="48" t="n">
        <v>6317.78</v>
      </c>
      <c r="J652" s="48" t="n">
        <v>6762.14</v>
      </c>
    </row>
    <row r="653">
      <c r="A653" s="50" t="inlineStr">
        <is>
          <t>Phil Ernst</t>
        </is>
      </c>
      <c r="B653" s="50" t="inlineStr">
        <is>
          <t>Amplify</t>
        </is>
      </c>
      <c r="C653" s="50" t="inlineStr">
        <is>
          <t>Mark Anthony</t>
        </is>
      </c>
      <c r="D653" s="50" t="inlineStr">
        <is>
          <t>Mike's Harder</t>
        </is>
      </c>
      <c r="E653" s="46" t="n">
        <v>184</v>
      </c>
      <c r="F653" s="46" t="n">
        <v>159</v>
      </c>
      <c r="G653" s="48" t="n">
        <v>5182</v>
      </c>
      <c r="H653" s="48" t="n">
        <v>4754</v>
      </c>
      <c r="I653" s="48" t="n">
        <v>1165.86</v>
      </c>
      <c r="J653" s="48" t="n">
        <v>1039.1</v>
      </c>
    </row>
    <row r="654">
      <c r="A654" s="50" t="inlineStr">
        <is>
          <t>Phil Ernst</t>
        </is>
      </c>
      <c r="B654" s="50" t="inlineStr">
        <is>
          <t>Amplify</t>
        </is>
      </c>
      <c r="C654" s="50" t="inlineStr">
        <is>
          <t>Mark Anthony</t>
        </is>
      </c>
      <c r="D654" s="50" t="inlineStr">
        <is>
          <t>Mxd Cocktails</t>
        </is>
      </c>
      <c r="E654" s="46" t="n">
        <v>16</v>
      </c>
      <c r="F654" s="46" t="n">
        <v>9</v>
      </c>
      <c r="G654" s="48" t="n">
        <v>384</v>
      </c>
      <c r="H654" s="48" t="n">
        <v>227.9</v>
      </c>
      <c r="I654" s="48" t="n">
        <v>72.12</v>
      </c>
      <c r="J654" s="48" t="n">
        <v>45.69</v>
      </c>
    </row>
    <row r="655">
      <c r="A655" s="50" t="inlineStr">
        <is>
          <t>Phil Ernst</t>
        </is>
      </c>
      <c r="B655" s="50" t="inlineStr">
        <is>
          <t>Amplify</t>
        </is>
      </c>
      <c r="C655" s="50" t="inlineStr">
        <is>
          <t>MolsonCoors Beverage Company</t>
        </is>
      </c>
      <c r="D655" s="50" t="inlineStr">
        <is>
          <t>Coors</t>
        </is>
      </c>
      <c r="E655" s="46" t="n">
        <v>2177</v>
      </c>
      <c r="F655" s="46" t="n">
        <v>4079</v>
      </c>
      <c r="G655" s="48" t="n">
        <v>46287.4</v>
      </c>
      <c r="H655" s="48" t="n">
        <v>81852.64999999999</v>
      </c>
      <c r="I655" s="48" t="n">
        <v>11820.95</v>
      </c>
      <c r="J655" s="48" t="n">
        <v>18886.72</v>
      </c>
    </row>
    <row r="656">
      <c r="A656" s="50" t="inlineStr">
        <is>
          <t>Phil Ernst</t>
        </is>
      </c>
      <c r="B656" s="50" t="inlineStr">
        <is>
          <t>Amplify</t>
        </is>
      </c>
      <c r="C656" s="50" t="inlineStr">
        <is>
          <t>MolsonCoors Beverage Company</t>
        </is>
      </c>
      <c r="D656" s="50" t="inlineStr">
        <is>
          <t>Fever Tree</t>
        </is>
      </c>
      <c r="E656" s="46" t="n">
        <v>244</v>
      </c>
      <c r="F656" s="46" t="n">
        <v>327</v>
      </c>
      <c r="G656" s="48" t="n">
        <v>10974.5</v>
      </c>
      <c r="H656" s="48" t="n">
        <v>14667.96</v>
      </c>
      <c r="I656" s="48" t="n">
        <v>3481.04</v>
      </c>
      <c r="J656" s="48" t="n">
        <v>4638.67</v>
      </c>
    </row>
    <row r="657">
      <c r="A657" s="50" t="inlineStr">
        <is>
          <t>Phil Ernst</t>
        </is>
      </c>
      <c r="B657" s="50" t="inlineStr">
        <is>
          <t>Amplify</t>
        </is>
      </c>
      <c r="C657" s="50" t="inlineStr">
        <is>
          <t>MolsonCoors Beverage Company</t>
        </is>
      </c>
      <c r="D657" s="50" t="inlineStr">
        <is>
          <t>Peroni</t>
        </is>
      </c>
      <c r="E657" s="46" t="n">
        <v>1625</v>
      </c>
      <c r="F657" s="46" t="n">
        <v>1492</v>
      </c>
      <c r="G657" s="48" t="n">
        <v>55271.4</v>
      </c>
      <c r="H657" s="48" t="n">
        <v>50315.45</v>
      </c>
      <c r="I657" s="48" t="n">
        <v>11281.99</v>
      </c>
      <c r="J657" s="48" t="n">
        <v>10128.18</v>
      </c>
    </row>
    <row r="658">
      <c r="A658" s="50" t="inlineStr">
        <is>
          <t>Phil Ernst</t>
        </is>
      </c>
      <c r="B658" s="50" t="inlineStr">
        <is>
          <t>Amplify</t>
        </is>
      </c>
      <c r="C658" s="50" t="inlineStr">
        <is>
          <t>Boston Beer Company</t>
        </is>
      </c>
      <c r="D658" s="50" t="inlineStr">
        <is>
          <t>Dogfish Head Beer</t>
        </is>
      </c>
      <c r="E658" s="46" t="n">
        <v>705</v>
      </c>
      <c r="F658" s="46" t="n">
        <v>690</v>
      </c>
      <c r="G658" s="48" t="n">
        <v>24813.3</v>
      </c>
      <c r="H658" s="48" t="n">
        <v>24278.5</v>
      </c>
      <c r="I658" s="48" t="n">
        <v>6525.62</v>
      </c>
      <c r="J658" s="48" t="n">
        <v>6094.37</v>
      </c>
    </row>
    <row r="659">
      <c r="A659" s="50" t="inlineStr">
        <is>
          <t>Phil Ernst</t>
        </is>
      </c>
      <c r="B659" s="50" t="inlineStr">
        <is>
          <t>Amplify</t>
        </is>
      </c>
      <c r="C659" s="50" t="inlineStr">
        <is>
          <t>Boston Beer Company</t>
        </is>
      </c>
      <c r="D659" s="50" t="inlineStr">
        <is>
          <t>Dogfish Head Spirits</t>
        </is>
      </c>
      <c r="E659" s="46" t="n">
        <v>128</v>
      </c>
      <c r="F659" s="46" t="n">
        <v>78</v>
      </c>
      <c r="G659" s="48" t="n">
        <v>6801</v>
      </c>
      <c r="H659" s="48" t="n">
        <v>3995</v>
      </c>
      <c r="I659" s="48" t="n">
        <v>2687.74</v>
      </c>
      <c r="J659" s="48" t="n">
        <v>1408.34</v>
      </c>
    </row>
    <row r="660">
      <c r="A660" s="50" t="inlineStr">
        <is>
          <t>Phil Ernst</t>
        </is>
      </c>
      <c r="B660" s="50" t="inlineStr">
        <is>
          <t>Amplify</t>
        </is>
      </c>
      <c r="C660" s="50" t="inlineStr">
        <is>
          <t>Heineken USA</t>
        </is>
      </c>
      <c r="D660" s="50" t="inlineStr">
        <is>
          <t>Heineken 0.0</t>
        </is>
      </c>
      <c r="E660" s="46" t="n">
        <v>731</v>
      </c>
      <c r="F660" s="46" t="n">
        <v>667</v>
      </c>
      <c r="G660" s="48" t="n">
        <v>24722.95</v>
      </c>
      <c r="H660" s="48" t="n">
        <v>22589.45</v>
      </c>
      <c r="I660" s="48" t="n">
        <v>6562.82</v>
      </c>
      <c r="J660" s="48" t="n">
        <v>6048.47</v>
      </c>
    </row>
    <row r="661">
      <c r="A661" s="50" t="inlineStr">
        <is>
          <t>Phil Ernst</t>
        </is>
      </c>
      <c r="B661" s="50" t="inlineStr">
        <is>
          <t>Amplify</t>
        </is>
      </c>
      <c r="C661" s="50" t="inlineStr">
        <is>
          <t>Heineken USA</t>
        </is>
      </c>
      <c r="D661" s="50" t="inlineStr">
        <is>
          <t>Heineken Light</t>
        </is>
      </c>
      <c r="E661" s="46" t="n">
        <v>1273</v>
      </c>
      <c r="F661" s="46" t="n">
        <v>1099</v>
      </c>
      <c r="G661" s="48" t="n">
        <v>38968.45</v>
      </c>
      <c r="H661" s="48" t="n">
        <v>33629.35</v>
      </c>
      <c r="I661" s="48" t="n">
        <v>8717.07</v>
      </c>
      <c r="J661" s="48" t="n">
        <v>7513.59</v>
      </c>
    </row>
    <row r="662">
      <c r="A662" s="50" t="inlineStr">
        <is>
          <t>Phil Ernst</t>
        </is>
      </c>
      <c r="B662" s="50" t="inlineStr">
        <is>
          <t>Amplify</t>
        </is>
      </c>
      <c r="C662" s="50" t="inlineStr">
        <is>
          <t>Constellation Brands</t>
        </is>
      </c>
      <c r="D662" s="50" t="inlineStr">
        <is>
          <t>Corona Premier</t>
        </is>
      </c>
      <c r="E662" s="46" t="n">
        <v>1217</v>
      </c>
      <c r="F662" s="46" t="n">
        <v>1037</v>
      </c>
      <c r="G662" s="48" t="n">
        <v>38035.15</v>
      </c>
      <c r="H662" s="48" t="n">
        <v>28250.63</v>
      </c>
      <c r="I662" s="48" t="n">
        <v>8103.27</v>
      </c>
      <c r="J662" s="48" t="n">
        <v>7118.15</v>
      </c>
    </row>
    <row r="663">
      <c r="A663" s="50" t="inlineStr">
        <is>
          <t>Phil Ernst</t>
        </is>
      </c>
      <c r="B663" s="50" t="inlineStr">
        <is>
          <t>Amplify</t>
        </is>
      </c>
      <c r="C663" s="50" t="inlineStr">
        <is>
          <t>Constellation Brands</t>
        </is>
      </c>
      <c r="D663" s="50" t="inlineStr">
        <is>
          <t>Modelo Chelada</t>
        </is>
      </c>
      <c r="E663" s="46" t="n">
        <v>1081</v>
      </c>
      <c r="F663" s="46" t="n">
        <v>1375</v>
      </c>
      <c r="G663" s="48" t="n">
        <v>33240.25</v>
      </c>
      <c r="H663" s="48" t="n">
        <v>41924.55</v>
      </c>
      <c r="I663" s="48" t="n">
        <v>7948.18</v>
      </c>
      <c r="J663" s="48" t="n">
        <v>10204.13</v>
      </c>
    </row>
    <row r="664">
      <c r="A664" s="50" t="inlineStr">
        <is>
          <t>Phil Ernst</t>
        </is>
      </c>
      <c r="B664" s="50" t="inlineStr">
        <is>
          <t>Amplify</t>
        </is>
      </c>
      <c r="C664" s="50" t="inlineStr">
        <is>
          <t>Constellation Brands</t>
        </is>
      </c>
      <c r="D664" s="50" t="inlineStr">
        <is>
          <t>Pacifico</t>
        </is>
      </c>
      <c r="E664" s="46" t="n">
        <v>433</v>
      </c>
      <c r="F664" s="46" t="n">
        <v>465</v>
      </c>
      <c r="G664" s="48" t="n">
        <v>13442.75</v>
      </c>
      <c r="H664" s="48" t="n">
        <v>14550.1</v>
      </c>
      <c r="I664" s="48" t="n">
        <v>3190.19</v>
      </c>
      <c r="J664" s="48" t="n">
        <v>3466.66</v>
      </c>
    </row>
    <row r="665">
      <c r="A665" s="50" t="inlineStr">
        <is>
          <t>Phil Ernst</t>
        </is>
      </c>
      <c r="B665" s="50" t="inlineStr">
        <is>
          <t>Amplify</t>
        </is>
      </c>
      <c r="C665" s="50" t="inlineStr">
        <is>
          <t>Constellation Brands</t>
        </is>
      </c>
      <c r="D665" s="50" t="inlineStr">
        <is>
          <t>Victoria</t>
        </is>
      </c>
      <c r="E665" s="46" t="n">
        <v>539</v>
      </c>
      <c r="F665" s="46" t="n">
        <v>421</v>
      </c>
      <c r="G665" s="48" t="n">
        <v>16649.3</v>
      </c>
      <c r="H665" s="48" t="n">
        <v>12856.65</v>
      </c>
      <c r="I665" s="48" t="n">
        <v>3867.43</v>
      </c>
      <c r="J665" s="48" t="n">
        <v>2968.14</v>
      </c>
    </row>
    <row r="666">
      <c r="A666" s="50" t="inlineStr">
        <is>
          <t>Phil Ernst</t>
        </is>
      </c>
      <c r="B666" s="50" t="inlineStr">
        <is>
          <t>Amplify</t>
        </is>
      </c>
      <c r="C666" s="50" t="inlineStr">
        <is>
          <t>Sapporo</t>
        </is>
      </c>
      <c r="D666" s="50" t="inlineStr">
        <is>
          <t>Sapporo</t>
        </is>
      </c>
      <c r="E666" s="46" t="n">
        <v>769</v>
      </c>
      <c r="F666" s="46" t="n">
        <v>901</v>
      </c>
      <c r="G666" s="48" t="n">
        <v>22156.5</v>
      </c>
      <c r="H666" s="48" t="n">
        <v>25616.75</v>
      </c>
      <c r="I666" s="48" t="n">
        <v>6025.97</v>
      </c>
      <c r="J666" s="48" t="n">
        <v>6915.19</v>
      </c>
    </row>
    <row r="667">
      <c r="A667" s="50" t="inlineStr">
        <is>
          <t>Phil Ernst</t>
        </is>
      </c>
      <c r="B667" s="50" t="inlineStr">
        <is>
          <t>Amplify</t>
        </is>
      </c>
      <c r="C667" s="50" t="inlineStr">
        <is>
          <t>Bell's</t>
        </is>
      </c>
      <c r="D667" s="50" t="inlineStr">
        <is>
          <t>Bell's</t>
        </is>
      </c>
      <c r="E667" s="46" t="n">
        <v>38</v>
      </c>
      <c r="F667" s="46" t="n">
        <v>30</v>
      </c>
      <c r="G667" s="48" t="n">
        <v>1413.6</v>
      </c>
      <c r="H667" s="48" t="n">
        <v>1121</v>
      </c>
      <c r="I667" s="48" t="n">
        <v>512.28</v>
      </c>
      <c r="J667" s="48" t="n">
        <v>414.72</v>
      </c>
    </row>
    <row r="668">
      <c r="A668" s="50" t="inlineStr">
        <is>
          <t>Phil Ernst</t>
        </is>
      </c>
      <c r="B668" s="50" t="inlineStr">
        <is>
          <t>Amplify</t>
        </is>
      </c>
      <c r="C668" s="50" t="inlineStr">
        <is>
          <t>New Belgium Brewing Company</t>
        </is>
      </c>
      <c r="D668" s="50" t="inlineStr">
        <is>
          <t>Fat Tire Family</t>
        </is>
      </c>
      <c r="E668" s="46" t="n">
        <v>134</v>
      </c>
      <c r="F668" s="46" t="n">
        <v>120</v>
      </c>
      <c r="G668" s="48" t="n">
        <v>4556.15</v>
      </c>
      <c r="H668" s="48" t="n">
        <v>3692.3</v>
      </c>
      <c r="I668" s="48" t="n">
        <v>1108.15</v>
      </c>
      <c r="J668" s="48" t="n">
        <v>819.34</v>
      </c>
    </row>
    <row r="669">
      <c r="A669" s="50" t="inlineStr">
        <is>
          <t>Phil Ernst</t>
        </is>
      </c>
      <c r="B669" s="50" t="inlineStr">
        <is>
          <t>Amplify</t>
        </is>
      </c>
      <c r="C669" s="50" t="inlineStr">
        <is>
          <t>New Belgium Brewing Company</t>
        </is>
      </c>
      <c r="D669" s="50" t="inlineStr">
        <is>
          <t>Kirin Ichiban</t>
        </is>
      </c>
      <c r="E669" s="46" t="n">
        <v>21</v>
      </c>
      <c r="F669" s="46" t="n">
        <v>38</v>
      </c>
      <c r="G669" s="48" t="n">
        <v>680</v>
      </c>
      <c r="H669" s="48" t="n">
        <v>1286.8</v>
      </c>
      <c r="I669" s="48" t="n">
        <v>189.58</v>
      </c>
      <c r="J669" s="48" t="n">
        <v>389.84</v>
      </c>
    </row>
    <row r="670">
      <c r="A670" s="50" t="inlineStr">
        <is>
          <t>Phil Ernst</t>
        </is>
      </c>
      <c r="B670" s="50" t="inlineStr">
        <is>
          <t>Amplify</t>
        </is>
      </c>
      <c r="C670" s="50" t="inlineStr">
        <is>
          <t>New Belgium Brewing Company</t>
        </is>
      </c>
      <c r="D670" s="50" t="inlineStr">
        <is>
          <t>Voodoo Family</t>
        </is>
      </c>
      <c r="E670" s="46" t="n">
        <v>775</v>
      </c>
      <c r="F670" s="46" t="n">
        <v>872</v>
      </c>
      <c r="G670" s="48" t="n">
        <v>28725.9</v>
      </c>
      <c r="H670" s="48" t="n">
        <v>32087.9</v>
      </c>
      <c r="I670" s="48" t="n">
        <v>7495.5</v>
      </c>
      <c r="J670" s="48" t="n">
        <v>8469.219999999999</v>
      </c>
    </row>
    <row r="671">
      <c r="A671" s="50" t="inlineStr">
        <is>
          <t>Phil Ernst</t>
        </is>
      </c>
      <c r="B671" s="50" t="inlineStr">
        <is>
          <t>Amplify</t>
        </is>
      </c>
      <c r="C671" s="50" t="inlineStr">
        <is>
          <t>DG Yuengling Inc</t>
        </is>
      </c>
      <c r="D671" s="50" t="inlineStr">
        <is>
          <t>Yuengling Flight</t>
        </is>
      </c>
      <c r="E671" s="46" t="n">
        <v>380</v>
      </c>
      <c r="F671" s="46" t="n">
        <v>220</v>
      </c>
      <c r="G671" s="48" t="n">
        <v>8607.6</v>
      </c>
      <c r="H671" s="48" t="n">
        <v>5004.85</v>
      </c>
      <c r="I671" s="48" t="n">
        <v>2309.92</v>
      </c>
      <c r="J671" s="48" t="n">
        <v>1393.43</v>
      </c>
    </row>
    <row r="672">
      <c r="A672" s="50" t="inlineStr">
        <is>
          <t>Phil Ernst</t>
        </is>
      </c>
      <c r="B672" s="50" t="inlineStr">
        <is>
          <t>Amplify</t>
        </is>
      </c>
      <c r="C672" s="50" t="inlineStr">
        <is>
          <t>DG Yuengling Inc</t>
        </is>
      </c>
      <c r="D672" s="50" t="inlineStr">
        <is>
          <t>Yuengling Light Lager</t>
        </is>
      </c>
      <c r="E672" s="46" t="n">
        <v>212</v>
      </c>
      <c r="F672" s="46" t="n">
        <v>167</v>
      </c>
      <c r="G672" s="48" t="n">
        <v>4818.2</v>
      </c>
      <c r="H672" s="48" t="n">
        <v>3832.4</v>
      </c>
      <c r="I672" s="48" t="n">
        <v>1238.97</v>
      </c>
      <c r="J672" s="48" t="n">
        <v>995.25</v>
      </c>
    </row>
    <row r="673">
      <c r="A673" s="50" t="inlineStr">
        <is>
          <t>Phil Ernst</t>
        </is>
      </c>
      <c r="B673" s="50" t="inlineStr">
        <is>
          <t>Qualifier</t>
        </is>
      </c>
      <c r="C673" s="50" t="inlineStr">
        <is>
          <t>MolsonCoors Beverage Company</t>
        </is>
      </c>
      <c r="D673" s="50" t="inlineStr">
        <is>
          <t>Blue Moon</t>
        </is>
      </c>
      <c r="E673" s="46" t="n">
        <v>2387</v>
      </c>
      <c r="F673" s="46" t="n">
        <v>2029</v>
      </c>
      <c r="G673" s="48" t="n">
        <v>76321.5</v>
      </c>
      <c r="H673" s="48" t="n">
        <v>64033.3</v>
      </c>
      <c r="I673" s="48" t="n">
        <v>17012.94</v>
      </c>
      <c r="J673" s="48" t="n">
        <v>14277.28</v>
      </c>
    </row>
    <row r="674">
      <c r="A674" s="50" t="inlineStr">
        <is>
          <t>Phil Ernst</t>
        </is>
      </c>
      <c r="B674" s="50" t="inlineStr">
        <is>
          <t>Qualifier</t>
        </is>
      </c>
      <c r="C674" s="50" t="inlineStr">
        <is>
          <t>MolsonCoors Beverage Company</t>
        </is>
      </c>
      <c r="D674" s="50" t="inlineStr">
        <is>
          <t>Coors Light</t>
        </is>
      </c>
      <c r="E674" s="46" t="n">
        <v>15426</v>
      </c>
      <c r="F674" s="46" t="n">
        <v>15350</v>
      </c>
      <c r="G674" s="48" t="n">
        <v>327543.2</v>
      </c>
      <c r="H674" s="48" t="n">
        <v>325777.05</v>
      </c>
      <c r="I674" s="48" t="n">
        <v>84081.28</v>
      </c>
      <c r="J674" s="48" t="n">
        <v>81702.00999999999</v>
      </c>
    </row>
    <row r="675">
      <c r="A675" s="50" t="inlineStr">
        <is>
          <t>Phil Ernst</t>
        </is>
      </c>
      <c r="B675" s="50" t="inlineStr">
        <is>
          <t>Qualifier</t>
        </is>
      </c>
      <c r="C675" s="50" t="inlineStr">
        <is>
          <t>MolsonCoors Beverage Company</t>
        </is>
      </c>
      <c r="D675" s="50" t="inlineStr">
        <is>
          <t>Lite</t>
        </is>
      </c>
      <c r="E675" s="46" t="n">
        <v>8892</v>
      </c>
      <c r="F675" s="46" t="n">
        <v>7728</v>
      </c>
      <c r="G675" s="48" t="n">
        <v>193717.6</v>
      </c>
      <c r="H675" s="48" t="n">
        <v>174607.25</v>
      </c>
      <c r="I675" s="48" t="n">
        <v>45949.86</v>
      </c>
      <c r="J675" s="48" t="n">
        <v>42829.14</v>
      </c>
    </row>
    <row r="676">
      <c r="A676" s="50" t="inlineStr">
        <is>
          <t>Phil Ernst</t>
        </is>
      </c>
      <c r="B676" s="50" t="inlineStr">
        <is>
          <t>Qualifier</t>
        </is>
      </c>
      <c r="C676" s="50" t="inlineStr">
        <is>
          <t>Heineken USA</t>
        </is>
      </c>
      <c r="D676" s="50" t="inlineStr">
        <is>
          <t>Heineken USA</t>
        </is>
      </c>
      <c r="E676" s="46" t="n">
        <v>9253</v>
      </c>
      <c r="F676" s="46" t="n">
        <v>8774</v>
      </c>
      <c r="G676" s="48" t="n">
        <v>286751.6</v>
      </c>
      <c r="H676" s="48" t="n">
        <v>269162.25</v>
      </c>
      <c r="I676" s="48" t="n">
        <v>66717.47</v>
      </c>
      <c r="J676" s="48" t="n">
        <v>60899.33</v>
      </c>
    </row>
    <row r="677">
      <c r="A677" s="50" t="inlineStr">
        <is>
          <t>Phil Ernst</t>
        </is>
      </c>
      <c r="B677" s="50" t="inlineStr">
        <is>
          <t>Qualifier</t>
        </is>
      </c>
      <c r="C677" s="50" t="inlineStr">
        <is>
          <t>Constellation Brands</t>
        </is>
      </c>
      <c r="D677" s="50" t="inlineStr">
        <is>
          <t>Corona Extra</t>
        </is>
      </c>
      <c r="E677" s="46" t="n">
        <v>22828</v>
      </c>
      <c r="F677" s="46" t="n">
        <v>22418</v>
      </c>
      <c r="G677" s="48" t="n">
        <v>735343.1</v>
      </c>
      <c r="H677" s="48" t="n">
        <v>725311.5</v>
      </c>
      <c r="I677" s="48" t="n">
        <v>170282.6</v>
      </c>
      <c r="J677" s="48" t="n">
        <v>171919.06</v>
      </c>
    </row>
    <row r="678">
      <c r="A678" s="50" t="inlineStr">
        <is>
          <t>Phil Ernst</t>
        </is>
      </c>
      <c r="B678" s="50" t="inlineStr">
        <is>
          <t>Qualifier</t>
        </is>
      </c>
      <c r="C678" s="50" t="inlineStr">
        <is>
          <t>Constellation Brands</t>
        </is>
      </c>
      <c r="D678" s="50" t="inlineStr">
        <is>
          <t>Modelo Especial</t>
        </is>
      </c>
      <c r="E678" s="46" t="n">
        <v>15244</v>
      </c>
      <c r="F678" s="46" t="n">
        <v>14347</v>
      </c>
      <c r="G678" s="48" t="n">
        <v>470761.85</v>
      </c>
      <c r="H678" s="48" t="n">
        <v>443171.45</v>
      </c>
      <c r="I678" s="48" t="n">
        <v>104441.38</v>
      </c>
      <c r="J678" s="48" t="n">
        <v>101358.02</v>
      </c>
    </row>
    <row r="679">
      <c r="A679" s="50" t="inlineStr">
        <is>
          <t>Phil Ernst</t>
        </is>
      </c>
      <c r="B679" s="50" t="inlineStr">
        <is>
          <t>Qualifier</t>
        </is>
      </c>
      <c r="C679" s="50" t="inlineStr">
        <is>
          <t>Boston Beer Company</t>
        </is>
      </c>
      <c r="D679" s="50" t="inlineStr">
        <is>
          <t>Truly</t>
        </is>
      </c>
      <c r="E679" s="46" t="n">
        <v>1572</v>
      </c>
      <c r="F679" s="46" t="n">
        <v>904</v>
      </c>
      <c r="G679" s="48" t="n">
        <v>44669</v>
      </c>
      <c r="H679" s="48" t="n">
        <v>26011.9</v>
      </c>
      <c r="I679" s="48" t="n">
        <v>9159.790000000001</v>
      </c>
      <c r="J679" s="48" t="n">
        <v>5707.05</v>
      </c>
    </row>
    <row r="680">
      <c r="A680" s="50" t="inlineStr">
        <is>
          <t>Phil Ernst</t>
        </is>
      </c>
      <c r="B680" s="50" t="inlineStr">
        <is>
          <t>Qualifier</t>
        </is>
      </c>
      <c r="C680" s="50" t="inlineStr">
        <is>
          <t>Boston Beer Company</t>
        </is>
      </c>
      <c r="D680" s="50" t="inlineStr">
        <is>
          <t>Twisted Tea</t>
        </is>
      </c>
      <c r="E680" s="46" t="n">
        <v>1987</v>
      </c>
      <c r="F680" s="46" t="n">
        <v>1463</v>
      </c>
      <c r="G680" s="48" t="n">
        <v>58567.25</v>
      </c>
      <c r="H680" s="48" t="n">
        <v>43344.5</v>
      </c>
      <c r="I680" s="48" t="n">
        <v>14908.13</v>
      </c>
      <c r="J680" s="48" t="n">
        <v>10841.41</v>
      </c>
    </row>
    <row r="681">
      <c r="A681" s="50" t="inlineStr">
        <is>
          <t>Phil Ernst</t>
        </is>
      </c>
      <c r="B681" s="50" t="inlineStr">
        <is>
          <t>Qualifier</t>
        </is>
      </c>
      <c r="C681" s="50" t="inlineStr">
        <is>
          <t>Mark Anthony</t>
        </is>
      </c>
      <c r="D681" s="50" t="inlineStr">
        <is>
          <t>White Claw</t>
        </is>
      </c>
      <c r="E681" s="46" t="n">
        <v>6017</v>
      </c>
      <c r="F681" s="46" t="n">
        <v>4546</v>
      </c>
      <c r="G681" s="48" t="n">
        <v>188457.9</v>
      </c>
      <c r="H681" s="48" t="n">
        <v>145708.9</v>
      </c>
      <c r="I681" s="48" t="n">
        <v>39584.38</v>
      </c>
      <c r="J681" s="48" t="n">
        <v>31138.9</v>
      </c>
    </row>
    <row r="682">
      <c r="A682" s="50" t="inlineStr">
        <is>
          <t>Phil Ernst</t>
        </is>
      </c>
      <c r="B682" s="50" t="inlineStr">
        <is>
          <t>Qualifier</t>
        </is>
      </c>
      <c r="C682" s="50" t="inlineStr">
        <is>
          <t>DG Yuengling Inc</t>
        </is>
      </c>
      <c r="D682" s="50" t="inlineStr">
        <is>
          <t>Yuengling Lager</t>
        </is>
      </c>
      <c r="E682" s="46" t="n">
        <v>2743</v>
      </c>
      <c r="F682" s="46" t="n">
        <v>2689</v>
      </c>
      <c r="G682" s="48" t="n">
        <v>61822.6</v>
      </c>
      <c r="H682" s="48" t="n">
        <v>60173.55</v>
      </c>
      <c r="I682" s="48" t="n">
        <v>16628.87</v>
      </c>
      <c r="J682" s="48" t="n">
        <v>15991.37</v>
      </c>
    </row>
    <row r="683">
      <c r="A683" s="50" t="inlineStr">
        <is>
          <t>Robin Feldman</t>
        </is>
      </c>
      <c r="B683" s="50" t="inlineStr">
        <is>
          <t>Amplify</t>
        </is>
      </c>
      <c r="C683" s="50" t="inlineStr">
        <is>
          <t>Cape May</t>
        </is>
      </c>
      <c r="D683" s="50" t="inlineStr">
        <is>
          <t>Cape May</t>
        </is>
      </c>
      <c r="E683" s="46" t="n">
        <v>62</v>
      </c>
      <c r="F683" s="46" t="n">
        <v>99</v>
      </c>
      <c r="G683" s="48" t="n">
        <v>2535</v>
      </c>
      <c r="H683" s="48" t="n">
        <v>3999.5</v>
      </c>
      <c r="I683" s="48" t="n">
        <v>665.63</v>
      </c>
      <c r="J683" s="48" t="n">
        <v>1147.93</v>
      </c>
    </row>
    <row r="684">
      <c r="A684" s="50" t="inlineStr">
        <is>
          <t>Robin Feldman</t>
        </is>
      </c>
      <c r="B684" s="50" t="inlineStr">
        <is>
          <t>Amplify</t>
        </is>
      </c>
      <c r="C684" s="50" t="inlineStr">
        <is>
          <t>MolsonCoors Beverage Company</t>
        </is>
      </c>
      <c r="D684" s="50" t="inlineStr">
        <is>
          <t>Coors</t>
        </is>
      </c>
      <c r="E684" s="46" t="n">
        <v>122</v>
      </c>
      <c r="F684" s="46" t="n">
        <v>97</v>
      </c>
      <c r="G684" s="48" t="n">
        <v>2887.4</v>
      </c>
      <c r="H684" s="48" t="n">
        <v>2272.65</v>
      </c>
      <c r="I684" s="48" t="n">
        <v>837</v>
      </c>
      <c r="J684" s="48" t="n">
        <v>655.26</v>
      </c>
    </row>
    <row r="685">
      <c r="A685" s="50" t="inlineStr">
        <is>
          <t>Robin Feldman</t>
        </is>
      </c>
      <c r="B685" s="50" t="inlineStr">
        <is>
          <t>Amplify</t>
        </is>
      </c>
      <c r="C685" s="50" t="inlineStr">
        <is>
          <t>MolsonCoors Beverage Company</t>
        </is>
      </c>
      <c r="D685" s="50" t="inlineStr">
        <is>
          <t>Fever Tree</t>
        </is>
      </c>
      <c r="E685" s="46" t="n">
        <v>4</v>
      </c>
      <c r="F685" s="46" t="n">
        <v>14</v>
      </c>
      <c r="G685" s="48" t="n">
        <v>186.8</v>
      </c>
      <c r="H685" s="48" t="n">
        <v>622.5</v>
      </c>
      <c r="I685" s="48" t="n">
        <v>70.88</v>
      </c>
      <c r="J685" s="48" t="n">
        <v>183.88</v>
      </c>
    </row>
    <row r="686">
      <c r="A686" s="50" t="inlineStr">
        <is>
          <t>Robin Feldman</t>
        </is>
      </c>
      <c r="B686" s="50" t="inlineStr">
        <is>
          <t>Amplify</t>
        </is>
      </c>
      <c r="C686" s="50" t="inlineStr">
        <is>
          <t>MolsonCoors Beverage Company</t>
        </is>
      </c>
      <c r="D686" s="50" t="inlineStr">
        <is>
          <t>Peroni</t>
        </is>
      </c>
      <c r="E686" s="46" t="n">
        <v>416</v>
      </c>
      <c r="F686" s="46" t="n">
        <v>467</v>
      </c>
      <c r="G686" s="48" t="n">
        <v>15075.72</v>
      </c>
      <c r="H686" s="48" t="n">
        <v>16878.52</v>
      </c>
      <c r="I686" s="48" t="n">
        <v>3310.03</v>
      </c>
      <c r="J686" s="48" t="n">
        <v>3772.75</v>
      </c>
    </row>
    <row r="687">
      <c r="A687" s="50" t="inlineStr">
        <is>
          <t>Robin Feldman</t>
        </is>
      </c>
      <c r="B687" s="50" t="inlineStr">
        <is>
          <t>Amplify</t>
        </is>
      </c>
      <c r="C687" s="50" t="inlineStr">
        <is>
          <t>Boston Beer Company</t>
        </is>
      </c>
      <c r="D687" s="50" t="inlineStr">
        <is>
          <t>Dogfish Head Beer</t>
        </is>
      </c>
      <c r="E687" s="46" t="n">
        <v>312</v>
      </c>
      <c r="F687" s="46" t="n">
        <v>373</v>
      </c>
      <c r="G687" s="48" t="n">
        <v>11627.8</v>
      </c>
      <c r="H687" s="48" t="n">
        <v>14052.8</v>
      </c>
      <c r="I687" s="48" t="n">
        <v>3355.1</v>
      </c>
      <c r="J687" s="48" t="n">
        <v>4007.25</v>
      </c>
    </row>
    <row r="688">
      <c r="A688" s="50" t="inlineStr">
        <is>
          <t>Robin Feldman</t>
        </is>
      </c>
      <c r="B688" s="50" t="inlineStr">
        <is>
          <t>Amplify</t>
        </is>
      </c>
      <c r="C688" s="50" t="inlineStr">
        <is>
          <t>Boston Beer Company</t>
        </is>
      </c>
      <c r="D688" s="50" t="inlineStr">
        <is>
          <t>Dogfish Head Spirits</t>
        </is>
      </c>
      <c r="E688" s="46" t="n">
        <v>1</v>
      </c>
      <c r="F688" s="46" t="n">
        <v>0</v>
      </c>
      <c r="G688" s="48" t="n">
        <v>65</v>
      </c>
      <c r="H688" s="48" t="n">
        <v>0</v>
      </c>
      <c r="I688" s="48" t="n">
        <v>35.58</v>
      </c>
      <c r="J688" s="48" t="n">
        <v>0</v>
      </c>
    </row>
    <row r="689">
      <c r="A689" s="50" t="inlineStr">
        <is>
          <t>Robin Feldman</t>
        </is>
      </c>
      <c r="B689" s="50" t="inlineStr">
        <is>
          <t>Amplify</t>
        </is>
      </c>
      <c r="C689" s="50" t="inlineStr">
        <is>
          <t>Heineken USA</t>
        </is>
      </c>
      <c r="D689" s="50" t="inlineStr">
        <is>
          <t>Heineken 0.0</t>
        </is>
      </c>
      <c r="E689" s="46" t="n">
        <v>89</v>
      </c>
      <c r="F689" s="46" t="n">
        <v>120</v>
      </c>
      <c r="G689" s="48" t="n">
        <v>3185.5</v>
      </c>
      <c r="H689" s="48" t="n">
        <v>4295.6</v>
      </c>
      <c r="I689" s="48" t="n">
        <v>985.33</v>
      </c>
      <c r="J689" s="48" t="n">
        <v>1315.65</v>
      </c>
    </row>
    <row r="690">
      <c r="A690" s="50" t="inlineStr">
        <is>
          <t>Robin Feldman</t>
        </is>
      </c>
      <c r="B690" s="50" t="inlineStr">
        <is>
          <t>Amplify</t>
        </is>
      </c>
      <c r="C690" s="50" t="inlineStr">
        <is>
          <t>Heineken USA</t>
        </is>
      </c>
      <c r="D690" s="50" t="inlineStr">
        <is>
          <t>Heineken Light</t>
        </is>
      </c>
      <c r="E690" s="46" t="n">
        <v>60</v>
      </c>
      <c r="F690" s="46" t="n">
        <v>54</v>
      </c>
      <c r="G690" s="48" t="n">
        <v>2103.8</v>
      </c>
      <c r="H690" s="48" t="n">
        <v>1889.8</v>
      </c>
      <c r="I690" s="48" t="n">
        <v>683.91</v>
      </c>
      <c r="J690" s="48" t="n">
        <v>605.7</v>
      </c>
    </row>
    <row r="691">
      <c r="A691" s="50" t="inlineStr">
        <is>
          <t>Robin Feldman</t>
        </is>
      </c>
      <c r="B691" s="50" t="inlineStr">
        <is>
          <t>Amplify</t>
        </is>
      </c>
      <c r="C691" s="50" t="inlineStr">
        <is>
          <t>Constellation Brands</t>
        </is>
      </c>
      <c r="D691" s="50" t="inlineStr">
        <is>
          <t>Corona Premier</t>
        </is>
      </c>
      <c r="E691" s="46" t="n">
        <v>26</v>
      </c>
      <c r="F691" s="46" t="n">
        <v>7</v>
      </c>
      <c r="G691" s="48" t="n">
        <v>836</v>
      </c>
      <c r="H691" s="48" t="n">
        <v>206.3</v>
      </c>
      <c r="I691" s="48" t="n">
        <v>228.23</v>
      </c>
      <c r="J691" s="48" t="n">
        <v>60.61</v>
      </c>
    </row>
    <row r="692">
      <c r="A692" s="50" t="inlineStr">
        <is>
          <t>Robin Feldman</t>
        </is>
      </c>
      <c r="B692" s="50" t="inlineStr">
        <is>
          <t>Amplify</t>
        </is>
      </c>
      <c r="C692" s="50" t="inlineStr">
        <is>
          <t>Constellation Brands</t>
        </is>
      </c>
      <c r="D692" s="50" t="inlineStr">
        <is>
          <t>Modelo Chelada</t>
        </is>
      </c>
      <c r="E692" s="46" t="n">
        <v>6</v>
      </c>
      <c r="F692" s="46" t="n">
        <v>0</v>
      </c>
      <c r="G692" s="48" t="n">
        <v>204</v>
      </c>
      <c r="H692" s="48" t="n">
        <v>0</v>
      </c>
      <c r="I692" s="48" t="n">
        <v>60.3</v>
      </c>
      <c r="J692" s="48" t="n">
        <v>0</v>
      </c>
    </row>
    <row r="693">
      <c r="A693" s="50" t="inlineStr">
        <is>
          <t>Robin Feldman</t>
        </is>
      </c>
      <c r="B693" s="50" t="inlineStr">
        <is>
          <t>Amplify</t>
        </is>
      </c>
      <c r="C693" s="50" t="inlineStr">
        <is>
          <t>Constellation Brands</t>
        </is>
      </c>
      <c r="D693" s="50" t="inlineStr">
        <is>
          <t>Pacifico</t>
        </is>
      </c>
      <c r="E693" s="46" t="n">
        <v>4</v>
      </c>
      <c r="F693" s="46" t="n">
        <v>10</v>
      </c>
      <c r="G693" s="48" t="n">
        <v>134</v>
      </c>
      <c r="H693" s="48" t="n">
        <v>353</v>
      </c>
      <c r="I693" s="48" t="n">
        <v>37.48</v>
      </c>
      <c r="J693" s="48" t="n">
        <v>95.70999999999999</v>
      </c>
    </row>
    <row r="694">
      <c r="A694" s="50" t="inlineStr">
        <is>
          <t>Robin Feldman</t>
        </is>
      </c>
      <c r="B694" s="50" t="inlineStr">
        <is>
          <t>Amplify</t>
        </is>
      </c>
      <c r="C694" s="50" t="inlineStr">
        <is>
          <t>Constellation Brands</t>
        </is>
      </c>
      <c r="D694" s="50" t="inlineStr">
        <is>
          <t>Victoria</t>
        </is>
      </c>
      <c r="E694" s="46" t="n">
        <v>2</v>
      </c>
      <c r="F694" s="46" t="n">
        <v>8</v>
      </c>
      <c r="G694" s="48" t="n">
        <v>70</v>
      </c>
      <c r="H694" s="48" t="n">
        <v>236</v>
      </c>
      <c r="I694" s="48" t="n">
        <v>21.74</v>
      </c>
      <c r="J694" s="48" t="n">
        <v>50.8</v>
      </c>
    </row>
    <row r="695">
      <c r="A695" s="50" t="inlineStr">
        <is>
          <t>Robin Feldman</t>
        </is>
      </c>
      <c r="B695" s="50" t="inlineStr">
        <is>
          <t>Amplify</t>
        </is>
      </c>
      <c r="C695" s="50" t="inlineStr">
        <is>
          <t>Sapporo</t>
        </is>
      </c>
      <c r="D695" s="50" t="inlineStr">
        <is>
          <t>Sapporo</t>
        </is>
      </c>
      <c r="E695" s="46" t="n">
        <v>190</v>
      </c>
      <c r="F695" s="46" t="n">
        <v>158</v>
      </c>
      <c r="G695" s="48" t="n">
        <v>6038.5</v>
      </c>
      <c r="H695" s="48" t="n">
        <v>5081.12</v>
      </c>
      <c r="I695" s="48" t="n">
        <v>1600.12</v>
      </c>
      <c r="J695" s="48" t="n">
        <v>1359.38</v>
      </c>
    </row>
    <row r="696">
      <c r="A696" s="50" t="inlineStr">
        <is>
          <t>Robin Feldman</t>
        </is>
      </c>
      <c r="B696" s="50" t="inlineStr">
        <is>
          <t>Amplify</t>
        </is>
      </c>
      <c r="C696" s="50" t="inlineStr">
        <is>
          <t>Bell's</t>
        </is>
      </c>
      <c r="D696" s="50" t="inlineStr">
        <is>
          <t>Bell's</t>
        </is>
      </c>
      <c r="E696" s="46" t="n">
        <v>1</v>
      </c>
      <c r="F696" s="46" t="n">
        <v>0</v>
      </c>
      <c r="G696" s="48" t="n">
        <v>38.6</v>
      </c>
      <c r="H696" s="48" t="n">
        <v>0</v>
      </c>
      <c r="I696" s="48" t="n">
        <v>13.98</v>
      </c>
      <c r="J696" s="48" t="n">
        <v>0</v>
      </c>
    </row>
    <row r="697">
      <c r="A697" s="50" t="inlineStr">
        <is>
          <t>Robin Feldman</t>
        </is>
      </c>
      <c r="B697" s="50" t="inlineStr">
        <is>
          <t>Amplify</t>
        </is>
      </c>
      <c r="C697" s="50" t="inlineStr">
        <is>
          <t>New Belgium Brewing Company</t>
        </is>
      </c>
      <c r="D697" s="50" t="inlineStr">
        <is>
          <t>Fat Tire Family</t>
        </is>
      </c>
      <c r="E697" s="46" t="n">
        <v>54</v>
      </c>
      <c r="F697" s="46" t="n">
        <v>73</v>
      </c>
      <c r="G697" s="48" t="n">
        <v>2315.75</v>
      </c>
      <c r="H697" s="48" t="n">
        <v>2896.5</v>
      </c>
      <c r="I697" s="48" t="n">
        <v>468.57</v>
      </c>
      <c r="J697" s="48" t="n">
        <v>648.03</v>
      </c>
    </row>
    <row r="698">
      <c r="A698" s="50" t="inlineStr">
        <is>
          <t>Robin Feldman</t>
        </is>
      </c>
      <c r="B698" s="50" t="inlineStr">
        <is>
          <t>Amplify</t>
        </is>
      </c>
      <c r="C698" s="50" t="inlineStr">
        <is>
          <t>New Belgium Brewing Company</t>
        </is>
      </c>
      <c r="D698" s="50" t="inlineStr">
        <is>
          <t>Kirin Ichiban</t>
        </is>
      </c>
      <c r="E698" s="46" t="n">
        <v>21</v>
      </c>
      <c r="F698" s="46" t="n">
        <v>199</v>
      </c>
      <c r="G698" s="48" t="n">
        <v>654</v>
      </c>
      <c r="H698" s="48" t="n">
        <v>4414.5</v>
      </c>
      <c r="I698" s="48" t="n">
        <v>148.7</v>
      </c>
      <c r="J698" s="48" t="n">
        <v>844.4</v>
      </c>
    </row>
    <row r="699">
      <c r="A699" s="50" t="inlineStr">
        <is>
          <t>Robin Feldman</t>
        </is>
      </c>
      <c r="B699" s="50" t="inlineStr">
        <is>
          <t>Amplify</t>
        </is>
      </c>
      <c r="C699" s="50" t="inlineStr">
        <is>
          <t>New Belgium Brewing Company</t>
        </is>
      </c>
      <c r="D699" s="50" t="inlineStr">
        <is>
          <t>Voodoo Family</t>
        </is>
      </c>
      <c r="E699" s="46" t="n">
        <v>77</v>
      </c>
      <c r="F699" s="46" t="n">
        <v>31</v>
      </c>
      <c r="G699" s="48" t="n">
        <v>2679.6</v>
      </c>
      <c r="H699" s="48" t="n">
        <v>1195.5</v>
      </c>
      <c r="I699" s="48" t="n">
        <v>712.97</v>
      </c>
      <c r="J699" s="48" t="n">
        <v>322.07</v>
      </c>
    </row>
    <row r="700">
      <c r="A700" s="50" t="inlineStr">
        <is>
          <t>Robin Feldman</t>
        </is>
      </c>
      <c r="B700" s="50" t="inlineStr">
        <is>
          <t>Amplify</t>
        </is>
      </c>
      <c r="C700" s="50" t="inlineStr">
        <is>
          <t>DG Yuengling Inc</t>
        </is>
      </c>
      <c r="D700" s="50" t="inlineStr">
        <is>
          <t>Yuengling Flight</t>
        </is>
      </c>
      <c r="E700" s="46" t="n">
        <v>54</v>
      </c>
      <c r="F700" s="46" t="n">
        <v>55</v>
      </c>
      <c r="G700" s="48" t="n">
        <v>1336.1</v>
      </c>
      <c r="H700" s="48" t="n">
        <v>1330.05</v>
      </c>
      <c r="I700" s="48" t="n">
        <v>400.64</v>
      </c>
      <c r="J700" s="48" t="n">
        <v>387.79</v>
      </c>
    </row>
    <row r="701">
      <c r="A701" s="50" t="inlineStr">
        <is>
          <t>Robin Feldman</t>
        </is>
      </c>
      <c r="B701" s="50" t="inlineStr">
        <is>
          <t>Amplify</t>
        </is>
      </c>
      <c r="C701" s="50" t="inlineStr">
        <is>
          <t>DG Yuengling Inc</t>
        </is>
      </c>
      <c r="D701" s="50" t="inlineStr">
        <is>
          <t>Yuengling Light Lager</t>
        </is>
      </c>
      <c r="E701" s="46" t="n">
        <v>9</v>
      </c>
      <c r="F701" s="46" t="n">
        <v>10</v>
      </c>
      <c r="G701" s="48" t="n">
        <v>235.5</v>
      </c>
      <c r="H701" s="48" t="n">
        <v>258</v>
      </c>
      <c r="I701" s="48" t="n">
        <v>78.40000000000001</v>
      </c>
      <c r="J701" s="48" t="n">
        <v>75.48999999999999</v>
      </c>
    </row>
    <row r="702">
      <c r="A702" s="50" t="inlineStr">
        <is>
          <t>Robin Feldman</t>
        </is>
      </c>
      <c r="B702" s="50" t="inlineStr">
        <is>
          <t>Qualifier</t>
        </is>
      </c>
      <c r="C702" s="50" t="inlineStr">
        <is>
          <t>MolsonCoors Beverage Company</t>
        </is>
      </c>
      <c r="D702" s="50" t="inlineStr">
        <is>
          <t>Blue Moon</t>
        </is>
      </c>
      <c r="E702" s="46" t="n">
        <v>555</v>
      </c>
      <c r="F702" s="46" t="n">
        <v>528</v>
      </c>
      <c r="G702" s="48" t="n">
        <v>21290.19</v>
      </c>
      <c r="H702" s="48" t="n">
        <v>19231.17</v>
      </c>
      <c r="I702" s="48" t="n">
        <v>6692.89</v>
      </c>
      <c r="J702" s="48" t="n">
        <v>6155.06</v>
      </c>
    </row>
    <row r="703">
      <c r="A703" s="50" t="inlineStr">
        <is>
          <t>Robin Feldman</t>
        </is>
      </c>
      <c r="B703" s="50" t="inlineStr">
        <is>
          <t>Qualifier</t>
        </is>
      </c>
      <c r="C703" s="50" t="inlineStr">
        <is>
          <t>MolsonCoors Beverage Company</t>
        </is>
      </c>
      <c r="D703" s="50" t="inlineStr">
        <is>
          <t>Coors Light</t>
        </is>
      </c>
      <c r="E703" s="46" t="n">
        <v>2868</v>
      </c>
      <c r="F703" s="46" t="n">
        <v>2552</v>
      </c>
      <c r="G703" s="48" t="n">
        <v>65444.35</v>
      </c>
      <c r="H703" s="48" t="n">
        <v>59152</v>
      </c>
      <c r="I703" s="48" t="n">
        <v>19350.3</v>
      </c>
      <c r="J703" s="48" t="n">
        <v>17134.78</v>
      </c>
    </row>
    <row r="704">
      <c r="A704" s="50" t="inlineStr">
        <is>
          <t>Robin Feldman</t>
        </is>
      </c>
      <c r="B704" s="50" t="inlineStr">
        <is>
          <t>Qualifier</t>
        </is>
      </c>
      <c r="C704" s="50" t="inlineStr">
        <is>
          <t>MolsonCoors Beverage Company</t>
        </is>
      </c>
      <c r="D704" s="50" t="inlineStr">
        <is>
          <t>Lite</t>
        </is>
      </c>
      <c r="E704" s="46" t="n">
        <v>2870</v>
      </c>
      <c r="F704" s="46" t="n">
        <v>2920</v>
      </c>
      <c r="G704" s="48" t="n">
        <v>63237.1</v>
      </c>
      <c r="H704" s="48" t="n">
        <v>65393.29</v>
      </c>
      <c r="I704" s="48" t="n">
        <v>15704.27</v>
      </c>
      <c r="J704" s="48" t="n">
        <v>15955.49</v>
      </c>
    </row>
    <row r="705">
      <c r="A705" s="50" t="inlineStr">
        <is>
          <t>Robin Feldman</t>
        </is>
      </c>
      <c r="B705" s="50" t="inlineStr">
        <is>
          <t>Qualifier</t>
        </is>
      </c>
      <c r="C705" s="50" t="inlineStr">
        <is>
          <t>Heineken USA</t>
        </is>
      </c>
      <c r="D705" s="50" t="inlineStr">
        <is>
          <t>Heineken USA</t>
        </is>
      </c>
      <c r="E705" s="46" t="n">
        <v>608</v>
      </c>
      <c r="F705" s="46" t="n">
        <v>631</v>
      </c>
      <c r="G705" s="48" t="n">
        <v>21829.86</v>
      </c>
      <c r="H705" s="48" t="n">
        <v>22451.9</v>
      </c>
      <c r="I705" s="48" t="n">
        <v>7310.01</v>
      </c>
      <c r="J705" s="48" t="n">
        <v>7344.21</v>
      </c>
    </row>
    <row r="706">
      <c r="A706" s="50" t="inlineStr">
        <is>
          <t>Robin Feldman</t>
        </is>
      </c>
      <c r="B706" s="50" t="inlineStr">
        <is>
          <t>Qualifier</t>
        </is>
      </c>
      <c r="C706" s="50" t="inlineStr">
        <is>
          <t>Constellation Brands</t>
        </is>
      </c>
      <c r="D706" s="50" t="inlineStr">
        <is>
          <t>Corona Extra</t>
        </is>
      </c>
      <c r="E706" s="46" t="n">
        <v>1547</v>
      </c>
      <c r="F706" s="46" t="n">
        <v>1452</v>
      </c>
      <c r="G706" s="48" t="n">
        <v>53138.37</v>
      </c>
      <c r="H706" s="48" t="n">
        <v>49971.5</v>
      </c>
      <c r="I706" s="48" t="n">
        <v>15715.2</v>
      </c>
      <c r="J706" s="48" t="n">
        <v>14980.91</v>
      </c>
    </row>
    <row r="707">
      <c r="A707" s="50" t="inlineStr">
        <is>
          <t>Robin Feldman</t>
        </is>
      </c>
      <c r="B707" s="50" t="inlineStr">
        <is>
          <t>Qualifier</t>
        </is>
      </c>
      <c r="C707" s="50" t="inlineStr">
        <is>
          <t>Constellation Brands</t>
        </is>
      </c>
      <c r="D707" s="50" t="inlineStr">
        <is>
          <t>Modelo Especial</t>
        </is>
      </c>
      <c r="E707" s="46" t="n">
        <v>501</v>
      </c>
      <c r="F707" s="46" t="n">
        <v>706</v>
      </c>
      <c r="G707" s="48" t="n">
        <v>16071.17</v>
      </c>
      <c r="H707" s="48" t="n">
        <v>22253.5</v>
      </c>
      <c r="I707" s="48" t="n">
        <v>4187.38</v>
      </c>
      <c r="J707" s="48" t="n">
        <v>6159.31</v>
      </c>
    </row>
    <row r="708">
      <c r="A708" s="50" t="inlineStr">
        <is>
          <t>Robin Feldman</t>
        </is>
      </c>
      <c r="B708" s="50" t="inlineStr">
        <is>
          <t>Qualifier</t>
        </is>
      </c>
      <c r="C708" s="50" t="inlineStr">
        <is>
          <t>Boston Beer Company</t>
        </is>
      </c>
      <c r="D708" s="50" t="inlineStr">
        <is>
          <t>Truly</t>
        </is>
      </c>
      <c r="E708" s="46" t="n">
        <v>32</v>
      </c>
      <c r="F708" s="46" t="n">
        <v>31</v>
      </c>
      <c r="G708" s="48" t="n">
        <v>1119.1</v>
      </c>
      <c r="H708" s="48" t="n">
        <v>1044.8</v>
      </c>
      <c r="I708" s="48" t="n">
        <v>266.01</v>
      </c>
      <c r="J708" s="48" t="n">
        <v>279.74</v>
      </c>
    </row>
    <row r="709">
      <c r="A709" s="50" t="inlineStr">
        <is>
          <t>Robin Feldman</t>
        </is>
      </c>
      <c r="B709" s="50" t="inlineStr">
        <is>
          <t>Qualifier</t>
        </is>
      </c>
      <c r="C709" s="50" t="inlineStr">
        <is>
          <t>Boston Beer Company</t>
        </is>
      </c>
      <c r="D709" s="50" t="inlineStr">
        <is>
          <t>Twisted Tea</t>
        </is>
      </c>
      <c r="E709" s="46" t="n">
        <v>130</v>
      </c>
      <c r="F709" s="46" t="n">
        <v>142</v>
      </c>
      <c r="G709" s="48" t="n">
        <v>4352.25</v>
      </c>
      <c r="H709" s="48" t="n">
        <v>4760.25</v>
      </c>
      <c r="I709" s="48" t="n">
        <v>1285.03</v>
      </c>
      <c r="J709" s="48" t="n">
        <v>1361.37</v>
      </c>
    </row>
    <row r="710">
      <c r="A710" s="50" t="inlineStr">
        <is>
          <t>Robin Feldman</t>
        </is>
      </c>
      <c r="B710" s="50" t="inlineStr">
        <is>
          <t>Qualifier</t>
        </is>
      </c>
      <c r="C710" s="50" t="inlineStr">
        <is>
          <t>Mark Anthony</t>
        </is>
      </c>
      <c r="D710" s="50" t="inlineStr">
        <is>
          <t>White Claw</t>
        </is>
      </c>
      <c r="E710" s="46" t="n">
        <v>419</v>
      </c>
      <c r="F710" s="46" t="n">
        <v>479</v>
      </c>
      <c r="G710" s="48" t="n">
        <v>14578.45</v>
      </c>
      <c r="H710" s="48" t="n">
        <v>17094.3</v>
      </c>
      <c r="I710" s="48" t="n">
        <v>4025.5</v>
      </c>
      <c r="J710" s="48" t="n">
        <v>4613.56</v>
      </c>
    </row>
    <row r="711">
      <c r="A711" s="50" t="inlineStr">
        <is>
          <t>Robin Feldman</t>
        </is>
      </c>
      <c r="B711" s="50" t="inlineStr">
        <is>
          <t>Qualifier</t>
        </is>
      </c>
      <c r="C711" s="50" t="inlineStr">
        <is>
          <t>DG Yuengling Inc</t>
        </is>
      </c>
      <c r="D711" s="50" t="inlineStr">
        <is>
          <t>Yuengling Lager</t>
        </is>
      </c>
      <c r="E711" s="46" t="n">
        <v>1091</v>
      </c>
      <c r="F711" s="46" t="n">
        <v>1021</v>
      </c>
      <c r="G711" s="48" t="n">
        <v>25073.53</v>
      </c>
      <c r="H711" s="48" t="n">
        <v>23359.73</v>
      </c>
      <c r="I711" s="48" t="n">
        <v>7680.03</v>
      </c>
      <c r="J711" s="48" t="n">
        <v>7252.75</v>
      </c>
    </row>
    <row r="712">
      <c r="A712" s="50" t="inlineStr">
        <is>
          <t>Shane Barreca</t>
        </is>
      </c>
      <c r="B712" s="50" t="inlineStr">
        <is>
          <t>Amplify</t>
        </is>
      </c>
      <c r="C712" s="50" t="inlineStr">
        <is>
          <t>Cape May</t>
        </is>
      </c>
      <c r="D712" s="50" t="inlineStr">
        <is>
          <t>Cape May</t>
        </is>
      </c>
      <c r="E712" s="46" t="n">
        <v>971</v>
      </c>
      <c r="F712" s="46" t="n">
        <v>965</v>
      </c>
      <c r="G712" s="48" t="n">
        <v>39113.7</v>
      </c>
      <c r="H712" s="48" t="n">
        <v>38797.6</v>
      </c>
      <c r="I712" s="48" t="n">
        <v>11330.22</v>
      </c>
      <c r="J712" s="48" t="n">
        <v>11397.18</v>
      </c>
    </row>
    <row r="713">
      <c r="A713" s="50" t="inlineStr">
        <is>
          <t>Shane Barreca</t>
        </is>
      </c>
      <c r="B713" s="50" t="inlineStr">
        <is>
          <t>Amplify</t>
        </is>
      </c>
      <c r="C713" s="50" t="inlineStr">
        <is>
          <t>Mark Anthony</t>
        </is>
      </c>
      <c r="D713" s="50" t="inlineStr">
        <is>
          <t>Cayman Jack</t>
        </is>
      </c>
      <c r="E713" s="46" t="n">
        <v>487</v>
      </c>
      <c r="F713" s="46" t="n">
        <v>477</v>
      </c>
      <c r="G713" s="48" t="n">
        <v>15449</v>
      </c>
      <c r="H713" s="48" t="n">
        <v>15013.5</v>
      </c>
      <c r="I713" s="48" t="n">
        <v>3670.98</v>
      </c>
      <c r="J713" s="48" t="n">
        <v>3499.75</v>
      </c>
    </row>
    <row r="714">
      <c r="A714" s="50" t="inlineStr">
        <is>
          <t>Shane Barreca</t>
        </is>
      </c>
      <c r="B714" s="50" t="inlineStr">
        <is>
          <t>Amplify</t>
        </is>
      </c>
      <c r="C714" s="50" t="inlineStr">
        <is>
          <t>Mark Anthony</t>
        </is>
      </c>
      <c r="D714" s="50" t="inlineStr">
        <is>
          <t>Mike's Harder</t>
        </is>
      </c>
      <c r="E714" s="46" t="n">
        <v>268</v>
      </c>
      <c r="F714" s="46" t="n">
        <v>323</v>
      </c>
      <c r="G714" s="48" t="n">
        <v>7482.5</v>
      </c>
      <c r="H714" s="48" t="n">
        <v>9583</v>
      </c>
      <c r="I714" s="48" t="n">
        <v>1630.94</v>
      </c>
      <c r="J714" s="48" t="n">
        <v>2028.9</v>
      </c>
    </row>
    <row r="715">
      <c r="A715" s="50" t="inlineStr">
        <is>
          <t>Shane Barreca</t>
        </is>
      </c>
      <c r="B715" s="50" t="inlineStr">
        <is>
          <t>Amplify</t>
        </is>
      </c>
      <c r="C715" s="50" t="inlineStr">
        <is>
          <t>Mark Anthony</t>
        </is>
      </c>
      <c r="D715" s="50" t="inlineStr">
        <is>
          <t>Mxd Cocktails</t>
        </is>
      </c>
      <c r="E715" s="46" t="n">
        <v>0</v>
      </c>
      <c r="F715" s="46" t="n">
        <v>-1</v>
      </c>
      <c r="G715" s="48" t="n">
        <v>0</v>
      </c>
      <c r="H715" s="48" t="n">
        <v>-35.9</v>
      </c>
      <c r="I715" s="48" t="n">
        <v>0</v>
      </c>
      <c r="J715" s="48" t="n">
        <v>-9.91</v>
      </c>
    </row>
    <row r="716">
      <c r="A716" s="50" t="inlineStr">
        <is>
          <t>Shane Barreca</t>
        </is>
      </c>
      <c r="B716" s="50" t="inlineStr">
        <is>
          <t>Amplify</t>
        </is>
      </c>
      <c r="C716" s="50" t="inlineStr">
        <is>
          <t>MolsonCoors Beverage Company</t>
        </is>
      </c>
      <c r="D716" s="50" t="inlineStr">
        <is>
          <t>Coors</t>
        </is>
      </c>
      <c r="E716" s="46" t="n">
        <v>3452</v>
      </c>
      <c r="F716" s="46" t="n">
        <v>3961</v>
      </c>
      <c r="G716" s="48" t="n">
        <v>74222.64999999999</v>
      </c>
      <c r="H716" s="48" t="n">
        <v>87148.5</v>
      </c>
      <c r="I716" s="48" t="n">
        <v>19002.87</v>
      </c>
      <c r="J716" s="48" t="n">
        <v>22764.76</v>
      </c>
    </row>
    <row r="717">
      <c r="A717" s="50" t="inlineStr">
        <is>
          <t>Shane Barreca</t>
        </is>
      </c>
      <c r="B717" s="50" t="inlineStr">
        <is>
          <t>Amplify</t>
        </is>
      </c>
      <c r="C717" s="50" t="inlineStr">
        <is>
          <t>MolsonCoors Beverage Company</t>
        </is>
      </c>
      <c r="D717" s="50" t="inlineStr">
        <is>
          <t>Fever Tree</t>
        </is>
      </c>
      <c r="E717" s="46" t="n">
        <v>241</v>
      </c>
      <c r="F717" s="46" t="n">
        <v>375</v>
      </c>
      <c r="G717" s="48" t="n">
        <v>10698.5</v>
      </c>
      <c r="H717" s="48" t="n">
        <v>16925.3</v>
      </c>
      <c r="I717" s="48" t="n">
        <v>3291.92</v>
      </c>
      <c r="J717" s="48" t="n">
        <v>5390.83</v>
      </c>
    </row>
    <row r="718">
      <c r="A718" s="50" t="inlineStr">
        <is>
          <t>Shane Barreca</t>
        </is>
      </c>
      <c r="B718" s="50" t="inlineStr">
        <is>
          <t>Amplify</t>
        </is>
      </c>
      <c r="C718" s="50" t="inlineStr">
        <is>
          <t>MolsonCoors Beverage Company</t>
        </is>
      </c>
      <c r="D718" s="50" t="inlineStr">
        <is>
          <t>Peroni</t>
        </is>
      </c>
      <c r="E718" s="46" t="n">
        <v>2339</v>
      </c>
      <c r="F718" s="46" t="n">
        <v>2496</v>
      </c>
      <c r="G718" s="48" t="n">
        <v>78796.5</v>
      </c>
      <c r="H718" s="48" t="n">
        <v>82836.5</v>
      </c>
      <c r="I718" s="48" t="n">
        <v>15464.3</v>
      </c>
      <c r="J718" s="48" t="n">
        <v>15392.73</v>
      </c>
    </row>
    <row r="719">
      <c r="A719" s="50" t="inlineStr">
        <is>
          <t>Shane Barreca</t>
        </is>
      </c>
      <c r="B719" s="50" t="inlineStr">
        <is>
          <t>Amplify</t>
        </is>
      </c>
      <c r="C719" s="50" t="inlineStr">
        <is>
          <t>Boston Beer Company</t>
        </is>
      </c>
      <c r="D719" s="50" t="inlineStr">
        <is>
          <t>Dogfish Head Beer</t>
        </is>
      </c>
      <c r="E719" s="46" t="n">
        <v>1286</v>
      </c>
      <c r="F719" s="46" t="n">
        <v>1252</v>
      </c>
      <c r="G719" s="48" t="n">
        <v>44696.1</v>
      </c>
      <c r="H719" s="48" t="n">
        <v>43168.9</v>
      </c>
      <c r="I719" s="48" t="n">
        <v>11098.74</v>
      </c>
      <c r="J719" s="48" t="n">
        <v>10172.39</v>
      </c>
    </row>
    <row r="720">
      <c r="A720" s="50" t="inlineStr">
        <is>
          <t>Shane Barreca</t>
        </is>
      </c>
      <c r="B720" s="50" t="inlineStr">
        <is>
          <t>Amplify</t>
        </is>
      </c>
      <c r="C720" s="50" t="inlineStr">
        <is>
          <t>Boston Beer Company</t>
        </is>
      </c>
      <c r="D720" s="50" t="inlineStr">
        <is>
          <t>Dogfish Head Spirits</t>
        </is>
      </c>
      <c r="E720" s="46" t="n">
        <v>195</v>
      </c>
      <c r="F720" s="46" t="n">
        <v>220</v>
      </c>
      <c r="G720" s="48" t="n">
        <v>9759</v>
      </c>
      <c r="H720" s="48" t="n">
        <v>10481</v>
      </c>
      <c r="I720" s="48" t="n">
        <v>3716.3</v>
      </c>
      <c r="J720" s="48" t="n">
        <v>3556.85</v>
      </c>
    </row>
    <row r="721">
      <c r="A721" s="50" t="inlineStr">
        <is>
          <t>Shane Barreca</t>
        </is>
      </c>
      <c r="B721" s="50" t="inlineStr">
        <is>
          <t>Amplify</t>
        </is>
      </c>
      <c r="C721" s="50" t="inlineStr">
        <is>
          <t>Heineken USA</t>
        </is>
      </c>
      <c r="D721" s="50" t="inlineStr">
        <is>
          <t>Heineken 0.0</t>
        </is>
      </c>
      <c r="E721" s="46" t="n">
        <v>784</v>
      </c>
      <c r="F721" s="46" t="n">
        <v>717</v>
      </c>
      <c r="G721" s="48" t="n">
        <v>26309.85</v>
      </c>
      <c r="H721" s="48" t="n">
        <v>24058.7</v>
      </c>
      <c r="I721" s="48" t="n">
        <v>6800.6</v>
      </c>
      <c r="J721" s="48" t="n">
        <v>6195.7</v>
      </c>
    </row>
    <row r="722">
      <c r="A722" s="50" t="inlineStr">
        <is>
          <t>Shane Barreca</t>
        </is>
      </c>
      <c r="B722" s="50" t="inlineStr">
        <is>
          <t>Amplify</t>
        </is>
      </c>
      <c r="C722" s="50" t="inlineStr">
        <is>
          <t>Heineken USA</t>
        </is>
      </c>
      <c r="D722" s="50" t="inlineStr">
        <is>
          <t>Heineken Light</t>
        </is>
      </c>
      <c r="E722" s="46" t="n">
        <v>843</v>
      </c>
      <c r="F722" s="46" t="n">
        <v>768</v>
      </c>
      <c r="G722" s="48" t="n">
        <v>26329.05</v>
      </c>
      <c r="H722" s="48" t="n">
        <v>23910.1</v>
      </c>
      <c r="I722" s="48" t="n">
        <v>6287.67</v>
      </c>
      <c r="J722" s="48" t="n">
        <v>5647.9</v>
      </c>
    </row>
    <row r="723">
      <c r="A723" s="50" t="inlineStr">
        <is>
          <t>Shane Barreca</t>
        </is>
      </c>
      <c r="B723" s="50" t="inlineStr">
        <is>
          <t>Amplify</t>
        </is>
      </c>
      <c r="C723" s="50" t="inlineStr">
        <is>
          <t>Constellation Brands</t>
        </is>
      </c>
      <c r="D723" s="50" t="inlineStr">
        <is>
          <t>Corona Premier</t>
        </is>
      </c>
      <c r="E723" s="46" t="n">
        <v>1059</v>
      </c>
      <c r="F723" s="46" t="n">
        <v>1067</v>
      </c>
      <c r="G723" s="48" t="n">
        <v>32952.1</v>
      </c>
      <c r="H723" s="48" t="n">
        <v>28956.9</v>
      </c>
      <c r="I723" s="48" t="n">
        <v>7023.73</v>
      </c>
      <c r="J723" s="48" t="n">
        <v>7227.93</v>
      </c>
    </row>
    <row r="724">
      <c r="A724" s="50" t="inlineStr">
        <is>
          <t>Shane Barreca</t>
        </is>
      </c>
      <c r="B724" s="50" t="inlineStr">
        <is>
          <t>Amplify</t>
        </is>
      </c>
      <c r="C724" s="50" t="inlineStr">
        <is>
          <t>Constellation Brands</t>
        </is>
      </c>
      <c r="D724" s="50" t="inlineStr">
        <is>
          <t>Modelo Chelada</t>
        </is>
      </c>
      <c r="E724" s="46" t="n">
        <v>2071</v>
      </c>
      <c r="F724" s="46" t="n">
        <v>3461</v>
      </c>
      <c r="G724" s="48" t="n">
        <v>63434.1</v>
      </c>
      <c r="H724" s="48" t="n">
        <v>105132.5</v>
      </c>
      <c r="I724" s="48" t="n">
        <v>14809.61</v>
      </c>
      <c r="J724" s="48" t="n">
        <v>23483.12</v>
      </c>
    </row>
    <row r="725">
      <c r="A725" s="50" t="inlineStr">
        <is>
          <t>Shane Barreca</t>
        </is>
      </c>
      <c r="B725" s="50" t="inlineStr">
        <is>
          <t>Amplify</t>
        </is>
      </c>
      <c r="C725" s="50" t="inlineStr">
        <is>
          <t>Constellation Brands</t>
        </is>
      </c>
      <c r="D725" s="50" t="inlineStr">
        <is>
          <t>Pacifico</t>
        </is>
      </c>
      <c r="E725" s="46" t="n">
        <v>1367</v>
      </c>
      <c r="F725" s="46" t="n">
        <v>1713</v>
      </c>
      <c r="G725" s="48" t="n">
        <v>41989.4</v>
      </c>
      <c r="H725" s="48" t="n">
        <v>52458.85</v>
      </c>
      <c r="I725" s="48" t="n">
        <v>9550.16</v>
      </c>
      <c r="J725" s="48" t="n">
        <v>11948.28</v>
      </c>
    </row>
    <row r="726">
      <c r="A726" s="50" t="inlineStr">
        <is>
          <t>Shane Barreca</t>
        </is>
      </c>
      <c r="B726" s="50" t="inlineStr">
        <is>
          <t>Amplify</t>
        </is>
      </c>
      <c r="C726" s="50" t="inlineStr">
        <is>
          <t>Constellation Brands</t>
        </is>
      </c>
      <c r="D726" s="50" t="inlineStr">
        <is>
          <t>Victoria</t>
        </is>
      </c>
      <c r="E726" s="46" t="n">
        <v>891</v>
      </c>
      <c r="F726" s="46" t="n">
        <v>803</v>
      </c>
      <c r="G726" s="48" t="n">
        <v>26975.5</v>
      </c>
      <c r="H726" s="48" t="n">
        <v>24287.8</v>
      </c>
      <c r="I726" s="48" t="n">
        <v>6405.82</v>
      </c>
      <c r="J726" s="48" t="n">
        <v>5798.88</v>
      </c>
    </row>
    <row r="727">
      <c r="A727" s="50" t="inlineStr">
        <is>
          <t>Shane Barreca</t>
        </is>
      </c>
      <c r="B727" s="50" t="inlineStr">
        <is>
          <t>Amplify</t>
        </is>
      </c>
      <c r="C727" s="50" t="inlineStr">
        <is>
          <t>Sapporo</t>
        </is>
      </c>
      <c r="D727" s="50" t="inlineStr">
        <is>
          <t>Sapporo</t>
        </is>
      </c>
      <c r="E727" s="46" t="n">
        <v>991</v>
      </c>
      <c r="F727" s="46" t="n">
        <v>1026</v>
      </c>
      <c r="G727" s="48" t="n">
        <v>27624.25</v>
      </c>
      <c r="H727" s="48" t="n">
        <v>28791.5</v>
      </c>
      <c r="I727" s="48" t="n">
        <v>6819.59</v>
      </c>
      <c r="J727" s="48" t="n">
        <v>7147.45</v>
      </c>
    </row>
    <row r="728">
      <c r="A728" s="50" t="inlineStr">
        <is>
          <t>Shane Barreca</t>
        </is>
      </c>
      <c r="B728" s="50" t="inlineStr">
        <is>
          <t>Amplify</t>
        </is>
      </c>
      <c r="C728" s="50" t="inlineStr">
        <is>
          <t>Bell's</t>
        </is>
      </c>
      <c r="D728" s="50" t="inlineStr">
        <is>
          <t>Bell's</t>
        </is>
      </c>
      <c r="E728" s="46" t="n">
        <v>68</v>
      </c>
      <c r="F728" s="46" t="n">
        <v>77</v>
      </c>
      <c r="G728" s="48" t="n">
        <v>2377.65</v>
      </c>
      <c r="H728" s="48" t="n">
        <v>2779.6</v>
      </c>
      <c r="I728" s="48" t="n">
        <v>764.89</v>
      </c>
      <c r="J728" s="48" t="n">
        <v>932.55</v>
      </c>
    </row>
    <row r="729">
      <c r="A729" s="50" t="inlineStr">
        <is>
          <t>Shane Barreca</t>
        </is>
      </c>
      <c r="B729" s="50" t="inlineStr">
        <is>
          <t>Amplify</t>
        </is>
      </c>
      <c r="C729" s="50" t="inlineStr">
        <is>
          <t>New Belgium Brewing Company</t>
        </is>
      </c>
      <c r="D729" s="50" t="inlineStr">
        <is>
          <t>Fat Tire Family</t>
        </is>
      </c>
      <c r="E729" s="46" t="n">
        <v>306</v>
      </c>
      <c r="F729" s="46" t="n">
        <v>208</v>
      </c>
      <c r="G729" s="48" t="n">
        <v>10067.2</v>
      </c>
      <c r="H729" s="48" t="n">
        <v>6079.85</v>
      </c>
      <c r="I729" s="48" t="n">
        <v>2050.96</v>
      </c>
      <c r="J729" s="48" t="n">
        <v>1258.7</v>
      </c>
    </row>
    <row r="730">
      <c r="A730" s="50" t="inlineStr">
        <is>
          <t>Shane Barreca</t>
        </is>
      </c>
      <c r="B730" s="50" t="inlineStr">
        <is>
          <t>Amplify</t>
        </is>
      </c>
      <c r="C730" s="50" t="inlineStr">
        <is>
          <t>New Belgium Brewing Company</t>
        </is>
      </c>
      <c r="D730" s="50" t="inlineStr">
        <is>
          <t>Kirin Ichiban</t>
        </is>
      </c>
      <c r="E730" s="46" t="n">
        <v>80</v>
      </c>
      <c r="F730" s="46" t="n">
        <v>117</v>
      </c>
      <c r="G730" s="48" t="n">
        <v>2292</v>
      </c>
      <c r="H730" s="48" t="n">
        <v>3369.9</v>
      </c>
      <c r="I730" s="48" t="n">
        <v>527.66</v>
      </c>
      <c r="J730" s="48" t="n">
        <v>805.6799999999999</v>
      </c>
    </row>
    <row r="731">
      <c r="A731" s="50" t="inlineStr">
        <is>
          <t>Shane Barreca</t>
        </is>
      </c>
      <c r="B731" s="50" t="inlineStr">
        <is>
          <t>Amplify</t>
        </is>
      </c>
      <c r="C731" s="50" t="inlineStr">
        <is>
          <t>New Belgium Brewing Company</t>
        </is>
      </c>
      <c r="D731" s="50" t="inlineStr">
        <is>
          <t>Voodoo Family</t>
        </is>
      </c>
      <c r="E731" s="46" t="n">
        <v>1334</v>
      </c>
      <c r="F731" s="46" t="n">
        <v>1314</v>
      </c>
      <c r="G731" s="48" t="n">
        <v>47675.5</v>
      </c>
      <c r="H731" s="48" t="n">
        <v>46826.6</v>
      </c>
      <c r="I731" s="48" t="n">
        <v>11522.46</v>
      </c>
      <c r="J731" s="48" t="n">
        <v>11308.71</v>
      </c>
    </row>
    <row r="732">
      <c r="A732" s="50" t="inlineStr">
        <is>
          <t>Shane Barreca</t>
        </is>
      </c>
      <c r="B732" s="50" t="inlineStr">
        <is>
          <t>Amplify</t>
        </is>
      </c>
      <c r="C732" s="50" t="inlineStr">
        <is>
          <t>DG Yuengling Inc</t>
        </is>
      </c>
      <c r="D732" s="50" t="inlineStr">
        <is>
          <t>Yuengling Flight</t>
        </is>
      </c>
      <c r="E732" s="46" t="n">
        <v>385</v>
      </c>
      <c r="F732" s="46" t="n">
        <v>327</v>
      </c>
      <c r="G732" s="48" t="n">
        <v>8913.450000000001</v>
      </c>
      <c r="H732" s="48" t="n">
        <v>7267.7</v>
      </c>
      <c r="I732" s="48" t="n">
        <v>2542.97</v>
      </c>
      <c r="J732" s="48" t="n">
        <v>1953.72</v>
      </c>
    </row>
    <row r="733">
      <c r="A733" s="50" t="inlineStr">
        <is>
          <t>Shane Barreca</t>
        </is>
      </c>
      <c r="B733" s="50" t="inlineStr">
        <is>
          <t>Amplify</t>
        </is>
      </c>
      <c r="C733" s="50" t="inlineStr">
        <is>
          <t>DG Yuengling Inc</t>
        </is>
      </c>
      <c r="D733" s="50" t="inlineStr">
        <is>
          <t>Yuengling Light Lager</t>
        </is>
      </c>
      <c r="E733" s="46" t="n">
        <v>226</v>
      </c>
      <c r="F733" s="46" t="n">
        <v>190</v>
      </c>
      <c r="G733" s="48" t="n">
        <v>5543.9</v>
      </c>
      <c r="H733" s="48" t="n">
        <v>4725.6</v>
      </c>
      <c r="I733" s="48" t="n">
        <v>1606.77</v>
      </c>
      <c r="J733" s="48" t="n">
        <v>1381.14</v>
      </c>
    </row>
    <row r="734">
      <c r="A734" s="50" t="inlineStr">
        <is>
          <t>Shane Barreca</t>
        </is>
      </c>
      <c r="B734" s="50" t="inlineStr">
        <is>
          <t>Qualifier</t>
        </is>
      </c>
      <c r="C734" s="50" t="inlineStr">
        <is>
          <t>MolsonCoors Beverage Company</t>
        </is>
      </c>
      <c r="D734" s="50" t="inlineStr">
        <is>
          <t>Blue Moon</t>
        </is>
      </c>
      <c r="E734" s="46" t="n">
        <v>2696</v>
      </c>
      <c r="F734" s="46" t="n">
        <v>2607</v>
      </c>
      <c r="G734" s="48" t="n">
        <v>87426.45</v>
      </c>
      <c r="H734" s="48" t="n">
        <v>84165.45</v>
      </c>
      <c r="I734" s="48" t="n">
        <v>19054.26</v>
      </c>
      <c r="J734" s="48" t="n">
        <v>18485.08</v>
      </c>
    </row>
    <row r="735">
      <c r="A735" s="50" t="inlineStr">
        <is>
          <t>Shane Barreca</t>
        </is>
      </c>
      <c r="B735" s="50" t="inlineStr">
        <is>
          <t>Qualifier</t>
        </is>
      </c>
      <c r="C735" s="50" t="inlineStr">
        <is>
          <t>MolsonCoors Beverage Company</t>
        </is>
      </c>
      <c r="D735" s="50" t="inlineStr">
        <is>
          <t>Coors Light</t>
        </is>
      </c>
      <c r="E735" s="46" t="n">
        <v>18260</v>
      </c>
      <c r="F735" s="46" t="n">
        <v>17073</v>
      </c>
      <c r="G735" s="48" t="n">
        <v>385719.15</v>
      </c>
      <c r="H735" s="48" t="n">
        <v>372232.85</v>
      </c>
      <c r="I735" s="48" t="n">
        <v>97531.98</v>
      </c>
      <c r="J735" s="48" t="n">
        <v>96449.42999999999</v>
      </c>
    </row>
    <row r="736">
      <c r="A736" s="50" t="inlineStr">
        <is>
          <t>Shane Barreca</t>
        </is>
      </c>
      <c r="B736" s="50" t="inlineStr">
        <is>
          <t>Qualifier</t>
        </is>
      </c>
      <c r="C736" s="50" t="inlineStr">
        <is>
          <t>MolsonCoors Beverage Company</t>
        </is>
      </c>
      <c r="D736" s="50" t="inlineStr">
        <is>
          <t>Lite</t>
        </is>
      </c>
      <c r="E736" s="46" t="n">
        <v>15847</v>
      </c>
      <c r="F736" s="46" t="n">
        <v>14416</v>
      </c>
      <c r="G736" s="48" t="n">
        <v>338790.3</v>
      </c>
      <c r="H736" s="48" t="n">
        <v>318528.85</v>
      </c>
      <c r="I736" s="48" t="n">
        <v>78091.37</v>
      </c>
      <c r="J736" s="48" t="n">
        <v>75992.8</v>
      </c>
    </row>
    <row r="737">
      <c r="A737" s="50" t="inlineStr">
        <is>
          <t>Shane Barreca</t>
        </is>
      </c>
      <c r="B737" s="50" t="inlineStr">
        <is>
          <t>Qualifier</t>
        </is>
      </c>
      <c r="C737" s="50" t="inlineStr">
        <is>
          <t>Heineken USA</t>
        </is>
      </c>
      <c r="D737" s="50" t="inlineStr">
        <is>
          <t>Heineken USA</t>
        </is>
      </c>
      <c r="E737" s="46" t="n">
        <v>6531</v>
      </c>
      <c r="F737" s="46" t="n">
        <v>5708</v>
      </c>
      <c r="G737" s="48" t="n">
        <v>203013.75</v>
      </c>
      <c r="H737" s="48" t="n">
        <v>176792.25</v>
      </c>
      <c r="I737" s="48" t="n">
        <v>48118.38</v>
      </c>
      <c r="J737" s="48" t="n">
        <v>41756.03</v>
      </c>
    </row>
    <row r="738">
      <c r="A738" s="50" t="inlineStr">
        <is>
          <t>Shane Barreca</t>
        </is>
      </c>
      <c r="B738" s="50" t="inlineStr">
        <is>
          <t>Qualifier</t>
        </is>
      </c>
      <c r="C738" s="50" t="inlineStr">
        <is>
          <t>Constellation Brands</t>
        </is>
      </c>
      <c r="D738" s="50" t="inlineStr">
        <is>
          <t>Corona Extra</t>
        </is>
      </c>
      <c r="E738" s="46" t="n">
        <v>13113</v>
      </c>
      <c r="F738" s="46" t="n">
        <v>13231</v>
      </c>
      <c r="G738" s="48" t="n">
        <v>415086.05</v>
      </c>
      <c r="H738" s="48" t="n">
        <v>420024.6</v>
      </c>
      <c r="I738" s="48" t="n">
        <v>95840.74000000001</v>
      </c>
      <c r="J738" s="48" t="n">
        <v>99346.88</v>
      </c>
    </row>
    <row r="739">
      <c r="A739" s="50" t="inlineStr">
        <is>
          <t>Shane Barreca</t>
        </is>
      </c>
      <c r="B739" s="50" t="inlineStr">
        <is>
          <t>Qualifier</t>
        </is>
      </c>
      <c r="C739" s="50" t="inlineStr">
        <is>
          <t>Constellation Brands</t>
        </is>
      </c>
      <c r="D739" s="50" t="inlineStr">
        <is>
          <t>Modelo Especial</t>
        </is>
      </c>
      <c r="E739" s="46" t="n">
        <v>16214</v>
      </c>
      <c r="F739" s="46" t="n">
        <v>16995</v>
      </c>
      <c r="G739" s="48" t="n">
        <v>491661.25</v>
      </c>
      <c r="H739" s="48" t="n">
        <v>516010.15</v>
      </c>
      <c r="I739" s="48" t="n">
        <v>107346.81</v>
      </c>
      <c r="J739" s="48" t="n">
        <v>117625.88</v>
      </c>
    </row>
    <row r="740">
      <c r="A740" s="50" t="inlineStr">
        <is>
          <t>Shane Barreca</t>
        </is>
      </c>
      <c r="B740" s="50" t="inlineStr">
        <is>
          <t>Qualifier</t>
        </is>
      </c>
      <c r="C740" s="50" t="inlineStr">
        <is>
          <t>Boston Beer Company</t>
        </is>
      </c>
      <c r="D740" s="50" t="inlineStr">
        <is>
          <t>Truly</t>
        </is>
      </c>
      <c r="E740" s="46" t="n">
        <v>1171</v>
      </c>
      <c r="F740" s="46" t="n">
        <v>780</v>
      </c>
      <c r="G740" s="48" t="n">
        <v>33245.65</v>
      </c>
      <c r="H740" s="48" t="n">
        <v>21833.4</v>
      </c>
      <c r="I740" s="48" t="n">
        <v>5842.41</v>
      </c>
      <c r="J740" s="48" t="n">
        <v>3976.53</v>
      </c>
    </row>
    <row r="741">
      <c r="A741" s="50" t="inlineStr">
        <is>
          <t>Shane Barreca</t>
        </is>
      </c>
      <c r="B741" s="50" t="inlineStr">
        <is>
          <t>Qualifier</t>
        </is>
      </c>
      <c r="C741" s="50" t="inlineStr">
        <is>
          <t>Boston Beer Company</t>
        </is>
      </c>
      <c r="D741" s="50" t="inlineStr">
        <is>
          <t>Twisted Tea</t>
        </is>
      </c>
      <c r="E741" s="46" t="n">
        <v>2704</v>
      </c>
      <c r="F741" s="46" t="n">
        <v>1671</v>
      </c>
      <c r="G741" s="48" t="n">
        <v>79527</v>
      </c>
      <c r="H741" s="48" t="n">
        <v>49671</v>
      </c>
      <c r="I741" s="48" t="n">
        <v>18992.62</v>
      </c>
      <c r="J741" s="48" t="n">
        <v>12154</v>
      </c>
    </row>
    <row r="742">
      <c r="A742" s="50" t="inlineStr">
        <is>
          <t>Shane Barreca</t>
        </is>
      </c>
      <c r="B742" s="50" t="inlineStr">
        <is>
          <t>Qualifier</t>
        </is>
      </c>
      <c r="C742" s="50" t="inlineStr">
        <is>
          <t>Mark Anthony</t>
        </is>
      </c>
      <c r="D742" s="50" t="inlineStr">
        <is>
          <t>White Claw</t>
        </is>
      </c>
      <c r="E742" s="46" t="n">
        <v>8648</v>
      </c>
      <c r="F742" s="46" t="n">
        <v>8105</v>
      </c>
      <c r="G742" s="48" t="n">
        <v>264928</v>
      </c>
      <c r="H742" s="48" t="n">
        <v>252096.5</v>
      </c>
      <c r="I742" s="48" t="n">
        <v>51457.09</v>
      </c>
      <c r="J742" s="48" t="n">
        <v>48576.92</v>
      </c>
    </row>
    <row r="743">
      <c r="A743" s="50" t="inlineStr">
        <is>
          <t>Shane Barreca</t>
        </is>
      </c>
      <c r="B743" s="50" t="inlineStr">
        <is>
          <t>Qualifier</t>
        </is>
      </c>
      <c r="C743" s="50" t="inlineStr">
        <is>
          <t>DG Yuengling Inc</t>
        </is>
      </c>
      <c r="D743" s="50" t="inlineStr">
        <is>
          <t>Yuengling Lager</t>
        </is>
      </c>
      <c r="E743" s="46" t="n">
        <v>3709</v>
      </c>
      <c r="F743" s="46" t="n">
        <v>3714</v>
      </c>
      <c r="G743" s="48" t="n">
        <v>83474.7</v>
      </c>
      <c r="H743" s="48" t="n">
        <v>83466.7</v>
      </c>
      <c r="I743" s="48" t="n">
        <v>22641.73</v>
      </c>
      <c r="J743" s="48" t="n">
        <v>22448.29</v>
      </c>
    </row>
    <row r="745">
      <c r="A745" s="2" t="inlineStr">
        <is>
          <t>Blue = values exactly as exported from RDE. Reps excluded to match the live dashboard and the payout recap: Default, Office Tell Sell, Chris Politano.</t>
        </is>
      </c>
    </row>
    <row r="746">
      <c r="A746" s="2" t="inlineStr">
        <is>
          <t>Replace this tab with a fresh export of the same shape and every analysis tab recalculates.</t>
        </is>
      </c>
    </row>
  </sheetData>
  <autoFilter ref="A4:J74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53"/>
  <sheetViews>
    <sheetView showGridLines="0" workbookViewId="0">
      <pane ySplit="4" topLeftCell="A5" activePane="bottomLeft" state="frozen"/>
      <selection pane="bottomLeft" activeCell="A1" sqref="A1"/>
    </sheetView>
  </sheetViews>
  <sheetFormatPr baseColWidth="8" defaultRowHeight="15"/>
  <cols>
    <col width="20" customWidth="1" min="1" max="1"/>
    <col width="11" customWidth="1" min="2" max="2"/>
    <col width="30" customWidth="1" min="3" max="3"/>
    <col width="26" customWidth="1" min="4" max="4"/>
    <col width="11" customWidth="1" min="5" max="5"/>
    <col width="11" customWidth="1" min="6" max="6"/>
    <col width="14" customWidth="1" min="7" max="7"/>
    <col width="14" customWidth="1" min="8" max="8"/>
    <col width="13" customWidth="1" min="9" max="9"/>
    <col width="13" customWidth="1" min="10" max="10"/>
  </cols>
  <sheetData>
    <row r="1">
      <c r="A1" s="22" t="inlineStr">
        <is>
          <t>Source data — Pre</t>
        </is>
      </c>
    </row>
    <row r="2">
      <c r="A2" s="2" t="inlineStr">
        <is>
          <t>Program brands, 1/1–5/31 (2026 vs 2025) — pre-program baseline   ·   Source: RDE_2026_Summer_of_Success_Jan__May.csv</t>
        </is>
      </c>
    </row>
    <row r="4" ht="30" customHeight="1">
      <c r="A4" s="6" t="inlineStr">
        <is>
          <t>Rep</t>
        </is>
      </c>
      <c r="B4" s="6" t="inlineStr">
        <is>
          <t>Segment</t>
        </is>
      </c>
      <c r="C4" s="6" t="inlineStr">
        <is>
          <t>Supplier</t>
        </is>
      </c>
      <c r="D4" s="6" t="inlineStr">
        <is>
          <t>Brand Family</t>
        </is>
      </c>
      <c r="E4" s="6" t="inlineStr">
        <is>
          <t>CE 2025</t>
        </is>
      </c>
      <c r="F4" s="6" t="inlineStr">
        <is>
          <t>CE 2026</t>
        </is>
      </c>
      <c r="G4" s="6" t="inlineStr">
        <is>
          <t>Revenue 2025</t>
        </is>
      </c>
      <c r="H4" s="6" t="inlineStr">
        <is>
          <t>Revenue 2026</t>
        </is>
      </c>
      <c r="I4" s="6" t="inlineStr">
        <is>
          <t>GP 2025</t>
        </is>
      </c>
      <c r="J4" s="6" t="inlineStr">
        <is>
          <t>GP 2026</t>
        </is>
      </c>
    </row>
    <row r="5">
      <c r="A5" s="50" t="inlineStr">
        <is>
          <t>Alex Rodriguez</t>
        </is>
      </c>
      <c r="B5" s="50" t="inlineStr">
        <is>
          <t>Amplify</t>
        </is>
      </c>
      <c r="C5" s="50" t="inlineStr">
        <is>
          <t>Sapporo</t>
        </is>
      </c>
      <c r="D5" s="50" t="inlineStr">
        <is>
          <t>Sapporo</t>
        </is>
      </c>
      <c r="E5" s="46" t="n">
        <v>749</v>
      </c>
      <c r="F5" s="46" t="n">
        <v>808</v>
      </c>
      <c r="G5" s="48" t="n">
        <v>23579.25</v>
      </c>
      <c r="H5" s="48" t="n">
        <v>26165.75</v>
      </c>
      <c r="I5" s="48" t="n">
        <v>5719.12</v>
      </c>
      <c r="J5" s="48" t="n">
        <v>6385.91</v>
      </c>
    </row>
    <row r="6">
      <c r="A6" s="50" t="inlineStr">
        <is>
          <t>Alex Rodriguez</t>
        </is>
      </c>
      <c r="B6" s="50" t="inlineStr">
        <is>
          <t>Amplify</t>
        </is>
      </c>
      <c r="C6" s="50" t="inlineStr">
        <is>
          <t>New Belgium Brewing Company</t>
        </is>
      </c>
      <c r="D6" s="50" t="inlineStr">
        <is>
          <t>Kirin Ichiban</t>
        </is>
      </c>
      <c r="E6" s="46" t="n">
        <v>0</v>
      </c>
      <c r="F6" s="46" t="n">
        <v>1</v>
      </c>
      <c r="G6" s="48" t="n">
        <v>0</v>
      </c>
      <c r="H6" s="48" t="n">
        <v>36</v>
      </c>
      <c r="I6" s="48" t="n">
        <v>0</v>
      </c>
      <c r="J6" s="48" t="n">
        <v>11.82</v>
      </c>
    </row>
    <row r="7">
      <c r="A7" s="50" t="inlineStr">
        <is>
          <t>Alisa Acciardi</t>
        </is>
      </c>
      <c r="B7" s="50" t="inlineStr">
        <is>
          <t>Amplify</t>
        </is>
      </c>
      <c r="C7" s="50" t="inlineStr">
        <is>
          <t>Mark Anthony</t>
        </is>
      </c>
      <c r="D7" s="50" t="inlineStr">
        <is>
          <t>Cayman Jack</t>
        </is>
      </c>
      <c r="E7" s="46" t="n">
        <v>0</v>
      </c>
      <c r="F7" s="46" t="n">
        <v>3</v>
      </c>
      <c r="G7" s="48" t="n">
        <v>0</v>
      </c>
      <c r="H7" s="48" t="n">
        <v>96</v>
      </c>
      <c r="I7" s="48" t="n">
        <v>0</v>
      </c>
      <c r="J7" s="48" t="n">
        <v>25.61</v>
      </c>
    </row>
    <row r="8">
      <c r="A8" s="50" t="inlineStr">
        <is>
          <t>Alisa Acciardi</t>
        </is>
      </c>
      <c r="B8" s="50" t="inlineStr">
        <is>
          <t>Amplify</t>
        </is>
      </c>
      <c r="C8" s="50" t="inlineStr">
        <is>
          <t>Mark Anthony</t>
        </is>
      </c>
      <c r="D8" s="50" t="inlineStr">
        <is>
          <t>Mike's Harder</t>
        </is>
      </c>
      <c r="E8" s="46" t="n">
        <v>4</v>
      </c>
      <c r="F8" s="46" t="n">
        <v>9</v>
      </c>
      <c r="G8" s="48" t="n">
        <v>108</v>
      </c>
      <c r="H8" s="48" t="n">
        <v>261</v>
      </c>
      <c r="I8" s="48" t="n">
        <v>23.38</v>
      </c>
      <c r="J8" s="48" t="n">
        <v>58.36</v>
      </c>
    </row>
    <row r="9">
      <c r="A9" s="50" t="inlineStr">
        <is>
          <t>Alisa Acciardi</t>
        </is>
      </c>
      <c r="B9" s="50" t="inlineStr">
        <is>
          <t>Amplify</t>
        </is>
      </c>
      <c r="C9" s="50" t="inlineStr">
        <is>
          <t>MolsonCoors Beverage Company</t>
        </is>
      </c>
      <c r="D9" s="50" t="inlineStr">
        <is>
          <t>Coors</t>
        </is>
      </c>
      <c r="E9" s="46" t="n">
        <v>34</v>
      </c>
      <c r="F9" s="46" t="n">
        <v>39</v>
      </c>
      <c r="G9" s="48" t="n">
        <v>623.25</v>
      </c>
      <c r="H9" s="48" t="n">
        <v>747.7</v>
      </c>
      <c r="I9" s="48" t="n">
        <v>136.53</v>
      </c>
      <c r="J9" s="48" t="n">
        <v>167.58</v>
      </c>
    </row>
    <row r="10">
      <c r="A10" s="50" t="inlineStr">
        <is>
          <t>Alisa Acciardi</t>
        </is>
      </c>
      <c r="B10" s="50" t="inlineStr">
        <is>
          <t>Amplify</t>
        </is>
      </c>
      <c r="C10" s="50" t="inlineStr">
        <is>
          <t>MolsonCoors Beverage Company</t>
        </is>
      </c>
      <c r="D10" s="50" t="inlineStr">
        <is>
          <t>Peroni</t>
        </is>
      </c>
      <c r="E10" s="46" t="n">
        <v>17</v>
      </c>
      <c r="F10" s="46" t="n">
        <v>21</v>
      </c>
      <c r="G10" s="48" t="n">
        <v>582.2</v>
      </c>
      <c r="H10" s="48" t="n">
        <v>707.25</v>
      </c>
      <c r="I10" s="48" t="n">
        <v>120.48</v>
      </c>
      <c r="J10" s="48" t="n">
        <v>142.9</v>
      </c>
    </row>
    <row r="11">
      <c r="A11" s="50" t="inlineStr">
        <is>
          <t>Alisa Acciardi</t>
        </is>
      </c>
      <c r="B11" s="50" t="inlineStr">
        <is>
          <t>Amplify</t>
        </is>
      </c>
      <c r="C11" s="50" t="inlineStr">
        <is>
          <t>Boston Beer Company</t>
        </is>
      </c>
      <c r="D11" s="50" t="inlineStr">
        <is>
          <t>Dogfish Head Beer</t>
        </is>
      </c>
      <c r="E11" s="46" t="n">
        <v>5</v>
      </c>
      <c r="F11" s="46" t="n">
        <v>5</v>
      </c>
      <c r="G11" s="48" t="n">
        <v>188.4</v>
      </c>
      <c r="H11" s="48" t="n">
        <v>173.2</v>
      </c>
      <c r="I11" s="48" t="n">
        <v>53.62</v>
      </c>
      <c r="J11" s="48" t="n">
        <v>47.3</v>
      </c>
    </row>
    <row r="12">
      <c r="A12" s="50" t="inlineStr">
        <is>
          <t>Alisa Acciardi</t>
        </is>
      </c>
      <c r="B12" s="50" t="inlineStr">
        <is>
          <t>Amplify</t>
        </is>
      </c>
      <c r="C12" s="50" t="inlineStr">
        <is>
          <t>Heineken USA</t>
        </is>
      </c>
      <c r="D12" s="50" t="inlineStr">
        <is>
          <t>Heineken 0.0</t>
        </is>
      </c>
      <c r="E12" s="46" t="n">
        <v>3</v>
      </c>
      <c r="F12" s="46" t="n">
        <v>7</v>
      </c>
      <c r="G12" s="48" t="n">
        <v>94.05</v>
      </c>
      <c r="H12" s="48" t="n">
        <v>258.1</v>
      </c>
      <c r="I12" s="48" t="n">
        <v>24.96</v>
      </c>
      <c r="J12" s="48" t="n">
        <v>73.86</v>
      </c>
    </row>
    <row r="13">
      <c r="A13" s="50" t="inlineStr">
        <is>
          <t>Alisa Acciardi</t>
        </is>
      </c>
      <c r="B13" s="50" t="inlineStr">
        <is>
          <t>Amplify</t>
        </is>
      </c>
      <c r="C13" s="50" t="inlineStr">
        <is>
          <t>Heineken USA</t>
        </is>
      </c>
      <c r="D13" s="50" t="inlineStr">
        <is>
          <t>Heineken Light</t>
        </is>
      </c>
      <c r="E13" s="46" t="n">
        <v>5</v>
      </c>
      <c r="F13" s="46" t="n">
        <v>8</v>
      </c>
      <c r="G13" s="48" t="n">
        <v>156.25</v>
      </c>
      <c r="H13" s="48" t="n">
        <v>255.35</v>
      </c>
      <c r="I13" s="48" t="n">
        <v>37.5</v>
      </c>
      <c r="J13" s="48" t="n">
        <v>65.18000000000001</v>
      </c>
    </row>
    <row r="14">
      <c r="A14" s="50" t="inlineStr">
        <is>
          <t>Alisa Acciardi</t>
        </is>
      </c>
      <c r="B14" s="50" t="inlineStr">
        <is>
          <t>Amplify</t>
        </is>
      </c>
      <c r="C14" s="50" t="inlineStr">
        <is>
          <t>Constellation Brands</t>
        </is>
      </c>
      <c r="D14" s="50" t="inlineStr">
        <is>
          <t>Corona Premier</t>
        </is>
      </c>
      <c r="E14" s="46" t="n">
        <v>6</v>
      </c>
      <c r="F14" s="46" t="n">
        <v>6</v>
      </c>
      <c r="G14" s="48" t="n">
        <v>187</v>
      </c>
      <c r="H14" s="48" t="n">
        <v>169.5</v>
      </c>
      <c r="I14" s="48" t="n">
        <v>45.25</v>
      </c>
      <c r="J14" s="48" t="n">
        <v>45.42</v>
      </c>
    </row>
    <row r="15">
      <c r="A15" s="50" t="inlineStr">
        <is>
          <t>Alisa Acciardi</t>
        </is>
      </c>
      <c r="B15" s="50" t="inlineStr">
        <is>
          <t>Amplify</t>
        </is>
      </c>
      <c r="C15" s="50" t="inlineStr">
        <is>
          <t>Constellation Brands</t>
        </is>
      </c>
      <c r="D15" s="50" t="inlineStr">
        <is>
          <t>Modelo Chelada</t>
        </is>
      </c>
      <c r="E15" s="46" t="n">
        <v>39</v>
      </c>
      <c r="F15" s="46" t="n">
        <v>31</v>
      </c>
      <c r="G15" s="48" t="n">
        <v>1218.55</v>
      </c>
      <c r="H15" s="48" t="n">
        <v>968.55</v>
      </c>
      <c r="I15" s="48" t="n">
        <v>323.72</v>
      </c>
      <c r="J15" s="48" t="n">
        <v>255.34</v>
      </c>
    </row>
    <row r="16">
      <c r="A16" s="50" t="inlineStr">
        <is>
          <t>Alisa Acciardi</t>
        </is>
      </c>
      <c r="B16" s="50" t="inlineStr">
        <is>
          <t>Amplify</t>
        </is>
      </c>
      <c r="C16" s="50" t="inlineStr">
        <is>
          <t>Constellation Brands</t>
        </is>
      </c>
      <c r="D16" s="50" t="inlineStr">
        <is>
          <t>Pacifico</t>
        </is>
      </c>
      <c r="E16" s="46" t="n">
        <v>42</v>
      </c>
      <c r="F16" s="46" t="n">
        <v>19</v>
      </c>
      <c r="G16" s="48" t="n">
        <v>1283.5</v>
      </c>
      <c r="H16" s="48" t="n">
        <v>578.5</v>
      </c>
      <c r="I16" s="48" t="n">
        <v>293.56</v>
      </c>
      <c r="J16" s="48" t="n">
        <v>137.13</v>
      </c>
    </row>
    <row r="17">
      <c r="A17" s="50" t="inlineStr">
        <is>
          <t>Alisa Acciardi</t>
        </is>
      </c>
      <c r="B17" s="50" t="inlineStr">
        <is>
          <t>Amplify</t>
        </is>
      </c>
      <c r="C17" s="50" t="inlineStr">
        <is>
          <t>Constellation Brands</t>
        </is>
      </c>
      <c r="D17" s="50" t="inlineStr">
        <is>
          <t>Victoria</t>
        </is>
      </c>
      <c r="E17" s="46" t="n">
        <v>13</v>
      </c>
      <c r="F17" s="46" t="n">
        <v>13</v>
      </c>
      <c r="G17" s="48" t="n">
        <v>400.7</v>
      </c>
      <c r="H17" s="48" t="n">
        <v>395.45</v>
      </c>
      <c r="I17" s="48" t="n">
        <v>91.36</v>
      </c>
      <c r="J17" s="48" t="n">
        <v>90.06999999999999</v>
      </c>
    </row>
    <row r="18">
      <c r="A18" s="50" t="inlineStr">
        <is>
          <t>Alisa Acciardi</t>
        </is>
      </c>
      <c r="B18" s="50" t="inlineStr">
        <is>
          <t>Amplify</t>
        </is>
      </c>
      <c r="C18" s="50" t="inlineStr">
        <is>
          <t>Sapporo</t>
        </is>
      </c>
      <c r="D18" s="50" t="inlineStr">
        <is>
          <t>Sapporo</t>
        </is>
      </c>
      <c r="E18" s="46" t="n">
        <v>1669</v>
      </c>
      <c r="F18" s="46" t="n">
        <v>1859</v>
      </c>
      <c r="G18" s="48" t="n">
        <v>46792.5</v>
      </c>
      <c r="H18" s="48" t="n">
        <v>52046</v>
      </c>
      <c r="I18" s="48" t="n">
        <v>11624.44</v>
      </c>
      <c r="J18" s="48" t="n">
        <v>12962.26</v>
      </c>
    </row>
    <row r="19">
      <c r="A19" s="50" t="inlineStr">
        <is>
          <t>Alisa Acciardi</t>
        </is>
      </c>
      <c r="B19" s="50" t="inlineStr">
        <is>
          <t>Amplify</t>
        </is>
      </c>
      <c r="C19" s="50" t="inlineStr">
        <is>
          <t>New Belgium Brewing Company</t>
        </is>
      </c>
      <c r="D19" s="50" t="inlineStr">
        <is>
          <t>Fat Tire Family</t>
        </is>
      </c>
      <c r="E19" s="46" t="n">
        <v>8</v>
      </c>
      <c r="F19" s="46" t="n">
        <v>7</v>
      </c>
      <c r="G19" s="48" t="n">
        <v>248</v>
      </c>
      <c r="H19" s="48" t="n">
        <v>180</v>
      </c>
      <c r="I19" s="48" t="n">
        <v>72.51000000000001</v>
      </c>
      <c r="J19" s="48" t="n">
        <v>62.4</v>
      </c>
    </row>
    <row r="20">
      <c r="A20" s="50" t="inlineStr">
        <is>
          <t>Alisa Acciardi</t>
        </is>
      </c>
      <c r="B20" s="50" t="inlineStr">
        <is>
          <t>Amplify</t>
        </is>
      </c>
      <c r="C20" s="50" t="inlineStr">
        <is>
          <t>New Belgium Brewing Company</t>
        </is>
      </c>
      <c r="D20" s="50" t="inlineStr">
        <is>
          <t>Voodoo Family</t>
        </is>
      </c>
      <c r="E20" s="46" t="n">
        <v>26</v>
      </c>
      <c r="F20" s="46" t="n">
        <v>23</v>
      </c>
      <c r="G20" s="48" t="n">
        <v>941.6</v>
      </c>
      <c r="H20" s="48" t="n">
        <v>812.1</v>
      </c>
      <c r="I20" s="48" t="n">
        <v>261.62</v>
      </c>
      <c r="J20" s="48" t="n">
        <v>222.58</v>
      </c>
    </row>
    <row r="21">
      <c r="A21" s="50" t="inlineStr">
        <is>
          <t>Alisa Acciardi</t>
        </is>
      </c>
      <c r="B21" s="50" t="inlineStr">
        <is>
          <t>Amplify</t>
        </is>
      </c>
      <c r="C21" s="50" t="inlineStr">
        <is>
          <t>DG Yuengling Inc</t>
        </is>
      </c>
      <c r="D21" s="50" t="inlineStr">
        <is>
          <t>Yuengling Flight</t>
        </is>
      </c>
      <c r="E21" s="46" t="n">
        <v>1</v>
      </c>
      <c r="F21" s="46" t="n">
        <v>0</v>
      </c>
      <c r="G21" s="48" t="n">
        <v>21.5</v>
      </c>
      <c r="H21" s="48" t="n">
        <v>0</v>
      </c>
      <c r="I21" s="48" t="n">
        <v>4.93</v>
      </c>
      <c r="J21" s="48" t="n">
        <v>0</v>
      </c>
    </row>
    <row r="22">
      <c r="A22" s="50" t="inlineStr">
        <is>
          <t>Alisa Acciardi</t>
        </is>
      </c>
      <c r="B22" s="50" t="inlineStr">
        <is>
          <t>Qualifier</t>
        </is>
      </c>
      <c r="C22" s="50" t="inlineStr">
        <is>
          <t>MolsonCoors Beverage Company</t>
        </is>
      </c>
      <c r="D22" s="50" t="inlineStr">
        <is>
          <t>Blue Moon</t>
        </is>
      </c>
      <c r="E22" s="46" t="n">
        <v>27</v>
      </c>
      <c r="F22" s="46" t="n">
        <v>52</v>
      </c>
      <c r="G22" s="48" t="n">
        <v>888.2</v>
      </c>
      <c r="H22" s="48" t="n">
        <v>1676.65</v>
      </c>
      <c r="I22" s="48" t="n">
        <v>247.14</v>
      </c>
      <c r="J22" s="48" t="n">
        <v>408.37</v>
      </c>
    </row>
    <row r="23">
      <c r="A23" s="50" t="inlineStr">
        <is>
          <t>Alisa Acciardi</t>
        </is>
      </c>
      <c r="B23" s="50" t="inlineStr">
        <is>
          <t>Qualifier</t>
        </is>
      </c>
      <c r="C23" s="50" t="inlineStr">
        <is>
          <t>MolsonCoors Beverage Company</t>
        </is>
      </c>
      <c r="D23" s="50" t="inlineStr">
        <is>
          <t>Coors Light</t>
        </is>
      </c>
      <c r="E23" s="46" t="n">
        <v>376</v>
      </c>
      <c r="F23" s="46" t="n">
        <v>246</v>
      </c>
      <c r="G23" s="48" t="n">
        <v>7287.65</v>
      </c>
      <c r="H23" s="48" t="n">
        <v>4725.4</v>
      </c>
      <c r="I23" s="48" t="n">
        <v>1660.51</v>
      </c>
      <c r="J23" s="48" t="n">
        <v>1073.97</v>
      </c>
    </row>
    <row r="24">
      <c r="A24" s="50" t="inlineStr">
        <is>
          <t>Alisa Acciardi</t>
        </is>
      </c>
      <c r="B24" s="50" t="inlineStr">
        <is>
          <t>Qualifier</t>
        </is>
      </c>
      <c r="C24" s="50" t="inlineStr">
        <is>
          <t>MolsonCoors Beverage Company</t>
        </is>
      </c>
      <c r="D24" s="50" t="inlineStr">
        <is>
          <t>Lite</t>
        </is>
      </c>
      <c r="E24" s="46" t="n">
        <v>290</v>
      </c>
      <c r="F24" s="46" t="n">
        <v>291</v>
      </c>
      <c r="G24" s="48" t="n">
        <v>5807.4</v>
      </c>
      <c r="H24" s="48" t="n">
        <v>5770.65</v>
      </c>
      <c r="I24" s="48" t="n">
        <v>1208.81</v>
      </c>
      <c r="J24" s="48" t="n">
        <v>1223.31</v>
      </c>
    </row>
    <row r="25">
      <c r="A25" s="50" t="inlineStr">
        <is>
          <t>Alisa Acciardi</t>
        </is>
      </c>
      <c r="B25" s="50" t="inlineStr">
        <is>
          <t>Qualifier</t>
        </is>
      </c>
      <c r="C25" s="50" t="inlineStr">
        <is>
          <t>Heineken USA</t>
        </is>
      </c>
      <c r="D25" s="50" t="inlineStr">
        <is>
          <t>Heineken USA</t>
        </is>
      </c>
      <c r="E25" s="46" t="n">
        <v>174</v>
      </c>
      <c r="F25" s="46" t="n">
        <v>90</v>
      </c>
      <c r="G25" s="48" t="n">
        <v>5366.25</v>
      </c>
      <c r="H25" s="48" t="n">
        <v>2733.9</v>
      </c>
      <c r="I25" s="48" t="n">
        <v>1318.8</v>
      </c>
      <c r="J25" s="48" t="n">
        <v>639.78</v>
      </c>
    </row>
    <row r="26">
      <c r="A26" s="50" t="inlineStr">
        <is>
          <t>Alisa Acciardi</t>
        </is>
      </c>
      <c r="B26" s="50" t="inlineStr">
        <is>
          <t>Qualifier</t>
        </is>
      </c>
      <c r="C26" s="50" t="inlineStr">
        <is>
          <t>Constellation Brands</t>
        </is>
      </c>
      <c r="D26" s="50" t="inlineStr">
        <is>
          <t>Corona Extra</t>
        </is>
      </c>
      <c r="E26" s="46" t="n">
        <v>203</v>
      </c>
      <c r="F26" s="46" t="n">
        <v>260</v>
      </c>
      <c r="G26" s="48" t="n">
        <v>6682.95</v>
      </c>
      <c r="H26" s="48" t="n">
        <v>8626.049999999999</v>
      </c>
      <c r="I26" s="48" t="n">
        <v>1788.28</v>
      </c>
      <c r="J26" s="48" t="n">
        <v>2318.09</v>
      </c>
    </row>
    <row r="27">
      <c r="A27" s="50" t="inlineStr">
        <is>
          <t>Alisa Acciardi</t>
        </is>
      </c>
      <c r="B27" s="50" t="inlineStr">
        <is>
          <t>Qualifier</t>
        </is>
      </c>
      <c r="C27" s="50" t="inlineStr">
        <is>
          <t>Constellation Brands</t>
        </is>
      </c>
      <c r="D27" s="50" t="inlineStr">
        <is>
          <t>Modelo Especial</t>
        </is>
      </c>
      <c r="E27" s="46" t="n">
        <v>269</v>
      </c>
      <c r="F27" s="46" t="n">
        <v>285</v>
      </c>
      <c r="G27" s="48" t="n">
        <v>8308.15</v>
      </c>
      <c r="H27" s="48" t="n">
        <v>8824.9</v>
      </c>
      <c r="I27" s="48" t="n">
        <v>2053.79</v>
      </c>
      <c r="J27" s="48" t="n">
        <v>2159.07</v>
      </c>
    </row>
    <row r="28">
      <c r="A28" s="50" t="inlineStr">
        <is>
          <t>Alisa Acciardi</t>
        </is>
      </c>
      <c r="B28" s="50" t="inlineStr">
        <is>
          <t>Qualifier</t>
        </is>
      </c>
      <c r="C28" s="50" t="inlineStr">
        <is>
          <t>Boston Beer Company</t>
        </is>
      </c>
      <c r="D28" s="50" t="inlineStr">
        <is>
          <t>Twisted Tea</t>
        </is>
      </c>
      <c r="E28" s="46" t="n">
        <v>33</v>
      </c>
      <c r="F28" s="46" t="n">
        <v>27</v>
      </c>
      <c r="G28" s="48" t="n">
        <v>993</v>
      </c>
      <c r="H28" s="48" t="n">
        <v>821.25</v>
      </c>
      <c r="I28" s="48" t="n">
        <v>282.15</v>
      </c>
      <c r="J28" s="48" t="n">
        <v>224.94</v>
      </c>
    </row>
    <row r="29">
      <c r="A29" s="50" t="inlineStr">
        <is>
          <t>Alisa Acciardi</t>
        </is>
      </c>
      <c r="B29" s="50" t="inlineStr">
        <is>
          <t>Qualifier</t>
        </is>
      </c>
      <c r="C29" s="50" t="inlineStr">
        <is>
          <t>Mark Anthony</t>
        </is>
      </c>
      <c r="D29" s="50" t="inlineStr">
        <is>
          <t>White Claw</t>
        </is>
      </c>
      <c r="E29" s="46" t="n">
        <v>69</v>
      </c>
      <c r="F29" s="46" t="n">
        <v>87</v>
      </c>
      <c r="G29" s="48" t="n">
        <v>2306.2</v>
      </c>
      <c r="H29" s="48" t="n">
        <v>2912.2</v>
      </c>
      <c r="I29" s="48" t="n">
        <v>554.46</v>
      </c>
      <c r="J29" s="48" t="n">
        <v>679.38</v>
      </c>
    </row>
    <row r="30">
      <c r="A30" s="50" t="inlineStr">
        <is>
          <t>Alisa Acciardi</t>
        </is>
      </c>
      <c r="B30" s="50" t="inlineStr">
        <is>
          <t>Qualifier</t>
        </is>
      </c>
      <c r="C30" s="50" t="inlineStr">
        <is>
          <t>DG Yuengling Inc</t>
        </is>
      </c>
      <c r="D30" s="50" t="inlineStr">
        <is>
          <t>Yuengling Lager</t>
        </is>
      </c>
      <c r="E30" s="46" t="n">
        <v>14</v>
      </c>
      <c r="F30" s="46" t="n">
        <v>19</v>
      </c>
      <c r="G30" s="48" t="n">
        <v>326.5</v>
      </c>
      <c r="H30" s="48" t="n">
        <v>441</v>
      </c>
      <c r="I30" s="48" t="n">
        <v>102.7</v>
      </c>
      <c r="J30" s="48" t="n">
        <v>142.25</v>
      </c>
    </row>
    <row r="31">
      <c r="A31" s="50" t="inlineStr">
        <is>
          <t>Allison Scott</t>
        </is>
      </c>
      <c r="B31" s="50" t="inlineStr">
        <is>
          <t>Amplify</t>
        </is>
      </c>
      <c r="C31" s="50" t="inlineStr">
        <is>
          <t>Cape May</t>
        </is>
      </c>
      <c r="D31" s="50" t="inlineStr">
        <is>
          <t>Cape May</t>
        </is>
      </c>
      <c r="E31" s="46" t="n">
        <v>370</v>
      </c>
      <c r="F31" s="46" t="n">
        <v>492</v>
      </c>
      <c r="G31" s="48" t="n">
        <v>14063</v>
      </c>
      <c r="H31" s="48" t="n">
        <v>17793</v>
      </c>
      <c r="I31" s="48" t="n">
        <v>3383.24</v>
      </c>
      <c r="J31" s="48" t="n">
        <v>4513.29</v>
      </c>
    </row>
    <row r="32">
      <c r="A32" s="50" t="inlineStr">
        <is>
          <t>Allison Scott</t>
        </is>
      </c>
      <c r="B32" s="50" t="inlineStr">
        <is>
          <t>Amplify</t>
        </is>
      </c>
      <c r="C32" s="50" t="inlineStr">
        <is>
          <t>Mark Anthony</t>
        </is>
      </c>
      <c r="D32" s="50" t="inlineStr">
        <is>
          <t>Cayman Jack</t>
        </is>
      </c>
      <c r="E32" s="46" t="n">
        <v>0</v>
      </c>
      <c r="F32" s="46" t="n">
        <v>15</v>
      </c>
      <c r="G32" s="48" t="n">
        <v>0</v>
      </c>
      <c r="H32" s="48" t="n">
        <v>481.5</v>
      </c>
      <c r="I32" s="48" t="n">
        <v>0</v>
      </c>
      <c r="J32" s="48" t="n">
        <v>157.29</v>
      </c>
    </row>
    <row r="33">
      <c r="A33" s="50" t="inlineStr">
        <is>
          <t>Allison Scott</t>
        </is>
      </c>
      <c r="B33" s="50" t="inlineStr">
        <is>
          <t>Amplify</t>
        </is>
      </c>
      <c r="C33" s="50" t="inlineStr">
        <is>
          <t>MolsonCoors Beverage Company</t>
        </is>
      </c>
      <c r="D33" s="50" t="inlineStr">
        <is>
          <t>Coors</t>
        </is>
      </c>
      <c r="E33" s="46" t="n">
        <v>299</v>
      </c>
      <c r="F33" s="46" t="n">
        <v>309</v>
      </c>
      <c r="G33" s="48" t="n">
        <v>6233.45</v>
      </c>
      <c r="H33" s="48" t="n">
        <v>6634.8</v>
      </c>
      <c r="I33" s="48" t="n">
        <v>1642</v>
      </c>
      <c r="J33" s="48" t="n">
        <v>1728.52</v>
      </c>
    </row>
    <row r="34">
      <c r="A34" s="50" t="inlineStr">
        <is>
          <t>Allison Scott</t>
        </is>
      </c>
      <c r="B34" s="50" t="inlineStr">
        <is>
          <t>Amplify</t>
        </is>
      </c>
      <c r="C34" s="50" t="inlineStr">
        <is>
          <t>MolsonCoors Beverage Company</t>
        </is>
      </c>
      <c r="D34" s="50" t="inlineStr">
        <is>
          <t>Fever Tree</t>
        </is>
      </c>
      <c r="E34" s="46" t="n">
        <v>4</v>
      </c>
      <c r="F34" s="46" t="n">
        <v>177</v>
      </c>
      <c r="G34" s="48" t="n">
        <v>144.5</v>
      </c>
      <c r="H34" s="48" t="n">
        <v>8015</v>
      </c>
      <c r="I34" s="48" t="n">
        <v>46.07</v>
      </c>
      <c r="J34" s="48" t="n">
        <v>2486.22</v>
      </c>
    </row>
    <row r="35">
      <c r="A35" s="50" t="inlineStr">
        <is>
          <t>Allison Scott</t>
        </is>
      </c>
      <c r="B35" s="50" t="inlineStr">
        <is>
          <t>Amplify</t>
        </is>
      </c>
      <c r="C35" s="50" t="inlineStr">
        <is>
          <t>MolsonCoors Beverage Company</t>
        </is>
      </c>
      <c r="D35" s="50" t="inlineStr">
        <is>
          <t>Peroni</t>
        </is>
      </c>
      <c r="E35" s="46" t="n">
        <v>795</v>
      </c>
      <c r="F35" s="46" t="n">
        <v>1353</v>
      </c>
      <c r="G35" s="48" t="n">
        <v>26878.4</v>
      </c>
      <c r="H35" s="48" t="n">
        <v>46209.25</v>
      </c>
      <c r="I35" s="48" t="n">
        <v>6782.82</v>
      </c>
      <c r="J35" s="48" t="n">
        <v>11644.31</v>
      </c>
    </row>
    <row r="36">
      <c r="A36" s="50" t="inlineStr">
        <is>
          <t>Allison Scott</t>
        </is>
      </c>
      <c r="B36" s="50" t="inlineStr">
        <is>
          <t>Amplify</t>
        </is>
      </c>
      <c r="C36" s="50" t="inlineStr">
        <is>
          <t>Boston Beer Company</t>
        </is>
      </c>
      <c r="D36" s="50" t="inlineStr">
        <is>
          <t>Dogfish Head Beer</t>
        </is>
      </c>
      <c r="E36" s="46" t="n">
        <v>738</v>
      </c>
      <c r="F36" s="46" t="n">
        <v>718</v>
      </c>
      <c r="G36" s="48" t="n">
        <v>25390.6</v>
      </c>
      <c r="H36" s="48" t="n">
        <v>24398</v>
      </c>
      <c r="I36" s="48" t="n">
        <v>6976.3</v>
      </c>
      <c r="J36" s="48" t="n">
        <v>6687.56</v>
      </c>
    </row>
    <row r="37">
      <c r="A37" s="50" t="inlineStr">
        <is>
          <t>Allison Scott</t>
        </is>
      </c>
      <c r="B37" s="50" t="inlineStr">
        <is>
          <t>Amplify</t>
        </is>
      </c>
      <c r="C37" s="50" t="inlineStr">
        <is>
          <t>Boston Beer Company</t>
        </is>
      </c>
      <c r="D37" s="50" t="inlineStr">
        <is>
          <t>Dogfish Head Spirits</t>
        </is>
      </c>
      <c r="E37" s="46" t="n">
        <v>0</v>
      </c>
      <c r="F37" s="46" t="n">
        <v>5</v>
      </c>
      <c r="G37" s="48" t="n">
        <v>0</v>
      </c>
      <c r="H37" s="48" t="n">
        <v>274</v>
      </c>
      <c r="I37" s="48" t="n">
        <v>0</v>
      </c>
      <c r="J37" s="48" t="n">
        <v>113</v>
      </c>
    </row>
    <row r="38">
      <c r="A38" s="50" t="inlineStr">
        <is>
          <t>Allison Scott</t>
        </is>
      </c>
      <c r="B38" s="50" t="inlineStr">
        <is>
          <t>Amplify</t>
        </is>
      </c>
      <c r="C38" s="50" t="inlineStr">
        <is>
          <t>Heineken USA</t>
        </is>
      </c>
      <c r="D38" s="50" t="inlineStr">
        <is>
          <t>Heineken 0.0</t>
        </is>
      </c>
      <c r="E38" s="46" t="n">
        <v>437</v>
      </c>
      <c r="F38" s="46" t="n">
        <v>477</v>
      </c>
      <c r="G38" s="48" t="n">
        <v>15854.4</v>
      </c>
      <c r="H38" s="48" t="n">
        <v>17265.7</v>
      </c>
      <c r="I38" s="48" t="n">
        <v>5069.09</v>
      </c>
      <c r="J38" s="48" t="n">
        <v>5491.27</v>
      </c>
    </row>
    <row r="39">
      <c r="A39" s="50" t="inlineStr">
        <is>
          <t>Allison Scott</t>
        </is>
      </c>
      <c r="B39" s="50" t="inlineStr">
        <is>
          <t>Amplify</t>
        </is>
      </c>
      <c r="C39" s="50" t="inlineStr">
        <is>
          <t>Heineken USA</t>
        </is>
      </c>
      <c r="D39" s="50" t="inlineStr">
        <is>
          <t>Heineken Light</t>
        </is>
      </c>
      <c r="E39" s="46" t="n">
        <v>318</v>
      </c>
      <c r="F39" s="46" t="n">
        <v>270</v>
      </c>
      <c r="G39" s="48" t="n">
        <v>10762.7</v>
      </c>
      <c r="H39" s="48" t="n">
        <v>8972.450000000001</v>
      </c>
      <c r="I39" s="48" t="n">
        <v>3199.88</v>
      </c>
      <c r="J39" s="48" t="n">
        <v>2547.81</v>
      </c>
    </row>
    <row r="40">
      <c r="A40" s="50" t="inlineStr">
        <is>
          <t>Allison Scott</t>
        </is>
      </c>
      <c r="B40" s="50" t="inlineStr">
        <is>
          <t>Amplify</t>
        </is>
      </c>
      <c r="C40" s="50" t="inlineStr">
        <is>
          <t>Constellation Brands</t>
        </is>
      </c>
      <c r="D40" s="50" t="inlineStr">
        <is>
          <t>Corona Premier</t>
        </is>
      </c>
      <c r="E40" s="46" t="n">
        <v>258</v>
      </c>
      <c r="F40" s="46" t="n">
        <v>196</v>
      </c>
      <c r="G40" s="48" t="n">
        <v>7405.15</v>
      </c>
      <c r="H40" s="48" t="n">
        <v>5572.6</v>
      </c>
      <c r="I40" s="48" t="n">
        <v>1958.52</v>
      </c>
      <c r="J40" s="48" t="n">
        <v>1464.26</v>
      </c>
    </row>
    <row r="41">
      <c r="A41" s="50" t="inlineStr">
        <is>
          <t>Allison Scott</t>
        </is>
      </c>
      <c r="B41" s="50" t="inlineStr">
        <is>
          <t>Amplify</t>
        </is>
      </c>
      <c r="C41" s="50" t="inlineStr">
        <is>
          <t>Constellation Brands</t>
        </is>
      </c>
      <c r="D41" s="50" t="inlineStr">
        <is>
          <t>Modelo Chelada</t>
        </is>
      </c>
      <c r="E41" s="46" t="n">
        <v>0</v>
      </c>
      <c r="F41" s="46" t="n">
        <v>4</v>
      </c>
      <c r="G41" s="48" t="n">
        <v>0</v>
      </c>
      <c r="H41" s="48" t="n">
        <v>124</v>
      </c>
      <c r="I41" s="48" t="n">
        <v>0</v>
      </c>
      <c r="J41" s="48" t="n">
        <v>27.48</v>
      </c>
    </row>
    <row r="42">
      <c r="A42" s="50" t="inlineStr">
        <is>
          <t>Allison Scott</t>
        </is>
      </c>
      <c r="B42" s="50" t="inlineStr">
        <is>
          <t>Amplify</t>
        </is>
      </c>
      <c r="C42" s="50" t="inlineStr">
        <is>
          <t>Constellation Brands</t>
        </is>
      </c>
      <c r="D42" s="50" t="inlineStr">
        <is>
          <t>Pacifico</t>
        </is>
      </c>
      <c r="E42" s="46" t="n">
        <v>225</v>
      </c>
      <c r="F42" s="46" t="n">
        <v>224</v>
      </c>
      <c r="G42" s="48" t="n">
        <v>6976.5</v>
      </c>
      <c r="H42" s="48" t="n">
        <v>7035</v>
      </c>
      <c r="I42" s="48" t="n">
        <v>1819.4</v>
      </c>
      <c r="J42" s="48" t="n">
        <v>1831.2</v>
      </c>
    </row>
    <row r="43">
      <c r="A43" s="50" t="inlineStr">
        <is>
          <t>Allison Scott</t>
        </is>
      </c>
      <c r="B43" s="50" t="inlineStr">
        <is>
          <t>Amplify</t>
        </is>
      </c>
      <c r="C43" s="50" t="inlineStr">
        <is>
          <t>Constellation Brands</t>
        </is>
      </c>
      <c r="D43" s="50" t="inlineStr">
        <is>
          <t>Victoria</t>
        </is>
      </c>
      <c r="E43" s="46" t="n">
        <v>101</v>
      </c>
      <c r="F43" s="46" t="n">
        <v>98</v>
      </c>
      <c r="G43" s="48" t="n">
        <v>3171.65</v>
      </c>
      <c r="H43" s="48" t="n">
        <v>3036.9</v>
      </c>
      <c r="I43" s="48" t="n">
        <v>729.97</v>
      </c>
      <c r="J43" s="48" t="n">
        <v>690.01</v>
      </c>
    </row>
    <row r="44">
      <c r="A44" s="50" t="inlineStr">
        <is>
          <t>Allison Scott</t>
        </is>
      </c>
      <c r="B44" s="50" t="inlineStr">
        <is>
          <t>Amplify</t>
        </is>
      </c>
      <c r="C44" s="50" t="inlineStr">
        <is>
          <t>Sapporo</t>
        </is>
      </c>
      <c r="D44" s="50" t="inlineStr">
        <is>
          <t>Sapporo</t>
        </is>
      </c>
      <c r="E44" s="46" t="n">
        <v>308</v>
      </c>
      <c r="F44" s="46" t="n">
        <v>385</v>
      </c>
      <c r="G44" s="48" t="n">
        <v>8005</v>
      </c>
      <c r="H44" s="48" t="n">
        <v>10612.5</v>
      </c>
      <c r="I44" s="48" t="n">
        <v>2228.92</v>
      </c>
      <c r="J44" s="48" t="n">
        <v>2775.14</v>
      </c>
    </row>
    <row r="45">
      <c r="A45" s="50" t="inlineStr">
        <is>
          <t>Allison Scott</t>
        </is>
      </c>
      <c r="B45" s="50" t="inlineStr">
        <is>
          <t>Amplify</t>
        </is>
      </c>
      <c r="C45" s="50" t="inlineStr">
        <is>
          <t>Bell's</t>
        </is>
      </c>
      <c r="D45" s="50" t="inlineStr">
        <is>
          <t>Bell's</t>
        </is>
      </c>
      <c r="E45" s="46" t="n">
        <v>-6</v>
      </c>
      <c r="F45" s="46" t="n">
        <v>0</v>
      </c>
      <c r="G45" s="48" t="n">
        <v>-155</v>
      </c>
      <c r="H45" s="48" t="n">
        <v>0</v>
      </c>
      <c r="I45" s="48" t="n">
        <v>-42.01</v>
      </c>
      <c r="J45" s="48" t="n">
        <v>0</v>
      </c>
    </row>
    <row r="46">
      <c r="A46" s="50" t="inlineStr">
        <is>
          <t>Allison Scott</t>
        </is>
      </c>
      <c r="B46" s="50" t="inlineStr">
        <is>
          <t>Amplify</t>
        </is>
      </c>
      <c r="C46" s="50" t="inlineStr">
        <is>
          <t>New Belgium Brewing Company</t>
        </is>
      </c>
      <c r="D46" s="50" t="inlineStr">
        <is>
          <t>Fat Tire Family</t>
        </is>
      </c>
      <c r="E46" s="46" t="n">
        <v>135</v>
      </c>
      <c r="F46" s="46" t="n">
        <v>155</v>
      </c>
      <c r="G46" s="48" t="n">
        <v>4914.85</v>
      </c>
      <c r="H46" s="48" t="n">
        <v>4967.75</v>
      </c>
      <c r="I46" s="48" t="n">
        <v>1171.65</v>
      </c>
      <c r="J46" s="48" t="n">
        <v>1109.16</v>
      </c>
    </row>
    <row r="47">
      <c r="A47" s="50" t="inlineStr">
        <is>
          <t>Allison Scott</t>
        </is>
      </c>
      <c r="B47" s="50" t="inlineStr">
        <is>
          <t>Amplify</t>
        </is>
      </c>
      <c r="C47" s="50" t="inlineStr">
        <is>
          <t>New Belgium Brewing Company</t>
        </is>
      </c>
      <c r="D47" s="50" t="inlineStr">
        <is>
          <t>Kirin Ichiban</t>
        </is>
      </c>
      <c r="E47" s="46" t="n">
        <v>16</v>
      </c>
      <c r="F47" s="46" t="n">
        <v>16</v>
      </c>
      <c r="G47" s="48" t="n">
        <v>397</v>
      </c>
      <c r="H47" s="48" t="n">
        <v>412</v>
      </c>
      <c r="I47" s="48" t="n">
        <v>122.74</v>
      </c>
      <c r="J47" s="48" t="n">
        <v>122.12</v>
      </c>
    </row>
    <row r="48">
      <c r="A48" s="50" t="inlineStr">
        <is>
          <t>Allison Scott</t>
        </is>
      </c>
      <c r="B48" s="50" t="inlineStr">
        <is>
          <t>Amplify</t>
        </is>
      </c>
      <c r="C48" s="50" t="inlineStr">
        <is>
          <t>New Belgium Brewing Company</t>
        </is>
      </c>
      <c r="D48" s="50" t="inlineStr">
        <is>
          <t>Voodoo Family</t>
        </is>
      </c>
      <c r="E48" s="46" t="n">
        <v>610</v>
      </c>
      <c r="F48" s="46" t="n">
        <v>747</v>
      </c>
      <c r="G48" s="48" t="n">
        <v>22458.4</v>
      </c>
      <c r="H48" s="48" t="n">
        <v>26947.2</v>
      </c>
      <c r="I48" s="48" t="n">
        <v>5823.89</v>
      </c>
      <c r="J48" s="48" t="n">
        <v>7082.84</v>
      </c>
    </row>
    <row r="49">
      <c r="A49" s="50" t="inlineStr">
        <is>
          <t>Allison Scott</t>
        </is>
      </c>
      <c r="B49" s="50" t="inlineStr">
        <is>
          <t>Amplify</t>
        </is>
      </c>
      <c r="C49" s="50" t="inlineStr">
        <is>
          <t>DG Yuengling Inc</t>
        </is>
      </c>
      <c r="D49" s="50" t="inlineStr">
        <is>
          <t>Yuengling Flight</t>
        </is>
      </c>
      <c r="E49" s="46" t="n">
        <v>15</v>
      </c>
      <c r="F49" s="46" t="n">
        <v>18</v>
      </c>
      <c r="G49" s="48" t="n">
        <v>330.5</v>
      </c>
      <c r="H49" s="48" t="n">
        <v>423</v>
      </c>
      <c r="I49" s="48" t="n">
        <v>86.43000000000001</v>
      </c>
      <c r="J49" s="48" t="n">
        <v>120.22</v>
      </c>
    </row>
    <row r="50">
      <c r="A50" s="50" t="inlineStr">
        <is>
          <t>Allison Scott</t>
        </is>
      </c>
      <c r="B50" s="50" t="inlineStr">
        <is>
          <t>Amplify</t>
        </is>
      </c>
      <c r="C50" s="50" t="inlineStr">
        <is>
          <t>DG Yuengling Inc</t>
        </is>
      </c>
      <c r="D50" s="50" t="inlineStr">
        <is>
          <t>Yuengling Light Lager</t>
        </is>
      </c>
      <c r="E50" s="46" t="n">
        <v>0</v>
      </c>
      <c r="F50" s="46" t="n">
        <v>18</v>
      </c>
      <c r="G50" s="48" t="n">
        <v>0</v>
      </c>
      <c r="H50" s="48" t="n">
        <v>385.2</v>
      </c>
      <c r="I50" s="48" t="n">
        <v>0</v>
      </c>
      <c r="J50" s="48" t="n">
        <v>93.29000000000001</v>
      </c>
    </row>
    <row r="51">
      <c r="A51" s="50" t="inlineStr">
        <is>
          <t>Allison Scott</t>
        </is>
      </c>
      <c r="B51" s="50" t="inlineStr">
        <is>
          <t>Qualifier</t>
        </is>
      </c>
      <c r="C51" s="50" t="inlineStr">
        <is>
          <t>MolsonCoors Beverage Company</t>
        </is>
      </c>
      <c r="D51" s="50" t="inlineStr">
        <is>
          <t>Blue Moon</t>
        </is>
      </c>
      <c r="E51" s="46" t="n">
        <v>5128</v>
      </c>
      <c r="F51" s="46" t="n">
        <v>4993</v>
      </c>
      <c r="G51" s="48" t="n">
        <v>154735.25</v>
      </c>
      <c r="H51" s="48" t="n">
        <v>152016.5</v>
      </c>
      <c r="I51" s="48" t="n">
        <v>53528.45</v>
      </c>
      <c r="J51" s="48" t="n">
        <v>52479.82</v>
      </c>
    </row>
    <row r="52">
      <c r="A52" s="50" t="inlineStr">
        <is>
          <t>Allison Scott</t>
        </is>
      </c>
      <c r="B52" s="50" t="inlineStr">
        <is>
          <t>Qualifier</t>
        </is>
      </c>
      <c r="C52" s="50" t="inlineStr">
        <is>
          <t>MolsonCoors Beverage Company</t>
        </is>
      </c>
      <c r="D52" s="50" t="inlineStr">
        <is>
          <t>Coors Light</t>
        </is>
      </c>
      <c r="E52" s="46" t="n">
        <v>8535</v>
      </c>
      <c r="F52" s="46" t="n">
        <v>7856</v>
      </c>
      <c r="G52" s="48" t="n">
        <v>168978.35</v>
      </c>
      <c r="H52" s="48" t="n">
        <v>161442.6</v>
      </c>
      <c r="I52" s="48" t="n">
        <v>42517.36</v>
      </c>
      <c r="J52" s="48" t="n">
        <v>43213.99</v>
      </c>
    </row>
    <row r="53">
      <c r="A53" s="50" t="inlineStr">
        <is>
          <t>Allison Scott</t>
        </is>
      </c>
      <c r="B53" s="50" t="inlineStr">
        <is>
          <t>Qualifier</t>
        </is>
      </c>
      <c r="C53" s="50" t="inlineStr">
        <is>
          <t>MolsonCoors Beverage Company</t>
        </is>
      </c>
      <c r="D53" s="50" t="inlineStr">
        <is>
          <t>Lite</t>
        </is>
      </c>
      <c r="E53" s="46" t="n">
        <v>9735</v>
      </c>
      <c r="F53" s="46" t="n">
        <v>10351</v>
      </c>
      <c r="G53" s="48" t="n">
        <v>194912.1</v>
      </c>
      <c r="H53" s="48" t="n">
        <v>212614.4</v>
      </c>
      <c r="I53" s="48" t="n">
        <v>43739.22</v>
      </c>
      <c r="J53" s="48" t="n">
        <v>49597.01</v>
      </c>
    </row>
    <row r="54">
      <c r="A54" s="50" t="inlineStr">
        <is>
          <t>Allison Scott</t>
        </is>
      </c>
      <c r="B54" s="50" t="inlineStr">
        <is>
          <t>Qualifier</t>
        </is>
      </c>
      <c r="C54" s="50" t="inlineStr">
        <is>
          <t>Heineken USA</t>
        </is>
      </c>
      <c r="D54" s="50" t="inlineStr">
        <is>
          <t>Heineken USA</t>
        </is>
      </c>
      <c r="E54" s="46" t="n">
        <v>3315</v>
      </c>
      <c r="F54" s="46" t="n">
        <v>2859</v>
      </c>
      <c r="G54" s="48" t="n">
        <v>112537</v>
      </c>
      <c r="H54" s="48" t="n">
        <v>97127.35000000001</v>
      </c>
      <c r="I54" s="48" t="n">
        <v>34680.07</v>
      </c>
      <c r="J54" s="48" t="n">
        <v>30170.78</v>
      </c>
    </row>
    <row r="55">
      <c r="A55" s="50" t="inlineStr">
        <is>
          <t>Allison Scott</t>
        </is>
      </c>
      <c r="B55" s="50" t="inlineStr">
        <is>
          <t>Qualifier</t>
        </is>
      </c>
      <c r="C55" s="50" t="inlineStr">
        <is>
          <t>Constellation Brands</t>
        </is>
      </c>
      <c r="D55" s="50" t="inlineStr">
        <is>
          <t>Corona Extra</t>
        </is>
      </c>
      <c r="E55" s="46" t="n">
        <v>6996</v>
      </c>
      <c r="F55" s="46" t="n">
        <v>6591</v>
      </c>
      <c r="G55" s="48" t="n">
        <v>237993.05</v>
      </c>
      <c r="H55" s="48" t="n">
        <v>224623.15</v>
      </c>
      <c r="I55" s="48" t="n">
        <v>69158.49000000001</v>
      </c>
      <c r="J55" s="48" t="n">
        <v>65138.3</v>
      </c>
    </row>
    <row r="56">
      <c r="A56" s="50" t="inlineStr">
        <is>
          <t>Allison Scott</t>
        </is>
      </c>
      <c r="B56" s="50" t="inlineStr">
        <is>
          <t>Qualifier</t>
        </is>
      </c>
      <c r="C56" s="50" t="inlineStr">
        <is>
          <t>Constellation Brands</t>
        </is>
      </c>
      <c r="D56" s="50" t="inlineStr">
        <is>
          <t>Modelo Especial</t>
        </is>
      </c>
      <c r="E56" s="46" t="n">
        <v>4587</v>
      </c>
      <c r="F56" s="46" t="n">
        <v>4671</v>
      </c>
      <c r="G56" s="48" t="n">
        <v>136252.25</v>
      </c>
      <c r="H56" s="48" t="n">
        <v>137059.75</v>
      </c>
      <c r="I56" s="48" t="n">
        <v>36402.71</v>
      </c>
      <c r="J56" s="48" t="n">
        <v>35958.73</v>
      </c>
    </row>
    <row r="57">
      <c r="A57" s="50" t="inlineStr">
        <is>
          <t>Allison Scott</t>
        </is>
      </c>
      <c r="B57" s="50" t="inlineStr">
        <is>
          <t>Qualifier</t>
        </is>
      </c>
      <c r="C57" s="50" t="inlineStr">
        <is>
          <t>Boston Beer Company</t>
        </is>
      </c>
      <c r="D57" s="50" t="inlineStr">
        <is>
          <t>Truly</t>
        </is>
      </c>
      <c r="E57" s="46" t="n">
        <v>29</v>
      </c>
      <c r="F57" s="46" t="n">
        <v>29</v>
      </c>
      <c r="G57" s="48" t="n">
        <v>844</v>
      </c>
      <c r="H57" s="48" t="n">
        <v>759</v>
      </c>
      <c r="I57" s="48" t="n">
        <v>243.39</v>
      </c>
      <c r="J57" s="48" t="n">
        <v>158.39</v>
      </c>
    </row>
    <row r="58">
      <c r="A58" s="50" t="inlineStr">
        <is>
          <t>Allison Scott</t>
        </is>
      </c>
      <c r="B58" s="50" t="inlineStr">
        <is>
          <t>Qualifier</t>
        </is>
      </c>
      <c r="C58" s="50" t="inlineStr">
        <is>
          <t>Boston Beer Company</t>
        </is>
      </c>
      <c r="D58" s="50" t="inlineStr">
        <is>
          <t>Twisted Tea</t>
        </is>
      </c>
      <c r="E58" s="46" t="n">
        <v>487</v>
      </c>
      <c r="F58" s="46" t="n">
        <v>336</v>
      </c>
      <c r="G58" s="48" t="n">
        <v>15962.75</v>
      </c>
      <c r="H58" s="48" t="n">
        <v>11224.75</v>
      </c>
      <c r="I58" s="48" t="n">
        <v>4886.75</v>
      </c>
      <c r="J58" s="48" t="n">
        <v>3411.71</v>
      </c>
    </row>
    <row r="59">
      <c r="A59" s="50" t="inlineStr">
        <is>
          <t>Allison Scott</t>
        </is>
      </c>
      <c r="B59" s="50" t="inlineStr">
        <is>
          <t>Qualifier</t>
        </is>
      </c>
      <c r="C59" s="50" t="inlineStr">
        <is>
          <t>Mark Anthony</t>
        </is>
      </c>
      <c r="D59" s="50" t="inlineStr">
        <is>
          <t>White Claw</t>
        </is>
      </c>
      <c r="E59" s="46" t="n">
        <v>1585</v>
      </c>
      <c r="F59" s="46" t="n">
        <v>1524</v>
      </c>
      <c r="G59" s="48" t="n">
        <v>52577.55</v>
      </c>
      <c r="H59" s="48" t="n">
        <v>51022.8</v>
      </c>
      <c r="I59" s="48" t="n">
        <v>13637.92</v>
      </c>
      <c r="J59" s="48" t="n">
        <v>13158.14</v>
      </c>
    </row>
    <row r="60">
      <c r="A60" s="50" t="inlineStr">
        <is>
          <t>Allison Scott</t>
        </is>
      </c>
      <c r="B60" s="50" t="inlineStr">
        <is>
          <t>Qualifier</t>
        </is>
      </c>
      <c r="C60" s="50" t="inlineStr">
        <is>
          <t>DG Yuengling Inc</t>
        </is>
      </c>
      <c r="D60" s="50" t="inlineStr">
        <is>
          <t>Yuengling Lager</t>
        </is>
      </c>
      <c r="E60" s="46" t="n">
        <v>5083</v>
      </c>
      <c r="F60" s="46" t="n">
        <v>5098</v>
      </c>
      <c r="G60" s="48" t="n">
        <v>93683</v>
      </c>
      <c r="H60" s="48" t="n">
        <v>93683.5</v>
      </c>
      <c r="I60" s="48" t="n">
        <v>27507.03</v>
      </c>
      <c r="J60" s="48" t="n">
        <v>27610.51</v>
      </c>
    </row>
    <row r="61">
      <c r="A61" s="50" t="inlineStr">
        <is>
          <t>Andrew Lundy</t>
        </is>
      </c>
      <c r="B61" s="50" t="inlineStr">
        <is>
          <t>Amplify</t>
        </is>
      </c>
      <c r="C61" s="50" t="inlineStr">
        <is>
          <t>MolsonCoors Beverage Company</t>
        </is>
      </c>
      <c r="D61" s="50" t="inlineStr">
        <is>
          <t>Fever Tree</t>
        </is>
      </c>
      <c r="E61" s="46" t="n">
        <v>1</v>
      </c>
      <c r="F61" s="46" t="n">
        <v>0</v>
      </c>
      <c r="G61" s="48" t="n">
        <v>57</v>
      </c>
      <c r="H61" s="48" t="n">
        <v>0</v>
      </c>
      <c r="I61" s="48" t="n">
        <v>22.22</v>
      </c>
      <c r="J61" s="48" t="n">
        <v>0</v>
      </c>
    </row>
    <row r="62">
      <c r="A62" s="50" t="inlineStr">
        <is>
          <t>Andrew Lundy</t>
        </is>
      </c>
      <c r="B62" s="50" t="inlineStr">
        <is>
          <t>Amplify</t>
        </is>
      </c>
      <c r="C62" s="50" t="inlineStr">
        <is>
          <t>Sapporo</t>
        </is>
      </c>
      <c r="D62" s="50" t="inlineStr">
        <is>
          <t>Sapporo</t>
        </is>
      </c>
      <c r="E62" s="46" t="n">
        <v>1946</v>
      </c>
      <c r="F62" s="46" t="n">
        <v>2355</v>
      </c>
      <c r="G62" s="48" t="n">
        <v>53805.5</v>
      </c>
      <c r="H62" s="48" t="n">
        <v>65396</v>
      </c>
      <c r="I62" s="48" t="n">
        <v>13129.82</v>
      </c>
      <c r="J62" s="48" t="n">
        <v>16363.18</v>
      </c>
    </row>
    <row r="63">
      <c r="A63" s="50" t="inlineStr">
        <is>
          <t>Andrew Lundy</t>
        </is>
      </c>
      <c r="B63" s="50" t="inlineStr">
        <is>
          <t>Amplify</t>
        </is>
      </c>
      <c r="C63" s="50" t="inlineStr">
        <is>
          <t>New Belgium Brewing Company</t>
        </is>
      </c>
      <c r="D63" s="50" t="inlineStr">
        <is>
          <t>Kirin Ichiban</t>
        </is>
      </c>
      <c r="E63" s="46" t="n">
        <v>6</v>
      </c>
      <c r="F63" s="46" t="n">
        <v>0</v>
      </c>
      <c r="G63" s="48" t="n">
        <v>216</v>
      </c>
      <c r="H63" s="48" t="n">
        <v>0</v>
      </c>
      <c r="I63" s="48" t="n">
        <v>40.6</v>
      </c>
      <c r="J63" s="48" t="n">
        <v>0</v>
      </c>
    </row>
    <row r="64">
      <c r="A64" s="50" t="inlineStr">
        <is>
          <t>Anthony Palmisano</t>
        </is>
      </c>
      <c r="B64" s="50" t="inlineStr">
        <is>
          <t>Amplify</t>
        </is>
      </c>
      <c r="C64" s="50" t="inlineStr">
        <is>
          <t>Cape May</t>
        </is>
      </c>
      <c r="D64" s="50" t="inlineStr">
        <is>
          <t>Cape May</t>
        </is>
      </c>
      <c r="E64" s="46" t="n">
        <v>877</v>
      </c>
      <c r="F64" s="46" t="n">
        <v>816</v>
      </c>
      <c r="G64" s="48" t="n">
        <v>36422.8</v>
      </c>
      <c r="H64" s="48" t="n">
        <v>33619.1</v>
      </c>
      <c r="I64" s="48" t="n">
        <v>10785.36</v>
      </c>
      <c r="J64" s="48" t="n">
        <v>10078.09</v>
      </c>
    </row>
    <row r="65">
      <c r="A65" s="50" t="inlineStr">
        <is>
          <t>Anthony Palmisano</t>
        </is>
      </c>
      <c r="B65" s="50" t="inlineStr">
        <is>
          <t>Amplify</t>
        </is>
      </c>
      <c r="C65" s="50" t="inlineStr">
        <is>
          <t>Mark Anthony</t>
        </is>
      </c>
      <c r="D65" s="50" t="inlineStr">
        <is>
          <t>Cayman Jack</t>
        </is>
      </c>
      <c r="E65" s="46" t="n">
        <v>374</v>
      </c>
      <c r="F65" s="46" t="n">
        <v>424</v>
      </c>
      <c r="G65" s="48" t="n">
        <v>12054.75</v>
      </c>
      <c r="H65" s="48" t="n">
        <v>13539</v>
      </c>
      <c r="I65" s="48" t="n">
        <v>2984.03</v>
      </c>
      <c r="J65" s="48" t="n">
        <v>3291.61</v>
      </c>
    </row>
    <row r="66">
      <c r="A66" s="50" t="inlineStr">
        <is>
          <t>Anthony Palmisano</t>
        </is>
      </c>
      <c r="B66" s="50" t="inlineStr">
        <is>
          <t>Amplify</t>
        </is>
      </c>
      <c r="C66" s="50" t="inlineStr">
        <is>
          <t>Mark Anthony</t>
        </is>
      </c>
      <c r="D66" s="50" t="inlineStr">
        <is>
          <t>Mike's Harder</t>
        </is>
      </c>
      <c r="E66" s="46" t="n">
        <v>418</v>
      </c>
      <c r="F66" s="46" t="n">
        <v>266</v>
      </c>
      <c r="G66" s="48" t="n">
        <v>11605.5</v>
      </c>
      <c r="H66" s="48" t="n">
        <v>7899</v>
      </c>
      <c r="I66" s="48" t="n">
        <v>2528.75</v>
      </c>
      <c r="J66" s="48" t="n">
        <v>1732.34</v>
      </c>
    </row>
    <row r="67">
      <c r="A67" s="50" t="inlineStr">
        <is>
          <t>Anthony Palmisano</t>
        </is>
      </c>
      <c r="B67" s="50" t="inlineStr">
        <is>
          <t>Amplify</t>
        </is>
      </c>
      <c r="C67" s="50" t="inlineStr">
        <is>
          <t>Mark Anthony</t>
        </is>
      </c>
      <c r="D67" s="50" t="inlineStr">
        <is>
          <t>Mxd Cocktails</t>
        </is>
      </c>
      <c r="E67" s="46" t="n">
        <v>0</v>
      </c>
      <c r="F67" s="46" t="n">
        <v>5</v>
      </c>
      <c r="G67" s="48" t="n">
        <v>0</v>
      </c>
      <c r="H67" s="48" t="n">
        <v>128</v>
      </c>
      <c r="I67" s="48" t="n">
        <v>0</v>
      </c>
      <c r="J67" s="48" t="n">
        <v>24.04</v>
      </c>
    </row>
    <row r="68">
      <c r="A68" s="50" t="inlineStr">
        <is>
          <t>Anthony Palmisano</t>
        </is>
      </c>
      <c r="B68" s="50" t="inlineStr">
        <is>
          <t>Amplify</t>
        </is>
      </c>
      <c r="C68" s="50" t="inlineStr">
        <is>
          <t>MolsonCoors Beverage Company</t>
        </is>
      </c>
      <c r="D68" s="50" t="inlineStr">
        <is>
          <t>Coors</t>
        </is>
      </c>
      <c r="E68" s="46" t="n">
        <v>2936</v>
      </c>
      <c r="F68" s="46" t="n">
        <v>2911</v>
      </c>
      <c r="G68" s="48" t="n">
        <v>67683.7</v>
      </c>
      <c r="H68" s="48" t="n">
        <v>67548.05</v>
      </c>
      <c r="I68" s="48" t="n">
        <v>18818.99</v>
      </c>
      <c r="J68" s="48" t="n">
        <v>18877.11</v>
      </c>
    </row>
    <row r="69">
      <c r="A69" s="50" t="inlineStr">
        <is>
          <t>Anthony Palmisano</t>
        </is>
      </c>
      <c r="B69" s="50" t="inlineStr">
        <is>
          <t>Amplify</t>
        </is>
      </c>
      <c r="C69" s="50" t="inlineStr">
        <is>
          <t>MolsonCoors Beverage Company</t>
        </is>
      </c>
      <c r="D69" s="50" t="inlineStr">
        <is>
          <t>Fever Tree</t>
        </is>
      </c>
      <c r="E69" s="46" t="n">
        <v>1</v>
      </c>
      <c r="F69" s="46" t="n">
        <v>90</v>
      </c>
      <c r="G69" s="48" t="n">
        <v>28.5</v>
      </c>
      <c r="H69" s="48" t="n">
        <v>4177</v>
      </c>
      <c r="I69" s="48" t="n">
        <v>11.11</v>
      </c>
      <c r="J69" s="48" t="n">
        <v>1420.91</v>
      </c>
    </row>
    <row r="70">
      <c r="A70" s="50" t="inlineStr">
        <is>
          <t>Anthony Palmisano</t>
        </is>
      </c>
      <c r="B70" s="50" t="inlineStr">
        <is>
          <t>Amplify</t>
        </is>
      </c>
      <c r="C70" s="50" t="inlineStr">
        <is>
          <t>MolsonCoors Beverage Company</t>
        </is>
      </c>
      <c r="D70" s="50" t="inlineStr">
        <is>
          <t>Peroni</t>
        </is>
      </c>
      <c r="E70" s="46" t="n">
        <v>689</v>
      </c>
      <c r="F70" s="46" t="n">
        <v>790</v>
      </c>
      <c r="G70" s="48" t="n">
        <v>23685.05</v>
      </c>
      <c r="H70" s="48" t="n">
        <v>26974.75</v>
      </c>
      <c r="I70" s="48" t="n">
        <v>5083.82</v>
      </c>
      <c r="J70" s="48" t="n">
        <v>5786.59</v>
      </c>
    </row>
    <row r="71">
      <c r="A71" s="50" t="inlineStr">
        <is>
          <t>Anthony Palmisano</t>
        </is>
      </c>
      <c r="B71" s="50" t="inlineStr">
        <is>
          <t>Amplify</t>
        </is>
      </c>
      <c r="C71" s="50" t="inlineStr">
        <is>
          <t>Boston Beer Company</t>
        </is>
      </c>
      <c r="D71" s="50" t="inlineStr">
        <is>
          <t>Dogfish Head Beer</t>
        </is>
      </c>
      <c r="E71" s="46" t="n">
        <v>969</v>
      </c>
      <c r="F71" s="46" t="n">
        <v>1053</v>
      </c>
      <c r="G71" s="48" t="n">
        <v>33691.6</v>
      </c>
      <c r="H71" s="48" t="n">
        <v>37115.6</v>
      </c>
      <c r="I71" s="48" t="n">
        <v>8905.32</v>
      </c>
      <c r="J71" s="48" t="n">
        <v>9597.32</v>
      </c>
    </row>
    <row r="72">
      <c r="A72" s="50" t="inlineStr">
        <is>
          <t>Anthony Palmisano</t>
        </is>
      </c>
      <c r="B72" s="50" t="inlineStr">
        <is>
          <t>Amplify</t>
        </is>
      </c>
      <c r="C72" s="50" t="inlineStr">
        <is>
          <t>Boston Beer Company</t>
        </is>
      </c>
      <c r="D72" s="50" t="inlineStr">
        <is>
          <t>Dogfish Head Spirits</t>
        </is>
      </c>
      <c r="E72" s="46" t="n">
        <v>283</v>
      </c>
      <c r="F72" s="46" t="n">
        <v>180</v>
      </c>
      <c r="G72" s="48" t="n">
        <v>15441</v>
      </c>
      <c r="H72" s="48" t="n">
        <v>8994</v>
      </c>
      <c r="I72" s="48" t="n">
        <v>6107.39</v>
      </c>
      <c r="J72" s="48" t="n">
        <v>3149.35</v>
      </c>
    </row>
    <row r="73">
      <c r="A73" s="50" t="inlineStr">
        <is>
          <t>Anthony Palmisano</t>
        </is>
      </c>
      <c r="B73" s="50" t="inlineStr">
        <is>
          <t>Amplify</t>
        </is>
      </c>
      <c r="C73" s="50" t="inlineStr">
        <is>
          <t>Heineken USA</t>
        </is>
      </c>
      <c r="D73" s="50" t="inlineStr">
        <is>
          <t>Heineken 0.0</t>
        </is>
      </c>
      <c r="E73" s="46" t="n">
        <v>422</v>
      </c>
      <c r="F73" s="46" t="n">
        <v>431</v>
      </c>
      <c r="G73" s="48" t="n">
        <v>14262.7</v>
      </c>
      <c r="H73" s="48" t="n">
        <v>14625.2</v>
      </c>
      <c r="I73" s="48" t="n">
        <v>3777.13</v>
      </c>
      <c r="J73" s="48" t="n">
        <v>3915.6</v>
      </c>
    </row>
    <row r="74">
      <c r="A74" s="50" t="inlineStr">
        <is>
          <t>Anthony Palmisano</t>
        </is>
      </c>
      <c r="B74" s="50" t="inlineStr">
        <is>
          <t>Amplify</t>
        </is>
      </c>
      <c r="C74" s="50" t="inlineStr">
        <is>
          <t>Heineken USA</t>
        </is>
      </c>
      <c r="D74" s="50" t="inlineStr">
        <is>
          <t>Heineken Light</t>
        </is>
      </c>
      <c r="E74" s="46" t="n">
        <v>456</v>
      </c>
      <c r="F74" s="46" t="n">
        <v>418</v>
      </c>
      <c r="G74" s="48" t="n">
        <v>14410.1</v>
      </c>
      <c r="H74" s="48" t="n">
        <v>13352.25</v>
      </c>
      <c r="I74" s="48" t="n">
        <v>3568.78</v>
      </c>
      <c r="J74" s="48" t="n">
        <v>3415.11</v>
      </c>
    </row>
    <row r="75">
      <c r="A75" s="50" t="inlineStr">
        <is>
          <t>Anthony Palmisano</t>
        </is>
      </c>
      <c r="B75" s="50" t="inlineStr">
        <is>
          <t>Amplify</t>
        </is>
      </c>
      <c r="C75" s="50" t="inlineStr">
        <is>
          <t>Constellation Brands</t>
        </is>
      </c>
      <c r="D75" s="50" t="inlineStr">
        <is>
          <t>Corona Premier</t>
        </is>
      </c>
      <c r="E75" s="46" t="n">
        <v>472</v>
      </c>
      <c r="F75" s="46" t="n">
        <v>446</v>
      </c>
      <c r="G75" s="48" t="n">
        <v>14866.35</v>
      </c>
      <c r="H75" s="48" t="n">
        <v>12268.6</v>
      </c>
      <c r="I75" s="48" t="n">
        <v>3470.13</v>
      </c>
      <c r="J75" s="48" t="n">
        <v>3005.43</v>
      </c>
    </row>
    <row r="76">
      <c r="A76" s="50" t="inlineStr">
        <is>
          <t>Anthony Palmisano</t>
        </is>
      </c>
      <c r="B76" s="50" t="inlineStr">
        <is>
          <t>Amplify</t>
        </is>
      </c>
      <c r="C76" s="50" t="inlineStr">
        <is>
          <t>Constellation Brands</t>
        </is>
      </c>
      <c r="D76" s="50" t="inlineStr">
        <is>
          <t>Modelo Chelada</t>
        </is>
      </c>
      <c r="E76" s="46" t="n">
        <v>845</v>
      </c>
      <c r="F76" s="46" t="n">
        <v>990</v>
      </c>
      <c r="G76" s="48" t="n">
        <v>26293.8</v>
      </c>
      <c r="H76" s="48" t="n">
        <v>30736.45</v>
      </c>
      <c r="I76" s="48" t="n">
        <v>6848.05</v>
      </c>
      <c r="J76" s="48" t="n">
        <v>7833.94</v>
      </c>
    </row>
    <row r="77">
      <c r="A77" s="50" t="inlineStr">
        <is>
          <t>Anthony Palmisano</t>
        </is>
      </c>
      <c r="B77" s="50" t="inlineStr">
        <is>
          <t>Amplify</t>
        </is>
      </c>
      <c r="C77" s="50" t="inlineStr">
        <is>
          <t>Constellation Brands</t>
        </is>
      </c>
      <c r="D77" s="50" t="inlineStr">
        <is>
          <t>Pacifico</t>
        </is>
      </c>
      <c r="E77" s="46" t="n">
        <v>472</v>
      </c>
      <c r="F77" s="46" t="n">
        <v>692</v>
      </c>
      <c r="G77" s="48" t="n">
        <v>14361.25</v>
      </c>
      <c r="H77" s="48" t="n">
        <v>21122.75</v>
      </c>
      <c r="I77" s="48" t="n">
        <v>3259.73</v>
      </c>
      <c r="J77" s="48" t="n">
        <v>4831.19</v>
      </c>
    </row>
    <row r="78">
      <c r="A78" s="50" t="inlineStr">
        <is>
          <t>Anthony Palmisano</t>
        </is>
      </c>
      <c r="B78" s="50" t="inlineStr">
        <is>
          <t>Amplify</t>
        </is>
      </c>
      <c r="C78" s="50" t="inlineStr">
        <is>
          <t>Constellation Brands</t>
        </is>
      </c>
      <c r="D78" s="50" t="inlineStr">
        <is>
          <t>Victoria</t>
        </is>
      </c>
      <c r="E78" s="46" t="n">
        <v>1206</v>
      </c>
      <c r="F78" s="46" t="n">
        <v>1312</v>
      </c>
      <c r="G78" s="48" t="n">
        <v>36159.65</v>
      </c>
      <c r="H78" s="48" t="n">
        <v>39088.85</v>
      </c>
      <c r="I78" s="48" t="n">
        <v>8246.299999999999</v>
      </c>
      <c r="J78" s="48" t="n">
        <v>9106.459999999999</v>
      </c>
    </row>
    <row r="79">
      <c r="A79" s="50" t="inlineStr">
        <is>
          <t>Anthony Palmisano</t>
        </is>
      </c>
      <c r="B79" s="50" t="inlineStr">
        <is>
          <t>Amplify</t>
        </is>
      </c>
      <c r="C79" s="50" t="inlineStr">
        <is>
          <t>Sapporo</t>
        </is>
      </c>
      <c r="D79" s="50" t="inlineStr">
        <is>
          <t>Sapporo</t>
        </is>
      </c>
      <c r="E79" s="46" t="n">
        <v>180</v>
      </c>
      <c r="F79" s="46" t="n">
        <v>234</v>
      </c>
      <c r="G79" s="48" t="n">
        <v>5380.25</v>
      </c>
      <c r="H79" s="48" t="n">
        <v>7087.75</v>
      </c>
      <c r="I79" s="48" t="n">
        <v>1500.3</v>
      </c>
      <c r="J79" s="48" t="n">
        <v>2021.31</v>
      </c>
    </row>
    <row r="80">
      <c r="A80" s="50" t="inlineStr">
        <is>
          <t>Anthony Palmisano</t>
        </is>
      </c>
      <c r="B80" s="50" t="inlineStr">
        <is>
          <t>Amplify</t>
        </is>
      </c>
      <c r="C80" s="50" t="inlineStr">
        <is>
          <t>Bell's</t>
        </is>
      </c>
      <c r="D80" s="50" t="inlineStr">
        <is>
          <t>Bell's</t>
        </is>
      </c>
      <c r="E80" s="46" t="n">
        <v>43</v>
      </c>
      <c r="F80" s="46" t="n">
        <v>22</v>
      </c>
      <c r="G80" s="48" t="n">
        <v>1393.8</v>
      </c>
      <c r="H80" s="48" t="n">
        <v>715.8</v>
      </c>
      <c r="I80" s="48" t="n">
        <v>419.24</v>
      </c>
      <c r="J80" s="48" t="n">
        <v>214.64</v>
      </c>
    </row>
    <row r="81">
      <c r="A81" s="50" t="inlineStr">
        <is>
          <t>Anthony Palmisano</t>
        </is>
      </c>
      <c r="B81" s="50" t="inlineStr">
        <is>
          <t>Amplify</t>
        </is>
      </c>
      <c r="C81" s="50" t="inlineStr">
        <is>
          <t>New Belgium Brewing Company</t>
        </is>
      </c>
      <c r="D81" s="50" t="inlineStr">
        <is>
          <t>Fat Tire Family</t>
        </is>
      </c>
      <c r="E81" s="46" t="n">
        <v>126</v>
      </c>
      <c r="F81" s="46" t="n">
        <v>148</v>
      </c>
      <c r="G81" s="48" t="n">
        <v>4210</v>
      </c>
      <c r="H81" s="48" t="n">
        <v>4607.25</v>
      </c>
      <c r="I81" s="48" t="n">
        <v>927.97</v>
      </c>
      <c r="J81" s="48" t="n">
        <v>984.65</v>
      </c>
    </row>
    <row r="82">
      <c r="A82" s="50" t="inlineStr">
        <is>
          <t>Anthony Palmisano</t>
        </is>
      </c>
      <c r="B82" s="50" t="inlineStr">
        <is>
          <t>Amplify</t>
        </is>
      </c>
      <c r="C82" s="50" t="inlineStr">
        <is>
          <t>New Belgium Brewing Company</t>
        </is>
      </c>
      <c r="D82" s="50" t="inlineStr">
        <is>
          <t>Kirin Ichiban</t>
        </is>
      </c>
      <c r="E82" s="46" t="n">
        <v>0</v>
      </c>
      <c r="F82" s="46" t="n">
        <v>13</v>
      </c>
      <c r="G82" s="48" t="n">
        <v>0</v>
      </c>
      <c r="H82" s="48" t="n">
        <v>427.5</v>
      </c>
      <c r="I82" s="48" t="n">
        <v>0</v>
      </c>
      <c r="J82" s="48" t="n">
        <v>113.16</v>
      </c>
    </row>
    <row r="83">
      <c r="A83" s="50" t="inlineStr">
        <is>
          <t>Anthony Palmisano</t>
        </is>
      </c>
      <c r="B83" s="50" t="inlineStr">
        <is>
          <t>Amplify</t>
        </is>
      </c>
      <c r="C83" s="50" t="inlineStr">
        <is>
          <t>New Belgium Brewing Company</t>
        </is>
      </c>
      <c r="D83" s="50" t="inlineStr">
        <is>
          <t>Voodoo Family</t>
        </is>
      </c>
      <c r="E83" s="46" t="n">
        <v>1269</v>
      </c>
      <c r="F83" s="46" t="n">
        <v>1575</v>
      </c>
      <c r="G83" s="48" t="n">
        <v>45426.65</v>
      </c>
      <c r="H83" s="48" t="n">
        <v>56031.55</v>
      </c>
      <c r="I83" s="48" t="n">
        <v>10971.35</v>
      </c>
      <c r="J83" s="48" t="n">
        <v>13602.77</v>
      </c>
    </row>
    <row r="84">
      <c r="A84" s="50" t="inlineStr">
        <is>
          <t>Anthony Palmisano</t>
        </is>
      </c>
      <c r="B84" s="50" t="inlineStr">
        <is>
          <t>Amplify</t>
        </is>
      </c>
      <c r="C84" s="50" t="inlineStr">
        <is>
          <t>DG Yuengling Inc</t>
        </is>
      </c>
      <c r="D84" s="50" t="inlineStr">
        <is>
          <t>Yuengling Flight</t>
        </is>
      </c>
      <c r="E84" s="46" t="n">
        <v>165</v>
      </c>
      <c r="F84" s="46" t="n">
        <v>184</v>
      </c>
      <c r="G84" s="48" t="n">
        <v>4217.8</v>
      </c>
      <c r="H84" s="48" t="n">
        <v>4624.5</v>
      </c>
      <c r="I84" s="48" t="n">
        <v>1294.55</v>
      </c>
      <c r="J84" s="48" t="n">
        <v>1423.65</v>
      </c>
    </row>
    <row r="85">
      <c r="A85" s="50" t="inlineStr">
        <is>
          <t>Anthony Palmisano</t>
        </is>
      </c>
      <c r="B85" s="50" t="inlineStr">
        <is>
          <t>Amplify</t>
        </is>
      </c>
      <c r="C85" s="50" t="inlineStr">
        <is>
          <t>DG Yuengling Inc</t>
        </is>
      </c>
      <c r="D85" s="50" t="inlineStr">
        <is>
          <t>Yuengling Light Lager</t>
        </is>
      </c>
      <c r="E85" s="46" t="n">
        <v>266</v>
      </c>
      <c r="F85" s="46" t="n">
        <v>235</v>
      </c>
      <c r="G85" s="48" t="n">
        <v>6552.6</v>
      </c>
      <c r="H85" s="48" t="n">
        <v>5516.3</v>
      </c>
      <c r="I85" s="48" t="n">
        <v>1937.76</v>
      </c>
      <c r="J85" s="48" t="n">
        <v>1507.69</v>
      </c>
    </row>
    <row r="86">
      <c r="A86" s="50" t="inlineStr">
        <is>
          <t>Anthony Palmisano</t>
        </is>
      </c>
      <c r="B86" s="50" t="inlineStr">
        <is>
          <t>Qualifier</t>
        </is>
      </c>
      <c r="C86" s="50" t="inlineStr">
        <is>
          <t>MolsonCoors Beverage Company</t>
        </is>
      </c>
      <c r="D86" s="50" t="inlineStr">
        <is>
          <t>Blue Moon</t>
        </is>
      </c>
      <c r="E86" s="46" t="n">
        <v>2630</v>
      </c>
      <c r="F86" s="46" t="n">
        <v>2484</v>
      </c>
      <c r="G86" s="48" t="n">
        <v>84439.89999999999</v>
      </c>
      <c r="H86" s="48" t="n">
        <v>81603.14999999999</v>
      </c>
      <c r="I86" s="48" t="n">
        <v>22893.31</v>
      </c>
      <c r="J86" s="48" t="n">
        <v>23017.98</v>
      </c>
    </row>
    <row r="87">
      <c r="A87" s="50" t="inlineStr">
        <is>
          <t>Anthony Palmisano</t>
        </is>
      </c>
      <c r="B87" s="50" t="inlineStr">
        <is>
          <t>Qualifier</t>
        </is>
      </c>
      <c r="C87" s="50" t="inlineStr">
        <is>
          <t>MolsonCoors Beverage Company</t>
        </is>
      </c>
      <c r="D87" s="50" t="inlineStr">
        <is>
          <t>Coors Light</t>
        </is>
      </c>
      <c r="E87" s="46" t="n">
        <v>13622</v>
      </c>
      <c r="F87" s="46" t="n">
        <v>13702</v>
      </c>
      <c r="G87" s="48" t="n">
        <v>299240.55</v>
      </c>
      <c r="H87" s="48" t="n">
        <v>303075.85</v>
      </c>
      <c r="I87" s="48" t="n">
        <v>81903.34</v>
      </c>
      <c r="J87" s="48" t="n">
        <v>82400.95</v>
      </c>
    </row>
    <row r="88">
      <c r="A88" s="50" t="inlineStr">
        <is>
          <t>Anthony Palmisano</t>
        </is>
      </c>
      <c r="B88" s="50" t="inlineStr">
        <is>
          <t>Qualifier</t>
        </is>
      </c>
      <c r="C88" s="50" t="inlineStr">
        <is>
          <t>MolsonCoors Beverage Company</t>
        </is>
      </c>
      <c r="D88" s="50" t="inlineStr">
        <is>
          <t>Lite</t>
        </is>
      </c>
      <c r="E88" s="46" t="n">
        <v>19848</v>
      </c>
      <c r="F88" s="46" t="n">
        <v>20207</v>
      </c>
      <c r="G88" s="48" t="n">
        <v>430748.05</v>
      </c>
      <c r="H88" s="48" t="n">
        <v>439261.7</v>
      </c>
      <c r="I88" s="48" t="n">
        <v>103777.6</v>
      </c>
      <c r="J88" s="48" t="n">
        <v>104448.21</v>
      </c>
    </row>
    <row r="89">
      <c r="A89" s="50" t="inlineStr">
        <is>
          <t>Anthony Palmisano</t>
        </is>
      </c>
      <c r="B89" s="50" t="inlineStr">
        <is>
          <t>Qualifier</t>
        </is>
      </c>
      <c r="C89" s="50" t="inlineStr">
        <is>
          <t>Heineken USA</t>
        </is>
      </c>
      <c r="D89" s="50" t="inlineStr">
        <is>
          <t>Heineken USA</t>
        </is>
      </c>
      <c r="E89" s="46" t="n">
        <v>3794</v>
      </c>
      <c r="F89" s="46" t="n">
        <v>2984</v>
      </c>
      <c r="G89" s="48" t="n">
        <v>119922.3</v>
      </c>
      <c r="H89" s="48" t="n">
        <v>94310.10000000001</v>
      </c>
      <c r="I89" s="48" t="n">
        <v>30125.74</v>
      </c>
      <c r="J89" s="48" t="n">
        <v>24072.23</v>
      </c>
    </row>
    <row r="90">
      <c r="A90" s="50" t="inlineStr">
        <is>
          <t>Anthony Palmisano</t>
        </is>
      </c>
      <c r="B90" s="50" t="inlineStr">
        <is>
          <t>Qualifier</t>
        </is>
      </c>
      <c r="C90" s="50" t="inlineStr">
        <is>
          <t>Constellation Brands</t>
        </is>
      </c>
      <c r="D90" s="50" t="inlineStr">
        <is>
          <t>Corona Extra</t>
        </is>
      </c>
      <c r="E90" s="46" t="n">
        <v>7613</v>
      </c>
      <c r="F90" s="46" t="n">
        <v>7687</v>
      </c>
      <c r="G90" s="48" t="n">
        <v>244599.3</v>
      </c>
      <c r="H90" s="48" t="n">
        <v>249453.35</v>
      </c>
      <c r="I90" s="48" t="n">
        <v>61099.15</v>
      </c>
      <c r="J90" s="48" t="n">
        <v>62974.98</v>
      </c>
    </row>
    <row r="91">
      <c r="A91" s="50" t="inlineStr">
        <is>
          <t>Anthony Palmisano</t>
        </is>
      </c>
      <c r="B91" s="50" t="inlineStr">
        <is>
          <t>Qualifier</t>
        </is>
      </c>
      <c r="C91" s="50" t="inlineStr">
        <is>
          <t>Constellation Brands</t>
        </is>
      </c>
      <c r="D91" s="50" t="inlineStr">
        <is>
          <t>Modelo Especial</t>
        </is>
      </c>
      <c r="E91" s="46" t="n">
        <v>9769</v>
      </c>
      <c r="F91" s="46" t="n">
        <v>11355</v>
      </c>
      <c r="G91" s="48" t="n">
        <v>294616</v>
      </c>
      <c r="H91" s="48" t="n">
        <v>342682.7</v>
      </c>
      <c r="I91" s="48" t="n">
        <v>67983.16</v>
      </c>
      <c r="J91" s="48" t="n">
        <v>78593.11</v>
      </c>
    </row>
    <row r="92">
      <c r="A92" s="50" t="inlineStr">
        <is>
          <t>Anthony Palmisano</t>
        </is>
      </c>
      <c r="B92" s="50" t="inlineStr">
        <is>
          <t>Qualifier</t>
        </is>
      </c>
      <c r="C92" s="50" t="inlineStr">
        <is>
          <t>Boston Beer Company</t>
        </is>
      </c>
      <c r="D92" s="50" t="inlineStr">
        <is>
          <t>Truly</t>
        </is>
      </c>
      <c r="E92" s="46" t="n">
        <v>770</v>
      </c>
      <c r="F92" s="46" t="n">
        <v>478</v>
      </c>
      <c r="G92" s="48" t="n">
        <v>22691</v>
      </c>
      <c r="H92" s="48" t="n">
        <v>14091.9</v>
      </c>
      <c r="I92" s="48" t="n">
        <v>5216.31</v>
      </c>
      <c r="J92" s="48" t="n">
        <v>3236.84</v>
      </c>
    </row>
    <row r="93">
      <c r="A93" s="50" t="inlineStr">
        <is>
          <t>Anthony Palmisano</t>
        </is>
      </c>
      <c r="B93" s="50" t="inlineStr">
        <is>
          <t>Qualifier</t>
        </is>
      </c>
      <c r="C93" s="50" t="inlineStr">
        <is>
          <t>Boston Beer Company</t>
        </is>
      </c>
      <c r="D93" s="50" t="inlineStr">
        <is>
          <t>Twisted Tea</t>
        </is>
      </c>
      <c r="E93" s="46" t="n">
        <v>4961</v>
      </c>
      <c r="F93" s="46" t="n">
        <v>4064</v>
      </c>
      <c r="G93" s="48" t="n">
        <v>147383.75</v>
      </c>
      <c r="H93" s="48" t="n">
        <v>122484.75</v>
      </c>
      <c r="I93" s="48" t="n">
        <v>37628.63</v>
      </c>
      <c r="J93" s="48" t="n">
        <v>31265.03</v>
      </c>
    </row>
    <row r="94">
      <c r="A94" s="50" t="inlineStr">
        <is>
          <t>Anthony Palmisano</t>
        </is>
      </c>
      <c r="B94" s="50" t="inlineStr">
        <is>
          <t>Qualifier</t>
        </is>
      </c>
      <c r="C94" s="50" t="inlineStr">
        <is>
          <t>Mark Anthony</t>
        </is>
      </c>
      <c r="D94" s="50" t="inlineStr">
        <is>
          <t>White Claw</t>
        </is>
      </c>
      <c r="E94" s="46" t="n">
        <v>11755</v>
      </c>
      <c r="F94" s="46" t="n">
        <v>9403</v>
      </c>
      <c r="G94" s="48" t="n">
        <v>367115.6</v>
      </c>
      <c r="H94" s="48" t="n">
        <v>302972.1</v>
      </c>
      <c r="I94" s="48" t="n">
        <v>75249.88</v>
      </c>
      <c r="J94" s="48" t="n">
        <v>63540.3</v>
      </c>
    </row>
    <row r="95">
      <c r="A95" s="50" t="inlineStr">
        <is>
          <t>Anthony Palmisano</t>
        </is>
      </c>
      <c r="B95" s="50" t="inlineStr">
        <is>
          <t>Qualifier</t>
        </is>
      </c>
      <c r="C95" s="50" t="inlineStr">
        <is>
          <t>DG Yuengling Inc</t>
        </is>
      </c>
      <c r="D95" s="50" t="inlineStr">
        <is>
          <t>Yuengling Lager</t>
        </is>
      </c>
      <c r="E95" s="46" t="n">
        <v>5921</v>
      </c>
      <c r="F95" s="46" t="n">
        <v>5600</v>
      </c>
      <c r="G95" s="48" t="n">
        <v>127235.2</v>
      </c>
      <c r="H95" s="48" t="n">
        <v>121857.1</v>
      </c>
      <c r="I95" s="48" t="n">
        <v>36442.03</v>
      </c>
      <c r="J95" s="48" t="n">
        <v>35124.3</v>
      </c>
    </row>
    <row r="96">
      <c r="A96" s="50" t="inlineStr">
        <is>
          <t>Brian Sengebush</t>
        </is>
      </c>
      <c r="B96" s="50" t="inlineStr">
        <is>
          <t>Amplify</t>
        </is>
      </c>
      <c r="C96" s="50" t="inlineStr">
        <is>
          <t>Cape May</t>
        </is>
      </c>
      <c r="D96" s="50" t="inlineStr">
        <is>
          <t>Cape May</t>
        </is>
      </c>
      <c r="E96" s="46" t="n">
        <v>338</v>
      </c>
      <c r="F96" s="46" t="n">
        <v>388</v>
      </c>
      <c r="G96" s="48" t="n">
        <v>13264.46</v>
      </c>
      <c r="H96" s="48" t="n">
        <v>14501.56</v>
      </c>
      <c r="I96" s="48" t="n">
        <v>3556.45</v>
      </c>
      <c r="J96" s="48" t="n">
        <v>3949.27</v>
      </c>
    </row>
    <row r="97">
      <c r="A97" s="50" t="inlineStr">
        <is>
          <t>Brian Sengebush</t>
        </is>
      </c>
      <c r="B97" s="50" t="inlineStr">
        <is>
          <t>Amplify</t>
        </is>
      </c>
      <c r="C97" s="50" t="inlineStr">
        <is>
          <t>Mark Anthony</t>
        </is>
      </c>
      <c r="D97" s="50" t="inlineStr">
        <is>
          <t>Cayman Jack</t>
        </is>
      </c>
      <c r="E97" s="46" t="n">
        <v>12</v>
      </c>
      <c r="F97" s="46" t="n">
        <v>16</v>
      </c>
      <c r="G97" s="48" t="n">
        <v>417.75</v>
      </c>
      <c r="H97" s="48" t="n">
        <v>540.98</v>
      </c>
      <c r="I97" s="48" t="n">
        <v>112.78</v>
      </c>
      <c r="J97" s="48" t="n">
        <v>142.13</v>
      </c>
    </row>
    <row r="98">
      <c r="A98" s="50" t="inlineStr">
        <is>
          <t>Brian Sengebush</t>
        </is>
      </c>
      <c r="B98" s="50" t="inlineStr">
        <is>
          <t>Amplify</t>
        </is>
      </c>
      <c r="C98" s="50" t="inlineStr">
        <is>
          <t>Mark Anthony</t>
        </is>
      </c>
      <c r="D98" s="50" t="inlineStr">
        <is>
          <t>Mike's Harder</t>
        </is>
      </c>
      <c r="E98" s="46" t="n">
        <v>18</v>
      </c>
      <c r="F98" s="46" t="n">
        <v>6</v>
      </c>
      <c r="G98" s="48" t="n">
        <v>486</v>
      </c>
      <c r="H98" s="48" t="n">
        <v>174</v>
      </c>
      <c r="I98" s="48" t="n">
        <v>105.22</v>
      </c>
      <c r="J98" s="48" t="n">
        <v>38.32</v>
      </c>
    </row>
    <row r="99">
      <c r="A99" s="50" t="inlineStr">
        <is>
          <t>Brian Sengebush</t>
        </is>
      </c>
      <c r="B99" s="50" t="inlineStr">
        <is>
          <t>Amplify</t>
        </is>
      </c>
      <c r="C99" s="50" t="inlineStr">
        <is>
          <t>MolsonCoors Beverage Company</t>
        </is>
      </c>
      <c r="D99" s="50" t="inlineStr">
        <is>
          <t>Coors</t>
        </is>
      </c>
      <c r="E99" s="46" t="n">
        <v>505</v>
      </c>
      <c r="F99" s="46" t="n">
        <v>651</v>
      </c>
      <c r="G99" s="48" t="n">
        <v>11844.62</v>
      </c>
      <c r="H99" s="48" t="n">
        <v>15086.19</v>
      </c>
      <c r="I99" s="48" t="n">
        <v>3395.99</v>
      </c>
      <c r="J99" s="48" t="n">
        <v>4260.5</v>
      </c>
    </row>
    <row r="100">
      <c r="A100" s="50" t="inlineStr">
        <is>
          <t>Brian Sengebush</t>
        </is>
      </c>
      <c r="B100" s="50" t="inlineStr">
        <is>
          <t>Amplify</t>
        </is>
      </c>
      <c r="C100" s="50" t="inlineStr">
        <is>
          <t>MolsonCoors Beverage Company</t>
        </is>
      </c>
      <c r="D100" s="50" t="inlineStr">
        <is>
          <t>Fever Tree</t>
        </is>
      </c>
      <c r="E100" s="46" t="n">
        <v>0</v>
      </c>
      <c r="F100" s="46" t="n">
        <v>82</v>
      </c>
      <c r="G100" s="48" t="n">
        <v>0</v>
      </c>
      <c r="H100" s="48" t="n">
        <v>3703.2</v>
      </c>
      <c r="I100" s="48" t="n">
        <v>0</v>
      </c>
      <c r="J100" s="48" t="n">
        <v>1191.8</v>
      </c>
    </row>
    <row r="101">
      <c r="A101" s="50" t="inlineStr">
        <is>
          <t>Brian Sengebush</t>
        </is>
      </c>
      <c r="B101" s="50" t="inlineStr">
        <is>
          <t>Amplify</t>
        </is>
      </c>
      <c r="C101" s="50" t="inlineStr">
        <is>
          <t>MolsonCoors Beverage Company</t>
        </is>
      </c>
      <c r="D101" s="50" t="inlineStr">
        <is>
          <t>Peroni</t>
        </is>
      </c>
      <c r="E101" s="46" t="n">
        <v>166</v>
      </c>
      <c r="F101" s="46" t="n">
        <v>151</v>
      </c>
      <c r="G101" s="48" t="n">
        <v>5841.85</v>
      </c>
      <c r="H101" s="48" t="n">
        <v>5474.05</v>
      </c>
      <c r="I101" s="48" t="n">
        <v>1383.19</v>
      </c>
      <c r="J101" s="48" t="n">
        <v>1248.71</v>
      </c>
    </row>
    <row r="102">
      <c r="A102" s="50" t="inlineStr">
        <is>
          <t>Brian Sengebush</t>
        </is>
      </c>
      <c r="B102" s="50" t="inlineStr">
        <is>
          <t>Amplify</t>
        </is>
      </c>
      <c r="C102" s="50" t="inlineStr">
        <is>
          <t>Boston Beer Company</t>
        </is>
      </c>
      <c r="D102" s="50" t="inlineStr">
        <is>
          <t>Dogfish Head Beer</t>
        </is>
      </c>
      <c r="E102" s="46" t="n">
        <v>361</v>
      </c>
      <c r="F102" s="46" t="n">
        <v>526</v>
      </c>
      <c r="G102" s="48" t="n">
        <v>12866.09</v>
      </c>
      <c r="H102" s="48" t="n">
        <v>18582.21</v>
      </c>
      <c r="I102" s="48" t="n">
        <v>3494.06</v>
      </c>
      <c r="J102" s="48" t="n">
        <v>5077.54</v>
      </c>
    </row>
    <row r="103">
      <c r="A103" s="50" t="inlineStr">
        <is>
          <t>Brian Sengebush</t>
        </is>
      </c>
      <c r="B103" s="50" t="inlineStr">
        <is>
          <t>Amplify</t>
        </is>
      </c>
      <c r="C103" s="50" t="inlineStr">
        <is>
          <t>Constellation Brands</t>
        </is>
      </c>
      <c r="D103" s="50" t="inlineStr">
        <is>
          <t>Corona Premier</t>
        </is>
      </c>
      <c r="E103" s="46" t="n">
        <v>151</v>
      </c>
      <c r="F103" s="46" t="n">
        <v>106</v>
      </c>
      <c r="G103" s="48" t="n">
        <v>4816.53</v>
      </c>
      <c r="H103" s="48" t="n">
        <v>3031.01</v>
      </c>
      <c r="I103" s="48" t="n">
        <v>1211.7</v>
      </c>
      <c r="J103" s="48" t="n">
        <v>757.9400000000001</v>
      </c>
    </row>
    <row r="104">
      <c r="A104" s="50" t="inlineStr">
        <is>
          <t>Brian Sengebush</t>
        </is>
      </c>
      <c r="B104" s="50" t="inlineStr">
        <is>
          <t>Amplify</t>
        </is>
      </c>
      <c r="C104" s="50" t="inlineStr">
        <is>
          <t>Constellation Brands</t>
        </is>
      </c>
      <c r="D104" s="50" t="inlineStr">
        <is>
          <t>Modelo Chelada</t>
        </is>
      </c>
      <c r="E104" s="46" t="n">
        <v>32</v>
      </c>
      <c r="F104" s="46" t="n">
        <v>30</v>
      </c>
      <c r="G104" s="48" t="n">
        <v>1011</v>
      </c>
      <c r="H104" s="48" t="n">
        <v>950.15</v>
      </c>
      <c r="I104" s="48" t="n">
        <v>278.02</v>
      </c>
      <c r="J104" s="48" t="n">
        <v>266.68</v>
      </c>
    </row>
    <row r="105">
      <c r="A105" s="50" t="inlineStr">
        <is>
          <t>Brian Sengebush</t>
        </is>
      </c>
      <c r="B105" s="50" t="inlineStr">
        <is>
          <t>Amplify</t>
        </is>
      </c>
      <c r="C105" s="50" t="inlineStr">
        <is>
          <t>Constellation Brands</t>
        </is>
      </c>
      <c r="D105" s="50" t="inlineStr">
        <is>
          <t>Pacifico</t>
        </is>
      </c>
      <c r="E105" s="46" t="n">
        <v>155</v>
      </c>
      <c r="F105" s="46" t="n">
        <v>206</v>
      </c>
      <c r="G105" s="48" t="n">
        <v>4871</v>
      </c>
      <c r="H105" s="48" t="n">
        <v>6286</v>
      </c>
      <c r="I105" s="48" t="n">
        <v>1287.73</v>
      </c>
      <c r="J105" s="48" t="n">
        <v>1663.9</v>
      </c>
    </row>
    <row r="106">
      <c r="A106" s="50" t="inlineStr">
        <is>
          <t>Brian Sengebush</t>
        </is>
      </c>
      <c r="B106" s="50" t="inlineStr">
        <is>
          <t>Amplify</t>
        </is>
      </c>
      <c r="C106" s="50" t="inlineStr">
        <is>
          <t>Constellation Brands</t>
        </is>
      </c>
      <c r="D106" s="50" t="inlineStr">
        <is>
          <t>Victoria</t>
        </is>
      </c>
      <c r="E106" s="46" t="n">
        <v>24</v>
      </c>
      <c r="F106" s="46" t="n">
        <v>31</v>
      </c>
      <c r="G106" s="48" t="n">
        <v>765.35</v>
      </c>
      <c r="H106" s="48" t="n">
        <v>969.55</v>
      </c>
      <c r="I106" s="48" t="n">
        <v>190.43</v>
      </c>
      <c r="J106" s="48" t="n">
        <v>258.76</v>
      </c>
    </row>
    <row r="107">
      <c r="A107" s="50" t="inlineStr">
        <is>
          <t>Brian Sengebush</t>
        </is>
      </c>
      <c r="B107" s="50" t="inlineStr">
        <is>
          <t>Amplify</t>
        </is>
      </c>
      <c r="C107" s="50" t="inlineStr">
        <is>
          <t>Sapporo</t>
        </is>
      </c>
      <c r="D107" s="50" t="inlineStr">
        <is>
          <t>Sapporo</t>
        </is>
      </c>
      <c r="E107" s="46" t="n">
        <v>28</v>
      </c>
      <c r="F107" s="46" t="n">
        <v>28</v>
      </c>
      <c r="G107" s="48" t="n">
        <v>650</v>
      </c>
      <c r="H107" s="48" t="n">
        <v>648</v>
      </c>
      <c r="I107" s="48" t="n">
        <v>171</v>
      </c>
      <c r="J107" s="48" t="n">
        <v>169</v>
      </c>
    </row>
    <row r="108">
      <c r="A108" s="50" t="inlineStr">
        <is>
          <t>Brian Sengebush</t>
        </is>
      </c>
      <c r="B108" s="50" t="inlineStr">
        <is>
          <t>Amplify</t>
        </is>
      </c>
      <c r="C108" s="50" t="inlineStr">
        <is>
          <t>New Belgium Brewing Company</t>
        </is>
      </c>
      <c r="D108" s="50" t="inlineStr">
        <is>
          <t>Fat Tire Family</t>
        </is>
      </c>
      <c r="E108" s="46" t="n">
        <v>162</v>
      </c>
      <c r="F108" s="46" t="n">
        <v>121</v>
      </c>
      <c r="G108" s="48" t="n">
        <v>5881.6</v>
      </c>
      <c r="H108" s="48" t="n">
        <v>4211.5</v>
      </c>
      <c r="I108" s="48" t="n">
        <v>1455.35</v>
      </c>
      <c r="J108" s="48" t="n">
        <v>944.89</v>
      </c>
    </row>
    <row r="109">
      <c r="A109" s="50" t="inlineStr">
        <is>
          <t>Brian Sengebush</t>
        </is>
      </c>
      <c r="B109" s="50" t="inlineStr">
        <is>
          <t>Amplify</t>
        </is>
      </c>
      <c r="C109" s="50" t="inlineStr">
        <is>
          <t>New Belgium Brewing Company</t>
        </is>
      </c>
      <c r="D109" s="50" t="inlineStr">
        <is>
          <t>Kirin Ichiban</t>
        </is>
      </c>
      <c r="E109" s="46" t="n">
        <v>2</v>
      </c>
      <c r="F109" s="46" t="n">
        <v>0</v>
      </c>
      <c r="G109" s="48" t="n">
        <v>71.73</v>
      </c>
      <c r="H109" s="48" t="n">
        <v>0</v>
      </c>
      <c r="I109" s="48" t="n">
        <v>22.73</v>
      </c>
      <c r="J109" s="48" t="n">
        <v>0</v>
      </c>
    </row>
    <row r="110">
      <c r="A110" s="50" t="inlineStr">
        <is>
          <t>Brian Sengebush</t>
        </is>
      </c>
      <c r="B110" s="50" t="inlineStr">
        <is>
          <t>Amplify</t>
        </is>
      </c>
      <c r="C110" s="50" t="inlineStr">
        <is>
          <t>New Belgium Brewing Company</t>
        </is>
      </c>
      <c r="D110" s="50" t="inlineStr">
        <is>
          <t>Voodoo Family</t>
        </is>
      </c>
      <c r="E110" s="46" t="n">
        <v>356</v>
      </c>
      <c r="F110" s="46" t="n">
        <v>305</v>
      </c>
      <c r="G110" s="48" t="n">
        <v>13318.81</v>
      </c>
      <c r="H110" s="48" t="n">
        <v>11596.77</v>
      </c>
      <c r="I110" s="48" t="n">
        <v>3484.32</v>
      </c>
      <c r="J110" s="48" t="n">
        <v>3110.61</v>
      </c>
    </row>
    <row r="111">
      <c r="A111" s="50" t="inlineStr">
        <is>
          <t>Brian Sengebush</t>
        </is>
      </c>
      <c r="B111" s="50" t="inlineStr">
        <is>
          <t>Amplify</t>
        </is>
      </c>
      <c r="C111" s="50" t="inlineStr">
        <is>
          <t>DG Yuengling Inc</t>
        </is>
      </c>
      <c r="D111" s="50" t="inlineStr">
        <is>
          <t>Yuengling Flight</t>
        </is>
      </c>
      <c r="E111" s="46" t="n">
        <v>70</v>
      </c>
      <c r="F111" s="46" t="n">
        <v>75</v>
      </c>
      <c r="G111" s="48" t="n">
        <v>1651.35</v>
      </c>
      <c r="H111" s="48" t="n">
        <v>1876.71</v>
      </c>
      <c r="I111" s="48" t="n">
        <v>491.11</v>
      </c>
      <c r="J111" s="48" t="n">
        <v>570.34</v>
      </c>
    </row>
    <row r="112">
      <c r="A112" s="50" t="inlineStr">
        <is>
          <t>Brian Sengebush</t>
        </is>
      </c>
      <c r="B112" s="50" t="inlineStr">
        <is>
          <t>Amplify</t>
        </is>
      </c>
      <c r="C112" s="50" t="inlineStr">
        <is>
          <t>DG Yuengling Inc</t>
        </is>
      </c>
      <c r="D112" s="50" t="inlineStr">
        <is>
          <t>Yuengling Light Lager</t>
        </is>
      </c>
      <c r="E112" s="46" t="n">
        <v>68</v>
      </c>
      <c r="F112" s="46" t="n">
        <v>78</v>
      </c>
      <c r="G112" s="48" t="n">
        <v>1509.06</v>
      </c>
      <c r="H112" s="48" t="n">
        <v>1791.83</v>
      </c>
      <c r="I112" s="48" t="n">
        <v>383.57</v>
      </c>
      <c r="J112" s="48" t="n">
        <v>471.18</v>
      </c>
    </row>
    <row r="113">
      <c r="A113" s="50" t="inlineStr">
        <is>
          <t>Brian Sengebush</t>
        </is>
      </c>
      <c r="B113" s="50" t="inlineStr">
        <is>
          <t>Qualifier</t>
        </is>
      </c>
      <c r="C113" s="50" t="inlineStr">
        <is>
          <t>MolsonCoors Beverage Company</t>
        </is>
      </c>
      <c r="D113" s="50" t="inlineStr">
        <is>
          <t>Blue Moon</t>
        </is>
      </c>
      <c r="E113" s="46" t="n">
        <v>2460</v>
      </c>
      <c r="F113" s="46" t="n">
        <v>2304</v>
      </c>
      <c r="G113" s="48" t="n">
        <v>80419.82000000001</v>
      </c>
      <c r="H113" s="48" t="n">
        <v>74987.05</v>
      </c>
      <c r="I113" s="48" t="n">
        <v>26544.5</v>
      </c>
      <c r="J113" s="48" t="n">
        <v>25116.28</v>
      </c>
    </row>
    <row r="114">
      <c r="A114" s="50" t="inlineStr">
        <is>
          <t>Brian Sengebush</t>
        </is>
      </c>
      <c r="B114" s="50" t="inlineStr">
        <is>
          <t>Qualifier</t>
        </is>
      </c>
      <c r="C114" s="50" t="inlineStr">
        <is>
          <t>MolsonCoors Beverage Company</t>
        </is>
      </c>
      <c r="D114" s="50" t="inlineStr">
        <is>
          <t>Coors Light</t>
        </is>
      </c>
      <c r="E114" s="46" t="n">
        <v>7145</v>
      </c>
      <c r="F114" s="46" t="n">
        <v>6718</v>
      </c>
      <c r="G114" s="48" t="n">
        <v>151270.62</v>
      </c>
      <c r="H114" s="48" t="n">
        <v>146386.26</v>
      </c>
      <c r="I114" s="48" t="n">
        <v>39233.46</v>
      </c>
      <c r="J114" s="48" t="n">
        <v>39920.98</v>
      </c>
    </row>
    <row r="115">
      <c r="A115" s="50" t="inlineStr">
        <is>
          <t>Brian Sengebush</t>
        </is>
      </c>
      <c r="B115" s="50" t="inlineStr">
        <is>
          <t>Qualifier</t>
        </is>
      </c>
      <c r="C115" s="50" t="inlineStr">
        <is>
          <t>MolsonCoors Beverage Company</t>
        </is>
      </c>
      <c r="D115" s="50" t="inlineStr">
        <is>
          <t>Lite</t>
        </is>
      </c>
      <c r="E115" s="46" t="n">
        <v>12775</v>
      </c>
      <c r="F115" s="46" t="n">
        <v>12582</v>
      </c>
      <c r="G115" s="48" t="n">
        <v>263508.08</v>
      </c>
      <c r="H115" s="48" t="n">
        <v>267744.73</v>
      </c>
      <c r="I115" s="48" t="n">
        <v>58125.71</v>
      </c>
      <c r="J115" s="48" t="n">
        <v>62413.33</v>
      </c>
    </row>
    <row r="116">
      <c r="A116" s="50" t="inlineStr">
        <is>
          <t>Brian Sengebush</t>
        </is>
      </c>
      <c r="B116" s="50" t="inlineStr">
        <is>
          <t>Qualifier</t>
        </is>
      </c>
      <c r="C116" s="50" t="inlineStr">
        <is>
          <t>Constellation Brands</t>
        </is>
      </c>
      <c r="D116" s="50" t="inlineStr">
        <is>
          <t>Corona Extra</t>
        </is>
      </c>
      <c r="E116" s="46" t="n">
        <v>4201</v>
      </c>
      <c r="F116" s="46" t="n">
        <v>4169</v>
      </c>
      <c r="G116" s="48" t="n">
        <v>141350.59</v>
      </c>
      <c r="H116" s="48" t="n">
        <v>140517.79</v>
      </c>
      <c r="I116" s="48" t="n">
        <v>39879.06</v>
      </c>
      <c r="J116" s="48" t="n">
        <v>39641.87</v>
      </c>
    </row>
    <row r="117">
      <c r="A117" s="50" t="inlineStr">
        <is>
          <t>Brian Sengebush</t>
        </is>
      </c>
      <c r="B117" s="50" t="inlineStr">
        <is>
          <t>Qualifier</t>
        </is>
      </c>
      <c r="C117" s="50" t="inlineStr">
        <is>
          <t>Constellation Brands</t>
        </is>
      </c>
      <c r="D117" s="50" t="inlineStr">
        <is>
          <t>Modelo Especial</t>
        </is>
      </c>
      <c r="E117" s="46" t="n">
        <v>1834</v>
      </c>
      <c r="F117" s="46" t="n">
        <v>2029</v>
      </c>
      <c r="G117" s="48" t="n">
        <v>56511.48</v>
      </c>
      <c r="H117" s="48" t="n">
        <v>62570.12</v>
      </c>
      <c r="I117" s="48" t="n">
        <v>14632.08</v>
      </c>
      <c r="J117" s="48" t="n">
        <v>16035.64</v>
      </c>
    </row>
    <row r="118">
      <c r="A118" s="50" t="inlineStr">
        <is>
          <t>Brian Sengebush</t>
        </is>
      </c>
      <c r="B118" s="50" t="inlineStr">
        <is>
          <t>Qualifier</t>
        </is>
      </c>
      <c r="C118" s="50" t="inlineStr">
        <is>
          <t>Boston Beer Company</t>
        </is>
      </c>
      <c r="D118" s="50" t="inlineStr">
        <is>
          <t>Truly</t>
        </is>
      </c>
      <c r="E118" s="46" t="n">
        <v>143</v>
      </c>
      <c r="F118" s="46" t="n">
        <v>104</v>
      </c>
      <c r="G118" s="48" t="n">
        <v>4613.63</v>
      </c>
      <c r="H118" s="48" t="n">
        <v>3307.75</v>
      </c>
      <c r="I118" s="48" t="n">
        <v>1189.73</v>
      </c>
      <c r="J118" s="48" t="n">
        <v>811.5599999999999</v>
      </c>
    </row>
    <row r="119">
      <c r="A119" s="50" t="inlineStr">
        <is>
          <t>Brian Sengebush</t>
        </is>
      </c>
      <c r="B119" s="50" t="inlineStr">
        <is>
          <t>Qualifier</t>
        </is>
      </c>
      <c r="C119" s="50" t="inlineStr">
        <is>
          <t>Boston Beer Company</t>
        </is>
      </c>
      <c r="D119" s="50" t="inlineStr">
        <is>
          <t>Twisted Tea</t>
        </is>
      </c>
      <c r="E119" s="46" t="n">
        <v>1623</v>
      </c>
      <c r="F119" s="46" t="n">
        <v>1357</v>
      </c>
      <c r="G119" s="48" t="n">
        <v>50137.11</v>
      </c>
      <c r="H119" s="48" t="n">
        <v>42231.7</v>
      </c>
      <c r="I119" s="48" t="n">
        <v>14068.68</v>
      </c>
      <c r="J119" s="48" t="n">
        <v>11843.67</v>
      </c>
    </row>
    <row r="120">
      <c r="A120" s="50" t="inlineStr">
        <is>
          <t>Brian Sengebush</t>
        </is>
      </c>
      <c r="B120" s="50" t="inlineStr">
        <is>
          <t>Qualifier</t>
        </is>
      </c>
      <c r="C120" s="50" t="inlineStr">
        <is>
          <t>Mark Anthony</t>
        </is>
      </c>
      <c r="D120" s="50" t="inlineStr">
        <is>
          <t>White Claw</t>
        </is>
      </c>
      <c r="E120" s="46" t="n">
        <v>2030</v>
      </c>
      <c r="F120" s="46" t="n">
        <v>1756</v>
      </c>
      <c r="G120" s="48" t="n">
        <v>66203.67999999999</v>
      </c>
      <c r="H120" s="48" t="n">
        <v>59060.62</v>
      </c>
      <c r="I120" s="48" t="n">
        <v>16035.69</v>
      </c>
      <c r="J120" s="48" t="n">
        <v>14699.73</v>
      </c>
    </row>
    <row r="121">
      <c r="A121" s="50" t="inlineStr">
        <is>
          <t>Brian Sengebush</t>
        </is>
      </c>
      <c r="B121" s="50" t="inlineStr">
        <is>
          <t>Qualifier</t>
        </is>
      </c>
      <c r="C121" s="50" t="inlineStr">
        <is>
          <t>DG Yuengling Inc</t>
        </is>
      </c>
      <c r="D121" s="50" t="inlineStr">
        <is>
          <t>Yuengling Lager</t>
        </is>
      </c>
      <c r="E121" s="46" t="n">
        <v>7092</v>
      </c>
      <c r="F121" s="46" t="n">
        <v>6700</v>
      </c>
      <c r="G121" s="48" t="n">
        <v>145820.98</v>
      </c>
      <c r="H121" s="48" t="n">
        <v>137780.83</v>
      </c>
      <c r="I121" s="48" t="n">
        <v>42199.94</v>
      </c>
      <c r="J121" s="48" t="n">
        <v>40310.95</v>
      </c>
    </row>
    <row r="122">
      <c r="A122" s="50" t="inlineStr">
        <is>
          <t>Chris Payton</t>
        </is>
      </c>
      <c r="B122" s="50" t="inlineStr">
        <is>
          <t>Amplify</t>
        </is>
      </c>
      <c r="C122" s="50" t="inlineStr">
        <is>
          <t>Cape May</t>
        </is>
      </c>
      <c r="D122" s="50" t="inlineStr">
        <is>
          <t>Cape May</t>
        </is>
      </c>
      <c r="E122" s="46" t="n">
        <v>299</v>
      </c>
      <c r="F122" s="46" t="n">
        <v>304</v>
      </c>
      <c r="G122" s="48" t="n">
        <v>12294.4</v>
      </c>
      <c r="H122" s="48" t="n">
        <v>12201.8</v>
      </c>
      <c r="I122" s="48" t="n">
        <v>3672.27</v>
      </c>
      <c r="J122" s="48" t="n">
        <v>3622.56</v>
      </c>
    </row>
    <row r="123">
      <c r="A123" s="50" t="inlineStr">
        <is>
          <t>Chris Payton</t>
        </is>
      </c>
      <c r="B123" s="50" t="inlineStr">
        <is>
          <t>Amplify</t>
        </is>
      </c>
      <c r="C123" s="50" t="inlineStr">
        <is>
          <t>Mark Anthony</t>
        </is>
      </c>
      <c r="D123" s="50" t="inlineStr">
        <is>
          <t>Cayman Jack</t>
        </is>
      </c>
      <c r="E123" s="46" t="n">
        <v>899</v>
      </c>
      <c r="F123" s="46" t="n">
        <v>1091</v>
      </c>
      <c r="G123" s="48" t="n">
        <v>28719</v>
      </c>
      <c r="H123" s="48" t="n">
        <v>34655.25</v>
      </c>
      <c r="I123" s="48" t="n">
        <v>7013.02</v>
      </c>
      <c r="J123" s="48" t="n">
        <v>8458.92</v>
      </c>
    </row>
    <row r="124">
      <c r="A124" s="50" t="inlineStr">
        <is>
          <t>Chris Payton</t>
        </is>
      </c>
      <c r="B124" s="50" t="inlineStr">
        <is>
          <t>Amplify</t>
        </is>
      </c>
      <c r="C124" s="50" t="inlineStr">
        <is>
          <t>Mark Anthony</t>
        </is>
      </c>
      <c r="D124" s="50" t="inlineStr">
        <is>
          <t>Mike's Harder</t>
        </is>
      </c>
      <c r="E124" s="46" t="n">
        <v>332</v>
      </c>
      <c r="F124" s="46" t="n">
        <v>309</v>
      </c>
      <c r="G124" s="48" t="n">
        <v>9238.5</v>
      </c>
      <c r="H124" s="48" t="n">
        <v>9170.5</v>
      </c>
      <c r="I124" s="48" t="n">
        <v>2030.39</v>
      </c>
      <c r="J124" s="48" t="n">
        <v>2016.83</v>
      </c>
    </row>
    <row r="125">
      <c r="A125" s="50" t="inlineStr">
        <is>
          <t>Chris Payton</t>
        </is>
      </c>
      <c r="B125" s="50" t="inlineStr">
        <is>
          <t>Amplify</t>
        </is>
      </c>
      <c r="C125" s="50" t="inlineStr">
        <is>
          <t>Mark Anthony</t>
        </is>
      </c>
      <c r="D125" s="50" t="inlineStr">
        <is>
          <t>Mxd Cocktails</t>
        </is>
      </c>
      <c r="E125" s="46" t="n">
        <v>0</v>
      </c>
      <c r="F125" s="46" t="n">
        <v>34</v>
      </c>
      <c r="G125" s="48" t="n">
        <v>0</v>
      </c>
      <c r="H125" s="48" t="n">
        <v>896</v>
      </c>
      <c r="I125" s="48" t="n">
        <v>0</v>
      </c>
      <c r="J125" s="48" t="n">
        <v>166.03</v>
      </c>
    </row>
    <row r="126">
      <c r="A126" s="50" t="inlineStr">
        <is>
          <t>Chris Payton</t>
        </is>
      </c>
      <c r="B126" s="50" t="inlineStr">
        <is>
          <t>Amplify</t>
        </is>
      </c>
      <c r="C126" s="50" t="inlineStr">
        <is>
          <t>MolsonCoors Beverage Company</t>
        </is>
      </c>
      <c r="D126" s="50" t="inlineStr">
        <is>
          <t>Coors</t>
        </is>
      </c>
      <c r="E126" s="46" t="n">
        <v>1715</v>
      </c>
      <c r="F126" s="46" t="n">
        <v>1758</v>
      </c>
      <c r="G126" s="48" t="n">
        <v>33983.05</v>
      </c>
      <c r="H126" s="48" t="n">
        <v>35519.9</v>
      </c>
      <c r="I126" s="48" t="n">
        <v>7929.72</v>
      </c>
      <c r="J126" s="48" t="n">
        <v>8344.110000000001</v>
      </c>
    </row>
    <row r="127">
      <c r="A127" s="50" t="inlineStr">
        <is>
          <t>Chris Payton</t>
        </is>
      </c>
      <c r="B127" s="50" t="inlineStr">
        <is>
          <t>Amplify</t>
        </is>
      </c>
      <c r="C127" s="50" t="inlineStr">
        <is>
          <t>MolsonCoors Beverage Company</t>
        </is>
      </c>
      <c r="D127" s="50" t="inlineStr">
        <is>
          <t>Fever Tree</t>
        </is>
      </c>
      <c r="E127" s="46" t="n">
        <v>2</v>
      </c>
      <c r="F127" s="46" t="n">
        <v>127</v>
      </c>
      <c r="G127" s="48" t="n">
        <v>97.5</v>
      </c>
      <c r="H127" s="48" t="n">
        <v>5831.4</v>
      </c>
      <c r="I127" s="48" t="n">
        <v>33.76</v>
      </c>
      <c r="J127" s="48" t="n">
        <v>1969.34</v>
      </c>
    </row>
    <row r="128">
      <c r="A128" s="50" t="inlineStr">
        <is>
          <t>Chris Payton</t>
        </is>
      </c>
      <c r="B128" s="50" t="inlineStr">
        <is>
          <t>Amplify</t>
        </is>
      </c>
      <c r="C128" s="50" t="inlineStr">
        <is>
          <t>MolsonCoors Beverage Company</t>
        </is>
      </c>
      <c r="D128" s="50" t="inlineStr">
        <is>
          <t>Peroni</t>
        </is>
      </c>
      <c r="E128" s="46" t="n">
        <v>1136</v>
      </c>
      <c r="F128" s="46" t="n">
        <v>1313</v>
      </c>
      <c r="G128" s="48" t="n">
        <v>39847.95</v>
      </c>
      <c r="H128" s="48" t="n">
        <v>44547.2</v>
      </c>
      <c r="I128" s="48" t="n">
        <v>8173.61</v>
      </c>
      <c r="J128" s="48" t="n">
        <v>8759.51</v>
      </c>
    </row>
    <row r="129">
      <c r="A129" s="50" t="inlineStr">
        <is>
          <t>Chris Payton</t>
        </is>
      </c>
      <c r="B129" s="50" t="inlineStr">
        <is>
          <t>Amplify</t>
        </is>
      </c>
      <c r="C129" s="50" t="inlineStr">
        <is>
          <t>Boston Beer Company</t>
        </is>
      </c>
      <c r="D129" s="50" t="inlineStr">
        <is>
          <t>Dogfish Head Beer</t>
        </is>
      </c>
      <c r="E129" s="46" t="n">
        <v>509</v>
      </c>
      <c r="F129" s="46" t="n">
        <v>479</v>
      </c>
      <c r="G129" s="48" t="n">
        <v>18774.5</v>
      </c>
      <c r="H129" s="48" t="n">
        <v>17235.7</v>
      </c>
      <c r="I129" s="48" t="n">
        <v>5115.9</v>
      </c>
      <c r="J129" s="48" t="n">
        <v>4502.71</v>
      </c>
    </row>
    <row r="130">
      <c r="A130" s="50" t="inlineStr">
        <is>
          <t>Chris Payton</t>
        </is>
      </c>
      <c r="B130" s="50" t="inlineStr">
        <is>
          <t>Amplify</t>
        </is>
      </c>
      <c r="C130" s="50" t="inlineStr">
        <is>
          <t>Boston Beer Company</t>
        </is>
      </c>
      <c r="D130" s="50" t="inlineStr">
        <is>
          <t>Dogfish Head Spirits</t>
        </is>
      </c>
      <c r="E130" s="46" t="n">
        <v>45</v>
      </c>
      <c r="F130" s="46" t="n">
        <v>131</v>
      </c>
      <c r="G130" s="48" t="n">
        <v>2371</v>
      </c>
      <c r="H130" s="48" t="n">
        <v>5930</v>
      </c>
      <c r="I130" s="48" t="n">
        <v>1005.4</v>
      </c>
      <c r="J130" s="48" t="n">
        <v>1923.08</v>
      </c>
    </row>
    <row r="131">
      <c r="A131" s="50" t="inlineStr">
        <is>
          <t>Chris Payton</t>
        </is>
      </c>
      <c r="B131" s="50" t="inlineStr">
        <is>
          <t>Amplify</t>
        </is>
      </c>
      <c r="C131" s="50" t="inlineStr">
        <is>
          <t>Heineken USA</t>
        </is>
      </c>
      <c r="D131" s="50" t="inlineStr">
        <is>
          <t>Heineken 0.0</t>
        </is>
      </c>
      <c r="E131" s="46" t="n">
        <v>666</v>
      </c>
      <c r="F131" s="46" t="n">
        <v>729</v>
      </c>
      <c r="G131" s="48" t="n">
        <v>22414.4</v>
      </c>
      <c r="H131" s="48" t="n">
        <v>24472.55</v>
      </c>
      <c r="I131" s="48" t="n">
        <v>5937.97</v>
      </c>
      <c r="J131" s="48" t="n">
        <v>6367.1</v>
      </c>
    </row>
    <row r="132">
      <c r="A132" s="50" t="inlineStr">
        <is>
          <t>Chris Payton</t>
        </is>
      </c>
      <c r="B132" s="50" t="inlineStr">
        <is>
          <t>Amplify</t>
        </is>
      </c>
      <c r="C132" s="50" t="inlineStr">
        <is>
          <t>Heineken USA</t>
        </is>
      </c>
      <c r="D132" s="50" t="inlineStr">
        <is>
          <t>Heineken Light</t>
        </is>
      </c>
      <c r="E132" s="46" t="n">
        <v>756</v>
      </c>
      <c r="F132" s="46" t="n">
        <v>736</v>
      </c>
      <c r="G132" s="48" t="n">
        <v>23703.45</v>
      </c>
      <c r="H132" s="48" t="n">
        <v>22938.1</v>
      </c>
      <c r="I132" s="48" t="n">
        <v>5736.28</v>
      </c>
      <c r="J132" s="48" t="n">
        <v>5449.07</v>
      </c>
    </row>
    <row r="133">
      <c r="A133" s="50" t="inlineStr">
        <is>
          <t>Chris Payton</t>
        </is>
      </c>
      <c r="B133" s="50" t="inlineStr">
        <is>
          <t>Amplify</t>
        </is>
      </c>
      <c r="C133" s="50" t="inlineStr">
        <is>
          <t>Constellation Brands</t>
        </is>
      </c>
      <c r="D133" s="50" t="inlineStr">
        <is>
          <t>Corona Premier</t>
        </is>
      </c>
      <c r="E133" s="46" t="n">
        <v>798</v>
      </c>
      <c r="F133" s="46" t="n">
        <v>641</v>
      </c>
      <c r="G133" s="48" t="n">
        <v>24918.9</v>
      </c>
      <c r="H133" s="48" t="n">
        <v>17286.2</v>
      </c>
      <c r="I133" s="48" t="n">
        <v>5648.1</v>
      </c>
      <c r="J133" s="48" t="n">
        <v>3750.5</v>
      </c>
    </row>
    <row r="134">
      <c r="A134" s="50" t="inlineStr">
        <is>
          <t>Chris Payton</t>
        </is>
      </c>
      <c r="B134" s="50" t="inlineStr">
        <is>
          <t>Amplify</t>
        </is>
      </c>
      <c r="C134" s="50" t="inlineStr">
        <is>
          <t>Constellation Brands</t>
        </is>
      </c>
      <c r="D134" s="50" t="inlineStr">
        <is>
          <t>Modelo Chelada</t>
        </is>
      </c>
      <c r="E134" s="46" t="n">
        <v>1569</v>
      </c>
      <c r="F134" s="46" t="n">
        <v>1951</v>
      </c>
      <c r="G134" s="48" t="n">
        <v>48656.3</v>
      </c>
      <c r="H134" s="48" t="n">
        <v>59844.8</v>
      </c>
      <c r="I134" s="48" t="n">
        <v>12341.33</v>
      </c>
      <c r="J134" s="48" t="n">
        <v>14960.47</v>
      </c>
    </row>
    <row r="135">
      <c r="A135" s="50" t="inlineStr">
        <is>
          <t>Chris Payton</t>
        </is>
      </c>
      <c r="B135" s="50" t="inlineStr">
        <is>
          <t>Amplify</t>
        </is>
      </c>
      <c r="C135" s="50" t="inlineStr">
        <is>
          <t>Constellation Brands</t>
        </is>
      </c>
      <c r="D135" s="50" t="inlineStr">
        <is>
          <t>Pacifico</t>
        </is>
      </c>
      <c r="E135" s="46" t="n">
        <v>892</v>
      </c>
      <c r="F135" s="46" t="n">
        <v>1013</v>
      </c>
      <c r="G135" s="48" t="n">
        <v>27949.2</v>
      </c>
      <c r="H135" s="48" t="n">
        <v>31789.7</v>
      </c>
      <c r="I135" s="48" t="n">
        <v>6548.31</v>
      </c>
      <c r="J135" s="48" t="n">
        <v>7456.85</v>
      </c>
    </row>
    <row r="136">
      <c r="A136" s="50" t="inlineStr">
        <is>
          <t>Chris Payton</t>
        </is>
      </c>
      <c r="B136" s="50" t="inlineStr">
        <is>
          <t>Amplify</t>
        </is>
      </c>
      <c r="C136" s="50" t="inlineStr">
        <is>
          <t>Constellation Brands</t>
        </is>
      </c>
      <c r="D136" s="50" t="inlineStr">
        <is>
          <t>Victoria</t>
        </is>
      </c>
      <c r="E136" s="46" t="n">
        <v>1230</v>
      </c>
      <c r="F136" s="46" t="n">
        <v>1289</v>
      </c>
      <c r="G136" s="48" t="n">
        <v>37341.95</v>
      </c>
      <c r="H136" s="48" t="n">
        <v>39158</v>
      </c>
      <c r="I136" s="48" t="n">
        <v>8711.379999999999</v>
      </c>
      <c r="J136" s="48" t="n">
        <v>9208.629999999999</v>
      </c>
    </row>
    <row r="137">
      <c r="A137" s="50" t="inlineStr">
        <is>
          <t>Chris Payton</t>
        </is>
      </c>
      <c r="B137" s="50" t="inlineStr">
        <is>
          <t>Amplify</t>
        </is>
      </c>
      <c r="C137" s="50" t="inlineStr">
        <is>
          <t>Sapporo</t>
        </is>
      </c>
      <c r="D137" s="50" t="inlineStr">
        <is>
          <t>Sapporo</t>
        </is>
      </c>
      <c r="E137" s="46" t="n">
        <v>953</v>
      </c>
      <c r="F137" s="46" t="n">
        <v>1141</v>
      </c>
      <c r="G137" s="48" t="n">
        <v>28803</v>
      </c>
      <c r="H137" s="48" t="n">
        <v>33654.75</v>
      </c>
      <c r="I137" s="48" t="n">
        <v>7352.73</v>
      </c>
      <c r="J137" s="48" t="n">
        <v>8620.530000000001</v>
      </c>
    </row>
    <row r="138">
      <c r="A138" s="50" t="inlineStr">
        <is>
          <t>Chris Payton</t>
        </is>
      </c>
      <c r="B138" s="50" t="inlineStr">
        <is>
          <t>Amplify</t>
        </is>
      </c>
      <c r="C138" s="50" t="inlineStr">
        <is>
          <t>Bell's</t>
        </is>
      </c>
      <c r="D138" s="50" t="inlineStr">
        <is>
          <t>Bell's</t>
        </is>
      </c>
      <c r="E138" s="46" t="n">
        <v>8</v>
      </c>
      <c r="F138" s="46" t="n">
        <v>7</v>
      </c>
      <c r="G138" s="48" t="n">
        <v>275.2</v>
      </c>
      <c r="H138" s="48" t="n">
        <v>236.4</v>
      </c>
      <c r="I138" s="48" t="n">
        <v>83.76000000000001</v>
      </c>
      <c r="J138" s="48" t="n">
        <v>71.42</v>
      </c>
    </row>
    <row r="139">
      <c r="A139" s="50" t="inlineStr">
        <is>
          <t>Chris Payton</t>
        </is>
      </c>
      <c r="B139" s="50" t="inlineStr">
        <is>
          <t>Amplify</t>
        </is>
      </c>
      <c r="C139" s="50" t="inlineStr">
        <is>
          <t>New Belgium Brewing Company</t>
        </is>
      </c>
      <c r="D139" s="50" t="inlineStr">
        <is>
          <t>Fat Tire Family</t>
        </is>
      </c>
      <c r="E139" s="46" t="n">
        <v>79</v>
      </c>
      <c r="F139" s="46" t="n">
        <v>62</v>
      </c>
      <c r="G139" s="48" t="n">
        <v>2726.7</v>
      </c>
      <c r="H139" s="48" t="n">
        <v>1977.2</v>
      </c>
      <c r="I139" s="48" t="n">
        <v>634.63</v>
      </c>
      <c r="J139" s="48" t="n">
        <v>383.2</v>
      </c>
    </row>
    <row r="140">
      <c r="A140" s="50" t="inlineStr">
        <is>
          <t>Chris Payton</t>
        </is>
      </c>
      <c r="B140" s="50" t="inlineStr">
        <is>
          <t>Amplify</t>
        </is>
      </c>
      <c r="C140" s="50" t="inlineStr">
        <is>
          <t>New Belgium Brewing Company</t>
        </is>
      </c>
      <c r="D140" s="50" t="inlineStr">
        <is>
          <t>Kirin Ichiban</t>
        </is>
      </c>
      <c r="E140" s="46" t="n">
        <v>20</v>
      </c>
      <c r="F140" s="46" t="n">
        <v>22</v>
      </c>
      <c r="G140" s="48" t="n">
        <v>630</v>
      </c>
      <c r="H140" s="48" t="n">
        <v>647</v>
      </c>
      <c r="I140" s="48" t="n">
        <v>143.2</v>
      </c>
      <c r="J140" s="48" t="n">
        <v>157.6</v>
      </c>
    </row>
    <row r="141">
      <c r="A141" s="50" t="inlineStr">
        <is>
          <t>Chris Payton</t>
        </is>
      </c>
      <c r="B141" s="50" t="inlineStr">
        <is>
          <t>Amplify</t>
        </is>
      </c>
      <c r="C141" s="50" t="inlineStr">
        <is>
          <t>New Belgium Brewing Company</t>
        </is>
      </c>
      <c r="D141" s="50" t="inlineStr">
        <is>
          <t>Voodoo Family</t>
        </is>
      </c>
      <c r="E141" s="46" t="n">
        <v>1090</v>
      </c>
      <c r="F141" s="46" t="n">
        <v>1105</v>
      </c>
      <c r="G141" s="48" t="n">
        <v>39619.7</v>
      </c>
      <c r="H141" s="48" t="n">
        <v>39628.6</v>
      </c>
      <c r="I141" s="48" t="n">
        <v>10076.12</v>
      </c>
      <c r="J141" s="48" t="n">
        <v>10085.29</v>
      </c>
    </row>
    <row r="142">
      <c r="A142" s="50" t="inlineStr">
        <is>
          <t>Chris Payton</t>
        </is>
      </c>
      <c r="B142" s="50" t="inlineStr">
        <is>
          <t>Amplify</t>
        </is>
      </c>
      <c r="C142" s="50" t="inlineStr">
        <is>
          <t>DG Yuengling Inc</t>
        </is>
      </c>
      <c r="D142" s="50" t="inlineStr">
        <is>
          <t>Yuengling Flight</t>
        </is>
      </c>
      <c r="E142" s="46" t="n">
        <v>99</v>
      </c>
      <c r="F142" s="46" t="n">
        <v>115</v>
      </c>
      <c r="G142" s="48" t="n">
        <v>2199.95</v>
      </c>
      <c r="H142" s="48" t="n">
        <v>2601.1</v>
      </c>
      <c r="I142" s="48" t="n">
        <v>609.83</v>
      </c>
      <c r="J142" s="48" t="n">
        <v>730.15</v>
      </c>
    </row>
    <row r="143">
      <c r="A143" s="50" t="inlineStr">
        <is>
          <t>Chris Payton</t>
        </is>
      </c>
      <c r="B143" s="50" t="inlineStr">
        <is>
          <t>Amplify</t>
        </is>
      </c>
      <c r="C143" s="50" t="inlineStr">
        <is>
          <t>DG Yuengling Inc</t>
        </is>
      </c>
      <c r="D143" s="50" t="inlineStr">
        <is>
          <t>Yuengling Light Lager</t>
        </is>
      </c>
      <c r="E143" s="46" t="n">
        <v>27</v>
      </c>
      <c r="F143" s="46" t="n">
        <v>18</v>
      </c>
      <c r="G143" s="48" t="n">
        <v>728.2</v>
      </c>
      <c r="H143" s="48" t="n">
        <v>466</v>
      </c>
      <c r="I143" s="48" t="n">
        <v>216.31</v>
      </c>
      <c r="J143" s="48" t="n">
        <v>137.52</v>
      </c>
    </row>
    <row r="144">
      <c r="A144" s="50" t="inlineStr">
        <is>
          <t>Chris Payton</t>
        </is>
      </c>
      <c r="B144" s="50" t="inlineStr">
        <is>
          <t>Qualifier</t>
        </is>
      </c>
      <c r="C144" s="50" t="inlineStr">
        <is>
          <t>MolsonCoors Beverage Company</t>
        </is>
      </c>
      <c r="D144" s="50" t="inlineStr">
        <is>
          <t>Blue Moon</t>
        </is>
      </c>
      <c r="E144" s="46" t="n">
        <v>1730</v>
      </c>
      <c r="F144" s="46" t="n">
        <v>1605</v>
      </c>
      <c r="G144" s="48" t="n">
        <v>55662.65</v>
      </c>
      <c r="H144" s="48" t="n">
        <v>52419.1</v>
      </c>
      <c r="I144" s="48" t="n">
        <v>12762.39</v>
      </c>
      <c r="J144" s="48" t="n">
        <v>12294.54</v>
      </c>
    </row>
    <row r="145">
      <c r="A145" s="50" t="inlineStr">
        <is>
          <t>Chris Payton</t>
        </is>
      </c>
      <c r="B145" s="50" t="inlineStr">
        <is>
          <t>Qualifier</t>
        </is>
      </c>
      <c r="C145" s="50" t="inlineStr">
        <is>
          <t>MolsonCoors Beverage Company</t>
        </is>
      </c>
      <c r="D145" s="50" t="inlineStr">
        <is>
          <t>Coors Light</t>
        </is>
      </c>
      <c r="E145" s="46" t="n">
        <v>14696</v>
      </c>
      <c r="F145" s="46" t="n">
        <v>14425</v>
      </c>
      <c r="G145" s="48" t="n">
        <v>309720.95</v>
      </c>
      <c r="H145" s="48" t="n">
        <v>301797.75</v>
      </c>
      <c r="I145" s="48" t="n">
        <v>78464.42</v>
      </c>
      <c r="J145" s="48" t="n">
        <v>75420.28999999999</v>
      </c>
    </row>
    <row r="146">
      <c r="A146" s="50" t="inlineStr">
        <is>
          <t>Chris Payton</t>
        </is>
      </c>
      <c r="B146" s="50" t="inlineStr">
        <is>
          <t>Qualifier</t>
        </is>
      </c>
      <c r="C146" s="50" t="inlineStr">
        <is>
          <t>MolsonCoors Beverage Company</t>
        </is>
      </c>
      <c r="D146" s="50" t="inlineStr">
        <is>
          <t>Lite</t>
        </is>
      </c>
      <c r="E146" s="46" t="n">
        <v>6135</v>
      </c>
      <c r="F146" s="46" t="n">
        <v>6075</v>
      </c>
      <c r="G146" s="48" t="n">
        <v>136903.2</v>
      </c>
      <c r="H146" s="48" t="n">
        <v>134486.2</v>
      </c>
      <c r="I146" s="48" t="n">
        <v>34071.19</v>
      </c>
      <c r="J146" s="48" t="n">
        <v>32614.56</v>
      </c>
    </row>
    <row r="147">
      <c r="A147" s="50" t="inlineStr">
        <is>
          <t>Chris Payton</t>
        </is>
      </c>
      <c r="B147" s="50" t="inlineStr">
        <is>
          <t>Qualifier</t>
        </is>
      </c>
      <c r="C147" s="50" t="inlineStr">
        <is>
          <t>Heineken USA</t>
        </is>
      </c>
      <c r="D147" s="50" t="inlineStr">
        <is>
          <t>Heineken USA</t>
        </is>
      </c>
      <c r="E147" s="46" t="n">
        <v>10831</v>
      </c>
      <c r="F147" s="46" t="n">
        <v>10074</v>
      </c>
      <c r="G147" s="48" t="n">
        <v>338473.15</v>
      </c>
      <c r="H147" s="48" t="n">
        <v>311892.95</v>
      </c>
      <c r="I147" s="48" t="n">
        <v>82328.47</v>
      </c>
      <c r="J147" s="48" t="n">
        <v>73689.22</v>
      </c>
    </row>
    <row r="148">
      <c r="A148" s="50" t="inlineStr">
        <is>
          <t>Chris Payton</t>
        </is>
      </c>
      <c r="B148" s="50" t="inlineStr">
        <is>
          <t>Qualifier</t>
        </is>
      </c>
      <c r="C148" s="50" t="inlineStr">
        <is>
          <t>Constellation Brands</t>
        </is>
      </c>
      <c r="D148" s="50" t="inlineStr">
        <is>
          <t>Corona Extra</t>
        </is>
      </c>
      <c r="E148" s="46" t="n">
        <v>25703</v>
      </c>
      <c r="F148" s="46" t="n">
        <v>25456</v>
      </c>
      <c r="G148" s="48" t="n">
        <v>828530.3</v>
      </c>
      <c r="H148" s="48" t="n">
        <v>821323.35</v>
      </c>
      <c r="I148" s="48" t="n">
        <v>198017.36</v>
      </c>
      <c r="J148" s="48" t="n">
        <v>195984.8</v>
      </c>
    </row>
    <row r="149">
      <c r="A149" s="50" t="inlineStr">
        <is>
          <t>Chris Payton</t>
        </is>
      </c>
      <c r="B149" s="50" t="inlineStr">
        <is>
          <t>Qualifier</t>
        </is>
      </c>
      <c r="C149" s="50" t="inlineStr">
        <is>
          <t>Constellation Brands</t>
        </is>
      </c>
      <c r="D149" s="50" t="inlineStr">
        <is>
          <t>Modelo Especial</t>
        </is>
      </c>
      <c r="E149" s="46" t="n">
        <v>20713</v>
      </c>
      <c r="F149" s="46" t="n">
        <v>21304</v>
      </c>
      <c r="G149" s="48" t="n">
        <v>638641.35</v>
      </c>
      <c r="H149" s="48" t="n">
        <v>654249.6</v>
      </c>
      <c r="I149" s="48" t="n">
        <v>147453.79</v>
      </c>
      <c r="J149" s="48" t="n">
        <v>150666.67</v>
      </c>
    </row>
    <row r="150">
      <c r="A150" s="50" t="inlineStr">
        <is>
          <t>Chris Payton</t>
        </is>
      </c>
      <c r="B150" s="50" t="inlineStr">
        <is>
          <t>Qualifier</t>
        </is>
      </c>
      <c r="C150" s="50" t="inlineStr">
        <is>
          <t>Boston Beer Company</t>
        </is>
      </c>
      <c r="D150" s="50" t="inlineStr">
        <is>
          <t>Truly</t>
        </is>
      </c>
      <c r="E150" s="46" t="n">
        <v>524</v>
      </c>
      <c r="F150" s="46" t="n">
        <v>394</v>
      </c>
      <c r="G150" s="48" t="n">
        <v>15449.85</v>
      </c>
      <c r="H150" s="48" t="n">
        <v>11723.3</v>
      </c>
      <c r="I150" s="48" t="n">
        <v>3749</v>
      </c>
      <c r="J150" s="48" t="n">
        <v>2836.81</v>
      </c>
    </row>
    <row r="151">
      <c r="A151" s="50" t="inlineStr">
        <is>
          <t>Chris Payton</t>
        </is>
      </c>
      <c r="B151" s="50" t="inlineStr">
        <is>
          <t>Qualifier</t>
        </is>
      </c>
      <c r="C151" s="50" t="inlineStr">
        <is>
          <t>Boston Beer Company</t>
        </is>
      </c>
      <c r="D151" s="50" t="inlineStr">
        <is>
          <t>Twisted Tea</t>
        </is>
      </c>
      <c r="E151" s="46" t="n">
        <v>2420</v>
      </c>
      <c r="F151" s="46" t="n">
        <v>1746</v>
      </c>
      <c r="G151" s="48" t="n">
        <v>71346</v>
      </c>
      <c r="H151" s="48" t="n">
        <v>51861.25</v>
      </c>
      <c r="I151" s="48" t="n">
        <v>18882.3</v>
      </c>
      <c r="J151" s="48" t="n">
        <v>13641.88</v>
      </c>
    </row>
    <row r="152">
      <c r="A152" s="50" t="inlineStr">
        <is>
          <t>Chris Payton</t>
        </is>
      </c>
      <c r="B152" s="50" t="inlineStr">
        <is>
          <t>Qualifier</t>
        </is>
      </c>
      <c r="C152" s="50" t="inlineStr">
        <is>
          <t>Mark Anthony</t>
        </is>
      </c>
      <c r="D152" s="50" t="inlineStr">
        <is>
          <t>White Claw</t>
        </is>
      </c>
      <c r="E152" s="46" t="n">
        <v>5365</v>
      </c>
      <c r="F152" s="46" t="n">
        <v>5466</v>
      </c>
      <c r="G152" s="48" t="n">
        <v>172939.15</v>
      </c>
      <c r="H152" s="48" t="n">
        <v>180916.4</v>
      </c>
      <c r="I152" s="48" t="n">
        <v>38421.33</v>
      </c>
      <c r="J152" s="48" t="n">
        <v>39876.81</v>
      </c>
    </row>
    <row r="153">
      <c r="A153" s="50" t="inlineStr">
        <is>
          <t>Chris Payton</t>
        </is>
      </c>
      <c r="B153" s="50" t="inlineStr">
        <is>
          <t>Qualifier</t>
        </is>
      </c>
      <c r="C153" s="50" t="inlineStr">
        <is>
          <t>DG Yuengling Inc</t>
        </is>
      </c>
      <c r="D153" s="50" t="inlineStr">
        <is>
          <t>Yuengling Lager</t>
        </is>
      </c>
      <c r="E153" s="46" t="n">
        <v>2343</v>
      </c>
      <c r="F153" s="46" t="n">
        <v>2276</v>
      </c>
      <c r="G153" s="48" t="n">
        <v>50577.4</v>
      </c>
      <c r="H153" s="48" t="n">
        <v>48690.95</v>
      </c>
      <c r="I153" s="48" t="n">
        <v>13911.34</v>
      </c>
      <c r="J153" s="48" t="n">
        <v>13209.19</v>
      </c>
    </row>
    <row r="154">
      <c r="A154" s="50" t="inlineStr">
        <is>
          <t>Dan Lagala</t>
        </is>
      </c>
      <c r="B154" s="50" t="inlineStr">
        <is>
          <t>Amplify</t>
        </is>
      </c>
      <c r="C154" s="50" t="inlineStr">
        <is>
          <t>Cape May</t>
        </is>
      </c>
      <c r="D154" s="50" t="inlineStr">
        <is>
          <t>Cape May</t>
        </is>
      </c>
      <c r="E154" s="46" t="n">
        <v>116</v>
      </c>
      <c r="F154" s="46" t="n">
        <v>94</v>
      </c>
      <c r="G154" s="48" t="n">
        <v>4959.8</v>
      </c>
      <c r="H154" s="48" t="n">
        <v>3895</v>
      </c>
      <c r="I154" s="48" t="n">
        <v>1560.53</v>
      </c>
      <c r="J154" s="48" t="n">
        <v>1207.74</v>
      </c>
    </row>
    <row r="155">
      <c r="A155" s="50" t="inlineStr">
        <is>
          <t>Dan Lagala</t>
        </is>
      </c>
      <c r="B155" s="50" t="inlineStr">
        <is>
          <t>Amplify</t>
        </is>
      </c>
      <c r="C155" s="50" t="inlineStr">
        <is>
          <t>Mark Anthony</t>
        </is>
      </c>
      <c r="D155" s="50" t="inlineStr">
        <is>
          <t>Cayman Jack</t>
        </is>
      </c>
      <c r="E155" s="46" t="n">
        <v>146</v>
      </c>
      <c r="F155" s="46" t="n">
        <v>206</v>
      </c>
      <c r="G155" s="48" t="n">
        <v>4890.25</v>
      </c>
      <c r="H155" s="48" t="n">
        <v>6935.5</v>
      </c>
      <c r="I155" s="48" t="n">
        <v>1296.6</v>
      </c>
      <c r="J155" s="48" t="n">
        <v>1829.16</v>
      </c>
    </row>
    <row r="156">
      <c r="A156" s="50" t="inlineStr">
        <is>
          <t>Dan Lagala</t>
        </is>
      </c>
      <c r="B156" s="50" t="inlineStr">
        <is>
          <t>Amplify</t>
        </is>
      </c>
      <c r="C156" s="50" t="inlineStr">
        <is>
          <t>Mark Anthony</t>
        </is>
      </c>
      <c r="D156" s="50" t="inlineStr">
        <is>
          <t>Mike's Harder</t>
        </is>
      </c>
      <c r="E156" s="46" t="n">
        <v>83</v>
      </c>
      <c r="F156" s="46" t="n">
        <v>52</v>
      </c>
      <c r="G156" s="48" t="n">
        <v>2440</v>
      </c>
      <c r="H156" s="48" t="n">
        <v>1554</v>
      </c>
      <c r="I156" s="48" t="n">
        <v>618.72</v>
      </c>
      <c r="J156" s="48" t="n">
        <v>380.94</v>
      </c>
    </row>
    <row r="157">
      <c r="A157" s="50" t="inlineStr">
        <is>
          <t>Dan Lagala</t>
        </is>
      </c>
      <c r="B157" s="50" t="inlineStr">
        <is>
          <t>Amplify</t>
        </is>
      </c>
      <c r="C157" s="50" t="inlineStr">
        <is>
          <t>Mark Anthony</t>
        </is>
      </c>
      <c r="D157" s="50" t="inlineStr">
        <is>
          <t>Mxd Cocktails</t>
        </is>
      </c>
      <c r="E157" s="46" t="n">
        <v>1</v>
      </c>
      <c r="F157" s="46" t="n">
        <v>3</v>
      </c>
      <c r="G157" s="48" t="n">
        <v>32</v>
      </c>
      <c r="H157" s="48" t="n">
        <v>67.90000000000001</v>
      </c>
      <c r="I157" s="48" t="n">
        <v>6.1</v>
      </c>
      <c r="J157" s="48" t="n">
        <v>15.92</v>
      </c>
    </row>
    <row r="158">
      <c r="A158" s="50" t="inlineStr">
        <is>
          <t>Dan Lagala</t>
        </is>
      </c>
      <c r="B158" s="50" t="inlineStr">
        <is>
          <t>Amplify</t>
        </is>
      </c>
      <c r="C158" s="50" t="inlineStr">
        <is>
          <t>MolsonCoors Beverage Company</t>
        </is>
      </c>
      <c r="D158" s="50" t="inlineStr">
        <is>
          <t>Coors</t>
        </is>
      </c>
      <c r="E158" s="46" t="n">
        <v>1121</v>
      </c>
      <c r="F158" s="46" t="n">
        <v>1258</v>
      </c>
      <c r="G158" s="48" t="n">
        <v>20954.35</v>
      </c>
      <c r="H158" s="48" t="n">
        <v>24590.95</v>
      </c>
      <c r="I158" s="48" t="n">
        <v>4504.78</v>
      </c>
      <c r="J158" s="48" t="n">
        <v>5576.93</v>
      </c>
    </row>
    <row r="159">
      <c r="A159" s="50" t="inlineStr">
        <is>
          <t>Dan Lagala</t>
        </is>
      </c>
      <c r="B159" s="50" t="inlineStr">
        <is>
          <t>Amplify</t>
        </is>
      </c>
      <c r="C159" s="50" t="inlineStr">
        <is>
          <t>MolsonCoors Beverage Company</t>
        </is>
      </c>
      <c r="D159" s="50" t="inlineStr">
        <is>
          <t>Fever Tree</t>
        </is>
      </c>
      <c r="E159" s="46" t="n">
        <v>0</v>
      </c>
      <c r="F159" s="46" t="n">
        <v>115</v>
      </c>
      <c r="G159" s="48" t="n">
        <v>0</v>
      </c>
      <c r="H159" s="48" t="n">
        <v>5015.8</v>
      </c>
      <c r="I159" s="48" t="n">
        <v>0</v>
      </c>
      <c r="J159" s="48" t="n">
        <v>1469.03</v>
      </c>
    </row>
    <row r="160">
      <c r="A160" s="50" t="inlineStr">
        <is>
          <t>Dan Lagala</t>
        </is>
      </c>
      <c r="B160" s="50" t="inlineStr">
        <is>
          <t>Amplify</t>
        </is>
      </c>
      <c r="C160" s="50" t="inlineStr">
        <is>
          <t>MolsonCoors Beverage Company</t>
        </is>
      </c>
      <c r="D160" s="50" t="inlineStr">
        <is>
          <t>Peroni</t>
        </is>
      </c>
      <c r="E160" s="46" t="n">
        <v>974</v>
      </c>
      <c r="F160" s="46" t="n">
        <v>1132</v>
      </c>
      <c r="G160" s="48" t="n">
        <v>33963.7</v>
      </c>
      <c r="H160" s="48" t="n">
        <v>38586.75</v>
      </c>
      <c r="I160" s="48" t="n">
        <v>7214.94</v>
      </c>
      <c r="J160" s="48" t="n">
        <v>8338.66</v>
      </c>
    </row>
    <row r="161">
      <c r="A161" s="50" t="inlineStr">
        <is>
          <t>Dan Lagala</t>
        </is>
      </c>
      <c r="B161" s="50" t="inlineStr">
        <is>
          <t>Amplify</t>
        </is>
      </c>
      <c r="C161" s="50" t="inlineStr">
        <is>
          <t>Boston Beer Company</t>
        </is>
      </c>
      <c r="D161" s="50" t="inlineStr">
        <is>
          <t>Dogfish Head Beer</t>
        </is>
      </c>
      <c r="E161" s="46" t="n">
        <v>504</v>
      </c>
      <c r="F161" s="46" t="n">
        <v>373</v>
      </c>
      <c r="G161" s="48" t="n">
        <v>20419.9</v>
      </c>
      <c r="H161" s="48" t="n">
        <v>14811.7</v>
      </c>
      <c r="I161" s="48" t="n">
        <v>5606.33</v>
      </c>
      <c r="J161" s="48" t="n">
        <v>3919.08</v>
      </c>
    </row>
    <row r="162">
      <c r="A162" s="50" t="inlineStr">
        <is>
          <t>Dan Lagala</t>
        </is>
      </c>
      <c r="B162" s="50" t="inlineStr">
        <is>
          <t>Amplify</t>
        </is>
      </c>
      <c r="C162" s="50" t="inlineStr">
        <is>
          <t>Boston Beer Company</t>
        </is>
      </c>
      <c r="D162" s="50" t="inlineStr">
        <is>
          <t>Dogfish Head Spirits</t>
        </is>
      </c>
      <c r="E162" s="46" t="n">
        <v>5</v>
      </c>
      <c r="F162" s="46" t="n">
        <v>10</v>
      </c>
      <c r="G162" s="48" t="n">
        <v>275</v>
      </c>
      <c r="H162" s="48" t="n">
        <v>641</v>
      </c>
      <c r="I162" s="48" t="n">
        <v>127.9</v>
      </c>
      <c r="J162" s="48" t="n">
        <v>291.2</v>
      </c>
    </row>
    <row r="163">
      <c r="A163" s="50" t="inlineStr">
        <is>
          <t>Dan Lagala</t>
        </is>
      </c>
      <c r="B163" s="50" t="inlineStr">
        <is>
          <t>Amplify</t>
        </is>
      </c>
      <c r="C163" s="50" t="inlineStr">
        <is>
          <t>Heineken USA</t>
        </is>
      </c>
      <c r="D163" s="50" t="inlineStr">
        <is>
          <t>Heineken 0.0</t>
        </is>
      </c>
      <c r="E163" s="46" t="n">
        <v>495</v>
      </c>
      <c r="F163" s="46" t="n">
        <v>456</v>
      </c>
      <c r="G163" s="48" t="n">
        <v>16839.25</v>
      </c>
      <c r="H163" s="48" t="n">
        <v>15557.4</v>
      </c>
      <c r="I163" s="48" t="n">
        <v>4606.6</v>
      </c>
      <c r="J163" s="48" t="n">
        <v>4306.66</v>
      </c>
    </row>
    <row r="164">
      <c r="A164" s="50" t="inlineStr">
        <is>
          <t>Dan Lagala</t>
        </is>
      </c>
      <c r="B164" s="50" t="inlineStr">
        <is>
          <t>Amplify</t>
        </is>
      </c>
      <c r="C164" s="50" t="inlineStr">
        <is>
          <t>Heineken USA</t>
        </is>
      </c>
      <c r="D164" s="50" t="inlineStr">
        <is>
          <t>Heineken Light</t>
        </is>
      </c>
      <c r="E164" s="46" t="n">
        <v>377</v>
      </c>
      <c r="F164" s="46" t="n">
        <v>377</v>
      </c>
      <c r="G164" s="48" t="n">
        <v>11876.05</v>
      </c>
      <c r="H164" s="48" t="n">
        <v>11958.75</v>
      </c>
      <c r="I164" s="48" t="n">
        <v>2909.79</v>
      </c>
      <c r="J164" s="48" t="n">
        <v>2993.5</v>
      </c>
    </row>
    <row r="165">
      <c r="A165" s="50" t="inlineStr">
        <is>
          <t>Dan Lagala</t>
        </is>
      </c>
      <c r="B165" s="50" t="inlineStr">
        <is>
          <t>Amplify</t>
        </is>
      </c>
      <c r="C165" s="50" t="inlineStr">
        <is>
          <t>Constellation Brands</t>
        </is>
      </c>
      <c r="D165" s="50" t="inlineStr">
        <is>
          <t>Corona Premier</t>
        </is>
      </c>
      <c r="E165" s="46" t="n">
        <v>335</v>
      </c>
      <c r="F165" s="46" t="n">
        <v>326</v>
      </c>
      <c r="G165" s="48" t="n">
        <v>10654.65</v>
      </c>
      <c r="H165" s="48" t="n">
        <v>9213.65</v>
      </c>
      <c r="I165" s="48" t="n">
        <v>2481.23</v>
      </c>
      <c r="J165" s="48" t="n">
        <v>2369.03</v>
      </c>
    </row>
    <row r="166">
      <c r="A166" s="50" t="inlineStr">
        <is>
          <t>Dan Lagala</t>
        </is>
      </c>
      <c r="B166" s="50" t="inlineStr">
        <is>
          <t>Amplify</t>
        </is>
      </c>
      <c r="C166" s="50" t="inlineStr">
        <is>
          <t>Constellation Brands</t>
        </is>
      </c>
      <c r="D166" s="50" t="inlineStr">
        <is>
          <t>Modelo Chelada</t>
        </is>
      </c>
      <c r="E166" s="46" t="n">
        <v>3101</v>
      </c>
      <c r="F166" s="46" t="n">
        <v>4004</v>
      </c>
      <c r="G166" s="48" t="n">
        <v>96634.2</v>
      </c>
      <c r="H166" s="48" t="n">
        <v>123898.75</v>
      </c>
      <c r="I166" s="48" t="n">
        <v>25682.79</v>
      </c>
      <c r="J166" s="48" t="n">
        <v>32499.58</v>
      </c>
    </row>
    <row r="167">
      <c r="A167" s="50" t="inlineStr">
        <is>
          <t>Dan Lagala</t>
        </is>
      </c>
      <c r="B167" s="50" t="inlineStr">
        <is>
          <t>Amplify</t>
        </is>
      </c>
      <c r="C167" s="50" t="inlineStr">
        <is>
          <t>Constellation Brands</t>
        </is>
      </c>
      <c r="D167" s="50" t="inlineStr">
        <is>
          <t>Pacifico</t>
        </is>
      </c>
      <c r="E167" s="46" t="n">
        <v>189</v>
      </c>
      <c r="F167" s="46" t="n">
        <v>386</v>
      </c>
      <c r="G167" s="48" t="n">
        <v>6009.6</v>
      </c>
      <c r="H167" s="48" t="n">
        <v>12264.9</v>
      </c>
      <c r="I167" s="48" t="n">
        <v>1476.52</v>
      </c>
      <c r="J167" s="48" t="n">
        <v>3025.99</v>
      </c>
    </row>
    <row r="168">
      <c r="A168" s="50" t="inlineStr">
        <is>
          <t>Dan Lagala</t>
        </is>
      </c>
      <c r="B168" s="50" t="inlineStr">
        <is>
          <t>Amplify</t>
        </is>
      </c>
      <c r="C168" s="50" t="inlineStr">
        <is>
          <t>Constellation Brands</t>
        </is>
      </c>
      <c r="D168" s="50" t="inlineStr">
        <is>
          <t>Victoria</t>
        </is>
      </c>
      <c r="E168" s="46" t="n">
        <v>254</v>
      </c>
      <c r="F168" s="46" t="n">
        <v>389</v>
      </c>
      <c r="G168" s="48" t="n">
        <v>7852.4</v>
      </c>
      <c r="H168" s="48" t="n">
        <v>11959.25</v>
      </c>
      <c r="I168" s="48" t="n">
        <v>1907.04</v>
      </c>
      <c r="J168" s="48" t="n">
        <v>2869.16</v>
      </c>
    </row>
    <row r="169">
      <c r="A169" s="50" t="inlineStr">
        <is>
          <t>Dan Lagala</t>
        </is>
      </c>
      <c r="B169" s="50" t="inlineStr">
        <is>
          <t>Amplify</t>
        </is>
      </c>
      <c r="C169" s="50" t="inlineStr">
        <is>
          <t>Sapporo</t>
        </is>
      </c>
      <c r="D169" s="50" t="inlineStr">
        <is>
          <t>Sapporo</t>
        </is>
      </c>
      <c r="E169" s="46" t="n">
        <v>3049</v>
      </c>
      <c r="F169" s="46" t="n">
        <v>3246</v>
      </c>
      <c r="G169" s="48" t="n">
        <v>82765</v>
      </c>
      <c r="H169" s="48" t="n">
        <v>88075.75</v>
      </c>
      <c r="I169" s="48" t="n">
        <v>20252.16</v>
      </c>
      <c r="J169" s="48" t="n">
        <v>22064.06</v>
      </c>
    </row>
    <row r="170">
      <c r="A170" s="50" t="inlineStr">
        <is>
          <t>Dan Lagala</t>
        </is>
      </c>
      <c r="B170" s="50" t="inlineStr">
        <is>
          <t>Amplify</t>
        </is>
      </c>
      <c r="C170" s="50" t="inlineStr">
        <is>
          <t>Bell's</t>
        </is>
      </c>
      <c r="D170" s="50" t="inlineStr">
        <is>
          <t>Bell's</t>
        </is>
      </c>
      <c r="E170" s="46" t="n">
        <v>0</v>
      </c>
      <c r="F170" s="46" t="n">
        <v>2</v>
      </c>
      <c r="G170" s="48" t="n">
        <v>0</v>
      </c>
      <c r="H170" s="48" t="n">
        <v>64.8</v>
      </c>
      <c r="I170" s="48" t="n">
        <v>0</v>
      </c>
      <c r="J170" s="48" t="n">
        <v>19.24</v>
      </c>
    </row>
    <row r="171">
      <c r="A171" s="50" t="inlineStr">
        <is>
          <t>Dan Lagala</t>
        </is>
      </c>
      <c r="B171" s="50" t="inlineStr">
        <is>
          <t>Amplify</t>
        </is>
      </c>
      <c r="C171" s="50" t="inlineStr">
        <is>
          <t>New Belgium Brewing Company</t>
        </is>
      </c>
      <c r="D171" s="50" t="inlineStr">
        <is>
          <t>Fat Tire Family</t>
        </is>
      </c>
      <c r="E171" s="46" t="n">
        <v>76</v>
      </c>
      <c r="F171" s="46" t="n">
        <v>65</v>
      </c>
      <c r="G171" s="48" t="n">
        <v>2527.8</v>
      </c>
      <c r="H171" s="48" t="n">
        <v>2084.2</v>
      </c>
      <c r="I171" s="48" t="n">
        <v>641.8099999999999</v>
      </c>
      <c r="J171" s="48" t="n">
        <v>509.62</v>
      </c>
    </row>
    <row r="172">
      <c r="A172" s="50" t="inlineStr">
        <is>
          <t>Dan Lagala</t>
        </is>
      </c>
      <c r="B172" s="50" t="inlineStr">
        <is>
          <t>Amplify</t>
        </is>
      </c>
      <c r="C172" s="50" t="inlineStr">
        <is>
          <t>New Belgium Brewing Company</t>
        </is>
      </c>
      <c r="D172" s="50" t="inlineStr">
        <is>
          <t>Kirin Ichiban</t>
        </is>
      </c>
      <c r="E172" s="46" t="n">
        <v>383</v>
      </c>
      <c r="F172" s="46" t="n">
        <v>1402</v>
      </c>
      <c r="G172" s="48" t="n">
        <v>9988</v>
      </c>
      <c r="H172" s="48" t="n">
        <v>33419.5</v>
      </c>
      <c r="I172" s="48" t="n">
        <v>1783.65</v>
      </c>
      <c r="J172" s="48" t="n">
        <v>6961.12</v>
      </c>
    </row>
    <row r="173">
      <c r="A173" s="50" t="inlineStr">
        <is>
          <t>Dan Lagala</t>
        </is>
      </c>
      <c r="B173" s="50" t="inlineStr">
        <is>
          <t>Amplify</t>
        </is>
      </c>
      <c r="C173" s="50" t="inlineStr">
        <is>
          <t>New Belgium Brewing Company</t>
        </is>
      </c>
      <c r="D173" s="50" t="inlineStr">
        <is>
          <t>Voodoo Family</t>
        </is>
      </c>
      <c r="E173" s="46" t="n">
        <v>721</v>
      </c>
      <c r="F173" s="46" t="n">
        <v>608</v>
      </c>
      <c r="G173" s="48" t="n">
        <v>26439.6</v>
      </c>
      <c r="H173" s="48" t="n">
        <v>22499.1</v>
      </c>
      <c r="I173" s="48" t="n">
        <v>6544.23</v>
      </c>
      <c r="J173" s="48" t="n">
        <v>5508.2</v>
      </c>
    </row>
    <row r="174">
      <c r="A174" s="50" t="inlineStr">
        <is>
          <t>Dan Lagala</t>
        </is>
      </c>
      <c r="B174" s="50" t="inlineStr">
        <is>
          <t>Amplify</t>
        </is>
      </c>
      <c r="C174" s="50" t="inlineStr">
        <is>
          <t>DG Yuengling Inc</t>
        </is>
      </c>
      <c r="D174" s="50" t="inlineStr">
        <is>
          <t>Yuengling Flight</t>
        </is>
      </c>
      <c r="E174" s="46" t="n">
        <v>43</v>
      </c>
      <c r="F174" s="46" t="n">
        <v>71</v>
      </c>
      <c r="G174" s="48" t="n">
        <v>844.35</v>
      </c>
      <c r="H174" s="48" t="n">
        <v>1261</v>
      </c>
      <c r="I174" s="48" t="n">
        <v>217.98</v>
      </c>
      <c r="J174" s="48" t="n">
        <v>260.29</v>
      </c>
    </row>
    <row r="175">
      <c r="A175" s="50" t="inlineStr">
        <is>
          <t>Dan Lagala</t>
        </is>
      </c>
      <c r="B175" s="50" t="inlineStr">
        <is>
          <t>Amplify</t>
        </is>
      </c>
      <c r="C175" s="50" t="inlineStr">
        <is>
          <t>DG Yuengling Inc</t>
        </is>
      </c>
      <c r="D175" s="50" t="inlineStr">
        <is>
          <t>Yuengling Light Lager</t>
        </is>
      </c>
      <c r="E175" s="46" t="n">
        <v>6</v>
      </c>
      <c r="F175" s="46" t="n">
        <v>17</v>
      </c>
      <c r="G175" s="48" t="n">
        <v>165</v>
      </c>
      <c r="H175" s="48" t="n">
        <v>462</v>
      </c>
      <c r="I175" s="48" t="n">
        <v>50.45</v>
      </c>
      <c r="J175" s="48" t="n">
        <v>136.55</v>
      </c>
    </row>
    <row r="176">
      <c r="A176" s="50" t="inlineStr">
        <is>
          <t>Dan Lagala</t>
        </is>
      </c>
      <c r="B176" s="50" t="inlineStr">
        <is>
          <t>Qualifier</t>
        </is>
      </c>
      <c r="C176" s="50" t="inlineStr">
        <is>
          <t>MolsonCoors Beverage Company</t>
        </is>
      </c>
      <c r="D176" s="50" t="inlineStr">
        <is>
          <t>Blue Moon</t>
        </is>
      </c>
      <c r="E176" s="46" t="n">
        <v>2115</v>
      </c>
      <c r="F176" s="46" t="n">
        <v>1870</v>
      </c>
      <c r="G176" s="48" t="n">
        <v>70135.14999999999</v>
      </c>
      <c r="H176" s="48" t="n">
        <v>62099.05</v>
      </c>
      <c r="I176" s="48" t="n">
        <v>18108.22</v>
      </c>
      <c r="J176" s="48" t="n">
        <v>15958.82</v>
      </c>
    </row>
    <row r="177">
      <c r="A177" s="50" t="inlineStr">
        <is>
          <t>Dan Lagala</t>
        </is>
      </c>
      <c r="B177" s="50" t="inlineStr">
        <is>
          <t>Qualifier</t>
        </is>
      </c>
      <c r="C177" s="50" t="inlineStr">
        <is>
          <t>MolsonCoors Beverage Company</t>
        </is>
      </c>
      <c r="D177" s="50" t="inlineStr">
        <is>
          <t>Coors Light</t>
        </is>
      </c>
      <c r="E177" s="46" t="n">
        <v>17617</v>
      </c>
      <c r="F177" s="46" t="n">
        <v>16075</v>
      </c>
      <c r="G177" s="48" t="n">
        <v>359142.35</v>
      </c>
      <c r="H177" s="48" t="n">
        <v>328892.8</v>
      </c>
      <c r="I177" s="48" t="n">
        <v>88064.21000000001</v>
      </c>
      <c r="J177" s="48" t="n">
        <v>80742.11</v>
      </c>
    </row>
    <row r="178">
      <c r="A178" s="50" t="inlineStr">
        <is>
          <t>Dan Lagala</t>
        </is>
      </c>
      <c r="B178" s="50" t="inlineStr">
        <is>
          <t>Qualifier</t>
        </is>
      </c>
      <c r="C178" s="50" t="inlineStr">
        <is>
          <t>MolsonCoors Beverage Company</t>
        </is>
      </c>
      <c r="D178" s="50" t="inlineStr">
        <is>
          <t>Lite</t>
        </is>
      </c>
      <c r="E178" s="46" t="n">
        <v>3070</v>
      </c>
      <c r="F178" s="46" t="n">
        <v>2789</v>
      </c>
      <c r="G178" s="48" t="n">
        <v>64901.85</v>
      </c>
      <c r="H178" s="48" t="n">
        <v>58828.55</v>
      </c>
      <c r="I178" s="48" t="n">
        <v>14486.28</v>
      </c>
      <c r="J178" s="48" t="n">
        <v>13089.55</v>
      </c>
    </row>
    <row r="179">
      <c r="A179" s="50" t="inlineStr">
        <is>
          <t>Dan Lagala</t>
        </is>
      </c>
      <c r="B179" s="50" t="inlineStr">
        <is>
          <t>Qualifier</t>
        </is>
      </c>
      <c r="C179" s="50" t="inlineStr">
        <is>
          <t>Heineken USA</t>
        </is>
      </c>
      <c r="D179" s="50" t="inlineStr">
        <is>
          <t>Heineken USA</t>
        </is>
      </c>
      <c r="E179" s="46" t="n">
        <v>14463</v>
      </c>
      <c r="F179" s="46" t="n">
        <v>11896</v>
      </c>
      <c r="G179" s="48" t="n">
        <v>440787</v>
      </c>
      <c r="H179" s="48" t="n">
        <v>361539.45</v>
      </c>
      <c r="I179" s="48" t="n">
        <v>105833.9</v>
      </c>
      <c r="J179" s="48" t="n">
        <v>85947.56</v>
      </c>
    </row>
    <row r="180">
      <c r="A180" s="50" t="inlineStr">
        <is>
          <t>Dan Lagala</t>
        </is>
      </c>
      <c r="B180" s="50" t="inlineStr">
        <is>
          <t>Qualifier</t>
        </is>
      </c>
      <c r="C180" s="50" t="inlineStr">
        <is>
          <t>Constellation Brands</t>
        </is>
      </c>
      <c r="D180" s="50" t="inlineStr">
        <is>
          <t>Corona Extra</t>
        </is>
      </c>
      <c r="E180" s="46" t="n">
        <v>27030</v>
      </c>
      <c r="F180" s="46" t="n">
        <v>27128</v>
      </c>
      <c r="G180" s="48" t="n">
        <v>855881.45</v>
      </c>
      <c r="H180" s="48" t="n">
        <v>859809</v>
      </c>
      <c r="I180" s="48" t="n">
        <v>208501.91</v>
      </c>
      <c r="J180" s="48" t="n">
        <v>208602.27</v>
      </c>
    </row>
    <row r="181">
      <c r="A181" s="50" t="inlineStr">
        <is>
          <t>Dan Lagala</t>
        </is>
      </c>
      <c r="B181" s="50" t="inlineStr">
        <is>
          <t>Qualifier</t>
        </is>
      </c>
      <c r="C181" s="50" t="inlineStr">
        <is>
          <t>Constellation Brands</t>
        </is>
      </c>
      <c r="D181" s="50" t="inlineStr">
        <is>
          <t>Modelo Especial</t>
        </is>
      </c>
      <c r="E181" s="46" t="n">
        <v>26698</v>
      </c>
      <c r="F181" s="46" t="n">
        <v>28992</v>
      </c>
      <c r="G181" s="48" t="n">
        <v>811032.35</v>
      </c>
      <c r="H181" s="48" t="n">
        <v>875348.65</v>
      </c>
      <c r="I181" s="48" t="n">
        <v>191009.67</v>
      </c>
      <c r="J181" s="48" t="n">
        <v>202630.98</v>
      </c>
    </row>
    <row r="182">
      <c r="A182" s="50" t="inlineStr">
        <is>
          <t>Dan Lagala</t>
        </is>
      </c>
      <c r="B182" s="50" t="inlineStr">
        <is>
          <t>Qualifier</t>
        </is>
      </c>
      <c r="C182" s="50" t="inlineStr">
        <is>
          <t>Boston Beer Company</t>
        </is>
      </c>
      <c r="D182" s="50" t="inlineStr">
        <is>
          <t>Truly</t>
        </is>
      </c>
      <c r="E182" s="46" t="n">
        <v>338</v>
      </c>
      <c r="F182" s="46" t="n">
        <v>223</v>
      </c>
      <c r="G182" s="48" t="n">
        <v>10184.65</v>
      </c>
      <c r="H182" s="48" t="n">
        <v>6760.2</v>
      </c>
      <c r="I182" s="48" t="n">
        <v>2590.73</v>
      </c>
      <c r="J182" s="48" t="n">
        <v>1737.81</v>
      </c>
    </row>
    <row r="183">
      <c r="A183" s="50" t="inlineStr">
        <is>
          <t>Dan Lagala</t>
        </is>
      </c>
      <c r="B183" s="50" t="inlineStr">
        <is>
          <t>Qualifier</t>
        </is>
      </c>
      <c r="C183" s="50" t="inlineStr">
        <is>
          <t>Boston Beer Company</t>
        </is>
      </c>
      <c r="D183" s="50" t="inlineStr">
        <is>
          <t>Twisted Tea</t>
        </is>
      </c>
      <c r="E183" s="46" t="n">
        <v>717</v>
      </c>
      <c r="F183" s="46" t="n">
        <v>557</v>
      </c>
      <c r="G183" s="48" t="n">
        <v>21465</v>
      </c>
      <c r="H183" s="48" t="n">
        <v>16807.75</v>
      </c>
      <c r="I183" s="48" t="n">
        <v>5945</v>
      </c>
      <c r="J183" s="48" t="n">
        <v>4601.45</v>
      </c>
    </row>
    <row r="184">
      <c r="A184" s="50" t="inlineStr">
        <is>
          <t>Dan Lagala</t>
        </is>
      </c>
      <c r="B184" s="50" t="inlineStr">
        <is>
          <t>Qualifier</t>
        </is>
      </c>
      <c r="C184" s="50" t="inlineStr">
        <is>
          <t>Mark Anthony</t>
        </is>
      </c>
      <c r="D184" s="50" t="inlineStr">
        <is>
          <t>White Claw</t>
        </is>
      </c>
      <c r="E184" s="46" t="n">
        <v>3803</v>
      </c>
      <c r="F184" s="46" t="n">
        <v>3269</v>
      </c>
      <c r="G184" s="48" t="n">
        <v>124124.85</v>
      </c>
      <c r="H184" s="48" t="n">
        <v>110364.2</v>
      </c>
      <c r="I184" s="48" t="n">
        <v>28107.84</v>
      </c>
      <c r="J184" s="48" t="n">
        <v>24898.18</v>
      </c>
    </row>
    <row r="185">
      <c r="A185" s="50" t="inlineStr">
        <is>
          <t>Dan Lagala</t>
        </is>
      </c>
      <c r="B185" s="50" t="inlineStr">
        <is>
          <t>Qualifier</t>
        </is>
      </c>
      <c r="C185" s="50" t="inlineStr">
        <is>
          <t>DG Yuengling Inc</t>
        </is>
      </c>
      <c r="D185" s="50" t="inlineStr">
        <is>
          <t>Yuengling Lager</t>
        </is>
      </c>
      <c r="E185" s="46" t="n">
        <v>1439</v>
      </c>
      <c r="F185" s="46" t="n">
        <v>1420</v>
      </c>
      <c r="G185" s="48" t="n">
        <v>30955.1</v>
      </c>
      <c r="H185" s="48" t="n">
        <v>29993.15</v>
      </c>
      <c r="I185" s="48" t="n">
        <v>8723.73</v>
      </c>
      <c r="J185" s="48" t="n">
        <v>8436.459999999999</v>
      </c>
    </row>
    <row r="186">
      <c r="A186" s="50" t="inlineStr">
        <is>
          <t>Dave Ehlers</t>
        </is>
      </c>
      <c r="B186" s="50" t="inlineStr">
        <is>
          <t>Amplify</t>
        </is>
      </c>
      <c r="C186" s="50" t="inlineStr">
        <is>
          <t>Cape May</t>
        </is>
      </c>
      <c r="D186" s="50" t="inlineStr">
        <is>
          <t>Cape May</t>
        </is>
      </c>
      <c r="E186" s="46" t="n">
        <v>561</v>
      </c>
      <c r="F186" s="46" t="n">
        <v>593</v>
      </c>
      <c r="G186" s="48" t="n">
        <v>22549.75</v>
      </c>
      <c r="H186" s="48" t="n">
        <v>23475.4</v>
      </c>
      <c r="I186" s="48" t="n">
        <v>6525.82</v>
      </c>
      <c r="J186" s="48" t="n">
        <v>6821.73</v>
      </c>
    </row>
    <row r="187">
      <c r="A187" s="50" t="inlineStr">
        <is>
          <t>Dave Ehlers</t>
        </is>
      </c>
      <c r="B187" s="50" t="inlineStr">
        <is>
          <t>Amplify</t>
        </is>
      </c>
      <c r="C187" s="50" t="inlineStr">
        <is>
          <t>Mark Anthony</t>
        </is>
      </c>
      <c r="D187" s="50" t="inlineStr">
        <is>
          <t>Cayman Jack</t>
        </is>
      </c>
      <c r="E187" s="46" t="n">
        <v>1107</v>
      </c>
      <c r="F187" s="46" t="n">
        <v>1286</v>
      </c>
      <c r="G187" s="48" t="n">
        <v>34289</v>
      </c>
      <c r="H187" s="48" t="n">
        <v>40643.5</v>
      </c>
      <c r="I187" s="48" t="n">
        <v>8165.75</v>
      </c>
      <c r="J187" s="48" t="n">
        <v>9789.24</v>
      </c>
    </row>
    <row r="188">
      <c r="A188" s="50" t="inlineStr">
        <is>
          <t>Dave Ehlers</t>
        </is>
      </c>
      <c r="B188" s="50" t="inlineStr">
        <is>
          <t>Amplify</t>
        </is>
      </c>
      <c r="C188" s="50" t="inlineStr">
        <is>
          <t>Mark Anthony</t>
        </is>
      </c>
      <c r="D188" s="50" t="inlineStr">
        <is>
          <t>Mike's Harder</t>
        </is>
      </c>
      <c r="E188" s="46" t="n">
        <v>423</v>
      </c>
      <c r="F188" s="46" t="n">
        <v>468</v>
      </c>
      <c r="G188" s="48" t="n">
        <v>11662</v>
      </c>
      <c r="H188" s="48" t="n">
        <v>13901</v>
      </c>
      <c r="I188" s="48" t="n">
        <v>2531.17</v>
      </c>
      <c r="J188" s="48" t="n">
        <v>3046.82</v>
      </c>
    </row>
    <row r="189">
      <c r="A189" s="50" t="inlineStr">
        <is>
          <t>Dave Ehlers</t>
        </is>
      </c>
      <c r="B189" s="50" t="inlineStr">
        <is>
          <t>Amplify</t>
        </is>
      </c>
      <c r="C189" s="50" t="inlineStr">
        <is>
          <t>Mark Anthony</t>
        </is>
      </c>
      <c r="D189" s="50" t="inlineStr">
        <is>
          <t>Mxd Cocktails</t>
        </is>
      </c>
      <c r="E189" s="46" t="n">
        <v>16</v>
      </c>
      <c r="F189" s="46" t="n">
        <v>16</v>
      </c>
      <c r="G189" s="48" t="n">
        <v>387.9</v>
      </c>
      <c r="H189" s="48" t="n">
        <v>384</v>
      </c>
      <c r="I189" s="48" t="n">
        <v>76.2</v>
      </c>
      <c r="J189" s="48" t="n">
        <v>72.20999999999999</v>
      </c>
    </row>
    <row r="190">
      <c r="A190" s="50" t="inlineStr">
        <is>
          <t>Dave Ehlers</t>
        </is>
      </c>
      <c r="B190" s="50" t="inlineStr">
        <is>
          <t>Amplify</t>
        </is>
      </c>
      <c r="C190" s="50" t="inlineStr">
        <is>
          <t>MolsonCoors Beverage Company</t>
        </is>
      </c>
      <c r="D190" s="50" t="inlineStr">
        <is>
          <t>Coors</t>
        </is>
      </c>
      <c r="E190" s="46" t="n">
        <v>2644</v>
      </c>
      <c r="F190" s="46" t="n">
        <v>2496</v>
      </c>
      <c r="G190" s="48" t="n">
        <v>53221.15</v>
      </c>
      <c r="H190" s="48" t="n">
        <v>51493.6</v>
      </c>
      <c r="I190" s="48" t="n">
        <v>12725.12</v>
      </c>
      <c r="J190" s="48" t="n">
        <v>12452.9</v>
      </c>
    </row>
    <row r="191">
      <c r="A191" s="50" t="inlineStr">
        <is>
          <t>Dave Ehlers</t>
        </is>
      </c>
      <c r="B191" s="50" t="inlineStr">
        <is>
          <t>Amplify</t>
        </is>
      </c>
      <c r="C191" s="50" t="inlineStr">
        <is>
          <t>MolsonCoors Beverage Company</t>
        </is>
      </c>
      <c r="D191" s="50" t="inlineStr">
        <is>
          <t>Fever Tree</t>
        </is>
      </c>
      <c r="E191" s="46" t="n">
        <v>1</v>
      </c>
      <c r="F191" s="46" t="n">
        <v>34</v>
      </c>
      <c r="G191" s="48" t="n">
        <v>28.5</v>
      </c>
      <c r="H191" s="48" t="n">
        <v>1614.5</v>
      </c>
      <c r="I191" s="48" t="n">
        <v>11.11</v>
      </c>
      <c r="J191" s="48" t="n">
        <v>526.15</v>
      </c>
    </row>
    <row r="192">
      <c r="A192" s="50" t="inlineStr">
        <is>
          <t>Dave Ehlers</t>
        </is>
      </c>
      <c r="B192" s="50" t="inlineStr">
        <is>
          <t>Amplify</t>
        </is>
      </c>
      <c r="C192" s="50" t="inlineStr">
        <is>
          <t>MolsonCoors Beverage Company</t>
        </is>
      </c>
      <c r="D192" s="50" t="inlineStr">
        <is>
          <t>Peroni</t>
        </is>
      </c>
      <c r="E192" s="46" t="n">
        <v>1290</v>
      </c>
      <c r="F192" s="46" t="n">
        <v>1526</v>
      </c>
      <c r="G192" s="48" t="n">
        <v>44155.2</v>
      </c>
      <c r="H192" s="48" t="n">
        <v>50673.95</v>
      </c>
      <c r="I192" s="48" t="n">
        <v>9233.469999999999</v>
      </c>
      <c r="J192" s="48" t="n">
        <v>9405.709999999999</v>
      </c>
    </row>
    <row r="193">
      <c r="A193" s="50" t="inlineStr">
        <is>
          <t>Dave Ehlers</t>
        </is>
      </c>
      <c r="B193" s="50" t="inlineStr">
        <is>
          <t>Amplify</t>
        </is>
      </c>
      <c r="C193" s="50" t="inlineStr">
        <is>
          <t>Boston Beer Company</t>
        </is>
      </c>
      <c r="D193" s="50" t="inlineStr">
        <is>
          <t>Dogfish Head Beer</t>
        </is>
      </c>
      <c r="E193" s="46" t="n">
        <v>841</v>
      </c>
      <c r="F193" s="46" t="n">
        <v>888</v>
      </c>
      <c r="G193" s="48" t="n">
        <v>36301</v>
      </c>
      <c r="H193" s="48" t="n">
        <v>35179.8</v>
      </c>
      <c r="I193" s="48" t="n">
        <v>9427.82</v>
      </c>
      <c r="J193" s="48" t="n">
        <v>8886.93</v>
      </c>
    </row>
    <row r="194">
      <c r="A194" s="50" t="inlineStr">
        <is>
          <t>Dave Ehlers</t>
        </is>
      </c>
      <c r="B194" s="50" t="inlineStr">
        <is>
          <t>Amplify</t>
        </is>
      </c>
      <c r="C194" s="50" t="inlineStr">
        <is>
          <t>Boston Beer Company</t>
        </is>
      </c>
      <c r="D194" s="50" t="inlineStr">
        <is>
          <t>Dogfish Head Spirits</t>
        </is>
      </c>
      <c r="E194" s="46" t="n">
        <v>113</v>
      </c>
      <c r="F194" s="46" t="n">
        <v>94</v>
      </c>
      <c r="G194" s="48" t="n">
        <v>6003</v>
      </c>
      <c r="H194" s="48" t="n">
        <v>4340</v>
      </c>
      <c r="I194" s="48" t="n">
        <v>2282.39</v>
      </c>
      <c r="J194" s="48" t="n">
        <v>1400.77</v>
      </c>
    </row>
    <row r="195">
      <c r="A195" s="50" t="inlineStr">
        <is>
          <t>Dave Ehlers</t>
        </is>
      </c>
      <c r="B195" s="50" t="inlineStr">
        <is>
          <t>Amplify</t>
        </is>
      </c>
      <c r="C195" s="50" t="inlineStr">
        <is>
          <t>Heineken USA</t>
        </is>
      </c>
      <c r="D195" s="50" t="inlineStr">
        <is>
          <t>Heineken 0.0</t>
        </is>
      </c>
      <c r="E195" s="46" t="n">
        <v>757</v>
      </c>
      <c r="F195" s="46" t="n">
        <v>830</v>
      </c>
      <c r="G195" s="48" t="n">
        <v>25398.85</v>
      </c>
      <c r="H195" s="48" t="n">
        <v>27774.9</v>
      </c>
      <c r="I195" s="48" t="n">
        <v>6597.64</v>
      </c>
      <c r="J195" s="48" t="n">
        <v>7118.83</v>
      </c>
    </row>
    <row r="196">
      <c r="A196" s="50" t="inlineStr">
        <is>
          <t>Dave Ehlers</t>
        </is>
      </c>
      <c r="B196" s="50" t="inlineStr">
        <is>
          <t>Amplify</t>
        </is>
      </c>
      <c r="C196" s="50" t="inlineStr">
        <is>
          <t>Heineken USA</t>
        </is>
      </c>
      <c r="D196" s="50" t="inlineStr">
        <is>
          <t>Heineken Light</t>
        </is>
      </c>
      <c r="E196" s="46" t="n">
        <v>800</v>
      </c>
      <c r="F196" s="46" t="n">
        <v>700</v>
      </c>
      <c r="G196" s="48" t="n">
        <v>24968.55</v>
      </c>
      <c r="H196" s="48" t="n">
        <v>21780.3</v>
      </c>
      <c r="I196" s="48" t="n">
        <v>5949.87</v>
      </c>
      <c r="J196" s="48" t="n">
        <v>5143.15</v>
      </c>
    </row>
    <row r="197">
      <c r="A197" s="50" t="inlineStr">
        <is>
          <t>Dave Ehlers</t>
        </is>
      </c>
      <c r="B197" s="50" t="inlineStr">
        <is>
          <t>Amplify</t>
        </is>
      </c>
      <c r="C197" s="50" t="inlineStr">
        <is>
          <t>Constellation Brands</t>
        </is>
      </c>
      <c r="D197" s="50" t="inlineStr">
        <is>
          <t>Corona Premier</t>
        </is>
      </c>
      <c r="E197" s="46" t="n">
        <v>1107</v>
      </c>
      <c r="F197" s="46" t="n">
        <v>1173</v>
      </c>
      <c r="G197" s="48" t="n">
        <v>34312</v>
      </c>
      <c r="H197" s="48" t="n">
        <v>31428.25</v>
      </c>
      <c r="I197" s="48" t="n">
        <v>7323.04</v>
      </c>
      <c r="J197" s="48" t="n">
        <v>7638.39</v>
      </c>
    </row>
    <row r="198">
      <c r="A198" s="50" t="inlineStr">
        <is>
          <t>Dave Ehlers</t>
        </is>
      </c>
      <c r="B198" s="50" t="inlineStr">
        <is>
          <t>Amplify</t>
        </is>
      </c>
      <c r="C198" s="50" t="inlineStr">
        <is>
          <t>Constellation Brands</t>
        </is>
      </c>
      <c r="D198" s="50" t="inlineStr">
        <is>
          <t>Modelo Chelada</t>
        </is>
      </c>
      <c r="E198" s="46" t="n">
        <v>3096</v>
      </c>
      <c r="F198" s="46" t="n">
        <v>3396</v>
      </c>
      <c r="G198" s="48" t="n">
        <v>95719.75</v>
      </c>
      <c r="H198" s="48" t="n">
        <v>104444.5</v>
      </c>
      <c r="I198" s="48" t="n">
        <v>24004.32</v>
      </c>
      <c r="J198" s="48" t="n">
        <v>25737.87</v>
      </c>
    </row>
    <row r="199">
      <c r="A199" s="50" t="inlineStr">
        <is>
          <t>Dave Ehlers</t>
        </is>
      </c>
      <c r="B199" s="50" t="inlineStr">
        <is>
          <t>Amplify</t>
        </is>
      </c>
      <c r="C199" s="50" t="inlineStr">
        <is>
          <t>Constellation Brands</t>
        </is>
      </c>
      <c r="D199" s="50" t="inlineStr">
        <is>
          <t>Pacifico</t>
        </is>
      </c>
      <c r="E199" s="46" t="n">
        <v>1129</v>
      </c>
      <c r="F199" s="46" t="n">
        <v>1107</v>
      </c>
      <c r="G199" s="48" t="n">
        <v>35018.7</v>
      </c>
      <c r="H199" s="48" t="n">
        <v>34396.3</v>
      </c>
      <c r="I199" s="48" t="n">
        <v>8053.55</v>
      </c>
      <c r="J199" s="48" t="n">
        <v>7957.99</v>
      </c>
    </row>
    <row r="200">
      <c r="A200" s="50" t="inlineStr">
        <is>
          <t>Dave Ehlers</t>
        </is>
      </c>
      <c r="B200" s="50" t="inlineStr">
        <is>
          <t>Amplify</t>
        </is>
      </c>
      <c r="C200" s="50" t="inlineStr">
        <is>
          <t>Constellation Brands</t>
        </is>
      </c>
      <c r="D200" s="50" t="inlineStr">
        <is>
          <t>Victoria</t>
        </is>
      </c>
      <c r="E200" s="46" t="n">
        <v>1777</v>
      </c>
      <c r="F200" s="46" t="n">
        <v>2317</v>
      </c>
      <c r="G200" s="48" t="n">
        <v>54011.6</v>
      </c>
      <c r="H200" s="48" t="n">
        <v>70221.95</v>
      </c>
      <c r="I200" s="48" t="n">
        <v>12799.09</v>
      </c>
      <c r="J200" s="48" t="n">
        <v>16848.68</v>
      </c>
    </row>
    <row r="201">
      <c r="A201" s="50" t="inlineStr">
        <is>
          <t>Dave Ehlers</t>
        </is>
      </c>
      <c r="B201" s="50" t="inlineStr">
        <is>
          <t>Amplify</t>
        </is>
      </c>
      <c r="C201" s="50" t="inlineStr">
        <is>
          <t>Sapporo</t>
        </is>
      </c>
      <c r="D201" s="50" t="inlineStr">
        <is>
          <t>Sapporo</t>
        </is>
      </c>
      <c r="E201" s="46" t="n">
        <v>1656</v>
      </c>
      <c r="F201" s="46" t="n">
        <v>2072</v>
      </c>
      <c r="G201" s="48" t="n">
        <v>42855.75</v>
      </c>
      <c r="H201" s="48" t="n">
        <v>53768.25</v>
      </c>
      <c r="I201" s="48" t="n">
        <v>10486.87</v>
      </c>
      <c r="J201" s="48" t="n">
        <v>13643.27</v>
      </c>
    </row>
    <row r="202">
      <c r="A202" s="50" t="inlineStr">
        <is>
          <t>Dave Ehlers</t>
        </is>
      </c>
      <c r="B202" s="50" t="inlineStr">
        <is>
          <t>Amplify</t>
        </is>
      </c>
      <c r="C202" s="50" t="inlineStr">
        <is>
          <t>Bell's</t>
        </is>
      </c>
      <c r="D202" s="50" t="inlineStr">
        <is>
          <t>Bell's</t>
        </is>
      </c>
      <c r="E202" s="46" t="n">
        <v>40</v>
      </c>
      <c r="F202" s="46" t="n">
        <v>15</v>
      </c>
      <c r="G202" s="48" t="n">
        <v>1399.5</v>
      </c>
      <c r="H202" s="48" t="n">
        <v>534</v>
      </c>
      <c r="I202" s="48" t="n">
        <v>439.98</v>
      </c>
      <c r="J202" s="48" t="n">
        <v>164.7</v>
      </c>
    </row>
    <row r="203">
      <c r="A203" s="50" t="inlineStr">
        <is>
          <t>Dave Ehlers</t>
        </is>
      </c>
      <c r="B203" s="50" t="inlineStr">
        <is>
          <t>Amplify</t>
        </is>
      </c>
      <c r="C203" s="50" t="inlineStr">
        <is>
          <t>New Belgium Brewing Company</t>
        </is>
      </c>
      <c r="D203" s="50" t="inlineStr">
        <is>
          <t>Fat Tire Family</t>
        </is>
      </c>
      <c r="E203" s="46" t="n">
        <v>313</v>
      </c>
      <c r="F203" s="46" t="n">
        <v>275</v>
      </c>
      <c r="G203" s="48" t="n">
        <v>10534.3</v>
      </c>
      <c r="H203" s="48" t="n">
        <v>8941.700000000001</v>
      </c>
      <c r="I203" s="48" t="n">
        <v>2103.72</v>
      </c>
      <c r="J203" s="48" t="n">
        <v>1628.88</v>
      </c>
    </row>
    <row r="204">
      <c r="A204" s="50" t="inlineStr">
        <is>
          <t>Dave Ehlers</t>
        </is>
      </c>
      <c r="B204" s="50" t="inlineStr">
        <is>
          <t>Amplify</t>
        </is>
      </c>
      <c r="C204" s="50" t="inlineStr">
        <is>
          <t>New Belgium Brewing Company</t>
        </is>
      </c>
      <c r="D204" s="50" t="inlineStr">
        <is>
          <t>Kirin Ichiban</t>
        </is>
      </c>
      <c r="E204" s="46" t="n">
        <v>0</v>
      </c>
      <c r="F204" s="46" t="n">
        <v>192</v>
      </c>
      <c r="G204" s="48" t="n">
        <v>0</v>
      </c>
      <c r="H204" s="48" t="n">
        <v>4733</v>
      </c>
      <c r="I204" s="48" t="n">
        <v>0</v>
      </c>
      <c r="J204" s="48" t="n">
        <v>899.08</v>
      </c>
    </row>
    <row r="205">
      <c r="A205" s="50" t="inlineStr">
        <is>
          <t>Dave Ehlers</t>
        </is>
      </c>
      <c r="B205" s="50" t="inlineStr">
        <is>
          <t>Amplify</t>
        </is>
      </c>
      <c r="C205" s="50" t="inlineStr">
        <is>
          <t>New Belgium Brewing Company</t>
        </is>
      </c>
      <c r="D205" s="50" t="inlineStr">
        <is>
          <t>Voodoo Family</t>
        </is>
      </c>
      <c r="E205" s="46" t="n">
        <v>1441</v>
      </c>
      <c r="F205" s="46" t="n">
        <v>1675</v>
      </c>
      <c r="G205" s="48" t="n">
        <v>51250.1</v>
      </c>
      <c r="H205" s="48" t="n">
        <v>59441.3</v>
      </c>
      <c r="I205" s="48" t="n">
        <v>12421.81</v>
      </c>
      <c r="J205" s="48" t="n">
        <v>14623.65</v>
      </c>
    </row>
    <row r="206">
      <c r="A206" s="50" t="inlineStr">
        <is>
          <t>Dave Ehlers</t>
        </is>
      </c>
      <c r="B206" s="50" t="inlineStr">
        <is>
          <t>Amplify</t>
        </is>
      </c>
      <c r="C206" s="50" t="inlineStr">
        <is>
          <t>DG Yuengling Inc</t>
        </is>
      </c>
      <c r="D206" s="50" t="inlineStr">
        <is>
          <t>Yuengling Flight</t>
        </is>
      </c>
      <c r="E206" s="46" t="n">
        <v>197</v>
      </c>
      <c r="F206" s="46" t="n">
        <v>177</v>
      </c>
      <c r="G206" s="48" t="n">
        <v>4462.05</v>
      </c>
      <c r="H206" s="48" t="n">
        <v>4190.4</v>
      </c>
      <c r="I206" s="48" t="n">
        <v>1240.92</v>
      </c>
      <c r="J206" s="48" t="n">
        <v>1236.24</v>
      </c>
    </row>
    <row r="207">
      <c r="A207" s="50" t="inlineStr">
        <is>
          <t>Dave Ehlers</t>
        </is>
      </c>
      <c r="B207" s="50" t="inlineStr">
        <is>
          <t>Amplify</t>
        </is>
      </c>
      <c r="C207" s="50" t="inlineStr">
        <is>
          <t>DG Yuengling Inc</t>
        </is>
      </c>
      <c r="D207" s="50" t="inlineStr">
        <is>
          <t>Yuengling Light Lager</t>
        </is>
      </c>
      <c r="E207" s="46" t="n">
        <v>323</v>
      </c>
      <c r="F207" s="46" t="n">
        <v>406</v>
      </c>
      <c r="G207" s="48" t="n">
        <v>7240.8</v>
      </c>
      <c r="H207" s="48" t="n">
        <v>8982.299999999999</v>
      </c>
      <c r="I207" s="48" t="n">
        <v>1908.49</v>
      </c>
      <c r="J207" s="48" t="n">
        <v>2293.47</v>
      </c>
    </row>
    <row r="208">
      <c r="A208" s="50" t="inlineStr">
        <is>
          <t>Dave Ehlers</t>
        </is>
      </c>
      <c r="B208" s="50" t="inlineStr">
        <is>
          <t>Qualifier</t>
        </is>
      </c>
      <c r="C208" s="50" t="inlineStr">
        <is>
          <t>MolsonCoors Beverage Company</t>
        </is>
      </c>
      <c r="D208" s="50" t="inlineStr">
        <is>
          <t>Blue Moon</t>
        </is>
      </c>
      <c r="E208" s="46" t="n">
        <v>2999</v>
      </c>
      <c r="F208" s="46" t="n">
        <v>2743</v>
      </c>
      <c r="G208" s="48" t="n">
        <v>95093.35000000001</v>
      </c>
      <c r="H208" s="48" t="n">
        <v>89297.45</v>
      </c>
      <c r="I208" s="48" t="n">
        <v>20591.57</v>
      </c>
      <c r="J208" s="48" t="n">
        <v>20375.15</v>
      </c>
    </row>
    <row r="209">
      <c r="A209" s="50" t="inlineStr">
        <is>
          <t>Dave Ehlers</t>
        </is>
      </c>
      <c r="B209" s="50" t="inlineStr">
        <is>
          <t>Qualifier</t>
        </is>
      </c>
      <c r="C209" s="50" t="inlineStr">
        <is>
          <t>MolsonCoors Beverage Company</t>
        </is>
      </c>
      <c r="D209" s="50" t="inlineStr">
        <is>
          <t>Coors Light</t>
        </is>
      </c>
      <c r="E209" s="46" t="n">
        <v>16528</v>
      </c>
      <c r="F209" s="46" t="n">
        <v>16573</v>
      </c>
      <c r="G209" s="48" t="n">
        <v>344679.45</v>
      </c>
      <c r="H209" s="48" t="n">
        <v>348498.35</v>
      </c>
      <c r="I209" s="48" t="n">
        <v>86928.21000000001</v>
      </c>
      <c r="J209" s="48" t="n">
        <v>88072.21000000001</v>
      </c>
    </row>
    <row r="210">
      <c r="A210" s="50" t="inlineStr">
        <is>
          <t>Dave Ehlers</t>
        </is>
      </c>
      <c r="B210" s="50" t="inlineStr">
        <is>
          <t>Qualifier</t>
        </is>
      </c>
      <c r="C210" s="50" t="inlineStr">
        <is>
          <t>MolsonCoors Beverage Company</t>
        </is>
      </c>
      <c r="D210" s="50" t="inlineStr">
        <is>
          <t>Lite</t>
        </is>
      </c>
      <c r="E210" s="46" t="n">
        <v>9098</v>
      </c>
      <c r="F210" s="46" t="n">
        <v>8445</v>
      </c>
      <c r="G210" s="48" t="n">
        <v>196706.05</v>
      </c>
      <c r="H210" s="48" t="n">
        <v>184506.1</v>
      </c>
      <c r="I210" s="48" t="n">
        <v>47014.99</v>
      </c>
      <c r="J210" s="48" t="n">
        <v>43508.11</v>
      </c>
    </row>
    <row r="211">
      <c r="A211" s="50" t="inlineStr">
        <is>
          <t>Dave Ehlers</t>
        </is>
      </c>
      <c r="B211" s="50" t="inlineStr">
        <is>
          <t>Qualifier</t>
        </is>
      </c>
      <c r="C211" s="50" t="inlineStr">
        <is>
          <t>Heineken USA</t>
        </is>
      </c>
      <c r="D211" s="50" t="inlineStr">
        <is>
          <t>Heineken USA</t>
        </is>
      </c>
      <c r="E211" s="46" t="n">
        <v>14082</v>
      </c>
      <c r="F211" s="46" t="n">
        <v>13433</v>
      </c>
      <c r="G211" s="48" t="n">
        <v>438171.95</v>
      </c>
      <c r="H211" s="48" t="n">
        <v>415064.05</v>
      </c>
      <c r="I211" s="48" t="n">
        <v>104442.9</v>
      </c>
      <c r="J211" s="48" t="n">
        <v>97535.32000000001</v>
      </c>
    </row>
    <row r="212">
      <c r="A212" s="50" t="inlineStr">
        <is>
          <t>Dave Ehlers</t>
        </is>
      </c>
      <c r="B212" s="50" t="inlineStr">
        <is>
          <t>Qualifier</t>
        </is>
      </c>
      <c r="C212" s="50" t="inlineStr">
        <is>
          <t>Constellation Brands</t>
        </is>
      </c>
      <c r="D212" s="50" t="inlineStr">
        <is>
          <t>Corona Extra</t>
        </is>
      </c>
      <c r="E212" s="46" t="n">
        <v>33086</v>
      </c>
      <c r="F212" s="46" t="n">
        <v>35354</v>
      </c>
      <c r="G212" s="48" t="n">
        <v>1062483.25</v>
      </c>
      <c r="H212" s="48" t="n">
        <v>1141524.7</v>
      </c>
      <c r="I212" s="48" t="n">
        <v>252196.75</v>
      </c>
      <c r="J212" s="48" t="n">
        <v>270323.95</v>
      </c>
    </row>
    <row r="213">
      <c r="A213" s="50" t="inlineStr">
        <is>
          <t>Dave Ehlers</t>
        </is>
      </c>
      <c r="B213" s="50" t="inlineStr">
        <is>
          <t>Qualifier</t>
        </is>
      </c>
      <c r="C213" s="50" t="inlineStr">
        <is>
          <t>Constellation Brands</t>
        </is>
      </c>
      <c r="D213" s="50" t="inlineStr">
        <is>
          <t>Modelo Especial</t>
        </is>
      </c>
      <c r="E213" s="46" t="n">
        <v>26423</v>
      </c>
      <c r="F213" s="46" t="n">
        <v>27975</v>
      </c>
      <c r="G213" s="48" t="n">
        <v>811361.9</v>
      </c>
      <c r="H213" s="48" t="n">
        <v>857559.4</v>
      </c>
      <c r="I213" s="48" t="n">
        <v>187629.92</v>
      </c>
      <c r="J213" s="48" t="n">
        <v>197543.66</v>
      </c>
    </row>
    <row r="214">
      <c r="A214" s="50" t="inlineStr">
        <is>
          <t>Dave Ehlers</t>
        </is>
      </c>
      <c r="B214" s="50" t="inlineStr">
        <is>
          <t>Qualifier</t>
        </is>
      </c>
      <c r="C214" s="50" t="inlineStr">
        <is>
          <t>Boston Beer Company</t>
        </is>
      </c>
      <c r="D214" s="50" t="inlineStr">
        <is>
          <t>Truly</t>
        </is>
      </c>
      <c r="E214" s="46" t="n">
        <v>2584</v>
      </c>
      <c r="F214" s="46" t="n">
        <v>1455</v>
      </c>
      <c r="G214" s="48" t="n">
        <v>68473.25</v>
      </c>
      <c r="H214" s="48" t="n">
        <v>41934.1</v>
      </c>
      <c r="I214" s="48" t="n">
        <v>10262.49</v>
      </c>
      <c r="J214" s="48" t="n">
        <v>9195.540000000001</v>
      </c>
    </row>
    <row r="215">
      <c r="A215" s="50" t="inlineStr">
        <is>
          <t>Dave Ehlers</t>
        </is>
      </c>
      <c r="B215" s="50" t="inlineStr">
        <is>
          <t>Qualifier</t>
        </is>
      </c>
      <c r="C215" s="50" t="inlineStr">
        <is>
          <t>Boston Beer Company</t>
        </is>
      </c>
      <c r="D215" s="50" t="inlineStr">
        <is>
          <t>Twisted Tea</t>
        </is>
      </c>
      <c r="E215" s="46" t="n">
        <v>3131</v>
      </c>
      <c r="F215" s="46" t="n">
        <v>2282</v>
      </c>
      <c r="G215" s="48" t="n">
        <v>90916.75</v>
      </c>
      <c r="H215" s="48" t="n">
        <v>66600.75</v>
      </c>
      <c r="I215" s="48" t="n">
        <v>22838.84</v>
      </c>
      <c r="J215" s="48" t="n">
        <v>16699.34</v>
      </c>
    </row>
    <row r="216">
      <c r="A216" s="50" t="inlineStr">
        <is>
          <t>Dave Ehlers</t>
        </is>
      </c>
      <c r="B216" s="50" t="inlineStr">
        <is>
          <t>Qualifier</t>
        </is>
      </c>
      <c r="C216" s="50" t="inlineStr">
        <is>
          <t>Mark Anthony</t>
        </is>
      </c>
      <c r="D216" s="50" t="inlineStr">
        <is>
          <t>White Claw</t>
        </is>
      </c>
      <c r="E216" s="46" t="n">
        <v>9066</v>
      </c>
      <c r="F216" s="46" t="n">
        <v>8231</v>
      </c>
      <c r="G216" s="48" t="n">
        <v>275906.45</v>
      </c>
      <c r="H216" s="48" t="n">
        <v>258656.1</v>
      </c>
      <c r="I216" s="48" t="n">
        <v>51611.94</v>
      </c>
      <c r="J216" s="48" t="n">
        <v>50710.5</v>
      </c>
    </row>
    <row r="217">
      <c r="A217" s="50" t="inlineStr">
        <is>
          <t>Dave Ehlers</t>
        </is>
      </c>
      <c r="B217" s="50" t="inlineStr">
        <is>
          <t>Qualifier</t>
        </is>
      </c>
      <c r="C217" s="50" t="inlineStr">
        <is>
          <t>DG Yuengling Inc</t>
        </is>
      </c>
      <c r="D217" s="50" t="inlineStr">
        <is>
          <t>Yuengling Lager</t>
        </is>
      </c>
      <c r="E217" s="46" t="n">
        <v>3172</v>
      </c>
      <c r="F217" s="46" t="n">
        <v>3106</v>
      </c>
      <c r="G217" s="48" t="n">
        <v>70015.8</v>
      </c>
      <c r="H217" s="48" t="n">
        <v>67640.14999999999</v>
      </c>
      <c r="I217" s="48" t="n">
        <v>18614.66</v>
      </c>
      <c r="J217" s="48" t="n">
        <v>17906.81</v>
      </c>
    </row>
    <row r="218">
      <c r="A218" s="50" t="inlineStr">
        <is>
          <t>Derrick Laws</t>
        </is>
      </c>
      <c r="B218" s="50" t="inlineStr">
        <is>
          <t>Amplify</t>
        </is>
      </c>
      <c r="C218" s="50" t="inlineStr">
        <is>
          <t>Cape May</t>
        </is>
      </c>
      <c r="D218" s="50" t="inlineStr">
        <is>
          <t>Cape May</t>
        </is>
      </c>
      <c r="E218" s="46" t="n">
        <v>166</v>
      </c>
      <c r="F218" s="46" t="n">
        <v>131</v>
      </c>
      <c r="G218" s="48" t="n">
        <v>6697.9</v>
      </c>
      <c r="H218" s="48" t="n">
        <v>5241.6</v>
      </c>
      <c r="I218" s="48" t="n">
        <v>2021.19</v>
      </c>
      <c r="J218" s="48" t="n">
        <v>1569.38</v>
      </c>
    </row>
    <row r="219">
      <c r="A219" s="50" t="inlineStr">
        <is>
          <t>Derrick Laws</t>
        </is>
      </c>
      <c r="B219" s="50" t="inlineStr">
        <is>
          <t>Amplify</t>
        </is>
      </c>
      <c r="C219" s="50" t="inlineStr">
        <is>
          <t>Mark Anthony</t>
        </is>
      </c>
      <c r="D219" s="50" t="inlineStr">
        <is>
          <t>Cayman Jack</t>
        </is>
      </c>
      <c r="E219" s="46" t="n">
        <v>688</v>
      </c>
      <c r="F219" s="46" t="n">
        <v>923</v>
      </c>
      <c r="G219" s="48" t="n">
        <v>22049.75</v>
      </c>
      <c r="H219" s="48" t="n">
        <v>29661</v>
      </c>
      <c r="I219" s="48" t="n">
        <v>5451.8</v>
      </c>
      <c r="J219" s="48" t="n">
        <v>7406.33</v>
      </c>
    </row>
    <row r="220">
      <c r="A220" s="50" t="inlineStr">
        <is>
          <t>Derrick Laws</t>
        </is>
      </c>
      <c r="B220" s="50" t="inlineStr">
        <is>
          <t>Amplify</t>
        </is>
      </c>
      <c r="C220" s="50" t="inlineStr">
        <is>
          <t>Mark Anthony</t>
        </is>
      </c>
      <c r="D220" s="50" t="inlineStr">
        <is>
          <t>Mike's Harder</t>
        </is>
      </c>
      <c r="E220" s="46" t="n">
        <v>153</v>
      </c>
      <c r="F220" s="46" t="n">
        <v>193</v>
      </c>
      <c r="G220" s="48" t="n">
        <v>4306.5</v>
      </c>
      <c r="H220" s="48" t="n">
        <v>5734.5</v>
      </c>
      <c r="I220" s="48" t="n">
        <v>971.67</v>
      </c>
      <c r="J220" s="48" t="n">
        <v>1255.1</v>
      </c>
    </row>
    <row r="221">
      <c r="A221" s="50" t="inlineStr">
        <is>
          <t>Derrick Laws</t>
        </is>
      </c>
      <c r="B221" s="50" t="inlineStr">
        <is>
          <t>Amplify</t>
        </is>
      </c>
      <c r="C221" s="50" t="inlineStr">
        <is>
          <t>Mark Anthony</t>
        </is>
      </c>
      <c r="D221" s="50" t="inlineStr">
        <is>
          <t>Mxd Cocktails</t>
        </is>
      </c>
      <c r="E221" s="46" t="n">
        <v>484</v>
      </c>
      <c r="F221" s="46" t="n">
        <v>613</v>
      </c>
      <c r="G221" s="48" t="n">
        <v>11616</v>
      </c>
      <c r="H221" s="48" t="n">
        <v>14848</v>
      </c>
      <c r="I221" s="48" t="n">
        <v>2183.25</v>
      </c>
      <c r="J221" s="48" t="n">
        <v>2785.05</v>
      </c>
    </row>
    <row r="222">
      <c r="A222" s="50" t="inlineStr">
        <is>
          <t>Derrick Laws</t>
        </is>
      </c>
      <c r="B222" s="50" t="inlineStr">
        <is>
          <t>Amplify</t>
        </is>
      </c>
      <c r="C222" s="50" t="inlineStr">
        <is>
          <t>MolsonCoors Beverage Company</t>
        </is>
      </c>
      <c r="D222" s="50" t="inlineStr">
        <is>
          <t>Coors</t>
        </is>
      </c>
      <c r="E222" s="46" t="n">
        <v>2725</v>
      </c>
      <c r="F222" s="46" t="n">
        <v>2561</v>
      </c>
      <c r="G222" s="48" t="n">
        <v>48789.95</v>
      </c>
      <c r="H222" s="48" t="n">
        <v>46254.95</v>
      </c>
      <c r="I222" s="48" t="n">
        <v>9772.969999999999</v>
      </c>
      <c r="J222" s="48" t="n">
        <v>9247.040000000001</v>
      </c>
    </row>
    <row r="223">
      <c r="A223" s="50" t="inlineStr">
        <is>
          <t>Derrick Laws</t>
        </is>
      </c>
      <c r="B223" s="50" t="inlineStr">
        <is>
          <t>Amplify</t>
        </is>
      </c>
      <c r="C223" s="50" t="inlineStr">
        <is>
          <t>MolsonCoors Beverage Company</t>
        </is>
      </c>
      <c r="D223" s="50" t="inlineStr">
        <is>
          <t>Fever Tree</t>
        </is>
      </c>
      <c r="E223" s="46" t="n">
        <v>0</v>
      </c>
      <c r="F223" s="46" t="n">
        <v>21</v>
      </c>
      <c r="G223" s="48" t="n">
        <v>0</v>
      </c>
      <c r="H223" s="48" t="n">
        <v>992.6</v>
      </c>
      <c r="I223" s="48" t="n">
        <v>0</v>
      </c>
      <c r="J223" s="48" t="n">
        <v>335.71</v>
      </c>
    </row>
    <row r="224">
      <c r="A224" s="50" t="inlineStr">
        <is>
          <t>Derrick Laws</t>
        </is>
      </c>
      <c r="B224" s="50" t="inlineStr">
        <is>
          <t>Amplify</t>
        </is>
      </c>
      <c r="C224" s="50" t="inlineStr">
        <is>
          <t>MolsonCoors Beverage Company</t>
        </is>
      </c>
      <c r="D224" s="50" t="inlineStr">
        <is>
          <t>Peroni</t>
        </is>
      </c>
      <c r="E224" s="46" t="n">
        <v>568</v>
      </c>
      <c r="F224" s="46" t="n">
        <v>583</v>
      </c>
      <c r="G224" s="48" t="n">
        <v>19471.4</v>
      </c>
      <c r="H224" s="48" t="n">
        <v>19706.5</v>
      </c>
      <c r="I224" s="48" t="n">
        <v>4140.06</v>
      </c>
      <c r="J224" s="48" t="n">
        <v>3906.67</v>
      </c>
    </row>
    <row r="225">
      <c r="A225" s="50" t="inlineStr">
        <is>
          <t>Derrick Laws</t>
        </is>
      </c>
      <c r="B225" s="50" t="inlineStr">
        <is>
          <t>Amplify</t>
        </is>
      </c>
      <c r="C225" s="50" t="inlineStr">
        <is>
          <t>Boston Beer Company</t>
        </is>
      </c>
      <c r="D225" s="50" t="inlineStr">
        <is>
          <t>Dogfish Head Beer</t>
        </is>
      </c>
      <c r="E225" s="46" t="n">
        <v>245</v>
      </c>
      <c r="F225" s="46" t="n">
        <v>114</v>
      </c>
      <c r="G225" s="48" t="n">
        <v>8404.1</v>
      </c>
      <c r="H225" s="48" t="n">
        <v>3777.5</v>
      </c>
      <c r="I225" s="48" t="n">
        <v>2129.39</v>
      </c>
      <c r="J225" s="48" t="n">
        <v>909.75</v>
      </c>
    </row>
    <row r="226">
      <c r="A226" s="50" t="inlineStr">
        <is>
          <t>Derrick Laws</t>
        </is>
      </c>
      <c r="B226" s="50" t="inlineStr">
        <is>
          <t>Amplify</t>
        </is>
      </c>
      <c r="C226" s="50" t="inlineStr">
        <is>
          <t>Boston Beer Company</t>
        </is>
      </c>
      <c r="D226" s="50" t="inlineStr">
        <is>
          <t>Dogfish Head Spirits</t>
        </is>
      </c>
      <c r="E226" s="46" t="n">
        <v>43</v>
      </c>
      <c r="F226" s="46" t="n">
        <v>53</v>
      </c>
      <c r="G226" s="48" t="n">
        <v>2260</v>
      </c>
      <c r="H226" s="48" t="n">
        <v>2485</v>
      </c>
      <c r="I226" s="48" t="n">
        <v>876.79</v>
      </c>
      <c r="J226" s="48" t="n">
        <v>828.4400000000001</v>
      </c>
    </row>
    <row r="227">
      <c r="A227" s="50" t="inlineStr">
        <is>
          <t>Derrick Laws</t>
        </is>
      </c>
      <c r="B227" s="50" t="inlineStr">
        <is>
          <t>Amplify</t>
        </is>
      </c>
      <c r="C227" s="50" t="inlineStr">
        <is>
          <t>Heineken USA</t>
        </is>
      </c>
      <c r="D227" s="50" t="inlineStr">
        <is>
          <t>Heineken 0.0</t>
        </is>
      </c>
      <c r="E227" s="46" t="n">
        <v>615</v>
      </c>
      <c r="F227" s="46" t="n">
        <v>539</v>
      </c>
      <c r="G227" s="48" t="n">
        <v>20685.4</v>
      </c>
      <c r="H227" s="48" t="n">
        <v>18147.3</v>
      </c>
      <c r="I227" s="48" t="n">
        <v>5489.92</v>
      </c>
      <c r="J227" s="48" t="n">
        <v>4818.15</v>
      </c>
    </row>
    <row r="228">
      <c r="A228" s="50" t="inlineStr">
        <is>
          <t>Derrick Laws</t>
        </is>
      </c>
      <c r="B228" s="50" t="inlineStr">
        <is>
          <t>Amplify</t>
        </is>
      </c>
      <c r="C228" s="50" t="inlineStr">
        <is>
          <t>Heineken USA</t>
        </is>
      </c>
      <c r="D228" s="50" t="inlineStr">
        <is>
          <t>Heineken Light</t>
        </is>
      </c>
      <c r="E228" s="46" t="n">
        <v>1856</v>
      </c>
      <c r="F228" s="46" t="n">
        <v>1509</v>
      </c>
      <c r="G228" s="48" t="n">
        <v>58026.2</v>
      </c>
      <c r="H228" s="48" t="n">
        <v>47379.75</v>
      </c>
      <c r="I228" s="48" t="n">
        <v>13890.8</v>
      </c>
      <c r="J228" s="48" t="n">
        <v>11505.45</v>
      </c>
    </row>
    <row r="229">
      <c r="A229" s="50" t="inlineStr">
        <is>
          <t>Derrick Laws</t>
        </is>
      </c>
      <c r="B229" s="50" t="inlineStr">
        <is>
          <t>Amplify</t>
        </is>
      </c>
      <c r="C229" s="50" t="inlineStr">
        <is>
          <t>Constellation Brands</t>
        </is>
      </c>
      <c r="D229" s="50" t="inlineStr">
        <is>
          <t>Corona Premier</t>
        </is>
      </c>
      <c r="E229" s="46" t="n">
        <v>638</v>
      </c>
      <c r="F229" s="46" t="n">
        <v>585</v>
      </c>
      <c r="G229" s="48" t="n">
        <v>20018.9</v>
      </c>
      <c r="H229" s="48" t="n">
        <v>16195.47</v>
      </c>
      <c r="I229" s="48" t="n">
        <v>4523.05</v>
      </c>
      <c r="J229" s="48" t="n">
        <v>3798.18</v>
      </c>
    </row>
    <row r="230">
      <c r="A230" s="50" t="inlineStr">
        <is>
          <t>Derrick Laws</t>
        </is>
      </c>
      <c r="B230" s="50" t="inlineStr">
        <is>
          <t>Amplify</t>
        </is>
      </c>
      <c r="C230" s="50" t="inlineStr">
        <is>
          <t>Constellation Brands</t>
        </is>
      </c>
      <c r="D230" s="50" t="inlineStr">
        <is>
          <t>Modelo Chelada</t>
        </is>
      </c>
      <c r="E230" s="46" t="n">
        <v>2426</v>
      </c>
      <c r="F230" s="46" t="n">
        <v>2638</v>
      </c>
      <c r="G230" s="48" t="n">
        <v>75341.89999999999</v>
      </c>
      <c r="H230" s="48" t="n">
        <v>81291.14999999999</v>
      </c>
      <c r="I230" s="48" t="n">
        <v>19523.13</v>
      </c>
      <c r="J230" s="48" t="n">
        <v>20611.81</v>
      </c>
    </row>
    <row r="231">
      <c r="A231" s="50" t="inlineStr">
        <is>
          <t>Derrick Laws</t>
        </is>
      </c>
      <c r="B231" s="50" t="inlineStr">
        <is>
          <t>Amplify</t>
        </is>
      </c>
      <c r="C231" s="50" t="inlineStr">
        <is>
          <t>Constellation Brands</t>
        </is>
      </c>
      <c r="D231" s="50" t="inlineStr">
        <is>
          <t>Pacifico</t>
        </is>
      </c>
      <c r="E231" s="46" t="n">
        <v>433</v>
      </c>
      <c r="F231" s="46" t="n">
        <v>655</v>
      </c>
      <c r="G231" s="48" t="n">
        <v>13397.4</v>
      </c>
      <c r="H231" s="48" t="n">
        <v>20451.35</v>
      </c>
      <c r="I231" s="48" t="n">
        <v>3094.21</v>
      </c>
      <c r="J231" s="48" t="n">
        <v>4799.51</v>
      </c>
    </row>
    <row r="232">
      <c r="A232" s="50" t="inlineStr">
        <is>
          <t>Derrick Laws</t>
        </is>
      </c>
      <c r="B232" s="50" t="inlineStr">
        <is>
          <t>Amplify</t>
        </is>
      </c>
      <c r="C232" s="50" t="inlineStr">
        <is>
          <t>Constellation Brands</t>
        </is>
      </c>
      <c r="D232" s="50" t="inlineStr">
        <is>
          <t>Victoria</t>
        </is>
      </c>
      <c r="E232" s="46" t="n">
        <v>1399</v>
      </c>
      <c r="F232" s="46" t="n">
        <v>1732</v>
      </c>
      <c r="G232" s="48" t="n">
        <v>42114.2</v>
      </c>
      <c r="H232" s="48" t="n">
        <v>52593.7</v>
      </c>
      <c r="I232" s="48" t="n">
        <v>9984.77</v>
      </c>
      <c r="J232" s="48" t="n">
        <v>12470.96</v>
      </c>
    </row>
    <row r="233">
      <c r="A233" s="50" t="inlineStr">
        <is>
          <t>Derrick Laws</t>
        </is>
      </c>
      <c r="B233" s="50" t="inlineStr">
        <is>
          <t>Amplify</t>
        </is>
      </c>
      <c r="C233" s="50" t="inlineStr">
        <is>
          <t>Sapporo</t>
        </is>
      </c>
      <c r="D233" s="50" t="inlineStr">
        <is>
          <t>Sapporo</t>
        </is>
      </c>
      <c r="E233" s="46" t="n">
        <v>285</v>
      </c>
      <c r="F233" s="46" t="n">
        <v>446</v>
      </c>
      <c r="G233" s="48" t="n">
        <v>8568</v>
      </c>
      <c r="H233" s="48" t="n">
        <v>12869.5</v>
      </c>
      <c r="I233" s="48" t="n">
        <v>2264.42</v>
      </c>
      <c r="J233" s="48" t="n">
        <v>3360.21</v>
      </c>
    </row>
    <row r="234">
      <c r="A234" s="50" t="inlineStr">
        <is>
          <t>Derrick Laws</t>
        </is>
      </c>
      <c r="B234" s="50" t="inlineStr">
        <is>
          <t>Amplify</t>
        </is>
      </c>
      <c r="C234" s="50" t="inlineStr">
        <is>
          <t>Bell's</t>
        </is>
      </c>
      <c r="D234" s="50" t="inlineStr">
        <is>
          <t>Bell's</t>
        </is>
      </c>
      <c r="E234" s="46" t="n">
        <v>0</v>
      </c>
      <c r="F234" s="46" t="n">
        <v>2</v>
      </c>
      <c r="G234" s="48" t="n">
        <v>0</v>
      </c>
      <c r="H234" s="48" t="n">
        <v>72.8</v>
      </c>
      <c r="I234" s="48" t="n">
        <v>0</v>
      </c>
      <c r="J234" s="48" t="n">
        <v>27.24</v>
      </c>
    </row>
    <row r="235">
      <c r="A235" s="50" t="inlineStr">
        <is>
          <t>Derrick Laws</t>
        </is>
      </c>
      <c r="B235" s="50" t="inlineStr">
        <is>
          <t>Amplify</t>
        </is>
      </c>
      <c r="C235" s="50" t="inlineStr">
        <is>
          <t>New Belgium Brewing Company</t>
        </is>
      </c>
      <c r="D235" s="50" t="inlineStr">
        <is>
          <t>Fat Tire Family</t>
        </is>
      </c>
      <c r="E235" s="46" t="n">
        <v>11</v>
      </c>
      <c r="F235" s="46" t="n">
        <v>6</v>
      </c>
      <c r="G235" s="48" t="n">
        <v>385.5</v>
      </c>
      <c r="H235" s="48" t="n">
        <v>195.5</v>
      </c>
      <c r="I235" s="48" t="n">
        <v>96.5</v>
      </c>
      <c r="J235" s="48" t="n">
        <v>37.5</v>
      </c>
    </row>
    <row r="236">
      <c r="A236" s="50" t="inlineStr">
        <is>
          <t>Derrick Laws</t>
        </is>
      </c>
      <c r="B236" s="50" t="inlineStr">
        <is>
          <t>Amplify</t>
        </is>
      </c>
      <c r="C236" s="50" t="inlineStr">
        <is>
          <t>New Belgium Brewing Company</t>
        </is>
      </c>
      <c r="D236" s="50" t="inlineStr">
        <is>
          <t>Kirin Ichiban</t>
        </is>
      </c>
      <c r="E236" s="46" t="n">
        <v>0</v>
      </c>
      <c r="F236" s="46" t="n">
        <v>12</v>
      </c>
      <c r="G236" s="48" t="n">
        <v>0</v>
      </c>
      <c r="H236" s="48" t="n">
        <v>391.5</v>
      </c>
      <c r="I236" s="48" t="n">
        <v>0</v>
      </c>
      <c r="J236" s="48" t="n">
        <v>110.22</v>
      </c>
    </row>
    <row r="237">
      <c r="A237" s="50" t="inlineStr">
        <is>
          <t>Derrick Laws</t>
        </is>
      </c>
      <c r="B237" s="50" t="inlineStr">
        <is>
          <t>Amplify</t>
        </is>
      </c>
      <c r="C237" s="50" t="inlineStr">
        <is>
          <t>New Belgium Brewing Company</t>
        </is>
      </c>
      <c r="D237" s="50" t="inlineStr">
        <is>
          <t>Voodoo Family</t>
        </is>
      </c>
      <c r="E237" s="46" t="n">
        <v>298</v>
      </c>
      <c r="F237" s="46" t="n">
        <v>378</v>
      </c>
      <c r="G237" s="48" t="n">
        <v>10822.2</v>
      </c>
      <c r="H237" s="48" t="n">
        <v>13520.3</v>
      </c>
      <c r="I237" s="48" t="n">
        <v>2712.66</v>
      </c>
      <c r="J237" s="48" t="n">
        <v>3300.28</v>
      </c>
    </row>
    <row r="238">
      <c r="A238" s="50" t="inlineStr">
        <is>
          <t>Derrick Laws</t>
        </is>
      </c>
      <c r="B238" s="50" t="inlineStr">
        <is>
          <t>Amplify</t>
        </is>
      </c>
      <c r="C238" s="50" t="inlineStr">
        <is>
          <t>DG Yuengling Inc</t>
        </is>
      </c>
      <c r="D238" s="50" t="inlineStr">
        <is>
          <t>Yuengling Flight</t>
        </is>
      </c>
      <c r="E238" s="46" t="n">
        <v>63</v>
      </c>
      <c r="F238" s="46" t="n">
        <v>36</v>
      </c>
      <c r="G238" s="48" t="n">
        <v>1517.65</v>
      </c>
      <c r="H238" s="48" t="n">
        <v>882.75</v>
      </c>
      <c r="I238" s="48" t="n">
        <v>464.19</v>
      </c>
      <c r="J238" s="48" t="n">
        <v>271.93</v>
      </c>
    </row>
    <row r="239">
      <c r="A239" s="50" t="inlineStr">
        <is>
          <t>Derrick Laws</t>
        </is>
      </c>
      <c r="B239" s="50" t="inlineStr">
        <is>
          <t>Amplify</t>
        </is>
      </c>
      <c r="C239" s="50" t="inlineStr">
        <is>
          <t>DG Yuengling Inc</t>
        </is>
      </c>
      <c r="D239" s="50" t="inlineStr">
        <is>
          <t>Yuengling Light Lager</t>
        </is>
      </c>
      <c r="E239" s="46" t="n">
        <v>10</v>
      </c>
      <c r="F239" s="46" t="n">
        <v>8</v>
      </c>
      <c r="G239" s="48" t="n">
        <v>270</v>
      </c>
      <c r="H239" s="48" t="n">
        <v>214</v>
      </c>
      <c r="I239" s="48" t="n">
        <v>79.15000000000001</v>
      </c>
      <c r="J239" s="48" t="n">
        <v>64.94</v>
      </c>
    </row>
    <row r="240">
      <c r="A240" s="50" t="inlineStr">
        <is>
          <t>Derrick Laws</t>
        </is>
      </c>
      <c r="B240" s="50" t="inlineStr">
        <is>
          <t>Qualifier</t>
        </is>
      </c>
      <c r="C240" s="50" t="inlineStr">
        <is>
          <t>MolsonCoors Beverage Company</t>
        </is>
      </c>
      <c r="D240" s="50" t="inlineStr">
        <is>
          <t>Blue Moon</t>
        </is>
      </c>
      <c r="E240" s="46" t="n">
        <v>821</v>
      </c>
      <c r="F240" s="46" t="n">
        <v>764</v>
      </c>
      <c r="G240" s="48" t="n">
        <v>26706.15</v>
      </c>
      <c r="H240" s="48" t="n">
        <v>24915.85</v>
      </c>
      <c r="I240" s="48" t="n">
        <v>6146.43</v>
      </c>
      <c r="J240" s="48" t="n">
        <v>5721.29</v>
      </c>
    </row>
    <row r="241">
      <c r="A241" s="50" t="inlineStr">
        <is>
          <t>Derrick Laws</t>
        </is>
      </c>
      <c r="B241" s="50" t="inlineStr">
        <is>
          <t>Qualifier</t>
        </is>
      </c>
      <c r="C241" s="50" t="inlineStr">
        <is>
          <t>MolsonCoors Beverage Company</t>
        </is>
      </c>
      <c r="D241" s="50" t="inlineStr">
        <is>
          <t>Coors Light</t>
        </is>
      </c>
      <c r="E241" s="46" t="n">
        <v>21085</v>
      </c>
      <c r="F241" s="46" t="n">
        <v>19878</v>
      </c>
      <c r="G241" s="48" t="n">
        <v>398234.55</v>
      </c>
      <c r="H241" s="48" t="n">
        <v>381185.4</v>
      </c>
      <c r="I241" s="48" t="n">
        <v>84569.64</v>
      </c>
      <c r="J241" s="48" t="n">
        <v>82849.44</v>
      </c>
    </row>
    <row r="242">
      <c r="A242" s="50" t="inlineStr">
        <is>
          <t>Derrick Laws</t>
        </is>
      </c>
      <c r="B242" s="50" t="inlineStr">
        <is>
          <t>Qualifier</t>
        </is>
      </c>
      <c r="C242" s="50" t="inlineStr">
        <is>
          <t>MolsonCoors Beverage Company</t>
        </is>
      </c>
      <c r="D242" s="50" t="inlineStr">
        <is>
          <t>Lite</t>
        </is>
      </c>
      <c r="E242" s="46" t="n">
        <v>2330</v>
      </c>
      <c r="F242" s="46" t="n">
        <v>2338</v>
      </c>
      <c r="G242" s="48" t="n">
        <v>48880.5</v>
      </c>
      <c r="H242" s="48" t="n">
        <v>49139.9</v>
      </c>
      <c r="I242" s="48" t="n">
        <v>11018.5</v>
      </c>
      <c r="J242" s="48" t="n">
        <v>10880.55</v>
      </c>
    </row>
    <row r="243">
      <c r="A243" s="50" t="inlineStr">
        <is>
          <t>Derrick Laws</t>
        </is>
      </c>
      <c r="B243" s="50" t="inlineStr">
        <is>
          <t>Qualifier</t>
        </is>
      </c>
      <c r="C243" s="50" t="inlineStr">
        <is>
          <t>Heineken USA</t>
        </is>
      </c>
      <c r="D243" s="50" t="inlineStr">
        <is>
          <t>Heineken USA</t>
        </is>
      </c>
      <c r="E243" s="46" t="n">
        <v>15944</v>
      </c>
      <c r="F243" s="46" t="n">
        <v>13396</v>
      </c>
      <c r="G243" s="48" t="n">
        <v>503806.6</v>
      </c>
      <c r="H243" s="48" t="n">
        <v>418679.1</v>
      </c>
      <c r="I243" s="48" t="n">
        <v>120979.99</v>
      </c>
      <c r="J243" s="48" t="n">
        <v>97474.14</v>
      </c>
    </row>
    <row r="244">
      <c r="A244" s="50" t="inlineStr">
        <is>
          <t>Derrick Laws</t>
        </is>
      </c>
      <c r="B244" s="50" t="inlineStr">
        <is>
          <t>Qualifier</t>
        </is>
      </c>
      <c r="C244" s="50" t="inlineStr">
        <is>
          <t>Constellation Brands</t>
        </is>
      </c>
      <c r="D244" s="50" t="inlineStr">
        <is>
          <t>Corona Extra</t>
        </is>
      </c>
      <c r="E244" s="46" t="n">
        <v>47618</v>
      </c>
      <c r="F244" s="46" t="n">
        <v>44884</v>
      </c>
      <c r="G244" s="48" t="n">
        <v>1564896.85</v>
      </c>
      <c r="H244" s="48" t="n">
        <v>1487601.7</v>
      </c>
      <c r="I244" s="48" t="n">
        <v>379941.66</v>
      </c>
      <c r="J244" s="48" t="n">
        <v>362892.74</v>
      </c>
    </row>
    <row r="245">
      <c r="A245" s="50" t="inlineStr">
        <is>
          <t>Derrick Laws</t>
        </is>
      </c>
      <c r="B245" s="50" t="inlineStr">
        <is>
          <t>Qualifier</t>
        </is>
      </c>
      <c r="C245" s="50" t="inlineStr">
        <is>
          <t>Constellation Brands</t>
        </is>
      </c>
      <c r="D245" s="50" t="inlineStr">
        <is>
          <t>Modelo Especial</t>
        </is>
      </c>
      <c r="E245" s="46" t="n">
        <v>30591</v>
      </c>
      <c r="F245" s="46" t="n">
        <v>28254</v>
      </c>
      <c r="G245" s="48" t="n">
        <v>953238.65</v>
      </c>
      <c r="H245" s="48" t="n">
        <v>881273.9</v>
      </c>
      <c r="I245" s="48" t="n">
        <v>222535.52</v>
      </c>
      <c r="J245" s="48" t="n">
        <v>206083.02</v>
      </c>
    </row>
    <row r="246">
      <c r="A246" s="50" t="inlineStr">
        <is>
          <t>Derrick Laws</t>
        </is>
      </c>
      <c r="B246" s="50" t="inlineStr">
        <is>
          <t>Qualifier</t>
        </is>
      </c>
      <c r="C246" s="50" t="inlineStr">
        <is>
          <t>Boston Beer Company</t>
        </is>
      </c>
      <c r="D246" s="50" t="inlineStr">
        <is>
          <t>Truly</t>
        </is>
      </c>
      <c r="E246" s="46" t="n">
        <v>252</v>
      </c>
      <c r="F246" s="46" t="n">
        <v>160</v>
      </c>
      <c r="G246" s="48" t="n">
        <v>7302.6</v>
      </c>
      <c r="H246" s="48" t="n">
        <v>4644.3</v>
      </c>
      <c r="I246" s="48" t="n">
        <v>1601.01</v>
      </c>
      <c r="J246" s="48" t="n">
        <v>1022.67</v>
      </c>
    </row>
    <row r="247">
      <c r="A247" s="50" t="inlineStr">
        <is>
          <t>Derrick Laws</t>
        </is>
      </c>
      <c r="B247" s="50" t="inlineStr">
        <is>
          <t>Qualifier</t>
        </is>
      </c>
      <c r="C247" s="50" t="inlineStr">
        <is>
          <t>Boston Beer Company</t>
        </is>
      </c>
      <c r="D247" s="50" t="inlineStr">
        <is>
          <t>Twisted Tea</t>
        </is>
      </c>
      <c r="E247" s="46" t="n">
        <v>904</v>
      </c>
      <c r="F247" s="46" t="n">
        <v>990</v>
      </c>
      <c r="G247" s="48" t="n">
        <v>26576.5</v>
      </c>
      <c r="H247" s="48" t="n">
        <v>28258.5</v>
      </c>
      <c r="I247" s="48" t="n">
        <v>6739.28</v>
      </c>
      <c r="J247" s="48" t="n">
        <v>6423.66</v>
      </c>
    </row>
    <row r="248">
      <c r="A248" s="50" t="inlineStr">
        <is>
          <t>Derrick Laws</t>
        </is>
      </c>
      <c r="B248" s="50" t="inlineStr">
        <is>
          <t>Qualifier</t>
        </is>
      </c>
      <c r="C248" s="50" t="inlineStr">
        <is>
          <t>Mark Anthony</t>
        </is>
      </c>
      <c r="D248" s="50" t="inlineStr">
        <is>
          <t>White Claw</t>
        </is>
      </c>
      <c r="E248" s="46" t="n">
        <v>2273</v>
      </c>
      <c r="F248" s="46" t="n">
        <v>2243</v>
      </c>
      <c r="G248" s="48" t="n">
        <v>70661.95</v>
      </c>
      <c r="H248" s="48" t="n">
        <v>69110.45</v>
      </c>
      <c r="I248" s="48" t="n">
        <v>14094.14</v>
      </c>
      <c r="J248" s="48" t="n">
        <v>12885.28</v>
      </c>
    </row>
    <row r="249">
      <c r="A249" s="50" t="inlineStr">
        <is>
          <t>Derrick Laws</t>
        </is>
      </c>
      <c r="B249" s="50" t="inlineStr">
        <is>
          <t>Qualifier</t>
        </is>
      </c>
      <c r="C249" s="50" t="inlineStr">
        <is>
          <t>DG Yuengling Inc</t>
        </is>
      </c>
      <c r="D249" s="50" t="inlineStr">
        <is>
          <t>Yuengling Lager</t>
        </is>
      </c>
      <c r="E249" s="46" t="n">
        <v>841</v>
      </c>
      <c r="F249" s="46" t="n">
        <v>622</v>
      </c>
      <c r="G249" s="48" t="n">
        <v>18842.6</v>
      </c>
      <c r="H249" s="48" t="n">
        <v>13589.2</v>
      </c>
      <c r="I249" s="48" t="n">
        <v>5045.2</v>
      </c>
      <c r="J249" s="48" t="n">
        <v>3613.39</v>
      </c>
    </row>
    <row r="250">
      <c r="A250" s="50" t="inlineStr">
        <is>
          <t>Dylan Rubino</t>
        </is>
      </c>
      <c r="B250" s="50" t="inlineStr">
        <is>
          <t>Amplify</t>
        </is>
      </c>
      <c r="C250" s="50" t="inlineStr">
        <is>
          <t>Mark Anthony</t>
        </is>
      </c>
      <c r="D250" s="50" t="inlineStr">
        <is>
          <t>Cayman Jack</t>
        </is>
      </c>
      <c r="E250" s="46" t="n">
        <v>11</v>
      </c>
      <c r="F250" s="46" t="n">
        <v>13</v>
      </c>
      <c r="G250" s="48" t="n">
        <v>393.5</v>
      </c>
      <c r="H250" s="48" t="n">
        <v>435</v>
      </c>
      <c r="I250" s="48" t="n">
        <v>112.07</v>
      </c>
      <c r="J250" s="48" t="n">
        <v>109.96</v>
      </c>
    </row>
    <row r="251">
      <c r="A251" s="50" t="inlineStr">
        <is>
          <t>Dylan Rubino</t>
        </is>
      </c>
      <c r="B251" s="50" t="inlineStr">
        <is>
          <t>Amplify</t>
        </is>
      </c>
      <c r="C251" s="50" t="inlineStr">
        <is>
          <t>Mark Anthony</t>
        </is>
      </c>
      <c r="D251" s="50" t="inlineStr">
        <is>
          <t>Mike's Harder</t>
        </is>
      </c>
      <c r="E251" s="46" t="n">
        <v>11</v>
      </c>
      <c r="F251" s="46" t="n">
        <v>3</v>
      </c>
      <c r="G251" s="48" t="n">
        <v>302</v>
      </c>
      <c r="H251" s="48" t="n">
        <v>87</v>
      </c>
      <c r="I251" s="48" t="n">
        <v>69.3</v>
      </c>
      <c r="J251" s="48" t="n">
        <v>20.04</v>
      </c>
    </row>
    <row r="252">
      <c r="A252" s="50" t="inlineStr">
        <is>
          <t>Dylan Rubino</t>
        </is>
      </c>
      <c r="B252" s="50" t="inlineStr">
        <is>
          <t>Amplify</t>
        </is>
      </c>
      <c r="C252" s="50" t="inlineStr">
        <is>
          <t>MolsonCoors Beverage Company</t>
        </is>
      </c>
      <c r="D252" s="50" t="inlineStr">
        <is>
          <t>Peroni</t>
        </is>
      </c>
      <c r="E252" s="46" t="n">
        <v>-6</v>
      </c>
      <c r="F252" s="46" t="n">
        <v>13</v>
      </c>
      <c r="G252" s="48" t="n">
        <v>-167.8</v>
      </c>
      <c r="H252" s="48" t="n">
        <v>460.7</v>
      </c>
      <c r="I252" s="48" t="n">
        <v>-25.5</v>
      </c>
      <c r="J252" s="48" t="n">
        <v>90.56</v>
      </c>
    </row>
    <row r="253">
      <c r="A253" s="50" t="inlineStr">
        <is>
          <t>Dylan Rubino</t>
        </is>
      </c>
      <c r="B253" s="50" t="inlineStr">
        <is>
          <t>Amplify</t>
        </is>
      </c>
      <c r="C253" s="50" t="inlineStr">
        <is>
          <t>Boston Beer Company</t>
        </is>
      </c>
      <c r="D253" s="50" t="inlineStr">
        <is>
          <t>Dogfish Head Beer</t>
        </is>
      </c>
      <c r="E253" s="46" t="n">
        <v>5</v>
      </c>
      <c r="F253" s="46" t="n">
        <v>5</v>
      </c>
      <c r="G253" s="48" t="n">
        <v>194.2</v>
      </c>
      <c r="H253" s="48" t="n">
        <v>187</v>
      </c>
      <c r="I253" s="48" t="n">
        <v>64.61</v>
      </c>
      <c r="J253" s="48" t="n">
        <v>62.6</v>
      </c>
    </row>
    <row r="254">
      <c r="A254" s="50" t="inlineStr">
        <is>
          <t>Dylan Rubino</t>
        </is>
      </c>
      <c r="B254" s="50" t="inlineStr">
        <is>
          <t>Amplify</t>
        </is>
      </c>
      <c r="C254" s="50" t="inlineStr">
        <is>
          <t>Boston Beer Company</t>
        </is>
      </c>
      <c r="D254" s="50" t="inlineStr">
        <is>
          <t>Dogfish Head Spirits</t>
        </is>
      </c>
      <c r="E254" s="46" t="n">
        <v>0</v>
      </c>
      <c r="F254" s="46" t="n">
        <v>2</v>
      </c>
      <c r="G254" s="48" t="n">
        <v>0</v>
      </c>
      <c r="H254" s="48" t="n">
        <v>96</v>
      </c>
      <c r="I254" s="48" t="n">
        <v>0</v>
      </c>
      <c r="J254" s="48" t="n">
        <v>37.16</v>
      </c>
    </row>
    <row r="255">
      <c r="A255" s="50" t="inlineStr">
        <is>
          <t>Dylan Rubino</t>
        </is>
      </c>
      <c r="B255" s="50" t="inlineStr">
        <is>
          <t>Amplify</t>
        </is>
      </c>
      <c r="C255" s="50" t="inlineStr">
        <is>
          <t>Heineken USA</t>
        </is>
      </c>
      <c r="D255" s="50" t="inlineStr">
        <is>
          <t>Heineken 0.0</t>
        </is>
      </c>
      <c r="E255" s="46" t="n">
        <v>3</v>
      </c>
      <c r="F255" s="46" t="n">
        <v>9</v>
      </c>
      <c r="G255" s="48" t="n">
        <v>94.05</v>
      </c>
      <c r="H255" s="48" t="n">
        <v>328.5</v>
      </c>
      <c r="I255" s="48" t="n">
        <v>24.96</v>
      </c>
      <c r="J255" s="48" t="n">
        <v>97.75</v>
      </c>
    </row>
    <row r="256">
      <c r="A256" s="50" t="inlineStr">
        <is>
          <t>Dylan Rubino</t>
        </is>
      </c>
      <c r="B256" s="50" t="inlineStr">
        <is>
          <t>Amplify</t>
        </is>
      </c>
      <c r="C256" s="50" t="inlineStr">
        <is>
          <t>Heineken USA</t>
        </is>
      </c>
      <c r="D256" s="50" t="inlineStr">
        <is>
          <t>Heineken Light</t>
        </is>
      </c>
      <c r="E256" s="46" t="n">
        <v>1</v>
      </c>
      <c r="F256" s="46" t="n">
        <v>0</v>
      </c>
      <c r="G256" s="48" t="n">
        <v>36</v>
      </c>
      <c r="H256" s="48" t="n">
        <v>0</v>
      </c>
      <c r="I256" s="48" t="n">
        <v>12.2</v>
      </c>
      <c r="J256" s="48" t="n">
        <v>0</v>
      </c>
    </row>
    <row r="257">
      <c r="A257" s="50" t="inlineStr">
        <is>
          <t>Dylan Rubino</t>
        </is>
      </c>
      <c r="B257" s="50" t="inlineStr">
        <is>
          <t>Amplify</t>
        </is>
      </c>
      <c r="C257" s="50" t="inlineStr">
        <is>
          <t>Constellation Brands</t>
        </is>
      </c>
      <c r="D257" s="50" t="inlineStr">
        <is>
          <t>Corona Premier</t>
        </is>
      </c>
      <c r="E257" s="46" t="n">
        <v>4</v>
      </c>
      <c r="F257" s="46" t="n">
        <v>5</v>
      </c>
      <c r="G257" s="48" t="n">
        <v>130</v>
      </c>
      <c r="H257" s="48" t="n">
        <v>139.1</v>
      </c>
      <c r="I257" s="48" t="n">
        <v>36.38</v>
      </c>
      <c r="J257" s="48" t="n">
        <v>27.62</v>
      </c>
    </row>
    <row r="258">
      <c r="A258" s="50" t="inlineStr">
        <is>
          <t>Dylan Rubino</t>
        </is>
      </c>
      <c r="B258" s="50" t="inlineStr">
        <is>
          <t>Amplify</t>
        </is>
      </c>
      <c r="C258" s="50" t="inlineStr">
        <is>
          <t>Constellation Brands</t>
        </is>
      </c>
      <c r="D258" s="50" t="inlineStr">
        <is>
          <t>Modelo Chelada</t>
        </is>
      </c>
      <c r="E258" s="46" t="n">
        <v>10</v>
      </c>
      <c r="F258" s="46" t="n">
        <v>9</v>
      </c>
      <c r="G258" s="48" t="n">
        <v>312.65</v>
      </c>
      <c r="H258" s="48" t="n">
        <v>283.95</v>
      </c>
      <c r="I258" s="48" t="n">
        <v>84.22</v>
      </c>
      <c r="J258" s="48" t="n">
        <v>79.59</v>
      </c>
    </row>
    <row r="259">
      <c r="A259" s="50" t="inlineStr">
        <is>
          <t>Dylan Rubino</t>
        </is>
      </c>
      <c r="B259" s="50" t="inlineStr">
        <is>
          <t>Amplify</t>
        </is>
      </c>
      <c r="C259" s="50" t="inlineStr">
        <is>
          <t>Constellation Brands</t>
        </is>
      </c>
      <c r="D259" s="50" t="inlineStr">
        <is>
          <t>Pacifico</t>
        </is>
      </c>
      <c r="E259" s="46" t="n">
        <v>0</v>
      </c>
      <c r="F259" s="46" t="n">
        <v>1</v>
      </c>
      <c r="G259" s="48" t="n">
        <v>0</v>
      </c>
      <c r="H259" s="48" t="n">
        <v>32.5</v>
      </c>
      <c r="I259" s="48" t="n">
        <v>0</v>
      </c>
      <c r="J259" s="48" t="n">
        <v>8.369999999999999</v>
      </c>
    </row>
    <row r="260">
      <c r="A260" s="50" t="inlineStr">
        <is>
          <t>Dylan Rubino</t>
        </is>
      </c>
      <c r="B260" s="50" t="inlineStr">
        <is>
          <t>Amplify</t>
        </is>
      </c>
      <c r="C260" s="50" t="inlineStr">
        <is>
          <t>Constellation Brands</t>
        </is>
      </c>
      <c r="D260" s="50" t="inlineStr">
        <is>
          <t>Victoria</t>
        </is>
      </c>
      <c r="E260" s="46" t="n">
        <v>3</v>
      </c>
      <c r="F260" s="46" t="n">
        <v>3</v>
      </c>
      <c r="G260" s="48" t="n">
        <v>102</v>
      </c>
      <c r="H260" s="48" t="n">
        <v>96.7</v>
      </c>
      <c r="I260" s="48" t="n">
        <v>29.61</v>
      </c>
      <c r="J260" s="48" t="n">
        <v>24.31</v>
      </c>
    </row>
    <row r="261">
      <c r="A261" s="50" t="inlineStr">
        <is>
          <t>Dylan Rubino</t>
        </is>
      </c>
      <c r="B261" s="50" t="inlineStr">
        <is>
          <t>Amplify</t>
        </is>
      </c>
      <c r="C261" s="50" t="inlineStr">
        <is>
          <t>Sapporo</t>
        </is>
      </c>
      <c r="D261" s="50" t="inlineStr">
        <is>
          <t>Sapporo</t>
        </is>
      </c>
      <c r="E261" s="46" t="n">
        <v>3831</v>
      </c>
      <c r="F261" s="46" t="n">
        <v>4869</v>
      </c>
      <c r="G261" s="48" t="n">
        <v>107026.75</v>
      </c>
      <c r="H261" s="48" t="n">
        <v>138077.5</v>
      </c>
      <c r="I261" s="48" t="n">
        <v>26002.39</v>
      </c>
      <c r="J261" s="48" t="n">
        <v>34280.79</v>
      </c>
    </row>
    <row r="262">
      <c r="A262" s="50" t="inlineStr">
        <is>
          <t>Dylan Rubino</t>
        </is>
      </c>
      <c r="B262" s="50" t="inlineStr">
        <is>
          <t>Amplify</t>
        </is>
      </c>
      <c r="C262" s="50" t="inlineStr">
        <is>
          <t>New Belgium Brewing Company</t>
        </is>
      </c>
      <c r="D262" s="50" t="inlineStr">
        <is>
          <t>Kirin Ichiban</t>
        </is>
      </c>
      <c r="E262" s="46" t="n">
        <v>0</v>
      </c>
      <c r="F262" s="46" t="n">
        <v>10</v>
      </c>
      <c r="G262" s="48" t="n">
        <v>0</v>
      </c>
      <c r="H262" s="48" t="n">
        <v>315</v>
      </c>
      <c r="I262" s="48" t="n">
        <v>0</v>
      </c>
      <c r="J262" s="48" t="n">
        <v>73.2</v>
      </c>
    </row>
    <row r="263">
      <c r="A263" s="50" t="inlineStr">
        <is>
          <t>Dylan Rubino</t>
        </is>
      </c>
      <c r="B263" s="50" t="inlineStr">
        <is>
          <t>Amplify</t>
        </is>
      </c>
      <c r="C263" s="50" t="inlineStr">
        <is>
          <t>New Belgium Brewing Company</t>
        </is>
      </c>
      <c r="D263" s="50" t="inlineStr">
        <is>
          <t>Voodoo Family</t>
        </is>
      </c>
      <c r="E263" s="46" t="n">
        <v>14</v>
      </c>
      <c r="F263" s="46" t="n">
        <v>15</v>
      </c>
      <c r="G263" s="48" t="n">
        <v>521</v>
      </c>
      <c r="H263" s="48" t="n">
        <v>566.4</v>
      </c>
      <c r="I263" s="48" t="n">
        <v>140.6</v>
      </c>
      <c r="J263" s="48" t="n">
        <v>159</v>
      </c>
    </row>
    <row r="264">
      <c r="A264" s="50" t="inlineStr">
        <is>
          <t>Dylan Rubino</t>
        </is>
      </c>
      <c r="B264" s="50" t="inlineStr">
        <is>
          <t>Amplify</t>
        </is>
      </c>
      <c r="C264" s="50" t="inlineStr">
        <is>
          <t>DG Yuengling Inc</t>
        </is>
      </c>
      <c r="D264" s="50" t="inlineStr">
        <is>
          <t>Yuengling Flight</t>
        </is>
      </c>
      <c r="E264" s="46" t="n">
        <v>11</v>
      </c>
      <c r="F264" s="46" t="n">
        <v>1</v>
      </c>
      <c r="G264" s="48" t="n">
        <v>213.5</v>
      </c>
      <c r="H264" s="48" t="n">
        <v>21.5</v>
      </c>
      <c r="I264" s="48" t="n">
        <v>50.29</v>
      </c>
      <c r="J264" s="48" t="n">
        <v>4.94</v>
      </c>
    </row>
    <row r="265">
      <c r="A265" s="50" t="inlineStr">
        <is>
          <t>Dylan Rubino</t>
        </is>
      </c>
      <c r="B265" s="50" t="inlineStr">
        <is>
          <t>Qualifier</t>
        </is>
      </c>
      <c r="C265" s="50" t="inlineStr">
        <is>
          <t>MolsonCoors Beverage Company</t>
        </is>
      </c>
      <c r="D265" s="50" t="inlineStr">
        <is>
          <t>Blue Moon</t>
        </is>
      </c>
      <c r="E265" s="46" t="n">
        <v>15</v>
      </c>
      <c r="F265" s="46" t="n">
        <v>8</v>
      </c>
      <c r="G265" s="48" t="n">
        <v>512.1</v>
      </c>
      <c r="H265" s="48" t="n">
        <v>265.6</v>
      </c>
      <c r="I265" s="48" t="n">
        <v>135.76</v>
      </c>
      <c r="J265" s="48" t="n">
        <v>70.7</v>
      </c>
    </row>
    <row r="266">
      <c r="A266" s="50" t="inlineStr">
        <is>
          <t>Dylan Rubino</t>
        </is>
      </c>
      <c r="B266" s="50" t="inlineStr">
        <is>
          <t>Qualifier</t>
        </is>
      </c>
      <c r="C266" s="50" t="inlineStr">
        <is>
          <t>MolsonCoors Beverage Company</t>
        </is>
      </c>
      <c r="D266" s="50" t="inlineStr">
        <is>
          <t>Coors Light</t>
        </is>
      </c>
      <c r="E266" s="46" t="n">
        <v>170</v>
      </c>
      <c r="F266" s="46" t="n">
        <v>176</v>
      </c>
      <c r="G266" s="48" t="n">
        <v>3484.95</v>
      </c>
      <c r="H266" s="48" t="n">
        <v>3484.7</v>
      </c>
      <c r="I266" s="48" t="n">
        <v>738.12</v>
      </c>
      <c r="J266" s="48" t="n">
        <v>628.6799999999999</v>
      </c>
    </row>
    <row r="267">
      <c r="A267" s="50" t="inlineStr">
        <is>
          <t>Dylan Rubino</t>
        </is>
      </c>
      <c r="B267" s="50" t="inlineStr">
        <is>
          <t>Qualifier</t>
        </is>
      </c>
      <c r="C267" s="50" t="inlineStr">
        <is>
          <t>MolsonCoors Beverage Company</t>
        </is>
      </c>
      <c r="D267" s="50" t="inlineStr">
        <is>
          <t>Lite</t>
        </is>
      </c>
      <c r="E267" s="46" t="n">
        <v>28</v>
      </c>
      <c r="F267" s="46" t="n">
        <v>42</v>
      </c>
      <c r="G267" s="48" t="n">
        <v>624.75</v>
      </c>
      <c r="H267" s="48" t="n">
        <v>918.55</v>
      </c>
      <c r="I267" s="48" t="n">
        <v>149.87</v>
      </c>
      <c r="J267" s="48" t="n">
        <v>213.84</v>
      </c>
    </row>
    <row r="268">
      <c r="A268" s="50" t="inlineStr">
        <is>
          <t>Dylan Rubino</t>
        </is>
      </c>
      <c r="B268" s="50" t="inlineStr">
        <is>
          <t>Qualifier</t>
        </is>
      </c>
      <c r="C268" s="50" t="inlineStr">
        <is>
          <t>Heineken USA</t>
        </is>
      </c>
      <c r="D268" s="50" t="inlineStr">
        <is>
          <t>Heineken USA</t>
        </is>
      </c>
      <c r="E268" s="46" t="n">
        <v>37</v>
      </c>
      <c r="F268" s="46" t="n">
        <v>90</v>
      </c>
      <c r="G268" s="48" t="n">
        <v>1346.5</v>
      </c>
      <c r="H268" s="48" t="n">
        <v>3147.4</v>
      </c>
      <c r="I268" s="48" t="n">
        <v>436.55</v>
      </c>
      <c r="J268" s="48" t="n">
        <v>1003.1</v>
      </c>
    </row>
    <row r="269">
      <c r="A269" s="50" t="inlineStr">
        <is>
          <t>Dylan Rubino</t>
        </is>
      </c>
      <c r="B269" s="50" t="inlineStr">
        <is>
          <t>Qualifier</t>
        </is>
      </c>
      <c r="C269" s="50" t="inlineStr">
        <is>
          <t>Constellation Brands</t>
        </is>
      </c>
      <c r="D269" s="50" t="inlineStr">
        <is>
          <t>Corona Extra</t>
        </is>
      </c>
      <c r="E269" s="46" t="n">
        <v>177</v>
      </c>
      <c r="F269" s="46" t="n">
        <v>127</v>
      </c>
      <c r="G269" s="48" t="n">
        <v>5809.8</v>
      </c>
      <c r="H269" s="48" t="n">
        <v>4431.65</v>
      </c>
      <c r="I269" s="48" t="n">
        <v>1486.2</v>
      </c>
      <c r="J269" s="48" t="n">
        <v>1272.97</v>
      </c>
    </row>
    <row r="270">
      <c r="A270" s="50" t="inlineStr">
        <is>
          <t>Dylan Rubino</t>
        </is>
      </c>
      <c r="B270" s="50" t="inlineStr">
        <is>
          <t>Qualifier</t>
        </is>
      </c>
      <c r="C270" s="50" t="inlineStr">
        <is>
          <t>Constellation Brands</t>
        </is>
      </c>
      <c r="D270" s="50" t="inlineStr">
        <is>
          <t>Modelo Especial</t>
        </is>
      </c>
      <c r="E270" s="46" t="n">
        <v>135</v>
      </c>
      <c r="F270" s="46" t="n">
        <v>131</v>
      </c>
      <c r="G270" s="48" t="n">
        <v>4325.8</v>
      </c>
      <c r="H270" s="48" t="n">
        <v>4218.1</v>
      </c>
      <c r="I270" s="48" t="n">
        <v>1118.74</v>
      </c>
      <c r="J270" s="48" t="n">
        <v>1098.45</v>
      </c>
    </row>
    <row r="271">
      <c r="A271" s="50" t="inlineStr">
        <is>
          <t>Dylan Rubino</t>
        </is>
      </c>
      <c r="B271" s="50" t="inlineStr">
        <is>
          <t>Qualifier</t>
        </is>
      </c>
      <c r="C271" s="50" t="inlineStr">
        <is>
          <t>Boston Beer Company</t>
        </is>
      </c>
      <c r="D271" s="50" t="inlineStr">
        <is>
          <t>Truly</t>
        </is>
      </c>
      <c r="E271" s="46" t="n">
        <v>11</v>
      </c>
      <c r="F271" s="46" t="n">
        <v>25</v>
      </c>
      <c r="G271" s="48" t="n">
        <v>308.5</v>
      </c>
      <c r="H271" s="48" t="n">
        <v>725</v>
      </c>
      <c r="I271" s="48" t="n">
        <v>85.75</v>
      </c>
      <c r="J271" s="48" t="n">
        <v>192.5</v>
      </c>
    </row>
    <row r="272">
      <c r="A272" s="50" t="inlineStr">
        <is>
          <t>Dylan Rubino</t>
        </is>
      </c>
      <c r="B272" s="50" t="inlineStr">
        <is>
          <t>Qualifier</t>
        </is>
      </c>
      <c r="C272" s="50" t="inlineStr">
        <is>
          <t>Boston Beer Company</t>
        </is>
      </c>
      <c r="D272" s="50" t="inlineStr">
        <is>
          <t>Twisted Tea</t>
        </is>
      </c>
      <c r="E272" s="46" t="n">
        <v>33</v>
      </c>
      <c r="F272" s="46" t="n">
        <v>20</v>
      </c>
      <c r="G272" s="48" t="n">
        <v>910.5</v>
      </c>
      <c r="H272" s="48" t="n">
        <v>580</v>
      </c>
      <c r="I272" s="48" t="n">
        <v>253.4</v>
      </c>
      <c r="J272" s="48" t="n">
        <v>155.85</v>
      </c>
    </row>
    <row r="273">
      <c r="A273" s="50" t="inlineStr">
        <is>
          <t>Dylan Rubino</t>
        </is>
      </c>
      <c r="B273" s="50" t="inlineStr">
        <is>
          <t>Qualifier</t>
        </is>
      </c>
      <c r="C273" s="50" t="inlineStr">
        <is>
          <t>Mark Anthony</t>
        </is>
      </c>
      <c r="D273" s="50" t="inlineStr">
        <is>
          <t>White Claw</t>
        </is>
      </c>
      <c r="E273" s="46" t="n">
        <v>34</v>
      </c>
      <c r="F273" s="46" t="n">
        <v>16</v>
      </c>
      <c r="G273" s="48" t="n">
        <v>1155.9</v>
      </c>
      <c r="H273" s="48" t="n">
        <v>588.6</v>
      </c>
      <c r="I273" s="48" t="n">
        <v>286.68</v>
      </c>
      <c r="J273" s="48" t="n">
        <v>141.31</v>
      </c>
    </row>
    <row r="274">
      <c r="A274" s="50" t="inlineStr">
        <is>
          <t>Dylan Rubino</t>
        </is>
      </c>
      <c r="B274" s="50" t="inlineStr">
        <is>
          <t>Qualifier</t>
        </is>
      </c>
      <c r="C274" s="50" t="inlineStr">
        <is>
          <t>DG Yuengling Inc</t>
        </is>
      </c>
      <c r="D274" s="50" t="inlineStr">
        <is>
          <t>Yuengling Lager</t>
        </is>
      </c>
      <c r="E274" s="46" t="n">
        <v>22</v>
      </c>
      <c r="F274" s="46" t="n">
        <v>11</v>
      </c>
      <c r="G274" s="48" t="n">
        <v>485</v>
      </c>
      <c r="H274" s="48" t="n">
        <v>254</v>
      </c>
      <c r="I274" s="48" t="n">
        <v>134.91</v>
      </c>
      <c r="J274" s="48" t="n">
        <v>77.31</v>
      </c>
    </row>
    <row r="275">
      <c r="A275" s="50" t="inlineStr">
        <is>
          <t>Hakan Sadik</t>
        </is>
      </c>
      <c r="B275" s="50" t="inlineStr">
        <is>
          <t>Amplify</t>
        </is>
      </c>
      <c r="C275" s="50" t="inlineStr">
        <is>
          <t>MolsonCoors Beverage Company</t>
        </is>
      </c>
      <c r="D275" s="50" t="inlineStr">
        <is>
          <t>Fever Tree</t>
        </is>
      </c>
      <c r="E275" s="46" t="n">
        <v>3</v>
      </c>
      <c r="F275" s="46" t="n">
        <v>6</v>
      </c>
      <c r="G275" s="48" t="n">
        <v>160</v>
      </c>
      <c r="H275" s="48" t="n">
        <v>262</v>
      </c>
      <c r="I275" s="48" t="n">
        <v>55.65</v>
      </c>
      <c r="J275" s="48" t="n">
        <v>72.2</v>
      </c>
    </row>
    <row r="276">
      <c r="A276" s="50" t="inlineStr">
        <is>
          <t>Hakan Sadik</t>
        </is>
      </c>
      <c r="B276" s="50" t="inlineStr">
        <is>
          <t>Amplify</t>
        </is>
      </c>
      <c r="C276" s="50" t="inlineStr">
        <is>
          <t>Sapporo</t>
        </is>
      </c>
      <c r="D276" s="50" t="inlineStr">
        <is>
          <t>Sapporo</t>
        </is>
      </c>
      <c r="E276" s="46" t="n">
        <v>1251</v>
      </c>
      <c r="F276" s="46" t="n">
        <v>1346</v>
      </c>
      <c r="G276" s="48" t="n">
        <v>34947.82</v>
      </c>
      <c r="H276" s="48" t="n">
        <v>38915.58</v>
      </c>
      <c r="I276" s="48" t="n">
        <v>8294.67</v>
      </c>
      <c r="J276" s="48" t="n">
        <v>9546.48</v>
      </c>
    </row>
    <row r="277">
      <c r="A277" s="50" t="inlineStr">
        <is>
          <t>Hakan Sadik</t>
        </is>
      </c>
      <c r="B277" s="50" t="inlineStr">
        <is>
          <t>Amplify</t>
        </is>
      </c>
      <c r="C277" s="50" t="inlineStr">
        <is>
          <t>Bell's</t>
        </is>
      </c>
      <c r="D277" s="50" t="inlineStr">
        <is>
          <t>Bell's</t>
        </is>
      </c>
      <c r="E277" s="46" t="n">
        <v>2</v>
      </c>
      <c r="F277" s="46" t="n">
        <v>0</v>
      </c>
      <c r="G277" s="48" t="n">
        <v>77.2</v>
      </c>
      <c r="H277" s="48" t="n">
        <v>0</v>
      </c>
      <c r="I277" s="48" t="n">
        <v>27.96</v>
      </c>
      <c r="J277" s="48" t="n">
        <v>0</v>
      </c>
    </row>
    <row r="278">
      <c r="A278" s="50" t="inlineStr">
        <is>
          <t>Hakan Sadik</t>
        </is>
      </c>
      <c r="B278" s="50" t="inlineStr">
        <is>
          <t>Amplify</t>
        </is>
      </c>
      <c r="C278" s="50" t="inlineStr">
        <is>
          <t>New Belgium Brewing Company</t>
        </is>
      </c>
      <c r="D278" s="50" t="inlineStr">
        <is>
          <t>Fat Tire Family</t>
        </is>
      </c>
      <c r="E278" s="46" t="n">
        <v>1</v>
      </c>
      <c r="F278" s="46" t="n">
        <v>0</v>
      </c>
      <c r="G278" s="48" t="n">
        <v>38.6</v>
      </c>
      <c r="H278" s="48" t="n">
        <v>0</v>
      </c>
      <c r="I278" s="48" t="n">
        <v>11.6</v>
      </c>
      <c r="J278" s="48" t="n">
        <v>0</v>
      </c>
    </row>
    <row r="279">
      <c r="A279" s="50" t="inlineStr">
        <is>
          <t>Hakan Sadik</t>
        </is>
      </c>
      <c r="B279" s="50" t="inlineStr">
        <is>
          <t>Amplify</t>
        </is>
      </c>
      <c r="C279" s="50" t="inlineStr">
        <is>
          <t>New Belgium Brewing Company</t>
        </is>
      </c>
      <c r="D279" s="50" t="inlineStr">
        <is>
          <t>Kirin Ichiban</t>
        </is>
      </c>
      <c r="E279" s="46" t="n">
        <v>4</v>
      </c>
      <c r="F279" s="46" t="n">
        <v>5</v>
      </c>
      <c r="G279" s="48" t="n">
        <v>130.5</v>
      </c>
      <c r="H279" s="48" t="n">
        <v>180</v>
      </c>
      <c r="I279" s="48" t="n">
        <v>31.59</v>
      </c>
      <c r="J279" s="48" t="n">
        <v>59.1</v>
      </c>
    </row>
    <row r="280">
      <c r="A280" s="50" t="inlineStr">
        <is>
          <t>Hakan Sadik</t>
        </is>
      </c>
      <c r="B280" s="50" t="inlineStr">
        <is>
          <t>Amplify</t>
        </is>
      </c>
      <c r="C280" s="50" t="inlineStr">
        <is>
          <t>New Belgium Brewing Company</t>
        </is>
      </c>
      <c r="D280" s="50" t="inlineStr">
        <is>
          <t>Voodoo Family</t>
        </is>
      </c>
      <c r="E280" s="46" t="n">
        <v>7</v>
      </c>
      <c r="F280" s="46" t="n">
        <v>0</v>
      </c>
      <c r="G280" s="48" t="n">
        <v>251.6</v>
      </c>
      <c r="H280" s="48" t="n">
        <v>0</v>
      </c>
      <c r="I280" s="48" t="n">
        <v>71.48</v>
      </c>
      <c r="J280" s="48" t="n">
        <v>0</v>
      </c>
    </row>
    <row r="281">
      <c r="A281" s="50" t="inlineStr">
        <is>
          <t>Hakan Sadik</t>
        </is>
      </c>
      <c r="B281" s="50" t="inlineStr">
        <is>
          <t>Qualifier</t>
        </is>
      </c>
      <c r="C281" s="50" t="inlineStr">
        <is>
          <t>DG Yuengling Inc</t>
        </is>
      </c>
      <c r="D281" s="50" t="inlineStr">
        <is>
          <t>Yuengling Lager</t>
        </is>
      </c>
      <c r="E281" s="46" t="n">
        <v>4</v>
      </c>
      <c r="F281" s="46" t="n">
        <v>0</v>
      </c>
      <c r="G281" s="48" t="n">
        <v>100</v>
      </c>
      <c r="H281" s="48" t="n">
        <v>0</v>
      </c>
      <c r="I281" s="48" t="n">
        <v>33.33</v>
      </c>
      <c r="J281" s="48" t="n">
        <v>0</v>
      </c>
    </row>
    <row r="282">
      <c r="A282" s="50" t="inlineStr">
        <is>
          <t>Jaime Colonna</t>
        </is>
      </c>
      <c r="B282" s="50" t="inlineStr">
        <is>
          <t>Amplify</t>
        </is>
      </c>
      <c r="C282" s="50" t="inlineStr">
        <is>
          <t>Cape May</t>
        </is>
      </c>
      <c r="D282" s="50" t="inlineStr">
        <is>
          <t>Cape May</t>
        </is>
      </c>
      <c r="E282" s="46" t="n">
        <v>0</v>
      </c>
      <c r="F282" s="46" t="n">
        <v>3</v>
      </c>
      <c r="G282" s="48" t="n">
        <v>0</v>
      </c>
      <c r="H282" s="48" t="n">
        <v>131</v>
      </c>
      <c r="I282" s="48" t="n">
        <v>0</v>
      </c>
      <c r="J282" s="48" t="n">
        <v>44.97</v>
      </c>
    </row>
    <row r="283">
      <c r="A283" s="50" t="inlineStr">
        <is>
          <t>Jaime Colonna</t>
        </is>
      </c>
      <c r="B283" s="50" t="inlineStr">
        <is>
          <t>Amplify</t>
        </is>
      </c>
      <c r="C283" s="50" t="inlineStr">
        <is>
          <t>Mark Anthony</t>
        </is>
      </c>
      <c r="D283" s="50" t="inlineStr">
        <is>
          <t>Cayman Jack</t>
        </is>
      </c>
      <c r="E283" s="46" t="n">
        <v>1</v>
      </c>
      <c r="F283" s="46" t="n">
        <v>2</v>
      </c>
      <c r="G283" s="48" t="n">
        <v>33.5</v>
      </c>
      <c r="H283" s="48" t="n">
        <v>67</v>
      </c>
      <c r="I283" s="48" t="n">
        <v>10.05</v>
      </c>
      <c r="J283" s="48" t="n">
        <v>20.1</v>
      </c>
    </row>
    <row r="284">
      <c r="A284" s="50" t="inlineStr">
        <is>
          <t>Jaime Colonna</t>
        </is>
      </c>
      <c r="B284" s="50" t="inlineStr">
        <is>
          <t>Amplify</t>
        </is>
      </c>
      <c r="C284" s="50" t="inlineStr">
        <is>
          <t>Mark Anthony</t>
        </is>
      </c>
      <c r="D284" s="50" t="inlineStr">
        <is>
          <t>Mxd Cocktails</t>
        </is>
      </c>
      <c r="E284" s="46" t="n">
        <v>8</v>
      </c>
      <c r="F284" s="46" t="n">
        <v>0</v>
      </c>
      <c r="G284" s="48" t="n">
        <v>192</v>
      </c>
      <c r="H284" s="48" t="n">
        <v>0</v>
      </c>
      <c r="I284" s="48" t="n">
        <v>36.15</v>
      </c>
      <c r="J284" s="48" t="n">
        <v>0</v>
      </c>
    </row>
    <row r="285">
      <c r="A285" s="50" t="inlineStr">
        <is>
          <t>Jaime Colonna</t>
        </is>
      </c>
      <c r="B285" s="50" t="inlineStr">
        <is>
          <t>Amplify</t>
        </is>
      </c>
      <c r="C285" s="50" t="inlineStr">
        <is>
          <t>MolsonCoors Beverage Company</t>
        </is>
      </c>
      <c r="D285" s="50" t="inlineStr">
        <is>
          <t>Coors</t>
        </is>
      </c>
      <c r="E285" s="46" t="n">
        <v>3</v>
      </c>
      <c r="F285" s="46" t="n">
        <v>4</v>
      </c>
      <c r="G285" s="48" t="n">
        <v>56.95</v>
      </c>
      <c r="H285" s="48" t="n">
        <v>73.95</v>
      </c>
      <c r="I285" s="48" t="n">
        <v>15.49</v>
      </c>
      <c r="J285" s="48" t="n">
        <v>18.67</v>
      </c>
    </row>
    <row r="286">
      <c r="A286" s="50" t="inlineStr">
        <is>
          <t>Jaime Colonna</t>
        </is>
      </c>
      <c r="B286" s="50" t="inlineStr">
        <is>
          <t>Amplify</t>
        </is>
      </c>
      <c r="C286" s="50" t="inlineStr">
        <is>
          <t>MolsonCoors Beverage Company</t>
        </is>
      </c>
      <c r="D286" s="50" t="inlineStr">
        <is>
          <t>Fever Tree</t>
        </is>
      </c>
      <c r="E286" s="46" t="n">
        <v>0</v>
      </c>
      <c r="F286" s="46" t="n">
        <v>1</v>
      </c>
      <c r="G286" s="48" t="n">
        <v>0</v>
      </c>
      <c r="H286" s="48" t="n">
        <v>37</v>
      </c>
      <c r="I286" s="48" t="n">
        <v>0</v>
      </c>
      <c r="J286" s="48" t="n">
        <v>11.67</v>
      </c>
    </row>
    <row r="287">
      <c r="A287" s="50" t="inlineStr">
        <is>
          <t>Jaime Colonna</t>
        </is>
      </c>
      <c r="B287" s="50" t="inlineStr">
        <is>
          <t>Amplify</t>
        </is>
      </c>
      <c r="C287" s="50" t="inlineStr">
        <is>
          <t>MolsonCoors Beverage Company</t>
        </is>
      </c>
      <c r="D287" s="50" t="inlineStr">
        <is>
          <t>Peroni</t>
        </is>
      </c>
      <c r="E287" s="46" t="n">
        <v>5</v>
      </c>
      <c r="F287" s="46" t="n">
        <v>5</v>
      </c>
      <c r="G287" s="48" t="n">
        <v>163</v>
      </c>
      <c r="H287" s="48" t="n">
        <v>163</v>
      </c>
      <c r="I287" s="48" t="n">
        <v>32.13</v>
      </c>
      <c r="J287" s="48" t="n">
        <v>32.23</v>
      </c>
    </row>
    <row r="288">
      <c r="A288" s="50" t="inlineStr">
        <is>
          <t>Jaime Colonna</t>
        </is>
      </c>
      <c r="B288" s="50" t="inlineStr">
        <is>
          <t>Amplify</t>
        </is>
      </c>
      <c r="C288" s="50" t="inlineStr">
        <is>
          <t>Boston Beer Company</t>
        </is>
      </c>
      <c r="D288" s="50" t="inlineStr">
        <is>
          <t>Dogfish Head Beer</t>
        </is>
      </c>
      <c r="E288" s="46" t="n">
        <v>2</v>
      </c>
      <c r="F288" s="46" t="n">
        <v>2</v>
      </c>
      <c r="G288" s="48" t="n">
        <v>75.59999999999999</v>
      </c>
      <c r="H288" s="48" t="n">
        <v>90</v>
      </c>
      <c r="I288" s="48" t="n">
        <v>25.84</v>
      </c>
      <c r="J288" s="48" t="n">
        <v>29.86</v>
      </c>
    </row>
    <row r="289">
      <c r="A289" s="50" t="inlineStr">
        <is>
          <t>Jaime Colonna</t>
        </is>
      </c>
      <c r="B289" s="50" t="inlineStr">
        <is>
          <t>Amplify</t>
        </is>
      </c>
      <c r="C289" s="50" t="inlineStr">
        <is>
          <t>Boston Beer Company</t>
        </is>
      </c>
      <c r="D289" s="50" t="inlineStr">
        <is>
          <t>Dogfish Head Spirits</t>
        </is>
      </c>
      <c r="E289" s="46" t="n">
        <v>1</v>
      </c>
      <c r="F289" s="46" t="n">
        <v>0</v>
      </c>
      <c r="G289" s="48" t="n">
        <v>70</v>
      </c>
      <c r="H289" s="48" t="n">
        <v>0</v>
      </c>
      <c r="I289" s="48" t="n">
        <v>33.63</v>
      </c>
      <c r="J289" s="48" t="n">
        <v>0</v>
      </c>
    </row>
    <row r="290">
      <c r="A290" s="50" t="inlineStr">
        <is>
          <t>Jaime Colonna</t>
        </is>
      </c>
      <c r="B290" s="50" t="inlineStr">
        <is>
          <t>Amplify</t>
        </is>
      </c>
      <c r="C290" s="50" t="inlineStr">
        <is>
          <t>Heineken USA</t>
        </is>
      </c>
      <c r="D290" s="50" t="inlineStr">
        <is>
          <t>Heineken 0.0</t>
        </is>
      </c>
      <c r="E290" s="46" t="n">
        <v>2</v>
      </c>
      <c r="F290" s="46" t="n">
        <v>3</v>
      </c>
      <c r="G290" s="48" t="n">
        <v>62.7</v>
      </c>
      <c r="H290" s="48" t="n">
        <v>94.05</v>
      </c>
      <c r="I290" s="48" t="n">
        <v>16.64</v>
      </c>
      <c r="J290" s="48" t="n">
        <v>24.96</v>
      </c>
    </row>
    <row r="291">
      <c r="A291" s="50" t="inlineStr">
        <is>
          <t>Jaime Colonna</t>
        </is>
      </c>
      <c r="B291" s="50" t="inlineStr">
        <is>
          <t>Amplify</t>
        </is>
      </c>
      <c r="C291" s="50" t="inlineStr">
        <is>
          <t>Heineken USA</t>
        </is>
      </c>
      <c r="D291" s="50" t="inlineStr">
        <is>
          <t>Heineken Light</t>
        </is>
      </c>
      <c r="E291" s="46" t="n">
        <v>0</v>
      </c>
      <c r="F291" s="46" t="n">
        <v>5</v>
      </c>
      <c r="G291" s="48" t="n">
        <v>0</v>
      </c>
      <c r="H291" s="48" t="n">
        <v>156.75</v>
      </c>
      <c r="I291" s="48" t="n">
        <v>0</v>
      </c>
      <c r="J291" s="48" t="n">
        <v>37.75</v>
      </c>
    </row>
    <row r="292">
      <c r="A292" s="50" t="inlineStr">
        <is>
          <t>Jaime Colonna</t>
        </is>
      </c>
      <c r="B292" s="50" t="inlineStr">
        <is>
          <t>Amplify</t>
        </is>
      </c>
      <c r="C292" s="50" t="inlineStr">
        <is>
          <t>Constellation Brands</t>
        </is>
      </c>
      <c r="D292" s="50" t="inlineStr">
        <is>
          <t>Corona Premier</t>
        </is>
      </c>
      <c r="E292" s="46" t="n">
        <v>4</v>
      </c>
      <c r="F292" s="46" t="n">
        <v>1</v>
      </c>
      <c r="G292" s="48" t="n">
        <v>128.5</v>
      </c>
      <c r="H292" s="48" t="n">
        <v>28.9</v>
      </c>
      <c r="I292" s="48" t="n">
        <v>31.98</v>
      </c>
      <c r="J292" s="48" t="n">
        <v>7.99</v>
      </c>
    </row>
    <row r="293">
      <c r="A293" s="50" t="inlineStr">
        <is>
          <t>Jaime Colonna</t>
        </is>
      </c>
      <c r="B293" s="50" t="inlineStr">
        <is>
          <t>Amplify</t>
        </is>
      </c>
      <c r="C293" s="50" t="inlineStr">
        <is>
          <t>Constellation Brands</t>
        </is>
      </c>
      <c r="D293" s="50" t="inlineStr">
        <is>
          <t>Modelo Chelada</t>
        </is>
      </c>
      <c r="E293" s="46" t="n">
        <v>5</v>
      </c>
      <c r="F293" s="46" t="n">
        <v>5</v>
      </c>
      <c r="G293" s="48" t="n">
        <v>157.85</v>
      </c>
      <c r="H293" s="48" t="n">
        <v>160</v>
      </c>
      <c r="I293" s="48" t="n">
        <v>44.46</v>
      </c>
      <c r="J293" s="48" t="n">
        <v>46.05</v>
      </c>
    </row>
    <row r="294">
      <c r="A294" s="50" t="inlineStr">
        <is>
          <t>Jaime Colonna</t>
        </is>
      </c>
      <c r="B294" s="50" t="inlineStr">
        <is>
          <t>Amplify</t>
        </is>
      </c>
      <c r="C294" s="50" t="inlineStr">
        <is>
          <t>Constellation Brands</t>
        </is>
      </c>
      <c r="D294" s="50" t="inlineStr">
        <is>
          <t>Victoria</t>
        </is>
      </c>
      <c r="E294" s="46" t="n">
        <v>5</v>
      </c>
      <c r="F294" s="46" t="n">
        <v>4</v>
      </c>
      <c r="G294" s="48" t="n">
        <v>162.05</v>
      </c>
      <c r="H294" s="48" t="n">
        <v>133</v>
      </c>
      <c r="I294" s="48" t="n">
        <v>41.05</v>
      </c>
      <c r="J294" s="48" t="n">
        <v>39.38</v>
      </c>
    </row>
    <row r="295">
      <c r="A295" s="50" t="inlineStr">
        <is>
          <t>Jaime Colonna</t>
        </is>
      </c>
      <c r="B295" s="50" t="inlineStr">
        <is>
          <t>Amplify</t>
        </is>
      </c>
      <c r="C295" s="50" t="inlineStr">
        <is>
          <t>Sapporo</t>
        </is>
      </c>
      <c r="D295" s="50" t="inlineStr">
        <is>
          <t>Sapporo</t>
        </is>
      </c>
      <c r="E295" s="46" t="n">
        <v>1610</v>
      </c>
      <c r="F295" s="46" t="n">
        <v>2105</v>
      </c>
      <c r="G295" s="48" t="n">
        <v>44249.25</v>
      </c>
      <c r="H295" s="48" t="n">
        <v>59054.75</v>
      </c>
      <c r="I295" s="48" t="n">
        <v>10686.83</v>
      </c>
      <c r="J295" s="48" t="n">
        <v>14650.72</v>
      </c>
    </row>
    <row r="296">
      <c r="A296" s="50" t="inlineStr">
        <is>
          <t>Jaime Colonna</t>
        </is>
      </c>
      <c r="B296" s="50" t="inlineStr">
        <is>
          <t>Amplify</t>
        </is>
      </c>
      <c r="C296" s="50" t="inlineStr">
        <is>
          <t>New Belgium Brewing Company</t>
        </is>
      </c>
      <c r="D296" s="50" t="inlineStr">
        <is>
          <t>Fat Tire Family</t>
        </is>
      </c>
      <c r="E296" s="46" t="n">
        <v>4</v>
      </c>
      <c r="F296" s="46" t="n">
        <v>0</v>
      </c>
      <c r="G296" s="48" t="n">
        <v>136.85</v>
      </c>
      <c r="H296" s="48" t="n">
        <v>0</v>
      </c>
      <c r="I296" s="48" t="n">
        <v>34.85</v>
      </c>
      <c r="J296" s="48" t="n">
        <v>0</v>
      </c>
    </row>
    <row r="297">
      <c r="A297" s="50" t="inlineStr">
        <is>
          <t>Jaime Colonna</t>
        </is>
      </c>
      <c r="B297" s="50" t="inlineStr">
        <is>
          <t>Amplify</t>
        </is>
      </c>
      <c r="C297" s="50" t="inlineStr">
        <is>
          <t>New Belgium Brewing Company</t>
        </is>
      </c>
      <c r="D297" s="50" t="inlineStr">
        <is>
          <t>Voodoo Family</t>
        </is>
      </c>
      <c r="E297" s="46" t="n">
        <v>6</v>
      </c>
      <c r="F297" s="46" t="n">
        <v>5</v>
      </c>
      <c r="G297" s="48" t="n">
        <v>225.4</v>
      </c>
      <c r="H297" s="48" t="n">
        <v>200.5</v>
      </c>
      <c r="I297" s="48" t="n">
        <v>66.36</v>
      </c>
      <c r="J297" s="48" t="n">
        <v>61.9</v>
      </c>
    </row>
    <row r="298">
      <c r="A298" s="50" t="inlineStr">
        <is>
          <t>Jaime Colonna</t>
        </is>
      </c>
      <c r="B298" s="50" t="inlineStr">
        <is>
          <t>Amplify</t>
        </is>
      </c>
      <c r="C298" s="50" t="inlineStr">
        <is>
          <t>DG Yuengling Inc</t>
        </is>
      </c>
      <c r="D298" s="50" t="inlineStr">
        <is>
          <t>Yuengling Flight</t>
        </is>
      </c>
      <c r="E298" s="46" t="n">
        <v>1</v>
      </c>
      <c r="F298" s="46" t="n">
        <v>0</v>
      </c>
      <c r="G298" s="48" t="n">
        <v>20</v>
      </c>
      <c r="H298" s="48" t="n">
        <v>0</v>
      </c>
      <c r="I298" s="48" t="n">
        <v>3.39</v>
      </c>
      <c r="J298" s="48" t="n">
        <v>0</v>
      </c>
    </row>
    <row r="299">
      <c r="A299" s="50" t="inlineStr">
        <is>
          <t>Jaime Colonna</t>
        </is>
      </c>
      <c r="B299" s="50" t="inlineStr">
        <is>
          <t>Qualifier</t>
        </is>
      </c>
      <c r="C299" s="50" t="inlineStr">
        <is>
          <t>MolsonCoors Beverage Company</t>
        </is>
      </c>
      <c r="D299" s="50" t="inlineStr">
        <is>
          <t>Blue Moon</t>
        </is>
      </c>
      <c r="E299" s="46" t="n">
        <v>42</v>
      </c>
      <c r="F299" s="46" t="n">
        <v>27</v>
      </c>
      <c r="G299" s="48" t="n">
        <v>1830.45</v>
      </c>
      <c r="H299" s="48" t="n">
        <v>848.15</v>
      </c>
      <c r="I299" s="48" t="n">
        <v>569.45</v>
      </c>
      <c r="J299" s="48" t="n">
        <v>168.35</v>
      </c>
    </row>
    <row r="300">
      <c r="A300" s="50" t="inlineStr">
        <is>
          <t>Jaime Colonna</t>
        </is>
      </c>
      <c r="B300" s="50" t="inlineStr">
        <is>
          <t>Qualifier</t>
        </is>
      </c>
      <c r="C300" s="50" t="inlineStr">
        <is>
          <t>MolsonCoors Beverage Company</t>
        </is>
      </c>
      <c r="D300" s="50" t="inlineStr">
        <is>
          <t>Coors Light</t>
        </is>
      </c>
      <c r="E300" s="46" t="n">
        <v>141</v>
      </c>
      <c r="F300" s="46" t="n">
        <v>153</v>
      </c>
      <c r="G300" s="48" t="n">
        <v>3017.7</v>
      </c>
      <c r="H300" s="48" t="n">
        <v>3248.8</v>
      </c>
      <c r="I300" s="48" t="n">
        <v>883.55</v>
      </c>
      <c r="J300" s="48" t="n">
        <v>946.4299999999999</v>
      </c>
    </row>
    <row r="301">
      <c r="A301" s="50" t="inlineStr">
        <is>
          <t>Jaime Colonna</t>
        </is>
      </c>
      <c r="B301" s="50" t="inlineStr">
        <is>
          <t>Qualifier</t>
        </is>
      </c>
      <c r="C301" s="50" t="inlineStr">
        <is>
          <t>MolsonCoors Beverage Company</t>
        </is>
      </c>
      <c r="D301" s="50" t="inlineStr">
        <is>
          <t>Lite</t>
        </is>
      </c>
      <c r="E301" s="46" t="n">
        <v>39</v>
      </c>
      <c r="F301" s="46" t="n">
        <v>44</v>
      </c>
      <c r="G301" s="48" t="n">
        <v>866.85</v>
      </c>
      <c r="H301" s="48" t="n">
        <v>1008.95</v>
      </c>
      <c r="I301" s="48" t="n">
        <v>215.97</v>
      </c>
      <c r="J301" s="48" t="n">
        <v>246.47</v>
      </c>
    </row>
    <row r="302">
      <c r="A302" s="50" t="inlineStr">
        <is>
          <t>Jaime Colonna</t>
        </is>
      </c>
      <c r="B302" s="50" t="inlineStr">
        <is>
          <t>Qualifier</t>
        </is>
      </c>
      <c r="C302" s="50" t="inlineStr">
        <is>
          <t>Heineken USA</t>
        </is>
      </c>
      <c r="D302" s="50" t="inlineStr">
        <is>
          <t>Heineken USA</t>
        </is>
      </c>
      <c r="E302" s="46" t="n">
        <v>122</v>
      </c>
      <c r="F302" s="46" t="n">
        <v>117</v>
      </c>
      <c r="G302" s="48" t="n">
        <v>3914.8</v>
      </c>
      <c r="H302" s="48" t="n">
        <v>3794.5</v>
      </c>
      <c r="I302" s="48" t="n">
        <v>1056.67</v>
      </c>
      <c r="J302" s="48" t="n">
        <v>1031.45</v>
      </c>
    </row>
    <row r="303">
      <c r="A303" s="50" t="inlineStr">
        <is>
          <t>Jaime Colonna</t>
        </is>
      </c>
      <c r="B303" s="50" t="inlineStr">
        <is>
          <t>Qualifier</t>
        </is>
      </c>
      <c r="C303" s="50" t="inlineStr">
        <is>
          <t>Constellation Brands</t>
        </is>
      </c>
      <c r="D303" s="50" t="inlineStr">
        <is>
          <t>Corona Extra</t>
        </is>
      </c>
      <c r="E303" s="46" t="n">
        <v>241</v>
      </c>
      <c r="F303" s="46" t="n">
        <v>259</v>
      </c>
      <c r="G303" s="48" t="n">
        <v>8109.9</v>
      </c>
      <c r="H303" s="48" t="n">
        <v>8750.25</v>
      </c>
      <c r="I303" s="48" t="n">
        <v>2223.98</v>
      </c>
      <c r="J303" s="48" t="n">
        <v>2407.48</v>
      </c>
    </row>
    <row r="304">
      <c r="A304" s="50" t="inlineStr">
        <is>
          <t>Jaime Colonna</t>
        </is>
      </c>
      <c r="B304" s="50" t="inlineStr">
        <is>
          <t>Qualifier</t>
        </is>
      </c>
      <c r="C304" s="50" t="inlineStr">
        <is>
          <t>Constellation Brands</t>
        </is>
      </c>
      <c r="D304" s="50" t="inlineStr">
        <is>
          <t>Modelo Especial</t>
        </is>
      </c>
      <c r="E304" s="46" t="n">
        <v>190</v>
      </c>
      <c r="F304" s="46" t="n">
        <v>172</v>
      </c>
      <c r="G304" s="48" t="n">
        <v>6168.15</v>
      </c>
      <c r="H304" s="48" t="n">
        <v>5578.5</v>
      </c>
      <c r="I304" s="48" t="n">
        <v>1625.42</v>
      </c>
      <c r="J304" s="48" t="n">
        <v>1468.55</v>
      </c>
    </row>
    <row r="305">
      <c r="A305" s="50" t="inlineStr">
        <is>
          <t>Jaime Colonna</t>
        </is>
      </c>
      <c r="B305" s="50" t="inlineStr">
        <is>
          <t>Qualifier</t>
        </is>
      </c>
      <c r="C305" s="50" t="inlineStr">
        <is>
          <t>Boston Beer Company</t>
        </is>
      </c>
      <c r="D305" s="50" t="inlineStr">
        <is>
          <t>Truly</t>
        </is>
      </c>
      <c r="E305" s="46" t="n">
        <v>15</v>
      </c>
      <c r="F305" s="46" t="n">
        <v>5</v>
      </c>
      <c r="G305" s="48" t="n">
        <v>456</v>
      </c>
      <c r="H305" s="48" t="n">
        <v>152</v>
      </c>
      <c r="I305" s="48" t="n">
        <v>114.9</v>
      </c>
      <c r="J305" s="48" t="n">
        <v>38.3</v>
      </c>
    </row>
    <row r="306">
      <c r="A306" s="50" t="inlineStr">
        <is>
          <t>Jaime Colonna</t>
        </is>
      </c>
      <c r="B306" s="50" t="inlineStr">
        <is>
          <t>Qualifier</t>
        </is>
      </c>
      <c r="C306" s="50" t="inlineStr">
        <is>
          <t>Boston Beer Company</t>
        </is>
      </c>
      <c r="D306" s="50" t="inlineStr">
        <is>
          <t>Twisted Tea</t>
        </is>
      </c>
      <c r="E306" s="46" t="n">
        <v>15</v>
      </c>
      <c r="F306" s="46" t="n">
        <v>10</v>
      </c>
      <c r="G306" s="48" t="n">
        <v>441.25</v>
      </c>
      <c r="H306" s="48" t="n">
        <v>299</v>
      </c>
      <c r="I306" s="48" t="n">
        <v>119.75</v>
      </c>
      <c r="J306" s="48" t="n">
        <v>79.5</v>
      </c>
    </row>
    <row r="307">
      <c r="A307" s="50" t="inlineStr">
        <is>
          <t>Jaime Colonna</t>
        </is>
      </c>
      <c r="B307" s="50" t="inlineStr">
        <is>
          <t>Qualifier</t>
        </is>
      </c>
      <c r="C307" s="50" t="inlineStr">
        <is>
          <t>Mark Anthony</t>
        </is>
      </c>
      <c r="D307" s="50" t="inlineStr">
        <is>
          <t>White Claw</t>
        </is>
      </c>
      <c r="E307" s="46" t="n">
        <v>38</v>
      </c>
      <c r="F307" s="46" t="n">
        <v>62</v>
      </c>
      <c r="G307" s="48" t="n">
        <v>1256.5</v>
      </c>
      <c r="H307" s="48" t="n">
        <v>2071.9</v>
      </c>
      <c r="I307" s="48" t="n">
        <v>292</v>
      </c>
      <c r="J307" s="48" t="n">
        <v>485.19</v>
      </c>
    </row>
    <row r="308">
      <c r="A308" s="50" t="inlineStr">
        <is>
          <t>Jaime Colonna</t>
        </is>
      </c>
      <c r="B308" s="50" t="inlineStr">
        <is>
          <t>Qualifier</t>
        </is>
      </c>
      <c r="C308" s="50" t="inlineStr">
        <is>
          <t>DG Yuengling Inc</t>
        </is>
      </c>
      <c r="D308" s="50" t="inlineStr">
        <is>
          <t>Yuengling Lager</t>
        </is>
      </c>
      <c r="E308" s="46" t="n">
        <v>96</v>
      </c>
      <c r="F308" s="46" t="n">
        <v>36</v>
      </c>
      <c r="G308" s="48" t="n">
        <v>1608</v>
      </c>
      <c r="H308" s="48" t="n">
        <v>640</v>
      </c>
      <c r="I308" s="48" t="n">
        <v>380.45</v>
      </c>
      <c r="J308" s="48" t="n">
        <v>158.79</v>
      </c>
    </row>
    <row r="309">
      <c r="A309" s="50" t="inlineStr">
        <is>
          <t>Javier Melo</t>
        </is>
      </c>
      <c r="B309" s="50" t="inlineStr">
        <is>
          <t>Amplify</t>
        </is>
      </c>
      <c r="C309" s="50" t="inlineStr">
        <is>
          <t>Cape May</t>
        </is>
      </c>
      <c r="D309" s="50" t="inlineStr">
        <is>
          <t>Cape May</t>
        </is>
      </c>
      <c r="E309" s="46" t="n">
        <v>10</v>
      </c>
      <c r="F309" s="46" t="n">
        <v>0</v>
      </c>
      <c r="G309" s="48" t="n">
        <v>384</v>
      </c>
      <c r="H309" s="48" t="n">
        <v>0</v>
      </c>
      <c r="I309" s="48" t="n">
        <v>111.46</v>
      </c>
      <c r="J309" s="48" t="n">
        <v>0</v>
      </c>
    </row>
    <row r="310">
      <c r="A310" s="50" t="inlineStr">
        <is>
          <t>Javier Melo</t>
        </is>
      </c>
      <c r="B310" s="50" t="inlineStr">
        <is>
          <t>Amplify</t>
        </is>
      </c>
      <c r="C310" s="50" t="inlineStr">
        <is>
          <t>Mark Anthony</t>
        </is>
      </c>
      <c r="D310" s="50" t="inlineStr">
        <is>
          <t>Cayman Jack</t>
        </is>
      </c>
      <c r="E310" s="46" t="n">
        <v>613</v>
      </c>
      <c r="F310" s="46" t="n">
        <v>888</v>
      </c>
      <c r="G310" s="48" t="n">
        <v>19412</v>
      </c>
      <c r="H310" s="48" t="n">
        <v>28718.5</v>
      </c>
      <c r="I310" s="48" t="n">
        <v>4750.18</v>
      </c>
      <c r="J310" s="48" t="n">
        <v>7149.14</v>
      </c>
    </row>
    <row r="311">
      <c r="A311" s="50" t="inlineStr">
        <is>
          <t>Javier Melo</t>
        </is>
      </c>
      <c r="B311" s="50" t="inlineStr">
        <is>
          <t>Amplify</t>
        </is>
      </c>
      <c r="C311" s="50" t="inlineStr">
        <is>
          <t>Mark Anthony</t>
        </is>
      </c>
      <c r="D311" s="50" t="inlineStr">
        <is>
          <t>Mike's Harder</t>
        </is>
      </c>
      <c r="E311" s="46" t="n">
        <v>54</v>
      </c>
      <c r="F311" s="46" t="n">
        <v>75</v>
      </c>
      <c r="G311" s="48" t="n">
        <v>1507</v>
      </c>
      <c r="H311" s="48" t="n">
        <v>2242</v>
      </c>
      <c r="I311" s="48" t="n">
        <v>336.53</v>
      </c>
      <c r="J311" s="48" t="n">
        <v>515.1</v>
      </c>
    </row>
    <row r="312">
      <c r="A312" s="50" t="inlineStr">
        <is>
          <t>Javier Melo</t>
        </is>
      </c>
      <c r="B312" s="50" t="inlineStr">
        <is>
          <t>Amplify</t>
        </is>
      </c>
      <c r="C312" s="50" t="inlineStr">
        <is>
          <t>Mark Anthony</t>
        </is>
      </c>
      <c r="D312" s="50" t="inlineStr">
        <is>
          <t>Mxd Cocktails</t>
        </is>
      </c>
      <c r="E312" s="46" t="n">
        <v>180</v>
      </c>
      <c r="F312" s="46" t="n">
        <v>249</v>
      </c>
      <c r="G312" s="48" t="n">
        <v>4331.7</v>
      </c>
      <c r="H312" s="48" t="n">
        <v>5987.9</v>
      </c>
      <c r="I312" s="48" t="n">
        <v>823.59</v>
      </c>
      <c r="J312" s="48" t="n">
        <v>1128.04</v>
      </c>
    </row>
    <row r="313">
      <c r="A313" s="50" t="inlineStr">
        <is>
          <t>Javier Melo</t>
        </is>
      </c>
      <c r="B313" s="50" t="inlineStr">
        <is>
          <t>Amplify</t>
        </is>
      </c>
      <c r="C313" s="50" t="inlineStr">
        <is>
          <t>MolsonCoors Beverage Company</t>
        </is>
      </c>
      <c r="D313" s="50" t="inlineStr">
        <is>
          <t>Coors</t>
        </is>
      </c>
      <c r="E313" s="46" t="n">
        <v>3221</v>
      </c>
      <c r="F313" s="46" t="n">
        <v>3370</v>
      </c>
      <c r="G313" s="48" t="n">
        <v>55034.3</v>
      </c>
      <c r="H313" s="48" t="n">
        <v>59075.05</v>
      </c>
      <c r="I313" s="48" t="n">
        <v>9925.440000000001</v>
      </c>
      <c r="J313" s="48" t="n">
        <v>11051.49</v>
      </c>
    </row>
    <row r="314">
      <c r="A314" s="50" t="inlineStr">
        <is>
          <t>Javier Melo</t>
        </is>
      </c>
      <c r="B314" s="50" t="inlineStr">
        <is>
          <t>Amplify</t>
        </is>
      </c>
      <c r="C314" s="50" t="inlineStr">
        <is>
          <t>MolsonCoors Beverage Company</t>
        </is>
      </c>
      <c r="D314" s="50" t="inlineStr">
        <is>
          <t>Fever Tree</t>
        </is>
      </c>
      <c r="E314" s="46" t="n">
        <v>0</v>
      </c>
      <c r="F314" s="46" t="n">
        <v>13</v>
      </c>
      <c r="G314" s="48" t="n">
        <v>0</v>
      </c>
      <c r="H314" s="48" t="n">
        <v>584</v>
      </c>
      <c r="I314" s="48" t="n">
        <v>0</v>
      </c>
      <c r="J314" s="48" t="n">
        <v>186.31</v>
      </c>
    </row>
    <row r="315">
      <c r="A315" s="50" t="inlineStr">
        <is>
          <t>Javier Melo</t>
        </is>
      </c>
      <c r="B315" s="50" t="inlineStr">
        <is>
          <t>Amplify</t>
        </is>
      </c>
      <c r="C315" s="50" t="inlineStr">
        <is>
          <t>MolsonCoors Beverage Company</t>
        </is>
      </c>
      <c r="D315" s="50" t="inlineStr">
        <is>
          <t>Peroni</t>
        </is>
      </c>
      <c r="E315" s="46" t="n">
        <v>69</v>
      </c>
      <c r="F315" s="46" t="n">
        <v>89</v>
      </c>
      <c r="G315" s="48" t="n">
        <v>2397.1</v>
      </c>
      <c r="H315" s="48" t="n">
        <v>3040</v>
      </c>
      <c r="I315" s="48" t="n">
        <v>529.1</v>
      </c>
      <c r="J315" s="48" t="n">
        <v>722.9</v>
      </c>
    </row>
    <row r="316">
      <c r="A316" s="50" t="inlineStr">
        <is>
          <t>Javier Melo</t>
        </is>
      </c>
      <c r="B316" s="50" t="inlineStr">
        <is>
          <t>Amplify</t>
        </is>
      </c>
      <c r="C316" s="50" t="inlineStr">
        <is>
          <t>Boston Beer Company</t>
        </is>
      </c>
      <c r="D316" s="50" t="inlineStr">
        <is>
          <t>Dogfish Head Beer</t>
        </is>
      </c>
      <c r="E316" s="46" t="n">
        <v>57</v>
      </c>
      <c r="F316" s="46" t="n">
        <v>57</v>
      </c>
      <c r="G316" s="48" t="n">
        <v>2076.8</v>
      </c>
      <c r="H316" s="48" t="n">
        <v>2076.4</v>
      </c>
      <c r="I316" s="48" t="n">
        <v>515.67</v>
      </c>
      <c r="J316" s="48" t="n">
        <v>511.72</v>
      </c>
    </row>
    <row r="317">
      <c r="A317" s="50" t="inlineStr">
        <is>
          <t>Javier Melo</t>
        </is>
      </c>
      <c r="B317" s="50" t="inlineStr">
        <is>
          <t>Amplify</t>
        </is>
      </c>
      <c r="C317" s="50" t="inlineStr">
        <is>
          <t>Heineken USA</t>
        </is>
      </c>
      <c r="D317" s="50" t="inlineStr">
        <is>
          <t>Heineken 0.0</t>
        </is>
      </c>
      <c r="E317" s="46" t="n">
        <v>574</v>
      </c>
      <c r="F317" s="46" t="n">
        <v>568</v>
      </c>
      <c r="G317" s="48" t="n">
        <v>19340.75</v>
      </c>
      <c r="H317" s="48" t="n">
        <v>19119.95</v>
      </c>
      <c r="I317" s="48" t="n">
        <v>5137.83</v>
      </c>
      <c r="J317" s="48" t="n">
        <v>5099.81</v>
      </c>
    </row>
    <row r="318">
      <c r="A318" s="50" t="inlineStr">
        <is>
          <t>Javier Melo</t>
        </is>
      </c>
      <c r="B318" s="50" t="inlineStr">
        <is>
          <t>Amplify</t>
        </is>
      </c>
      <c r="C318" s="50" t="inlineStr">
        <is>
          <t>Heineken USA</t>
        </is>
      </c>
      <c r="D318" s="50" t="inlineStr">
        <is>
          <t>Heineken Light</t>
        </is>
      </c>
      <c r="E318" s="46" t="n">
        <v>909</v>
      </c>
      <c r="F318" s="46" t="n">
        <v>764</v>
      </c>
      <c r="G318" s="48" t="n">
        <v>28572.15</v>
      </c>
      <c r="H318" s="48" t="n">
        <v>23890.5</v>
      </c>
      <c r="I318" s="48" t="n">
        <v>6960.53</v>
      </c>
      <c r="J318" s="48" t="n">
        <v>5729.86</v>
      </c>
    </row>
    <row r="319">
      <c r="A319" s="50" t="inlineStr">
        <is>
          <t>Javier Melo</t>
        </is>
      </c>
      <c r="B319" s="50" t="inlineStr">
        <is>
          <t>Amplify</t>
        </is>
      </c>
      <c r="C319" s="50" t="inlineStr">
        <is>
          <t>Constellation Brands</t>
        </is>
      </c>
      <c r="D319" s="50" t="inlineStr">
        <is>
          <t>Corona Premier</t>
        </is>
      </c>
      <c r="E319" s="46" t="n">
        <v>331</v>
      </c>
      <c r="F319" s="46" t="n">
        <v>296</v>
      </c>
      <c r="G319" s="48" t="n">
        <v>10379.95</v>
      </c>
      <c r="H319" s="48" t="n">
        <v>8326.6</v>
      </c>
      <c r="I319" s="48" t="n">
        <v>2375.25</v>
      </c>
      <c r="J319" s="48" t="n">
        <v>1982.7</v>
      </c>
    </row>
    <row r="320">
      <c r="A320" s="50" t="inlineStr">
        <is>
          <t>Javier Melo</t>
        </is>
      </c>
      <c r="B320" s="50" t="inlineStr">
        <is>
          <t>Amplify</t>
        </is>
      </c>
      <c r="C320" s="50" t="inlineStr">
        <is>
          <t>Constellation Brands</t>
        </is>
      </c>
      <c r="D320" s="50" t="inlineStr">
        <is>
          <t>Modelo Chelada</t>
        </is>
      </c>
      <c r="E320" s="46" t="n">
        <v>3105</v>
      </c>
      <c r="F320" s="46" t="n">
        <v>3788</v>
      </c>
      <c r="G320" s="48" t="n">
        <v>96343.7</v>
      </c>
      <c r="H320" s="48" t="n">
        <v>116464.65</v>
      </c>
      <c r="I320" s="48" t="n">
        <v>24815.53</v>
      </c>
      <c r="J320" s="48" t="n">
        <v>29439.45</v>
      </c>
    </row>
    <row r="321">
      <c r="A321" s="50" t="inlineStr">
        <is>
          <t>Javier Melo</t>
        </is>
      </c>
      <c r="B321" s="50" t="inlineStr">
        <is>
          <t>Amplify</t>
        </is>
      </c>
      <c r="C321" s="50" t="inlineStr">
        <is>
          <t>Constellation Brands</t>
        </is>
      </c>
      <c r="D321" s="50" t="inlineStr">
        <is>
          <t>Pacifico</t>
        </is>
      </c>
      <c r="E321" s="46" t="n">
        <v>1074</v>
      </c>
      <c r="F321" s="46" t="n">
        <v>1492</v>
      </c>
      <c r="G321" s="48" t="n">
        <v>33401.65</v>
      </c>
      <c r="H321" s="48" t="n">
        <v>46557.3</v>
      </c>
      <c r="I321" s="48" t="n">
        <v>7826.49</v>
      </c>
      <c r="J321" s="48" t="n">
        <v>10909.14</v>
      </c>
    </row>
    <row r="322">
      <c r="A322" s="50" t="inlineStr">
        <is>
          <t>Javier Melo</t>
        </is>
      </c>
      <c r="B322" s="50" t="inlineStr">
        <is>
          <t>Amplify</t>
        </is>
      </c>
      <c r="C322" s="50" t="inlineStr">
        <is>
          <t>Constellation Brands</t>
        </is>
      </c>
      <c r="D322" s="50" t="inlineStr">
        <is>
          <t>Victoria</t>
        </is>
      </c>
      <c r="E322" s="46" t="n">
        <v>3570</v>
      </c>
      <c r="F322" s="46" t="n">
        <v>4068</v>
      </c>
      <c r="G322" s="48" t="n">
        <v>107015.2</v>
      </c>
      <c r="H322" s="48" t="n">
        <v>122506.3</v>
      </c>
      <c r="I322" s="48" t="n">
        <v>25892.17</v>
      </c>
      <c r="J322" s="48" t="n">
        <v>29557.35</v>
      </c>
    </row>
    <row r="323">
      <c r="A323" s="50" t="inlineStr">
        <is>
          <t>Javier Melo</t>
        </is>
      </c>
      <c r="B323" s="50" t="inlineStr">
        <is>
          <t>Amplify</t>
        </is>
      </c>
      <c r="C323" s="50" t="inlineStr">
        <is>
          <t>Sapporo</t>
        </is>
      </c>
      <c r="D323" s="50" t="inlineStr">
        <is>
          <t>Sapporo</t>
        </is>
      </c>
      <c r="E323" s="46" t="n">
        <v>236</v>
      </c>
      <c r="F323" s="46" t="n">
        <v>258</v>
      </c>
      <c r="G323" s="48" t="n">
        <v>7332.25</v>
      </c>
      <c r="H323" s="48" t="n">
        <v>8063.75</v>
      </c>
      <c r="I323" s="48" t="n">
        <v>1780.83</v>
      </c>
      <c r="J323" s="48" t="n">
        <v>2017.5</v>
      </c>
    </row>
    <row r="324">
      <c r="A324" s="50" t="inlineStr">
        <is>
          <t>Javier Melo</t>
        </is>
      </c>
      <c r="B324" s="50" t="inlineStr">
        <is>
          <t>Amplify</t>
        </is>
      </c>
      <c r="C324" s="50" t="inlineStr">
        <is>
          <t>New Belgium Brewing Company</t>
        </is>
      </c>
      <c r="D324" s="50" t="inlineStr">
        <is>
          <t>Fat Tire Family</t>
        </is>
      </c>
      <c r="E324" s="46" t="n">
        <v>3</v>
      </c>
      <c r="F324" s="46" t="n">
        <v>2</v>
      </c>
      <c r="G324" s="48" t="n">
        <v>92.25</v>
      </c>
      <c r="H324" s="48" t="n">
        <v>61.5</v>
      </c>
      <c r="I324" s="48" t="n">
        <v>17.25</v>
      </c>
      <c r="J324" s="48" t="n">
        <v>11.5</v>
      </c>
    </row>
    <row r="325">
      <c r="A325" s="50" t="inlineStr">
        <is>
          <t>Javier Melo</t>
        </is>
      </c>
      <c r="B325" s="50" t="inlineStr">
        <is>
          <t>Amplify</t>
        </is>
      </c>
      <c r="C325" s="50" t="inlineStr">
        <is>
          <t>New Belgium Brewing Company</t>
        </is>
      </c>
      <c r="D325" s="50" t="inlineStr">
        <is>
          <t>Voodoo Family</t>
        </is>
      </c>
      <c r="E325" s="46" t="n">
        <v>63</v>
      </c>
      <c r="F325" s="46" t="n">
        <v>67</v>
      </c>
      <c r="G325" s="48" t="n">
        <v>2269.8</v>
      </c>
      <c r="H325" s="48" t="n">
        <v>2405.2</v>
      </c>
      <c r="I325" s="48" t="n">
        <v>568.52</v>
      </c>
      <c r="J325" s="48" t="n">
        <v>604.38</v>
      </c>
    </row>
    <row r="326">
      <c r="A326" s="50" t="inlineStr">
        <is>
          <t>Javier Melo</t>
        </is>
      </c>
      <c r="B326" s="50" t="inlineStr">
        <is>
          <t>Amplify</t>
        </is>
      </c>
      <c r="C326" s="50" t="inlineStr">
        <is>
          <t>DG Yuengling Inc</t>
        </is>
      </c>
      <c r="D326" s="50" t="inlineStr">
        <is>
          <t>Yuengling Flight</t>
        </is>
      </c>
      <c r="E326" s="46" t="n">
        <v>1</v>
      </c>
      <c r="F326" s="46" t="n">
        <v>3</v>
      </c>
      <c r="G326" s="48" t="n">
        <v>20</v>
      </c>
      <c r="H326" s="48" t="n">
        <v>40</v>
      </c>
      <c r="I326" s="48" t="n">
        <v>3.42</v>
      </c>
      <c r="J326" s="48" t="n">
        <v>6.86</v>
      </c>
    </row>
    <row r="327">
      <c r="A327" s="50" t="inlineStr">
        <is>
          <t>Javier Melo</t>
        </is>
      </c>
      <c r="B327" s="50" t="inlineStr">
        <is>
          <t>Amplify</t>
        </is>
      </c>
      <c r="C327" s="50" t="inlineStr">
        <is>
          <t>DG Yuengling Inc</t>
        </is>
      </c>
      <c r="D327" s="50" t="inlineStr">
        <is>
          <t>Yuengling Light Lager</t>
        </is>
      </c>
      <c r="E327" s="46" t="n">
        <v>0</v>
      </c>
      <c r="F327" s="46" t="n">
        <v>1</v>
      </c>
      <c r="G327" s="48" t="n">
        <v>0</v>
      </c>
      <c r="H327" s="48" t="n">
        <v>27</v>
      </c>
      <c r="I327" s="48" t="n">
        <v>0</v>
      </c>
      <c r="J327" s="48" t="n">
        <v>7.86</v>
      </c>
    </row>
    <row r="328">
      <c r="A328" s="50" t="inlineStr">
        <is>
          <t>Javier Melo</t>
        </is>
      </c>
      <c r="B328" s="50" t="inlineStr">
        <is>
          <t>Qualifier</t>
        </is>
      </c>
      <c r="C328" s="50" t="inlineStr">
        <is>
          <t>MolsonCoors Beverage Company</t>
        </is>
      </c>
      <c r="D328" s="50" t="inlineStr">
        <is>
          <t>Blue Moon</t>
        </is>
      </c>
      <c r="E328" s="46" t="n">
        <v>463</v>
      </c>
      <c r="F328" s="46" t="n">
        <v>369</v>
      </c>
      <c r="G328" s="48" t="n">
        <v>15007.6</v>
      </c>
      <c r="H328" s="48" t="n">
        <v>12074.8</v>
      </c>
      <c r="I328" s="48" t="n">
        <v>3582.45</v>
      </c>
      <c r="J328" s="48" t="n">
        <v>2935.71</v>
      </c>
    </row>
    <row r="329">
      <c r="A329" s="50" t="inlineStr">
        <is>
          <t>Javier Melo</t>
        </is>
      </c>
      <c r="B329" s="50" t="inlineStr">
        <is>
          <t>Qualifier</t>
        </is>
      </c>
      <c r="C329" s="50" t="inlineStr">
        <is>
          <t>MolsonCoors Beverage Company</t>
        </is>
      </c>
      <c r="D329" s="50" t="inlineStr">
        <is>
          <t>Coors Light</t>
        </is>
      </c>
      <c r="E329" s="46" t="n">
        <v>20762</v>
      </c>
      <c r="F329" s="46" t="n">
        <v>19918</v>
      </c>
      <c r="G329" s="48" t="n">
        <v>384164.1</v>
      </c>
      <c r="H329" s="48" t="n">
        <v>373314.75</v>
      </c>
      <c r="I329" s="48" t="n">
        <v>76568.67</v>
      </c>
      <c r="J329" s="48" t="n">
        <v>76217.17999999999</v>
      </c>
    </row>
    <row r="330">
      <c r="A330" s="50" t="inlineStr">
        <is>
          <t>Javier Melo</t>
        </is>
      </c>
      <c r="B330" s="50" t="inlineStr">
        <is>
          <t>Qualifier</t>
        </is>
      </c>
      <c r="C330" s="50" t="inlineStr">
        <is>
          <t>MolsonCoors Beverage Company</t>
        </is>
      </c>
      <c r="D330" s="50" t="inlineStr">
        <is>
          <t>Lite</t>
        </is>
      </c>
      <c r="E330" s="46" t="n">
        <v>873</v>
      </c>
      <c r="F330" s="46" t="n">
        <v>961</v>
      </c>
      <c r="G330" s="48" t="n">
        <v>15747.3</v>
      </c>
      <c r="H330" s="48" t="n">
        <v>17559.05</v>
      </c>
      <c r="I330" s="48" t="n">
        <v>2541.02</v>
      </c>
      <c r="J330" s="48" t="n">
        <v>2972.09</v>
      </c>
    </row>
    <row r="331">
      <c r="A331" s="50" t="inlineStr">
        <is>
          <t>Javier Melo</t>
        </is>
      </c>
      <c r="B331" s="50" t="inlineStr">
        <is>
          <t>Qualifier</t>
        </is>
      </c>
      <c r="C331" s="50" t="inlineStr">
        <is>
          <t>Heineken USA</t>
        </is>
      </c>
      <c r="D331" s="50" t="inlineStr">
        <is>
          <t>Heineken USA</t>
        </is>
      </c>
      <c r="E331" s="46" t="n">
        <v>14716</v>
      </c>
      <c r="F331" s="46" t="n">
        <v>12516</v>
      </c>
      <c r="G331" s="48" t="n">
        <v>462363.95</v>
      </c>
      <c r="H331" s="48" t="n">
        <v>392241.3</v>
      </c>
      <c r="I331" s="48" t="n">
        <v>111588.4</v>
      </c>
      <c r="J331" s="48" t="n">
        <v>93819.22</v>
      </c>
    </row>
    <row r="332">
      <c r="A332" s="50" t="inlineStr">
        <is>
          <t>Javier Melo</t>
        </is>
      </c>
      <c r="B332" s="50" t="inlineStr">
        <is>
          <t>Qualifier</t>
        </is>
      </c>
      <c r="C332" s="50" t="inlineStr">
        <is>
          <t>Constellation Brands</t>
        </is>
      </c>
      <c r="D332" s="50" t="inlineStr">
        <is>
          <t>Corona Extra</t>
        </is>
      </c>
      <c r="E332" s="46" t="n">
        <v>46709</v>
      </c>
      <c r="F332" s="46" t="n">
        <v>45186</v>
      </c>
      <c r="G332" s="48" t="n">
        <v>1522775.2</v>
      </c>
      <c r="H332" s="48" t="n">
        <v>1480685.7</v>
      </c>
      <c r="I332" s="48" t="n">
        <v>370177.56</v>
      </c>
      <c r="J332" s="48" t="n">
        <v>359951.87</v>
      </c>
    </row>
    <row r="333">
      <c r="A333" s="50" t="inlineStr">
        <is>
          <t>Javier Melo</t>
        </is>
      </c>
      <c r="B333" s="50" t="inlineStr">
        <is>
          <t>Qualifier</t>
        </is>
      </c>
      <c r="C333" s="50" t="inlineStr">
        <is>
          <t>Constellation Brands</t>
        </is>
      </c>
      <c r="D333" s="50" t="inlineStr">
        <is>
          <t>Modelo Especial</t>
        </is>
      </c>
      <c r="E333" s="46" t="n">
        <v>40553</v>
      </c>
      <c r="F333" s="46" t="n">
        <v>40776</v>
      </c>
      <c r="G333" s="48" t="n">
        <v>1244767.5</v>
      </c>
      <c r="H333" s="48" t="n">
        <v>1248973</v>
      </c>
      <c r="I333" s="48" t="n">
        <v>286297.76</v>
      </c>
      <c r="J333" s="48" t="n">
        <v>286720.01</v>
      </c>
    </row>
    <row r="334">
      <c r="A334" s="50" t="inlineStr">
        <is>
          <t>Javier Melo</t>
        </is>
      </c>
      <c r="B334" s="50" t="inlineStr">
        <is>
          <t>Qualifier</t>
        </is>
      </c>
      <c r="C334" s="50" t="inlineStr">
        <is>
          <t>Boston Beer Company</t>
        </is>
      </c>
      <c r="D334" s="50" t="inlineStr">
        <is>
          <t>Truly</t>
        </is>
      </c>
      <c r="E334" s="46" t="n">
        <v>9</v>
      </c>
      <c r="F334" s="46" t="n">
        <v>21</v>
      </c>
      <c r="G334" s="48" t="n">
        <v>281.8</v>
      </c>
      <c r="H334" s="48" t="n">
        <v>642.8</v>
      </c>
      <c r="I334" s="48" t="n">
        <v>82.12</v>
      </c>
      <c r="J334" s="48" t="n">
        <v>175.22</v>
      </c>
    </row>
    <row r="335">
      <c r="A335" s="50" t="inlineStr">
        <is>
          <t>Javier Melo</t>
        </is>
      </c>
      <c r="B335" s="50" t="inlineStr">
        <is>
          <t>Qualifier</t>
        </is>
      </c>
      <c r="C335" s="50" t="inlineStr">
        <is>
          <t>Boston Beer Company</t>
        </is>
      </c>
      <c r="D335" s="50" t="inlineStr">
        <is>
          <t>Twisted Tea</t>
        </is>
      </c>
      <c r="E335" s="46" t="n">
        <v>584</v>
      </c>
      <c r="F335" s="46" t="n">
        <v>563</v>
      </c>
      <c r="G335" s="48" t="n">
        <v>16962.25</v>
      </c>
      <c r="H335" s="48" t="n">
        <v>16303.5</v>
      </c>
      <c r="I335" s="48" t="n">
        <v>4508.9</v>
      </c>
      <c r="J335" s="48" t="n">
        <v>4057.39</v>
      </c>
    </row>
    <row r="336">
      <c r="A336" s="50" t="inlineStr">
        <is>
          <t>Javier Melo</t>
        </is>
      </c>
      <c r="B336" s="50" t="inlineStr">
        <is>
          <t>Qualifier</t>
        </is>
      </c>
      <c r="C336" s="50" t="inlineStr">
        <is>
          <t>Mark Anthony</t>
        </is>
      </c>
      <c r="D336" s="50" t="inlineStr">
        <is>
          <t>White Claw</t>
        </is>
      </c>
      <c r="E336" s="46" t="n">
        <v>1375</v>
      </c>
      <c r="F336" s="46" t="n">
        <v>1164</v>
      </c>
      <c r="G336" s="48" t="n">
        <v>44721.3</v>
      </c>
      <c r="H336" s="48" t="n">
        <v>38909.95</v>
      </c>
      <c r="I336" s="48" t="n">
        <v>10012.83</v>
      </c>
      <c r="J336" s="48" t="n">
        <v>8624.02</v>
      </c>
    </row>
    <row r="337">
      <c r="A337" s="50" t="inlineStr">
        <is>
          <t>Javier Melo</t>
        </is>
      </c>
      <c r="B337" s="50" t="inlineStr">
        <is>
          <t>Qualifier</t>
        </is>
      </c>
      <c r="C337" s="50" t="inlineStr">
        <is>
          <t>DG Yuengling Inc</t>
        </is>
      </c>
      <c r="D337" s="50" t="inlineStr">
        <is>
          <t>Yuengling Lager</t>
        </is>
      </c>
      <c r="E337" s="46" t="n">
        <v>143</v>
      </c>
      <c r="F337" s="46" t="n">
        <v>256</v>
      </c>
      <c r="G337" s="48" t="n">
        <v>3219.9</v>
      </c>
      <c r="H337" s="48" t="n">
        <v>5491.7</v>
      </c>
      <c r="I337" s="48" t="n">
        <v>915.63</v>
      </c>
      <c r="J337" s="48" t="n">
        <v>1523.05</v>
      </c>
    </row>
    <row r="338">
      <c r="A338" s="50" t="inlineStr">
        <is>
          <t>Jayson Romine</t>
        </is>
      </c>
      <c r="B338" s="50" t="inlineStr">
        <is>
          <t>Amplify</t>
        </is>
      </c>
      <c r="C338" s="50" t="inlineStr">
        <is>
          <t>Cape May</t>
        </is>
      </c>
      <c r="D338" s="50" t="inlineStr">
        <is>
          <t>Cape May</t>
        </is>
      </c>
      <c r="E338" s="46" t="n">
        <v>1329</v>
      </c>
      <c r="F338" s="46" t="n">
        <v>1359</v>
      </c>
      <c r="G338" s="48" t="n">
        <v>53170.7</v>
      </c>
      <c r="H338" s="48" t="n">
        <v>54385.4</v>
      </c>
      <c r="I338" s="48" t="n">
        <v>15610.46</v>
      </c>
      <c r="J338" s="48" t="n">
        <v>15843.51</v>
      </c>
    </row>
    <row r="339">
      <c r="A339" s="50" t="inlineStr">
        <is>
          <t>Jayson Romine</t>
        </is>
      </c>
      <c r="B339" s="50" t="inlineStr">
        <is>
          <t>Amplify</t>
        </is>
      </c>
      <c r="C339" s="50" t="inlineStr">
        <is>
          <t>Mark Anthony</t>
        </is>
      </c>
      <c r="D339" s="50" t="inlineStr">
        <is>
          <t>Cayman Jack</t>
        </is>
      </c>
      <c r="E339" s="46" t="n">
        <v>636</v>
      </c>
      <c r="F339" s="46" t="n">
        <v>641</v>
      </c>
      <c r="G339" s="48" t="n">
        <v>20177</v>
      </c>
      <c r="H339" s="48" t="n">
        <v>20568</v>
      </c>
      <c r="I339" s="48" t="n">
        <v>4780.9</v>
      </c>
      <c r="J339" s="48" t="n">
        <v>4890.3</v>
      </c>
    </row>
    <row r="340">
      <c r="A340" s="50" t="inlineStr">
        <is>
          <t>Jayson Romine</t>
        </is>
      </c>
      <c r="B340" s="50" t="inlineStr">
        <is>
          <t>Amplify</t>
        </is>
      </c>
      <c r="C340" s="50" t="inlineStr">
        <is>
          <t>Mark Anthony</t>
        </is>
      </c>
      <c r="D340" s="50" t="inlineStr">
        <is>
          <t>Mike's Harder</t>
        </is>
      </c>
      <c r="E340" s="46" t="n">
        <v>867</v>
      </c>
      <c r="F340" s="46" t="n">
        <v>701</v>
      </c>
      <c r="G340" s="48" t="n">
        <v>23973.5</v>
      </c>
      <c r="H340" s="48" t="n">
        <v>20795.5</v>
      </c>
      <c r="I340" s="48" t="n">
        <v>5200.42</v>
      </c>
      <c r="J340" s="48" t="n">
        <v>4565.31</v>
      </c>
    </row>
    <row r="341">
      <c r="A341" s="50" t="inlineStr">
        <is>
          <t>Jayson Romine</t>
        </is>
      </c>
      <c r="B341" s="50" t="inlineStr">
        <is>
          <t>Amplify</t>
        </is>
      </c>
      <c r="C341" s="50" t="inlineStr">
        <is>
          <t>MolsonCoors Beverage Company</t>
        </is>
      </c>
      <c r="D341" s="50" t="inlineStr">
        <is>
          <t>Coors</t>
        </is>
      </c>
      <c r="E341" s="46" t="n">
        <v>5457</v>
      </c>
      <c r="F341" s="46" t="n">
        <v>4993</v>
      </c>
      <c r="G341" s="48" t="n">
        <v>122006.45</v>
      </c>
      <c r="H341" s="48" t="n">
        <v>113559.3</v>
      </c>
      <c r="I341" s="48" t="n">
        <v>33694.52</v>
      </c>
      <c r="J341" s="48" t="n">
        <v>31312.37</v>
      </c>
    </row>
    <row r="342">
      <c r="A342" s="50" t="inlineStr">
        <is>
          <t>Jayson Romine</t>
        </is>
      </c>
      <c r="B342" s="50" t="inlineStr">
        <is>
          <t>Amplify</t>
        </is>
      </c>
      <c r="C342" s="50" t="inlineStr">
        <is>
          <t>MolsonCoors Beverage Company</t>
        </is>
      </c>
      <c r="D342" s="50" t="inlineStr">
        <is>
          <t>Fever Tree</t>
        </is>
      </c>
      <c r="E342" s="46" t="n">
        <v>1</v>
      </c>
      <c r="F342" s="46" t="n">
        <v>150</v>
      </c>
      <c r="G342" s="48" t="n">
        <v>51</v>
      </c>
      <c r="H342" s="48" t="n">
        <v>6672.2</v>
      </c>
      <c r="I342" s="48" t="n">
        <v>16.22</v>
      </c>
      <c r="J342" s="48" t="n">
        <v>2185.92</v>
      </c>
    </row>
    <row r="343">
      <c r="A343" s="50" t="inlineStr">
        <is>
          <t>Jayson Romine</t>
        </is>
      </c>
      <c r="B343" s="50" t="inlineStr">
        <is>
          <t>Amplify</t>
        </is>
      </c>
      <c r="C343" s="50" t="inlineStr">
        <is>
          <t>MolsonCoors Beverage Company</t>
        </is>
      </c>
      <c r="D343" s="50" t="inlineStr">
        <is>
          <t>Peroni</t>
        </is>
      </c>
      <c r="E343" s="46" t="n">
        <v>592</v>
      </c>
      <c r="F343" s="46" t="n">
        <v>671</v>
      </c>
      <c r="G343" s="48" t="n">
        <v>20555.5</v>
      </c>
      <c r="H343" s="48" t="n">
        <v>22884.65</v>
      </c>
      <c r="I343" s="48" t="n">
        <v>4288.04</v>
      </c>
      <c r="J343" s="48" t="n">
        <v>4645.68</v>
      </c>
    </row>
    <row r="344">
      <c r="A344" s="50" t="inlineStr">
        <is>
          <t>Jayson Romine</t>
        </is>
      </c>
      <c r="B344" s="50" t="inlineStr">
        <is>
          <t>Amplify</t>
        </is>
      </c>
      <c r="C344" s="50" t="inlineStr">
        <is>
          <t>Boston Beer Company</t>
        </is>
      </c>
      <c r="D344" s="50" t="inlineStr">
        <is>
          <t>Dogfish Head Beer</t>
        </is>
      </c>
      <c r="E344" s="46" t="n">
        <v>1366</v>
      </c>
      <c r="F344" s="46" t="n">
        <v>1544</v>
      </c>
      <c r="G344" s="48" t="n">
        <v>46429.8</v>
      </c>
      <c r="H344" s="48" t="n">
        <v>52657.7</v>
      </c>
      <c r="I344" s="48" t="n">
        <v>11569.66</v>
      </c>
      <c r="J344" s="48" t="n">
        <v>12845.5</v>
      </c>
    </row>
    <row r="345">
      <c r="A345" s="50" t="inlineStr">
        <is>
          <t>Jayson Romine</t>
        </is>
      </c>
      <c r="B345" s="50" t="inlineStr">
        <is>
          <t>Amplify</t>
        </is>
      </c>
      <c r="C345" s="50" t="inlineStr">
        <is>
          <t>Boston Beer Company</t>
        </is>
      </c>
      <c r="D345" s="50" t="inlineStr">
        <is>
          <t>Dogfish Head Spirits</t>
        </is>
      </c>
      <c r="E345" s="46" t="n">
        <v>449</v>
      </c>
      <c r="F345" s="46" t="n">
        <v>401</v>
      </c>
      <c r="G345" s="48" t="n">
        <v>24470.49</v>
      </c>
      <c r="H345" s="48" t="n">
        <v>20003</v>
      </c>
      <c r="I345" s="48" t="n">
        <v>9213.059999999999</v>
      </c>
      <c r="J345" s="48" t="n">
        <v>6748.05</v>
      </c>
    </row>
    <row r="346">
      <c r="A346" s="50" t="inlineStr">
        <is>
          <t>Jayson Romine</t>
        </is>
      </c>
      <c r="B346" s="50" t="inlineStr">
        <is>
          <t>Amplify</t>
        </is>
      </c>
      <c r="C346" s="50" t="inlineStr">
        <is>
          <t>Constellation Brands</t>
        </is>
      </c>
      <c r="D346" s="50" t="inlineStr">
        <is>
          <t>Corona Premier</t>
        </is>
      </c>
      <c r="E346" s="46" t="n">
        <v>1034</v>
      </c>
      <c r="F346" s="46" t="n">
        <v>978</v>
      </c>
      <c r="G346" s="48" t="n">
        <v>32194.9</v>
      </c>
      <c r="H346" s="48" t="n">
        <v>26519.05</v>
      </c>
      <c r="I346" s="48" t="n">
        <v>7029.66</v>
      </c>
      <c r="J346" s="48" t="n">
        <v>6426</v>
      </c>
    </row>
    <row r="347">
      <c r="A347" s="50" t="inlineStr">
        <is>
          <t>Jayson Romine</t>
        </is>
      </c>
      <c r="B347" s="50" t="inlineStr">
        <is>
          <t>Amplify</t>
        </is>
      </c>
      <c r="C347" s="50" t="inlineStr">
        <is>
          <t>Constellation Brands</t>
        </is>
      </c>
      <c r="D347" s="50" t="inlineStr">
        <is>
          <t>Modelo Chelada</t>
        </is>
      </c>
      <c r="E347" s="46" t="n">
        <v>662</v>
      </c>
      <c r="F347" s="46" t="n">
        <v>788</v>
      </c>
      <c r="G347" s="48" t="n">
        <v>20463.45</v>
      </c>
      <c r="H347" s="48" t="n">
        <v>24242.65</v>
      </c>
      <c r="I347" s="48" t="n">
        <v>5055.12</v>
      </c>
      <c r="J347" s="48" t="n">
        <v>6045.23</v>
      </c>
    </row>
    <row r="348">
      <c r="A348" s="50" t="inlineStr">
        <is>
          <t>Jayson Romine</t>
        </is>
      </c>
      <c r="B348" s="50" t="inlineStr">
        <is>
          <t>Amplify</t>
        </is>
      </c>
      <c r="C348" s="50" t="inlineStr">
        <is>
          <t>Constellation Brands</t>
        </is>
      </c>
      <c r="D348" s="50" t="inlineStr">
        <is>
          <t>Pacifico</t>
        </is>
      </c>
      <c r="E348" s="46" t="n">
        <v>232</v>
      </c>
      <c r="F348" s="46" t="n">
        <v>395</v>
      </c>
      <c r="G348" s="48" t="n">
        <v>7161.4</v>
      </c>
      <c r="H348" s="48" t="n">
        <v>12097</v>
      </c>
      <c r="I348" s="48" t="n">
        <v>1664.92</v>
      </c>
      <c r="J348" s="48" t="n">
        <v>2857.47</v>
      </c>
    </row>
    <row r="349">
      <c r="A349" s="50" t="inlineStr">
        <is>
          <t>Jayson Romine</t>
        </is>
      </c>
      <c r="B349" s="50" t="inlineStr">
        <is>
          <t>Amplify</t>
        </is>
      </c>
      <c r="C349" s="50" t="inlineStr">
        <is>
          <t>Constellation Brands</t>
        </is>
      </c>
      <c r="D349" s="50" t="inlineStr">
        <is>
          <t>Victoria</t>
        </is>
      </c>
      <c r="E349" s="46" t="n">
        <v>341</v>
      </c>
      <c r="F349" s="46" t="n">
        <v>331</v>
      </c>
      <c r="G349" s="48" t="n">
        <v>9986.15</v>
      </c>
      <c r="H349" s="48" t="n">
        <v>9737.5</v>
      </c>
      <c r="I349" s="48" t="n">
        <v>2540.4</v>
      </c>
      <c r="J349" s="48" t="n">
        <v>2400.32</v>
      </c>
    </row>
    <row r="350">
      <c r="A350" s="50" t="inlineStr">
        <is>
          <t>Jayson Romine</t>
        </is>
      </c>
      <c r="B350" s="50" t="inlineStr">
        <is>
          <t>Amplify</t>
        </is>
      </c>
      <c r="C350" s="50" t="inlineStr">
        <is>
          <t>Sapporo</t>
        </is>
      </c>
      <c r="D350" s="50" t="inlineStr">
        <is>
          <t>Sapporo</t>
        </is>
      </c>
      <c r="E350" s="46" t="n">
        <v>183</v>
      </c>
      <c r="F350" s="46" t="n">
        <v>220</v>
      </c>
      <c r="G350" s="48" t="n">
        <v>5373.5</v>
      </c>
      <c r="H350" s="48" t="n">
        <v>6406</v>
      </c>
      <c r="I350" s="48" t="n">
        <v>1485.19</v>
      </c>
      <c r="J350" s="48" t="n">
        <v>1751.77</v>
      </c>
    </row>
    <row r="351">
      <c r="A351" s="50" t="inlineStr">
        <is>
          <t>Jayson Romine</t>
        </is>
      </c>
      <c r="B351" s="50" t="inlineStr">
        <is>
          <t>Amplify</t>
        </is>
      </c>
      <c r="C351" s="50" t="inlineStr">
        <is>
          <t>Bell's</t>
        </is>
      </c>
      <c r="D351" s="50" t="inlineStr">
        <is>
          <t>Bell's</t>
        </is>
      </c>
      <c r="E351" s="46" t="n">
        <v>31</v>
      </c>
      <c r="F351" s="46" t="n">
        <v>16</v>
      </c>
      <c r="G351" s="48" t="n">
        <v>1075.4</v>
      </c>
      <c r="H351" s="48" t="n">
        <v>534.9</v>
      </c>
      <c r="I351" s="48" t="n">
        <v>329.66</v>
      </c>
      <c r="J351" s="48" t="n">
        <v>169.94</v>
      </c>
    </row>
    <row r="352">
      <c r="A352" s="50" t="inlineStr">
        <is>
          <t>Jayson Romine</t>
        </is>
      </c>
      <c r="B352" s="50" t="inlineStr">
        <is>
          <t>Amplify</t>
        </is>
      </c>
      <c r="C352" s="50" t="inlineStr">
        <is>
          <t>New Belgium Brewing Company</t>
        </is>
      </c>
      <c r="D352" s="50" t="inlineStr">
        <is>
          <t>Fat Tire Family</t>
        </is>
      </c>
      <c r="E352" s="46" t="n">
        <v>346</v>
      </c>
      <c r="F352" s="46" t="n">
        <v>339</v>
      </c>
      <c r="G352" s="48" t="n">
        <v>11234</v>
      </c>
      <c r="H352" s="48" t="n">
        <v>10664.1</v>
      </c>
      <c r="I352" s="48" t="n">
        <v>2305.97</v>
      </c>
      <c r="J352" s="48" t="n">
        <v>2142.88</v>
      </c>
    </row>
    <row r="353">
      <c r="A353" s="50" t="inlineStr">
        <is>
          <t>Jayson Romine</t>
        </is>
      </c>
      <c r="B353" s="50" t="inlineStr">
        <is>
          <t>Amplify</t>
        </is>
      </c>
      <c r="C353" s="50" t="inlineStr">
        <is>
          <t>New Belgium Brewing Company</t>
        </is>
      </c>
      <c r="D353" s="50" t="inlineStr">
        <is>
          <t>Kirin Ichiban</t>
        </is>
      </c>
      <c r="E353" s="46" t="n">
        <v>3</v>
      </c>
      <c r="F353" s="46" t="n">
        <v>6</v>
      </c>
      <c r="G353" s="48" t="n">
        <v>108</v>
      </c>
      <c r="H353" s="48" t="n">
        <v>193.5</v>
      </c>
      <c r="I353" s="48" t="n">
        <v>34.55</v>
      </c>
      <c r="J353" s="48" t="n">
        <v>48.42</v>
      </c>
    </row>
    <row r="354">
      <c r="A354" s="50" t="inlineStr">
        <is>
          <t>Jayson Romine</t>
        </is>
      </c>
      <c r="B354" s="50" t="inlineStr">
        <is>
          <t>Amplify</t>
        </is>
      </c>
      <c r="C354" s="50" t="inlineStr">
        <is>
          <t>New Belgium Brewing Company</t>
        </is>
      </c>
      <c r="D354" s="50" t="inlineStr">
        <is>
          <t>Voodoo Family</t>
        </is>
      </c>
      <c r="E354" s="46" t="n">
        <v>1780</v>
      </c>
      <c r="F354" s="46" t="n">
        <v>2072</v>
      </c>
      <c r="G354" s="48" t="n">
        <v>64558.8</v>
      </c>
      <c r="H354" s="48" t="n">
        <v>74136.5</v>
      </c>
      <c r="I354" s="48" t="n">
        <v>16045.14</v>
      </c>
      <c r="J354" s="48" t="n">
        <v>18201.3</v>
      </c>
    </row>
    <row r="355">
      <c r="A355" s="50" t="inlineStr">
        <is>
          <t>Jayson Romine</t>
        </is>
      </c>
      <c r="B355" s="50" t="inlineStr">
        <is>
          <t>Amplify</t>
        </is>
      </c>
      <c r="C355" s="50" t="inlineStr">
        <is>
          <t>DG Yuengling Inc</t>
        </is>
      </c>
      <c r="D355" s="50" t="inlineStr">
        <is>
          <t>Yuengling Flight</t>
        </is>
      </c>
      <c r="E355" s="46" t="n">
        <v>831</v>
      </c>
      <c r="F355" s="46" t="n">
        <v>800</v>
      </c>
      <c r="G355" s="48" t="n">
        <v>19287.85</v>
      </c>
      <c r="H355" s="48" t="n">
        <v>18763.45</v>
      </c>
      <c r="I355" s="48" t="n">
        <v>5520.84</v>
      </c>
      <c r="J355" s="48" t="n">
        <v>5458.2</v>
      </c>
    </row>
    <row r="356">
      <c r="A356" s="50" t="inlineStr">
        <is>
          <t>Jayson Romine</t>
        </is>
      </c>
      <c r="B356" s="50" t="inlineStr">
        <is>
          <t>Amplify</t>
        </is>
      </c>
      <c r="C356" s="50" t="inlineStr">
        <is>
          <t>DG Yuengling Inc</t>
        </is>
      </c>
      <c r="D356" s="50" t="inlineStr">
        <is>
          <t>Yuengling Light Lager</t>
        </is>
      </c>
      <c r="E356" s="46" t="n">
        <v>661</v>
      </c>
      <c r="F356" s="46" t="n">
        <v>747</v>
      </c>
      <c r="G356" s="48" t="n">
        <v>15289.1</v>
      </c>
      <c r="H356" s="48" t="n">
        <v>17242.5</v>
      </c>
      <c r="I356" s="48" t="n">
        <v>4203.6</v>
      </c>
      <c r="J356" s="48" t="n">
        <v>4663.07</v>
      </c>
    </row>
    <row r="357">
      <c r="A357" s="50" t="inlineStr">
        <is>
          <t>Jayson Romine</t>
        </is>
      </c>
      <c r="B357" s="50" t="inlineStr">
        <is>
          <t>Qualifier</t>
        </is>
      </c>
      <c r="C357" s="50" t="inlineStr">
        <is>
          <t>MolsonCoors Beverage Company</t>
        </is>
      </c>
      <c r="D357" s="50" t="inlineStr">
        <is>
          <t>Blue Moon</t>
        </is>
      </c>
      <c r="E357" s="46" t="n">
        <v>2389</v>
      </c>
      <c r="F357" s="46" t="n">
        <v>2081</v>
      </c>
      <c r="G357" s="48" t="n">
        <v>75022.45</v>
      </c>
      <c r="H357" s="48" t="n">
        <v>67124.60000000001</v>
      </c>
      <c r="I357" s="48" t="n">
        <v>16651.46</v>
      </c>
      <c r="J357" s="48" t="n">
        <v>15376.12</v>
      </c>
    </row>
    <row r="358">
      <c r="A358" s="50" t="inlineStr">
        <is>
          <t>Jayson Romine</t>
        </is>
      </c>
      <c r="B358" s="50" t="inlineStr">
        <is>
          <t>Qualifier</t>
        </is>
      </c>
      <c r="C358" s="50" t="inlineStr">
        <is>
          <t>MolsonCoors Beverage Company</t>
        </is>
      </c>
      <c r="D358" s="50" t="inlineStr">
        <is>
          <t>Coors Light</t>
        </is>
      </c>
      <c r="E358" s="46" t="n">
        <v>18550</v>
      </c>
      <c r="F358" s="46" t="n">
        <v>19128</v>
      </c>
      <c r="G358" s="48" t="n">
        <v>404925.4</v>
      </c>
      <c r="H358" s="48" t="n">
        <v>417344.8</v>
      </c>
      <c r="I358" s="48" t="n">
        <v>110725.22</v>
      </c>
      <c r="J358" s="48" t="n">
        <v>112904.03</v>
      </c>
    </row>
    <row r="359">
      <c r="A359" s="50" t="inlineStr">
        <is>
          <t>Jayson Romine</t>
        </is>
      </c>
      <c r="B359" s="50" t="inlineStr">
        <is>
          <t>Qualifier</t>
        </is>
      </c>
      <c r="C359" s="50" t="inlineStr">
        <is>
          <t>MolsonCoors Beverage Company</t>
        </is>
      </c>
      <c r="D359" s="50" t="inlineStr">
        <is>
          <t>Lite</t>
        </is>
      </c>
      <c r="E359" s="46" t="n">
        <v>24856</v>
      </c>
      <c r="F359" s="46" t="n">
        <v>24942</v>
      </c>
      <c r="G359" s="48" t="n">
        <v>542822.65</v>
      </c>
      <c r="H359" s="48" t="n">
        <v>543805.95</v>
      </c>
      <c r="I359" s="48" t="n">
        <v>132418.6</v>
      </c>
      <c r="J359" s="48" t="n">
        <v>129921.39</v>
      </c>
    </row>
    <row r="360">
      <c r="A360" s="50" t="inlineStr">
        <is>
          <t>Jayson Romine</t>
        </is>
      </c>
      <c r="B360" s="50" t="inlineStr">
        <is>
          <t>Qualifier</t>
        </is>
      </c>
      <c r="C360" s="50" t="inlineStr">
        <is>
          <t>Constellation Brands</t>
        </is>
      </c>
      <c r="D360" s="50" t="inlineStr">
        <is>
          <t>Corona Extra</t>
        </is>
      </c>
      <c r="E360" s="46" t="n">
        <v>9140</v>
      </c>
      <c r="F360" s="46" t="n">
        <v>8849</v>
      </c>
      <c r="G360" s="48" t="n">
        <v>290446.75</v>
      </c>
      <c r="H360" s="48" t="n">
        <v>282371.25</v>
      </c>
      <c r="I360" s="48" t="n">
        <v>68809.73</v>
      </c>
      <c r="J360" s="48" t="n">
        <v>67050.36</v>
      </c>
    </row>
    <row r="361">
      <c r="A361" s="50" t="inlineStr">
        <is>
          <t>Jayson Romine</t>
        </is>
      </c>
      <c r="B361" s="50" t="inlineStr">
        <is>
          <t>Qualifier</t>
        </is>
      </c>
      <c r="C361" s="50" t="inlineStr">
        <is>
          <t>Constellation Brands</t>
        </is>
      </c>
      <c r="D361" s="50" t="inlineStr">
        <is>
          <t>Modelo Especial</t>
        </is>
      </c>
      <c r="E361" s="46" t="n">
        <v>8936</v>
      </c>
      <c r="F361" s="46" t="n">
        <v>9751</v>
      </c>
      <c r="G361" s="48" t="n">
        <v>269841.25</v>
      </c>
      <c r="H361" s="48" t="n">
        <v>293354.5</v>
      </c>
      <c r="I361" s="48" t="n">
        <v>61691.68</v>
      </c>
      <c r="J361" s="48" t="n">
        <v>66062.44</v>
      </c>
    </row>
    <row r="362">
      <c r="A362" s="50" t="inlineStr">
        <is>
          <t>Jayson Romine</t>
        </is>
      </c>
      <c r="B362" s="50" t="inlineStr">
        <is>
          <t>Qualifier</t>
        </is>
      </c>
      <c r="C362" s="50" t="inlineStr">
        <is>
          <t>Boston Beer Company</t>
        </is>
      </c>
      <c r="D362" s="50" t="inlineStr">
        <is>
          <t>Truly</t>
        </is>
      </c>
      <c r="E362" s="46" t="n">
        <v>2308</v>
      </c>
      <c r="F362" s="46" t="n">
        <v>2252</v>
      </c>
      <c r="G362" s="48" t="n">
        <v>66888.55</v>
      </c>
      <c r="H362" s="48" t="n">
        <v>64801.8</v>
      </c>
      <c r="I362" s="48" t="n">
        <v>15289.75</v>
      </c>
      <c r="J362" s="48" t="n">
        <v>14231.98</v>
      </c>
    </row>
    <row r="363">
      <c r="A363" s="50" t="inlineStr">
        <is>
          <t>Jayson Romine</t>
        </is>
      </c>
      <c r="B363" s="50" t="inlineStr">
        <is>
          <t>Qualifier</t>
        </is>
      </c>
      <c r="C363" s="50" t="inlineStr">
        <is>
          <t>Boston Beer Company</t>
        </is>
      </c>
      <c r="D363" s="50" t="inlineStr">
        <is>
          <t>Twisted Tea</t>
        </is>
      </c>
      <c r="E363" s="46" t="n">
        <v>6659</v>
      </c>
      <c r="F363" s="46" t="n">
        <v>7225</v>
      </c>
      <c r="G363" s="48" t="n">
        <v>194843.75</v>
      </c>
      <c r="H363" s="48" t="n">
        <v>203610</v>
      </c>
      <c r="I363" s="48" t="n">
        <v>48206.14</v>
      </c>
      <c r="J363" s="48" t="n">
        <v>43738.44</v>
      </c>
    </row>
    <row r="364">
      <c r="A364" s="50" t="inlineStr">
        <is>
          <t>Jayson Romine</t>
        </is>
      </c>
      <c r="B364" s="50" t="inlineStr">
        <is>
          <t>Qualifier</t>
        </is>
      </c>
      <c r="C364" s="50" t="inlineStr">
        <is>
          <t>Mark Anthony</t>
        </is>
      </c>
      <c r="D364" s="50" t="inlineStr">
        <is>
          <t>White Claw</t>
        </is>
      </c>
      <c r="E364" s="46" t="n">
        <v>14008</v>
      </c>
      <c r="F364" s="46" t="n">
        <v>13829</v>
      </c>
      <c r="G364" s="48" t="n">
        <v>437802.75</v>
      </c>
      <c r="H364" s="48" t="n">
        <v>438493.7</v>
      </c>
      <c r="I364" s="48" t="n">
        <v>89572.67</v>
      </c>
      <c r="J364" s="48" t="n">
        <v>88218</v>
      </c>
    </row>
    <row r="365">
      <c r="A365" s="50" t="inlineStr">
        <is>
          <t>Jayson Romine</t>
        </is>
      </c>
      <c r="B365" s="50" t="inlineStr">
        <is>
          <t>Qualifier</t>
        </is>
      </c>
      <c r="C365" s="50" t="inlineStr">
        <is>
          <t>DG Yuengling Inc</t>
        </is>
      </c>
      <c r="D365" s="50" t="inlineStr">
        <is>
          <t>Yuengling Lager</t>
        </is>
      </c>
      <c r="E365" s="46" t="n">
        <v>9329</v>
      </c>
      <c r="F365" s="46" t="n">
        <v>8524</v>
      </c>
      <c r="G365" s="48" t="n">
        <v>203556.6</v>
      </c>
      <c r="H365" s="48" t="n">
        <v>184963.9</v>
      </c>
      <c r="I365" s="48" t="n">
        <v>52941.41</v>
      </c>
      <c r="J365" s="48" t="n">
        <v>48044.91</v>
      </c>
    </row>
    <row r="366">
      <c r="A366" s="50" t="inlineStr">
        <is>
          <t>Jim Heaney</t>
        </is>
      </c>
      <c r="B366" s="50" t="inlineStr">
        <is>
          <t>Amplify</t>
        </is>
      </c>
      <c r="C366" s="50" t="inlineStr">
        <is>
          <t>Cape May</t>
        </is>
      </c>
      <c r="D366" s="50" t="inlineStr">
        <is>
          <t>Cape May</t>
        </is>
      </c>
      <c r="E366" s="46" t="n">
        <v>451</v>
      </c>
      <c r="F366" s="46" t="n">
        <v>490</v>
      </c>
      <c r="G366" s="48" t="n">
        <v>18552.55</v>
      </c>
      <c r="H366" s="48" t="n">
        <v>19836.1</v>
      </c>
      <c r="I366" s="48" t="n">
        <v>5564.39</v>
      </c>
      <c r="J366" s="48" t="n">
        <v>5915.87</v>
      </c>
    </row>
    <row r="367">
      <c r="A367" s="50" t="inlineStr">
        <is>
          <t>Jim Heaney</t>
        </is>
      </c>
      <c r="B367" s="50" t="inlineStr">
        <is>
          <t>Amplify</t>
        </is>
      </c>
      <c r="C367" s="50" t="inlineStr">
        <is>
          <t>Mark Anthony</t>
        </is>
      </c>
      <c r="D367" s="50" t="inlineStr">
        <is>
          <t>Cayman Jack</t>
        </is>
      </c>
      <c r="E367" s="46" t="n">
        <v>914</v>
      </c>
      <c r="F367" s="46" t="n">
        <v>1174</v>
      </c>
      <c r="G367" s="48" t="n">
        <v>29204.5</v>
      </c>
      <c r="H367" s="48" t="n">
        <v>37611</v>
      </c>
      <c r="I367" s="48" t="n">
        <v>7077.47</v>
      </c>
      <c r="J367" s="48" t="n">
        <v>9003.190000000001</v>
      </c>
    </row>
    <row r="368">
      <c r="A368" s="50" t="inlineStr">
        <is>
          <t>Jim Heaney</t>
        </is>
      </c>
      <c r="B368" s="50" t="inlineStr">
        <is>
          <t>Amplify</t>
        </is>
      </c>
      <c r="C368" s="50" t="inlineStr">
        <is>
          <t>Mark Anthony</t>
        </is>
      </c>
      <c r="D368" s="50" t="inlineStr">
        <is>
          <t>Mike's Harder</t>
        </is>
      </c>
      <c r="E368" s="46" t="n">
        <v>249</v>
      </c>
      <c r="F368" s="46" t="n">
        <v>219</v>
      </c>
      <c r="G368" s="48" t="n">
        <v>6958.5</v>
      </c>
      <c r="H368" s="48" t="n">
        <v>6480</v>
      </c>
      <c r="I368" s="48" t="n">
        <v>1515.91</v>
      </c>
      <c r="J368" s="48" t="n">
        <v>1441.19</v>
      </c>
    </row>
    <row r="369">
      <c r="A369" s="50" t="inlineStr">
        <is>
          <t>Jim Heaney</t>
        </is>
      </c>
      <c r="B369" s="50" t="inlineStr">
        <is>
          <t>Amplify</t>
        </is>
      </c>
      <c r="C369" s="50" t="inlineStr">
        <is>
          <t>Mark Anthony</t>
        </is>
      </c>
      <c r="D369" s="50" t="inlineStr">
        <is>
          <t>Mxd Cocktails</t>
        </is>
      </c>
      <c r="E369" s="46" t="n">
        <v>28</v>
      </c>
      <c r="F369" s="46" t="n">
        <v>21</v>
      </c>
      <c r="G369" s="48" t="n">
        <v>672</v>
      </c>
      <c r="H369" s="48" t="n">
        <v>512</v>
      </c>
      <c r="I369" s="48" t="n">
        <v>126.21</v>
      </c>
      <c r="J369" s="48" t="n">
        <v>95.78</v>
      </c>
    </row>
    <row r="370">
      <c r="A370" s="50" t="inlineStr">
        <is>
          <t>Jim Heaney</t>
        </is>
      </c>
      <c r="B370" s="50" t="inlineStr">
        <is>
          <t>Amplify</t>
        </is>
      </c>
      <c r="C370" s="50" t="inlineStr">
        <is>
          <t>MolsonCoors Beverage Company</t>
        </is>
      </c>
      <c r="D370" s="50" t="inlineStr">
        <is>
          <t>Coors</t>
        </is>
      </c>
      <c r="E370" s="46" t="n">
        <v>2585</v>
      </c>
      <c r="F370" s="46" t="n">
        <v>2617</v>
      </c>
      <c r="G370" s="48" t="n">
        <v>52457.75</v>
      </c>
      <c r="H370" s="48" t="n">
        <v>53140.95</v>
      </c>
      <c r="I370" s="48" t="n">
        <v>12592.97</v>
      </c>
      <c r="J370" s="48" t="n">
        <v>12572</v>
      </c>
    </row>
    <row r="371">
      <c r="A371" s="50" t="inlineStr">
        <is>
          <t>Jim Heaney</t>
        </is>
      </c>
      <c r="B371" s="50" t="inlineStr">
        <is>
          <t>Amplify</t>
        </is>
      </c>
      <c r="C371" s="50" t="inlineStr">
        <is>
          <t>MolsonCoors Beverage Company</t>
        </is>
      </c>
      <c r="D371" s="50" t="inlineStr">
        <is>
          <t>Fever Tree</t>
        </is>
      </c>
      <c r="E371" s="46" t="n">
        <v>1</v>
      </c>
      <c r="F371" s="46" t="n">
        <v>54</v>
      </c>
      <c r="G371" s="48" t="n">
        <v>27.25</v>
      </c>
      <c r="H371" s="48" t="n">
        <v>2534.5</v>
      </c>
      <c r="I371" s="48" t="n">
        <v>9.859999999999999</v>
      </c>
      <c r="J371" s="48" t="n">
        <v>765.23</v>
      </c>
    </row>
    <row r="372">
      <c r="A372" s="50" t="inlineStr">
        <is>
          <t>Jim Heaney</t>
        </is>
      </c>
      <c r="B372" s="50" t="inlineStr">
        <is>
          <t>Amplify</t>
        </is>
      </c>
      <c r="C372" s="50" t="inlineStr">
        <is>
          <t>MolsonCoors Beverage Company</t>
        </is>
      </c>
      <c r="D372" s="50" t="inlineStr">
        <is>
          <t>Peroni</t>
        </is>
      </c>
      <c r="E372" s="46" t="n">
        <v>1098</v>
      </c>
      <c r="F372" s="46" t="n">
        <v>1166</v>
      </c>
      <c r="G372" s="48" t="n">
        <v>37971.8</v>
      </c>
      <c r="H372" s="48" t="n">
        <v>39374.05</v>
      </c>
      <c r="I372" s="48" t="n">
        <v>7860.99</v>
      </c>
      <c r="J372" s="48" t="n">
        <v>7923.42</v>
      </c>
    </row>
    <row r="373">
      <c r="A373" s="50" t="inlineStr">
        <is>
          <t>Jim Heaney</t>
        </is>
      </c>
      <c r="B373" s="50" t="inlineStr">
        <is>
          <t>Amplify</t>
        </is>
      </c>
      <c r="C373" s="50" t="inlineStr">
        <is>
          <t>Boston Beer Company</t>
        </is>
      </c>
      <c r="D373" s="50" t="inlineStr">
        <is>
          <t>Dogfish Head Beer</t>
        </is>
      </c>
      <c r="E373" s="46" t="n">
        <v>485</v>
      </c>
      <c r="F373" s="46" t="n">
        <v>456</v>
      </c>
      <c r="G373" s="48" t="n">
        <v>17587.2</v>
      </c>
      <c r="H373" s="48" t="n">
        <v>16294.1</v>
      </c>
      <c r="I373" s="48" t="n">
        <v>4760.07</v>
      </c>
      <c r="J373" s="48" t="n">
        <v>4185.49</v>
      </c>
    </row>
    <row r="374">
      <c r="A374" s="50" t="inlineStr">
        <is>
          <t>Jim Heaney</t>
        </is>
      </c>
      <c r="B374" s="50" t="inlineStr">
        <is>
          <t>Amplify</t>
        </is>
      </c>
      <c r="C374" s="50" t="inlineStr">
        <is>
          <t>Boston Beer Company</t>
        </is>
      </c>
      <c r="D374" s="50" t="inlineStr">
        <is>
          <t>Dogfish Head Spirits</t>
        </is>
      </c>
      <c r="E374" s="46" t="n">
        <v>78</v>
      </c>
      <c r="F374" s="46" t="n">
        <v>88</v>
      </c>
      <c r="G374" s="48" t="n">
        <v>4025</v>
      </c>
      <c r="H374" s="48" t="n">
        <v>4085</v>
      </c>
      <c r="I374" s="48" t="n">
        <v>1625.99</v>
      </c>
      <c r="J374" s="48" t="n">
        <v>1336.19</v>
      </c>
    </row>
    <row r="375">
      <c r="A375" s="50" t="inlineStr">
        <is>
          <t>Jim Heaney</t>
        </is>
      </c>
      <c r="B375" s="50" t="inlineStr">
        <is>
          <t>Amplify</t>
        </is>
      </c>
      <c r="C375" s="50" t="inlineStr">
        <is>
          <t>Heineken USA</t>
        </is>
      </c>
      <c r="D375" s="50" t="inlineStr">
        <is>
          <t>Heineken 0.0</t>
        </is>
      </c>
      <c r="E375" s="46" t="n">
        <v>541</v>
      </c>
      <c r="F375" s="46" t="n">
        <v>499</v>
      </c>
      <c r="G375" s="48" t="n">
        <v>18223</v>
      </c>
      <c r="H375" s="48" t="n">
        <v>16747.4</v>
      </c>
      <c r="I375" s="48" t="n">
        <v>4858.78</v>
      </c>
      <c r="J375" s="48" t="n">
        <v>4396.82</v>
      </c>
    </row>
    <row r="376">
      <c r="A376" s="50" t="inlineStr">
        <is>
          <t>Jim Heaney</t>
        </is>
      </c>
      <c r="B376" s="50" t="inlineStr">
        <is>
          <t>Amplify</t>
        </is>
      </c>
      <c r="C376" s="50" t="inlineStr">
        <is>
          <t>Heineken USA</t>
        </is>
      </c>
      <c r="D376" s="50" t="inlineStr">
        <is>
          <t>Heineken Light</t>
        </is>
      </c>
      <c r="E376" s="46" t="n">
        <v>674</v>
      </c>
      <c r="F376" s="46" t="n">
        <v>713</v>
      </c>
      <c r="G376" s="48" t="n">
        <v>21134.6</v>
      </c>
      <c r="H376" s="48" t="n">
        <v>22292.65</v>
      </c>
      <c r="I376" s="48" t="n">
        <v>5114.79</v>
      </c>
      <c r="J376" s="48" t="n">
        <v>5341.1</v>
      </c>
    </row>
    <row r="377">
      <c r="A377" s="50" t="inlineStr">
        <is>
          <t>Jim Heaney</t>
        </is>
      </c>
      <c r="B377" s="50" t="inlineStr">
        <is>
          <t>Amplify</t>
        </is>
      </c>
      <c r="C377" s="50" t="inlineStr">
        <is>
          <t>Constellation Brands</t>
        </is>
      </c>
      <c r="D377" s="50" t="inlineStr">
        <is>
          <t>Corona Premier</t>
        </is>
      </c>
      <c r="E377" s="46" t="n">
        <v>787</v>
      </c>
      <c r="F377" s="46" t="n">
        <v>775</v>
      </c>
      <c r="G377" s="48" t="n">
        <v>24705.45</v>
      </c>
      <c r="H377" s="48" t="n">
        <v>21124.3</v>
      </c>
      <c r="I377" s="48" t="n">
        <v>5695.47</v>
      </c>
      <c r="J377" s="48" t="n">
        <v>4939.08</v>
      </c>
    </row>
    <row r="378">
      <c r="A378" s="50" t="inlineStr">
        <is>
          <t>Jim Heaney</t>
        </is>
      </c>
      <c r="B378" s="50" t="inlineStr">
        <is>
          <t>Amplify</t>
        </is>
      </c>
      <c r="C378" s="50" t="inlineStr">
        <is>
          <t>Constellation Brands</t>
        </is>
      </c>
      <c r="D378" s="50" t="inlineStr">
        <is>
          <t>Modelo Chelada</t>
        </is>
      </c>
      <c r="E378" s="46" t="n">
        <v>1716</v>
      </c>
      <c r="F378" s="46" t="n">
        <v>2346</v>
      </c>
      <c r="G378" s="48" t="n">
        <v>53289</v>
      </c>
      <c r="H378" s="48" t="n">
        <v>72396.75</v>
      </c>
      <c r="I378" s="48" t="n">
        <v>13711.53</v>
      </c>
      <c r="J378" s="48" t="n">
        <v>18290.38</v>
      </c>
    </row>
    <row r="379">
      <c r="A379" s="50" t="inlineStr">
        <is>
          <t>Jim Heaney</t>
        </is>
      </c>
      <c r="B379" s="50" t="inlineStr">
        <is>
          <t>Amplify</t>
        </is>
      </c>
      <c r="C379" s="50" t="inlineStr">
        <is>
          <t>Constellation Brands</t>
        </is>
      </c>
      <c r="D379" s="50" t="inlineStr">
        <is>
          <t>Pacifico</t>
        </is>
      </c>
      <c r="E379" s="46" t="n">
        <v>651</v>
      </c>
      <c r="F379" s="46" t="n">
        <v>1014</v>
      </c>
      <c r="G379" s="48" t="n">
        <v>20195.05</v>
      </c>
      <c r="H379" s="48" t="n">
        <v>31483.65</v>
      </c>
      <c r="I379" s="48" t="n">
        <v>4714.4</v>
      </c>
      <c r="J379" s="48" t="n">
        <v>7302.07</v>
      </c>
    </row>
    <row r="380">
      <c r="A380" s="50" t="inlineStr">
        <is>
          <t>Jim Heaney</t>
        </is>
      </c>
      <c r="B380" s="50" t="inlineStr">
        <is>
          <t>Amplify</t>
        </is>
      </c>
      <c r="C380" s="50" t="inlineStr">
        <is>
          <t>Constellation Brands</t>
        </is>
      </c>
      <c r="D380" s="50" t="inlineStr">
        <is>
          <t>Victoria</t>
        </is>
      </c>
      <c r="E380" s="46" t="n">
        <v>1624</v>
      </c>
      <c r="F380" s="46" t="n">
        <v>2074</v>
      </c>
      <c r="G380" s="48" t="n">
        <v>48947.3</v>
      </c>
      <c r="H380" s="48" t="n">
        <v>62817.75</v>
      </c>
      <c r="I380" s="48" t="n">
        <v>11787.14</v>
      </c>
      <c r="J380" s="48" t="n">
        <v>15181.74</v>
      </c>
    </row>
    <row r="381">
      <c r="A381" s="50" t="inlineStr">
        <is>
          <t>Jim Heaney</t>
        </is>
      </c>
      <c r="B381" s="50" t="inlineStr">
        <is>
          <t>Amplify</t>
        </is>
      </c>
      <c r="C381" s="50" t="inlineStr">
        <is>
          <t>Sapporo</t>
        </is>
      </c>
      <c r="D381" s="50" t="inlineStr">
        <is>
          <t>Sapporo</t>
        </is>
      </c>
      <c r="E381" s="46" t="n">
        <v>487</v>
      </c>
      <c r="F381" s="46" t="n">
        <v>636</v>
      </c>
      <c r="G381" s="48" t="n">
        <v>14700.5</v>
      </c>
      <c r="H381" s="48" t="n">
        <v>19101</v>
      </c>
      <c r="I381" s="48" t="n">
        <v>3866.14</v>
      </c>
      <c r="J381" s="48" t="n">
        <v>5097.52</v>
      </c>
    </row>
    <row r="382">
      <c r="A382" s="50" t="inlineStr">
        <is>
          <t>Jim Heaney</t>
        </is>
      </c>
      <c r="B382" s="50" t="inlineStr">
        <is>
          <t>Amplify</t>
        </is>
      </c>
      <c r="C382" s="50" t="inlineStr">
        <is>
          <t>Bell's</t>
        </is>
      </c>
      <c r="D382" s="50" t="inlineStr">
        <is>
          <t>Bell's</t>
        </is>
      </c>
      <c r="E382" s="46" t="n">
        <v>17</v>
      </c>
      <c r="F382" s="46" t="n">
        <v>5</v>
      </c>
      <c r="G382" s="48" t="n">
        <v>601.8</v>
      </c>
      <c r="H382" s="48" t="n">
        <v>157</v>
      </c>
      <c r="I382" s="48" t="n">
        <v>186.94</v>
      </c>
      <c r="J382" s="48" t="n">
        <v>42.78</v>
      </c>
    </row>
    <row r="383">
      <c r="A383" s="50" t="inlineStr">
        <is>
          <t>Jim Heaney</t>
        </is>
      </c>
      <c r="B383" s="50" t="inlineStr">
        <is>
          <t>Amplify</t>
        </is>
      </c>
      <c r="C383" s="50" t="inlineStr">
        <is>
          <t>New Belgium Brewing Company</t>
        </is>
      </c>
      <c r="D383" s="50" t="inlineStr">
        <is>
          <t>Fat Tire Family</t>
        </is>
      </c>
      <c r="E383" s="46" t="n">
        <v>110</v>
      </c>
      <c r="F383" s="46" t="n">
        <v>71</v>
      </c>
      <c r="G383" s="48" t="n">
        <v>3790.35</v>
      </c>
      <c r="H383" s="48" t="n">
        <v>2485.45</v>
      </c>
      <c r="I383" s="48" t="n">
        <v>893.28</v>
      </c>
      <c r="J383" s="48" t="n">
        <v>578.42</v>
      </c>
    </row>
    <row r="384">
      <c r="A384" s="50" t="inlineStr">
        <is>
          <t>Jim Heaney</t>
        </is>
      </c>
      <c r="B384" s="50" t="inlineStr">
        <is>
          <t>Amplify</t>
        </is>
      </c>
      <c r="C384" s="50" t="inlineStr">
        <is>
          <t>New Belgium Brewing Company</t>
        </is>
      </c>
      <c r="D384" s="50" t="inlineStr">
        <is>
          <t>Kirin Ichiban</t>
        </is>
      </c>
      <c r="E384" s="46" t="n">
        <v>15</v>
      </c>
      <c r="F384" s="46" t="n">
        <v>21</v>
      </c>
      <c r="G384" s="48" t="n">
        <v>495</v>
      </c>
      <c r="H384" s="48" t="n">
        <v>646.3</v>
      </c>
      <c r="I384" s="48" t="n">
        <v>131.02</v>
      </c>
      <c r="J384" s="48" t="n">
        <v>154.48</v>
      </c>
    </row>
    <row r="385">
      <c r="A385" s="50" t="inlineStr">
        <is>
          <t>Jim Heaney</t>
        </is>
      </c>
      <c r="B385" s="50" t="inlineStr">
        <is>
          <t>Amplify</t>
        </is>
      </c>
      <c r="C385" s="50" t="inlineStr">
        <is>
          <t>New Belgium Brewing Company</t>
        </is>
      </c>
      <c r="D385" s="50" t="inlineStr">
        <is>
          <t>Voodoo Family</t>
        </is>
      </c>
      <c r="E385" s="46" t="n">
        <v>1146</v>
      </c>
      <c r="F385" s="46" t="n">
        <v>1173</v>
      </c>
      <c r="G385" s="48" t="n">
        <v>41468.2</v>
      </c>
      <c r="H385" s="48" t="n">
        <v>42292.5</v>
      </c>
      <c r="I385" s="48" t="n">
        <v>10536.07</v>
      </c>
      <c r="J385" s="48" t="n">
        <v>10811.31</v>
      </c>
    </row>
    <row r="386">
      <c r="A386" s="50" t="inlineStr">
        <is>
          <t>Jim Heaney</t>
        </is>
      </c>
      <c r="B386" s="50" t="inlineStr">
        <is>
          <t>Amplify</t>
        </is>
      </c>
      <c r="C386" s="50" t="inlineStr">
        <is>
          <t>DG Yuengling Inc</t>
        </is>
      </c>
      <c r="D386" s="50" t="inlineStr">
        <is>
          <t>Yuengling Flight</t>
        </is>
      </c>
      <c r="E386" s="46" t="n">
        <v>65</v>
      </c>
      <c r="F386" s="46" t="n">
        <v>44</v>
      </c>
      <c r="G386" s="48" t="n">
        <v>1547.6</v>
      </c>
      <c r="H386" s="48" t="n">
        <v>957.1</v>
      </c>
      <c r="I386" s="48" t="n">
        <v>452.03</v>
      </c>
      <c r="J386" s="48" t="n">
        <v>251.51</v>
      </c>
    </row>
    <row r="387">
      <c r="A387" s="50" t="inlineStr">
        <is>
          <t>Jim Heaney</t>
        </is>
      </c>
      <c r="B387" s="50" t="inlineStr">
        <is>
          <t>Amplify</t>
        </is>
      </c>
      <c r="C387" s="50" t="inlineStr">
        <is>
          <t>DG Yuengling Inc</t>
        </is>
      </c>
      <c r="D387" s="50" t="inlineStr">
        <is>
          <t>Yuengling Light Lager</t>
        </is>
      </c>
      <c r="E387" s="46" t="n">
        <v>171</v>
      </c>
      <c r="F387" s="46" t="n">
        <v>106</v>
      </c>
      <c r="G387" s="48" t="n">
        <v>3797.1</v>
      </c>
      <c r="H387" s="48" t="n">
        <v>2348.2</v>
      </c>
      <c r="I387" s="48" t="n">
        <v>957.8200000000001</v>
      </c>
      <c r="J387" s="48" t="n">
        <v>587.23</v>
      </c>
    </row>
    <row r="388">
      <c r="A388" s="50" t="inlineStr">
        <is>
          <t>Jim Heaney</t>
        </is>
      </c>
      <c r="B388" s="50" t="inlineStr">
        <is>
          <t>Qualifier</t>
        </is>
      </c>
      <c r="C388" s="50" t="inlineStr">
        <is>
          <t>MolsonCoors Beverage Company</t>
        </is>
      </c>
      <c r="D388" s="50" t="inlineStr">
        <is>
          <t>Blue Moon</t>
        </is>
      </c>
      <c r="E388" s="46" t="n">
        <v>1723</v>
      </c>
      <c r="F388" s="46" t="n">
        <v>1543</v>
      </c>
      <c r="G388" s="48" t="n">
        <v>54706.75</v>
      </c>
      <c r="H388" s="48" t="n">
        <v>49915.35</v>
      </c>
      <c r="I388" s="48" t="n">
        <v>11825.66</v>
      </c>
      <c r="J388" s="48" t="n">
        <v>11152.57</v>
      </c>
    </row>
    <row r="389">
      <c r="A389" s="50" t="inlineStr">
        <is>
          <t>Jim Heaney</t>
        </is>
      </c>
      <c r="B389" s="50" t="inlineStr">
        <is>
          <t>Qualifier</t>
        </is>
      </c>
      <c r="C389" s="50" t="inlineStr">
        <is>
          <t>MolsonCoors Beverage Company</t>
        </is>
      </c>
      <c r="D389" s="50" t="inlineStr">
        <is>
          <t>Coors Light</t>
        </is>
      </c>
      <c r="E389" s="46" t="n">
        <v>16792</v>
      </c>
      <c r="F389" s="46" t="n">
        <v>15982</v>
      </c>
      <c r="G389" s="48" t="n">
        <v>338497.95</v>
      </c>
      <c r="H389" s="48" t="n">
        <v>323782</v>
      </c>
      <c r="I389" s="48" t="n">
        <v>81486.96000000001</v>
      </c>
      <c r="J389" s="48" t="n">
        <v>77590.62</v>
      </c>
    </row>
    <row r="390">
      <c r="A390" s="50" t="inlineStr">
        <is>
          <t>Jim Heaney</t>
        </is>
      </c>
      <c r="B390" s="50" t="inlineStr">
        <is>
          <t>Qualifier</t>
        </is>
      </c>
      <c r="C390" s="50" t="inlineStr">
        <is>
          <t>MolsonCoors Beverage Company</t>
        </is>
      </c>
      <c r="D390" s="50" t="inlineStr">
        <is>
          <t>Lite</t>
        </is>
      </c>
      <c r="E390" s="46" t="n">
        <v>8781</v>
      </c>
      <c r="F390" s="46" t="n">
        <v>7984</v>
      </c>
      <c r="G390" s="48" t="n">
        <v>190925.25</v>
      </c>
      <c r="H390" s="48" t="n">
        <v>170929.05</v>
      </c>
      <c r="I390" s="48" t="n">
        <v>45829.32</v>
      </c>
      <c r="J390" s="48" t="n">
        <v>39696.1</v>
      </c>
    </row>
    <row r="391">
      <c r="A391" s="50" t="inlineStr">
        <is>
          <t>Jim Heaney</t>
        </is>
      </c>
      <c r="B391" s="50" t="inlineStr">
        <is>
          <t>Qualifier</t>
        </is>
      </c>
      <c r="C391" s="50" t="inlineStr">
        <is>
          <t>Heineken USA</t>
        </is>
      </c>
      <c r="D391" s="50" t="inlineStr">
        <is>
          <t>Heineken USA</t>
        </is>
      </c>
      <c r="E391" s="46" t="n">
        <v>9772</v>
      </c>
      <c r="F391" s="46" t="n">
        <v>9055</v>
      </c>
      <c r="G391" s="48" t="n">
        <v>304609.05</v>
      </c>
      <c r="H391" s="48" t="n">
        <v>275490.1</v>
      </c>
      <c r="I391" s="48" t="n">
        <v>73732.92999999999</v>
      </c>
      <c r="J391" s="48" t="n">
        <v>62951.41</v>
      </c>
    </row>
    <row r="392">
      <c r="A392" s="50" t="inlineStr">
        <is>
          <t>Jim Heaney</t>
        </is>
      </c>
      <c r="B392" s="50" t="inlineStr">
        <is>
          <t>Qualifier</t>
        </is>
      </c>
      <c r="C392" s="50" t="inlineStr">
        <is>
          <t>Constellation Brands</t>
        </is>
      </c>
      <c r="D392" s="50" t="inlineStr">
        <is>
          <t>Corona Extra</t>
        </is>
      </c>
      <c r="E392" s="46" t="n">
        <v>20800</v>
      </c>
      <c r="F392" s="46" t="n">
        <v>20375</v>
      </c>
      <c r="G392" s="48" t="n">
        <v>672353.8</v>
      </c>
      <c r="H392" s="48" t="n">
        <v>660856.5</v>
      </c>
      <c r="I392" s="48" t="n">
        <v>162797.68</v>
      </c>
      <c r="J392" s="48" t="n">
        <v>158857.87</v>
      </c>
    </row>
    <row r="393">
      <c r="A393" s="50" t="inlineStr">
        <is>
          <t>Jim Heaney</t>
        </is>
      </c>
      <c r="B393" s="50" t="inlineStr">
        <is>
          <t>Qualifier</t>
        </is>
      </c>
      <c r="C393" s="50" t="inlineStr">
        <is>
          <t>Constellation Brands</t>
        </is>
      </c>
      <c r="D393" s="50" t="inlineStr">
        <is>
          <t>Modelo Especial</t>
        </is>
      </c>
      <c r="E393" s="46" t="n">
        <v>20712</v>
      </c>
      <c r="F393" s="46" t="n">
        <v>20921</v>
      </c>
      <c r="G393" s="48" t="n">
        <v>638731.85</v>
      </c>
      <c r="H393" s="48" t="n">
        <v>641090</v>
      </c>
      <c r="I393" s="48" t="n">
        <v>148629.45</v>
      </c>
      <c r="J393" s="48" t="n">
        <v>148032.24</v>
      </c>
    </row>
    <row r="394">
      <c r="A394" s="50" t="inlineStr">
        <is>
          <t>Jim Heaney</t>
        </is>
      </c>
      <c r="B394" s="50" t="inlineStr">
        <is>
          <t>Qualifier</t>
        </is>
      </c>
      <c r="C394" s="50" t="inlineStr">
        <is>
          <t>Boston Beer Company</t>
        </is>
      </c>
      <c r="D394" s="50" t="inlineStr">
        <is>
          <t>Truly</t>
        </is>
      </c>
      <c r="E394" s="46" t="n">
        <v>813</v>
      </c>
      <c r="F394" s="46" t="n">
        <v>669</v>
      </c>
      <c r="G394" s="48" t="n">
        <v>24115</v>
      </c>
      <c r="H394" s="48" t="n">
        <v>19663.5</v>
      </c>
      <c r="I394" s="48" t="n">
        <v>5936.92</v>
      </c>
      <c r="J394" s="48" t="n">
        <v>4596.81</v>
      </c>
    </row>
    <row r="395">
      <c r="A395" s="50" t="inlineStr">
        <is>
          <t>Jim Heaney</t>
        </is>
      </c>
      <c r="B395" s="50" t="inlineStr">
        <is>
          <t>Qualifier</t>
        </is>
      </c>
      <c r="C395" s="50" t="inlineStr">
        <is>
          <t>Boston Beer Company</t>
        </is>
      </c>
      <c r="D395" s="50" t="inlineStr">
        <is>
          <t>Twisted Tea</t>
        </is>
      </c>
      <c r="E395" s="46" t="n">
        <v>3071</v>
      </c>
      <c r="F395" s="46" t="n">
        <v>2521</v>
      </c>
      <c r="G395" s="48" t="n">
        <v>90609.5</v>
      </c>
      <c r="H395" s="48" t="n">
        <v>75215.5</v>
      </c>
      <c r="I395" s="48" t="n">
        <v>23170.92</v>
      </c>
      <c r="J395" s="48" t="n">
        <v>19233.96</v>
      </c>
    </row>
    <row r="396">
      <c r="A396" s="50" t="inlineStr">
        <is>
          <t>Jim Heaney</t>
        </is>
      </c>
      <c r="B396" s="50" t="inlineStr">
        <is>
          <t>Qualifier</t>
        </is>
      </c>
      <c r="C396" s="50" t="inlineStr">
        <is>
          <t>Mark Anthony</t>
        </is>
      </c>
      <c r="D396" s="50" t="inlineStr">
        <is>
          <t>White Claw</t>
        </is>
      </c>
      <c r="E396" s="46" t="n">
        <v>6449</v>
      </c>
      <c r="F396" s="46" t="n">
        <v>6071</v>
      </c>
      <c r="G396" s="48" t="n">
        <v>207786.45</v>
      </c>
      <c r="H396" s="48" t="n">
        <v>200790.25</v>
      </c>
      <c r="I396" s="48" t="n">
        <v>45624.82</v>
      </c>
      <c r="J396" s="48" t="n">
        <v>43556.91</v>
      </c>
    </row>
    <row r="397">
      <c r="A397" s="50" t="inlineStr">
        <is>
          <t>Jim Heaney</t>
        </is>
      </c>
      <c r="B397" s="50" t="inlineStr">
        <is>
          <t>Qualifier</t>
        </is>
      </c>
      <c r="C397" s="50" t="inlineStr">
        <is>
          <t>DG Yuengling Inc</t>
        </is>
      </c>
      <c r="D397" s="50" t="inlineStr">
        <is>
          <t>Yuengling Lager</t>
        </is>
      </c>
      <c r="E397" s="46" t="n">
        <v>2530</v>
      </c>
      <c r="F397" s="46" t="n">
        <v>2695</v>
      </c>
      <c r="G397" s="48" t="n">
        <v>54828.8</v>
      </c>
      <c r="H397" s="48" t="n">
        <v>56740.1</v>
      </c>
      <c r="I397" s="48" t="n">
        <v>14982.42</v>
      </c>
      <c r="J397" s="48" t="n">
        <v>15005.41</v>
      </c>
    </row>
    <row r="398">
      <c r="A398" s="50" t="inlineStr">
        <is>
          <t>John Neukum</t>
        </is>
      </c>
      <c r="B398" s="50" t="inlineStr">
        <is>
          <t>Amplify</t>
        </is>
      </c>
      <c r="C398" s="50" t="inlineStr">
        <is>
          <t>Cape May</t>
        </is>
      </c>
      <c r="D398" s="50" t="inlineStr">
        <is>
          <t>Cape May</t>
        </is>
      </c>
      <c r="E398" s="46" t="n">
        <v>10</v>
      </c>
      <c r="F398" s="46" t="n">
        <v>0</v>
      </c>
      <c r="G398" s="48" t="n">
        <v>339</v>
      </c>
      <c r="H398" s="48" t="n">
        <v>0</v>
      </c>
      <c r="I398" s="48" t="n">
        <v>95.41</v>
      </c>
      <c r="J398" s="48" t="n">
        <v>0</v>
      </c>
    </row>
    <row r="399">
      <c r="A399" s="50" t="inlineStr">
        <is>
          <t>John Neukum</t>
        </is>
      </c>
      <c r="B399" s="50" t="inlineStr">
        <is>
          <t>Amplify</t>
        </is>
      </c>
      <c r="C399" s="50" t="inlineStr">
        <is>
          <t>Mark Anthony</t>
        </is>
      </c>
      <c r="D399" s="50" t="inlineStr">
        <is>
          <t>Cayman Jack</t>
        </is>
      </c>
      <c r="E399" s="46" t="n">
        <v>858</v>
      </c>
      <c r="F399" s="46" t="n">
        <v>948</v>
      </c>
      <c r="G399" s="48" t="n">
        <v>22464</v>
      </c>
      <c r="H399" s="48" t="n">
        <v>24736.5</v>
      </c>
      <c r="I399" s="48" t="n">
        <v>5690.1</v>
      </c>
      <c r="J399" s="48" t="n">
        <v>6270.72</v>
      </c>
    </row>
    <row r="400">
      <c r="A400" s="50" t="inlineStr">
        <is>
          <t>John Neukum</t>
        </is>
      </c>
      <c r="B400" s="50" t="inlineStr">
        <is>
          <t>Amplify</t>
        </is>
      </c>
      <c r="C400" s="50" t="inlineStr">
        <is>
          <t>MolsonCoors Beverage Company</t>
        </is>
      </c>
      <c r="D400" s="50" t="inlineStr">
        <is>
          <t>Coors</t>
        </is>
      </c>
      <c r="E400" s="46" t="n">
        <v>1764</v>
      </c>
      <c r="F400" s="46" t="n">
        <v>4562</v>
      </c>
      <c r="G400" s="48" t="n">
        <v>29675.8</v>
      </c>
      <c r="H400" s="48" t="n">
        <v>79668.2</v>
      </c>
      <c r="I400" s="48" t="n">
        <v>5175.65</v>
      </c>
      <c r="J400" s="48" t="n">
        <v>14484.83</v>
      </c>
    </row>
    <row r="401">
      <c r="A401" s="50" t="inlineStr">
        <is>
          <t>John Neukum</t>
        </is>
      </c>
      <c r="B401" s="50" t="inlineStr">
        <is>
          <t>Amplify</t>
        </is>
      </c>
      <c r="C401" s="50" t="inlineStr">
        <is>
          <t>MolsonCoors Beverage Company</t>
        </is>
      </c>
      <c r="D401" s="50" t="inlineStr">
        <is>
          <t>Peroni</t>
        </is>
      </c>
      <c r="E401" s="46" t="n">
        <v>1618</v>
      </c>
      <c r="F401" s="46" t="n">
        <v>1775</v>
      </c>
      <c r="G401" s="48" t="n">
        <v>54106.35</v>
      </c>
      <c r="H401" s="48" t="n">
        <v>57000</v>
      </c>
      <c r="I401" s="48" t="n">
        <v>11707.34</v>
      </c>
      <c r="J401" s="48" t="n">
        <v>9944.24</v>
      </c>
    </row>
    <row r="402">
      <c r="A402" s="50" t="inlineStr">
        <is>
          <t>John Neukum</t>
        </is>
      </c>
      <c r="B402" s="50" t="inlineStr">
        <is>
          <t>Amplify</t>
        </is>
      </c>
      <c r="C402" s="50" t="inlineStr">
        <is>
          <t>Heineken USA</t>
        </is>
      </c>
      <c r="D402" s="50" t="inlineStr">
        <is>
          <t>Heineken 0.0</t>
        </is>
      </c>
      <c r="E402" s="46" t="n">
        <v>590</v>
      </c>
      <c r="F402" s="46" t="n">
        <v>185</v>
      </c>
      <c r="G402" s="48" t="n">
        <v>18250.2</v>
      </c>
      <c r="H402" s="48" t="n">
        <v>6185.2</v>
      </c>
      <c r="I402" s="48" t="n">
        <v>3404.26</v>
      </c>
      <c r="J402" s="48" t="n">
        <v>1583.08</v>
      </c>
    </row>
    <row r="403">
      <c r="A403" s="50" t="inlineStr">
        <is>
          <t>John Neukum</t>
        </is>
      </c>
      <c r="B403" s="50" t="inlineStr">
        <is>
          <t>Amplify</t>
        </is>
      </c>
      <c r="C403" s="50" t="inlineStr">
        <is>
          <t>Heineken USA</t>
        </is>
      </c>
      <c r="D403" s="50" t="inlineStr">
        <is>
          <t>Heineken Light</t>
        </is>
      </c>
      <c r="E403" s="46" t="n">
        <v>756</v>
      </c>
      <c r="F403" s="46" t="n">
        <v>840</v>
      </c>
      <c r="G403" s="48" t="n">
        <v>23079</v>
      </c>
      <c r="H403" s="48" t="n">
        <v>25662</v>
      </c>
      <c r="I403" s="48" t="n">
        <v>5124</v>
      </c>
      <c r="J403" s="48" t="n">
        <v>5712</v>
      </c>
    </row>
    <row r="404">
      <c r="A404" s="50" t="inlineStr">
        <is>
          <t>John Neukum</t>
        </is>
      </c>
      <c r="B404" s="50" t="inlineStr">
        <is>
          <t>Amplify</t>
        </is>
      </c>
      <c r="C404" s="50" t="inlineStr">
        <is>
          <t>Constellation Brands</t>
        </is>
      </c>
      <c r="D404" s="50" t="inlineStr">
        <is>
          <t>Corona Premier</t>
        </is>
      </c>
      <c r="E404" s="46" t="n">
        <v>252</v>
      </c>
      <c r="F404" s="46" t="n">
        <v>336</v>
      </c>
      <c r="G404" s="48" t="n">
        <v>7182</v>
      </c>
      <c r="H404" s="48" t="n">
        <v>7980</v>
      </c>
      <c r="I404" s="48" t="n">
        <v>1558.2</v>
      </c>
      <c r="J404" s="48" t="n">
        <v>1886.64</v>
      </c>
    </row>
    <row r="405">
      <c r="A405" s="50" t="inlineStr">
        <is>
          <t>John Neukum</t>
        </is>
      </c>
      <c r="B405" s="50" t="inlineStr">
        <is>
          <t>Amplify</t>
        </is>
      </c>
      <c r="C405" s="50" t="inlineStr">
        <is>
          <t>Constellation Brands</t>
        </is>
      </c>
      <c r="D405" s="50" t="inlineStr">
        <is>
          <t>Modelo Chelada</t>
        </is>
      </c>
      <c r="E405" s="46" t="n">
        <v>931</v>
      </c>
      <c r="F405" s="46" t="n">
        <v>1585</v>
      </c>
      <c r="G405" s="48" t="n">
        <v>28282.8</v>
      </c>
      <c r="H405" s="48" t="n">
        <v>47991</v>
      </c>
      <c r="I405" s="48" t="n">
        <v>6259.11</v>
      </c>
      <c r="J405" s="48" t="n">
        <v>10333.37</v>
      </c>
    </row>
    <row r="406">
      <c r="A406" s="50" t="inlineStr">
        <is>
          <t>John Neukum</t>
        </is>
      </c>
      <c r="B406" s="50" t="inlineStr">
        <is>
          <t>Amplify</t>
        </is>
      </c>
      <c r="C406" s="50" t="inlineStr">
        <is>
          <t>Constellation Brands</t>
        </is>
      </c>
      <c r="D406" s="50" t="inlineStr">
        <is>
          <t>Pacifico</t>
        </is>
      </c>
      <c r="E406" s="46" t="n">
        <v>567</v>
      </c>
      <c r="F406" s="46" t="n">
        <v>695</v>
      </c>
      <c r="G406" s="48" t="n">
        <v>16281</v>
      </c>
      <c r="H406" s="48" t="n">
        <v>19807.5</v>
      </c>
      <c r="I406" s="48" t="n">
        <v>3225.42</v>
      </c>
      <c r="J406" s="48" t="n">
        <v>3961.5</v>
      </c>
    </row>
    <row r="407">
      <c r="A407" s="50" t="inlineStr">
        <is>
          <t>John Neukum</t>
        </is>
      </c>
      <c r="B407" s="50" t="inlineStr">
        <is>
          <t>Amplify</t>
        </is>
      </c>
      <c r="C407" s="50" t="inlineStr">
        <is>
          <t>Constellation Brands</t>
        </is>
      </c>
      <c r="D407" s="50" t="inlineStr">
        <is>
          <t>Victoria</t>
        </is>
      </c>
      <c r="E407" s="46" t="n">
        <v>2889</v>
      </c>
      <c r="F407" s="46" t="n">
        <v>3579</v>
      </c>
      <c r="G407" s="48" t="n">
        <v>88144.64999999999</v>
      </c>
      <c r="H407" s="48" t="n">
        <v>107633.8</v>
      </c>
      <c r="I407" s="48" t="n">
        <v>18916.92</v>
      </c>
      <c r="J407" s="48" t="n">
        <v>23445.74</v>
      </c>
    </row>
    <row r="408">
      <c r="A408" s="50" t="inlineStr">
        <is>
          <t>John Neukum</t>
        </is>
      </c>
      <c r="B408" s="50" t="inlineStr">
        <is>
          <t>Amplify</t>
        </is>
      </c>
      <c r="C408" s="50" t="inlineStr">
        <is>
          <t>Sapporo</t>
        </is>
      </c>
      <c r="D408" s="50" t="inlineStr">
        <is>
          <t>Sapporo</t>
        </is>
      </c>
      <c r="E408" s="46" t="n">
        <v>4196</v>
      </c>
      <c r="F408" s="46" t="n">
        <v>5582</v>
      </c>
      <c r="G408" s="48" t="n">
        <v>83920</v>
      </c>
      <c r="H408" s="48" t="n">
        <v>117780.2</v>
      </c>
      <c r="I408" s="48" t="n">
        <v>22511.4</v>
      </c>
      <c r="J408" s="48" t="n">
        <v>28077.46</v>
      </c>
    </row>
    <row r="409">
      <c r="A409" s="50" t="inlineStr">
        <is>
          <t>John Neukum</t>
        </is>
      </c>
      <c r="B409" s="50" t="inlineStr">
        <is>
          <t>Amplify</t>
        </is>
      </c>
      <c r="C409" s="50" t="inlineStr">
        <is>
          <t>Bell's</t>
        </is>
      </c>
      <c r="D409" s="50" t="inlineStr">
        <is>
          <t>Bell's</t>
        </is>
      </c>
      <c r="E409" s="46" t="n">
        <v>0</v>
      </c>
      <c r="F409" s="46" t="n">
        <v>400</v>
      </c>
      <c r="G409" s="48" t="n">
        <v>0</v>
      </c>
      <c r="H409" s="48" t="n">
        <v>11200</v>
      </c>
      <c r="I409" s="48" t="n">
        <v>0</v>
      </c>
      <c r="J409" s="48" t="n">
        <v>2200</v>
      </c>
    </row>
    <row r="410">
      <c r="A410" s="50" t="inlineStr">
        <is>
          <t>John Neukum</t>
        </is>
      </c>
      <c r="B410" s="50" t="inlineStr">
        <is>
          <t>Amplify</t>
        </is>
      </c>
      <c r="C410" s="50" t="inlineStr">
        <is>
          <t>New Belgium Brewing Company</t>
        </is>
      </c>
      <c r="D410" s="50" t="inlineStr">
        <is>
          <t>Voodoo Family</t>
        </is>
      </c>
      <c r="E410" s="46" t="n">
        <v>70</v>
      </c>
      <c r="F410" s="46" t="n">
        <v>85</v>
      </c>
      <c r="G410" s="48" t="n">
        <v>2268</v>
      </c>
      <c r="H410" s="48" t="n">
        <v>2754</v>
      </c>
      <c r="I410" s="48" t="n">
        <v>436.8</v>
      </c>
      <c r="J410" s="48" t="n">
        <v>530.4</v>
      </c>
    </row>
    <row r="411">
      <c r="A411" s="50" t="inlineStr">
        <is>
          <t>John Neukum</t>
        </is>
      </c>
      <c r="B411" s="50" t="inlineStr">
        <is>
          <t>Qualifier</t>
        </is>
      </c>
      <c r="C411" s="50" t="inlineStr">
        <is>
          <t>MolsonCoors Beverage Company</t>
        </is>
      </c>
      <c r="D411" s="50" t="inlineStr">
        <is>
          <t>Blue Moon</t>
        </is>
      </c>
      <c r="E411" s="46" t="n">
        <v>1805</v>
      </c>
      <c r="F411" s="46" t="n">
        <v>2522</v>
      </c>
      <c r="G411" s="48" t="n">
        <v>54967.9</v>
      </c>
      <c r="H411" s="48" t="n">
        <v>70311.10000000001</v>
      </c>
      <c r="I411" s="48" t="n">
        <v>11416.31</v>
      </c>
      <c r="J411" s="48" t="n">
        <v>17165.46</v>
      </c>
    </row>
    <row r="412">
      <c r="A412" s="50" t="inlineStr">
        <is>
          <t>John Neukum</t>
        </is>
      </c>
      <c r="B412" s="50" t="inlineStr">
        <is>
          <t>Qualifier</t>
        </is>
      </c>
      <c r="C412" s="50" t="inlineStr">
        <is>
          <t>MolsonCoors Beverage Company</t>
        </is>
      </c>
      <c r="D412" s="50" t="inlineStr">
        <is>
          <t>Coors Light</t>
        </is>
      </c>
      <c r="E412" s="46" t="n">
        <v>15017</v>
      </c>
      <c r="F412" s="46" t="n">
        <v>23225</v>
      </c>
      <c r="G412" s="48" t="n">
        <v>295758.2</v>
      </c>
      <c r="H412" s="48" t="n">
        <v>439287.8</v>
      </c>
      <c r="I412" s="48" t="n">
        <v>68985.47</v>
      </c>
      <c r="J412" s="48" t="n">
        <v>95174.84</v>
      </c>
    </row>
    <row r="413">
      <c r="A413" s="50" t="inlineStr">
        <is>
          <t>John Neukum</t>
        </is>
      </c>
      <c r="B413" s="50" t="inlineStr">
        <is>
          <t>Qualifier</t>
        </is>
      </c>
      <c r="C413" s="50" t="inlineStr">
        <is>
          <t>MolsonCoors Beverage Company</t>
        </is>
      </c>
      <c r="D413" s="50" t="inlineStr">
        <is>
          <t>Lite</t>
        </is>
      </c>
      <c r="E413" s="46" t="n">
        <v>1150</v>
      </c>
      <c r="F413" s="46" t="n">
        <v>4330</v>
      </c>
      <c r="G413" s="48" t="n">
        <v>24445.8</v>
      </c>
      <c r="H413" s="48" t="n">
        <v>83203.8</v>
      </c>
      <c r="I413" s="48" t="n">
        <v>5400.01</v>
      </c>
      <c r="J413" s="48" t="n">
        <v>18691.01</v>
      </c>
    </row>
    <row r="414">
      <c r="A414" s="50" t="inlineStr">
        <is>
          <t>John Neukum</t>
        </is>
      </c>
      <c r="B414" s="50" t="inlineStr">
        <is>
          <t>Qualifier</t>
        </is>
      </c>
      <c r="C414" s="50" t="inlineStr">
        <is>
          <t>Heineken USA</t>
        </is>
      </c>
      <c r="D414" s="50" t="inlineStr">
        <is>
          <t>Heineken USA</t>
        </is>
      </c>
      <c r="E414" s="46" t="n">
        <v>19534</v>
      </c>
      <c r="F414" s="46" t="n">
        <v>16871</v>
      </c>
      <c r="G414" s="48" t="n">
        <v>604323.2</v>
      </c>
      <c r="H414" s="48" t="n">
        <v>519674.25</v>
      </c>
      <c r="I414" s="48" t="n">
        <v>133764.44</v>
      </c>
      <c r="J414" s="48" t="n">
        <v>113211.74</v>
      </c>
    </row>
    <row r="415">
      <c r="A415" s="50" t="inlineStr">
        <is>
          <t>John Neukum</t>
        </is>
      </c>
      <c r="B415" s="50" t="inlineStr">
        <is>
          <t>Qualifier</t>
        </is>
      </c>
      <c r="C415" s="50" t="inlineStr">
        <is>
          <t>Constellation Brands</t>
        </is>
      </c>
      <c r="D415" s="50" t="inlineStr">
        <is>
          <t>Corona Extra</t>
        </is>
      </c>
      <c r="E415" s="46" t="n">
        <v>64453</v>
      </c>
      <c r="F415" s="46" t="n">
        <v>60614</v>
      </c>
      <c r="G415" s="48" t="n">
        <v>2037317.5</v>
      </c>
      <c r="H415" s="48" t="n">
        <v>1914254.5</v>
      </c>
      <c r="I415" s="48" t="n">
        <v>451875.73</v>
      </c>
      <c r="J415" s="48" t="n">
        <v>416000.49</v>
      </c>
    </row>
    <row r="416">
      <c r="A416" s="50" t="inlineStr">
        <is>
          <t>John Neukum</t>
        </is>
      </c>
      <c r="B416" s="50" t="inlineStr">
        <is>
          <t>Qualifier</t>
        </is>
      </c>
      <c r="C416" s="50" t="inlineStr">
        <is>
          <t>Constellation Brands</t>
        </is>
      </c>
      <c r="D416" s="50" t="inlineStr">
        <is>
          <t>Modelo Especial</t>
        </is>
      </c>
      <c r="E416" s="46" t="n">
        <v>70340</v>
      </c>
      <c r="F416" s="46" t="n">
        <v>66784</v>
      </c>
      <c r="G416" s="48" t="n">
        <v>2075447.05</v>
      </c>
      <c r="H416" s="48" t="n">
        <v>1971702.65</v>
      </c>
      <c r="I416" s="48" t="n">
        <v>428855.41</v>
      </c>
      <c r="J416" s="48" t="n">
        <v>403186.16</v>
      </c>
    </row>
    <row r="417">
      <c r="A417" s="50" t="inlineStr">
        <is>
          <t>John Neukum</t>
        </is>
      </c>
      <c r="B417" s="50" t="inlineStr">
        <is>
          <t>Qualifier</t>
        </is>
      </c>
      <c r="C417" s="50" t="inlineStr">
        <is>
          <t>Boston Beer Company</t>
        </is>
      </c>
      <c r="D417" s="50" t="inlineStr">
        <is>
          <t>Truly</t>
        </is>
      </c>
      <c r="E417" s="46" t="n">
        <v>589</v>
      </c>
      <c r="F417" s="46" t="n">
        <v>901</v>
      </c>
      <c r="G417" s="48" t="n">
        <v>15212</v>
      </c>
      <c r="H417" s="48" t="n">
        <v>21938</v>
      </c>
      <c r="I417" s="48" t="n">
        <v>3798.09</v>
      </c>
      <c r="J417" s="48" t="n">
        <v>4413.76</v>
      </c>
    </row>
    <row r="418">
      <c r="A418" s="50" t="inlineStr">
        <is>
          <t>John Neukum</t>
        </is>
      </c>
      <c r="B418" s="50" t="inlineStr">
        <is>
          <t>Qualifier</t>
        </is>
      </c>
      <c r="C418" s="50" t="inlineStr">
        <is>
          <t>Boston Beer Company</t>
        </is>
      </c>
      <c r="D418" s="50" t="inlineStr">
        <is>
          <t>Twisted Tea</t>
        </is>
      </c>
      <c r="E418" s="46" t="n">
        <v>339</v>
      </c>
      <c r="F418" s="46" t="n">
        <v>400</v>
      </c>
      <c r="G418" s="48" t="n">
        <v>9391</v>
      </c>
      <c r="H418" s="48" t="n">
        <v>10800</v>
      </c>
      <c r="I418" s="48" t="n">
        <v>2542.38</v>
      </c>
      <c r="J418" s="48" t="n">
        <v>2968</v>
      </c>
    </row>
    <row r="419">
      <c r="A419" s="50" t="inlineStr">
        <is>
          <t>John Neukum</t>
        </is>
      </c>
      <c r="B419" s="50" t="inlineStr">
        <is>
          <t>Qualifier</t>
        </is>
      </c>
      <c r="C419" s="50" t="inlineStr">
        <is>
          <t>Mark Anthony</t>
        </is>
      </c>
      <c r="D419" s="50" t="inlineStr">
        <is>
          <t>White Claw</t>
        </is>
      </c>
      <c r="E419" s="46" t="n">
        <v>4950</v>
      </c>
      <c r="F419" s="46" t="n">
        <v>3404</v>
      </c>
      <c r="G419" s="48" t="n">
        <v>126042</v>
      </c>
      <c r="H419" s="48" t="n">
        <v>87082.8</v>
      </c>
      <c r="I419" s="48" t="n">
        <v>13183.9</v>
      </c>
      <c r="J419" s="48" t="n">
        <v>9287.98</v>
      </c>
    </row>
    <row r="420">
      <c r="A420" s="50" t="inlineStr">
        <is>
          <t>John Neukum</t>
        </is>
      </c>
      <c r="B420" s="50" t="inlineStr">
        <is>
          <t>Qualifier</t>
        </is>
      </c>
      <c r="C420" s="50" t="inlineStr">
        <is>
          <t>DG Yuengling Inc</t>
        </is>
      </c>
      <c r="D420" s="50" t="inlineStr">
        <is>
          <t>Yuengling Lager</t>
        </is>
      </c>
      <c r="E420" s="46" t="n">
        <v>4162</v>
      </c>
      <c r="F420" s="46" t="n">
        <v>4095</v>
      </c>
      <c r="G420" s="48" t="n">
        <v>87395</v>
      </c>
      <c r="H420" s="48" t="n">
        <v>86003.5</v>
      </c>
      <c r="I420" s="48" t="n">
        <v>20287.88</v>
      </c>
      <c r="J420" s="48" t="n">
        <v>20041.76</v>
      </c>
    </row>
    <row r="421">
      <c r="A421" s="50" t="inlineStr">
        <is>
          <t>John O'Donoghue</t>
        </is>
      </c>
      <c r="B421" s="50" t="inlineStr">
        <is>
          <t>Amplify</t>
        </is>
      </c>
      <c r="C421" s="50" t="inlineStr">
        <is>
          <t>Cape May</t>
        </is>
      </c>
      <c r="D421" s="50" t="inlineStr">
        <is>
          <t>Cape May</t>
        </is>
      </c>
      <c r="E421" s="46" t="n">
        <v>16</v>
      </c>
      <c r="F421" s="46" t="n">
        <v>15</v>
      </c>
      <c r="G421" s="48" t="n">
        <v>694</v>
      </c>
      <c r="H421" s="48" t="n">
        <v>644</v>
      </c>
      <c r="I421" s="48" t="n">
        <v>233.76</v>
      </c>
      <c r="J421" s="48" t="n">
        <v>205.85</v>
      </c>
    </row>
    <row r="422">
      <c r="A422" s="50" t="inlineStr">
        <is>
          <t>John O'Donoghue</t>
        </is>
      </c>
      <c r="B422" s="50" t="inlineStr">
        <is>
          <t>Amplify</t>
        </is>
      </c>
      <c r="C422" s="50" t="inlineStr">
        <is>
          <t>Mark Anthony</t>
        </is>
      </c>
      <c r="D422" s="50" t="inlineStr">
        <is>
          <t>Cayman Jack</t>
        </is>
      </c>
      <c r="E422" s="46" t="n">
        <v>1</v>
      </c>
      <c r="F422" s="46" t="n">
        <v>0</v>
      </c>
      <c r="G422" s="48" t="n">
        <v>33.5</v>
      </c>
      <c r="H422" s="48" t="n">
        <v>0</v>
      </c>
      <c r="I422" s="48" t="n">
        <v>10.05</v>
      </c>
      <c r="J422" s="48" t="n">
        <v>0</v>
      </c>
    </row>
    <row r="423">
      <c r="A423" s="50" t="inlineStr">
        <is>
          <t>John O'Donoghue</t>
        </is>
      </c>
      <c r="B423" s="50" t="inlineStr">
        <is>
          <t>Amplify</t>
        </is>
      </c>
      <c r="C423" s="50" t="inlineStr">
        <is>
          <t>Mark Anthony</t>
        </is>
      </c>
      <c r="D423" s="50" t="inlineStr">
        <is>
          <t>Mike's Harder</t>
        </is>
      </c>
      <c r="E423" s="46" t="n">
        <v>3</v>
      </c>
      <c r="F423" s="46" t="n">
        <v>6</v>
      </c>
      <c r="G423" s="48" t="n">
        <v>81</v>
      </c>
      <c r="H423" s="48" t="n">
        <v>174</v>
      </c>
      <c r="I423" s="48" t="n">
        <v>17.54</v>
      </c>
      <c r="J423" s="48" t="n">
        <v>36.57</v>
      </c>
    </row>
    <row r="424">
      <c r="A424" s="50" t="inlineStr">
        <is>
          <t>John O'Donoghue</t>
        </is>
      </c>
      <c r="B424" s="50" t="inlineStr">
        <is>
          <t>Amplify</t>
        </is>
      </c>
      <c r="C424" s="50" t="inlineStr">
        <is>
          <t>MolsonCoors Beverage Company</t>
        </is>
      </c>
      <c r="D424" s="50" t="inlineStr">
        <is>
          <t>Coors</t>
        </is>
      </c>
      <c r="E424" s="46" t="n">
        <v>11</v>
      </c>
      <c r="F424" s="46" t="n">
        <v>1</v>
      </c>
      <c r="G424" s="48" t="n">
        <v>259.35</v>
      </c>
      <c r="H424" s="48" t="n">
        <v>22.1</v>
      </c>
      <c r="I424" s="48" t="n">
        <v>74.69</v>
      </c>
      <c r="J424" s="48" t="n">
        <v>6.29</v>
      </c>
    </row>
    <row r="425">
      <c r="A425" s="50" t="inlineStr">
        <is>
          <t>John O'Donoghue</t>
        </is>
      </c>
      <c r="B425" s="50" t="inlineStr">
        <is>
          <t>Amplify</t>
        </is>
      </c>
      <c r="C425" s="50" t="inlineStr">
        <is>
          <t>MolsonCoors Beverage Company</t>
        </is>
      </c>
      <c r="D425" s="50" t="inlineStr">
        <is>
          <t>Fever Tree</t>
        </is>
      </c>
      <c r="E425" s="46" t="n">
        <v>0</v>
      </c>
      <c r="F425" s="46" t="n">
        <v>6</v>
      </c>
      <c r="G425" s="48" t="n">
        <v>0</v>
      </c>
      <c r="H425" s="48" t="n">
        <v>240</v>
      </c>
      <c r="I425" s="48" t="n">
        <v>0</v>
      </c>
      <c r="J425" s="48" t="n">
        <v>66.08</v>
      </c>
    </row>
    <row r="426">
      <c r="A426" s="50" t="inlineStr">
        <is>
          <t>John O'Donoghue</t>
        </is>
      </c>
      <c r="B426" s="50" t="inlineStr">
        <is>
          <t>Amplify</t>
        </is>
      </c>
      <c r="C426" s="50" t="inlineStr">
        <is>
          <t>MolsonCoors Beverage Company</t>
        </is>
      </c>
      <c r="D426" s="50" t="inlineStr">
        <is>
          <t>Peroni</t>
        </is>
      </c>
      <c r="E426" s="46" t="n">
        <v>14</v>
      </c>
      <c r="F426" s="46" t="n">
        <v>7</v>
      </c>
      <c r="G426" s="48" t="n">
        <v>506.5</v>
      </c>
      <c r="H426" s="48" t="n">
        <v>252.7</v>
      </c>
      <c r="I426" s="48" t="n">
        <v>114.04</v>
      </c>
      <c r="J426" s="48" t="n">
        <v>69.62</v>
      </c>
    </row>
    <row r="427">
      <c r="A427" s="50" t="inlineStr">
        <is>
          <t>John O'Donoghue</t>
        </is>
      </c>
      <c r="B427" s="50" t="inlineStr">
        <is>
          <t>Amplify</t>
        </is>
      </c>
      <c r="C427" s="50" t="inlineStr">
        <is>
          <t>Boston Beer Company</t>
        </is>
      </c>
      <c r="D427" s="50" t="inlineStr">
        <is>
          <t>Dogfish Head Beer</t>
        </is>
      </c>
      <c r="E427" s="46" t="n">
        <v>2</v>
      </c>
      <c r="F427" s="46" t="n">
        <v>0</v>
      </c>
      <c r="G427" s="48" t="n">
        <v>75.59999999999999</v>
      </c>
      <c r="H427" s="48" t="n">
        <v>0</v>
      </c>
      <c r="I427" s="48" t="n">
        <v>25.84</v>
      </c>
      <c r="J427" s="48" t="n">
        <v>0</v>
      </c>
    </row>
    <row r="428">
      <c r="A428" s="50" t="inlineStr">
        <is>
          <t>John O'Donoghue</t>
        </is>
      </c>
      <c r="B428" s="50" t="inlineStr">
        <is>
          <t>Amplify</t>
        </is>
      </c>
      <c r="C428" s="50" t="inlineStr">
        <is>
          <t>Heineken USA</t>
        </is>
      </c>
      <c r="D428" s="50" t="inlineStr">
        <is>
          <t>Heineken 0.0</t>
        </is>
      </c>
      <c r="E428" s="46" t="n">
        <v>1</v>
      </c>
      <c r="F428" s="46" t="n">
        <v>0</v>
      </c>
      <c r="G428" s="48" t="n">
        <v>35</v>
      </c>
      <c r="H428" s="48" t="n">
        <v>0</v>
      </c>
      <c r="I428" s="48" t="n">
        <v>11.97</v>
      </c>
      <c r="J428" s="48" t="n">
        <v>0</v>
      </c>
    </row>
    <row r="429">
      <c r="A429" s="50" t="inlineStr">
        <is>
          <t>John O'Donoghue</t>
        </is>
      </c>
      <c r="B429" s="50" t="inlineStr">
        <is>
          <t>Amplify</t>
        </is>
      </c>
      <c r="C429" s="50" t="inlineStr">
        <is>
          <t>Heineken USA</t>
        </is>
      </c>
      <c r="D429" s="50" t="inlineStr">
        <is>
          <t>Heineken Light</t>
        </is>
      </c>
      <c r="E429" s="46" t="n">
        <v>6</v>
      </c>
      <c r="F429" s="46" t="n">
        <v>0</v>
      </c>
      <c r="G429" s="48" t="n">
        <v>216</v>
      </c>
      <c r="H429" s="48" t="n">
        <v>0</v>
      </c>
      <c r="I429" s="48" t="n">
        <v>73.22</v>
      </c>
      <c r="J429" s="48" t="n">
        <v>0</v>
      </c>
    </row>
    <row r="430">
      <c r="A430" s="50" t="inlineStr">
        <is>
          <t>John O'Donoghue</t>
        </is>
      </c>
      <c r="B430" s="50" t="inlineStr">
        <is>
          <t>Amplify</t>
        </is>
      </c>
      <c r="C430" s="50" t="inlineStr">
        <is>
          <t>Constellation Brands</t>
        </is>
      </c>
      <c r="D430" s="50" t="inlineStr">
        <is>
          <t>Modelo Chelada</t>
        </is>
      </c>
      <c r="E430" s="46" t="n">
        <v>7</v>
      </c>
      <c r="F430" s="46" t="n">
        <v>5</v>
      </c>
      <c r="G430" s="48" t="n">
        <v>222.25</v>
      </c>
      <c r="H430" s="48" t="n">
        <v>158.35</v>
      </c>
      <c r="I430" s="48" t="n">
        <v>63.5</v>
      </c>
      <c r="J430" s="48" t="n">
        <v>44.95</v>
      </c>
    </row>
    <row r="431">
      <c r="A431" s="50" t="inlineStr">
        <is>
          <t>John O'Donoghue</t>
        </is>
      </c>
      <c r="B431" s="50" t="inlineStr">
        <is>
          <t>Amplify</t>
        </is>
      </c>
      <c r="C431" s="50" t="inlineStr">
        <is>
          <t>Constellation Brands</t>
        </is>
      </c>
      <c r="D431" s="50" t="inlineStr">
        <is>
          <t>Pacifico</t>
        </is>
      </c>
      <c r="E431" s="46" t="n">
        <v>6</v>
      </c>
      <c r="F431" s="46" t="n">
        <v>3</v>
      </c>
      <c r="G431" s="48" t="n">
        <v>198</v>
      </c>
      <c r="H431" s="48" t="n">
        <v>97.5</v>
      </c>
      <c r="I431" s="48" t="n">
        <v>53.22</v>
      </c>
      <c r="J431" s="48" t="n">
        <v>26.09</v>
      </c>
    </row>
    <row r="432">
      <c r="A432" s="50" t="inlineStr">
        <is>
          <t>John O'Donoghue</t>
        </is>
      </c>
      <c r="B432" s="50" t="inlineStr">
        <is>
          <t>Amplify</t>
        </is>
      </c>
      <c r="C432" s="50" t="inlineStr">
        <is>
          <t>Constellation Brands</t>
        </is>
      </c>
      <c r="D432" s="50" t="inlineStr">
        <is>
          <t>Victoria</t>
        </is>
      </c>
      <c r="E432" s="46" t="n">
        <v>2</v>
      </c>
      <c r="F432" s="46" t="n">
        <v>1</v>
      </c>
      <c r="G432" s="48" t="n">
        <v>62.7</v>
      </c>
      <c r="H432" s="48" t="n">
        <v>31.35</v>
      </c>
      <c r="I432" s="48" t="n">
        <v>14.44</v>
      </c>
      <c r="J432" s="48" t="n">
        <v>7.22</v>
      </c>
    </row>
    <row r="433">
      <c r="A433" s="50" t="inlineStr">
        <is>
          <t>John O'Donoghue</t>
        </is>
      </c>
      <c r="B433" s="50" t="inlineStr">
        <is>
          <t>Amplify</t>
        </is>
      </c>
      <c r="C433" s="50" t="inlineStr">
        <is>
          <t>Sapporo</t>
        </is>
      </c>
      <c r="D433" s="50" t="inlineStr">
        <is>
          <t>Sapporo</t>
        </is>
      </c>
      <c r="E433" s="46" t="n">
        <v>1206</v>
      </c>
      <c r="F433" s="46" t="n">
        <v>1331</v>
      </c>
      <c r="G433" s="48" t="n">
        <v>35043.65</v>
      </c>
      <c r="H433" s="48" t="n">
        <v>38753.75</v>
      </c>
      <c r="I433" s="48" t="n">
        <v>8819.9</v>
      </c>
      <c r="J433" s="48" t="n">
        <v>10037.85</v>
      </c>
    </row>
    <row r="434">
      <c r="A434" s="50" t="inlineStr">
        <is>
          <t>John O'Donoghue</t>
        </is>
      </c>
      <c r="B434" s="50" t="inlineStr">
        <is>
          <t>Amplify</t>
        </is>
      </c>
      <c r="C434" s="50" t="inlineStr">
        <is>
          <t>New Belgium Brewing Company</t>
        </is>
      </c>
      <c r="D434" s="50" t="inlineStr">
        <is>
          <t>Voodoo Family</t>
        </is>
      </c>
      <c r="E434" s="46" t="n">
        <v>12</v>
      </c>
      <c r="F434" s="46" t="n">
        <v>0</v>
      </c>
      <c r="G434" s="48" t="n">
        <v>487.2</v>
      </c>
      <c r="H434" s="48" t="n">
        <v>0</v>
      </c>
      <c r="I434" s="48" t="n">
        <v>148.8</v>
      </c>
      <c r="J434" s="48" t="n">
        <v>0</v>
      </c>
    </row>
    <row r="435">
      <c r="A435" s="50" t="inlineStr">
        <is>
          <t>John O'Donoghue</t>
        </is>
      </c>
      <c r="B435" s="50" t="inlineStr">
        <is>
          <t>Qualifier</t>
        </is>
      </c>
      <c r="C435" s="50" t="inlineStr">
        <is>
          <t>MolsonCoors Beverage Company</t>
        </is>
      </c>
      <c r="D435" s="50" t="inlineStr">
        <is>
          <t>Blue Moon</t>
        </is>
      </c>
      <c r="E435" s="46" t="n">
        <v>5</v>
      </c>
      <c r="F435" s="46" t="n">
        <v>1</v>
      </c>
      <c r="G435" s="48" t="n">
        <v>180</v>
      </c>
      <c r="H435" s="48" t="n">
        <v>37</v>
      </c>
      <c r="I435" s="48" t="n">
        <v>49.88</v>
      </c>
      <c r="J435" s="48" t="n">
        <v>10.98</v>
      </c>
    </row>
    <row r="436">
      <c r="A436" s="50" t="inlineStr">
        <is>
          <t>John O'Donoghue</t>
        </is>
      </c>
      <c r="B436" s="50" t="inlineStr">
        <is>
          <t>Qualifier</t>
        </is>
      </c>
      <c r="C436" s="50" t="inlineStr">
        <is>
          <t>MolsonCoors Beverage Company</t>
        </is>
      </c>
      <c r="D436" s="50" t="inlineStr">
        <is>
          <t>Coors Light</t>
        </is>
      </c>
      <c r="E436" s="46" t="n">
        <v>101</v>
      </c>
      <c r="F436" s="46" t="n">
        <v>51</v>
      </c>
      <c r="G436" s="48" t="n">
        <v>2459.7</v>
      </c>
      <c r="H436" s="48" t="n">
        <v>1277.95</v>
      </c>
      <c r="I436" s="48" t="n">
        <v>733.4400000000001</v>
      </c>
      <c r="J436" s="48" t="n">
        <v>394.89</v>
      </c>
    </row>
    <row r="437">
      <c r="A437" s="50" t="inlineStr">
        <is>
          <t>John O'Donoghue</t>
        </is>
      </c>
      <c r="B437" s="50" t="inlineStr">
        <is>
          <t>Qualifier</t>
        </is>
      </c>
      <c r="C437" s="50" t="inlineStr">
        <is>
          <t>MolsonCoors Beverage Company</t>
        </is>
      </c>
      <c r="D437" s="50" t="inlineStr">
        <is>
          <t>Lite</t>
        </is>
      </c>
      <c r="E437" s="46" t="n">
        <v>53</v>
      </c>
      <c r="F437" s="46" t="n">
        <v>31</v>
      </c>
      <c r="G437" s="48" t="n">
        <v>1335.65</v>
      </c>
      <c r="H437" s="48" t="n">
        <v>756.05</v>
      </c>
      <c r="I437" s="48" t="n">
        <v>362</v>
      </c>
      <c r="J437" s="48" t="n">
        <v>201.82</v>
      </c>
    </row>
    <row r="438">
      <c r="A438" s="50" t="inlineStr">
        <is>
          <t>John O'Donoghue</t>
        </is>
      </c>
      <c r="B438" s="50" t="inlineStr">
        <is>
          <t>Qualifier</t>
        </is>
      </c>
      <c r="C438" s="50" t="inlineStr">
        <is>
          <t>Heineken USA</t>
        </is>
      </c>
      <c r="D438" s="50" t="inlineStr">
        <is>
          <t>Heineken USA</t>
        </is>
      </c>
      <c r="E438" s="46" t="n">
        <v>49</v>
      </c>
      <c r="F438" s="46" t="n">
        <v>21</v>
      </c>
      <c r="G438" s="48" t="n">
        <v>1684.1</v>
      </c>
      <c r="H438" s="48" t="n">
        <v>700.75</v>
      </c>
      <c r="I438" s="48" t="n">
        <v>528.64</v>
      </c>
      <c r="J438" s="48" t="n">
        <v>216.8</v>
      </c>
    </row>
    <row r="439">
      <c r="A439" s="50" t="inlineStr">
        <is>
          <t>John O'Donoghue</t>
        </is>
      </c>
      <c r="B439" s="50" t="inlineStr">
        <is>
          <t>Qualifier</t>
        </is>
      </c>
      <c r="C439" s="50" t="inlineStr">
        <is>
          <t>Constellation Brands</t>
        </is>
      </c>
      <c r="D439" s="50" t="inlineStr">
        <is>
          <t>Corona Extra</t>
        </is>
      </c>
      <c r="E439" s="46" t="n">
        <v>84</v>
      </c>
      <c r="F439" s="46" t="n">
        <v>63</v>
      </c>
      <c r="G439" s="48" t="n">
        <v>2823.5</v>
      </c>
      <c r="H439" s="48" t="n">
        <v>2179.75</v>
      </c>
      <c r="I439" s="48" t="n">
        <v>814.79</v>
      </c>
      <c r="J439" s="48" t="n">
        <v>691.54</v>
      </c>
    </row>
    <row r="440">
      <c r="A440" s="50" t="inlineStr">
        <is>
          <t>John O'Donoghue</t>
        </is>
      </c>
      <c r="B440" s="50" t="inlineStr">
        <is>
          <t>Qualifier</t>
        </is>
      </c>
      <c r="C440" s="50" t="inlineStr">
        <is>
          <t>Constellation Brands</t>
        </is>
      </c>
      <c r="D440" s="50" t="inlineStr">
        <is>
          <t>Modelo Especial</t>
        </is>
      </c>
      <c r="E440" s="46" t="n">
        <v>152</v>
      </c>
      <c r="F440" s="46" t="n">
        <v>77</v>
      </c>
      <c r="G440" s="48" t="n">
        <v>4840</v>
      </c>
      <c r="H440" s="48" t="n">
        <v>2491.45</v>
      </c>
      <c r="I440" s="48" t="n">
        <v>1283.32</v>
      </c>
      <c r="J440" s="48" t="n">
        <v>673.22</v>
      </c>
    </row>
    <row r="441">
      <c r="A441" s="50" t="inlineStr">
        <is>
          <t>John O'Donoghue</t>
        </is>
      </c>
      <c r="B441" s="50" t="inlineStr">
        <is>
          <t>Qualifier</t>
        </is>
      </c>
      <c r="C441" s="50" t="inlineStr">
        <is>
          <t>Boston Beer Company</t>
        </is>
      </c>
      <c r="D441" s="50" t="inlineStr">
        <is>
          <t>Twisted Tea</t>
        </is>
      </c>
      <c r="E441" s="46" t="n">
        <v>23</v>
      </c>
      <c r="F441" s="46" t="n">
        <v>8</v>
      </c>
      <c r="G441" s="48" t="n">
        <v>698</v>
      </c>
      <c r="H441" s="48" t="n">
        <v>243.25</v>
      </c>
      <c r="I441" s="48" t="n">
        <v>197.3</v>
      </c>
      <c r="J441" s="48" t="n">
        <v>66.3</v>
      </c>
    </row>
    <row r="442">
      <c r="A442" s="50" t="inlineStr">
        <is>
          <t>John O'Donoghue</t>
        </is>
      </c>
      <c r="B442" s="50" t="inlineStr">
        <is>
          <t>Qualifier</t>
        </is>
      </c>
      <c r="C442" s="50" t="inlineStr">
        <is>
          <t>Mark Anthony</t>
        </is>
      </c>
      <c r="D442" s="50" t="inlineStr">
        <is>
          <t>White Claw</t>
        </is>
      </c>
      <c r="E442" s="46" t="n">
        <v>44</v>
      </c>
      <c r="F442" s="46" t="n">
        <v>24</v>
      </c>
      <c r="G442" s="48" t="n">
        <v>1445.95</v>
      </c>
      <c r="H442" s="48" t="n">
        <v>824.05</v>
      </c>
      <c r="I442" s="48" t="n">
        <v>346.14</v>
      </c>
      <c r="J442" s="48" t="n">
        <v>196.87</v>
      </c>
    </row>
    <row r="443">
      <c r="A443" s="50" t="inlineStr">
        <is>
          <t>John O'Donoghue</t>
        </is>
      </c>
      <c r="B443" s="50" t="inlineStr">
        <is>
          <t>Qualifier</t>
        </is>
      </c>
      <c r="C443" s="50" t="inlineStr">
        <is>
          <t>DG Yuengling Inc</t>
        </is>
      </c>
      <c r="D443" s="50" t="inlineStr">
        <is>
          <t>Yuengling Lager</t>
        </is>
      </c>
      <c r="E443" s="46" t="n">
        <v>13</v>
      </c>
      <c r="F443" s="46" t="n">
        <v>7</v>
      </c>
      <c r="G443" s="48" t="n">
        <v>362.5</v>
      </c>
      <c r="H443" s="48" t="n">
        <v>196</v>
      </c>
      <c r="I443" s="48" t="n">
        <v>113.17</v>
      </c>
      <c r="J443" s="48" t="n">
        <v>62.05</v>
      </c>
    </row>
    <row r="444">
      <c r="A444" s="50" t="inlineStr">
        <is>
          <t>Klejdi Lamo</t>
        </is>
      </c>
      <c r="B444" s="50" t="inlineStr">
        <is>
          <t>Amplify</t>
        </is>
      </c>
      <c r="C444" s="50" t="inlineStr">
        <is>
          <t>Cape May</t>
        </is>
      </c>
      <c r="D444" s="50" t="inlineStr">
        <is>
          <t>Cape May</t>
        </is>
      </c>
      <c r="E444" s="46" t="n">
        <v>1454</v>
      </c>
      <c r="F444" s="46" t="n">
        <v>1411</v>
      </c>
      <c r="G444" s="48" t="n">
        <v>59942.2</v>
      </c>
      <c r="H444" s="48" t="n">
        <v>58103.4</v>
      </c>
      <c r="I444" s="48" t="n">
        <v>17627.25</v>
      </c>
      <c r="J444" s="48" t="n">
        <v>16836.91</v>
      </c>
    </row>
    <row r="445">
      <c r="A445" s="50" t="inlineStr">
        <is>
          <t>Klejdi Lamo</t>
        </is>
      </c>
      <c r="B445" s="50" t="inlineStr">
        <is>
          <t>Amplify</t>
        </is>
      </c>
      <c r="C445" s="50" t="inlineStr">
        <is>
          <t>Mark Anthony</t>
        </is>
      </c>
      <c r="D445" s="50" t="inlineStr">
        <is>
          <t>Cayman Jack</t>
        </is>
      </c>
      <c r="E445" s="46" t="n">
        <v>485</v>
      </c>
      <c r="F445" s="46" t="n">
        <v>589</v>
      </c>
      <c r="G445" s="48" t="n">
        <v>15716.5</v>
      </c>
      <c r="H445" s="48" t="n">
        <v>18950</v>
      </c>
      <c r="I445" s="48" t="n">
        <v>3896.85</v>
      </c>
      <c r="J445" s="48" t="n">
        <v>4597.5</v>
      </c>
    </row>
    <row r="446">
      <c r="A446" s="50" t="inlineStr">
        <is>
          <t>Klejdi Lamo</t>
        </is>
      </c>
      <c r="B446" s="50" t="inlineStr">
        <is>
          <t>Amplify</t>
        </is>
      </c>
      <c r="C446" s="50" t="inlineStr">
        <is>
          <t>Mark Anthony</t>
        </is>
      </c>
      <c r="D446" s="50" t="inlineStr">
        <is>
          <t>Mike's Harder</t>
        </is>
      </c>
      <c r="E446" s="46" t="n">
        <v>614</v>
      </c>
      <c r="F446" s="46" t="n">
        <v>589</v>
      </c>
      <c r="G446" s="48" t="n">
        <v>17078.5</v>
      </c>
      <c r="H446" s="48" t="n">
        <v>17452.5</v>
      </c>
      <c r="I446" s="48" t="n">
        <v>3700.23</v>
      </c>
      <c r="J446" s="48" t="n">
        <v>3810.4</v>
      </c>
    </row>
    <row r="447">
      <c r="A447" s="50" t="inlineStr">
        <is>
          <t>Klejdi Lamo</t>
        </is>
      </c>
      <c r="B447" s="50" t="inlineStr">
        <is>
          <t>Amplify</t>
        </is>
      </c>
      <c r="C447" s="50" t="inlineStr">
        <is>
          <t>Mark Anthony</t>
        </is>
      </c>
      <c r="D447" s="50" t="inlineStr">
        <is>
          <t>Mxd Cocktails</t>
        </is>
      </c>
      <c r="E447" s="46" t="n">
        <v>0</v>
      </c>
      <c r="F447" s="46" t="n">
        <v>6</v>
      </c>
      <c r="G447" s="48" t="n">
        <v>0</v>
      </c>
      <c r="H447" s="48" t="n">
        <v>192</v>
      </c>
      <c r="I447" s="48" t="n">
        <v>0</v>
      </c>
      <c r="J447" s="48" t="n">
        <v>34.38</v>
      </c>
    </row>
    <row r="448">
      <c r="A448" s="50" t="inlineStr">
        <is>
          <t>Klejdi Lamo</t>
        </is>
      </c>
      <c r="B448" s="50" t="inlineStr">
        <is>
          <t>Amplify</t>
        </is>
      </c>
      <c r="C448" s="50" t="inlineStr">
        <is>
          <t>MolsonCoors Beverage Company</t>
        </is>
      </c>
      <c r="D448" s="50" t="inlineStr">
        <is>
          <t>Coors</t>
        </is>
      </c>
      <c r="E448" s="46" t="n">
        <v>3361</v>
      </c>
      <c r="F448" s="46" t="n">
        <v>3463</v>
      </c>
      <c r="G448" s="48" t="n">
        <v>73923.10000000001</v>
      </c>
      <c r="H448" s="48" t="n">
        <v>78000.7</v>
      </c>
      <c r="I448" s="48" t="n">
        <v>19810.81</v>
      </c>
      <c r="J448" s="48" t="n">
        <v>21266.87</v>
      </c>
    </row>
    <row r="449">
      <c r="A449" s="50" t="inlineStr">
        <is>
          <t>Klejdi Lamo</t>
        </is>
      </c>
      <c r="B449" s="50" t="inlineStr">
        <is>
          <t>Amplify</t>
        </is>
      </c>
      <c r="C449" s="50" t="inlineStr">
        <is>
          <t>MolsonCoors Beverage Company</t>
        </is>
      </c>
      <c r="D449" s="50" t="inlineStr">
        <is>
          <t>Fever Tree</t>
        </is>
      </c>
      <c r="E449" s="46" t="n">
        <v>2</v>
      </c>
      <c r="F449" s="46" t="n">
        <v>100</v>
      </c>
      <c r="G449" s="48" t="n">
        <v>108.5</v>
      </c>
      <c r="H449" s="48" t="n">
        <v>4666.5</v>
      </c>
      <c r="I449" s="48" t="n">
        <v>38.93</v>
      </c>
      <c r="J449" s="48" t="n">
        <v>1432.33</v>
      </c>
    </row>
    <row r="450">
      <c r="A450" s="50" t="inlineStr">
        <is>
          <t>Klejdi Lamo</t>
        </is>
      </c>
      <c r="B450" s="50" t="inlineStr">
        <is>
          <t>Amplify</t>
        </is>
      </c>
      <c r="C450" s="50" t="inlineStr">
        <is>
          <t>MolsonCoors Beverage Company</t>
        </is>
      </c>
      <c r="D450" s="50" t="inlineStr">
        <is>
          <t>Peroni</t>
        </is>
      </c>
      <c r="E450" s="46" t="n">
        <v>709</v>
      </c>
      <c r="F450" s="46" t="n">
        <v>696</v>
      </c>
      <c r="G450" s="48" t="n">
        <v>24287.85</v>
      </c>
      <c r="H450" s="48" t="n">
        <v>23607.65</v>
      </c>
      <c r="I450" s="48" t="n">
        <v>4975.59</v>
      </c>
      <c r="J450" s="48" t="n">
        <v>4624.9</v>
      </c>
    </row>
    <row r="451">
      <c r="A451" s="50" t="inlineStr">
        <is>
          <t>Klejdi Lamo</t>
        </is>
      </c>
      <c r="B451" s="50" t="inlineStr">
        <is>
          <t>Amplify</t>
        </is>
      </c>
      <c r="C451" s="50" t="inlineStr">
        <is>
          <t>Boston Beer Company</t>
        </is>
      </c>
      <c r="D451" s="50" t="inlineStr">
        <is>
          <t>Dogfish Head Beer</t>
        </is>
      </c>
      <c r="E451" s="46" t="n">
        <v>1587</v>
      </c>
      <c r="F451" s="46" t="n">
        <v>1820</v>
      </c>
      <c r="G451" s="48" t="n">
        <v>55747.6</v>
      </c>
      <c r="H451" s="48" t="n">
        <v>62010.8</v>
      </c>
      <c r="I451" s="48" t="n">
        <v>13560.19</v>
      </c>
      <c r="J451" s="48" t="n">
        <v>14581.62</v>
      </c>
    </row>
    <row r="452">
      <c r="A452" s="50" t="inlineStr">
        <is>
          <t>Klejdi Lamo</t>
        </is>
      </c>
      <c r="B452" s="50" t="inlineStr">
        <is>
          <t>Amplify</t>
        </is>
      </c>
      <c r="C452" s="50" t="inlineStr">
        <is>
          <t>Boston Beer Company</t>
        </is>
      </c>
      <c r="D452" s="50" t="inlineStr">
        <is>
          <t>Dogfish Head Spirits</t>
        </is>
      </c>
      <c r="E452" s="46" t="n">
        <v>275</v>
      </c>
      <c r="F452" s="46" t="n">
        <v>318</v>
      </c>
      <c r="G452" s="48" t="n">
        <v>14805</v>
      </c>
      <c r="H452" s="48" t="n">
        <v>15892</v>
      </c>
      <c r="I452" s="48" t="n">
        <v>5713.7</v>
      </c>
      <c r="J452" s="48" t="n">
        <v>5341.04</v>
      </c>
    </row>
    <row r="453">
      <c r="A453" s="50" t="inlineStr">
        <is>
          <t>Klejdi Lamo</t>
        </is>
      </c>
      <c r="B453" s="50" t="inlineStr">
        <is>
          <t>Amplify</t>
        </is>
      </c>
      <c r="C453" s="50" t="inlineStr">
        <is>
          <t>Heineken USA</t>
        </is>
      </c>
      <c r="D453" s="50" t="inlineStr">
        <is>
          <t>Heineken 0.0</t>
        </is>
      </c>
      <c r="E453" s="46" t="n">
        <v>8</v>
      </c>
      <c r="F453" s="46" t="n">
        <v>9</v>
      </c>
      <c r="G453" s="48" t="n">
        <v>282.15</v>
      </c>
      <c r="H453" s="48" t="n">
        <v>317.15</v>
      </c>
      <c r="I453" s="48" t="n">
        <v>74.91</v>
      </c>
      <c r="J453" s="48" t="n">
        <v>86.89</v>
      </c>
    </row>
    <row r="454">
      <c r="A454" s="50" t="inlineStr">
        <is>
          <t>Klejdi Lamo</t>
        </is>
      </c>
      <c r="B454" s="50" t="inlineStr">
        <is>
          <t>Amplify</t>
        </is>
      </c>
      <c r="C454" s="50" t="inlineStr">
        <is>
          <t>Heineken USA</t>
        </is>
      </c>
      <c r="D454" s="50" t="inlineStr">
        <is>
          <t>Heineken Light</t>
        </is>
      </c>
      <c r="E454" s="46" t="n">
        <v>9</v>
      </c>
      <c r="F454" s="46" t="n">
        <v>10</v>
      </c>
      <c r="G454" s="48" t="n">
        <v>281.55</v>
      </c>
      <c r="H454" s="48" t="n">
        <v>312.8</v>
      </c>
      <c r="I454" s="48" t="n">
        <v>67.56999999999999</v>
      </c>
      <c r="J454" s="48" t="n">
        <v>74.31</v>
      </c>
    </row>
    <row r="455">
      <c r="A455" s="50" t="inlineStr">
        <is>
          <t>Klejdi Lamo</t>
        </is>
      </c>
      <c r="B455" s="50" t="inlineStr">
        <is>
          <t>Amplify</t>
        </is>
      </c>
      <c r="C455" s="50" t="inlineStr">
        <is>
          <t>Constellation Brands</t>
        </is>
      </c>
      <c r="D455" s="50" t="inlineStr">
        <is>
          <t>Corona Premier</t>
        </is>
      </c>
      <c r="E455" s="46" t="n">
        <v>827</v>
      </c>
      <c r="F455" s="46" t="n">
        <v>758</v>
      </c>
      <c r="G455" s="48" t="n">
        <v>25847.2</v>
      </c>
      <c r="H455" s="48" t="n">
        <v>20935</v>
      </c>
      <c r="I455" s="48" t="n">
        <v>5814.8</v>
      </c>
      <c r="J455" s="48" t="n">
        <v>5118.42</v>
      </c>
    </row>
    <row r="456">
      <c r="A456" s="50" t="inlineStr">
        <is>
          <t>Klejdi Lamo</t>
        </is>
      </c>
      <c r="B456" s="50" t="inlineStr">
        <is>
          <t>Amplify</t>
        </is>
      </c>
      <c r="C456" s="50" t="inlineStr">
        <is>
          <t>Constellation Brands</t>
        </is>
      </c>
      <c r="D456" s="50" t="inlineStr">
        <is>
          <t>Modelo Chelada</t>
        </is>
      </c>
      <c r="E456" s="46" t="n">
        <v>1411</v>
      </c>
      <c r="F456" s="46" t="n">
        <v>1976</v>
      </c>
      <c r="G456" s="48" t="n">
        <v>43706.65</v>
      </c>
      <c r="H456" s="48" t="n">
        <v>59310.6</v>
      </c>
      <c r="I456" s="48" t="n">
        <v>11035.88</v>
      </c>
      <c r="J456" s="48" t="n">
        <v>14491.63</v>
      </c>
    </row>
    <row r="457">
      <c r="A457" s="50" t="inlineStr">
        <is>
          <t>Klejdi Lamo</t>
        </is>
      </c>
      <c r="B457" s="50" t="inlineStr">
        <is>
          <t>Amplify</t>
        </is>
      </c>
      <c r="C457" s="50" t="inlineStr">
        <is>
          <t>Constellation Brands</t>
        </is>
      </c>
      <c r="D457" s="50" t="inlineStr">
        <is>
          <t>Pacifico</t>
        </is>
      </c>
      <c r="E457" s="46" t="n">
        <v>405</v>
      </c>
      <c r="F457" s="46" t="n">
        <v>445</v>
      </c>
      <c r="G457" s="48" t="n">
        <v>12408.05</v>
      </c>
      <c r="H457" s="48" t="n">
        <v>13613.75</v>
      </c>
      <c r="I457" s="48" t="n">
        <v>2806.12</v>
      </c>
      <c r="J457" s="48" t="n">
        <v>3054.18</v>
      </c>
    </row>
    <row r="458">
      <c r="A458" s="50" t="inlineStr">
        <is>
          <t>Klejdi Lamo</t>
        </is>
      </c>
      <c r="B458" s="50" t="inlineStr">
        <is>
          <t>Amplify</t>
        </is>
      </c>
      <c r="C458" s="50" t="inlineStr">
        <is>
          <t>Constellation Brands</t>
        </is>
      </c>
      <c r="D458" s="50" t="inlineStr">
        <is>
          <t>Victoria</t>
        </is>
      </c>
      <c r="E458" s="46" t="n">
        <v>651</v>
      </c>
      <c r="F458" s="46" t="n">
        <v>987</v>
      </c>
      <c r="G458" s="48" t="n">
        <v>19283.7</v>
      </c>
      <c r="H458" s="48" t="n">
        <v>29216.45</v>
      </c>
      <c r="I458" s="48" t="n">
        <v>4689.71</v>
      </c>
      <c r="J458" s="48" t="n">
        <v>6976.98</v>
      </c>
    </row>
    <row r="459">
      <c r="A459" s="50" t="inlineStr">
        <is>
          <t>Klejdi Lamo</t>
        </is>
      </c>
      <c r="B459" s="50" t="inlineStr">
        <is>
          <t>Amplify</t>
        </is>
      </c>
      <c r="C459" s="50" t="inlineStr">
        <is>
          <t>Sapporo</t>
        </is>
      </c>
      <c r="D459" s="50" t="inlineStr">
        <is>
          <t>Sapporo</t>
        </is>
      </c>
      <c r="E459" s="46" t="n">
        <v>328</v>
      </c>
      <c r="F459" s="46" t="n">
        <v>426</v>
      </c>
      <c r="G459" s="48" t="n">
        <v>8517.25</v>
      </c>
      <c r="H459" s="48" t="n">
        <v>11277.5</v>
      </c>
      <c r="I459" s="48" t="n">
        <v>2144.06</v>
      </c>
      <c r="J459" s="48" t="n">
        <v>2958.7</v>
      </c>
    </row>
    <row r="460">
      <c r="A460" s="50" t="inlineStr">
        <is>
          <t>Klejdi Lamo</t>
        </is>
      </c>
      <c r="B460" s="50" t="inlineStr">
        <is>
          <t>Amplify</t>
        </is>
      </c>
      <c r="C460" s="50" t="inlineStr">
        <is>
          <t>Bell's</t>
        </is>
      </c>
      <c r="D460" s="50" t="inlineStr">
        <is>
          <t>Bell's</t>
        </is>
      </c>
      <c r="E460" s="46" t="n">
        <v>48</v>
      </c>
      <c r="F460" s="46" t="n">
        <v>40</v>
      </c>
      <c r="G460" s="48" t="n">
        <v>1618.65</v>
      </c>
      <c r="H460" s="48" t="n">
        <v>1353.6</v>
      </c>
      <c r="I460" s="48" t="n">
        <v>485.39</v>
      </c>
      <c r="J460" s="48" t="n">
        <v>436.84</v>
      </c>
    </row>
    <row r="461">
      <c r="A461" s="50" t="inlineStr">
        <is>
          <t>Klejdi Lamo</t>
        </is>
      </c>
      <c r="B461" s="50" t="inlineStr">
        <is>
          <t>Amplify</t>
        </is>
      </c>
      <c r="C461" s="50" t="inlineStr">
        <is>
          <t>New Belgium Brewing Company</t>
        </is>
      </c>
      <c r="D461" s="50" t="inlineStr">
        <is>
          <t>Fat Tire Family</t>
        </is>
      </c>
      <c r="E461" s="46" t="n">
        <v>181</v>
      </c>
      <c r="F461" s="46" t="n">
        <v>164</v>
      </c>
      <c r="G461" s="48" t="n">
        <v>6161</v>
      </c>
      <c r="H461" s="48" t="n">
        <v>5562.5</v>
      </c>
      <c r="I461" s="48" t="n">
        <v>1358.86</v>
      </c>
      <c r="J461" s="48" t="n">
        <v>1197.04</v>
      </c>
    </row>
    <row r="462">
      <c r="A462" s="50" t="inlineStr">
        <is>
          <t>Klejdi Lamo</t>
        </is>
      </c>
      <c r="B462" s="50" t="inlineStr">
        <is>
          <t>Amplify</t>
        </is>
      </c>
      <c r="C462" s="50" t="inlineStr">
        <is>
          <t>New Belgium Brewing Company</t>
        </is>
      </c>
      <c r="D462" s="50" t="inlineStr">
        <is>
          <t>Kirin Ichiban</t>
        </is>
      </c>
      <c r="E462" s="46" t="n">
        <v>41</v>
      </c>
      <c r="F462" s="46" t="n">
        <v>11</v>
      </c>
      <c r="G462" s="48" t="n">
        <v>1154.7</v>
      </c>
      <c r="H462" s="48" t="n">
        <v>316</v>
      </c>
      <c r="I462" s="48" t="n">
        <v>242.6</v>
      </c>
      <c r="J462" s="48" t="n">
        <v>87.26000000000001</v>
      </c>
    </row>
    <row r="463">
      <c r="A463" s="50" t="inlineStr">
        <is>
          <t>Klejdi Lamo</t>
        </is>
      </c>
      <c r="B463" s="50" t="inlineStr">
        <is>
          <t>Amplify</t>
        </is>
      </c>
      <c r="C463" s="50" t="inlineStr">
        <is>
          <t>New Belgium Brewing Company</t>
        </is>
      </c>
      <c r="D463" s="50" t="inlineStr">
        <is>
          <t>Voodoo Family</t>
        </is>
      </c>
      <c r="E463" s="46" t="n">
        <v>1473</v>
      </c>
      <c r="F463" s="46" t="n">
        <v>1715</v>
      </c>
      <c r="G463" s="48" t="n">
        <v>53298.2</v>
      </c>
      <c r="H463" s="48" t="n">
        <v>61759.7</v>
      </c>
      <c r="I463" s="48" t="n">
        <v>13392.48</v>
      </c>
      <c r="J463" s="48" t="n">
        <v>15481.93</v>
      </c>
    </row>
    <row r="464">
      <c r="A464" s="50" t="inlineStr">
        <is>
          <t>Klejdi Lamo</t>
        </is>
      </c>
      <c r="B464" s="50" t="inlineStr">
        <is>
          <t>Amplify</t>
        </is>
      </c>
      <c r="C464" s="50" t="inlineStr">
        <is>
          <t>DG Yuengling Inc</t>
        </is>
      </c>
      <c r="D464" s="50" t="inlineStr">
        <is>
          <t>Yuengling Flight</t>
        </is>
      </c>
      <c r="E464" s="46" t="n">
        <v>506</v>
      </c>
      <c r="F464" s="46" t="n">
        <v>542</v>
      </c>
      <c r="G464" s="48" t="n">
        <v>11335.6</v>
      </c>
      <c r="H464" s="48" t="n">
        <v>12220.75</v>
      </c>
      <c r="I464" s="48" t="n">
        <v>3074.7</v>
      </c>
      <c r="J464" s="48" t="n">
        <v>3397.46</v>
      </c>
    </row>
    <row r="465">
      <c r="A465" s="50" t="inlineStr">
        <is>
          <t>Klejdi Lamo</t>
        </is>
      </c>
      <c r="B465" s="50" t="inlineStr">
        <is>
          <t>Amplify</t>
        </is>
      </c>
      <c r="C465" s="50" t="inlineStr">
        <is>
          <t>DG Yuengling Inc</t>
        </is>
      </c>
      <c r="D465" s="50" t="inlineStr">
        <is>
          <t>Yuengling Light Lager</t>
        </is>
      </c>
      <c r="E465" s="46" t="n">
        <v>356</v>
      </c>
      <c r="F465" s="46" t="n">
        <v>350</v>
      </c>
      <c r="G465" s="48" t="n">
        <v>7824.1</v>
      </c>
      <c r="H465" s="48" t="n">
        <v>7745</v>
      </c>
      <c r="I465" s="48" t="n">
        <v>1963.93</v>
      </c>
      <c r="J465" s="48" t="n">
        <v>1958.2</v>
      </c>
    </row>
    <row r="466">
      <c r="A466" s="50" t="inlineStr">
        <is>
          <t>Klejdi Lamo</t>
        </is>
      </c>
      <c r="B466" s="50" t="inlineStr">
        <is>
          <t>Qualifier</t>
        </is>
      </c>
      <c r="C466" s="50" t="inlineStr">
        <is>
          <t>MolsonCoors Beverage Company</t>
        </is>
      </c>
      <c r="D466" s="50" t="inlineStr">
        <is>
          <t>Blue Moon</t>
        </is>
      </c>
      <c r="E466" s="46" t="n">
        <v>2471</v>
      </c>
      <c r="F466" s="46" t="n">
        <v>2169</v>
      </c>
      <c r="G466" s="48" t="n">
        <v>78125.35000000001</v>
      </c>
      <c r="H466" s="48" t="n">
        <v>70412.25</v>
      </c>
      <c r="I466" s="48" t="n">
        <v>17041.47</v>
      </c>
      <c r="J466" s="48" t="n">
        <v>15869.51</v>
      </c>
    </row>
    <row r="467">
      <c r="A467" s="50" t="inlineStr">
        <is>
          <t>Klejdi Lamo</t>
        </is>
      </c>
      <c r="B467" s="50" t="inlineStr">
        <is>
          <t>Qualifier</t>
        </is>
      </c>
      <c r="C467" s="50" t="inlineStr">
        <is>
          <t>MolsonCoors Beverage Company</t>
        </is>
      </c>
      <c r="D467" s="50" t="inlineStr">
        <is>
          <t>Coors Light</t>
        </is>
      </c>
      <c r="E467" s="46" t="n">
        <v>13436</v>
      </c>
      <c r="F467" s="46" t="n">
        <v>15240</v>
      </c>
      <c r="G467" s="48" t="n">
        <v>292142.35</v>
      </c>
      <c r="H467" s="48" t="n">
        <v>331781.75</v>
      </c>
      <c r="I467" s="48" t="n">
        <v>78342.78</v>
      </c>
      <c r="J467" s="48" t="n">
        <v>88026.72</v>
      </c>
    </row>
    <row r="468">
      <c r="A468" s="50" t="inlineStr">
        <is>
          <t>Klejdi Lamo</t>
        </is>
      </c>
      <c r="B468" s="50" t="inlineStr">
        <is>
          <t>Qualifier</t>
        </is>
      </c>
      <c r="C468" s="50" t="inlineStr">
        <is>
          <t>MolsonCoors Beverage Company</t>
        </is>
      </c>
      <c r="D468" s="50" t="inlineStr">
        <is>
          <t>Lite</t>
        </is>
      </c>
      <c r="E468" s="46" t="n">
        <v>16882</v>
      </c>
      <c r="F468" s="46" t="n">
        <v>17350</v>
      </c>
      <c r="G468" s="48" t="n">
        <v>371893.35</v>
      </c>
      <c r="H468" s="48" t="n">
        <v>382934.05</v>
      </c>
      <c r="I468" s="48" t="n">
        <v>91303.78999999999</v>
      </c>
      <c r="J468" s="48" t="n">
        <v>92180.78</v>
      </c>
    </row>
    <row r="469">
      <c r="A469" s="50" t="inlineStr">
        <is>
          <t>Klejdi Lamo</t>
        </is>
      </c>
      <c r="B469" s="50" t="inlineStr">
        <is>
          <t>Qualifier</t>
        </is>
      </c>
      <c r="C469" s="50" t="inlineStr">
        <is>
          <t>Heineken USA</t>
        </is>
      </c>
      <c r="D469" s="50" t="inlineStr">
        <is>
          <t>Heineken USA</t>
        </is>
      </c>
      <c r="E469" s="46" t="n">
        <v>184</v>
      </c>
      <c r="F469" s="46" t="n">
        <v>153</v>
      </c>
      <c r="G469" s="48" t="n">
        <v>5816.55</v>
      </c>
      <c r="H469" s="48" t="n">
        <v>4836.15</v>
      </c>
      <c r="I469" s="48" t="n">
        <v>1442.31</v>
      </c>
      <c r="J469" s="48" t="n">
        <v>1235.78</v>
      </c>
    </row>
    <row r="470">
      <c r="A470" s="50" t="inlineStr">
        <is>
          <t>Klejdi Lamo</t>
        </is>
      </c>
      <c r="B470" s="50" t="inlineStr">
        <is>
          <t>Qualifier</t>
        </is>
      </c>
      <c r="C470" s="50" t="inlineStr">
        <is>
          <t>Constellation Brands</t>
        </is>
      </c>
      <c r="D470" s="50" t="inlineStr">
        <is>
          <t>Corona Extra</t>
        </is>
      </c>
      <c r="E470" s="46" t="n">
        <v>11530</v>
      </c>
      <c r="F470" s="46" t="n">
        <v>12404</v>
      </c>
      <c r="G470" s="48" t="n">
        <v>366402.05</v>
      </c>
      <c r="H470" s="48" t="n">
        <v>395406.9</v>
      </c>
      <c r="I470" s="48" t="n">
        <v>87511.11</v>
      </c>
      <c r="J470" s="48" t="n">
        <v>94140.12</v>
      </c>
    </row>
    <row r="471">
      <c r="A471" s="50" t="inlineStr">
        <is>
          <t>Klejdi Lamo</t>
        </is>
      </c>
      <c r="B471" s="50" t="inlineStr">
        <is>
          <t>Qualifier</t>
        </is>
      </c>
      <c r="C471" s="50" t="inlineStr">
        <is>
          <t>Constellation Brands</t>
        </is>
      </c>
      <c r="D471" s="50" t="inlineStr">
        <is>
          <t>Modelo Especial</t>
        </is>
      </c>
      <c r="E471" s="46" t="n">
        <v>10531</v>
      </c>
      <c r="F471" s="46" t="n">
        <v>11936</v>
      </c>
      <c r="G471" s="48" t="n">
        <v>321504.8</v>
      </c>
      <c r="H471" s="48" t="n">
        <v>358649.25</v>
      </c>
      <c r="I471" s="48" t="n">
        <v>74902.58</v>
      </c>
      <c r="J471" s="48" t="n">
        <v>81433.14</v>
      </c>
    </row>
    <row r="472">
      <c r="A472" s="50" t="inlineStr">
        <is>
          <t>Klejdi Lamo</t>
        </is>
      </c>
      <c r="B472" s="50" t="inlineStr">
        <is>
          <t>Qualifier</t>
        </is>
      </c>
      <c r="C472" s="50" t="inlineStr">
        <is>
          <t>Boston Beer Company</t>
        </is>
      </c>
      <c r="D472" s="50" t="inlineStr">
        <is>
          <t>Truly</t>
        </is>
      </c>
      <c r="E472" s="46" t="n">
        <v>1576</v>
      </c>
      <c r="F472" s="46" t="n">
        <v>1454</v>
      </c>
      <c r="G472" s="48" t="n">
        <v>45592.9</v>
      </c>
      <c r="H472" s="48" t="n">
        <v>41531.3</v>
      </c>
      <c r="I472" s="48" t="n">
        <v>10327.64</v>
      </c>
      <c r="J472" s="48" t="n">
        <v>8860.780000000001</v>
      </c>
    </row>
    <row r="473">
      <c r="A473" s="50" t="inlineStr">
        <is>
          <t>Klejdi Lamo</t>
        </is>
      </c>
      <c r="B473" s="50" t="inlineStr">
        <is>
          <t>Qualifier</t>
        </is>
      </c>
      <c r="C473" s="50" t="inlineStr">
        <is>
          <t>Boston Beer Company</t>
        </is>
      </c>
      <c r="D473" s="50" t="inlineStr">
        <is>
          <t>Twisted Tea</t>
        </is>
      </c>
      <c r="E473" s="46" t="n">
        <v>3965</v>
      </c>
      <c r="F473" s="46" t="n">
        <v>4164</v>
      </c>
      <c r="G473" s="48" t="n">
        <v>115999.6</v>
      </c>
      <c r="H473" s="48" t="n">
        <v>120497</v>
      </c>
      <c r="I473" s="48" t="n">
        <v>28870.77</v>
      </c>
      <c r="J473" s="48" t="n">
        <v>27819.65</v>
      </c>
    </row>
    <row r="474">
      <c r="A474" s="50" t="inlineStr">
        <is>
          <t>Klejdi Lamo</t>
        </is>
      </c>
      <c r="B474" s="50" t="inlineStr">
        <is>
          <t>Qualifier</t>
        </is>
      </c>
      <c r="C474" s="50" t="inlineStr">
        <is>
          <t>Mark Anthony</t>
        </is>
      </c>
      <c r="D474" s="50" t="inlineStr">
        <is>
          <t>White Claw</t>
        </is>
      </c>
      <c r="E474" s="46" t="n">
        <v>11895</v>
      </c>
      <c r="F474" s="46" t="n">
        <v>10740</v>
      </c>
      <c r="G474" s="48" t="n">
        <v>365609.45</v>
      </c>
      <c r="H474" s="48" t="n">
        <v>342813.85</v>
      </c>
      <c r="I474" s="48" t="n">
        <v>70954.89</v>
      </c>
      <c r="J474" s="48" t="n">
        <v>69051.75</v>
      </c>
    </row>
    <row r="475">
      <c r="A475" s="50" t="inlineStr">
        <is>
          <t>Klejdi Lamo</t>
        </is>
      </c>
      <c r="B475" s="50" t="inlineStr">
        <is>
          <t>Qualifier</t>
        </is>
      </c>
      <c r="C475" s="50" t="inlineStr">
        <is>
          <t>DG Yuengling Inc</t>
        </is>
      </c>
      <c r="D475" s="50" t="inlineStr">
        <is>
          <t>Yuengling Lager</t>
        </is>
      </c>
      <c r="E475" s="46" t="n">
        <v>5219</v>
      </c>
      <c r="F475" s="46" t="n">
        <v>5010</v>
      </c>
      <c r="G475" s="48" t="n">
        <v>116803.6</v>
      </c>
      <c r="H475" s="48" t="n">
        <v>111567.35</v>
      </c>
      <c r="I475" s="48" t="n">
        <v>32236.23</v>
      </c>
      <c r="J475" s="48" t="n">
        <v>30666.81</v>
      </c>
    </row>
    <row r="476">
      <c r="A476" s="50" t="inlineStr">
        <is>
          <t>Matt Powierski</t>
        </is>
      </c>
      <c r="B476" s="50" t="inlineStr">
        <is>
          <t>Amplify</t>
        </is>
      </c>
      <c r="C476" s="50" t="inlineStr">
        <is>
          <t>Cape May</t>
        </is>
      </c>
      <c r="D476" s="50" t="inlineStr">
        <is>
          <t>Cape May</t>
        </is>
      </c>
      <c r="E476" s="46" t="n">
        <v>260</v>
      </c>
      <c r="F476" s="46" t="n">
        <v>295</v>
      </c>
      <c r="G476" s="48" t="n">
        <v>10811.3</v>
      </c>
      <c r="H476" s="48" t="n">
        <v>12282.8</v>
      </c>
      <c r="I476" s="48" t="n">
        <v>3194.26</v>
      </c>
      <c r="J476" s="48" t="n">
        <v>3608.59</v>
      </c>
    </row>
    <row r="477">
      <c r="A477" s="50" t="inlineStr">
        <is>
          <t>Matt Powierski</t>
        </is>
      </c>
      <c r="B477" s="50" t="inlineStr">
        <is>
          <t>Amplify</t>
        </is>
      </c>
      <c r="C477" s="50" t="inlineStr">
        <is>
          <t>Mark Anthony</t>
        </is>
      </c>
      <c r="D477" s="50" t="inlineStr">
        <is>
          <t>Cayman Jack</t>
        </is>
      </c>
      <c r="E477" s="46" t="n">
        <v>760</v>
      </c>
      <c r="F477" s="46" t="n">
        <v>934</v>
      </c>
      <c r="G477" s="48" t="n">
        <v>24310</v>
      </c>
      <c r="H477" s="48" t="n">
        <v>29687.25</v>
      </c>
      <c r="I477" s="48" t="n">
        <v>5787.92</v>
      </c>
      <c r="J477" s="48" t="n">
        <v>7003.28</v>
      </c>
    </row>
    <row r="478">
      <c r="A478" s="50" t="inlineStr">
        <is>
          <t>Matt Powierski</t>
        </is>
      </c>
      <c r="B478" s="50" t="inlineStr">
        <is>
          <t>Amplify</t>
        </is>
      </c>
      <c r="C478" s="50" t="inlineStr">
        <is>
          <t>Mark Anthony</t>
        </is>
      </c>
      <c r="D478" s="50" t="inlineStr">
        <is>
          <t>Mike's Harder</t>
        </is>
      </c>
      <c r="E478" s="46" t="n">
        <v>212</v>
      </c>
      <c r="F478" s="46" t="n">
        <v>213</v>
      </c>
      <c r="G478" s="48" t="n">
        <v>5882</v>
      </c>
      <c r="H478" s="48" t="n">
        <v>6310</v>
      </c>
      <c r="I478" s="48" t="n">
        <v>1277.85</v>
      </c>
      <c r="J478" s="48" t="n">
        <v>1378.41</v>
      </c>
    </row>
    <row r="479">
      <c r="A479" s="50" t="inlineStr">
        <is>
          <t>Matt Powierski</t>
        </is>
      </c>
      <c r="B479" s="50" t="inlineStr">
        <is>
          <t>Amplify</t>
        </is>
      </c>
      <c r="C479" s="50" t="inlineStr">
        <is>
          <t>Mark Anthony</t>
        </is>
      </c>
      <c r="D479" s="50" t="inlineStr">
        <is>
          <t>Mxd Cocktails</t>
        </is>
      </c>
      <c r="E479" s="46" t="n">
        <v>15</v>
      </c>
      <c r="F479" s="46" t="n">
        <v>51</v>
      </c>
      <c r="G479" s="48" t="n">
        <v>352</v>
      </c>
      <c r="H479" s="48" t="n">
        <v>1295.6</v>
      </c>
      <c r="I479" s="48" t="n">
        <v>66.2</v>
      </c>
      <c r="J479" s="48" t="n">
        <v>254.68</v>
      </c>
    </row>
    <row r="480">
      <c r="A480" s="50" t="inlineStr">
        <is>
          <t>Matt Powierski</t>
        </is>
      </c>
      <c r="B480" s="50" t="inlineStr">
        <is>
          <t>Amplify</t>
        </is>
      </c>
      <c r="C480" s="50" t="inlineStr">
        <is>
          <t>MolsonCoors Beverage Company</t>
        </is>
      </c>
      <c r="D480" s="50" t="inlineStr">
        <is>
          <t>Coors</t>
        </is>
      </c>
      <c r="E480" s="46" t="n">
        <v>2709</v>
      </c>
      <c r="F480" s="46" t="n">
        <v>2529</v>
      </c>
      <c r="G480" s="48" t="n">
        <v>51117.95</v>
      </c>
      <c r="H480" s="48" t="n">
        <v>48505.2</v>
      </c>
      <c r="I480" s="48" t="n">
        <v>11053.52</v>
      </c>
      <c r="J480" s="48" t="n">
        <v>10723.35</v>
      </c>
    </row>
    <row r="481">
      <c r="A481" s="50" t="inlineStr">
        <is>
          <t>Matt Powierski</t>
        </is>
      </c>
      <c r="B481" s="50" t="inlineStr">
        <is>
          <t>Amplify</t>
        </is>
      </c>
      <c r="C481" s="50" t="inlineStr">
        <is>
          <t>MolsonCoors Beverage Company</t>
        </is>
      </c>
      <c r="D481" s="50" t="inlineStr">
        <is>
          <t>Fever Tree</t>
        </is>
      </c>
      <c r="E481" s="46" t="n">
        <v>0</v>
      </c>
      <c r="F481" s="46" t="n">
        <v>61</v>
      </c>
      <c r="G481" s="48" t="n">
        <v>24.8</v>
      </c>
      <c r="H481" s="48" t="n">
        <v>2678.5</v>
      </c>
      <c r="I481" s="48" t="n">
        <v>13.24</v>
      </c>
      <c r="J481" s="48" t="n">
        <v>861.09</v>
      </c>
    </row>
    <row r="482">
      <c r="A482" s="50" t="inlineStr">
        <is>
          <t>Matt Powierski</t>
        </is>
      </c>
      <c r="B482" s="50" t="inlineStr">
        <is>
          <t>Amplify</t>
        </is>
      </c>
      <c r="C482" s="50" t="inlineStr">
        <is>
          <t>MolsonCoors Beverage Company</t>
        </is>
      </c>
      <c r="D482" s="50" t="inlineStr">
        <is>
          <t>Peroni</t>
        </is>
      </c>
      <c r="E482" s="46" t="n">
        <v>1168</v>
      </c>
      <c r="F482" s="46" t="n">
        <v>1376</v>
      </c>
      <c r="G482" s="48" t="n">
        <v>40679.5</v>
      </c>
      <c r="H482" s="48" t="n">
        <v>46705.15</v>
      </c>
      <c r="I482" s="48" t="n">
        <v>8509.99</v>
      </c>
      <c r="J482" s="48" t="n">
        <v>9142.059999999999</v>
      </c>
    </row>
    <row r="483">
      <c r="A483" s="50" t="inlineStr">
        <is>
          <t>Matt Powierski</t>
        </is>
      </c>
      <c r="B483" s="50" t="inlineStr">
        <is>
          <t>Amplify</t>
        </is>
      </c>
      <c r="C483" s="50" t="inlineStr">
        <is>
          <t>Boston Beer Company</t>
        </is>
      </c>
      <c r="D483" s="50" t="inlineStr">
        <is>
          <t>Dogfish Head Beer</t>
        </is>
      </c>
      <c r="E483" s="46" t="n">
        <v>407</v>
      </c>
      <c r="F483" s="46" t="n">
        <v>306</v>
      </c>
      <c r="G483" s="48" t="n">
        <v>14218.2</v>
      </c>
      <c r="H483" s="48" t="n">
        <v>10991.7</v>
      </c>
      <c r="I483" s="48" t="n">
        <v>3583.68</v>
      </c>
      <c r="J483" s="48" t="n">
        <v>2829.3</v>
      </c>
    </row>
    <row r="484">
      <c r="A484" s="50" t="inlineStr">
        <is>
          <t>Matt Powierski</t>
        </is>
      </c>
      <c r="B484" s="50" t="inlineStr">
        <is>
          <t>Amplify</t>
        </is>
      </c>
      <c r="C484" s="50" t="inlineStr">
        <is>
          <t>Boston Beer Company</t>
        </is>
      </c>
      <c r="D484" s="50" t="inlineStr">
        <is>
          <t>Dogfish Head Spirits</t>
        </is>
      </c>
      <c r="E484" s="46" t="n">
        <v>39</v>
      </c>
      <c r="F484" s="46" t="n">
        <v>52</v>
      </c>
      <c r="G484" s="48" t="n">
        <v>2204</v>
      </c>
      <c r="H484" s="48" t="n">
        <v>2739</v>
      </c>
      <c r="I484" s="48" t="n">
        <v>848.12</v>
      </c>
      <c r="J484" s="48" t="n">
        <v>979.8099999999999</v>
      </c>
    </row>
    <row r="485">
      <c r="A485" s="50" t="inlineStr">
        <is>
          <t>Matt Powierski</t>
        </is>
      </c>
      <c r="B485" s="50" t="inlineStr">
        <is>
          <t>Amplify</t>
        </is>
      </c>
      <c r="C485" s="50" t="inlineStr">
        <is>
          <t>Heineken USA</t>
        </is>
      </c>
      <c r="D485" s="50" t="inlineStr">
        <is>
          <t>Heineken 0.0</t>
        </is>
      </c>
      <c r="E485" s="46" t="n">
        <v>595</v>
      </c>
      <c r="F485" s="46" t="n">
        <v>478</v>
      </c>
      <c r="G485" s="48" t="n">
        <v>20008.85</v>
      </c>
      <c r="H485" s="48" t="n">
        <v>16092.75</v>
      </c>
      <c r="I485" s="48" t="n">
        <v>5304.52</v>
      </c>
      <c r="J485" s="48" t="n">
        <v>4270.86</v>
      </c>
    </row>
    <row r="486">
      <c r="A486" s="50" t="inlineStr">
        <is>
          <t>Matt Powierski</t>
        </is>
      </c>
      <c r="B486" s="50" t="inlineStr">
        <is>
          <t>Amplify</t>
        </is>
      </c>
      <c r="C486" s="50" t="inlineStr">
        <is>
          <t>Heineken USA</t>
        </is>
      </c>
      <c r="D486" s="50" t="inlineStr">
        <is>
          <t>Heineken Light</t>
        </is>
      </c>
      <c r="E486" s="46" t="n">
        <v>456</v>
      </c>
      <c r="F486" s="46" t="n">
        <v>409</v>
      </c>
      <c r="G486" s="48" t="n">
        <v>14338.6</v>
      </c>
      <c r="H486" s="48" t="n">
        <v>12831.9</v>
      </c>
      <c r="I486" s="48" t="n">
        <v>3497.55</v>
      </c>
      <c r="J486" s="48" t="n">
        <v>3109.03</v>
      </c>
    </row>
    <row r="487">
      <c r="A487" s="50" t="inlineStr">
        <is>
          <t>Matt Powierski</t>
        </is>
      </c>
      <c r="B487" s="50" t="inlineStr">
        <is>
          <t>Amplify</t>
        </is>
      </c>
      <c r="C487" s="50" t="inlineStr">
        <is>
          <t>Constellation Brands</t>
        </is>
      </c>
      <c r="D487" s="50" t="inlineStr">
        <is>
          <t>Corona Premier</t>
        </is>
      </c>
      <c r="E487" s="46" t="n">
        <v>647</v>
      </c>
      <c r="F487" s="46" t="n">
        <v>729</v>
      </c>
      <c r="G487" s="48" t="n">
        <v>20288.75</v>
      </c>
      <c r="H487" s="48" t="n">
        <v>19810.35</v>
      </c>
      <c r="I487" s="48" t="n">
        <v>4610.56</v>
      </c>
      <c r="J487" s="48" t="n">
        <v>4878.32</v>
      </c>
    </row>
    <row r="488">
      <c r="A488" s="50" t="inlineStr">
        <is>
          <t>Matt Powierski</t>
        </is>
      </c>
      <c r="B488" s="50" t="inlineStr">
        <is>
          <t>Amplify</t>
        </is>
      </c>
      <c r="C488" s="50" t="inlineStr">
        <is>
          <t>Constellation Brands</t>
        </is>
      </c>
      <c r="D488" s="50" t="inlineStr">
        <is>
          <t>Modelo Chelada</t>
        </is>
      </c>
      <c r="E488" s="46" t="n">
        <v>1654</v>
      </c>
      <c r="F488" s="46" t="n">
        <v>1983</v>
      </c>
      <c r="G488" s="48" t="n">
        <v>51284.9</v>
      </c>
      <c r="H488" s="48" t="n">
        <v>61498.95</v>
      </c>
      <c r="I488" s="48" t="n">
        <v>13113.93</v>
      </c>
      <c r="J488" s="48" t="n">
        <v>15784.57</v>
      </c>
    </row>
    <row r="489">
      <c r="A489" s="50" t="inlineStr">
        <is>
          <t>Matt Powierski</t>
        </is>
      </c>
      <c r="B489" s="50" t="inlineStr">
        <is>
          <t>Amplify</t>
        </is>
      </c>
      <c r="C489" s="50" t="inlineStr">
        <is>
          <t>Constellation Brands</t>
        </is>
      </c>
      <c r="D489" s="50" t="inlineStr">
        <is>
          <t>Pacifico</t>
        </is>
      </c>
      <c r="E489" s="46" t="n">
        <v>561</v>
      </c>
      <c r="F489" s="46" t="n">
        <v>832</v>
      </c>
      <c r="G489" s="48" t="n">
        <v>17367.65</v>
      </c>
      <c r="H489" s="48" t="n">
        <v>26073.9</v>
      </c>
      <c r="I489" s="48" t="n">
        <v>3989.27</v>
      </c>
      <c r="J489" s="48" t="n">
        <v>6053.38</v>
      </c>
    </row>
    <row r="490">
      <c r="A490" s="50" t="inlineStr">
        <is>
          <t>Matt Powierski</t>
        </is>
      </c>
      <c r="B490" s="50" t="inlineStr">
        <is>
          <t>Amplify</t>
        </is>
      </c>
      <c r="C490" s="50" t="inlineStr">
        <is>
          <t>Constellation Brands</t>
        </is>
      </c>
      <c r="D490" s="50" t="inlineStr">
        <is>
          <t>Victoria</t>
        </is>
      </c>
      <c r="E490" s="46" t="n">
        <v>1236</v>
      </c>
      <c r="F490" s="46" t="n">
        <v>1326</v>
      </c>
      <c r="G490" s="48" t="n">
        <v>37297.15</v>
      </c>
      <c r="H490" s="48" t="n">
        <v>39987.8</v>
      </c>
      <c r="I490" s="48" t="n">
        <v>8895.120000000001</v>
      </c>
      <c r="J490" s="48" t="n">
        <v>9570.24</v>
      </c>
    </row>
    <row r="491">
      <c r="A491" s="50" t="inlineStr">
        <is>
          <t>Matt Powierski</t>
        </is>
      </c>
      <c r="B491" s="50" t="inlineStr">
        <is>
          <t>Amplify</t>
        </is>
      </c>
      <c r="C491" s="50" t="inlineStr">
        <is>
          <t>Sapporo</t>
        </is>
      </c>
      <c r="D491" s="50" t="inlineStr">
        <is>
          <t>Sapporo</t>
        </is>
      </c>
      <c r="E491" s="46" t="n">
        <v>774</v>
      </c>
      <c r="F491" s="46" t="n">
        <v>957</v>
      </c>
      <c r="G491" s="48" t="n">
        <v>22196.5</v>
      </c>
      <c r="H491" s="48" t="n">
        <v>28135</v>
      </c>
      <c r="I491" s="48" t="n">
        <v>5687.5</v>
      </c>
      <c r="J491" s="48" t="n">
        <v>7018.11</v>
      </c>
    </row>
    <row r="492">
      <c r="A492" s="50" t="inlineStr">
        <is>
          <t>Matt Powierski</t>
        </is>
      </c>
      <c r="B492" s="50" t="inlineStr">
        <is>
          <t>Amplify</t>
        </is>
      </c>
      <c r="C492" s="50" t="inlineStr">
        <is>
          <t>Bell's</t>
        </is>
      </c>
      <c r="D492" s="50" t="inlineStr">
        <is>
          <t>Bell's</t>
        </is>
      </c>
      <c r="E492" s="46" t="n">
        <v>5</v>
      </c>
      <c r="F492" s="46" t="n">
        <v>0</v>
      </c>
      <c r="G492" s="48" t="n">
        <v>168.55</v>
      </c>
      <c r="H492" s="48" t="n">
        <v>-0.35</v>
      </c>
      <c r="I492" s="48" t="n">
        <v>53.09</v>
      </c>
      <c r="J492" s="48" t="n">
        <v>-0.63</v>
      </c>
    </row>
    <row r="493">
      <c r="A493" s="50" t="inlineStr">
        <is>
          <t>Matt Powierski</t>
        </is>
      </c>
      <c r="B493" s="50" t="inlineStr">
        <is>
          <t>Amplify</t>
        </is>
      </c>
      <c r="C493" s="50" t="inlineStr">
        <is>
          <t>New Belgium Brewing Company</t>
        </is>
      </c>
      <c r="D493" s="50" t="inlineStr">
        <is>
          <t>Fat Tire Family</t>
        </is>
      </c>
      <c r="E493" s="46" t="n">
        <v>51</v>
      </c>
      <c r="F493" s="46" t="n">
        <v>52</v>
      </c>
      <c r="G493" s="48" t="n">
        <v>1760</v>
      </c>
      <c r="H493" s="48" t="n">
        <v>1753.1</v>
      </c>
      <c r="I493" s="48" t="n">
        <v>404.41</v>
      </c>
      <c r="J493" s="48" t="n">
        <v>450.82</v>
      </c>
    </row>
    <row r="494">
      <c r="A494" s="50" t="inlineStr">
        <is>
          <t>Matt Powierski</t>
        </is>
      </c>
      <c r="B494" s="50" t="inlineStr">
        <is>
          <t>Amplify</t>
        </is>
      </c>
      <c r="C494" s="50" t="inlineStr">
        <is>
          <t>New Belgium Brewing Company</t>
        </is>
      </c>
      <c r="D494" s="50" t="inlineStr">
        <is>
          <t>Kirin Ichiban</t>
        </is>
      </c>
      <c r="E494" s="46" t="n">
        <v>87</v>
      </c>
      <c r="F494" s="46" t="n">
        <v>57</v>
      </c>
      <c r="G494" s="48" t="n">
        <v>2177.5</v>
      </c>
      <c r="H494" s="48" t="n">
        <v>1501.4</v>
      </c>
      <c r="I494" s="48" t="n">
        <v>387.56</v>
      </c>
      <c r="J494" s="48" t="n">
        <v>307.46</v>
      </c>
    </row>
    <row r="495">
      <c r="A495" s="50" t="inlineStr">
        <is>
          <t>Matt Powierski</t>
        </is>
      </c>
      <c r="B495" s="50" t="inlineStr">
        <is>
          <t>Amplify</t>
        </is>
      </c>
      <c r="C495" s="50" t="inlineStr">
        <is>
          <t>New Belgium Brewing Company</t>
        </is>
      </c>
      <c r="D495" s="50" t="inlineStr">
        <is>
          <t>Voodoo Family</t>
        </is>
      </c>
      <c r="E495" s="46" t="n">
        <v>693</v>
      </c>
      <c r="F495" s="46" t="n">
        <v>886</v>
      </c>
      <c r="G495" s="48" t="n">
        <v>25308.8</v>
      </c>
      <c r="H495" s="48" t="n">
        <v>32374</v>
      </c>
      <c r="I495" s="48" t="n">
        <v>6574.59</v>
      </c>
      <c r="J495" s="48" t="n">
        <v>8356.85</v>
      </c>
    </row>
    <row r="496">
      <c r="A496" s="50" t="inlineStr">
        <is>
          <t>Matt Powierski</t>
        </is>
      </c>
      <c r="B496" s="50" t="inlineStr">
        <is>
          <t>Amplify</t>
        </is>
      </c>
      <c r="C496" s="50" t="inlineStr">
        <is>
          <t>DG Yuengling Inc</t>
        </is>
      </c>
      <c r="D496" s="50" t="inlineStr">
        <is>
          <t>Yuengling Flight</t>
        </is>
      </c>
      <c r="E496" s="46" t="n">
        <v>97</v>
      </c>
      <c r="F496" s="46" t="n">
        <v>141</v>
      </c>
      <c r="G496" s="48" t="n">
        <v>2349.65</v>
      </c>
      <c r="H496" s="48" t="n">
        <v>3386.5</v>
      </c>
      <c r="I496" s="48" t="n">
        <v>707.1799999999999</v>
      </c>
      <c r="J496" s="48" t="n">
        <v>1008.73</v>
      </c>
    </row>
    <row r="497">
      <c r="A497" s="50" t="inlineStr">
        <is>
          <t>Matt Powierski</t>
        </is>
      </c>
      <c r="B497" s="50" t="inlineStr">
        <is>
          <t>Amplify</t>
        </is>
      </c>
      <c r="C497" s="50" t="inlineStr">
        <is>
          <t>DG Yuengling Inc</t>
        </is>
      </c>
      <c r="D497" s="50" t="inlineStr">
        <is>
          <t>Yuengling Light Lager</t>
        </is>
      </c>
      <c r="E497" s="46" t="n">
        <v>29</v>
      </c>
      <c r="F497" s="46" t="n">
        <v>37</v>
      </c>
      <c r="G497" s="48" t="n">
        <v>766.1</v>
      </c>
      <c r="H497" s="48" t="n">
        <v>973.1</v>
      </c>
      <c r="I497" s="48" t="n">
        <v>229.41</v>
      </c>
      <c r="J497" s="48" t="n">
        <v>287.57</v>
      </c>
    </row>
    <row r="498">
      <c r="A498" s="50" t="inlineStr">
        <is>
          <t>Matt Powierski</t>
        </is>
      </c>
      <c r="B498" s="50" t="inlineStr">
        <is>
          <t>Qualifier</t>
        </is>
      </c>
      <c r="C498" s="50" t="inlineStr">
        <is>
          <t>MolsonCoors Beverage Company</t>
        </is>
      </c>
      <c r="D498" s="50" t="inlineStr">
        <is>
          <t>Blue Moon</t>
        </is>
      </c>
      <c r="E498" s="46" t="n">
        <v>1482</v>
      </c>
      <c r="F498" s="46" t="n">
        <v>1498</v>
      </c>
      <c r="G498" s="48" t="n">
        <v>49461.55</v>
      </c>
      <c r="H498" s="48" t="n">
        <v>51842.45</v>
      </c>
      <c r="I498" s="48" t="n">
        <v>11587.6</v>
      </c>
      <c r="J498" s="48" t="n">
        <v>12847.06</v>
      </c>
    </row>
    <row r="499">
      <c r="A499" s="50" t="inlineStr">
        <is>
          <t>Matt Powierski</t>
        </is>
      </c>
      <c r="B499" s="50" t="inlineStr">
        <is>
          <t>Qualifier</t>
        </is>
      </c>
      <c r="C499" s="50" t="inlineStr">
        <is>
          <t>MolsonCoors Beverage Company</t>
        </is>
      </c>
      <c r="D499" s="50" t="inlineStr">
        <is>
          <t>Coors Light</t>
        </is>
      </c>
      <c r="E499" s="46" t="n">
        <v>15046</v>
      </c>
      <c r="F499" s="46" t="n">
        <v>14569</v>
      </c>
      <c r="G499" s="48" t="n">
        <v>301835.5</v>
      </c>
      <c r="H499" s="48" t="n">
        <v>296216.1</v>
      </c>
      <c r="I499" s="48" t="n">
        <v>71349.96000000001</v>
      </c>
      <c r="J499" s="48" t="n">
        <v>71235.7</v>
      </c>
    </row>
    <row r="500">
      <c r="A500" s="50" t="inlineStr">
        <is>
          <t>Matt Powierski</t>
        </is>
      </c>
      <c r="B500" s="50" t="inlineStr">
        <is>
          <t>Qualifier</t>
        </is>
      </c>
      <c r="C500" s="50" t="inlineStr">
        <is>
          <t>MolsonCoors Beverage Company</t>
        </is>
      </c>
      <c r="D500" s="50" t="inlineStr">
        <is>
          <t>Lite</t>
        </is>
      </c>
      <c r="E500" s="46" t="n">
        <v>5514</v>
      </c>
      <c r="F500" s="46" t="n">
        <v>5983</v>
      </c>
      <c r="G500" s="48" t="n">
        <v>119598.6</v>
      </c>
      <c r="H500" s="48" t="n">
        <v>129584.55</v>
      </c>
      <c r="I500" s="48" t="n">
        <v>27904.29</v>
      </c>
      <c r="J500" s="48" t="n">
        <v>30195.87</v>
      </c>
    </row>
    <row r="501">
      <c r="A501" s="50" t="inlineStr">
        <is>
          <t>Matt Powierski</t>
        </is>
      </c>
      <c r="B501" s="50" t="inlineStr">
        <is>
          <t>Qualifier</t>
        </is>
      </c>
      <c r="C501" s="50" t="inlineStr">
        <is>
          <t>Heineken USA</t>
        </is>
      </c>
      <c r="D501" s="50" t="inlineStr">
        <is>
          <t>Heineken USA</t>
        </is>
      </c>
      <c r="E501" s="46" t="n">
        <v>9436</v>
      </c>
      <c r="F501" s="46" t="n">
        <v>7855</v>
      </c>
      <c r="G501" s="48" t="n">
        <v>296383.2</v>
      </c>
      <c r="H501" s="48" t="n">
        <v>243473.45</v>
      </c>
      <c r="I501" s="48" t="n">
        <v>73113.03999999999</v>
      </c>
      <c r="J501" s="48" t="n">
        <v>58704.87</v>
      </c>
    </row>
    <row r="502">
      <c r="A502" s="50" t="inlineStr">
        <is>
          <t>Matt Powierski</t>
        </is>
      </c>
      <c r="B502" s="50" t="inlineStr">
        <is>
          <t>Qualifier</t>
        </is>
      </c>
      <c r="C502" s="50" t="inlineStr">
        <is>
          <t>Constellation Brands</t>
        </is>
      </c>
      <c r="D502" s="50" t="inlineStr">
        <is>
          <t>Corona Extra</t>
        </is>
      </c>
      <c r="E502" s="46" t="n">
        <v>20298</v>
      </c>
      <c r="F502" s="46" t="n">
        <v>19724</v>
      </c>
      <c r="G502" s="48" t="n">
        <v>659566.35</v>
      </c>
      <c r="H502" s="48" t="n">
        <v>643161.4</v>
      </c>
      <c r="I502" s="48" t="n">
        <v>161229.36</v>
      </c>
      <c r="J502" s="48" t="n">
        <v>156870.84</v>
      </c>
    </row>
    <row r="503">
      <c r="A503" s="50" t="inlineStr">
        <is>
          <t>Matt Powierski</t>
        </is>
      </c>
      <c r="B503" s="50" t="inlineStr">
        <is>
          <t>Qualifier</t>
        </is>
      </c>
      <c r="C503" s="50" t="inlineStr">
        <is>
          <t>Constellation Brands</t>
        </is>
      </c>
      <c r="D503" s="50" t="inlineStr">
        <is>
          <t>Modelo Especial</t>
        </is>
      </c>
      <c r="E503" s="46" t="n">
        <v>16693</v>
      </c>
      <c r="F503" s="46" t="n">
        <v>16417</v>
      </c>
      <c r="G503" s="48" t="n">
        <v>514360.15</v>
      </c>
      <c r="H503" s="48" t="n">
        <v>505572.55</v>
      </c>
      <c r="I503" s="48" t="n">
        <v>120468.15</v>
      </c>
      <c r="J503" s="48" t="n">
        <v>118011.34</v>
      </c>
    </row>
    <row r="504">
      <c r="A504" s="50" t="inlineStr">
        <is>
          <t>Matt Powierski</t>
        </is>
      </c>
      <c r="B504" s="50" t="inlineStr">
        <is>
          <t>Qualifier</t>
        </is>
      </c>
      <c r="C504" s="50" t="inlineStr">
        <is>
          <t>Boston Beer Company</t>
        </is>
      </c>
      <c r="D504" s="50" t="inlineStr">
        <is>
          <t>Truly</t>
        </is>
      </c>
      <c r="E504" s="46" t="n">
        <v>481</v>
      </c>
      <c r="F504" s="46" t="n">
        <v>433</v>
      </c>
      <c r="G504" s="48" t="n">
        <v>14305.35</v>
      </c>
      <c r="H504" s="48" t="n">
        <v>12761.5</v>
      </c>
      <c r="I504" s="48" t="n">
        <v>3420.38</v>
      </c>
      <c r="J504" s="48" t="n">
        <v>2956.99</v>
      </c>
    </row>
    <row r="505">
      <c r="A505" s="50" t="inlineStr">
        <is>
          <t>Matt Powierski</t>
        </is>
      </c>
      <c r="B505" s="50" t="inlineStr">
        <is>
          <t>Qualifier</t>
        </is>
      </c>
      <c r="C505" s="50" t="inlineStr">
        <is>
          <t>Boston Beer Company</t>
        </is>
      </c>
      <c r="D505" s="50" t="inlineStr">
        <is>
          <t>Twisted Tea</t>
        </is>
      </c>
      <c r="E505" s="46" t="n">
        <v>2033</v>
      </c>
      <c r="F505" s="46" t="n">
        <v>2014</v>
      </c>
      <c r="G505" s="48" t="n">
        <v>59555.9</v>
      </c>
      <c r="H505" s="48" t="n">
        <v>59483.25</v>
      </c>
      <c r="I505" s="48" t="n">
        <v>15613.21</v>
      </c>
      <c r="J505" s="48" t="n">
        <v>15238.79</v>
      </c>
    </row>
    <row r="506">
      <c r="A506" s="50" t="inlineStr">
        <is>
          <t>Matt Powierski</t>
        </is>
      </c>
      <c r="B506" s="50" t="inlineStr">
        <is>
          <t>Qualifier</t>
        </is>
      </c>
      <c r="C506" s="50" t="inlineStr">
        <is>
          <t>Mark Anthony</t>
        </is>
      </c>
      <c r="D506" s="50" t="inlineStr">
        <is>
          <t>White Claw</t>
        </is>
      </c>
      <c r="E506" s="46" t="n">
        <v>5490</v>
      </c>
      <c r="F506" s="46" t="n">
        <v>5226</v>
      </c>
      <c r="G506" s="48" t="n">
        <v>177669</v>
      </c>
      <c r="H506" s="48" t="n">
        <v>176086.25</v>
      </c>
      <c r="I506" s="48" t="n">
        <v>39119.88</v>
      </c>
      <c r="J506" s="48" t="n">
        <v>38978.28</v>
      </c>
    </row>
    <row r="507">
      <c r="A507" s="50" t="inlineStr">
        <is>
          <t>Matt Powierski</t>
        </is>
      </c>
      <c r="B507" s="50" t="inlineStr">
        <is>
          <t>Qualifier</t>
        </is>
      </c>
      <c r="C507" s="50" t="inlineStr">
        <is>
          <t>DG Yuengling Inc</t>
        </is>
      </c>
      <c r="D507" s="50" t="inlineStr">
        <is>
          <t>Yuengling Lager</t>
        </is>
      </c>
      <c r="E507" s="46" t="n">
        <v>1612</v>
      </c>
      <c r="F507" s="46" t="n">
        <v>1670</v>
      </c>
      <c r="G507" s="48" t="n">
        <v>35567.4</v>
      </c>
      <c r="H507" s="48" t="n">
        <v>36494.3</v>
      </c>
      <c r="I507" s="48" t="n">
        <v>10167.59</v>
      </c>
      <c r="J507" s="48" t="n">
        <v>10356.06</v>
      </c>
    </row>
    <row r="508">
      <c r="A508" s="50" t="inlineStr">
        <is>
          <t>Michael Harboy</t>
        </is>
      </c>
      <c r="B508" s="50" t="inlineStr">
        <is>
          <t>Amplify</t>
        </is>
      </c>
      <c r="C508" s="50" t="inlineStr">
        <is>
          <t>Cape May</t>
        </is>
      </c>
      <c r="D508" s="50" t="inlineStr">
        <is>
          <t>Cape May</t>
        </is>
      </c>
      <c r="E508" s="46" t="n">
        <v>103</v>
      </c>
      <c r="F508" s="46" t="n">
        <v>122</v>
      </c>
      <c r="G508" s="48" t="n">
        <v>4169.5</v>
      </c>
      <c r="H508" s="48" t="n">
        <v>4938.4</v>
      </c>
      <c r="I508" s="48" t="n">
        <v>1229.7</v>
      </c>
      <c r="J508" s="48" t="n">
        <v>1433.7</v>
      </c>
    </row>
    <row r="509">
      <c r="A509" s="50" t="inlineStr">
        <is>
          <t>Michael Harboy</t>
        </is>
      </c>
      <c r="B509" s="50" t="inlineStr">
        <is>
          <t>Amplify</t>
        </is>
      </c>
      <c r="C509" s="50" t="inlineStr">
        <is>
          <t>Mark Anthony</t>
        </is>
      </c>
      <c r="D509" s="50" t="inlineStr">
        <is>
          <t>Cayman Jack</t>
        </is>
      </c>
      <c r="E509" s="46" t="n">
        <v>64</v>
      </c>
      <c r="F509" s="46" t="n">
        <v>77</v>
      </c>
      <c r="G509" s="48" t="n">
        <v>2068.25</v>
      </c>
      <c r="H509" s="48" t="n">
        <v>2508.25</v>
      </c>
      <c r="I509" s="48" t="n">
        <v>544.9299999999999</v>
      </c>
      <c r="J509" s="48" t="n">
        <v>592.1799999999999</v>
      </c>
    </row>
    <row r="510">
      <c r="A510" s="50" t="inlineStr">
        <is>
          <t>Michael Harboy</t>
        </is>
      </c>
      <c r="B510" s="50" t="inlineStr">
        <is>
          <t>Amplify</t>
        </is>
      </c>
      <c r="C510" s="50" t="inlineStr">
        <is>
          <t>Mark Anthony</t>
        </is>
      </c>
      <c r="D510" s="50" t="inlineStr">
        <is>
          <t>Mike's Harder</t>
        </is>
      </c>
      <c r="E510" s="46" t="n">
        <v>51</v>
      </c>
      <c r="F510" s="46" t="n">
        <v>38</v>
      </c>
      <c r="G510" s="48" t="n">
        <v>1421.5</v>
      </c>
      <c r="H510" s="48" t="n">
        <v>1144</v>
      </c>
      <c r="I510" s="48" t="n">
        <v>309.86</v>
      </c>
      <c r="J510" s="48" t="n">
        <v>252.12</v>
      </c>
    </row>
    <row r="511">
      <c r="A511" s="50" t="inlineStr">
        <is>
          <t>Michael Harboy</t>
        </is>
      </c>
      <c r="B511" s="50" t="inlineStr">
        <is>
          <t>Amplify</t>
        </is>
      </c>
      <c r="C511" s="50" t="inlineStr">
        <is>
          <t>MolsonCoors Beverage Company</t>
        </is>
      </c>
      <c r="D511" s="50" t="inlineStr">
        <is>
          <t>Coors</t>
        </is>
      </c>
      <c r="E511" s="46" t="n">
        <v>419</v>
      </c>
      <c r="F511" s="46" t="n">
        <v>549</v>
      </c>
      <c r="G511" s="48" t="n">
        <v>9530</v>
      </c>
      <c r="H511" s="48" t="n">
        <v>12139.3</v>
      </c>
      <c r="I511" s="48" t="n">
        <v>2620.42</v>
      </c>
      <c r="J511" s="48" t="n">
        <v>3201.57</v>
      </c>
    </row>
    <row r="512">
      <c r="A512" s="50" t="inlineStr">
        <is>
          <t>Michael Harboy</t>
        </is>
      </c>
      <c r="B512" s="50" t="inlineStr">
        <is>
          <t>Amplify</t>
        </is>
      </c>
      <c r="C512" s="50" t="inlineStr">
        <is>
          <t>MolsonCoors Beverage Company</t>
        </is>
      </c>
      <c r="D512" s="50" t="inlineStr">
        <is>
          <t>Fever Tree</t>
        </is>
      </c>
      <c r="E512" s="46" t="n">
        <v>5</v>
      </c>
      <c r="F512" s="46" t="n">
        <v>14</v>
      </c>
      <c r="G512" s="48" t="n">
        <v>207.5</v>
      </c>
      <c r="H512" s="48" t="n">
        <v>622</v>
      </c>
      <c r="I512" s="48" t="n">
        <v>68.36</v>
      </c>
      <c r="J512" s="48" t="n">
        <v>171.32</v>
      </c>
    </row>
    <row r="513">
      <c r="A513" s="50" t="inlineStr">
        <is>
          <t>Michael Harboy</t>
        </is>
      </c>
      <c r="B513" s="50" t="inlineStr">
        <is>
          <t>Amplify</t>
        </is>
      </c>
      <c r="C513" s="50" t="inlineStr">
        <is>
          <t>MolsonCoors Beverage Company</t>
        </is>
      </c>
      <c r="D513" s="50" t="inlineStr">
        <is>
          <t>Peroni</t>
        </is>
      </c>
      <c r="E513" s="46" t="n">
        <v>220</v>
      </c>
      <c r="F513" s="46" t="n">
        <v>255</v>
      </c>
      <c r="G513" s="48" t="n">
        <v>7587.55</v>
      </c>
      <c r="H513" s="48" t="n">
        <v>8490.200000000001</v>
      </c>
      <c r="I513" s="48" t="n">
        <v>1559.43</v>
      </c>
      <c r="J513" s="48" t="n">
        <v>1568.04</v>
      </c>
    </row>
    <row r="514">
      <c r="A514" s="50" t="inlineStr">
        <is>
          <t>Michael Harboy</t>
        </is>
      </c>
      <c r="B514" s="50" t="inlineStr">
        <is>
          <t>Amplify</t>
        </is>
      </c>
      <c r="C514" s="50" t="inlineStr">
        <is>
          <t>Boston Beer Company</t>
        </is>
      </c>
      <c r="D514" s="50" t="inlineStr">
        <is>
          <t>Dogfish Head Beer</t>
        </is>
      </c>
      <c r="E514" s="46" t="n">
        <v>108</v>
      </c>
      <c r="F514" s="46" t="n">
        <v>172</v>
      </c>
      <c r="G514" s="48" t="n">
        <v>3892.9</v>
      </c>
      <c r="H514" s="48" t="n">
        <v>6013.7</v>
      </c>
      <c r="I514" s="48" t="n">
        <v>982.1</v>
      </c>
      <c r="J514" s="48" t="n">
        <v>1459.48</v>
      </c>
    </row>
    <row r="515">
      <c r="A515" s="50" t="inlineStr">
        <is>
          <t>Michael Harboy</t>
        </is>
      </c>
      <c r="B515" s="50" t="inlineStr">
        <is>
          <t>Amplify</t>
        </is>
      </c>
      <c r="C515" s="50" t="inlineStr">
        <is>
          <t>Boston Beer Company</t>
        </is>
      </c>
      <c r="D515" s="50" t="inlineStr">
        <is>
          <t>Dogfish Head Spirits</t>
        </is>
      </c>
      <c r="E515" s="46" t="n">
        <v>55</v>
      </c>
      <c r="F515" s="46" t="n">
        <v>28</v>
      </c>
      <c r="G515" s="48" t="n">
        <v>2917</v>
      </c>
      <c r="H515" s="48" t="n">
        <v>1516</v>
      </c>
      <c r="I515" s="48" t="n">
        <v>1125.15</v>
      </c>
      <c r="J515" s="48" t="n">
        <v>539.34</v>
      </c>
    </row>
    <row r="516">
      <c r="A516" s="50" t="inlineStr">
        <is>
          <t>Michael Harboy</t>
        </is>
      </c>
      <c r="B516" s="50" t="inlineStr">
        <is>
          <t>Amplify</t>
        </is>
      </c>
      <c r="C516" s="50" t="inlineStr">
        <is>
          <t>Heineken USA</t>
        </is>
      </c>
      <c r="D516" s="50" t="inlineStr">
        <is>
          <t>Heineken 0.0</t>
        </is>
      </c>
      <c r="E516" s="46" t="n">
        <v>90</v>
      </c>
      <c r="F516" s="46" t="n">
        <v>66</v>
      </c>
      <c r="G516" s="48" t="n">
        <v>2999.65</v>
      </c>
      <c r="H516" s="48" t="n">
        <v>2224.85</v>
      </c>
      <c r="I516" s="48" t="n">
        <v>780.5700000000001</v>
      </c>
      <c r="J516" s="48" t="n">
        <v>584.84</v>
      </c>
    </row>
    <row r="517">
      <c r="A517" s="50" t="inlineStr">
        <is>
          <t>Michael Harboy</t>
        </is>
      </c>
      <c r="B517" s="50" t="inlineStr">
        <is>
          <t>Amplify</t>
        </is>
      </c>
      <c r="C517" s="50" t="inlineStr">
        <is>
          <t>Heineken USA</t>
        </is>
      </c>
      <c r="D517" s="50" t="inlineStr">
        <is>
          <t>Heineken Light</t>
        </is>
      </c>
      <c r="E517" s="46" t="n">
        <v>44</v>
      </c>
      <c r="F517" s="46" t="n">
        <v>53</v>
      </c>
      <c r="G517" s="48" t="n">
        <v>1385.3</v>
      </c>
      <c r="H517" s="48" t="n">
        <v>1657.95</v>
      </c>
      <c r="I517" s="48" t="n">
        <v>338.56</v>
      </c>
      <c r="J517" s="48" t="n">
        <v>397.39</v>
      </c>
    </row>
    <row r="518">
      <c r="A518" s="50" t="inlineStr">
        <is>
          <t>Michael Harboy</t>
        </is>
      </c>
      <c r="B518" s="50" t="inlineStr">
        <is>
          <t>Amplify</t>
        </is>
      </c>
      <c r="C518" s="50" t="inlineStr">
        <is>
          <t>Constellation Brands</t>
        </is>
      </c>
      <c r="D518" s="50" t="inlineStr">
        <is>
          <t>Corona Premier</t>
        </is>
      </c>
      <c r="E518" s="46" t="n">
        <v>165</v>
      </c>
      <c r="F518" s="46" t="n">
        <v>162</v>
      </c>
      <c r="G518" s="48" t="n">
        <v>5155.4</v>
      </c>
      <c r="H518" s="48" t="n">
        <v>4492.7</v>
      </c>
      <c r="I518" s="48" t="n">
        <v>1090.2</v>
      </c>
      <c r="J518" s="48" t="n">
        <v>1053.05</v>
      </c>
    </row>
    <row r="519">
      <c r="A519" s="50" t="inlineStr">
        <is>
          <t>Michael Harboy</t>
        </is>
      </c>
      <c r="B519" s="50" t="inlineStr">
        <is>
          <t>Amplify</t>
        </is>
      </c>
      <c r="C519" s="50" t="inlineStr">
        <is>
          <t>Constellation Brands</t>
        </is>
      </c>
      <c r="D519" s="50" t="inlineStr">
        <is>
          <t>Modelo Chelada</t>
        </is>
      </c>
      <c r="E519" s="46" t="n">
        <v>220</v>
      </c>
      <c r="F519" s="46" t="n">
        <v>285</v>
      </c>
      <c r="G519" s="48" t="n">
        <v>6860</v>
      </c>
      <c r="H519" s="48" t="n">
        <v>8590.4</v>
      </c>
      <c r="I519" s="48" t="n">
        <v>1831.77</v>
      </c>
      <c r="J519" s="48" t="n">
        <v>2179.21</v>
      </c>
    </row>
    <row r="520">
      <c r="A520" s="50" t="inlineStr">
        <is>
          <t>Michael Harboy</t>
        </is>
      </c>
      <c r="B520" s="50" t="inlineStr">
        <is>
          <t>Amplify</t>
        </is>
      </c>
      <c r="C520" s="50" t="inlineStr">
        <is>
          <t>Constellation Brands</t>
        </is>
      </c>
      <c r="D520" s="50" t="inlineStr">
        <is>
          <t>Pacifico</t>
        </is>
      </c>
      <c r="E520" s="46" t="n">
        <v>59</v>
      </c>
      <c r="F520" s="46" t="n">
        <v>82</v>
      </c>
      <c r="G520" s="48" t="n">
        <v>1802.25</v>
      </c>
      <c r="H520" s="48" t="n">
        <v>2490.8</v>
      </c>
      <c r="I520" s="48" t="n">
        <v>407.29</v>
      </c>
      <c r="J520" s="48" t="n">
        <v>566.91</v>
      </c>
    </row>
    <row r="521">
      <c r="A521" s="50" t="inlineStr">
        <is>
          <t>Michael Harboy</t>
        </is>
      </c>
      <c r="B521" s="50" t="inlineStr">
        <is>
          <t>Amplify</t>
        </is>
      </c>
      <c r="C521" s="50" t="inlineStr">
        <is>
          <t>Constellation Brands</t>
        </is>
      </c>
      <c r="D521" s="50" t="inlineStr">
        <is>
          <t>Victoria</t>
        </is>
      </c>
      <c r="E521" s="46" t="n">
        <v>220</v>
      </c>
      <c r="F521" s="46" t="n">
        <v>189</v>
      </c>
      <c r="G521" s="48" t="n">
        <v>6647.35</v>
      </c>
      <c r="H521" s="48" t="n">
        <v>5613.25</v>
      </c>
      <c r="I521" s="48" t="n">
        <v>1538.82</v>
      </c>
      <c r="J521" s="48" t="n">
        <v>1332.44</v>
      </c>
    </row>
    <row r="522">
      <c r="A522" s="50" t="inlineStr">
        <is>
          <t>Michael Harboy</t>
        </is>
      </c>
      <c r="B522" s="50" t="inlineStr">
        <is>
          <t>Amplify</t>
        </is>
      </c>
      <c r="C522" s="50" t="inlineStr">
        <is>
          <t>Sapporo</t>
        </is>
      </c>
      <c r="D522" s="50" t="inlineStr">
        <is>
          <t>Sapporo</t>
        </is>
      </c>
      <c r="E522" s="46" t="n">
        <v>718</v>
      </c>
      <c r="F522" s="46" t="n">
        <v>828</v>
      </c>
      <c r="G522" s="48" t="n">
        <v>20399.75</v>
      </c>
      <c r="H522" s="48" t="n">
        <v>23880.25</v>
      </c>
      <c r="I522" s="48" t="n">
        <v>5002.03</v>
      </c>
      <c r="J522" s="48" t="n">
        <v>5921.07</v>
      </c>
    </row>
    <row r="523">
      <c r="A523" s="50" t="inlineStr">
        <is>
          <t>Michael Harboy</t>
        </is>
      </c>
      <c r="B523" s="50" t="inlineStr">
        <is>
          <t>Amplify</t>
        </is>
      </c>
      <c r="C523" s="50" t="inlineStr">
        <is>
          <t>New Belgium Brewing Company</t>
        </is>
      </c>
      <c r="D523" s="50" t="inlineStr">
        <is>
          <t>Fat Tire Family</t>
        </is>
      </c>
      <c r="E523" s="46" t="n">
        <v>10</v>
      </c>
      <c r="F523" s="46" t="n">
        <v>11</v>
      </c>
      <c r="G523" s="48" t="n">
        <v>333.75</v>
      </c>
      <c r="H523" s="48" t="n">
        <v>380.25</v>
      </c>
      <c r="I523" s="48" t="n">
        <v>73.75</v>
      </c>
      <c r="J523" s="48" t="n">
        <v>89.25</v>
      </c>
    </row>
    <row r="524">
      <c r="A524" s="50" t="inlineStr">
        <is>
          <t>Michael Harboy</t>
        </is>
      </c>
      <c r="B524" s="50" t="inlineStr">
        <is>
          <t>Amplify</t>
        </is>
      </c>
      <c r="C524" s="50" t="inlineStr">
        <is>
          <t>New Belgium Brewing Company</t>
        </is>
      </c>
      <c r="D524" s="50" t="inlineStr">
        <is>
          <t>Kirin Ichiban</t>
        </is>
      </c>
      <c r="E524" s="46" t="n">
        <v>10</v>
      </c>
      <c r="F524" s="46" t="n">
        <v>5</v>
      </c>
      <c r="G524" s="48" t="n">
        <v>315</v>
      </c>
      <c r="H524" s="48" t="n">
        <v>157.5</v>
      </c>
      <c r="I524" s="48" t="n">
        <v>68.65000000000001</v>
      </c>
      <c r="J524" s="48" t="n">
        <v>36.6</v>
      </c>
    </row>
    <row r="525">
      <c r="A525" s="50" t="inlineStr">
        <is>
          <t>Michael Harboy</t>
        </is>
      </c>
      <c r="B525" s="50" t="inlineStr">
        <is>
          <t>Amplify</t>
        </is>
      </c>
      <c r="C525" s="50" t="inlineStr">
        <is>
          <t>New Belgium Brewing Company</t>
        </is>
      </c>
      <c r="D525" s="50" t="inlineStr">
        <is>
          <t>Voodoo Family</t>
        </is>
      </c>
      <c r="E525" s="46" t="n">
        <v>283</v>
      </c>
      <c r="F525" s="46" t="n">
        <v>287</v>
      </c>
      <c r="G525" s="48" t="n">
        <v>10100.3</v>
      </c>
      <c r="H525" s="48" t="n">
        <v>10329.6</v>
      </c>
      <c r="I525" s="48" t="n">
        <v>2471.28</v>
      </c>
      <c r="J525" s="48" t="n">
        <v>2573.85</v>
      </c>
    </row>
    <row r="526">
      <c r="A526" s="50" t="inlineStr">
        <is>
          <t>Michael Harboy</t>
        </is>
      </c>
      <c r="B526" s="50" t="inlineStr">
        <is>
          <t>Amplify</t>
        </is>
      </c>
      <c r="C526" s="50" t="inlineStr">
        <is>
          <t>DG Yuengling Inc</t>
        </is>
      </c>
      <c r="D526" s="50" t="inlineStr">
        <is>
          <t>Yuengling Flight</t>
        </is>
      </c>
      <c r="E526" s="46" t="n">
        <v>41</v>
      </c>
      <c r="F526" s="46" t="n">
        <v>50</v>
      </c>
      <c r="G526" s="48" t="n">
        <v>1092.8</v>
      </c>
      <c r="H526" s="48" t="n">
        <v>1239.4</v>
      </c>
      <c r="I526" s="48" t="n">
        <v>333.84</v>
      </c>
      <c r="J526" s="48" t="n">
        <v>378.51</v>
      </c>
    </row>
    <row r="527">
      <c r="A527" s="50" t="inlineStr">
        <is>
          <t>Michael Harboy</t>
        </is>
      </c>
      <c r="B527" s="50" t="inlineStr">
        <is>
          <t>Amplify</t>
        </is>
      </c>
      <c r="C527" s="50" t="inlineStr">
        <is>
          <t>DG Yuengling Inc</t>
        </is>
      </c>
      <c r="D527" s="50" t="inlineStr">
        <is>
          <t>Yuengling Light Lager</t>
        </is>
      </c>
      <c r="E527" s="46" t="n">
        <v>48</v>
      </c>
      <c r="F527" s="46" t="n">
        <v>23</v>
      </c>
      <c r="G527" s="48" t="n">
        <v>1085.5</v>
      </c>
      <c r="H527" s="48" t="n">
        <v>554.4</v>
      </c>
      <c r="I527" s="48" t="n">
        <v>279.18</v>
      </c>
      <c r="J527" s="48" t="n">
        <v>123.96</v>
      </c>
    </row>
    <row r="528">
      <c r="A528" s="50" t="inlineStr">
        <is>
          <t>Michael Harboy</t>
        </is>
      </c>
      <c r="B528" s="50" t="inlineStr">
        <is>
          <t>Qualifier</t>
        </is>
      </c>
      <c r="C528" s="50" t="inlineStr">
        <is>
          <t>MolsonCoors Beverage Company</t>
        </is>
      </c>
      <c r="D528" s="50" t="inlineStr">
        <is>
          <t>Blue Moon</t>
        </is>
      </c>
      <c r="E528" s="46" t="n">
        <v>308</v>
      </c>
      <c r="F528" s="46" t="n">
        <v>375</v>
      </c>
      <c r="G528" s="48" t="n">
        <v>9839.6</v>
      </c>
      <c r="H528" s="48" t="n">
        <v>12006.05</v>
      </c>
      <c r="I528" s="48" t="n">
        <v>2130.61</v>
      </c>
      <c r="J528" s="48" t="n">
        <v>2691.45</v>
      </c>
    </row>
    <row r="529">
      <c r="A529" s="50" t="inlineStr">
        <is>
          <t>Michael Harboy</t>
        </is>
      </c>
      <c r="B529" s="50" t="inlineStr">
        <is>
          <t>Qualifier</t>
        </is>
      </c>
      <c r="C529" s="50" t="inlineStr">
        <is>
          <t>MolsonCoors Beverage Company</t>
        </is>
      </c>
      <c r="D529" s="50" t="inlineStr">
        <is>
          <t>Coors Light</t>
        </is>
      </c>
      <c r="E529" s="46" t="n">
        <v>2670</v>
      </c>
      <c r="F529" s="46" t="n">
        <v>2568</v>
      </c>
      <c r="G529" s="48" t="n">
        <v>57949.35</v>
      </c>
      <c r="H529" s="48" t="n">
        <v>56507.8</v>
      </c>
      <c r="I529" s="48" t="n">
        <v>15540.84</v>
      </c>
      <c r="J529" s="48" t="n">
        <v>15284.75</v>
      </c>
    </row>
    <row r="530">
      <c r="A530" s="50" t="inlineStr">
        <is>
          <t>Michael Harboy</t>
        </is>
      </c>
      <c r="B530" s="50" t="inlineStr">
        <is>
          <t>Qualifier</t>
        </is>
      </c>
      <c r="C530" s="50" t="inlineStr">
        <is>
          <t>MolsonCoors Beverage Company</t>
        </is>
      </c>
      <c r="D530" s="50" t="inlineStr">
        <is>
          <t>Lite</t>
        </is>
      </c>
      <c r="E530" s="46" t="n">
        <v>2180</v>
      </c>
      <c r="F530" s="46" t="n">
        <v>2646</v>
      </c>
      <c r="G530" s="48" t="n">
        <v>49271.65</v>
      </c>
      <c r="H530" s="48" t="n">
        <v>59041.95</v>
      </c>
      <c r="I530" s="48" t="n">
        <v>12305.54</v>
      </c>
      <c r="J530" s="48" t="n">
        <v>14296.43</v>
      </c>
    </row>
    <row r="531">
      <c r="A531" s="50" t="inlineStr">
        <is>
          <t>Michael Harboy</t>
        </is>
      </c>
      <c r="B531" s="50" t="inlineStr">
        <is>
          <t>Qualifier</t>
        </is>
      </c>
      <c r="C531" s="50" t="inlineStr">
        <is>
          <t>Heineken USA</t>
        </is>
      </c>
      <c r="D531" s="50" t="inlineStr">
        <is>
          <t>Heineken USA</t>
        </is>
      </c>
      <c r="E531" s="46" t="n">
        <v>896</v>
      </c>
      <c r="F531" s="46" t="n">
        <v>895</v>
      </c>
      <c r="G531" s="48" t="n">
        <v>27995.75</v>
      </c>
      <c r="H531" s="48" t="n">
        <v>27648.55</v>
      </c>
      <c r="I531" s="48" t="n">
        <v>6715.24</v>
      </c>
      <c r="J531" s="48" t="n">
        <v>6455.34</v>
      </c>
    </row>
    <row r="532">
      <c r="A532" s="50" t="inlineStr">
        <is>
          <t>Michael Harboy</t>
        </is>
      </c>
      <c r="B532" s="50" t="inlineStr">
        <is>
          <t>Qualifier</t>
        </is>
      </c>
      <c r="C532" s="50" t="inlineStr">
        <is>
          <t>Constellation Brands</t>
        </is>
      </c>
      <c r="D532" s="50" t="inlineStr">
        <is>
          <t>Corona Extra</t>
        </is>
      </c>
      <c r="E532" s="46" t="n">
        <v>1948</v>
      </c>
      <c r="F532" s="46" t="n">
        <v>1900</v>
      </c>
      <c r="G532" s="48" t="n">
        <v>61795.55</v>
      </c>
      <c r="H532" s="48" t="n">
        <v>60179.75</v>
      </c>
      <c r="I532" s="48" t="n">
        <v>14720.34</v>
      </c>
      <c r="J532" s="48" t="n">
        <v>14261.16</v>
      </c>
    </row>
    <row r="533">
      <c r="A533" s="50" t="inlineStr">
        <is>
          <t>Michael Harboy</t>
        </is>
      </c>
      <c r="B533" s="50" t="inlineStr">
        <is>
          <t>Qualifier</t>
        </is>
      </c>
      <c r="C533" s="50" t="inlineStr">
        <is>
          <t>Constellation Brands</t>
        </is>
      </c>
      <c r="D533" s="50" t="inlineStr">
        <is>
          <t>Modelo Especial</t>
        </is>
      </c>
      <c r="E533" s="46" t="n">
        <v>1996</v>
      </c>
      <c r="F533" s="46" t="n">
        <v>2141</v>
      </c>
      <c r="G533" s="48" t="n">
        <v>60283.85</v>
      </c>
      <c r="H533" s="48" t="n">
        <v>63902.4</v>
      </c>
      <c r="I533" s="48" t="n">
        <v>14019.96</v>
      </c>
      <c r="J533" s="48" t="n">
        <v>14305.62</v>
      </c>
    </row>
    <row r="534">
      <c r="A534" s="50" t="inlineStr">
        <is>
          <t>Michael Harboy</t>
        </is>
      </c>
      <c r="B534" s="50" t="inlineStr">
        <is>
          <t>Qualifier</t>
        </is>
      </c>
      <c r="C534" s="50" t="inlineStr">
        <is>
          <t>Boston Beer Company</t>
        </is>
      </c>
      <c r="D534" s="50" t="inlineStr">
        <is>
          <t>Truly</t>
        </is>
      </c>
      <c r="E534" s="46" t="n">
        <v>212</v>
      </c>
      <c r="F534" s="46" t="n">
        <v>72</v>
      </c>
      <c r="G534" s="48" t="n">
        <v>5979.6</v>
      </c>
      <c r="H534" s="48" t="n">
        <v>2033.5</v>
      </c>
      <c r="I534" s="48" t="n">
        <v>1216.25</v>
      </c>
      <c r="J534" s="48" t="n">
        <v>437.41</v>
      </c>
    </row>
    <row r="535">
      <c r="A535" s="50" t="inlineStr">
        <is>
          <t>Michael Harboy</t>
        </is>
      </c>
      <c r="B535" s="50" t="inlineStr">
        <is>
          <t>Qualifier</t>
        </is>
      </c>
      <c r="C535" s="50" t="inlineStr">
        <is>
          <t>Boston Beer Company</t>
        </is>
      </c>
      <c r="D535" s="50" t="inlineStr">
        <is>
          <t>Twisted Tea</t>
        </is>
      </c>
      <c r="E535" s="46" t="n">
        <v>662</v>
      </c>
      <c r="F535" s="46" t="n">
        <v>564</v>
      </c>
      <c r="G535" s="48" t="n">
        <v>19050</v>
      </c>
      <c r="H535" s="48" t="n">
        <v>16381.75</v>
      </c>
      <c r="I535" s="48" t="n">
        <v>4835.76</v>
      </c>
      <c r="J535" s="48" t="n">
        <v>4070.44</v>
      </c>
    </row>
    <row r="536">
      <c r="A536" s="50" t="inlineStr">
        <is>
          <t>Michael Harboy</t>
        </is>
      </c>
      <c r="B536" s="50" t="inlineStr">
        <is>
          <t>Qualifier</t>
        </is>
      </c>
      <c r="C536" s="50" t="inlineStr">
        <is>
          <t>Mark Anthony</t>
        </is>
      </c>
      <c r="D536" s="50" t="inlineStr">
        <is>
          <t>White Claw</t>
        </is>
      </c>
      <c r="E536" s="46" t="n">
        <v>2175</v>
      </c>
      <c r="F536" s="46" t="n">
        <v>2018</v>
      </c>
      <c r="G536" s="48" t="n">
        <v>67225.05</v>
      </c>
      <c r="H536" s="48" t="n">
        <v>63355.9</v>
      </c>
      <c r="I536" s="48" t="n">
        <v>13366.51</v>
      </c>
      <c r="J536" s="48" t="n">
        <v>12453.33</v>
      </c>
    </row>
    <row r="537">
      <c r="A537" s="50" t="inlineStr">
        <is>
          <t>Michael Harboy</t>
        </is>
      </c>
      <c r="B537" s="50" t="inlineStr">
        <is>
          <t>Qualifier</t>
        </is>
      </c>
      <c r="C537" s="50" t="inlineStr">
        <is>
          <t>DG Yuengling Inc</t>
        </is>
      </c>
      <c r="D537" s="50" t="inlineStr">
        <is>
          <t>Yuengling Lager</t>
        </is>
      </c>
      <c r="E537" s="46" t="n">
        <v>669</v>
      </c>
      <c r="F537" s="46" t="n">
        <v>560</v>
      </c>
      <c r="G537" s="48" t="n">
        <v>15240.7</v>
      </c>
      <c r="H537" s="48" t="n">
        <v>12534.8</v>
      </c>
      <c r="I537" s="48" t="n">
        <v>4200.89</v>
      </c>
      <c r="J537" s="48" t="n">
        <v>3457.61</v>
      </c>
    </row>
    <row r="538">
      <c r="A538" s="50" t="inlineStr">
        <is>
          <t>Mike Ast</t>
        </is>
      </c>
      <c r="B538" s="50" t="inlineStr">
        <is>
          <t>Amplify</t>
        </is>
      </c>
      <c r="C538" s="50" t="inlineStr">
        <is>
          <t>Cape May</t>
        </is>
      </c>
      <c r="D538" s="50" t="inlineStr">
        <is>
          <t>Cape May</t>
        </is>
      </c>
      <c r="E538" s="46" t="n">
        <v>1190</v>
      </c>
      <c r="F538" s="46" t="n">
        <v>1231</v>
      </c>
      <c r="G538" s="48" t="n">
        <v>48256.2</v>
      </c>
      <c r="H538" s="48" t="n">
        <v>49486.6</v>
      </c>
      <c r="I538" s="48" t="n">
        <v>14349.54</v>
      </c>
      <c r="J538" s="48" t="n">
        <v>14532.14</v>
      </c>
    </row>
    <row r="539">
      <c r="A539" s="50" t="inlineStr">
        <is>
          <t>Mike Ast</t>
        </is>
      </c>
      <c r="B539" s="50" t="inlineStr">
        <is>
          <t>Amplify</t>
        </is>
      </c>
      <c r="C539" s="50" t="inlineStr">
        <is>
          <t>Mark Anthony</t>
        </is>
      </c>
      <c r="D539" s="50" t="inlineStr">
        <is>
          <t>Cayman Jack</t>
        </is>
      </c>
      <c r="E539" s="46" t="n">
        <v>518</v>
      </c>
      <c r="F539" s="46" t="n">
        <v>514</v>
      </c>
      <c r="G539" s="48" t="n">
        <v>16437.5</v>
      </c>
      <c r="H539" s="48" t="n">
        <v>16213.5</v>
      </c>
      <c r="I539" s="48" t="n">
        <v>3900.82</v>
      </c>
      <c r="J539" s="48" t="n">
        <v>3811.02</v>
      </c>
    </row>
    <row r="540">
      <c r="A540" s="50" t="inlineStr">
        <is>
          <t>Mike Ast</t>
        </is>
      </c>
      <c r="B540" s="50" t="inlineStr">
        <is>
          <t>Amplify</t>
        </is>
      </c>
      <c r="C540" s="50" t="inlineStr">
        <is>
          <t>Mark Anthony</t>
        </is>
      </c>
      <c r="D540" s="50" t="inlineStr">
        <is>
          <t>Mike's Harder</t>
        </is>
      </c>
      <c r="E540" s="46" t="n">
        <v>211</v>
      </c>
      <c r="F540" s="46" t="n">
        <v>174</v>
      </c>
      <c r="G540" s="48" t="n">
        <v>5923</v>
      </c>
      <c r="H540" s="48" t="n">
        <v>5176</v>
      </c>
      <c r="I540" s="48" t="n">
        <v>1303.02</v>
      </c>
      <c r="J540" s="48" t="n">
        <v>1120.69</v>
      </c>
    </row>
    <row r="541">
      <c r="A541" s="50" t="inlineStr">
        <is>
          <t>Mike Ast</t>
        </is>
      </c>
      <c r="B541" s="50" t="inlineStr">
        <is>
          <t>Amplify</t>
        </is>
      </c>
      <c r="C541" s="50" t="inlineStr">
        <is>
          <t>Mark Anthony</t>
        </is>
      </c>
      <c r="D541" s="50" t="inlineStr">
        <is>
          <t>Mxd Cocktails</t>
        </is>
      </c>
      <c r="E541" s="46" t="n">
        <v>20</v>
      </c>
      <c r="F541" s="46" t="n">
        <v>32</v>
      </c>
      <c r="G541" s="48" t="n">
        <v>480</v>
      </c>
      <c r="H541" s="48" t="n">
        <v>800</v>
      </c>
      <c r="I541" s="48" t="n">
        <v>90.15000000000001</v>
      </c>
      <c r="J541" s="48" t="n">
        <v>149.41</v>
      </c>
    </row>
    <row r="542">
      <c r="A542" s="50" t="inlineStr">
        <is>
          <t>Mike Ast</t>
        </is>
      </c>
      <c r="B542" s="50" t="inlineStr">
        <is>
          <t>Amplify</t>
        </is>
      </c>
      <c r="C542" s="50" t="inlineStr">
        <is>
          <t>MolsonCoors Beverage Company</t>
        </is>
      </c>
      <c r="D542" s="50" t="inlineStr">
        <is>
          <t>Coors</t>
        </is>
      </c>
      <c r="E542" s="46" t="n">
        <v>2704</v>
      </c>
      <c r="F542" s="46" t="n">
        <v>2333</v>
      </c>
      <c r="G542" s="48" t="n">
        <v>60950.25</v>
      </c>
      <c r="H542" s="48" t="n">
        <v>52285.05</v>
      </c>
      <c r="I542" s="48" t="n">
        <v>16581.79</v>
      </c>
      <c r="J542" s="48" t="n">
        <v>14002.96</v>
      </c>
    </row>
    <row r="543">
      <c r="A543" s="50" t="inlineStr">
        <is>
          <t>Mike Ast</t>
        </is>
      </c>
      <c r="B543" s="50" t="inlineStr">
        <is>
          <t>Amplify</t>
        </is>
      </c>
      <c r="C543" s="50" t="inlineStr">
        <is>
          <t>MolsonCoors Beverage Company</t>
        </is>
      </c>
      <c r="D543" s="50" t="inlineStr">
        <is>
          <t>Fever Tree</t>
        </is>
      </c>
      <c r="E543" s="46" t="n">
        <v>13</v>
      </c>
      <c r="F543" s="46" t="n">
        <v>236</v>
      </c>
      <c r="G543" s="48" t="n">
        <v>564</v>
      </c>
      <c r="H543" s="48" t="n">
        <v>10702.12</v>
      </c>
      <c r="I543" s="48" t="n">
        <v>194.27</v>
      </c>
      <c r="J543" s="48" t="n">
        <v>3383.63</v>
      </c>
    </row>
    <row r="544">
      <c r="A544" s="50" t="inlineStr">
        <is>
          <t>Mike Ast</t>
        </is>
      </c>
      <c r="B544" s="50" t="inlineStr">
        <is>
          <t>Amplify</t>
        </is>
      </c>
      <c r="C544" s="50" t="inlineStr">
        <is>
          <t>MolsonCoors Beverage Company</t>
        </is>
      </c>
      <c r="D544" s="50" t="inlineStr">
        <is>
          <t>Peroni</t>
        </is>
      </c>
      <c r="E544" s="46" t="n">
        <v>1368</v>
      </c>
      <c r="F544" s="46" t="n">
        <v>1539</v>
      </c>
      <c r="G544" s="48" t="n">
        <v>47090.55</v>
      </c>
      <c r="H544" s="48" t="n">
        <v>51922.95</v>
      </c>
      <c r="I544" s="48" t="n">
        <v>9949.35</v>
      </c>
      <c r="J544" s="48" t="n">
        <v>10297.82</v>
      </c>
    </row>
    <row r="545">
      <c r="A545" s="50" t="inlineStr">
        <is>
          <t>Mike Ast</t>
        </is>
      </c>
      <c r="B545" s="50" t="inlineStr">
        <is>
          <t>Amplify</t>
        </is>
      </c>
      <c r="C545" s="50" t="inlineStr">
        <is>
          <t>Boston Beer Company</t>
        </is>
      </c>
      <c r="D545" s="50" t="inlineStr">
        <is>
          <t>Dogfish Head Beer</t>
        </is>
      </c>
      <c r="E545" s="46" t="n">
        <v>1264</v>
      </c>
      <c r="F545" s="46" t="n">
        <v>1297</v>
      </c>
      <c r="G545" s="48" t="n">
        <v>43559.5</v>
      </c>
      <c r="H545" s="48" t="n">
        <v>45775.6</v>
      </c>
      <c r="I545" s="48" t="n">
        <v>10933.63</v>
      </c>
      <c r="J545" s="48" t="n">
        <v>11234.3</v>
      </c>
    </row>
    <row r="546">
      <c r="A546" s="50" t="inlineStr">
        <is>
          <t>Mike Ast</t>
        </is>
      </c>
      <c r="B546" s="50" t="inlineStr">
        <is>
          <t>Amplify</t>
        </is>
      </c>
      <c r="C546" s="50" t="inlineStr">
        <is>
          <t>Boston Beer Company</t>
        </is>
      </c>
      <c r="D546" s="50" t="inlineStr">
        <is>
          <t>Dogfish Head Spirits</t>
        </is>
      </c>
      <c r="E546" s="46" t="n">
        <v>216</v>
      </c>
      <c r="F546" s="46" t="n">
        <v>157</v>
      </c>
      <c r="G546" s="48" t="n">
        <v>11333.29</v>
      </c>
      <c r="H546" s="48" t="n">
        <v>7970.34</v>
      </c>
      <c r="I546" s="48" t="n">
        <v>4330.64</v>
      </c>
      <c r="J546" s="48" t="n">
        <v>2679.61</v>
      </c>
    </row>
    <row r="547">
      <c r="A547" s="50" t="inlineStr">
        <is>
          <t>Mike Ast</t>
        </is>
      </c>
      <c r="B547" s="50" t="inlineStr">
        <is>
          <t>Amplify</t>
        </is>
      </c>
      <c r="C547" s="50" t="inlineStr">
        <is>
          <t>Heineken USA</t>
        </is>
      </c>
      <c r="D547" s="50" t="inlineStr">
        <is>
          <t>Heineken 0.0</t>
        </is>
      </c>
      <c r="E547" s="46" t="n">
        <v>764</v>
      </c>
      <c r="F547" s="46" t="n">
        <v>693</v>
      </c>
      <c r="G547" s="48" t="n">
        <v>25800.6</v>
      </c>
      <c r="H547" s="48" t="n">
        <v>23309.45</v>
      </c>
      <c r="I547" s="48" t="n">
        <v>6807.46</v>
      </c>
      <c r="J547" s="48" t="n">
        <v>6074.26</v>
      </c>
    </row>
    <row r="548">
      <c r="A548" s="50" t="inlineStr">
        <is>
          <t>Mike Ast</t>
        </is>
      </c>
      <c r="B548" s="50" t="inlineStr">
        <is>
          <t>Amplify</t>
        </is>
      </c>
      <c r="C548" s="50" t="inlineStr">
        <is>
          <t>Heineken USA</t>
        </is>
      </c>
      <c r="D548" s="50" t="inlineStr">
        <is>
          <t>Heineken Light</t>
        </is>
      </c>
      <c r="E548" s="46" t="n">
        <v>921</v>
      </c>
      <c r="F548" s="46" t="n">
        <v>701</v>
      </c>
      <c r="G548" s="48" t="n">
        <v>28923.2</v>
      </c>
      <c r="H548" s="48" t="n">
        <v>21896.75</v>
      </c>
      <c r="I548" s="48" t="n">
        <v>7026.37</v>
      </c>
      <c r="J548" s="48" t="n">
        <v>5229.87</v>
      </c>
    </row>
    <row r="549">
      <c r="A549" s="50" t="inlineStr">
        <is>
          <t>Mike Ast</t>
        </is>
      </c>
      <c r="B549" s="50" t="inlineStr">
        <is>
          <t>Amplify</t>
        </is>
      </c>
      <c r="C549" s="50" t="inlineStr">
        <is>
          <t>Constellation Brands</t>
        </is>
      </c>
      <c r="D549" s="50" t="inlineStr">
        <is>
          <t>Corona Premier</t>
        </is>
      </c>
      <c r="E549" s="46" t="n">
        <v>671</v>
      </c>
      <c r="F549" s="46" t="n">
        <v>661</v>
      </c>
      <c r="G549" s="48" t="n">
        <v>21030.2</v>
      </c>
      <c r="H549" s="48" t="n">
        <v>18188.47</v>
      </c>
      <c r="I549" s="48" t="n">
        <v>4652</v>
      </c>
      <c r="J549" s="48" t="n">
        <v>4377.87</v>
      </c>
    </row>
    <row r="550">
      <c r="A550" s="50" t="inlineStr">
        <is>
          <t>Mike Ast</t>
        </is>
      </c>
      <c r="B550" s="50" t="inlineStr">
        <is>
          <t>Amplify</t>
        </is>
      </c>
      <c r="C550" s="50" t="inlineStr">
        <is>
          <t>Constellation Brands</t>
        </is>
      </c>
      <c r="D550" s="50" t="inlineStr">
        <is>
          <t>Modelo Chelada</t>
        </is>
      </c>
      <c r="E550" s="46" t="n">
        <v>616</v>
      </c>
      <c r="F550" s="46" t="n">
        <v>961</v>
      </c>
      <c r="G550" s="48" t="n">
        <v>19178.2</v>
      </c>
      <c r="H550" s="48" t="n">
        <v>29998.9</v>
      </c>
      <c r="I550" s="48" t="n">
        <v>5014.46</v>
      </c>
      <c r="J550" s="48" t="n">
        <v>8001.56</v>
      </c>
    </row>
    <row r="551">
      <c r="A551" s="50" t="inlineStr">
        <is>
          <t>Mike Ast</t>
        </is>
      </c>
      <c r="B551" s="50" t="inlineStr">
        <is>
          <t>Amplify</t>
        </is>
      </c>
      <c r="C551" s="50" t="inlineStr">
        <is>
          <t>Constellation Brands</t>
        </is>
      </c>
      <c r="D551" s="50" t="inlineStr">
        <is>
          <t>Pacifico</t>
        </is>
      </c>
      <c r="E551" s="46" t="n">
        <v>515</v>
      </c>
      <c r="F551" s="46" t="n">
        <v>566</v>
      </c>
      <c r="G551" s="48" t="n">
        <v>15930.85</v>
      </c>
      <c r="H551" s="48" t="n">
        <v>17606.2</v>
      </c>
      <c r="I551" s="48" t="n">
        <v>3721.51</v>
      </c>
      <c r="J551" s="48" t="n">
        <v>4144.26</v>
      </c>
    </row>
    <row r="552">
      <c r="A552" s="50" t="inlineStr">
        <is>
          <t>Mike Ast</t>
        </is>
      </c>
      <c r="B552" s="50" t="inlineStr">
        <is>
          <t>Amplify</t>
        </is>
      </c>
      <c r="C552" s="50" t="inlineStr">
        <is>
          <t>Constellation Brands</t>
        </is>
      </c>
      <c r="D552" s="50" t="inlineStr">
        <is>
          <t>Victoria</t>
        </is>
      </c>
      <c r="E552" s="46" t="n">
        <v>404</v>
      </c>
      <c r="F552" s="46" t="n">
        <v>366</v>
      </c>
      <c r="G552" s="48" t="n">
        <v>12212.65</v>
      </c>
      <c r="H552" s="48" t="n">
        <v>11020.9</v>
      </c>
      <c r="I552" s="48" t="n">
        <v>2941.87</v>
      </c>
      <c r="J552" s="48" t="n">
        <v>2631.47</v>
      </c>
    </row>
    <row r="553">
      <c r="A553" s="50" t="inlineStr">
        <is>
          <t>Mike Ast</t>
        </is>
      </c>
      <c r="B553" s="50" t="inlineStr">
        <is>
          <t>Amplify</t>
        </is>
      </c>
      <c r="C553" s="50" t="inlineStr">
        <is>
          <t>Sapporo</t>
        </is>
      </c>
      <c r="D553" s="50" t="inlineStr">
        <is>
          <t>Sapporo</t>
        </is>
      </c>
      <c r="E553" s="46" t="n">
        <v>581</v>
      </c>
      <c r="F553" s="46" t="n">
        <v>553</v>
      </c>
      <c r="G553" s="48" t="n">
        <v>17247</v>
      </c>
      <c r="H553" s="48" t="n">
        <v>16478.25</v>
      </c>
      <c r="I553" s="48" t="n">
        <v>4473.8</v>
      </c>
      <c r="J553" s="48" t="n">
        <v>4359.17</v>
      </c>
    </row>
    <row r="554">
      <c r="A554" s="50" t="inlineStr">
        <is>
          <t>Mike Ast</t>
        </is>
      </c>
      <c r="B554" s="50" t="inlineStr">
        <is>
          <t>Amplify</t>
        </is>
      </c>
      <c r="C554" s="50" t="inlineStr">
        <is>
          <t>Bell's</t>
        </is>
      </c>
      <c r="D554" s="50" t="inlineStr">
        <is>
          <t>Bell's</t>
        </is>
      </c>
      <c r="E554" s="46" t="n">
        <v>48</v>
      </c>
      <c r="F554" s="46" t="n">
        <v>33</v>
      </c>
      <c r="G554" s="48" t="n">
        <v>1653.25</v>
      </c>
      <c r="H554" s="48" t="n">
        <v>1123.6</v>
      </c>
      <c r="I554" s="48" t="n">
        <v>506.57</v>
      </c>
      <c r="J554" s="48" t="n">
        <v>349.06</v>
      </c>
    </row>
    <row r="555">
      <c r="A555" s="50" t="inlineStr">
        <is>
          <t>Mike Ast</t>
        </is>
      </c>
      <c r="B555" s="50" t="inlineStr">
        <is>
          <t>Amplify</t>
        </is>
      </c>
      <c r="C555" s="50" t="inlineStr">
        <is>
          <t>New Belgium Brewing Company</t>
        </is>
      </c>
      <c r="D555" s="50" t="inlineStr">
        <is>
          <t>Fat Tire Family</t>
        </is>
      </c>
      <c r="E555" s="46" t="n">
        <v>211</v>
      </c>
      <c r="F555" s="46" t="n">
        <v>165</v>
      </c>
      <c r="G555" s="48" t="n">
        <v>7100.25</v>
      </c>
      <c r="H555" s="48" t="n">
        <v>5471.35</v>
      </c>
      <c r="I555" s="48" t="n">
        <v>1633.17</v>
      </c>
      <c r="J555" s="48" t="n">
        <v>1258.65</v>
      </c>
    </row>
    <row r="556">
      <c r="A556" s="50" t="inlineStr">
        <is>
          <t>Mike Ast</t>
        </is>
      </c>
      <c r="B556" s="50" t="inlineStr">
        <is>
          <t>Amplify</t>
        </is>
      </c>
      <c r="C556" s="50" t="inlineStr">
        <is>
          <t>New Belgium Brewing Company</t>
        </is>
      </c>
      <c r="D556" s="50" t="inlineStr">
        <is>
          <t>Kirin Ichiban</t>
        </is>
      </c>
      <c r="E556" s="46" t="n">
        <v>7</v>
      </c>
      <c r="F556" s="46" t="n">
        <v>24</v>
      </c>
      <c r="G556" s="48" t="n">
        <v>229.5</v>
      </c>
      <c r="H556" s="48" t="n">
        <v>723.5</v>
      </c>
      <c r="I556" s="48" t="n">
        <v>55.76</v>
      </c>
      <c r="J556" s="48" t="n">
        <v>191.06</v>
      </c>
    </row>
    <row r="557">
      <c r="A557" s="50" t="inlineStr">
        <is>
          <t>Mike Ast</t>
        </is>
      </c>
      <c r="B557" s="50" t="inlineStr">
        <is>
          <t>Amplify</t>
        </is>
      </c>
      <c r="C557" s="50" t="inlineStr">
        <is>
          <t>New Belgium Brewing Company</t>
        </is>
      </c>
      <c r="D557" s="50" t="inlineStr">
        <is>
          <t>Voodoo Family</t>
        </is>
      </c>
      <c r="E557" s="46" t="n">
        <v>987</v>
      </c>
      <c r="F557" s="46" t="n">
        <v>1011</v>
      </c>
      <c r="G557" s="48" t="n">
        <v>35419.45</v>
      </c>
      <c r="H557" s="48" t="n">
        <v>35978.9</v>
      </c>
      <c r="I557" s="48" t="n">
        <v>8953.17</v>
      </c>
      <c r="J557" s="48" t="n">
        <v>8942.32</v>
      </c>
    </row>
    <row r="558">
      <c r="A558" s="50" t="inlineStr">
        <is>
          <t>Mike Ast</t>
        </is>
      </c>
      <c r="B558" s="50" t="inlineStr">
        <is>
          <t>Amplify</t>
        </is>
      </c>
      <c r="C558" s="50" t="inlineStr">
        <is>
          <t>DG Yuengling Inc</t>
        </is>
      </c>
      <c r="D558" s="50" t="inlineStr">
        <is>
          <t>Yuengling Flight</t>
        </is>
      </c>
      <c r="E558" s="46" t="n">
        <v>121</v>
      </c>
      <c r="F558" s="46" t="n">
        <v>97</v>
      </c>
      <c r="G558" s="48" t="n">
        <v>3068.7</v>
      </c>
      <c r="H558" s="48" t="n">
        <v>2455.55</v>
      </c>
      <c r="I558" s="48" t="n">
        <v>923.46</v>
      </c>
      <c r="J558" s="48" t="n">
        <v>728.53</v>
      </c>
    </row>
    <row r="559">
      <c r="A559" s="50" t="inlineStr">
        <is>
          <t>Mike Ast</t>
        </is>
      </c>
      <c r="B559" s="50" t="inlineStr">
        <is>
          <t>Amplify</t>
        </is>
      </c>
      <c r="C559" s="50" t="inlineStr">
        <is>
          <t>DG Yuengling Inc</t>
        </is>
      </c>
      <c r="D559" s="50" t="inlineStr">
        <is>
          <t>Yuengling Light Lager</t>
        </is>
      </c>
      <c r="E559" s="46" t="n">
        <v>155</v>
      </c>
      <c r="F559" s="46" t="n">
        <v>139</v>
      </c>
      <c r="G559" s="48" t="n">
        <v>3865.2</v>
      </c>
      <c r="H559" s="48" t="n">
        <v>3537.3</v>
      </c>
      <c r="I559" s="48" t="n">
        <v>1136.8</v>
      </c>
      <c r="J559" s="48" t="n">
        <v>1026.03</v>
      </c>
    </row>
    <row r="560">
      <c r="A560" s="50" t="inlineStr">
        <is>
          <t>Mike Ast</t>
        </is>
      </c>
      <c r="B560" s="50" t="inlineStr">
        <is>
          <t>Qualifier</t>
        </is>
      </c>
      <c r="C560" s="50" t="inlineStr">
        <is>
          <t>MolsonCoors Beverage Company</t>
        </is>
      </c>
      <c r="D560" s="50" t="inlineStr">
        <is>
          <t>Blue Moon</t>
        </is>
      </c>
      <c r="E560" s="46" t="n">
        <v>2240</v>
      </c>
      <c r="F560" s="46" t="n">
        <v>1956</v>
      </c>
      <c r="G560" s="48" t="n">
        <v>70240.5</v>
      </c>
      <c r="H560" s="48" t="n">
        <v>63035.9</v>
      </c>
      <c r="I560" s="48" t="n">
        <v>16296.98</v>
      </c>
      <c r="J560" s="48" t="n">
        <v>15338.11</v>
      </c>
    </row>
    <row r="561">
      <c r="A561" s="50" t="inlineStr">
        <is>
          <t>Mike Ast</t>
        </is>
      </c>
      <c r="B561" s="50" t="inlineStr">
        <is>
          <t>Qualifier</t>
        </is>
      </c>
      <c r="C561" s="50" t="inlineStr">
        <is>
          <t>MolsonCoors Beverage Company</t>
        </is>
      </c>
      <c r="D561" s="50" t="inlineStr">
        <is>
          <t>Coors Light</t>
        </is>
      </c>
      <c r="E561" s="46" t="n">
        <v>14292</v>
      </c>
      <c r="F561" s="46" t="n">
        <v>14115</v>
      </c>
      <c r="G561" s="48" t="n">
        <v>307883.85</v>
      </c>
      <c r="H561" s="48" t="n">
        <v>306975.8</v>
      </c>
      <c r="I561" s="48" t="n">
        <v>81290.8</v>
      </c>
      <c r="J561" s="48" t="n">
        <v>80947.49000000001</v>
      </c>
    </row>
    <row r="562">
      <c r="A562" s="50" t="inlineStr">
        <is>
          <t>Mike Ast</t>
        </is>
      </c>
      <c r="B562" s="50" t="inlineStr">
        <is>
          <t>Qualifier</t>
        </is>
      </c>
      <c r="C562" s="50" t="inlineStr">
        <is>
          <t>MolsonCoors Beverage Company</t>
        </is>
      </c>
      <c r="D562" s="50" t="inlineStr">
        <is>
          <t>Lite</t>
        </is>
      </c>
      <c r="E562" s="46" t="n">
        <v>12647</v>
      </c>
      <c r="F562" s="46" t="n">
        <v>12392</v>
      </c>
      <c r="G562" s="48" t="n">
        <v>278931.05</v>
      </c>
      <c r="H562" s="48" t="n">
        <v>274373</v>
      </c>
      <c r="I562" s="48" t="n">
        <v>67586.19</v>
      </c>
      <c r="J562" s="48" t="n">
        <v>66271.71000000001</v>
      </c>
    </row>
    <row r="563">
      <c r="A563" s="50" t="inlineStr">
        <is>
          <t>Mike Ast</t>
        </is>
      </c>
      <c r="B563" s="50" t="inlineStr">
        <is>
          <t>Qualifier</t>
        </is>
      </c>
      <c r="C563" s="50" t="inlineStr">
        <is>
          <t>Heineken USA</t>
        </is>
      </c>
      <c r="D563" s="50" t="inlineStr">
        <is>
          <t>Heineken USA</t>
        </is>
      </c>
      <c r="E563" s="46" t="n">
        <v>6221</v>
      </c>
      <c r="F563" s="46" t="n">
        <v>5995</v>
      </c>
      <c r="G563" s="48" t="n">
        <v>194536.2</v>
      </c>
      <c r="H563" s="48" t="n">
        <v>186651.8</v>
      </c>
      <c r="I563" s="48" t="n">
        <v>47687.15</v>
      </c>
      <c r="J563" s="48" t="n">
        <v>45035.9</v>
      </c>
    </row>
    <row r="564">
      <c r="A564" s="50" t="inlineStr">
        <is>
          <t>Mike Ast</t>
        </is>
      </c>
      <c r="B564" s="50" t="inlineStr">
        <is>
          <t>Qualifier</t>
        </is>
      </c>
      <c r="C564" s="50" t="inlineStr">
        <is>
          <t>Constellation Brands</t>
        </is>
      </c>
      <c r="D564" s="50" t="inlineStr">
        <is>
          <t>Corona Extra</t>
        </is>
      </c>
      <c r="E564" s="46" t="n">
        <v>12236</v>
      </c>
      <c r="F564" s="46" t="n">
        <v>11879</v>
      </c>
      <c r="G564" s="48" t="n">
        <v>394217.95</v>
      </c>
      <c r="H564" s="48" t="n">
        <v>384990.2</v>
      </c>
      <c r="I564" s="48" t="n">
        <v>95457.98</v>
      </c>
      <c r="J564" s="48" t="n">
        <v>93420.82000000001</v>
      </c>
    </row>
    <row r="565">
      <c r="A565" s="50" t="inlineStr">
        <is>
          <t>Mike Ast</t>
        </is>
      </c>
      <c r="B565" s="50" t="inlineStr">
        <is>
          <t>Qualifier</t>
        </is>
      </c>
      <c r="C565" s="50" t="inlineStr">
        <is>
          <t>Constellation Brands</t>
        </is>
      </c>
      <c r="D565" s="50" t="inlineStr">
        <is>
          <t>Modelo Especial</t>
        </is>
      </c>
      <c r="E565" s="46" t="n">
        <v>10427</v>
      </c>
      <c r="F565" s="46" t="n">
        <v>11600</v>
      </c>
      <c r="G565" s="48" t="n">
        <v>319564</v>
      </c>
      <c r="H565" s="48" t="n">
        <v>355128.3</v>
      </c>
      <c r="I565" s="48" t="n">
        <v>73854.8</v>
      </c>
      <c r="J565" s="48" t="n">
        <v>81652.03</v>
      </c>
    </row>
    <row r="566">
      <c r="A566" s="50" t="inlineStr">
        <is>
          <t>Mike Ast</t>
        </is>
      </c>
      <c r="B566" s="50" t="inlineStr">
        <is>
          <t>Qualifier</t>
        </is>
      </c>
      <c r="C566" s="50" t="inlineStr">
        <is>
          <t>Boston Beer Company</t>
        </is>
      </c>
      <c r="D566" s="50" t="inlineStr">
        <is>
          <t>Truly</t>
        </is>
      </c>
      <c r="E566" s="46" t="n">
        <v>841</v>
      </c>
      <c r="F566" s="46" t="n">
        <v>441</v>
      </c>
      <c r="G566" s="48" t="n">
        <v>24405.7</v>
      </c>
      <c r="H566" s="48" t="n">
        <v>13050.5</v>
      </c>
      <c r="I566" s="48" t="n">
        <v>5456.71</v>
      </c>
      <c r="J566" s="48" t="n">
        <v>2998.88</v>
      </c>
    </row>
    <row r="567">
      <c r="A567" s="50" t="inlineStr">
        <is>
          <t>Mike Ast</t>
        </is>
      </c>
      <c r="B567" s="50" t="inlineStr">
        <is>
          <t>Qualifier</t>
        </is>
      </c>
      <c r="C567" s="50" t="inlineStr">
        <is>
          <t>Boston Beer Company</t>
        </is>
      </c>
      <c r="D567" s="50" t="inlineStr">
        <is>
          <t>Twisted Tea</t>
        </is>
      </c>
      <c r="E567" s="46" t="n">
        <v>2344</v>
      </c>
      <c r="F567" s="46" t="n">
        <v>2637</v>
      </c>
      <c r="G567" s="48" t="n">
        <v>69490</v>
      </c>
      <c r="H567" s="48" t="n">
        <v>74876.5</v>
      </c>
      <c r="I567" s="48" t="n">
        <v>17986.64</v>
      </c>
      <c r="J567" s="48" t="n">
        <v>16941.93</v>
      </c>
    </row>
    <row r="568">
      <c r="A568" s="50" t="inlineStr">
        <is>
          <t>Mike Ast</t>
        </is>
      </c>
      <c r="B568" s="50" t="inlineStr">
        <is>
          <t>Qualifier</t>
        </is>
      </c>
      <c r="C568" s="50" t="inlineStr">
        <is>
          <t>Mark Anthony</t>
        </is>
      </c>
      <c r="D568" s="50" t="inlineStr">
        <is>
          <t>White Claw</t>
        </is>
      </c>
      <c r="E568" s="46" t="n">
        <v>8276</v>
      </c>
      <c r="F568" s="46" t="n">
        <v>7195</v>
      </c>
      <c r="G568" s="48" t="n">
        <v>259261.3</v>
      </c>
      <c r="H568" s="48" t="n">
        <v>230643.95</v>
      </c>
      <c r="I568" s="48" t="n">
        <v>53316.77</v>
      </c>
      <c r="J568" s="48" t="n">
        <v>47197.96</v>
      </c>
    </row>
    <row r="569">
      <c r="A569" s="50" t="inlineStr">
        <is>
          <t>Mike Ast</t>
        </is>
      </c>
      <c r="B569" s="50" t="inlineStr">
        <is>
          <t>Qualifier</t>
        </is>
      </c>
      <c r="C569" s="50" t="inlineStr">
        <is>
          <t>DG Yuengling Inc</t>
        </is>
      </c>
      <c r="D569" s="50" t="inlineStr">
        <is>
          <t>Yuengling Lager</t>
        </is>
      </c>
      <c r="E569" s="46" t="n">
        <v>3965</v>
      </c>
      <c r="F569" s="46" t="n">
        <v>3916</v>
      </c>
      <c r="G569" s="48" t="n">
        <v>87944.39999999999</v>
      </c>
      <c r="H569" s="48" t="n">
        <v>86493.10000000001</v>
      </c>
      <c r="I569" s="48" t="n">
        <v>24379.24</v>
      </c>
      <c r="J569" s="48" t="n">
        <v>23790.16</v>
      </c>
    </row>
    <row r="570">
      <c r="A570" s="50" t="inlineStr">
        <is>
          <t>Nick Melissari</t>
        </is>
      </c>
      <c r="B570" s="50" t="inlineStr">
        <is>
          <t>Amplify</t>
        </is>
      </c>
      <c r="C570" s="50" t="inlineStr">
        <is>
          <t>Cape May</t>
        </is>
      </c>
      <c r="D570" s="50" t="inlineStr">
        <is>
          <t>Cape May</t>
        </is>
      </c>
      <c r="E570" s="46" t="n">
        <v>360</v>
      </c>
      <c r="F570" s="46" t="n">
        <v>500</v>
      </c>
      <c r="G570" s="48" t="n">
        <v>12246.7</v>
      </c>
      <c r="H570" s="48" t="n">
        <v>17369.1</v>
      </c>
      <c r="I570" s="48" t="n">
        <v>3159.17</v>
      </c>
      <c r="J570" s="48" t="n">
        <v>4542.18</v>
      </c>
    </row>
    <row r="571">
      <c r="A571" s="50" t="inlineStr">
        <is>
          <t>Nick Melissari</t>
        </is>
      </c>
      <c r="B571" s="50" t="inlineStr">
        <is>
          <t>Amplify</t>
        </is>
      </c>
      <c r="C571" s="50" t="inlineStr">
        <is>
          <t>Mark Anthony</t>
        </is>
      </c>
      <c r="D571" s="50" t="inlineStr">
        <is>
          <t>Cayman Jack</t>
        </is>
      </c>
      <c r="E571" s="46" t="n">
        <v>5</v>
      </c>
      <c r="F571" s="46" t="n">
        <v>1</v>
      </c>
      <c r="G571" s="48" t="n">
        <v>142.5</v>
      </c>
      <c r="H571" s="48" t="n">
        <v>29.5</v>
      </c>
      <c r="I571" s="48" t="n">
        <v>36.75</v>
      </c>
      <c r="J571" s="48" t="n">
        <v>6.6</v>
      </c>
    </row>
    <row r="572">
      <c r="A572" s="50" t="inlineStr">
        <is>
          <t>Nick Melissari</t>
        </is>
      </c>
      <c r="B572" s="50" t="inlineStr">
        <is>
          <t>Amplify</t>
        </is>
      </c>
      <c r="C572" s="50" t="inlineStr">
        <is>
          <t>Mark Anthony</t>
        </is>
      </c>
      <c r="D572" s="50" t="inlineStr">
        <is>
          <t>Mike's Harder</t>
        </is>
      </c>
      <c r="E572" s="46" t="n">
        <v>4</v>
      </c>
      <c r="F572" s="46" t="n">
        <v>0</v>
      </c>
      <c r="G572" s="48" t="n">
        <v>113</v>
      </c>
      <c r="H572" s="48" t="n">
        <v>0</v>
      </c>
      <c r="I572" s="48" t="n">
        <v>28.38</v>
      </c>
      <c r="J572" s="48" t="n">
        <v>0</v>
      </c>
    </row>
    <row r="573">
      <c r="A573" s="50" t="inlineStr">
        <is>
          <t>Nick Melissari</t>
        </is>
      </c>
      <c r="B573" s="50" t="inlineStr">
        <is>
          <t>Amplify</t>
        </is>
      </c>
      <c r="C573" s="50" t="inlineStr">
        <is>
          <t>Mark Anthony</t>
        </is>
      </c>
      <c r="D573" s="50" t="inlineStr">
        <is>
          <t>Mxd Cocktails</t>
        </is>
      </c>
      <c r="E573" s="46" t="n">
        <v>3</v>
      </c>
      <c r="F573" s="46" t="n">
        <v>3</v>
      </c>
      <c r="G573" s="48" t="n">
        <v>67.90000000000001</v>
      </c>
      <c r="H573" s="48" t="n">
        <v>71.8</v>
      </c>
      <c r="I573" s="48" t="n">
        <v>15.92</v>
      </c>
      <c r="J573" s="48" t="n">
        <v>19.82</v>
      </c>
    </row>
    <row r="574">
      <c r="A574" s="50" t="inlineStr">
        <is>
          <t>Nick Melissari</t>
        </is>
      </c>
      <c r="B574" s="50" t="inlineStr">
        <is>
          <t>Amplify</t>
        </is>
      </c>
      <c r="C574" s="50" t="inlineStr">
        <is>
          <t>MolsonCoors Beverage Company</t>
        </is>
      </c>
      <c r="D574" s="50" t="inlineStr">
        <is>
          <t>Coors</t>
        </is>
      </c>
      <c r="E574" s="46" t="n">
        <v>180</v>
      </c>
      <c r="F574" s="46" t="n">
        <v>208</v>
      </c>
      <c r="G574" s="48" t="n">
        <v>3434.85</v>
      </c>
      <c r="H574" s="48" t="n">
        <v>4231.95</v>
      </c>
      <c r="I574" s="48" t="n">
        <v>756.84</v>
      </c>
      <c r="J574" s="48" t="n">
        <v>1039.04</v>
      </c>
    </row>
    <row r="575">
      <c r="A575" s="50" t="inlineStr">
        <is>
          <t>Nick Melissari</t>
        </is>
      </c>
      <c r="B575" s="50" t="inlineStr">
        <is>
          <t>Amplify</t>
        </is>
      </c>
      <c r="C575" s="50" t="inlineStr">
        <is>
          <t>MolsonCoors Beverage Company</t>
        </is>
      </c>
      <c r="D575" s="50" t="inlineStr">
        <is>
          <t>Fever Tree</t>
        </is>
      </c>
      <c r="E575" s="46" t="n">
        <v>5</v>
      </c>
      <c r="F575" s="46" t="n">
        <v>282</v>
      </c>
      <c r="G575" s="48" t="n">
        <v>213.05</v>
      </c>
      <c r="H575" s="48" t="n">
        <v>11748.8</v>
      </c>
      <c r="I575" s="48" t="n">
        <v>62.35</v>
      </c>
      <c r="J575" s="48" t="n">
        <v>3307.5</v>
      </c>
    </row>
    <row r="576">
      <c r="A576" s="50" t="inlineStr">
        <is>
          <t>Nick Melissari</t>
        </is>
      </c>
      <c r="B576" s="50" t="inlineStr">
        <is>
          <t>Amplify</t>
        </is>
      </c>
      <c r="C576" s="50" t="inlineStr">
        <is>
          <t>MolsonCoors Beverage Company</t>
        </is>
      </c>
      <c r="D576" s="50" t="inlineStr">
        <is>
          <t>Peroni</t>
        </is>
      </c>
      <c r="E576" s="46" t="n">
        <v>1254</v>
      </c>
      <c r="F576" s="46" t="n">
        <v>1333</v>
      </c>
      <c r="G576" s="48" t="n">
        <v>45476.45</v>
      </c>
      <c r="H576" s="48" t="n">
        <v>46607.65</v>
      </c>
      <c r="I576" s="48" t="n">
        <v>10535.75</v>
      </c>
      <c r="J576" s="48" t="n">
        <v>11649.52</v>
      </c>
    </row>
    <row r="577">
      <c r="A577" s="50" t="inlineStr">
        <is>
          <t>Nick Melissari</t>
        </is>
      </c>
      <c r="B577" s="50" t="inlineStr">
        <is>
          <t>Amplify</t>
        </is>
      </c>
      <c r="C577" s="50" t="inlineStr">
        <is>
          <t>Boston Beer Company</t>
        </is>
      </c>
      <c r="D577" s="50" t="inlineStr">
        <is>
          <t>Dogfish Head Beer</t>
        </is>
      </c>
      <c r="E577" s="46" t="n">
        <v>901</v>
      </c>
      <c r="F577" s="46" t="n">
        <v>1096</v>
      </c>
      <c r="G577" s="48" t="n">
        <v>32996.1</v>
      </c>
      <c r="H577" s="48" t="n">
        <v>36821.7</v>
      </c>
      <c r="I577" s="48" t="n">
        <v>9041.77</v>
      </c>
      <c r="J577" s="48" t="n">
        <v>10170.28</v>
      </c>
    </row>
    <row r="578">
      <c r="A578" s="50" t="inlineStr">
        <is>
          <t>Nick Melissari</t>
        </is>
      </c>
      <c r="B578" s="50" t="inlineStr">
        <is>
          <t>Amplify</t>
        </is>
      </c>
      <c r="C578" s="50" t="inlineStr">
        <is>
          <t>Boston Beer Company</t>
        </is>
      </c>
      <c r="D578" s="50" t="inlineStr">
        <is>
          <t>Dogfish Head Spirits</t>
        </is>
      </c>
      <c r="E578" s="46" t="n">
        <v>22</v>
      </c>
      <c r="F578" s="46" t="n">
        <v>34</v>
      </c>
      <c r="G578" s="48" t="n">
        <v>1210</v>
      </c>
      <c r="H578" s="48" t="n">
        <v>1932</v>
      </c>
      <c r="I578" s="48" t="n">
        <v>514.11</v>
      </c>
      <c r="J578" s="48" t="n">
        <v>778.8200000000001</v>
      </c>
    </row>
    <row r="579">
      <c r="A579" s="50" t="inlineStr">
        <is>
          <t>Nick Melissari</t>
        </is>
      </c>
      <c r="B579" s="50" t="inlineStr">
        <is>
          <t>Amplify</t>
        </is>
      </c>
      <c r="C579" s="50" t="inlineStr">
        <is>
          <t>Heineken USA</t>
        </is>
      </c>
      <c r="D579" s="50" t="inlineStr">
        <is>
          <t>Heineken 0.0</t>
        </is>
      </c>
      <c r="E579" s="46" t="n">
        <v>606</v>
      </c>
      <c r="F579" s="46" t="n">
        <v>554</v>
      </c>
      <c r="G579" s="48" t="n">
        <v>21482.15</v>
      </c>
      <c r="H579" s="48" t="n">
        <v>19692.75</v>
      </c>
      <c r="I579" s="48" t="n">
        <v>6525.35</v>
      </c>
      <c r="J579" s="48" t="n">
        <v>6021.04</v>
      </c>
    </row>
    <row r="580">
      <c r="A580" s="50" t="inlineStr">
        <is>
          <t>Nick Melissari</t>
        </is>
      </c>
      <c r="B580" s="50" t="inlineStr">
        <is>
          <t>Amplify</t>
        </is>
      </c>
      <c r="C580" s="50" t="inlineStr">
        <is>
          <t>Heineken USA</t>
        </is>
      </c>
      <c r="D580" s="50" t="inlineStr">
        <is>
          <t>Heineken Light</t>
        </is>
      </c>
      <c r="E580" s="46" t="n">
        <v>222</v>
      </c>
      <c r="F580" s="46" t="n">
        <v>180</v>
      </c>
      <c r="G580" s="48" t="n">
        <v>7310.9</v>
      </c>
      <c r="H580" s="48" t="n">
        <v>5914.55</v>
      </c>
      <c r="I580" s="48" t="n">
        <v>2027.42</v>
      </c>
      <c r="J580" s="48" t="n">
        <v>1630.55</v>
      </c>
    </row>
    <row r="581">
      <c r="A581" s="50" t="inlineStr">
        <is>
          <t>Nick Melissari</t>
        </is>
      </c>
      <c r="B581" s="50" t="inlineStr">
        <is>
          <t>Amplify</t>
        </is>
      </c>
      <c r="C581" s="50" t="inlineStr">
        <is>
          <t>Constellation Brands</t>
        </is>
      </c>
      <c r="D581" s="50" t="inlineStr">
        <is>
          <t>Corona Premier</t>
        </is>
      </c>
      <c r="E581" s="46" t="n">
        <v>365</v>
      </c>
      <c r="F581" s="46" t="n">
        <v>261</v>
      </c>
      <c r="G581" s="48" t="n">
        <v>10773.75</v>
      </c>
      <c r="H581" s="48" t="n">
        <v>7279.65</v>
      </c>
      <c r="I581" s="48" t="n">
        <v>2915.04</v>
      </c>
      <c r="J581" s="48" t="n">
        <v>1883.29</v>
      </c>
    </row>
    <row r="582">
      <c r="A582" s="50" t="inlineStr">
        <is>
          <t>Nick Melissari</t>
        </is>
      </c>
      <c r="B582" s="50" t="inlineStr">
        <is>
          <t>Amplify</t>
        </is>
      </c>
      <c r="C582" s="50" t="inlineStr">
        <is>
          <t>Constellation Brands</t>
        </is>
      </c>
      <c r="D582" s="50" t="inlineStr">
        <is>
          <t>Modelo Chelada</t>
        </is>
      </c>
      <c r="E582" s="46" t="n">
        <v>13</v>
      </c>
      <c r="F582" s="46" t="n">
        <v>24</v>
      </c>
      <c r="G582" s="48" t="n">
        <v>422.5</v>
      </c>
      <c r="H582" s="48" t="n">
        <v>767.5</v>
      </c>
      <c r="I582" s="48" t="n">
        <v>124.58</v>
      </c>
      <c r="J582" s="48" t="n">
        <v>222.1</v>
      </c>
    </row>
    <row r="583">
      <c r="A583" s="50" t="inlineStr">
        <is>
          <t>Nick Melissari</t>
        </is>
      </c>
      <c r="B583" s="50" t="inlineStr">
        <is>
          <t>Amplify</t>
        </is>
      </c>
      <c r="C583" s="50" t="inlineStr">
        <is>
          <t>Constellation Brands</t>
        </is>
      </c>
      <c r="D583" s="50" t="inlineStr">
        <is>
          <t>Pacifico</t>
        </is>
      </c>
      <c r="E583" s="46" t="n">
        <v>432</v>
      </c>
      <c r="F583" s="46" t="n">
        <v>401</v>
      </c>
      <c r="G583" s="48" t="n">
        <v>13431.25</v>
      </c>
      <c r="H583" s="48" t="n">
        <v>12759.45</v>
      </c>
      <c r="I583" s="48" t="n">
        <v>3504.09</v>
      </c>
      <c r="J583" s="48" t="n">
        <v>3396.09</v>
      </c>
    </row>
    <row r="584">
      <c r="A584" s="50" t="inlineStr">
        <is>
          <t>Nick Melissari</t>
        </is>
      </c>
      <c r="B584" s="50" t="inlineStr">
        <is>
          <t>Amplify</t>
        </is>
      </c>
      <c r="C584" s="50" t="inlineStr">
        <is>
          <t>Constellation Brands</t>
        </is>
      </c>
      <c r="D584" s="50" t="inlineStr">
        <is>
          <t>Victoria</t>
        </is>
      </c>
      <c r="E584" s="46" t="n">
        <v>97</v>
      </c>
      <c r="F584" s="46" t="n">
        <v>97</v>
      </c>
      <c r="G584" s="48" t="n">
        <v>3067.45</v>
      </c>
      <c r="H584" s="48" t="n">
        <v>3062.35</v>
      </c>
      <c r="I584" s="48" t="n">
        <v>719.49</v>
      </c>
      <c r="J584" s="48" t="n">
        <v>722.29</v>
      </c>
    </row>
    <row r="585">
      <c r="A585" s="50" t="inlineStr">
        <is>
          <t>Nick Melissari</t>
        </is>
      </c>
      <c r="B585" s="50" t="inlineStr">
        <is>
          <t>Amplify</t>
        </is>
      </c>
      <c r="C585" s="50" t="inlineStr">
        <is>
          <t>Sapporo</t>
        </is>
      </c>
      <c r="D585" s="50" t="inlineStr">
        <is>
          <t>Sapporo</t>
        </is>
      </c>
      <c r="E585" s="46" t="n">
        <v>246</v>
      </c>
      <c r="F585" s="46" t="n">
        <v>409</v>
      </c>
      <c r="G585" s="48" t="n">
        <v>6766.5</v>
      </c>
      <c r="H585" s="48" t="n">
        <v>11106.5</v>
      </c>
      <c r="I585" s="48" t="n">
        <v>1763.94</v>
      </c>
      <c r="J585" s="48" t="n">
        <v>2890</v>
      </c>
    </row>
    <row r="586">
      <c r="A586" s="50" t="inlineStr">
        <is>
          <t>Nick Melissari</t>
        </is>
      </c>
      <c r="B586" s="50" t="inlineStr">
        <is>
          <t>Amplify</t>
        </is>
      </c>
      <c r="C586" s="50" t="inlineStr">
        <is>
          <t>Bell's</t>
        </is>
      </c>
      <c r="D586" s="50" t="inlineStr">
        <is>
          <t>Bell's</t>
        </is>
      </c>
      <c r="E586" s="46" t="n">
        <v>0</v>
      </c>
      <c r="F586" s="46" t="n">
        <v>0</v>
      </c>
      <c r="G586" s="48" t="n">
        <v>-8</v>
      </c>
      <c r="H586" s="48" t="n">
        <v>0</v>
      </c>
      <c r="I586" s="48" t="n">
        <v>-8</v>
      </c>
      <c r="J586" s="48" t="n">
        <v>0</v>
      </c>
    </row>
    <row r="587">
      <c r="A587" s="50" t="inlineStr">
        <is>
          <t>Nick Melissari</t>
        </is>
      </c>
      <c r="B587" s="50" t="inlineStr">
        <is>
          <t>Amplify</t>
        </is>
      </c>
      <c r="C587" s="50" t="inlineStr">
        <is>
          <t>New Belgium Brewing Company</t>
        </is>
      </c>
      <c r="D587" s="50" t="inlineStr">
        <is>
          <t>Fat Tire Family</t>
        </is>
      </c>
      <c r="E587" s="46" t="n">
        <v>334</v>
      </c>
      <c r="F587" s="46" t="n">
        <v>265</v>
      </c>
      <c r="G587" s="48" t="n">
        <v>10984.35</v>
      </c>
      <c r="H587" s="48" t="n">
        <v>8106.5</v>
      </c>
      <c r="I587" s="48" t="n">
        <v>3029.46</v>
      </c>
      <c r="J587" s="48" t="n">
        <v>1955.97</v>
      </c>
    </row>
    <row r="588">
      <c r="A588" s="50" t="inlineStr">
        <is>
          <t>Nick Melissari</t>
        </is>
      </c>
      <c r="B588" s="50" t="inlineStr">
        <is>
          <t>Amplify</t>
        </is>
      </c>
      <c r="C588" s="50" t="inlineStr">
        <is>
          <t>New Belgium Brewing Company</t>
        </is>
      </c>
      <c r="D588" s="50" t="inlineStr">
        <is>
          <t>Kirin Ichiban</t>
        </is>
      </c>
      <c r="E588" s="46" t="n">
        <v>43</v>
      </c>
      <c r="F588" s="46" t="n">
        <v>93</v>
      </c>
      <c r="G588" s="48" t="n">
        <v>1103</v>
      </c>
      <c r="H588" s="48" t="n">
        <v>2448</v>
      </c>
      <c r="I588" s="48" t="n">
        <v>303.16</v>
      </c>
      <c r="J588" s="48" t="n">
        <v>651.85</v>
      </c>
    </row>
    <row r="589">
      <c r="A589" s="50" t="inlineStr">
        <is>
          <t>Nick Melissari</t>
        </is>
      </c>
      <c r="B589" s="50" t="inlineStr">
        <is>
          <t>Amplify</t>
        </is>
      </c>
      <c r="C589" s="50" t="inlineStr">
        <is>
          <t>New Belgium Brewing Company</t>
        </is>
      </c>
      <c r="D589" s="50" t="inlineStr">
        <is>
          <t>Voodoo Family</t>
        </is>
      </c>
      <c r="E589" s="46" t="n">
        <v>641</v>
      </c>
      <c r="F589" s="46" t="n">
        <v>656</v>
      </c>
      <c r="G589" s="48" t="n">
        <v>22385.1</v>
      </c>
      <c r="H589" s="48" t="n">
        <v>21913.7</v>
      </c>
      <c r="I589" s="48" t="n">
        <v>6212.99</v>
      </c>
      <c r="J589" s="48" t="n">
        <v>6384.72</v>
      </c>
    </row>
    <row r="590">
      <c r="A590" s="50" t="inlineStr">
        <is>
          <t>Nick Melissari</t>
        </is>
      </c>
      <c r="B590" s="50" t="inlineStr">
        <is>
          <t>Amplify</t>
        </is>
      </c>
      <c r="C590" s="50" t="inlineStr">
        <is>
          <t>DG Yuengling Inc</t>
        </is>
      </c>
      <c r="D590" s="50" t="inlineStr">
        <is>
          <t>Yuengling Flight</t>
        </is>
      </c>
      <c r="E590" s="46" t="n">
        <v>27</v>
      </c>
      <c r="F590" s="46" t="n">
        <v>35</v>
      </c>
      <c r="G590" s="48" t="n">
        <v>538</v>
      </c>
      <c r="H590" s="48" t="n">
        <v>697.5</v>
      </c>
      <c r="I590" s="48" t="n">
        <v>158.95</v>
      </c>
      <c r="J590" s="48" t="n">
        <v>200.04</v>
      </c>
    </row>
    <row r="591">
      <c r="A591" s="50" t="inlineStr">
        <is>
          <t>Nick Melissari</t>
        </is>
      </c>
      <c r="B591" s="50" t="inlineStr">
        <is>
          <t>Amplify</t>
        </is>
      </c>
      <c r="C591" s="50" t="inlineStr">
        <is>
          <t>DG Yuengling Inc</t>
        </is>
      </c>
      <c r="D591" s="50" t="inlineStr">
        <is>
          <t>Yuengling Light Lager</t>
        </is>
      </c>
      <c r="E591" s="46" t="n">
        <v>2</v>
      </c>
      <c r="F591" s="46" t="n">
        <v>6</v>
      </c>
      <c r="G591" s="48" t="n">
        <v>56</v>
      </c>
      <c r="H591" s="48" t="n">
        <v>152</v>
      </c>
      <c r="I591" s="48" t="n">
        <v>17.83</v>
      </c>
      <c r="J591" s="48" t="n">
        <v>50.38</v>
      </c>
    </row>
    <row r="592">
      <c r="A592" s="50" t="inlineStr">
        <is>
          <t>Nick Melissari</t>
        </is>
      </c>
      <c r="B592" s="50" t="inlineStr">
        <is>
          <t>Qualifier</t>
        </is>
      </c>
      <c r="C592" s="50" t="inlineStr">
        <is>
          <t>MolsonCoors Beverage Company</t>
        </is>
      </c>
      <c r="D592" s="50" t="inlineStr">
        <is>
          <t>Blue Moon</t>
        </is>
      </c>
      <c r="E592" s="46" t="n">
        <v>5740</v>
      </c>
      <c r="F592" s="46" t="n">
        <v>5571</v>
      </c>
      <c r="G592" s="48" t="n">
        <v>187050</v>
      </c>
      <c r="H592" s="48" t="n">
        <v>179977.15</v>
      </c>
      <c r="I592" s="48" t="n">
        <v>64176.66</v>
      </c>
      <c r="J592" s="48" t="n">
        <v>61605.27</v>
      </c>
    </row>
    <row r="593">
      <c r="A593" s="50" t="inlineStr">
        <is>
          <t>Nick Melissari</t>
        </is>
      </c>
      <c r="B593" s="50" t="inlineStr">
        <is>
          <t>Qualifier</t>
        </is>
      </c>
      <c r="C593" s="50" t="inlineStr">
        <is>
          <t>MolsonCoors Beverage Company</t>
        </is>
      </c>
      <c r="D593" s="50" t="inlineStr">
        <is>
          <t>Coors Light</t>
        </is>
      </c>
      <c r="E593" s="46" t="n">
        <v>8592</v>
      </c>
      <c r="F593" s="46" t="n">
        <v>7700</v>
      </c>
      <c r="G593" s="48" t="n">
        <v>174803.95</v>
      </c>
      <c r="H593" s="48" t="n">
        <v>160567.45</v>
      </c>
      <c r="I593" s="48" t="n">
        <v>44141.69</v>
      </c>
      <c r="J593" s="48" t="n">
        <v>42328.08</v>
      </c>
    </row>
    <row r="594">
      <c r="A594" s="50" t="inlineStr">
        <is>
          <t>Nick Melissari</t>
        </is>
      </c>
      <c r="B594" s="50" t="inlineStr">
        <is>
          <t>Qualifier</t>
        </is>
      </c>
      <c r="C594" s="50" t="inlineStr">
        <is>
          <t>MolsonCoors Beverage Company</t>
        </is>
      </c>
      <c r="D594" s="50" t="inlineStr">
        <is>
          <t>Lite</t>
        </is>
      </c>
      <c r="E594" s="46" t="n">
        <v>10202</v>
      </c>
      <c r="F594" s="46" t="n">
        <v>9937</v>
      </c>
      <c r="G594" s="48" t="n">
        <v>211106.9</v>
      </c>
      <c r="H594" s="48" t="n">
        <v>207563.95</v>
      </c>
      <c r="I594" s="48" t="n">
        <v>47559.79</v>
      </c>
      <c r="J594" s="48" t="n">
        <v>47405.16</v>
      </c>
    </row>
    <row r="595">
      <c r="A595" s="50" t="inlineStr">
        <is>
          <t>Nick Melissari</t>
        </is>
      </c>
      <c r="B595" s="50" t="inlineStr">
        <is>
          <t>Qualifier</t>
        </is>
      </c>
      <c r="C595" s="50" t="inlineStr">
        <is>
          <t>Heineken USA</t>
        </is>
      </c>
      <c r="D595" s="50" t="inlineStr">
        <is>
          <t>Heineken USA</t>
        </is>
      </c>
      <c r="E595" s="46" t="n">
        <v>4162</v>
      </c>
      <c r="F595" s="46" t="n">
        <v>3649</v>
      </c>
      <c r="G595" s="48" t="n">
        <v>139324.6</v>
      </c>
      <c r="H595" s="48" t="n">
        <v>121530.75</v>
      </c>
      <c r="I595" s="48" t="n">
        <v>42866.6</v>
      </c>
      <c r="J595" s="48" t="n">
        <v>36852.27</v>
      </c>
    </row>
    <row r="596">
      <c r="A596" s="50" t="inlineStr">
        <is>
          <t>Nick Melissari</t>
        </is>
      </c>
      <c r="B596" s="50" t="inlineStr">
        <is>
          <t>Qualifier</t>
        </is>
      </c>
      <c r="C596" s="50" t="inlineStr">
        <is>
          <t>Constellation Brands</t>
        </is>
      </c>
      <c r="D596" s="50" t="inlineStr">
        <is>
          <t>Corona Extra</t>
        </is>
      </c>
      <c r="E596" s="46" t="n">
        <v>7364</v>
      </c>
      <c r="F596" s="46" t="n">
        <v>7042</v>
      </c>
      <c r="G596" s="48" t="n">
        <v>250499.9</v>
      </c>
      <c r="H596" s="48" t="n">
        <v>238497.3</v>
      </c>
      <c r="I596" s="48" t="n">
        <v>72811.91</v>
      </c>
      <c r="J596" s="48" t="n">
        <v>68648.19</v>
      </c>
    </row>
    <row r="597">
      <c r="A597" s="50" t="inlineStr">
        <is>
          <t>Nick Melissari</t>
        </is>
      </c>
      <c r="B597" s="50" t="inlineStr">
        <is>
          <t>Qualifier</t>
        </is>
      </c>
      <c r="C597" s="50" t="inlineStr">
        <is>
          <t>Constellation Brands</t>
        </is>
      </c>
      <c r="D597" s="50" t="inlineStr">
        <is>
          <t>Modelo Especial</t>
        </is>
      </c>
      <c r="E597" s="46" t="n">
        <v>4943</v>
      </c>
      <c r="F597" s="46" t="n">
        <v>4656</v>
      </c>
      <c r="G597" s="48" t="n">
        <v>150040.25</v>
      </c>
      <c r="H597" s="48" t="n">
        <v>141178.8</v>
      </c>
      <c r="I597" s="48" t="n">
        <v>39869.62</v>
      </c>
      <c r="J597" s="48" t="n">
        <v>37138.51</v>
      </c>
    </row>
    <row r="598">
      <c r="A598" s="50" t="inlineStr">
        <is>
          <t>Nick Melissari</t>
        </is>
      </c>
      <c r="B598" s="50" t="inlineStr">
        <is>
          <t>Qualifier</t>
        </is>
      </c>
      <c r="C598" s="50" t="inlineStr">
        <is>
          <t>Boston Beer Company</t>
        </is>
      </c>
      <c r="D598" s="50" t="inlineStr">
        <is>
          <t>Truly</t>
        </is>
      </c>
      <c r="E598" s="46" t="n">
        <v>66</v>
      </c>
      <c r="F598" s="46" t="n">
        <v>72</v>
      </c>
      <c r="G598" s="48" t="n">
        <v>2040.6</v>
      </c>
      <c r="H598" s="48" t="n">
        <v>2190.4</v>
      </c>
      <c r="I598" s="48" t="n">
        <v>627.4299999999999</v>
      </c>
      <c r="J598" s="48" t="n">
        <v>555.8</v>
      </c>
    </row>
    <row r="599">
      <c r="A599" s="50" t="inlineStr">
        <is>
          <t>Nick Melissari</t>
        </is>
      </c>
      <c r="B599" s="50" t="inlineStr">
        <is>
          <t>Qualifier</t>
        </is>
      </c>
      <c r="C599" s="50" t="inlineStr">
        <is>
          <t>Boston Beer Company</t>
        </is>
      </c>
      <c r="D599" s="50" t="inlineStr">
        <is>
          <t>Twisted Tea</t>
        </is>
      </c>
      <c r="E599" s="46" t="n">
        <v>403</v>
      </c>
      <c r="F599" s="46" t="n">
        <v>351</v>
      </c>
      <c r="G599" s="48" t="n">
        <v>12709.75</v>
      </c>
      <c r="H599" s="48" t="n">
        <v>11006.75</v>
      </c>
      <c r="I599" s="48" t="n">
        <v>3816.27</v>
      </c>
      <c r="J599" s="48" t="n">
        <v>3171.76</v>
      </c>
    </row>
    <row r="600">
      <c r="A600" s="50" t="inlineStr">
        <is>
          <t>Nick Melissari</t>
        </is>
      </c>
      <c r="B600" s="50" t="inlineStr">
        <is>
          <t>Qualifier</t>
        </is>
      </c>
      <c r="C600" s="50" t="inlineStr">
        <is>
          <t>Mark Anthony</t>
        </is>
      </c>
      <c r="D600" s="50" t="inlineStr">
        <is>
          <t>White Claw</t>
        </is>
      </c>
      <c r="E600" s="46" t="n">
        <v>1068</v>
      </c>
      <c r="F600" s="46" t="n">
        <v>847</v>
      </c>
      <c r="G600" s="48" t="n">
        <v>36406.95</v>
      </c>
      <c r="H600" s="48" t="n">
        <v>30028.55</v>
      </c>
      <c r="I600" s="48" t="n">
        <v>9717.42</v>
      </c>
      <c r="J600" s="48" t="n">
        <v>8218.08</v>
      </c>
    </row>
    <row r="601">
      <c r="A601" s="50" t="inlineStr">
        <is>
          <t>Nick Melissari</t>
        </is>
      </c>
      <c r="B601" s="50" t="inlineStr">
        <is>
          <t>Qualifier</t>
        </is>
      </c>
      <c r="C601" s="50" t="inlineStr">
        <is>
          <t>DG Yuengling Inc</t>
        </is>
      </c>
      <c r="D601" s="50" t="inlineStr">
        <is>
          <t>Yuengling Lager</t>
        </is>
      </c>
      <c r="E601" s="46" t="n">
        <v>4779</v>
      </c>
      <c r="F601" s="46" t="n">
        <v>4501</v>
      </c>
      <c r="G601" s="48" t="n">
        <v>90928.75</v>
      </c>
      <c r="H601" s="48" t="n">
        <v>85318.85000000001</v>
      </c>
      <c r="I601" s="48" t="n">
        <v>26538.69</v>
      </c>
      <c r="J601" s="48" t="n">
        <v>25041.62</v>
      </c>
    </row>
    <row r="602">
      <c r="A602" s="50" t="inlineStr">
        <is>
          <t>Pablo Lopez</t>
        </is>
      </c>
      <c r="B602" s="50" t="inlineStr">
        <is>
          <t>Amplify</t>
        </is>
      </c>
      <c r="C602" s="50" t="inlineStr">
        <is>
          <t>Cape May</t>
        </is>
      </c>
      <c r="D602" s="50" t="inlineStr">
        <is>
          <t>Cape May</t>
        </is>
      </c>
      <c r="E602" s="46" t="n">
        <v>1</v>
      </c>
      <c r="F602" s="46" t="n">
        <v>0</v>
      </c>
      <c r="G602" s="48" t="n">
        <v>39.9</v>
      </c>
      <c r="H602" s="48" t="n">
        <v>0</v>
      </c>
      <c r="I602" s="48" t="n">
        <v>15.54</v>
      </c>
      <c r="J602" s="48" t="n">
        <v>0</v>
      </c>
    </row>
    <row r="603">
      <c r="A603" s="50" t="inlineStr">
        <is>
          <t>Pablo Lopez</t>
        </is>
      </c>
      <c r="B603" s="50" t="inlineStr">
        <is>
          <t>Amplify</t>
        </is>
      </c>
      <c r="C603" s="50" t="inlineStr">
        <is>
          <t>Mark Anthony</t>
        </is>
      </c>
      <c r="D603" s="50" t="inlineStr">
        <is>
          <t>Cayman Jack</t>
        </is>
      </c>
      <c r="E603" s="46" t="n">
        <v>439</v>
      </c>
      <c r="F603" s="46" t="n">
        <v>602</v>
      </c>
      <c r="G603" s="48" t="n">
        <v>13798.75</v>
      </c>
      <c r="H603" s="48" t="n">
        <v>19403.5</v>
      </c>
      <c r="I603" s="48" t="n">
        <v>3286.5</v>
      </c>
      <c r="J603" s="48" t="n">
        <v>4714.3</v>
      </c>
    </row>
    <row r="604">
      <c r="A604" s="50" t="inlineStr">
        <is>
          <t>Pablo Lopez</t>
        </is>
      </c>
      <c r="B604" s="50" t="inlineStr">
        <is>
          <t>Amplify</t>
        </is>
      </c>
      <c r="C604" s="50" t="inlineStr">
        <is>
          <t>Mark Anthony</t>
        </is>
      </c>
      <c r="D604" s="50" t="inlineStr">
        <is>
          <t>Mike's Harder</t>
        </is>
      </c>
      <c r="E604" s="46" t="n">
        <v>54</v>
      </c>
      <c r="F604" s="46" t="n">
        <v>68</v>
      </c>
      <c r="G604" s="48" t="n">
        <v>1485</v>
      </c>
      <c r="H604" s="48" t="n">
        <v>2004</v>
      </c>
      <c r="I604" s="48" t="n">
        <v>321.51</v>
      </c>
      <c r="J604" s="48" t="n">
        <v>430.6</v>
      </c>
    </row>
    <row r="605">
      <c r="A605" s="50" t="inlineStr">
        <is>
          <t>Pablo Lopez</t>
        </is>
      </c>
      <c r="B605" s="50" t="inlineStr">
        <is>
          <t>Amplify</t>
        </is>
      </c>
      <c r="C605" s="50" t="inlineStr">
        <is>
          <t>Mark Anthony</t>
        </is>
      </c>
      <c r="D605" s="50" t="inlineStr">
        <is>
          <t>Mxd Cocktails</t>
        </is>
      </c>
      <c r="E605" s="46" t="n">
        <v>389</v>
      </c>
      <c r="F605" s="46" t="n">
        <v>611</v>
      </c>
      <c r="G605" s="48" t="n">
        <v>9359.6</v>
      </c>
      <c r="H605" s="48" t="n">
        <v>14688</v>
      </c>
      <c r="I605" s="48" t="n">
        <v>1771.87</v>
      </c>
      <c r="J605" s="48" t="n">
        <v>2761.18</v>
      </c>
    </row>
    <row r="606">
      <c r="A606" s="50" t="inlineStr">
        <is>
          <t>Pablo Lopez</t>
        </is>
      </c>
      <c r="B606" s="50" t="inlineStr">
        <is>
          <t>Amplify</t>
        </is>
      </c>
      <c r="C606" s="50" t="inlineStr">
        <is>
          <t>MolsonCoors Beverage Company</t>
        </is>
      </c>
      <c r="D606" s="50" t="inlineStr">
        <is>
          <t>Coors</t>
        </is>
      </c>
      <c r="E606" s="46" t="n">
        <v>1303</v>
      </c>
      <c r="F606" s="46" t="n">
        <v>1756</v>
      </c>
      <c r="G606" s="48" t="n">
        <v>22313.5</v>
      </c>
      <c r="H606" s="48" t="n">
        <v>30888.05</v>
      </c>
      <c r="I606" s="48" t="n">
        <v>4134.43</v>
      </c>
      <c r="J606" s="48" t="n">
        <v>5859.73</v>
      </c>
    </row>
    <row r="607">
      <c r="A607" s="50" t="inlineStr">
        <is>
          <t>Pablo Lopez</t>
        </is>
      </c>
      <c r="B607" s="50" t="inlineStr">
        <is>
          <t>Amplify</t>
        </is>
      </c>
      <c r="C607" s="50" t="inlineStr">
        <is>
          <t>MolsonCoors Beverage Company</t>
        </is>
      </c>
      <c r="D607" s="50" t="inlineStr">
        <is>
          <t>Fever Tree</t>
        </is>
      </c>
      <c r="E607" s="46" t="n">
        <v>0</v>
      </c>
      <c r="F607" s="46" t="n">
        <v>9</v>
      </c>
      <c r="G607" s="48" t="n">
        <v>0</v>
      </c>
      <c r="H607" s="48" t="n">
        <v>404</v>
      </c>
      <c r="I607" s="48" t="n">
        <v>0</v>
      </c>
      <c r="J607" s="48" t="n">
        <v>135.59</v>
      </c>
    </row>
    <row r="608">
      <c r="A608" s="50" t="inlineStr">
        <is>
          <t>Pablo Lopez</t>
        </is>
      </c>
      <c r="B608" s="50" t="inlineStr">
        <is>
          <t>Amplify</t>
        </is>
      </c>
      <c r="C608" s="50" t="inlineStr">
        <is>
          <t>MolsonCoors Beverage Company</t>
        </is>
      </c>
      <c r="D608" s="50" t="inlineStr">
        <is>
          <t>Peroni</t>
        </is>
      </c>
      <c r="E608" s="46" t="n">
        <v>45</v>
      </c>
      <c r="F608" s="46" t="n">
        <v>89</v>
      </c>
      <c r="G608" s="48" t="n">
        <v>1569.35</v>
      </c>
      <c r="H608" s="48" t="n">
        <v>3077.45</v>
      </c>
      <c r="I608" s="48" t="n">
        <v>318.57</v>
      </c>
      <c r="J608" s="48" t="n">
        <v>644.7</v>
      </c>
    </row>
    <row r="609">
      <c r="A609" s="50" t="inlineStr">
        <is>
          <t>Pablo Lopez</t>
        </is>
      </c>
      <c r="B609" s="50" t="inlineStr">
        <is>
          <t>Amplify</t>
        </is>
      </c>
      <c r="C609" s="50" t="inlineStr">
        <is>
          <t>Boston Beer Company</t>
        </is>
      </c>
      <c r="D609" s="50" t="inlineStr">
        <is>
          <t>Dogfish Head Beer</t>
        </is>
      </c>
      <c r="E609" s="46" t="n">
        <v>12</v>
      </c>
      <c r="F609" s="46" t="n">
        <v>6</v>
      </c>
      <c r="G609" s="48" t="n">
        <v>481.7</v>
      </c>
      <c r="H609" s="48" t="n">
        <v>226.2</v>
      </c>
      <c r="I609" s="48" t="n">
        <v>140.09</v>
      </c>
      <c r="J609" s="48" t="n">
        <v>63.49</v>
      </c>
    </row>
    <row r="610">
      <c r="A610" s="50" t="inlineStr">
        <is>
          <t>Pablo Lopez</t>
        </is>
      </c>
      <c r="B610" s="50" t="inlineStr">
        <is>
          <t>Amplify</t>
        </is>
      </c>
      <c r="C610" s="50" t="inlineStr">
        <is>
          <t>Boston Beer Company</t>
        </is>
      </c>
      <c r="D610" s="50" t="inlineStr">
        <is>
          <t>Dogfish Head Spirits</t>
        </is>
      </c>
      <c r="E610" s="46" t="n">
        <v>0</v>
      </c>
      <c r="F610" s="46" t="n">
        <v>3</v>
      </c>
      <c r="G610" s="48" t="n">
        <v>0</v>
      </c>
      <c r="H610" s="48" t="n">
        <v>144</v>
      </c>
      <c r="I610" s="48" t="n">
        <v>0</v>
      </c>
      <c r="J610" s="48" t="n">
        <v>55.74</v>
      </c>
    </row>
    <row r="611">
      <c r="A611" s="50" t="inlineStr">
        <is>
          <t>Pablo Lopez</t>
        </is>
      </c>
      <c r="B611" s="50" t="inlineStr">
        <is>
          <t>Amplify</t>
        </is>
      </c>
      <c r="C611" s="50" t="inlineStr">
        <is>
          <t>Heineken USA</t>
        </is>
      </c>
      <c r="D611" s="50" t="inlineStr">
        <is>
          <t>Heineken 0.0</t>
        </is>
      </c>
      <c r="E611" s="46" t="n">
        <v>517</v>
      </c>
      <c r="F611" s="46" t="n">
        <v>596</v>
      </c>
      <c r="G611" s="48" t="n">
        <v>17562.55</v>
      </c>
      <c r="H611" s="48" t="n">
        <v>20265.2</v>
      </c>
      <c r="I611" s="48" t="n">
        <v>4799.76</v>
      </c>
      <c r="J611" s="48" t="n">
        <v>5516.49</v>
      </c>
    </row>
    <row r="612">
      <c r="A612" s="50" t="inlineStr">
        <is>
          <t>Pablo Lopez</t>
        </is>
      </c>
      <c r="B612" s="50" t="inlineStr">
        <is>
          <t>Amplify</t>
        </is>
      </c>
      <c r="C612" s="50" t="inlineStr">
        <is>
          <t>Heineken USA</t>
        </is>
      </c>
      <c r="D612" s="50" t="inlineStr">
        <is>
          <t>Heineken Light</t>
        </is>
      </c>
      <c r="E612" s="46" t="n">
        <v>1060</v>
      </c>
      <c r="F612" s="46" t="n">
        <v>1202</v>
      </c>
      <c r="G612" s="48" t="n">
        <v>33296.6</v>
      </c>
      <c r="H612" s="48" t="n">
        <v>37654.2</v>
      </c>
      <c r="I612" s="48" t="n">
        <v>8102.72</v>
      </c>
      <c r="J612" s="48" t="n">
        <v>9080.559999999999</v>
      </c>
    </row>
    <row r="613">
      <c r="A613" s="50" t="inlineStr">
        <is>
          <t>Pablo Lopez</t>
        </is>
      </c>
      <c r="B613" s="50" t="inlineStr">
        <is>
          <t>Amplify</t>
        </is>
      </c>
      <c r="C613" s="50" t="inlineStr">
        <is>
          <t>Constellation Brands</t>
        </is>
      </c>
      <c r="D613" s="50" t="inlineStr">
        <is>
          <t>Corona Premier</t>
        </is>
      </c>
      <c r="E613" s="46" t="n">
        <v>202</v>
      </c>
      <c r="F613" s="46" t="n">
        <v>160</v>
      </c>
      <c r="G613" s="48" t="n">
        <v>6376.5</v>
      </c>
      <c r="H613" s="48" t="n">
        <v>4425.55</v>
      </c>
      <c r="I613" s="48" t="n">
        <v>1492.14</v>
      </c>
      <c r="J613" s="48" t="n">
        <v>1117.35</v>
      </c>
    </row>
    <row r="614">
      <c r="A614" s="50" t="inlineStr">
        <is>
          <t>Pablo Lopez</t>
        </is>
      </c>
      <c r="B614" s="50" t="inlineStr">
        <is>
          <t>Amplify</t>
        </is>
      </c>
      <c r="C614" s="50" t="inlineStr">
        <is>
          <t>Constellation Brands</t>
        </is>
      </c>
      <c r="D614" s="50" t="inlineStr">
        <is>
          <t>Modelo Chelada</t>
        </is>
      </c>
      <c r="E614" s="46" t="n">
        <v>2415</v>
      </c>
      <c r="F614" s="46" t="n">
        <v>3091</v>
      </c>
      <c r="G614" s="48" t="n">
        <v>74956.8</v>
      </c>
      <c r="H614" s="48" t="n">
        <v>95019.14999999999</v>
      </c>
      <c r="I614" s="48" t="n">
        <v>19347.15</v>
      </c>
      <c r="J614" s="48" t="n">
        <v>24490.61</v>
      </c>
    </row>
    <row r="615">
      <c r="A615" s="50" t="inlineStr">
        <is>
          <t>Pablo Lopez</t>
        </is>
      </c>
      <c r="B615" s="50" t="inlineStr">
        <is>
          <t>Amplify</t>
        </is>
      </c>
      <c r="C615" s="50" t="inlineStr">
        <is>
          <t>Constellation Brands</t>
        </is>
      </c>
      <c r="D615" s="50" t="inlineStr">
        <is>
          <t>Pacifico</t>
        </is>
      </c>
      <c r="E615" s="46" t="n">
        <v>750</v>
      </c>
      <c r="F615" s="46" t="n">
        <v>737</v>
      </c>
      <c r="G615" s="48" t="n">
        <v>23173.35</v>
      </c>
      <c r="H615" s="48" t="n">
        <v>22899.6</v>
      </c>
      <c r="I615" s="48" t="n">
        <v>5377.92</v>
      </c>
      <c r="J615" s="48" t="n">
        <v>5379.91</v>
      </c>
    </row>
    <row r="616">
      <c r="A616" s="50" t="inlineStr">
        <is>
          <t>Pablo Lopez</t>
        </is>
      </c>
      <c r="B616" s="50" t="inlineStr">
        <is>
          <t>Amplify</t>
        </is>
      </c>
      <c r="C616" s="50" t="inlineStr">
        <is>
          <t>Constellation Brands</t>
        </is>
      </c>
      <c r="D616" s="50" t="inlineStr">
        <is>
          <t>Victoria</t>
        </is>
      </c>
      <c r="E616" s="46" t="n">
        <v>2630</v>
      </c>
      <c r="F616" s="46" t="n">
        <v>3342</v>
      </c>
      <c r="G616" s="48" t="n">
        <v>78250.8</v>
      </c>
      <c r="H616" s="48" t="n">
        <v>100092.95</v>
      </c>
      <c r="I616" s="48" t="n">
        <v>19494.76</v>
      </c>
      <c r="J616" s="48" t="n">
        <v>25311.56</v>
      </c>
    </row>
    <row r="617">
      <c r="A617" s="50" t="inlineStr">
        <is>
          <t>Pablo Lopez</t>
        </is>
      </c>
      <c r="B617" s="50" t="inlineStr">
        <is>
          <t>Amplify</t>
        </is>
      </c>
      <c r="C617" s="50" t="inlineStr">
        <is>
          <t>Sapporo</t>
        </is>
      </c>
      <c r="D617" s="50" t="inlineStr">
        <is>
          <t>Sapporo</t>
        </is>
      </c>
      <c r="E617" s="46" t="n">
        <v>155</v>
      </c>
      <c r="F617" s="46" t="n">
        <v>117</v>
      </c>
      <c r="G617" s="48" t="n">
        <v>4895.75</v>
      </c>
      <c r="H617" s="48" t="n">
        <v>3786.25</v>
      </c>
      <c r="I617" s="48" t="n">
        <v>1203.5</v>
      </c>
      <c r="J617" s="48" t="n">
        <v>999.28</v>
      </c>
    </row>
    <row r="618">
      <c r="A618" s="50" t="inlineStr">
        <is>
          <t>Pablo Lopez</t>
        </is>
      </c>
      <c r="B618" s="50" t="inlineStr">
        <is>
          <t>Amplify</t>
        </is>
      </c>
      <c r="C618" s="50" t="inlineStr">
        <is>
          <t>New Belgium Brewing Company</t>
        </is>
      </c>
      <c r="D618" s="50" t="inlineStr">
        <is>
          <t>Kirin Ichiban</t>
        </is>
      </c>
      <c r="E618" s="46" t="n">
        <v>0</v>
      </c>
      <c r="F618" s="46" t="n">
        <v>1</v>
      </c>
      <c r="G618" s="48" t="n">
        <v>0</v>
      </c>
      <c r="H618" s="48" t="n">
        <v>36</v>
      </c>
      <c r="I618" s="48" t="n">
        <v>0</v>
      </c>
      <c r="J618" s="48" t="n">
        <v>11.82</v>
      </c>
    </row>
    <row r="619">
      <c r="A619" s="50" t="inlineStr">
        <is>
          <t>Pablo Lopez</t>
        </is>
      </c>
      <c r="B619" s="50" t="inlineStr">
        <is>
          <t>Amplify</t>
        </is>
      </c>
      <c r="C619" s="50" t="inlineStr">
        <is>
          <t>New Belgium Brewing Company</t>
        </is>
      </c>
      <c r="D619" s="50" t="inlineStr">
        <is>
          <t>Voodoo Family</t>
        </is>
      </c>
      <c r="E619" s="46" t="n">
        <v>95</v>
      </c>
      <c r="F619" s="46" t="n">
        <v>76</v>
      </c>
      <c r="G619" s="48" t="n">
        <v>3607.7</v>
      </c>
      <c r="H619" s="48" t="n">
        <v>2920.3</v>
      </c>
      <c r="I619" s="48" t="n">
        <v>1011.22</v>
      </c>
      <c r="J619" s="48" t="n">
        <v>864.02</v>
      </c>
    </row>
    <row r="620">
      <c r="A620" s="50" t="inlineStr">
        <is>
          <t>Pablo Lopez</t>
        </is>
      </c>
      <c r="B620" s="50" t="inlineStr">
        <is>
          <t>Amplify</t>
        </is>
      </c>
      <c r="C620" s="50" t="inlineStr">
        <is>
          <t>DG Yuengling Inc</t>
        </is>
      </c>
      <c r="D620" s="50" t="inlineStr">
        <is>
          <t>Yuengling Flight</t>
        </is>
      </c>
      <c r="E620" s="46" t="n">
        <v>14</v>
      </c>
      <c r="F620" s="46" t="n">
        <v>7</v>
      </c>
      <c r="G620" s="48" t="n">
        <v>246</v>
      </c>
      <c r="H620" s="48" t="n">
        <v>181</v>
      </c>
      <c r="I620" s="48" t="n">
        <v>70.81</v>
      </c>
      <c r="J620" s="48" t="n">
        <v>44.82</v>
      </c>
    </row>
    <row r="621">
      <c r="A621" s="50" t="inlineStr">
        <is>
          <t>Pablo Lopez</t>
        </is>
      </c>
      <c r="B621" s="50" t="inlineStr">
        <is>
          <t>Qualifier</t>
        </is>
      </c>
      <c r="C621" s="50" t="inlineStr">
        <is>
          <t>MolsonCoors Beverage Company</t>
        </is>
      </c>
      <c r="D621" s="50" t="inlineStr">
        <is>
          <t>Blue Moon</t>
        </is>
      </c>
      <c r="E621" s="46" t="n">
        <v>398</v>
      </c>
      <c r="F621" s="46" t="n">
        <v>490</v>
      </c>
      <c r="G621" s="48" t="n">
        <v>13637.5</v>
      </c>
      <c r="H621" s="48" t="n">
        <v>16630.85</v>
      </c>
      <c r="I621" s="48" t="n">
        <v>3582.7</v>
      </c>
      <c r="J621" s="48" t="n">
        <v>4209</v>
      </c>
    </row>
    <row r="622">
      <c r="A622" s="50" t="inlineStr">
        <is>
          <t>Pablo Lopez</t>
        </is>
      </c>
      <c r="B622" s="50" t="inlineStr">
        <is>
          <t>Qualifier</t>
        </is>
      </c>
      <c r="C622" s="50" t="inlineStr">
        <is>
          <t>MolsonCoors Beverage Company</t>
        </is>
      </c>
      <c r="D622" s="50" t="inlineStr">
        <is>
          <t>Coors Light</t>
        </is>
      </c>
      <c r="E622" s="46" t="n">
        <v>14549</v>
      </c>
      <c r="F622" s="46" t="n">
        <v>14696</v>
      </c>
      <c r="G622" s="48" t="n">
        <v>275740.65</v>
      </c>
      <c r="H622" s="48" t="n">
        <v>277448.85</v>
      </c>
      <c r="I622" s="48" t="n">
        <v>57060.42</v>
      </c>
      <c r="J622" s="48" t="n">
        <v>57448.22</v>
      </c>
    </row>
    <row r="623">
      <c r="A623" s="50" t="inlineStr">
        <is>
          <t>Pablo Lopez</t>
        </is>
      </c>
      <c r="B623" s="50" t="inlineStr">
        <is>
          <t>Qualifier</t>
        </is>
      </c>
      <c r="C623" s="50" t="inlineStr">
        <is>
          <t>MolsonCoors Beverage Company</t>
        </is>
      </c>
      <c r="D623" s="50" t="inlineStr">
        <is>
          <t>Lite</t>
        </is>
      </c>
      <c r="E623" s="46" t="n">
        <v>744</v>
      </c>
      <c r="F623" s="46" t="n">
        <v>739</v>
      </c>
      <c r="G623" s="48" t="n">
        <v>14842</v>
      </c>
      <c r="H623" s="48" t="n">
        <v>14606.15</v>
      </c>
      <c r="I623" s="48" t="n">
        <v>3092.66</v>
      </c>
      <c r="J623" s="48" t="n">
        <v>2836.86</v>
      </c>
    </row>
    <row r="624">
      <c r="A624" s="50" t="inlineStr">
        <is>
          <t>Pablo Lopez</t>
        </is>
      </c>
      <c r="B624" s="50" t="inlineStr">
        <is>
          <t>Qualifier</t>
        </is>
      </c>
      <c r="C624" s="50" t="inlineStr">
        <is>
          <t>Heineken USA</t>
        </is>
      </c>
      <c r="D624" s="50" t="inlineStr">
        <is>
          <t>Heineken USA</t>
        </is>
      </c>
      <c r="E624" s="46" t="n">
        <v>10479</v>
      </c>
      <c r="F624" s="46" t="n">
        <v>8457</v>
      </c>
      <c r="G624" s="48" t="n">
        <v>334226.15</v>
      </c>
      <c r="H624" s="48" t="n">
        <v>268363.3</v>
      </c>
      <c r="I624" s="48" t="n">
        <v>83184.21000000001</v>
      </c>
      <c r="J624" s="48" t="n">
        <v>65602.55</v>
      </c>
    </row>
    <row r="625">
      <c r="A625" s="50" t="inlineStr">
        <is>
          <t>Pablo Lopez</t>
        </is>
      </c>
      <c r="B625" s="50" t="inlineStr">
        <is>
          <t>Qualifier</t>
        </is>
      </c>
      <c r="C625" s="50" t="inlineStr">
        <is>
          <t>Constellation Brands</t>
        </is>
      </c>
      <c r="D625" s="50" t="inlineStr">
        <is>
          <t>Corona Extra</t>
        </is>
      </c>
      <c r="E625" s="46" t="n">
        <v>33531</v>
      </c>
      <c r="F625" s="46" t="n">
        <v>34040</v>
      </c>
      <c r="G625" s="48" t="n">
        <v>1094643.95</v>
      </c>
      <c r="H625" s="48" t="n">
        <v>1112421.15</v>
      </c>
      <c r="I625" s="48" t="n">
        <v>269290.96</v>
      </c>
      <c r="J625" s="48" t="n">
        <v>272106.98</v>
      </c>
    </row>
    <row r="626">
      <c r="A626" s="50" t="inlineStr">
        <is>
          <t>Pablo Lopez</t>
        </is>
      </c>
      <c r="B626" s="50" t="inlineStr">
        <is>
          <t>Qualifier</t>
        </is>
      </c>
      <c r="C626" s="50" t="inlineStr">
        <is>
          <t>Constellation Brands</t>
        </is>
      </c>
      <c r="D626" s="50" t="inlineStr">
        <is>
          <t>Modelo Especial</t>
        </is>
      </c>
      <c r="E626" s="46" t="n">
        <v>26335</v>
      </c>
      <c r="F626" s="46" t="n">
        <v>26229</v>
      </c>
      <c r="G626" s="48" t="n">
        <v>806082.05</v>
      </c>
      <c r="H626" s="48" t="n">
        <v>798735.8</v>
      </c>
      <c r="I626" s="48" t="n">
        <v>187846.14</v>
      </c>
      <c r="J626" s="48" t="n">
        <v>185718.31</v>
      </c>
    </row>
    <row r="627">
      <c r="A627" s="50" t="inlineStr">
        <is>
          <t>Pablo Lopez</t>
        </is>
      </c>
      <c r="B627" s="50" t="inlineStr">
        <is>
          <t>Qualifier</t>
        </is>
      </c>
      <c r="C627" s="50" t="inlineStr">
        <is>
          <t>Boston Beer Company</t>
        </is>
      </c>
      <c r="D627" s="50" t="inlineStr">
        <is>
          <t>Truly</t>
        </is>
      </c>
      <c r="E627" s="46" t="n">
        <v>5</v>
      </c>
      <c r="F627" s="46" t="n">
        <v>14</v>
      </c>
      <c r="G627" s="48" t="n">
        <v>157</v>
      </c>
      <c r="H627" s="48" t="n">
        <v>425.8</v>
      </c>
      <c r="I627" s="48" t="n">
        <v>43.3</v>
      </c>
      <c r="J627" s="48" t="n">
        <v>112.42</v>
      </c>
    </row>
    <row r="628">
      <c r="A628" s="50" t="inlineStr">
        <is>
          <t>Pablo Lopez</t>
        </is>
      </c>
      <c r="B628" s="50" t="inlineStr">
        <is>
          <t>Qualifier</t>
        </is>
      </c>
      <c r="C628" s="50" t="inlineStr">
        <is>
          <t>Boston Beer Company</t>
        </is>
      </c>
      <c r="D628" s="50" t="inlineStr">
        <is>
          <t>Twisted Tea</t>
        </is>
      </c>
      <c r="E628" s="46" t="n">
        <v>429</v>
      </c>
      <c r="F628" s="46" t="n">
        <v>459</v>
      </c>
      <c r="G628" s="48" t="n">
        <v>12640</v>
      </c>
      <c r="H628" s="48" t="n">
        <v>13567.75</v>
      </c>
      <c r="I628" s="48" t="n">
        <v>3464.05</v>
      </c>
      <c r="J628" s="48" t="n">
        <v>3593.3</v>
      </c>
    </row>
    <row r="629">
      <c r="A629" s="50" t="inlineStr">
        <is>
          <t>Pablo Lopez</t>
        </is>
      </c>
      <c r="B629" s="50" t="inlineStr">
        <is>
          <t>Qualifier</t>
        </is>
      </c>
      <c r="C629" s="50" t="inlineStr">
        <is>
          <t>Mark Anthony</t>
        </is>
      </c>
      <c r="D629" s="50" t="inlineStr">
        <is>
          <t>White Claw</t>
        </is>
      </c>
      <c r="E629" s="46" t="n">
        <v>1092</v>
      </c>
      <c r="F629" s="46" t="n">
        <v>941</v>
      </c>
      <c r="G629" s="48" t="n">
        <v>35668.65</v>
      </c>
      <c r="H629" s="48" t="n">
        <v>32059.6</v>
      </c>
      <c r="I629" s="48" t="n">
        <v>7897.47</v>
      </c>
      <c r="J629" s="48" t="n">
        <v>7151.03</v>
      </c>
    </row>
    <row r="630">
      <c r="A630" s="50" t="inlineStr">
        <is>
          <t>Pablo Lopez</t>
        </is>
      </c>
      <c r="B630" s="50" t="inlineStr">
        <is>
          <t>Qualifier</t>
        </is>
      </c>
      <c r="C630" s="50" t="inlineStr">
        <is>
          <t>DG Yuengling Inc</t>
        </is>
      </c>
      <c r="D630" s="50" t="inlineStr">
        <is>
          <t>Yuengling Lager</t>
        </is>
      </c>
      <c r="E630" s="46" t="n">
        <v>186</v>
      </c>
      <c r="F630" s="46" t="n">
        <v>294</v>
      </c>
      <c r="G630" s="48" t="n">
        <v>3467.5</v>
      </c>
      <c r="H630" s="48" t="n">
        <v>5338.3</v>
      </c>
      <c r="I630" s="48" t="n">
        <v>927.37</v>
      </c>
      <c r="J630" s="48" t="n">
        <v>1353.3</v>
      </c>
    </row>
    <row r="631">
      <c r="A631" s="50" t="inlineStr">
        <is>
          <t>Paul Mclaughlin</t>
        </is>
      </c>
      <c r="B631" s="50" t="inlineStr">
        <is>
          <t>Amplify</t>
        </is>
      </c>
      <c r="C631" s="50" t="inlineStr">
        <is>
          <t>Cape May</t>
        </is>
      </c>
      <c r="D631" s="50" t="inlineStr">
        <is>
          <t>Cape May</t>
        </is>
      </c>
      <c r="E631" s="46" t="n">
        <v>228</v>
      </c>
      <c r="F631" s="46" t="n">
        <v>254</v>
      </c>
      <c r="G631" s="48" t="n">
        <v>8532.799999999999</v>
      </c>
      <c r="H631" s="48" t="n">
        <v>9495.4</v>
      </c>
      <c r="I631" s="48" t="n">
        <v>2132.21</v>
      </c>
      <c r="J631" s="48" t="n">
        <v>2501.89</v>
      </c>
    </row>
    <row r="632">
      <c r="A632" s="50" t="inlineStr">
        <is>
          <t>Paul Mclaughlin</t>
        </is>
      </c>
      <c r="B632" s="50" t="inlineStr">
        <is>
          <t>Amplify</t>
        </is>
      </c>
      <c r="C632" s="50" t="inlineStr">
        <is>
          <t>Mark Anthony</t>
        </is>
      </c>
      <c r="D632" s="50" t="inlineStr">
        <is>
          <t>Cayman Jack</t>
        </is>
      </c>
      <c r="E632" s="46" t="n">
        <v>5</v>
      </c>
      <c r="F632" s="46" t="n">
        <v>0</v>
      </c>
      <c r="G632" s="48" t="n">
        <v>165</v>
      </c>
      <c r="H632" s="48" t="n">
        <v>0</v>
      </c>
      <c r="I632" s="48" t="n">
        <v>47.7</v>
      </c>
      <c r="J632" s="48" t="n">
        <v>0</v>
      </c>
    </row>
    <row r="633">
      <c r="A633" s="50" t="inlineStr">
        <is>
          <t>Paul Mclaughlin</t>
        </is>
      </c>
      <c r="B633" s="50" t="inlineStr">
        <is>
          <t>Amplify</t>
        </is>
      </c>
      <c r="C633" s="50" t="inlineStr">
        <is>
          <t>MolsonCoors Beverage Company</t>
        </is>
      </c>
      <c r="D633" s="50" t="inlineStr">
        <is>
          <t>Coors</t>
        </is>
      </c>
      <c r="E633" s="46" t="n">
        <v>169</v>
      </c>
      <c r="F633" s="46" t="n">
        <v>94</v>
      </c>
      <c r="G633" s="48" t="n">
        <v>4111.05</v>
      </c>
      <c r="H633" s="48" t="n">
        <v>2347.5</v>
      </c>
      <c r="I633" s="48" t="n">
        <v>1200.25</v>
      </c>
      <c r="J633" s="48" t="n">
        <v>674.42</v>
      </c>
    </row>
    <row r="634">
      <c r="A634" s="50" t="inlineStr">
        <is>
          <t>Paul Mclaughlin</t>
        </is>
      </c>
      <c r="B634" s="50" t="inlineStr">
        <is>
          <t>Amplify</t>
        </is>
      </c>
      <c r="C634" s="50" t="inlineStr">
        <is>
          <t>MolsonCoors Beverage Company</t>
        </is>
      </c>
      <c r="D634" s="50" t="inlineStr">
        <is>
          <t>Fever Tree</t>
        </is>
      </c>
      <c r="E634" s="46" t="n">
        <v>4</v>
      </c>
      <c r="F634" s="46" t="n">
        <v>145</v>
      </c>
      <c r="G634" s="48" t="n">
        <v>184.5</v>
      </c>
      <c r="H634" s="48" t="n">
        <v>6736</v>
      </c>
      <c r="I634" s="48" t="n">
        <v>68.68000000000001</v>
      </c>
      <c r="J634" s="48" t="n">
        <v>2093.71</v>
      </c>
    </row>
    <row r="635">
      <c r="A635" s="50" t="inlineStr">
        <is>
          <t>Paul Mclaughlin</t>
        </is>
      </c>
      <c r="B635" s="50" t="inlineStr">
        <is>
          <t>Amplify</t>
        </is>
      </c>
      <c r="C635" s="50" t="inlineStr">
        <is>
          <t>MolsonCoors Beverage Company</t>
        </is>
      </c>
      <c r="D635" s="50" t="inlineStr">
        <is>
          <t>Peroni</t>
        </is>
      </c>
      <c r="E635" s="46" t="n">
        <v>1592</v>
      </c>
      <c r="F635" s="46" t="n">
        <v>1527</v>
      </c>
      <c r="G635" s="48" t="n">
        <v>54728.25</v>
      </c>
      <c r="H635" s="48" t="n">
        <v>51956.35</v>
      </c>
      <c r="I635" s="48" t="n">
        <v>13778.73</v>
      </c>
      <c r="J635" s="48" t="n">
        <v>13437.66</v>
      </c>
    </row>
    <row r="636">
      <c r="A636" s="50" t="inlineStr">
        <is>
          <t>Paul Mclaughlin</t>
        </is>
      </c>
      <c r="B636" s="50" t="inlineStr">
        <is>
          <t>Amplify</t>
        </is>
      </c>
      <c r="C636" s="50" t="inlineStr">
        <is>
          <t>Boston Beer Company</t>
        </is>
      </c>
      <c r="D636" s="50" t="inlineStr">
        <is>
          <t>Dogfish Head Beer</t>
        </is>
      </c>
      <c r="E636" s="46" t="n">
        <v>701</v>
      </c>
      <c r="F636" s="46" t="n">
        <v>701</v>
      </c>
      <c r="G636" s="48" t="n">
        <v>23891</v>
      </c>
      <c r="H636" s="48" t="n">
        <v>24330.4</v>
      </c>
      <c r="I636" s="48" t="n">
        <v>6647.66</v>
      </c>
      <c r="J636" s="48" t="n">
        <v>6679.19</v>
      </c>
    </row>
    <row r="637">
      <c r="A637" s="50" t="inlineStr">
        <is>
          <t>Paul Mclaughlin</t>
        </is>
      </c>
      <c r="B637" s="50" t="inlineStr">
        <is>
          <t>Amplify</t>
        </is>
      </c>
      <c r="C637" s="50" t="inlineStr">
        <is>
          <t>Boston Beer Company</t>
        </is>
      </c>
      <c r="D637" s="50" t="inlineStr">
        <is>
          <t>Dogfish Head Spirits</t>
        </is>
      </c>
      <c r="E637" s="46" t="n">
        <v>5</v>
      </c>
      <c r="F637" s="46" t="n">
        <v>12</v>
      </c>
      <c r="G637" s="48" t="n">
        <v>300</v>
      </c>
      <c r="H637" s="48" t="n">
        <v>854.62</v>
      </c>
      <c r="I637" s="48" t="n">
        <v>118.15</v>
      </c>
      <c r="J637" s="48" t="n">
        <v>326</v>
      </c>
    </row>
    <row r="638">
      <c r="A638" s="50" t="inlineStr">
        <is>
          <t>Paul Mclaughlin</t>
        </is>
      </c>
      <c r="B638" s="50" t="inlineStr">
        <is>
          <t>Amplify</t>
        </is>
      </c>
      <c r="C638" s="50" t="inlineStr">
        <is>
          <t>Heineken USA</t>
        </is>
      </c>
      <c r="D638" s="50" t="inlineStr">
        <is>
          <t>Heineken 0.0</t>
        </is>
      </c>
      <c r="E638" s="46" t="n">
        <v>404</v>
      </c>
      <c r="F638" s="46" t="n">
        <v>328</v>
      </c>
      <c r="G638" s="48" t="n">
        <v>14417.4</v>
      </c>
      <c r="H638" s="48" t="n">
        <v>11830.7</v>
      </c>
      <c r="I638" s="48" t="n">
        <v>4443.1</v>
      </c>
      <c r="J638" s="48" t="n">
        <v>3726.39</v>
      </c>
    </row>
    <row r="639">
      <c r="A639" s="50" t="inlineStr">
        <is>
          <t>Paul Mclaughlin</t>
        </is>
      </c>
      <c r="B639" s="50" t="inlineStr">
        <is>
          <t>Amplify</t>
        </is>
      </c>
      <c r="C639" s="50" t="inlineStr">
        <is>
          <t>Heineken USA</t>
        </is>
      </c>
      <c r="D639" s="50" t="inlineStr">
        <is>
          <t>Heineken Light</t>
        </is>
      </c>
      <c r="E639" s="46" t="n">
        <v>312</v>
      </c>
      <c r="F639" s="46" t="n">
        <v>322</v>
      </c>
      <c r="G639" s="48" t="n">
        <v>10632.65</v>
      </c>
      <c r="H639" s="48" t="n">
        <v>10981.7</v>
      </c>
      <c r="I639" s="48" t="n">
        <v>3208.99</v>
      </c>
      <c r="J639" s="48" t="n">
        <v>3319.85</v>
      </c>
    </row>
    <row r="640">
      <c r="A640" s="50" t="inlineStr">
        <is>
          <t>Paul Mclaughlin</t>
        </is>
      </c>
      <c r="B640" s="50" t="inlineStr">
        <is>
          <t>Amplify</t>
        </is>
      </c>
      <c r="C640" s="50" t="inlineStr">
        <is>
          <t>Constellation Brands</t>
        </is>
      </c>
      <c r="D640" s="50" t="inlineStr">
        <is>
          <t>Corona Premier</t>
        </is>
      </c>
      <c r="E640" s="46" t="n">
        <v>38</v>
      </c>
      <c r="F640" s="46" t="n">
        <v>26</v>
      </c>
      <c r="G640" s="48" t="n">
        <v>1234.75</v>
      </c>
      <c r="H640" s="48" t="n">
        <v>785.8</v>
      </c>
      <c r="I640" s="48" t="n">
        <v>341.23</v>
      </c>
      <c r="J640" s="48" t="n">
        <v>210.72</v>
      </c>
    </row>
    <row r="641">
      <c r="A641" s="50" t="inlineStr">
        <is>
          <t>Paul Mclaughlin</t>
        </is>
      </c>
      <c r="B641" s="50" t="inlineStr">
        <is>
          <t>Amplify</t>
        </is>
      </c>
      <c r="C641" s="50" t="inlineStr">
        <is>
          <t>Constellation Brands</t>
        </is>
      </c>
      <c r="D641" s="50" t="inlineStr">
        <is>
          <t>Modelo Chelada</t>
        </is>
      </c>
      <c r="E641" s="46" t="n">
        <v>0</v>
      </c>
      <c r="F641" s="46" t="n">
        <v>1</v>
      </c>
      <c r="G641" s="48" t="n">
        <v>0</v>
      </c>
      <c r="H641" s="48" t="n">
        <v>33</v>
      </c>
      <c r="I641" s="48" t="n">
        <v>0</v>
      </c>
      <c r="J641" s="48" t="n">
        <v>10.32</v>
      </c>
    </row>
    <row r="642">
      <c r="A642" s="50" t="inlineStr">
        <is>
          <t>Paul Mclaughlin</t>
        </is>
      </c>
      <c r="B642" s="50" t="inlineStr">
        <is>
          <t>Amplify</t>
        </is>
      </c>
      <c r="C642" s="50" t="inlineStr">
        <is>
          <t>Constellation Brands</t>
        </is>
      </c>
      <c r="D642" s="50" t="inlineStr">
        <is>
          <t>Pacifico</t>
        </is>
      </c>
      <c r="E642" s="46" t="n">
        <v>214</v>
      </c>
      <c r="F642" s="46" t="n">
        <v>294</v>
      </c>
      <c r="G642" s="48" t="n">
        <v>6715.5</v>
      </c>
      <c r="H642" s="48" t="n">
        <v>9153.75</v>
      </c>
      <c r="I642" s="48" t="n">
        <v>1784.14</v>
      </c>
      <c r="J642" s="48" t="n">
        <v>2435</v>
      </c>
    </row>
    <row r="643">
      <c r="A643" s="50" t="inlineStr">
        <is>
          <t>Paul Mclaughlin</t>
        </is>
      </c>
      <c r="B643" s="50" t="inlineStr">
        <is>
          <t>Amplify</t>
        </is>
      </c>
      <c r="C643" s="50" t="inlineStr">
        <is>
          <t>Constellation Brands</t>
        </is>
      </c>
      <c r="D643" s="50" t="inlineStr">
        <is>
          <t>Victoria</t>
        </is>
      </c>
      <c r="E643" s="46" t="n">
        <v>38</v>
      </c>
      <c r="F643" s="46" t="n">
        <v>109</v>
      </c>
      <c r="G643" s="48" t="n">
        <v>1195.9</v>
      </c>
      <c r="H643" s="48" t="n">
        <v>3405.95</v>
      </c>
      <c r="I643" s="48" t="n">
        <v>277.21</v>
      </c>
      <c r="J643" s="48" t="n">
        <v>775.78</v>
      </c>
    </row>
    <row r="644">
      <c r="A644" s="50" t="inlineStr">
        <is>
          <t>Paul Mclaughlin</t>
        </is>
      </c>
      <c r="B644" s="50" t="inlineStr">
        <is>
          <t>Amplify</t>
        </is>
      </c>
      <c r="C644" s="50" t="inlineStr">
        <is>
          <t>Sapporo</t>
        </is>
      </c>
      <c r="D644" s="50" t="inlineStr">
        <is>
          <t>Sapporo</t>
        </is>
      </c>
      <c r="E644" s="46" t="n">
        <v>93</v>
      </c>
      <c r="F644" s="46" t="n">
        <v>78</v>
      </c>
      <c r="G644" s="48" t="n">
        <v>2587</v>
      </c>
      <c r="H644" s="48" t="n">
        <v>2148</v>
      </c>
      <c r="I644" s="48" t="n">
        <v>750.51</v>
      </c>
      <c r="J644" s="48" t="n">
        <v>641.87</v>
      </c>
    </row>
    <row r="645">
      <c r="A645" s="50" t="inlineStr">
        <is>
          <t>Paul Mclaughlin</t>
        </is>
      </c>
      <c r="B645" s="50" t="inlineStr">
        <is>
          <t>Amplify</t>
        </is>
      </c>
      <c r="C645" s="50" t="inlineStr">
        <is>
          <t>Bell's</t>
        </is>
      </c>
      <c r="D645" s="50" t="inlineStr">
        <is>
          <t>Bell's</t>
        </is>
      </c>
      <c r="E645" s="46" t="n">
        <v>7</v>
      </c>
      <c r="F645" s="46" t="n">
        <v>0</v>
      </c>
      <c r="G645" s="48" t="n">
        <v>264</v>
      </c>
      <c r="H645" s="48" t="n">
        <v>0</v>
      </c>
      <c r="I645" s="48" t="n">
        <v>71.36</v>
      </c>
      <c r="J645" s="48" t="n">
        <v>0</v>
      </c>
    </row>
    <row r="646">
      <c r="A646" s="50" t="inlineStr">
        <is>
          <t>Paul Mclaughlin</t>
        </is>
      </c>
      <c r="B646" s="50" t="inlineStr">
        <is>
          <t>Amplify</t>
        </is>
      </c>
      <c r="C646" s="50" t="inlineStr">
        <is>
          <t>New Belgium Brewing Company</t>
        </is>
      </c>
      <c r="D646" s="50" t="inlineStr">
        <is>
          <t>Fat Tire Family</t>
        </is>
      </c>
      <c r="E646" s="46" t="n">
        <v>270</v>
      </c>
      <c r="F646" s="46" t="n">
        <v>309</v>
      </c>
      <c r="G646" s="48" t="n">
        <v>9098</v>
      </c>
      <c r="H646" s="48" t="n">
        <v>9318.5</v>
      </c>
      <c r="I646" s="48" t="n">
        <v>2189.28</v>
      </c>
      <c r="J646" s="48" t="n">
        <v>2209.39</v>
      </c>
    </row>
    <row r="647">
      <c r="A647" s="50" t="inlineStr">
        <is>
          <t>Paul Mclaughlin</t>
        </is>
      </c>
      <c r="B647" s="50" t="inlineStr">
        <is>
          <t>Amplify</t>
        </is>
      </c>
      <c r="C647" s="50" t="inlineStr">
        <is>
          <t>New Belgium Brewing Company</t>
        </is>
      </c>
      <c r="D647" s="50" t="inlineStr">
        <is>
          <t>Kirin Ichiban</t>
        </is>
      </c>
      <c r="E647" s="46" t="n">
        <v>52</v>
      </c>
      <c r="F647" s="46" t="n">
        <v>1</v>
      </c>
      <c r="G647" s="48" t="n">
        <v>1600</v>
      </c>
      <c r="H647" s="48" t="n">
        <v>36</v>
      </c>
      <c r="I647" s="48" t="n">
        <v>444.95</v>
      </c>
      <c r="J647" s="48" t="n">
        <v>11.82</v>
      </c>
    </row>
    <row r="648">
      <c r="A648" s="50" t="inlineStr">
        <is>
          <t>Paul Mclaughlin</t>
        </is>
      </c>
      <c r="B648" s="50" t="inlineStr">
        <is>
          <t>Amplify</t>
        </is>
      </c>
      <c r="C648" s="50" t="inlineStr">
        <is>
          <t>New Belgium Brewing Company</t>
        </is>
      </c>
      <c r="D648" s="50" t="inlineStr">
        <is>
          <t>Voodoo Family</t>
        </is>
      </c>
      <c r="E648" s="46" t="n">
        <v>421</v>
      </c>
      <c r="F648" s="46" t="n">
        <v>443</v>
      </c>
      <c r="G648" s="48" t="n">
        <v>15225.4</v>
      </c>
      <c r="H648" s="48" t="n">
        <v>15618.3</v>
      </c>
      <c r="I648" s="48" t="n">
        <v>4020.77</v>
      </c>
      <c r="J648" s="48" t="n">
        <v>4186.82</v>
      </c>
    </row>
    <row r="649">
      <c r="A649" s="50" t="inlineStr">
        <is>
          <t>Paul Mclaughlin</t>
        </is>
      </c>
      <c r="B649" s="50" t="inlineStr">
        <is>
          <t>Amplify</t>
        </is>
      </c>
      <c r="C649" s="50" t="inlineStr">
        <is>
          <t>DG Yuengling Inc</t>
        </is>
      </c>
      <c r="D649" s="50" t="inlineStr">
        <is>
          <t>Yuengling Flight</t>
        </is>
      </c>
      <c r="E649" s="46" t="n">
        <v>0</v>
      </c>
      <c r="F649" s="46" t="n">
        <v>14</v>
      </c>
      <c r="G649" s="48" t="n">
        <v>0</v>
      </c>
      <c r="H649" s="48" t="n">
        <v>380.5</v>
      </c>
      <c r="I649" s="48" t="n">
        <v>0</v>
      </c>
      <c r="J649" s="48" t="n">
        <v>102.69</v>
      </c>
    </row>
    <row r="650">
      <c r="A650" s="50" t="inlineStr">
        <is>
          <t>Paul Mclaughlin</t>
        </is>
      </c>
      <c r="B650" s="50" t="inlineStr">
        <is>
          <t>Qualifier</t>
        </is>
      </c>
      <c r="C650" s="50" t="inlineStr">
        <is>
          <t>MolsonCoors Beverage Company</t>
        </is>
      </c>
      <c r="D650" s="50" t="inlineStr">
        <is>
          <t>Blue Moon</t>
        </is>
      </c>
      <c r="E650" s="46" t="n">
        <v>2122</v>
      </c>
      <c r="F650" s="46" t="n">
        <v>1929</v>
      </c>
      <c r="G650" s="48" t="n">
        <v>66742.5</v>
      </c>
      <c r="H650" s="48" t="n">
        <v>61429.5</v>
      </c>
      <c r="I650" s="48" t="n">
        <v>22919.27</v>
      </c>
      <c r="J650" s="48" t="n">
        <v>21047.28</v>
      </c>
    </row>
    <row r="651">
      <c r="A651" s="50" t="inlineStr">
        <is>
          <t>Paul Mclaughlin</t>
        </is>
      </c>
      <c r="B651" s="50" t="inlineStr">
        <is>
          <t>Qualifier</t>
        </is>
      </c>
      <c r="C651" s="50" t="inlineStr">
        <is>
          <t>MolsonCoors Beverage Company</t>
        </is>
      </c>
      <c r="D651" s="50" t="inlineStr">
        <is>
          <t>Coors Light</t>
        </is>
      </c>
      <c r="E651" s="46" t="n">
        <v>5948</v>
      </c>
      <c r="F651" s="46" t="n">
        <v>5591</v>
      </c>
      <c r="G651" s="48" t="n">
        <v>128112.9</v>
      </c>
      <c r="H651" s="48" t="n">
        <v>121220.3</v>
      </c>
      <c r="I651" s="48" t="n">
        <v>36349.38</v>
      </c>
      <c r="J651" s="48" t="n">
        <v>34221.81</v>
      </c>
    </row>
    <row r="652">
      <c r="A652" s="50" t="inlineStr">
        <is>
          <t>Paul Mclaughlin</t>
        </is>
      </c>
      <c r="B652" s="50" t="inlineStr">
        <is>
          <t>Qualifier</t>
        </is>
      </c>
      <c r="C652" s="50" t="inlineStr">
        <is>
          <t>MolsonCoors Beverage Company</t>
        </is>
      </c>
      <c r="D652" s="50" t="inlineStr">
        <is>
          <t>Lite</t>
        </is>
      </c>
      <c r="E652" s="46" t="n">
        <v>5351</v>
      </c>
      <c r="F652" s="46" t="n">
        <v>5289</v>
      </c>
      <c r="G652" s="48" t="n">
        <v>117824.3</v>
      </c>
      <c r="H652" s="48" t="n">
        <v>117818.35</v>
      </c>
      <c r="I652" s="48" t="n">
        <v>30008.49</v>
      </c>
      <c r="J652" s="48" t="n">
        <v>29304.09</v>
      </c>
    </row>
    <row r="653">
      <c r="A653" s="50" t="inlineStr">
        <is>
          <t>Paul Mclaughlin</t>
        </is>
      </c>
      <c r="B653" s="50" t="inlineStr">
        <is>
          <t>Qualifier</t>
        </is>
      </c>
      <c r="C653" s="50" t="inlineStr">
        <is>
          <t>Heineken USA</t>
        </is>
      </c>
      <c r="D653" s="50" t="inlineStr">
        <is>
          <t>Heineken USA</t>
        </is>
      </c>
      <c r="E653" s="46" t="n">
        <v>2427</v>
      </c>
      <c r="F653" s="46" t="n">
        <v>2061</v>
      </c>
      <c r="G653" s="48" t="n">
        <v>84048.05</v>
      </c>
      <c r="H653" s="48" t="n">
        <v>71556.8</v>
      </c>
      <c r="I653" s="48" t="n">
        <v>26374.51</v>
      </c>
      <c r="J653" s="48" t="n">
        <v>22680.64</v>
      </c>
    </row>
    <row r="654">
      <c r="A654" s="50" t="inlineStr">
        <is>
          <t>Paul Mclaughlin</t>
        </is>
      </c>
      <c r="B654" s="50" t="inlineStr">
        <is>
          <t>Qualifier</t>
        </is>
      </c>
      <c r="C654" s="50" t="inlineStr">
        <is>
          <t>Constellation Brands</t>
        </is>
      </c>
      <c r="D654" s="50" t="inlineStr">
        <is>
          <t>Corona Extra</t>
        </is>
      </c>
      <c r="E654" s="46" t="n">
        <v>5437</v>
      </c>
      <c r="F654" s="46" t="n">
        <v>5076</v>
      </c>
      <c r="G654" s="48" t="n">
        <v>183914.75</v>
      </c>
      <c r="H654" s="48" t="n">
        <v>171837.25</v>
      </c>
      <c r="I654" s="48" t="n">
        <v>52612.73</v>
      </c>
      <c r="J654" s="48" t="n">
        <v>48926.51</v>
      </c>
    </row>
    <row r="655">
      <c r="A655" s="50" t="inlineStr">
        <is>
          <t>Paul Mclaughlin</t>
        </is>
      </c>
      <c r="B655" s="50" t="inlineStr">
        <is>
          <t>Qualifier</t>
        </is>
      </c>
      <c r="C655" s="50" t="inlineStr">
        <is>
          <t>Constellation Brands</t>
        </is>
      </c>
      <c r="D655" s="50" t="inlineStr">
        <is>
          <t>Modelo Especial</t>
        </is>
      </c>
      <c r="E655" s="46" t="n">
        <v>3222</v>
      </c>
      <c r="F655" s="46" t="n">
        <v>4837</v>
      </c>
      <c r="G655" s="48" t="n">
        <v>95330.14999999999</v>
      </c>
      <c r="H655" s="48" t="n">
        <v>140645.5</v>
      </c>
      <c r="I655" s="48" t="n">
        <v>24757.66</v>
      </c>
      <c r="J655" s="48" t="n">
        <v>35436.04</v>
      </c>
    </row>
    <row r="656">
      <c r="A656" s="50" t="inlineStr">
        <is>
          <t>Paul Mclaughlin</t>
        </is>
      </c>
      <c r="B656" s="50" t="inlineStr">
        <is>
          <t>Qualifier</t>
        </is>
      </c>
      <c r="C656" s="50" t="inlineStr">
        <is>
          <t>Boston Beer Company</t>
        </is>
      </c>
      <c r="D656" s="50" t="inlineStr">
        <is>
          <t>Truly</t>
        </is>
      </c>
      <c r="E656" s="46" t="n">
        <v>42</v>
      </c>
      <c r="F656" s="46" t="n">
        <v>12</v>
      </c>
      <c r="G656" s="48" t="n">
        <v>1371</v>
      </c>
      <c r="H656" s="48" t="n">
        <v>400.8</v>
      </c>
      <c r="I656" s="48" t="n">
        <v>462.5</v>
      </c>
      <c r="J656" s="48" t="n">
        <v>127.92</v>
      </c>
    </row>
    <row r="657">
      <c r="A657" s="50" t="inlineStr">
        <is>
          <t>Paul Mclaughlin</t>
        </is>
      </c>
      <c r="B657" s="50" t="inlineStr">
        <is>
          <t>Qualifier</t>
        </is>
      </c>
      <c r="C657" s="50" t="inlineStr">
        <is>
          <t>Boston Beer Company</t>
        </is>
      </c>
      <c r="D657" s="50" t="inlineStr">
        <is>
          <t>Twisted Tea</t>
        </is>
      </c>
      <c r="E657" s="46" t="n">
        <v>191</v>
      </c>
      <c r="F657" s="46" t="n">
        <v>172</v>
      </c>
      <c r="G657" s="48" t="n">
        <v>6301.25</v>
      </c>
      <c r="H657" s="48" t="n">
        <v>5673.5</v>
      </c>
      <c r="I657" s="48" t="n">
        <v>1825.71</v>
      </c>
      <c r="J657" s="48" t="n">
        <v>1672.05</v>
      </c>
    </row>
    <row r="658">
      <c r="A658" s="50" t="inlineStr">
        <is>
          <t>Paul Mclaughlin</t>
        </is>
      </c>
      <c r="B658" s="50" t="inlineStr">
        <is>
          <t>Qualifier</t>
        </is>
      </c>
      <c r="C658" s="50" t="inlineStr">
        <is>
          <t>Mark Anthony</t>
        </is>
      </c>
      <c r="D658" s="50" t="inlineStr">
        <is>
          <t>White Claw</t>
        </is>
      </c>
      <c r="E658" s="46" t="n">
        <v>713</v>
      </c>
      <c r="F658" s="46" t="n">
        <v>664</v>
      </c>
      <c r="G658" s="48" t="n">
        <v>23909</v>
      </c>
      <c r="H658" s="48" t="n">
        <v>22365.9</v>
      </c>
      <c r="I658" s="48" t="n">
        <v>6227.88</v>
      </c>
      <c r="J658" s="48" t="n">
        <v>5772.16</v>
      </c>
    </row>
    <row r="659">
      <c r="A659" s="50" t="inlineStr">
        <is>
          <t>Paul Mclaughlin</t>
        </is>
      </c>
      <c r="B659" s="50" t="inlineStr">
        <is>
          <t>Qualifier</t>
        </is>
      </c>
      <c r="C659" s="50" t="inlineStr">
        <is>
          <t>DG Yuengling Inc</t>
        </is>
      </c>
      <c r="D659" s="50" t="inlineStr">
        <is>
          <t>Yuengling Lager</t>
        </is>
      </c>
      <c r="E659" s="46" t="n">
        <v>2991</v>
      </c>
      <c r="F659" s="46" t="n">
        <v>2977</v>
      </c>
      <c r="G659" s="48" t="n">
        <v>57918</v>
      </c>
      <c r="H659" s="48" t="n">
        <v>57255</v>
      </c>
      <c r="I659" s="48" t="n">
        <v>17372.66</v>
      </c>
      <c r="J659" s="48" t="n">
        <v>17020.38</v>
      </c>
    </row>
    <row r="660">
      <c r="A660" s="50" t="inlineStr">
        <is>
          <t>Phil Ernst</t>
        </is>
      </c>
      <c r="B660" s="50" t="inlineStr">
        <is>
          <t>Amplify</t>
        </is>
      </c>
      <c r="C660" s="50" t="inlineStr">
        <is>
          <t>Cape May</t>
        </is>
      </c>
      <c r="D660" s="50" t="inlineStr">
        <is>
          <t>Cape May</t>
        </is>
      </c>
      <c r="E660" s="46" t="n">
        <v>941</v>
      </c>
      <c r="F660" s="46" t="n">
        <v>768</v>
      </c>
      <c r="G660" s="48" t="n">
        <v>38711.45</v>
      </c>
      <c r="H660" s="48" t="n">
        <v>31673.4</v>
      </c>
      <c r="I660" s="48" t="n">
        <v>11662.43</v>
      </c>
      <c r="J660" s="48" t="n">
        <v>9607.879999999999</v>
      </c>
    </row>
    <row r="661">
      <c r="A661" s="50" t="inlineStr">
        <is>
          <t>Phil Ernst</t>
        </is>
      </c>
      <c r="B661" s="50" t="inlineStr">
        <is>
          <t>Amplify</t>
        </is>
      </c>
      <c r="C661" s="50" t="inlineStr">
        <is>
          <t>Mark Anthony</t>
        </is>
      </c>
      <c r="D661" s="50" t="inlineStr">
        <is>
          <t>Cayman Jack</t>
        </is>
      </c>
      <c r="E661" s="46" t="n">
        <v>625</v>
      </c>
      <c r="F661" s="46" t="n">
        <v>745</v>
      </c>
      <c r="G661" s="48" t="n">
        <v>20252.75</v>
      </c>
      <c r="H661" s="48" t="n">
        <v>24074</v>
      </c>
      <c r="I661" s="48" t="n">
        <v>5154.19</v>
      </c>
      <c r="J661" s="48" t="n">
        <v>6051.27</v>
      </c>
    </row>
    <row r="662">
      <c r="A662" s="50" t="inlineStr">
        <is>
          <t>Phil Ernst</t>
        </is>
      </c>
      <c r="B662" s="50" t="inlineStr">
        <is>
          <t>Amplify</t>
        </is>
      </c>
      <c r="C662" s="50" t="inlineStr">
        <is>
          <t>Mark Anthony</t>
        </is>
      </c>
      <c r="D662" s="50" t="inlineStr">
        <is>
          <t>Mike's Harder</t>
        </is>
      </c>
      <c r="E662" s="46" t="n">
        <v>289</v>
      </c>
      <c r="F662" s="46" t="n">
        <v>246</v>
      </c>
      <c r="G662" s="48" t="n">
        <v>8084</v>
      </c>
      <c r="H662" s="48" t="n">
        <v>7345</v>
      </c>
      <c r="I662" s="48" t="n">
        <v>1799.35</v>
      </c>
      <c r="J662" s="48" t="n">
        <v>1648.58</v>
      </c>
    </row>
    <row r="663">
      <c r="A663" s="50" t="inlineStr">
        <is>
          <t>Phil Ernst</t>
        </is>
      </c>
      <c r="B663" s="50" t="inlineStr">
        <is>
          <t>Amplify</t>
        </is>
      </c>
      <c r="C663" s="50" t="inlineStr">
        <is>
          <t>Mark Anthony</t>
        </is>
      </c>
      <c r="D663" s="50" t="inlineStr">
        <is>
          <t>Mxd Cocktails</t>
        </is>
      </c>
      <c r="E663" s="46" t="n">
        <v>13</v>
      </c>
      <c r="F663" s="46" t="n">
        <v>33</v>
      </c>
      <c r="G663" s="48" t="n">
        <v>320</v>
      </c>
      <c r="H663" s="48" t="n">
        <v>800</v>
      </c>
      <c r="I663" s="48" t="n">
        <v>60.1</v>
      </c>
      <c r="J663" s="48" t="n">
        <v>149.96</v>
      </c>
    </row>
    <row r="664">
      <c r="A664" s="50" t="inlineStr">
        <is>
          <t>Phil Ernst</t>
        </is>
      </c>
      <c r="B664" s="50" t="inlineStr">
        <is>
          <t>Amplify</t>
        </is>
      </c>
      <c r="C664" s="50" t="inlineStr">
        <is>
          <t>MolsonCoors Beverage Company</t>
        </is>
      </c>
      <c r="D664" s="50" t="inlineStr">
        <is>
          <t>Coors</t>
        </is>
      </c>
      <c r="E664" s="46" t="n">
        <v>2977</v>
      </c>
      <c r="F664" s="46" t="n">
        <v>2734</v>
      </c>
      <c r="G664" s="48" t="n">
        <v>63318.7</v>
      </c>
      <c r="H664" s="48" t="n">
        <v>59432.25</v>
      </c>
      <c r="I664" s="48" t="n">
        <v>16436.17</v>
      </c>
      <c r="J664" s="48" t="n">
        <v>15579.98</v>
      </c>
    </row>
    <row r="665">
      <c r="A665" s="50" t="inlineStr">
        <is>
          <t>Phil Ernst</t>
        </is>
      </c>
      <c r="B665" s="50" t="inlineStr">
        <is>
          <t>Amplify</t>
        </is>
      </c>
      <c r="C665" s="50" t="inlineStr">
        <is>
          <t>MolsonCoors Beverage Company</t>
        </is>
      </c>
      <c r="D665" s="50" t="inlineStr">
        <is>
          <t>Fever Tree</t>
        </is>
      </c>
      <c r="E665" s="46" t="n">
        <v>7</v>
      </c>
      <c r="F665" s="46" t="n">
        <v>365</v>
      </c>
      <c r="G665" s="48" t="n">
        <v>338.5</v>
      </c>
      <c r="H665" s="48" t="n">
        <v>16771.46</v>
      </c>
      <c r="I665" s="48" t="n">
        <v>116.71</v>
      </c>
      <c r="J665" s="48" t="n">
        <v>5456.38</v>
      </c>
    </row>
    <row r="666">
      <c r="A666" s="50" t="inlineStr">
        <is>
          <t>Phil Ernst</t>
        </is>
      </c>
      <c r="B666" s="50" t="inlineStr">
        <is>
          <t>Amplify</t>
        </is>
      </c>
      <c r="C666" s="50" t="inlineStr">
        <is>
          <t>MolsonCoors Beverage Company</t>
        </is>
      </c>
      <c r="D666" s="50" t="inlineStr">
        <is>
          <t>Peroni</t>
        </is>
      </c>
      <c r="E666" s="46" t="n">
        <v>1563</v>
      </c>
      <c r="F666" s="46" t="n">
        <v>1607</v>
      </c>
      <c r="G666" s="48" t="n">
        <v>53813.9</v>
      </c>
      <c r="H666" s="48" t="n">
        <v>54506.8</v>
      </c>
      <c r="I666" s="48" t="n">
        <v>11385.66</v>
      </c>
      <c r="J666" s="48" t="n">
        <v>11058.2</v>
      </c>
    </row>
    <row r="667">
      <c r="A667" s="50" t="inlineStr">
        <is>
          <t>Phil Ernst</t>
        </is>
      </c>
      <c r="B667" s="50" t="inlineStr">
        <is>
          <t>Amplify</t>
        </is>
      </c>
      <c r="C667" s="50" t="inlineStr">
        <is>
          <t>Boston Beer Company</t>
        </is>
      </c>
      <c r="D667" s="50" t="inlineStr">
        <is>
          <t>Dogfish Head Beer</t>
        </is>
      </c>
      <c r="E667" s="46" t="n">
        <v>935</v>
      </c>
      <c r="F667" s="46" t="n">
        <v>852</v>
      </c>
      <c r="G667" s="48" t="n">
        <v>33924.8</v>
      </c>
      <c r="H667" s="48" t="n">
        <v>29870.7</v>
      </c>
      <c r="I667" s="48" t="n">
        <v>9341.59</v>
      </c>
      <c r="J667" s="48" t="n">
        <v>7823.97</v>
      </c>
    </row>
    <row r="668">
      <c r="A668" s="50" t="inlineStr">
        <is>
          <t>Phil Ernst</t>
        </is>
      </c>
      <c r="B668" s="50" t="inlineStr">
        <is>
          <t>Amplify</t>
        </is>
      </c>
      <c r="C668" s="50" t="inlineStr">
        <is>
          <t>Boston Beer Company</t>
        </is>
      </c>
      <c r="D668" s="50" t="inlineStr">
        <is>
          <t>Dogfish Head Spirits</t>
        </is>
      </c>
      <c r="E668" s="46" t="n">
        <v>99</v>
      </c>
      <c r="F668" s="46" t="n">
        <v>78</v>
      </c>
      <c r="G668" s="48" t="n">
        <v>5766.7</v>
      </c>
      <c r="H668" s="48" t="n">
        <v>4059</v>
      </c>
      <c r="I668" s="48" t="n">
        <v>2434.62</v>
      </c>
      <c r="J668" s="48" t="n">
        <v>1562.69</v>
      </c>
    </row>
    <row r="669">
      <c r="A669" s="50" t="inlineStr">
        <is>
          <t>Phil Ernst</t>
        </is>
      </c>
      <c r="B669" s="50" t="inlineStr">
        <is>
          <t>Amplify</t>
        </is>
      </c>
      <c r="C669" s="50" t="inlineStr">
        <is>
          <t>Heineken USA</t>
        </is>
      </c>
      <c r="D669" s="50" t="inlineStr">
        <is>
          <t>Heineken 0.0</t>
        </is>
      </c>
      <c r="E669" s="46" t="n">
        <v>894</v>
      </c>
      <c r="F669" s="46" t="n">
        <v>921</v>
      </c>
      <c r="G669" s="48" t="n">
        <v>30252.6</v>
      </c>
      <c r="H669" s="48" t="n">
        <v>31110.5</v>
      </c>
      <c r="I669" s="48" t="n">
        <v>8055.04</v>
      </c>
      <c r="J669" s="48" t="n">
        <v>8226.719999999999</v>
      </c>
    </row>
    <row r="670">
      <c r="A670" s="50" t="inlineStr">
        <is>
          <t>Phil Ernst</t>
        </is>
      </c>
      <c r="B670" s="50" t="inlineStr">
        <is>
          <t>Amplify</t>
        </is>
      </c>
      <c r="C670" s="50" t="inlineStr">
        <is>
          <t>Heineken USA</t>
        </is>
      </c>
      <c r="D670" s="50" t="inlineStr">
        <is>
          <t>Heineken Light</t>
        </is>
      </c>
      <c r="E670" s="46" t="n">
        <v>1634</v>
      </c>
      <c r="F670" s="46" t="n">
        <v>1427</v>
      </c>
      <c r="G670" s="48" t="n">
        <v>50476.95</v>
      </c>
      <c r="H670" s="48" t="n">
        <v>43996.15</v>
      </c>
      <c r="I670" s="48" t="n">
        <v>11648.32</v>
      </c>
      <c r="J670" s="48" t="n">
        <v>10089.74</v>
      </c>
    </row>
    <row r="671">
      <c r="A671" s="50" t="inlineStr">
        <is>
          <t>Phil Ernst</t>
        </is>
      </c>
      <c r="B671" s="50" t="inlineStr">
        <is>
          <t>Amplify</t>
        </is>
      </c>
      <c r="C671" s="50" t="inlineStr">
        <is>
          <t>Constellation Brands</t>
        </is>
      </c>
      <c r="D671" s="50" t="inlineStr">
        <is>
          <t>Corona Premier</t>
        </is>
      </c>
      <c r="E671" s="46" t="n">
        <v>1221</v>
      </c>
      <c r="F671" s="46" t="n">
        <v>1027</v>
      </c>
      <c r="G671" s="48" t="n">
        <v>38368.25</v>
      </c>
      <c r="H671" s="48" t="n">
        <v>28179.45</v>
      </c>
      <c r="I671" s="48" t="n">
        <v>8869.690000000001</v>
      </c>
      <c r="J671" s="48" t="n">
        <v>6784.4</v>
      </c>
    </row>
    <row r="672">
      <c r="A672" s="50" t="inlineStr">
        <is>
          <t>Phil Ernst</t>
        </is>
      </c>
      <c r="B672" s="50" t="inlineStr">
        <is>
          <t>Amplify</t>
        </is>
      </c>
      <c r="C672" s="50" t="inlineStr">
        <is>
          <t>Constellation Brands</t>
        </is>
      </c>
      <c r="D672" s="50" t="inlineStr">
        <is>
          <t>Modelo Chelada</t>
        </is>
      </c>
      <c r="E672" s="46" t="n">
        <v>1023</v>
      </c>
      <c r="F672" s="46" t="n">
        <v>1213</v>
      </c>
      <c r="G672" s="48" t="n">
        <v>31482.05</v>
      </c>
      <c r="H672" s="48" t="n">
        <v>36698.3</v>
      </c>
      <c r="I672" s="48" t="n">
        <v>7517.84</v>
      </c>
      <c r="J672" s="48" t="n">
        <v>8862.68</v>
      </c>
    </row>
    <row r="673">
      <c r="A673" s="50" t="inlineStr">
        <is>
          <t>Phil Ernst</t>
        </is>
      </c>
      <c r="B673" s="50" t="inlineStr">
        <is>
          <t>Amplify</t>
        </is>
      </c>
      <c r="C673" s="50" t="inlineStr">
        <is>
          <t>Constellation Brands</t>
        </is>
      </c>
      <c r="D673" s="50" t="inlineStr">
        <is>
          <t>Pacifico</t>
        </is>
      </c>
      <c r="E673" s="46" t="n">
        <v>425</v>
      </c>
      <c r="F673" s="46" t="n">
        <v>453</v>
      </c>
      <c r="G673" s="48" t="n">
        <v>13188.8</v>
      </c>
      <c r="H673" s="48" t="n">
        <v>14150.65</v>
      </c>
      <c r="I673" s="48" t="n">
        <v>3098.76</v>
      </c>
      <c r="J673" s="48" t="n">
        <v>3364.68</v>
      </c>
    </row>
    <row r="674">
      <c r="A674" s="50" t="inlineStr">
        <is>
          <t>Phil Ernst</t>
        </is>
      </c>
      <c r="B674" s="50" t="inlineStr">
        <is>
          <t>Amplify</t>
        </is>
      </c>
      <c r="C674" s="50" t="inlineStr">
        <is>
          <t>Constellation Brands</t>
        </is>
      </c>
      <c r="D674" s="50" t="inlineStr">
        <is>
          <t>Victoria</t>
        </is>
      </c>
      <c r="E674" s="46" t="n">
        <v>513</v>
      </c>
      <c r="F674" s="46" t="n">
        <v>642</v>
      </c>
      <c r="G674" s="48" t="n">
        <v>15733</v>
      </c>
      <c r="H674" s="48" t="n">
        <v>19629.95</v>
      </c>
      <c r="I674" s="48" t="n">
        <v>3649.92</v>
      </c>
      <c r="J674" s="48" t="n">
        <v>4545.06</v>
      </c>
    </row>
    <row r="675">
      <c r="A675" s="50" t="inlineStr">
        <is>
          <t>Phil Ernst</t>
        </is>
      </c>
      <c r="B675" s="50" t="inlineStr">
        <is>
          <t>Amplify</t>
        </is>
      </c>
      <c r="C675" s="50" t="inlineStr">
        <is>
          <t>Sapporo</t>
        </is>
      </c>
      <c r="D675" s="50" t="inlineStr">
        <is>
          <t>Sapporo</t>
        </is>
      </c>
      <c r="E675" s="46" t="n">
        <v>843</v>
      </c>
      <c r="F675" s="46" t="n">
        <v>1112</v>
      </c>
      <c r="G675" s="48" t="n">
        <v>24107</v>
      </c>
      <c r="H675" s="48" t="n">
        <v>32066.25</v>
      </c>
      <c r="I675" s="48" t="n">
        <v>6471.74</v>
      </c>
      <c r="J675" s="48" t="n">
        <v>8679.379999999999</v>
      </c>
    </row>
    <row r="676">
      <c r="A676" s="50" t="inlineStr">
        <is>
          <t>Phil Ernst</t>
        </is>
      </c>
      <c r="B676" s="50" t="inlineStr">
        <is>
          <t>Amplify</t>
        </is>
      </c>
      <c r="C676" s="50" t="inlineStr">
        <is>
          <t>Bell's</t>
        </is>
      </c>
      <c r="D676" s="50" t="inlineStr">
        <is>
          <t>Bell's</t>
        </is>
      </c>
      <c r="E676" s="46" t="n">
        <v>24</v>
      </c>
      <c r="F676" s="46" t="n">
        <v>47</v>
      </c>
      <c r="G676" s="48" t="n">
        <v>875.7</v>
      </c>
      <c r="H676" s="48" t="n">
        <v>1719</v>
      </c>
      <c r="I676" s="48" t="n">
        <v>304.7</v>
      </c>
      <c r="J676" s="48" t="n">
        <v>632.34</v>
      </c>
    </row>
    <row r="677">
      <c r="A677" s="50" t="inlineStr">
        <is>
          <t>Phil Ernst</t>
        </is>
      </c>
      <c r="B677" s="50" t="inlineStr">
        <is>
          <t>Amplify</t>
        </is>
      </c>
      <c r="C677" s="50" t="inlineStr">
        <is>
          <t>New Belgium Brewing Company</t>
        </is>
      </c>
      <c r="D677" s="50" t="inlineStr">
        <is>
          <t>Fat Tire Family</t>
        </is>
      </c>
      <c r="E677" s="46" t="n">
        <v>187</v>
      </c>
      <c r="F677" s="46" t="n">
        <v>168</v>
      </c>
      <c r="G677" s="48" t="n">
        <v>6298.65</v>
      </c>
      <c r="H677" s="48" t="n">
        <v>5603.35</v>
      </c>
      <c r="I677" s="48" t="n">
        <v>1435.65</v>
      </c>
      <c r="J677" s="48" t="n">
        <v>1220.76</v>
      </c>
    </row>
    <row r="678">
      <c r="A678" s="50" t="inlineStr">
        <is>
          <t>Phil Ernst</t>
        </is>
      </c>
      <c r="B678" s="50" t="inlineStr">
        <is>
          <t>Amplify</t>
        </is>
      </c>
      <c r="C678" s="50" t="inlineStr">
        <is>
          <t>New Belgium Brewing Company</t>
        </is>
      </c>
      <c r="D678" s="50" t="inlineStr">
        <is>
          <t>Kirin Ichiban</t>
        </is>
      </c>
      <c r="E678" s="46" t="n">
        <v>13</v>
      </c>
      <c r="F678" s="46" t="n">
        <v>53</v>
      </c>
      <c r="G678" s="48" t="n">
        <v>406</v>
      </c>
      <c r="H678" s="48" t="n">
        <v>1716.1</v>
      </c>
      <c r="I678" s="48" t="n">
        <v>104.94</v>
      </c>
      <c r="J678" s="48" t="n">
        <v>461.76</v>
      </c>
    </row>
    <row r="679">
      <c r="A679" s="50" t="inlineStr">
        <is>
          <t>Phil Ernst</t>
        </is>
      </c>
      <c r="B679" s="50" t="inlineStr">
        <is>
          <t>Amplify</t>
        </is>
      </c>
      <c r="C679" s="50" t="inlineStr">
        <is>
          <t>New Belgium Brewing Company</t>
        </is>
      </c>
      <c r="D679" s="50" t="inlineStr">
        <is>
          <t>Voodoo Family</t>
        </is>
      </c>
      <c r="E679" s="46" t="n">
        <v>1198</v>
      </c>
      <c r="F679" s="46" t="n">
        <v>1351</v>
      </c>
      <c r="G679" s="48" t="n">
        <v>44342.65</v>
      </c>
      <c r="H679" s="48" t="n">
        <v>49550.25</v>
      </c>
      <c r="I679" s="48" t="n">
        <v>11691.83</v>
      </c>
      <c r="J679" s="48" t="n">
        <v>13012.24</v>
      </c>
    </row>
    <row r="680">
      <c r="A680" s="50" t="inlineStr">
        <is>
          <t>Phil Ernst</t>
        </is>
      </c>
      <c r="B680" s="50" t="inlineStr">
        <is>
          <t>Amplify</t>
        </is>
      </c>
      <c r="C680" s="50" t="inlineStr">
        <is>
          <t>DG Yuengling Inc</t>
        </is>
      </c>
      <c r="D680" s="50" t="inlineStr">
        <is>
          <t>Yuengling Flight</t>
        </is>
      </c>
      <c r="E680" s="46" t="n">
        <v>345</v>
      </c>
      <c r="F680" s="46" t="n">
        <v>325</v>
      </c>
      <c r="G680" s="48" t="n">
        <v>8094.9</v>
      </c>
      <c r="H680" s="48" t="n">
        <v>7576.85</v>
      </c>
      <c r="I680" s="48" t="n">
        <v>2342.58</v>
      </c>
      <c r="J680" s="48" t="n">
        <v>2165.55</v>
      </c>
    </row>
    <row r="681">
      <c r="A681" s="50" t="inlineStr">
        <is>
          <t>Phil Ernst</t>
        </is>
      </c>
      <c r="B681" s="50" t="inlineStr">
        <is>
          <t>Amplify</t>
        </is>
      </c>
      <c r="C681" s="50" t="inlineStr">
        <is>
          <t>DG Yuengling Inc</t>
        </is>
      </c>
      <c r="D681" s="50" t="inlineStr">
        <is>
          <t>Yuengling Light Lager</t>
        </is>
      </c>
      <c r="E681" s="46" t="n">
        <v>271</v>
      </c>
      <c r="F681" s="46" t="n">
        <v>167</v>
      </c>
      <c r="G681" s="48" t="n">
        <v>6300.4</v>
      </c>
      <c r="H681" s="48" t="n">
        <v>3898.2</v>
      </c>
      <c r="I681" s="48" t="n">
        <v>1738.88</v>
      </c>
      <c r="J681" s="48" t="n">
        <v>1061.19</v>
      </c>
    </row>
    <row r="682">
      <c r="A682" s="50" t="inlineStr">
        <is>
          <t>Phil Ernst</t>
        </is>
      </c>
      <c r="B682" s="50" t="inlineStr">
        <is>
          <t>Qualifier</t>
        </is>
      </c>
      <c r="C682" s="50" t="inlineStr">
        <is>
          <t>MolsonCoors Beverage Company</t>
        </is>
      </c>
      <c r="D682" s="50" t="inlineStr">
        <is>
          <t>Blue Moon</t>
        </is>
      </c>
      <c r="E682" s="46" t="n">
        <v>2502</v>
      </c>
      <c r="F682" s="46" t="n">
        <v>2421</v>
      </c>
      <c r="G682" s="48" t="n">
        <v>79081.35000000001</v>
      </c>
      <c r="H682" s="48" t="n">
        <v>77136.64999999999</v>
      </c>
      <c r="I682" s="48" t="n">
        <v>17472.45</v>
      </c>
      <c r="J682" s="48" t="n">
        <v>17595.19</v>
      </c>
    </row>
    <row r="683">
      <c r="A683" s="50" t="inlineStr">
        <is>
          <t>Phil Ernst</t>
        </is>
      </c>
      <c r="B683" s="50" t="inlineStr">
        <is>
          <t>Qualifier</t>
        </is>
      </c>
      <c r="C683" s="50" t="inlineStr">
        <is>
          <t>MolsonCoors Beverage Company</t>
        </is>
      </c>
      <c r="D683" s="50" t="inlineStr">
        <is>
          <t>Coors Light</t>
        </is>
      </c>
      <c r="E683" s="46" t="n">
        <v>18824</v>
      </c>
      <c r="F683" s="46" t="n">
        <v>17598</v>
      </c>
      <c r="G683" s="48" t="n">
        <v>405828.65</v>
      </c>
      <c r="H683" s="48" t="n">
        <v>378897.15</v>
      </c>
      <c r="I683" s="48" t="n">
        <v>108315.37</v>
      </c>
      <c r="J683" s="48" t="n">
        <v>99405.8</v>
      </c>
    </row>
    <row r="684">
      <c r="A684" s="50" t="inlineStr">
        <is>
          <t>Phil Ernst</t>
        </is>
      </c>
      <c r="B684" s="50" t="inlineStr">
        <is>
          <t>Qualifier</t>
        </is>
      </c>
      <c r="C684" s="50" t="inlineStr">
        <is>
          <t>MolsonCoors Beverage Company</t>
        </is>
      </c>
      <c r="D684" s="50" t="inlineStr">
        <is>
          <t>Lite</t>
        </is>
      </c>
      <c r="E684" s="46" t="n">
        <v>10022</v>
      </c>
      <c r="F684" s="46" t="n">
        <v>9765</v>
      </c>
      <c r="G684" s="48" t="n">
        <v>223665.55</v>
      </c>
      <c r="H684" s="48" t="n">
        <v>219506</v>
      </c>
      <c r="I684" s="48" t="n">
        <v>56031.08</v>
      </c>
      <c r="J684" s="48" t="n">
        <v>54070.11</v>
      </c>
    </row>
    <row r="685">
      <c r="A685" s="50" t="inlineStr">
        <is>
          <t>Phil Ernst</t>
        </is>
      </c>
      <c r="B685" s="50" t="inlineStr">
        <is>
          <t>Qualifier</t>
        </is>
      </c>
      <c r="C685" s="50" t="inlineStr">
        <is>
          <t>Heineken USA</t>
        </is>
      </c>
      <c r="D685" s="50" t="inlineStr">
        <is>
          <t>Heineken USA</t>
        </is>
      </c>
      <c r="E685" s="46" t="n">
        <v>10622</v>
      </c>
      <c r="F685" s="46" t="n">
        <v>9489</v>
      </c>
      <c r="G685" s="48" t="n">
        <v>331251.75</v>
      </c>
      <c r="H685" s="48" t="n">
        <v>292514.5</v>
      </c>
      <c r="I685" s="48" t="n">
        <v>79980.39999999999</v>
      </c>
      <c r="J685" s="48" t="n">
        <v>68209.50999999999</v>
      </c>
    </row>
    <row r="686">
      <c r="A686" s="50" t="inlineStr">
        <is>
          <t>Phil Ernst</t>
        </is>
      </c>
      <c r="B686" s="50" t="inlineStr">
        <is>
          <t>Qualifier</t>
        </is>
      </c>
      <c r="C686" s="50" t="inlineStr">
        <is>
          <t>Constellation Brands</t>
        </is>
      </c>
      <c r="D686" s="50" t="inlineStr">
        <is>
          <t>Corona Extra</t>
        </is>
      </c>
      <c r="E686" s="46" t="n">
        <v>23501</v>
      </c>
      <c r="F686" s="46" t="n">
        <v>21216</v>
      </c>
      <c r="G686" s="48" t="n">
        <v>754103.7</v>
      </c>
      <c r="H686" s="48" t="n">
        <v>683355.8</v>
      </c>
      <c r="I686" s="48" t="n">
        <v>176671.92</v>
      </c>
      <c r="J686" s="48" t="n">
        <v>160433.92</v>
      </c>
    </row>
    <row r="687">
      <c r="A687" s="50" t="inlineStr">
        <is>
          <t>Phil Ernst</t>
        </is>
      </c>
      <c r="B687" s="50" t="inlineStr">
        <is>
          <t>Qualifier</t>
        </is>
      </c>
      <c r="C687" s="50" t="inlineStr">
        <is>
          <t>Constellation Brands</t>
        </is>
      </c>
      <c r="D687" s="50" t="inlineStr">
        <is>
          <t>Modelo Especial</t>
        </is>
      </c>
      <c r="E687" s="46" t="n">
        <v>15844</v>
      </c>
      <c r="F687" s="46" t="n">
        <v>15163</v>
      </c>
      <c r="G687" s="48" t="n">
        <v>489061.2</v>
      </c>
      <c r="H687" s="48" t="n">
        <v>465956.55</v>
      </c>
      <c r="I687" s="48" t="n">
        <v>111940.53</v>
      </c>
      <c r="J687" s="48" t="n">
        <v>106396.9</v>
      </c>
    </row>
    <row r="688">
      <c r="A688" s="50" t="inlineStr">
        <is>
          <t>Phil Ernst</t>
        </is>
      </c>
      <c r="B688" s="50" t="inlineStr">
        <is>
          <t>Qualifier</t>
        </is>
      </c>
      <c r="C688" s="50" t="inlineStr">
        <is>
          <t>Boston Beer Company</t>
        </is>
      </c>
      <c r="D688" s="50" t="inlineStr">
        <is>
          <t>Truly</t>
        </is>
      </c>
      <c r="E688" s="46" t="n">
        <v>1622</v>
      </c>
      <c r="F688" s="46" t="n">
        <v>1289</v>
      </c>
      <c r="G688" s="48" t="n">
        <v>47585.8</v>
      </c>
      <c r="H688" s="48" t="n">
        <v>37401.1</v>
      </c>
      <c r="I688" s="48" t="n">
        <v>11404.83</v>
      </c>
      <c r="J688" s="48" t="n">
        <v>8273.23</v>
      </c>
    </row>
    <row r="689">
      <c r="A689" s="50" t="inlineStr">
        <is>
          <t>Phil Ernst</t>
        </is>
      </c>
      <c r="B689" s="50" t="inlineStr">
        <is>
          <t>Qualifier</t>
        </is>
      </c>
      <c r="C689" s="50" t="inlineStr">
        <is>
          <t>Boston Beer Company</t>
        </is>
      </c>
      <c r="D689" s="50" t="inlineStr">
        <is>
          <t>Twisted Tea</t>
        </is>
      </c>
      <c r="E689" s="46" t="n">
        <v>2261</v>
      </c>
      <c r="F689" s="46" t="n">
        <v>1750</v>
      </c>
      <c r="G689" s="48" t="n">
        <v>66827.89999999999</v>
      </c>
      <c r="H689" s="48" t="n">
        <v>51808</v>
      </c>
      <c r="I689" s="48" t="n">
        <v>17375.32</v>
      </c>
      <c r="J689" s="48" t="n">
        <v>13135.97</v>
      </c>
    </row>
    <row r="690">
      <c r="A690" s="50" t="inlineStr">
        <is>
          <t>Phil Ernst</t>
        </is>
      </c>
      <c r="B690" s="50" t="inlineStr">
        <is>
          <t>Qualifier</t>
        </is>
      </c>
      <c r="C690" s="50" t="inlineStr">
        <is>
          <t>Mark Anthony</t>
        </is>
      </c>
      <c r="D690" s="50" t="inlineStr">
        <is>
          <t>White Claw</t>
        </is>
      </c>
      <c r="E690" s="46" t="n">
        <v>6415</v>
      </c>
      <c r="F690" s="46" t="n">
        <v>5772</v>
      </c>
      <c r="G690" s="48" t="n">
        <v>203737.1</v>
      </c>
      <c r="H690" s="48" t="n">
        <v>186562.55</v>
      </c>
      <c r="I690" s="48" t="n">
        <v>44096.71</v>
      </c>
      <c r="J690" s="48" t="n">
        <v>40462.1</v>
      </c>
    </row>
    <row r="691">
      <c r="A691" s="50" t="inlineStr">
        <is>
          <t>Phil Ernst</t>
        </is>
      </c>
      <c r="B691" s="50" t="inlineStr">
        <is>
          <t>Qualifier</t>
        </is>
      </c>
      <c r="C691" s="50" t="inlineStr">
        <is>
          <t>DG Yuengling Inc</t>
        </is>
      </c>
      <c r="D691" s="50" t="inlineStr">
        <is>
          <t>Yuengling Lager</t>
        </is>
      </c>
      <c r="E691" s="46" t="n">
        <v>3605</v>
      </c>
      <c r="F691" s="46" t="n">
        <v>3351</v>
      </c>
      <c r="G691" s="48" t="n">
        <v>81148.60000000001</v>
      </c>
      <c r="H691" s="48" t="n">
        <v>75012</v>
      </c>
      <c r="I691" s="48" t="n">
        <v>22032.71</v>
      </c>
      <c r="J691" s="48" t="n">
        <v>20359.16</v>
      </c>
    </row>
    <row r="692">
      <c r="A692" s="50" t="inlineStr">
        <is>
          <t>Robin Feldman</t>
        </is>
      </c>
      <c r="B692" s="50" t="inlineStr">
        <is>
          <t>Amplify</t>
        </is>
      </c>
      <c r="C692" s="50" t="inlineStr">
        <is>
          <t>Cape May</t>
        </is>
      </c>
      <c r="D692" s="50" t="inlineStr">
        <is>
          <t>Cape May</t>
        </is>
      </c>
      <c r="E692" s="46" t="n">
        <v>32</v>
      </c>
      <c r="F692" s="46" t="n">
        <v>126</v>
      </c>
      <c r="G692" s="48" t="n">
        <v>1287.9</v>
      </c>
      <c r="H692" s="48" t="n">
        <v>4968.6</v>
      </c>
      <c r="I692" s="48" t="n">
        <v>382.19</v>
      </c>
      <c r="J692" s="48" t="n">
        <v>1406.86</v>
      </c>
    </row>
    <row r="693">
      <c r="A693" s="50" t="inlineStr">
        <is>
          <t>Robin Feldman</t>
        </is>
      </c>
      <c r="B693" s="50" t="inlineStr">
        <is>
          <t>Amplify</t>
        </is>
      </c>
      <c r="C693" s="50" t="inlineStr">
        <is>
          <t>MolsonCoors Beverage Company</t>
        </is>
      </c>
      <c r="D693" s="50" t="inlineStr">
        <is>
          <t>Coors</t>
        </is>
      </c>
      <c r="E693" s="46" t="n">
        <v>130</v>
      </c>
      <c r="F693" s="46" t="n">
        <v>93</v>
      </c>
      <c r="G693" s="48" t="n">
        <v>3123.8</v>
      </c>
      <c r="H693" s="48" t="n">
        <v>2337.4</v>
      </c>
      <c r="I693" s="48" t="n">
        <v>961.6900000000001</v>
      </c>
      <c r="J693" s="48" t="n">
        <v>719.45</v>
      </c>
    </row>
    <row r="694">
      <c r="A694" s="50" t="inlineStr">
        <is>
          <t>Robin Feldman</t>
        </is>
      </c>
      <c r="B694" s="50" t="inlineStr">
        <is>
          <t>Amplify</t>
        </is>
      </c>
      <c r="C694" s="50" t="inlineStr">
        <is>
          <t>MolsonCoors Beverage Company</t>
        </is>
      </c>
      <c r="D694" s="50" t="inlineStr">
        <is>
          <t>Fever Tree</t>
        </is>
      </c>
      <c r="E694" s="46" t="n">
        <v>0</v>
      </c>
      <c r="F694" s="46" t="n">
        <v>5</v>
      </c>
      <c r="G694" s="48" t="n">
        <v>0</v>
      </c>
      <c r="H694" s="48" t="n">
        <v>251.5</v>
      </c>
      <c r="I694" s="48" t="n">
        <v>0</v>
      </c>
      <c r="J694" s="48" t="n">
        <v>88.7</v>
      </c>
    </row>
    <row r="695">
      <c r="A695" s="50" t="inlineStr">
        <is>
          <t>Robin Feldman</t>
        </is>
      </c>
      <c r="B695" s="50" t="inlineStr">
        <is>
          <t>Amplify</t>
        </is>
      </c>
      <c r="C695" s="50" t="inlineStr">
        <is>
          <t>MolsonCoors Beverage Company</t>
        </is>
      </c>
      <c r="D695" s="50" t="inlineStr">
        <is>
          <t>Peroni</t>
        </is>
      </c>
      <c r="E695" s="46" t="n">
        <v>598</v>
      </c>
      <c r="F695" s="46" t="n">
        <v>673</v>
      </c>
      <c r="G695" s="48" t="n">
        <v>21798.45</v>
      </c>
      <c r="H695" s="48" t="n">
        <v>24443.09</v>
      </c>
      <c r="I695" s="48" t="n">
        <v>4788.49</v>
      </c>
      <c r="J695" s="48" t="n">
        <v>5563.37</v>
      </c>
    </row>
    <row r="696">
      <c r="A696" s="50" t="inlineStr">
        <is>
          <t>Robin Feldman</t>
        </is>
      </c>
      <c r="B696" s="50" t="inlineStr">
        <is>
          <t>Amplify</t>
        </is>
      </c>
      <c r="C696" s="50" t="inlineStr">
        <is>
          <t>Boston Beer Company</t>
        </is>
      </c>
      <c r="D696" s="50" t="inlineStr">
        <is>
          <t>Dogfish Head Beer</t>
        </is>
      </c>
      <c r="E696" s="46" t="n">
        <v>483</v>
      </c>
      <c r="F696" s="46" t="n">
        <v>429</v>
      </c>
      <c r="G696" s="48" t="n">
        <v>18426.4</v>
      </c>
      <c r="H696" s="48" t="n">
        <v>16399.2</v>
      </c>
      <c r="I696" s="48" t="n">
        <v>5208.66</v>
      </c>
      <c r="J696" s="48" t="n">
        <v>4709.58</v>
      </c>
    </row>
    <row r="697">
      <c r="A697" s="50" t="inlineStr">
        <is>
          <t>Robin Feldman</t>
        </is>
      </c>
      <c r="B697" s="50" t="inlineStr">
        <is>
          <t>Amplify</t>
        </is>
      </c>
      <c r="C697" s="50" t="inlineStr">
        <is>
          <t>Heineken USA</t>
        </is>
      </c>
      <c r="D697" s="50" t="inlineStr">
        <is>
          <t>Heineken 0.0</t>
        </is>
      </c>
      <c r="E697" s="46" t="n">
        <v>205</v>
      </c>
      <c r="F697" s="46" t="n">
        <v>225</v>
      </c>
      <c r="G697" s="48" t="n">
        <v>7446.6</v>
      </c>
      <c r="H697" s="48" t="n">
        <v>8100.15</v>
      </c>
      <c r="I697" s="48" t="n">
        <v>2356.03</v>
      </c>
      <c r="J697" s="48" t="n">
        <v>2535.2</v>
      </c>
    </row>
    <row r="698">
      <c r="A698" s="50" t="inlineStr">
        <is>
          <t>Robin Feldman</t>
        </is>
      </c>
      <c r="B698" s="50" t="inlineStr">
        <is>
          <t>Amplify</t>
        </is>
      </c>
      <c r="C698" s="50" t="inlineStr">
        <is>
          <t>Heineken USA</t>
        </is>
      </c>
      <c r="D698" s="50" t="inlineStr">
        <is>
          <t>Heineken Light</t>
        </is>
      </c>
      <c r="E698" s="46" t="n">
        <v>86</v>
      </c>
      <c r="F698" s="46" t="n">
        <v>77</v>
      </c>
      <c r="G698" s="48" t="n">
        <v>3061.35</v>
      </c>
      <c r="H698" s="48" t="n">
        <v>2721.95</v>
      </c>
      <c r="I698" s="48" t="n">
        <v>1022.78</v>
      </c>
      <c r="J698" s="48" t="n">
        <v>894.9400000000001</v>
      </c>
    </row>
    <row r="699">
      <c r="A699" s="50" t="inlineStr">
        <is>
          <t>Robin Feldman</t>
        </is>
      </c>
      <c r="B699" s="50" t="inlineStr">
        <is>
          <t>Amplify</t>
        </is>
      </c>
      <c r="C699" s="50" t="inlineStr">
        <is>
          <t>Constellation Brands</t>
        </is>
      </c>
      <c r="D699" s="50" t="inlineStr">
        <is>
          <t>Corona Premier</t>
        </is>
      </c>
      <c r="E699" s="46" t="n">
        <v>67</v>
      </c>
      <c r="F699" s="46" t="n">
        <v>25</v>
      </c>
      <c r="G699" s="48" t="n">
        <v>2203</v>
      </c>
      <c r="H699" s="48" t="n">
        <v>778.35</v>
      </c>
      <c r="I699" s="48" t="n">
        <v>639.59</v>
      </c>
      <c r="J699" s="48" t="n">
        <v>193.63</v>
      </c>
    </row>
    <row r="700">
      <c r="A700" s="50" t="inlineStr">
        <is>
          <t>Robin Feldman</t>
        </is>
      </c>
      <c r="B700" s="50" t="inlineStr">
        <is>
          <t>Amplify</t>
        </is>
      </c>
      <c r="C700" s="50" t="inlineStr">
        <is>
          <t>Constellation Brands</t>
        </is>
      </c>
      <c r="D700" s="50" t="inlineStr">
        <is>
          <t>Modelo Chelada</t>
        </is>
      </c>
      <c r="E700" s="46" t="n">
        <v>0</v>
      </c>
      <c r="F700" s="46" t="n">
        <v>1</v>
      </c>
      <c r="G700" s="48" t="n">
        <v>0</v>
      </c>
      <c r="H700" s="48" t="n">
        <v>33</v>
      </c>
      <c r="I700" s="48" t="n">
        <v>0</v>
      </c>
      <c r="J700" s="48" t="n">
        <v>10.32</v>
      </c>
    </row>
    <row r="701">
      <c r="A701" s="50" t="inlineStr">
        <is>
          <t>Robin Feldman</t>
        </is>
      </c>
      <c r="B701" s="50" t="inlineStr">
        <is>
          <t>Amplify</t>
        </is>
      </c>
      <c r="C701" s="50" t="inlineStr">
        <is>
          <t>Constellation Brands</t>
        </is>
      </c>
      <c r="D701" s="50" t="inlineStr">
        <is>
          <t>Pacifico</t>
        </is>
      </c>
      <c r="E701" s="46" t="n">
        <v>13</v>
      </c>
      <c r="F701" s="46" t="n">
        <v>23</v>
      </c>
      <c r="G701" s="48" t="n">
        <v>433.25</v>
      </c>
      <c r="H701" s="48" t="n">
        <v>711.5</v>
      </c>
      <c r="I701" s="48" t="n">
        <v>118.4</v>
      </c>
      <c r="J701" s="48" t="n">
        <v>188.6</v>
      </c>
    </row>
    <row r="702">
      <c r="A702" s="50" t="inlineStr">
        <is>
          <t>Robin Feldman</t>
        </is>
      </c>
      <c r="B702" s="50" t="inlineStr">
        <is>
          <t>Amplify</t>
        </is>
      </c>
      <c r="C702" s="50" t="inlineStr">
        <is>
          <t>Sapporo</t>
        </is>
      </c>
      <c r="D702" s="50" t="inlineStr">
        <is>
          <t>Sapporo</t>
        </is>
      </c>
      <c r="E702" s="46" t="n">
        <v>322</v>
      </c>
      <c r="F702" s="46" t="n">
        <v>303</v>
      </c>
      <c r="G702" s="48" t="n">
        <v>10096.86</v>
      </c>
      <c r="H702" s="48" t="n">
        <v>9566.620000000001</v>
      </c>
      <c r="I702" s="48" t="n">
        <v>2655.89</v>
      </c>
      <c r="J702" s="48" t="n">
        <v>2555.49</v>
      </c>
    </row>
    <row r="703">
      <c r="A703" s="50" t="inlineStr">
        <is>
          <t>Robin Feldman</t>
        </is>
      </c>
      <c r="B703" s="50" t="inlineStr">
        <is>
          <t>Amplify</t>
        </is>
      </c>
      <c r="C703" s="50" t="inlineStr">
        <is>
          <t>Bell's</t>
        </is>
      </c>
      <c r="D703" s="50" t="inlineStr">
        <is>
          <t>Bell's</t>
        </is>
      </c>
      <c r="E703" s="46" t="n">
        <v>3</v>
      </c>
      <c r="F703" s="46" t="n">
        <v>0</v>
      </c>
      <c r="G703" s="48" t="n">
        <v>98.25</v>
      </c>
      <c r="H703" s="48" t="n">
        <v>0</v>
      </c>
      <c r="I703" s="48" t="n">
        <v>30.75</v>
      </c>
      <c r="J703" s="48" t="n">
        <v>0</v>
      </c>
    </row>
    <row r="704">
      <c r="A704" s="50" t="inlineStr">
        <is>
          <t>Robin Feldman</t>
        </is>
      </c>
      <c r="B704" s="50" t="inlineStr">
        <is>
          <t>Amplify</t>
        </is>
      </c>
      <c r="C704" s="50" t="inlineStr">
        <is>
          <t>New Belgium Brewing Company</t>
        </is>
      </c>
      <c r="D704" s="50" t="inlineStr">
        <is>
          <t>Fat Tire Family</t>
        </is>
      </c>
      <c r="E704" s="46" t="n">
        <v>111</v>
      </c>
      <c r="F704" s="46" t="n">
        <v>105</v>
      </c>
      <c r="G704" s="48" t="n">
        <v>4641</v>
      </c>
      <c r="H704" s="48" t="n">
        <v>4374.25</v>
      </c>
      <c r="I704" s="48" t="n">
        <v>1005.56</v>
      </c>
      <c r="J704" s="48" t="n">
        <v>959.86</v>
      </c>
    </row>
    <row r="705">
      <c r="A705" s="50" t="inlineStr">
        <is>
          <t>Robin Feldman</t>
        </is>
      </c>
      <c r="B705" s="50" t="inlineStr">
        <is>
          <t>Amplify</t>
        </is>
      </c>
      <c r="C705" s="50" t="inlineStr">
        <is>
          <t>New Belgium Brewing Company</t>
        </is>
      </c>
      <c r="D705" s="50" t="inlineStr">
        <is>
          <t>Kirin Ichiban</t>
        </is>
      </c>
      <c r="E705" s="46" t="n">
        <v>32</v>
      </c>
      <c r="F705" s="46" t="n">
        <v>312</v>
      </c>
      <c r="G705" s="48" t="n">
        <v>1041</v>
      </c>
      <c r="H705" s="48" t="n">
        <v>6899.3</v>
      </c>
      <c r="I705" s="48" t="n">
        <v>257.26</v>
      </c>
      <c r="J705" s="48" t="n">
        <v>1529.73</v>
      </c>
    </row>
    <row r="706">
      <c r="A706" s="50" t="inlineStr">
        <is>
          <t>Robin Feldman</t>
        </is>
      </c>
      <c r="B706" s="50" t="inlineStr">
        <is>
          <t>Amplify</t>
        </is>
      </c>
      <c r="C706" s="50" t="inlineStr">
        <is>
          <t>New Belgium Brewing Company</t>
        </is>
      </c>
      <c r="D706" s="50" t="inlineStr">
        <is>
          <t>Voodoo Family</t>
        </is>
      </c>
      <c r="E706" s="46" t="n">
        <v>118</v>
      </c>
      <c r="F706" s="46" t="n">
        <v>106</v>
      </c>
      <c r="G706" s="48" t="n">
        <v>4285.7</v>
      </c>
      <c r="H706" s="48" t="n">
        <v>3854.2</v>
      </c>
      <c r="I706" s="48" t="n">
        <v>1166.73</v>
      </c>
      <c r="J706" s="48" t="n">
        <v>1084.78</v>
      </c>
    </row>
    <row r="707">
      <c r="A707" s="50" t="inlineStr">
        <is>
          <t>Robin Feldman</t>
        </is>
      </c>
      <c r="B707" s="50" t="inlineStr">
        <is>
          <t>Amplify</t>
        </is>
      </c>
      <c r="C707" s="50" t="inlineStr">
        <is>
          <t>DG Yuengling Inc</t>
        </is>
      </c>
      <c r="D707" s="50" t="inlineStr">
        <is>
          <t>Yuengling Flight</t>
        </is>
      </c>
      <c r="E707" s="46" t="n">
        <v>76</v>
      </c>
      <c r="F707" s="46" t="n">
        <v>104</v>
      </c>
      <c r="G707" s="48" t="n">
        <v>1926.5</v>
      </c>
      <c r="H707" s="48" t="n">
        <v>2559.1</v>
      </c>
      <c r="I707" s="48" t="n">
        <v>587.83</v>
      </c>
      <c r="J707" s="48" t="n">
        <v>744.5</v>
      </c>
    </row>
    <row r="708">
      <c r="A708" s="50" t="inlineStr">
        <is>
          <t>Robin Feldman</t>
        </is>
      </c>
      <c r="B708" s="50" t="inlineStr">
        <is>
          <t>Amplify</t>
        </is>
      </c>
      <c r="C708" s="50" t="inlineStr">
        <is>
          <t>DG Yuengling Inc</t>
        </is>
      </c>
      <c r="D708" s="50" t="inlineStr">
        <is>
          <t>Yuengling Light Lager</t>
        </is>
      </c>
      <c r="E708" s="46" t="n">
        <v>25</v>
      </c>
      <c r="F708" s="46" t="n">
        <v>13</v>
      </c>
      <c r="G708" s="48" t="n">
        <v>629</v>
      </c>
      <c r="H708" s="48" t="n">
        <v>338.5</v>
      </c>
      <c r="I708" s="48" t="n">
        <v>199.92</v>
      </c>
      <c r="J708" s="48" t="n">
        <v>112.58</v>
      </c>
    </row>
    <row r="709">
      <c r="A709" s="50" t="inlineStr">
        <is>
          <t>Robin Feldman</t>
        </is>
      </c>
      <c r="B709" s="50" t="inlineStr">
        <is>
          <t>Qualifier</t>
        </is>
      </c>
      <c r="C709" s="50" t="inlineStr">
        <is>
          <t>MolsonCoors Beverage Company</t>
        </is>
      </c>
      <c r="D709" s="50" t="inlineStr">
        <is>
          <t>Blue Moon</t>
        </is>
      </c>
      <c r="E709" s="46" t="n">
        <v>735</v>
      </c>
      <c r="F709" s="46" t="n">
        <v>759</v>
      </c>
      <c r="G709" s="48" t="n">
        <v>29075.75</v>
      </c>
      <c r="H709" s="48" t="n">
        <v>29401.67</v>
      </c>
      <c r="I709" s="48" t="n">
        <v>9422.02</v>
      </c>
      <c r="J709" s="48" t="n">
        <v>9519.25</v>
      </c>
    </row>
    <row r="710">
      <c r="A710" s="50" t="inlineStr">
        <is>
          <t>Robin Feldman</t>
        </is>
      </c>
      <c r="B710" s="50" t="inlineStr">
        <is>
          <t>Qualifier</t>
        </is>
      </c>
      <c r="C710" s="50" t="inlineStr">
        <is>
          <t>MolsonCoors Beverage Company</t>
        </is>
      </c>
      <c r="D710" s="50" t="inlineStr">
        <is>
          <t>Coors Light</t>
        </is>
      </c>
      <c r="E710" s="46" t="n">
        <v>4745</v>
      </c>
      <c r="F710" s="46" t="n">
        <v>4200</v>
      </c>
      <c r="G710" s="48" t="n">
        <v>108747.45</v>
      </c>
      <c r="H710" s="48" t="n">
        <v>98704.5</v>
      </c>
      <c r="I710" s="48" t="n">
        <v>32697.86</v>
      </c>
      <c r="J710" s="48" t="n">
        <v>30178.49</v>
      </c>
    </row>
    <row r="711">
      <c r="A711" s="50" t="inlineStr">
        <is>
          <t>Robin Feldman</t>
        </is>
      </c>
      <c r="B711" s="50" t="inlineStr">
        <is>
          <t>Qualifier</t>
        </is>
      </c>
      <c r="C711" s="50" t="inlineStr">
        <is>
          <t>MolsonCoors Beverage Company</t>
        </is>
      </c>
      <c r="D711" s="50" t="inlineStr">
        <is>
          <t>Lite</t>
        </is>
      </c>
      <c r="E711" s="46" t="n">
        <v>4960</v>
      </c>
      <c r="F711" s="46" t="n">
        <v>5233</v>
      </c>
      <c r="G711" s="48" t="n">
        <v>110981.67</v>
      </c>
      <c r="H711" s="48" t="n">
        <v>117363.1</v>
      </c>
      <c r="I711" s="48" t="n">
        <v>28537.88</v>
      </c>
      <c r="J711" s="48" t="n">
        <v>29927.39</v>
      </c>
    </row>
    <row r="712">
      <c r="A712" s="50" t="inlineStr">
        <is>
          <t>Robin Feldman</t>
        </is>
      </c>
      <c r="B712" s="50" t="inlineStr">
        <is>
          <t>Qualifier</t>
        </is>
      </c>
      <c r="C712" s="50" t="inlineStr">
        <is>
          <t>Heineken USA</t>
        </is>
      </c>
      <c r="D712" s="50" t="inlineStr">
        <is>
          <t>Heineken USA</t>
        </is>
      </c>
      <c r="E712" s="46" t="n">
        <v>1251</v>
      </c>
      <c r="F712" s="46" t="n">
        <v>980</v>
      </c>
      <c r="G712" s="48" t="n">
        <v>44139.8</v>
      </c>
      <c r="H712" s="48" t="n">
        <v>35126.59</v>
      </c>
      <c r="I712" s="48" t="n">
        <v>14459.27</v>
      </c>
      <c r="J712" s="48" t="n">
        <v>11785.24</v>
      </c>
    </row>
    <row r="713">
      <c r="A713" s="50" t="inlineStr">
        <is>
          <t>Robin Feldman</t>
        </is>
      </c>
      <c r="B713" s="50" t="inlineStr">
        <is>
          <t>Qualifier</t>
        </is>
      </c>
      <c r="C713" s="50" t="inlineStr">
        <is>
          <t>Constellation Brands</t>
        </is>
      </c>
      <c r="D713" s="50" t="inlineStr">
        <is>
          <t>Corona Extra</t>
        </is>
      </c>
      <c r="E713" s="46" t="n">
        <v>2308</v>
      </c>
      <c r="F713" s="46" t="n">
        <v>2178</v>
      </c>
      <c r="G713" s="48" t="n">
        <v>79729.39</v>
      </c>
      <c r="H713" s="48" t="n">
        <v>74982.2</v>
      </c>
      <c r="I713" s="48" t="n">
        <v>24071.64</v>
      </c>
      <c r="J713" s="48" t="n">
        <v>22452.29</v>
      </c>
    </row>
    <row r="714">
      <c r="A714" s="50" t="inlineStr">
        <is>
          <t>Robin Feldman</t>
        </is>
      </c>
      <c r="B714" s="50" t="inlineStr">
        <is>
          <t>Qualifier</t>
        </is>
      </c>
      <c r="C714" s="50" t="inlineStr">
        <is>
          <t>Constellation Brands</t>
        </is>
      </c>
      <c r="D714" s="50" t="inlineStr">
        <is>
          <t>Modelo Especial</t>
        </is>
      </c>
      <c r="E714" s="46" t="n">
        <v>841</v>
      </c>
      <c r="F714" s="46" t="n">
        <v>863</v>
      </c>
      <c r="G714" s="48" t="n">
        <v>26896.39</v>
      </c>
      <c r="H714" s="48" t="n">
        <v>27472.5</v>
      </c>
      <c r="I714" s="48" t="n">
        <v>7422.41</v>
      </c>
      <c r="J714" s="48" t="n">
        <v>7608.95</v>
      </c>
    </row>
    <row r="715">
      <c r="A715" s="50" t="inlineStr">
        <is>
          <t>Robin Feldman</t>
        </is>
      </c>
      <c r="B715" s="50" t="inlineStr">
        <is>
          <t>Qualifier</t>
        </is>
      </c>
      <c r="C715" s="50" t="inlineStr">
        <is>
          <t>Boston Beer Company</t>
        </is>
      </c>
      <c r="D715" s="50" t="inlineStr">
        <is>
          <t>Truly</t>
        </is>
      </c>
      <c r="E715" s="46" t="n">
        <v>50</v>
      </c>
      <c r="F715" s="46" t="n">
        <v>35</v>
      </c>
      <c r="G715" s="48" t="n">
        <v>1570</v>
      </c>
      <c r="H715" s="48" t="n">
        <v>1094</v>
      </c>
      <c r="I715" s="48" t="n">
        <v>433</v>
      </c>
      <c r="J715" s="48" t="n">
        <v>298.1</v>
      </c>
    </row>
    <row r="716">
      <c r="A716" s="50" t="inlineStr">
        <is>
          <t>Robin Feldman</t>
        </is>
      </c>
      <c r="B716" s="50" t="inlineStr">
        <is>
          <t>Qualifier</t>
        </is>
      </c>
      <c r="C716" s="50" t="inlineStr">
        <is>
          <t>Boston Beer Company</t>
        </is>
      </c>
      <c r="D716" s="50" t="inlineStr">
        <is>
          <t>Twisted Tea</t>
        </is>
      </c>
      <c r="E716" s="46" t="n">
        <v>336</v>
      </c>
      <c r="F716" s="46" t="n">
        <v>172</v>
      </c>
      <c r="G716" s="48" t="n">
        <v>11339.5</v>
      </c>
      <c r="H716" s="48" t="n">
        <v>5948.75</v>
      </c>
      <c r="I716" s="48" t="n">
        <v>3344.05</v>
      </c>
      <c r="J716" s="48" t="n">
        <v>1774.97</v>
      </c>
    </row>
    <row r="717">
      <c r="A717" s="50" t="inlineStr">
        <is>
          <t>Robin Feldman</t>
        </is>
      </c>
      <c r="B717" s="50" t="inlineStr">
        <is>
          <t>Qualifier</t>
        </is>
      </c>
      <c r="C717" s="50" t="inlineStr">
        <is>
          <t>Mark Anthony</t>
        </is>
      </c>
      <c r="D717" s="50" t="inlineStr">
        <is>
          <t>White Claw</t>
        </is>
      </c>
      <c r="E717" s="46" t="n">
        <v>860</v>
      </c>
      <c r="F717" s="46" t="n">
        <v>772</v>
      </c>
      <c r="G717" s="48" t="n">
        <v>29716.4</v>
      </c>
      <c r="H717" s="48" t="n">
        <v>27151.5</v>
      </c>
      <c r="I717" s="48" t="n">
        <v>8151.99</v>
      </c>
      <c r="J717" s="48" t="n">
        <v>7244.23</v>
      </c>
    </row>
    <row r="718">
      <c r="A718" s="50" t="inlineStr">
        <is>
          <t>Robin Feldman</t>
        </is>
      </c>
      <c r="B718" s="50" t="inlineStr">
        <is>
          <t>Qualifier</t>
        </is>
      </c>
      <c r="C718" s="50" t="inlineStr">
        <is>
          <t>DG Yuengling Inc</t>
        </is>
      </c>
      <c r="D718" s="50" t="inlineStr">
        <is>
          <t>Yuengling Lager</t>
        </is>
      </c>
      <c r="E718" s="46" t="n">
        <v>2066</v>
      </c>
      <c r="F718" s="46" t="n">
        <v>1994</v>
      </c>
      <c r="G718" s="48" t="n">
        <v>46881.91</v>
      </c>
      <c r="H718" s="48" t="n">
        <v>45668.19</v>
      </c>
      <c r="I718" s="48" t="n">
        <v>14428.03</v>
      </c>
      <c r="J718" s="48" t="n">
        <v>13959.95</v>
      </c>
    </row>
    <row r="719">
      <c r="A719" s="50" t="inlineStr">
        <is>
          <t>Shane Barreca</t>
        </is>
      </c>
      <c r="B719" s="50" t="inlineStr">
        <is>
          <t>Amplify</t>
        </is>
      </c>
      <c r="C719" s="50" t="inlineStr">
        <is>
          <t>Cape May</t>
        </is>
      </c>
      <c r="D719" s="50" t="inlineStr">
        <is>
          <t>Cape May</t>
        </is>
      </c>
      <c r="E719" s="46" t="n">
        <v>1047</v>
      </c>
      <c r="F719" s="46" t="n">
        <v>952</v>
      </c>
      <c r="G719" s="48" t="n">
        <v>42189.7</v>
      </c>
      <c r="H719" s="48" t="n">
        <v>38378.4</v>
      </c>
      <c r="I719" s="48" t="n">
        <v>12373.93</v>
      </c>
      <c r="J719" s="48" t="n">
        <v>11237.03</v>
      </c>
    </row>
    <row r="720">
      <c r="A720" s="50" t="inlineStr">
        <is>
          <t>Shane Barreca</t>
        </is>
      </c>
      <c r="B720" s="50" t="inlineStr">
        <is>
          <t>Amplify</t>
        </is>
      </c>
      <c r="C720" s="50" t="inlineStr">
        <is>
          <t>Mark Anthony</t>
        </is>
      </c>
      <c r="D720" s="50" t="inlineStr">
        <is>
          <t>Cayman Jack</t>
        </is>
      </c>
      <c r="E720" s="46" t="n">
        <v>446</v>
      </c>
      <c r="F720" s="46" t="n">
        <v>385</v>
      </c>
      <c r="G720" s="48" t="n">
        <v>14204</v>
      </c>
      <c r="H720" s="48" t="n">
        <v>12315.5</v>
      </c>
      <c r="I720" s="48" t="n">
        <v>3411.32</v>
      </c>
      <c r="J720" s="48" t="n">
        <v>3012.96</v>
      </c>
    </row>
    <row r="721">
      <c r="A721" s="50" t="inlineStr">
        <is>
          <t>Shane Barreca</t>
        </is>
      </c>
      <c r="B721" s="50" t="inlineStr">
        <is>
          <t>Amplify</t>
        </is>
      </c>
      <c r="C721" s="50" t="inlineStr">
        <is>
          <t>Mark Anthony</t>
        </is>
      </c>
      <c r="D721" s="50" t="inlineStr">
        <is>
          <t>Mike's Harder</t>
        </is>
      </c>
      <c r="E721" s="46" t="n">
        <v>418</v>
      </c>
      <c r="F721" s="46" t="n">
        <v>404</v>
      </c>
      <c r="G721" s="48" t="n">
        <v>11649</v>
      </c>
      <c r="H721" s="48" t="n">
        <v>12010.5</v>
      </c>
      <c r="I721" s="48" t="n">
        <v>2532.9</v>
      </c>
      <c r="J721" s="48" t="n">
        <v>2635.25</v>
      </c>
    </row>
    <row r="722">
      <c r="A722" s="50" t="inlineStr">
        <is>
          <t>Shane Barreca</t>
        </is>
      </c>
      <c r="B722" s="50" t="inlineStr">
        <is>
          <t>Amplify</t>
        </is>
      </c>
      <c r="C722" s="50" t="inlineStr">
        <is>
          <t>Mark Anthony</t>
        </is>
      </c>
      <c r="D722" s="50" t="inlineStr">
        <is>
          <t>Mxd Cocktails</t>
        </is>
      </c>
      <c r="E722" s="46" t="n">
        <v>0</v>
      </c>
      <c r="F722" s="46" t="n">
        <v>1</v>
      </c>
      <c r="G722" s="48" t="n">
        <v>0</v>
      </c>
      <c r="H722" s="48" t="n">
        <v>35.9</v>
      </c>
      <c r="I722" s="48" t="n">
        <v>0</v>
      </c>
      <c r="J722" s="48" t="n">
        <v>9.91</v>
      </c>
    </row>
    <row r="723">
      <c r="A723" s="50" t="inlineStr">
        <is>
          <t>Shane Barreca</t>
        </is>
      </c>
      <c r="B723" s="50" t="inlineStr">
        <is>
          <t>Amplify</t>
        </is>
      </c>
      <c r="C723" s="50" t="inlineStr">
        <is>
          <t>MolsonCoors Beverage Company</t>
        </is>
      </c>
      <c r="D723" s="50" t="inlineStr">
        <is>
          <t>Coors</t>
        </is>
      </c>
      <c r="E723" s="46" t="n">
        <v>4370</v>
      </c>
      <c r="F723" s="46" t="n">
        <v>4222</v>
      </c>
      <c r="G723" s="48" t="n">
        <v>96017.75</v>
      </c>
      <c r="H723" s="48" t="n">
        <v>92252.7</v>
      </c>
      <c r="I723" s="48" t="n">
        <v>25538.13</v>
      </c>
      <c r="J723" s="48" t="n">
        <v>24228.32</v>
      </c>
    </row>
    <row r="724">
      <c r="A724" s="50" t="inlineStr">
        <is>
          <t>Shane Barreca</t>
        </is>
      </c>
      <c r="B724" s="50" t="inlineStr">
        <is>
          <t>Amplify</t>
        </is>
      </c>
      <c r="C724" s="50" t="inlineStr">
        <is>
          <t>MolsonCoors Beverage Company</t>
        </is>
      </c>
      <c r="D724" s="50" t="inlineStr">
        <is>
          <t>Fever Tree</t>
        </is>
      </c>
      <c r="E724" s="46" t="n">
        <v>7</v>
      </c>
      <c r="F724" s="46" t="n">
        <v>348</v>
      </c>
      <c r="G724" s="48" t="n">
        <v>321</v>
      </c>
      <c r="H724" s="48" t="n">
        <v>15655.18</v>
      </c>
      <c r="I724" s="48" t="n">
        <v>119.41</v>
      </c>
      <c r="J724" s="48" t="n">
        <v>4948.2</v>
      </c>
    </row>
    <row r="725">
      <c r="A725" s="50" t="inlineStr">
        <is>
          <t>Shane Barreca</t>
        </is>
      </c>
      <c r="B725" s="50" t="inlineStr">
        <is>
          <t>Amplify</t>
        </is>
      </c>
      <c r="C725" s="50" t="inlineStr">
        <is>
          <t>MolsonCoors Beverage Company</t>
        </is>
      </c>
      <c r="D725" s="50" t="inlineStr">
        <is>
          <t>Peroni</t>
        </is>
      </c>
      <c r="E725" s="46" t="n">
        <v>2220</v>
      </c>
      <c r="F725" s="46" t="n">
        <v>2444</v>
      </c>
      <c r="G725" s="48" t="n">
        <v>75694.45</v>
      </c>
      <c r="H725" s="48" t="n">
        <v>81059.7</v>
      </c>
      <c r="I725" s="48" t="n">
        <v>15625.66</v>
      </c>
      <c r="J725" s="48" t="n">
        <v>15238.96</v>
      </c>
    </row>
    <row r="726">
      <c r="A726" s="50" t="inlineStr">
        <is>
          <t>Shane Barreca</t>
        </is>
      </c>
      <c r="B726" s="50" t="inlineStr">
        <is>
          <t>Amplify</t>
        </is>
      </c>
      <c r="C726" s="50" t="inlineStr">
        <is>
          <t>Boston Beer Company</t>
        </is>
      </c>
      <c r="D726" s="50" t="inlineStr">
        <is>
          <t>Dogfish Head Beer</t>
        </is>
      </c>
      <c r="E726" s="46" t="n">
        <v>1567</v>
      </c>
      <c r="F726" s="46" t="n">
        <v>1435</v>
      </c>
      <c r="G726" s="48" t="n">
        <v>55160.8</v>
      </c>
      <c r="H726" s="48" t="n">
        <v>49123.2</v>
      </c>
      <c r="I726" s="48" t="n">
        <v>13511.38</v>
      </c>
      <c r="J726" s="48" t="n">
        <v>11906.97</v>
      </c>
    </row>
    <row r="727">
      <c r="A727" s="50" t="inlineStr">
        <is>
          <t>Shane Barreca</t>
        </is>
      </c>
      <c r="B727" s="50" t="inlineStr">
        <is>
          <t>Amplify</t>
        </is>
      </c>
      <c r="C727" s="50" t="inlineStr">
        <is>
          <t>Boston Beer Company</t>
        </is>
      </c>
      <c r="D727" s="50" t="inlineStr">
        <is>
          <t>Dogfish Head Spirits</t>
        </is>
      </c>
      <c r="E727" s="46" t="n">
        <v>166</v>
      </c>
      <c r="F727" s="46" t="n">
        <v>174</v>
      </c>
      <c r="G727" s="48" t="n">
        <v>8799.49</v>
      </c>
      <c r="H727" s="48" t="n">
        <v>8484.49</v>
      </c>
      <c r="I727" s="48" t="n">
        <v>3494.22</v>
      </c>
      <c r="J727" s="48" t="n">
        <v>2929.96</v>
      </c>
    </row>
    <row r="728">
      <c r="A728" s="50" t="inlineStr">
        <is>
          <t>Shane Barreca</t>
        </is>
      </c>
      <c r="B728" s="50" t="inlineStr">
        <is>
          <t>Amplify</t>
        </is>
      </c>
      <c r="C728" s="50" t="inlineStr">
        <is>
          <t>Heineken USA</t>
        </is>
      </c>
      <c r="D728" s="50" t="inlineStr">
        <is>
          <t>Heineken 0.0</t>
        </is>
      </c>
      <c r="E728" s="46" t="n">
        <v>851</v>
      </c>
      <c r="F728" s="46" t="n">
        <v>799</v>
      </c>
      <c r="G728" s="48" t="n">
        <v>28439.55</v>
      </c>
      <c r="H728" s="48" t="n">
        <v>26644.65</v>
      </c>
      <c r="I728" s="48" t="n">
        <v>7257.84</v>
      </c>
      <c r="J728" s="48" t="n">
        <v>6759.1</v>
      </c>
    </row>
    <row r="729">
      <c r="A729" s="50" t="inlineStr">
        <is>
          <t>Shane Barreca</t>
        </is>
      </c>
      <c r="B729" s="50" t="inlineStr">
        <is>
          <t>Amplify</t>
        </is>
      </c>
      <c r="C729" s="50" t="inlineStr">
        <is>
          <t>Heineken USA</t>
        </is>
      </c>
      <c r="D729" s="50" t="inlineStr">
        <is>
          <t>Heineken Light</t>
        </is>
      </c>
      <c r="E729" s="46" t="n">
        <v>1068</v>
      </c>
      <c r="F729" s="46" t="n">
        <v>919</v>
      </c>
      <c r="G729" s="48" t="n">
        <v>33380.3</v>
      </c>
      <c r="H729" s="48" t="n">
        <v>28743.1</v>
      </c>
      <c r="I729" s="48" t="n">
        <v>7983.49</v>
      </c>
      <c r="J729" s="48" t="n">
        <v>6892.75</v>
      </c>
    </row>
    <row r="730">
      <c r="A730" s="50" t="inlineStr">
        <is>
          <t>Shane Barreca</t>
        </is>
      </c>
      <c r="B730" s="50" t="inlineStr">
        <is>
          <t>Amplify</t>
        </is>
      </c>
      <c r="C730" s="50" t="inlineStr">
        <is>
          <t>Constellation Brands</t>
        </is>
      </c>
      <c r="D730" s="50" t="inlineStr">
        <is>
          <t>Corona Premier</t>
        </is>
      </c>
      <c r="E730" s="46" t="n">
        <v>1014</v>
      </c>
      <c r="F730" s="46" t="n">
        <v>891</v>
      </c>
      <c r="G730" s="48" t="n">
        <v>31499.45</v>
      </c>
      <c r="H730" s="48" t="n">
        <v>24418.6</v>
      </c>
      <c r="I730" s="48" t="n">
        <v>7056.66</v>
      </c>
      <c r="J730" s="48" t="n">
        <v>5972.22</v>
      </c>
    </row>
    <row r="731">
      <c r="A731" s="50" t="inlineStr">
        <is>
          <t>Shane Barreca</t>
        </is>
      </c>
      <c r="B731" s="50" t="inlineStr">
        <is>
          <t>Amplify</t>
        </is>
      </c>
      <c r="C731" s="50" t="inlineStr">
        <is>
          <t>Constellation Brands</t>
        </is>
      </c>
      <c r="D731" s="50" t="inlineStr">
        <is>
          <t>Modelo Chelada</t>
        </is>
      </c>
      <c r="E731" s="46" t="n">
        <v>2052</v>
      </c>
      <c r="F731" s="46" t="n">
        <v>3434</v>
      </c>
      <c r="G731" s="48" t="n">
        <v>62955.3</v>
      </c>
      <c r="H731" s="48" t="n">
        <v>104422.2</v>
      </c>
      <c r="I731" s="48" t="n">
        <v>14734.09</v>
      </c>
      <c r="J731" s="48" t="n">
        <v>23207.15</v>
      </c>
    </row>
    <row r="732">
      <c r="A732" s="50" t="inlineStr">
        <is>
          <t>Shane Barreca</t>
        </is>
      </c>
      <c r="B732" s="50" t="inlineStr">
        <is>
          <t>Amplify</t>
        </is>
      </c>
      <c r="C732" s="50" t="inlineStr">
        <is>
          <t>Constellation Brands</t>
        </is>
      </c>
      <c r="D732" s="50" t="inlineStr">
        <is>
          <t>Pacifico</t>
        </is>
      </c>
      <c r="E732" s="46" t="n">
        <v>1105</v>
      </c>
      <c r="F732" s="46" t="n">
        <v>1599</v>
      </c>
      <c r="G732" s="48" t="n">
        <v>33989.9</v>
      </c>
      <c r="H732" s="48" t="n">
        <v>49030.2</v>
      </c>
      <c r="I732" s="48" t="n">
        <v>7796.67</v>
      </c>
      <c r="J732" s="48" t="n">
        <v>11104.75</v>
      </c>
    </row>
    <row r="733">
      <c r="A733" s="50" t="inlineStr">
        <is>
          <t>Shane Barreca</t>
        </is>
      </c>
      <c r="B733" s="50" t="inlineStr">
        <is>
          <t>Amplify</t>
        </is>
      </c>
      <c r="C733" s="50" t="inlineStr">
        <is>
          <t>Constellation Brands</t>
        </is>
      </c>
      <c r="D733" s="50" t="inlineStr">
        <is>
          <t>Victoria</t>
        </is>
      </c>
      <c r="E733" s="46" t="n">
        <v>819</v>
      </c>
      <c r="F733" s="46" t="n">
        <v>962</v>
      </c>
      <c r="G733" s="48" t="n">
        <v>24763.35</v>
      </c>
      <c r="H733" s="48" t="n">
        <v>29000.3</v>
      </c>
      <c r="I733" s="48" t="n">
        <v>5834.16</v>
      </c>
      <c r="J733" s="48" t="n">
        <v>6846.14</v>
      </c>
    </row>
    <row r="734">
      <c r="A734" s="50" t="inlineStr">
        <is>
          <t>Shane Barreca</t>
        </is>
      </c>
      <c r="B734" s="50" t="inlineStr">
        <is>
          <t>Amplify</t>
        </is>
      </c>
      <c r="C734" s="50" t="inlineStr">
        <is>
          <t>Sapporo</t>
        </is>
      </c>
      <c r="D734" s="50" t="inlineStr">
        <is>
          <t>Sapporo</t>
        </is>
      </c>
      <c r="E734" s="46" t="n">
        <v>1246</v>
      </c>
      <c r="F734" s="46" t="n">
        <v>1341</v>
      </c>
      <c r="G734" s="48" t="n">
        <v>34346.5</v>
      </c>
      <c r="H734" s="48" t="n">
        <v>37727.25</v>
      </c>
      <c r="I734" s="48" t="n">
        <v>8346.32</v>
      </c>
      <c r="J734" s="48" t="n">
        <v>9390.93</v>
      </c>
    </row>
    <row r="735">
      <c r="A735" s="50" t="inlineStr">
        <is>
          <t>Shane Barreca</t>
        </is>
      </c>
      <c r="B735" s="50" t="inlineStr">
        <is>
          <t>Amplify</t>
        </is>
      </c>
      <c r="C735" s="50" t="inlineStr">
        <is>
          <t>Bell's</t>
        </is>
      </c>
      <c r="D735" s="50" t="inlineStr">
        <is>
          <t>Bell's</t>
        </is>
      </c>
      <c r="E735" s="46" t="n">
        <v>70</v>
      </c>
      <c r="F735" s="46" t="n">
        <v>53</v>
      </c>
      <c r="G735" s="48" t="n">
        <v>2422.85</v>
      </c>
      <c r="H735" s="48" t="n">
        <v>1796.05</v>
      </c>
      <c r="I735" s="48" t="n">
        <v>741.11</v>
      </c>
      <c r="J735" s="48" t="n">
        <v>556.15</v>
      </c>
    </row>
    <row r="736">
      <c r="A736" s="50" t="inlineStr">
        <is>
          <t>Shane Barreca</t>
        </is>
      </c>
      <c r="B736" s="50" t="inlineStr">
        <is>
          <t>Amplify</t>
        </is>
      </c>
      <c r="C736" s="50" t="inlineStr">
        <is>
          <t>New Belgium Brewing Company</t>
        </is>
      </c>
      <c r="D736" s="50" t="inlineStr">
        <is>
          <t>Fat Tire Family</t>
        </is>
      </c>
      <c r="E736" s="46" t="n">
        <v>388</v>
      </c>
      <c r="F736" s="46" t="n">
        <v>338</v>
      </c>
      <c r="G736" s="48" t="n">
        <v>12887.9</v>
      </c>
      <c r="H736" s="48" t="n">
        <v>10754.35</v>
      </c>
      <c r="I736" s="48" t="n">
        <v>2712.56</v>
      </c>
      <c r="J736" s="48" t="n">
        <v>2097.9</v>
      </c>
    </row>
    <row r="737">
      <c r="A737" s="50" t="inlineStr">
        <is>
          <t>Shane Barreca</t>
        </is>
      </c>
      <c r="B737" s="50" t="inlineStr">
        <is>
          <t>Amplify</t>
        </is>
      </c>
      <c r="C737" s="50" t="inlineStr">
        <is>
          <t>New Belgium Brewing Company</t>
        </is>
      </c>
      <c r="D737" s="50" t="inlineStr">
        <is>
          <t>Kirin Ichiban</t>
        </is>
      </c>
      <c r="E737" s="46" t="n">
        <v>93</v>
      </c>
      <c r="F737" s="46" t="n">
        <v>173</v>
      </c>
      <c r="G737" s="48" t="n">
        <v>2721</v>
      </c>
      <c r="H737" s="48" t="n">
        <v>4820.5</v>
      </c>
      <c r="I737" s="48" t="n">
        <v>587.02</v>
      </c>
      <c r="J737" s="48" t="n">
        <v>1078.92</v>
      </c>
    </row>
    <row r="738">
      <c r="A738" s="50" t="inlineStr">
        <is>
          <t>Shane Barreca</t>
        </is>
      </c>
      <c r="B738" s="50" t="inlineStr">
        <is>
          <t>Amplify</t>
        </is>
      </c>
      <c r="C738" s="50" t="inlineStr">
        <is>
          <t>New Belgium Brewing Company</t>
        </is>
      </c>
      <c r="D738" s="50" t="inlineStr">
        <is>
          <t>Voodoo Family</t>
        </is>
      </c>
      <c r="E738" s="46" t="n">
        <v>1713</v>
      </c>
      <c r="F738" s="46" t="n">
        <v>1816</v>
      </c>
      <c r="G738" s="48" t="n">
        <v>61450.1</v>
      </c>
      <c r="H738" s="48" t="n">
        <v>64952.8</v>
      </c>
      <c r="I738" s="48" t="n">
        <v>15079.96</v>
      </c>
      <c r="J738" s="48" t="n">
        <v>15959.32</v>
      </c>
    </row>
    <row r="739">
      <c r="A739" s="50" t="inlineStr">
        <is>
          <t>Shane Barreca</t>
        </is>
      </c>
      <c r="B739" s="50" t="inlineStr">
        <is>
          <t>Amplify</t>
        </is>
      </c>
      <c r="C739" s="50" t="inlineStr">
        <is>
          <t>DG Yuengling Inc</t>
        </is>
      </c>
      <c r="D739" s="50" t="inlineStr">
        <is>
          <t>Yuengling Flight</t>
        </is>
      </c>
      <c r="E739" s="46" t="n">
        <v>322</v>
      </c>
      <c r="F739" s="46" t="n">
        <v>363</v>
      </c>
      <c r="G739" s="48" t="n">
        <v>7020.25</v>
      </c>
      <c r="H739" s="48" t="n">
        <v>8290.35</v>
      </c>
      <c r="I739" s="48" t="n">
        <v>1879.18</v>
      </c>
      <c r="J739" s="48" t="n">
        <v>2337.86</v>
      </c>
    </row>
    <row r="740">
      <c r="A740" s="50" t="inlineStr">
        <is>
          <t>Shane Barreca</t>
        </is>
      </c>
      <c r="B740" s="50" t="inlineStr">
        <is>
          <t>Amplify</t>
        </is>
      </c>
      <c r="C740" s="50" t="inlineStr">
        <is>
          <t>DG Yuengling Inc</t>
        </is>
      </c>
      <c r="D740" s="50" t="inlineStr">
        <is>
          <t>Yuengling Light Lager</t>
        </is>
      </c>
      <c r="E740" s="46" t="n">
        <v>320</v>
      </c>
      <c r="F740" s="46" t="n">
        <v>243</v>
      </c>
      <c r="G740" s="48" t="n">
        <v>7703.4</v>
      </c>
      <c r="H740" s="48" t="n">
        <v>5966.2</v>
      </c>
      <c r="I740" s="48" t="n">
        <v>2198.81</v>
      </c>
      <c r="J740" s="48" t="n">
        <v>1675.87</v>
      </c>
    </row>
    <row r="741">
      <c r="A741" s="50" t="inlineStr">
        <is>
          <t>Shane Barreca</t>
        </is>
      </c>
      <c r="B741" s="50" t="inlineStr">
        <is>
          <t>Qualifier</t>
        </is>
      </c>
      <c r="C741" s="50" t="inlineStr">
        <is>
          <t>MolsonCoors Beverage Company</t>
        </is>
      </c>
      <c r="D741" s="50" t="inlineStr">
        <is>
          <t>Blue Moon</t>
        </is>
      </c>
      <c r="E741" s="46" t="n">
        <v>2971</v>
      </c>
      <c r="F741" s="46" t="n">
        <v>2468</v>
      </c>
      <c r="G741" s="48" t="n">
        <v>94285.55</v>
      </c>
      <c r="H741" s="48" t="n">
        <v>81111.75</v>
      </c>
      <c r="I741" s="48" t="n">
        <v>20526.63</v>
      </c>
      <c r="J741" s="48" t="n">
        <v>18729.82</v>
      </c>
    </row>
    <row r="742">
      <c r="A742" s="50" t="inlineStr">
        <is>
          <t>Shane Barreca</t>
        </is>
      </c>
      <c r="B742" s="50" t="inlineStr">
        <is>
          <t>Qualifier</t>
        </is>
      </c>
      <c r="C742" s="50" t="inlineStr">
        <is>
          <t>MolsonCoors Beverage Company</t>
        </is>
      </c>
      <c r="D742" s="50" t="inlineStr">
        <is>
          <t>Coors Light</t>
        </is>
      </c>
      <c r="E742" s="46" t="n">
        <v>19307</v>
      </c>
      <c r="F742" s="46" t="n">
        <v>20711</v>
      </c>
      <c r="G742" s="48" t="n">
        <v>417845.6</v>
      </c>
      <c r="H742" s="48" t="n">
        <v>448639.15</v>
      </c>
      <c r="I742" s="48" t="n">
        <v>111806.8</v>
      </c>
      <c r="J742" s="48" t="n">
        <v>117723.4</v>
      </c>
    </row>
    <row r="743">
      <c r="A743" s="50" t="inlineStr">
        <is>
          <t>Shane Barreca</t>
        </is>
      </c>
      <c r="B743" s="50" t="inlineStr">
        <is>
          <t>Qualifier</t>
        </is>
      </c>
      <c r="C743" s="50" t="inlineStr">
        <is>
          <t>MolsonCoors Beverage Company</t>
        </is>
      </c>
      <c r="D743" s="50" t="inlineStr">
        <is>
          <t>Lite</t>
        </is>
      </c>
      <c r="E743" s="46" t="n">
        <v>17330</v>
      </c>
      <c r="F743" s="46" t="n">
        <v>17505</v>
      </c>
      <c r="G743" s="48" t="n">
        <v>382335.75</v>
      </c>
      <c r="H743" s="48" t="n">
        <v>386989</v>
      </c>
      <c r="I743" s="48" t="n">
        <v>94507.07000000001</v>
      </c>
      <c r="J743" s="48" t="n">
        <v>94523.81</v>
      </c>
    </row>
    <row r="744">
      <c r="A744" s="50" t="inlineStr">
        <is>
          <t>Shane Barreca</t>
        </is>
      </c>
      <c r="B744" s="50" t="inlineStr">
        <is>
          <t>Qualifier</t>
        </is>
      </c>
      <c r="C744" s="50" t="inlineStr">
        <is>
          <t>Heineken USA</t>
        </is>
      </c>
      <c r="D744" s="50" t="inlineStr">
        <is>
          <t>Heineken USA</t>
        </is>
      </c>
      <c r="E744" s="46" t="n">
        <v>7896</v>
      </c>
      <c r="F744" s="46" t="n">
        <v>7017</v>
      </c>
      <c r="G744" s="48" t="n">
        <v>246496.8</v>
      </c>
      <c r="H744" s="48" t="n">
        <v>217832.85</v>
      </c>
      <c r="I744" s="48" t="n">
        <v>59227.97</v>
      </c>
      <c r="J744" s="48" t="n">
        <v>51592.33</v>
      </c>
    </row>
    <row r="745">
      <c r="A745" s="50" t="inlineStr">
        <is>
          <t>Shane Barreca</t>
        </is>
      </c>
      <c r="B745" s="50" t="inlineStr">
        <is>
          <t>Qualifier</t>
        </is>
      </c>
      <c r="C745" s="50" t="inlineStr">
        <is>
          <t>Constellation Brands</t>
        </is>
      </c>
      <c r="D745" s="50" t="inlineStr">
        <is>
          <t>Corona Extra</t>
        </is>
      </c>
      <c r="E745" s="46" t="n">
        <v>11224</v>
      </c>
      <c r="F745" s="46" t="n">
        <v>12233</v>
      </c>
      <c r="G745" s="48" t="n">
        <v>356469.65</v>
      </c>
      <c r="H745" s="48" t="n">
        <v>388765.95</v>
      </c>
      <c r="I745" s="48" t="n">
        <v>84420.72</v>
      </c>
      <c r="J745" s="48" t="n">
        <v>91646.27</v>
      </c>
    </row>
    <row r="746">
      <c r="A746" s="50" t="inlineStr">
        <is>
          <t>Shane Barreca</t>
        </is>
      </c>
      <c r="B746" s="50" t="inlineStr">
        <is>
          <t>Qualifier</t>
        </is>
      </c>
      <c r="C746" s="50" t="inlineStr">
        <is>
          <t>Constellation Brands</t>
        </is>
      </c>
      <c r="D746" s="50" t="inlineStr">
        <is>
          <t>Modelo Especial</t>
        </is>
      </c>
      <c r="E746" s="46" t="n">
        <v>15850</v>
      </c>
      <c r="F746" s="46" t="n">
        <v>17089</v>
      </c>
      <c r="G746" s="48" t="n">
        <v>481011.9</v>
      </c>
      <c r="H746" s="48" t="n">
        <v>517338.5</v>
      </c>
      <c r="I746" s="48" t="n">
        <v>109136.6</v>
      </c>
      <c r="J746" s="48" t="n">
        <v>116531.55</v>
      </c>
    </row>
    <row r="747">
      <c r="A747" s="50" t="inlineStr">
        <is>
          <t>Shane Barreca</t>
        </is>
      </c>
      <c r="B747" s="50" t="inlineStr">
        <is>
          <t>Qualifier</t>
        </is>
      </c>
      <c r="C747" s="50" t="inlineStr">
        <is>
          <t>Boston Beer Company</t>
        </is>
      </c>
      <c r="D747" s="50" t="inlineStr">
        <is>
          <t>Truly</t>
        </is>
      </c>
      <c r="E747" s="46" t="n">
        <v>1189</v>
      </c>
      <c r="F747" s="46" t="n">
        <v>1060</v>
      </c>
      <c r="G747" s="48" t="n">
        <v>33755.1</v>
      </c>
      <c r="H747" s="48" t="n">
        <v>30275.4</v>
      </c>
      <c r="I747" s="48" t="n">
        <v>6533.05</v>
      </c>
      <c r="J747" s="48" t="n">
        <v>5903.87</v>
      </c>
    </row>
    <row r="748">
      <c r="A748" s="50" t="inlineStr">
        <is>
          <t>Shane Barreca</t>
        </is>
      </c>
      <c r="B748" s="50" t="inlineStr">
        <is>
          <t>Qualifier</t>
        </is>
      </c>
      <c r="C748" s="50" t="inlineStr">
        <is>
          <t>Boston Beer Company</t>
        </is>
      </c>
      <c r="D748" s="50" t="inlineStr">
        <is>
          <t>Twisted Tea</t>
        </is>
      </c>
      <c r="E748" s="46" t="n">
        <v>2750</v>
      </c>
      <c r="F748" s="46" t="n">
        <v>2378</v>
      </c>
      <c r="G748" s="48" t="n">
        <v>80105.25</v>
      </c>
      <c r="H748" s="48" t="n">
        <v>67309.5</v>
      </c>
      <c r="I748" s="48" t="n">
        <v>19392.93</v>
      </c>
      <c r="J748" s="48" t="n">
        <v>14391.2</v>
      </c>
    </row>
    <row r="749">
      <c r="A749" s="50" t="inlineStr">
        <is>
          <t>Shane Barreca</t>
        </is>
      </c>
      <c r="B749" s="50" t="inlineStr">
        <is>
          <t>Qualifier</t>
        </is>
      </c>
      <c r="C749" s="50" t="inlineStr">
        <is>
          <t>Mark Anthony</t>
        </is>
      </c>
      <c r="D749" s="50" t="inlineStr">
        <is>
          <t>White Claw</t>
        </is>
      </c>
      <c r="E749" s="46" t="n">
        <v>11727</v>
      </c>
      <c r="F749" s="46" t="n">
        <v>8481</v>
      </c>
      <c r="G749" s="48" t="n">
        <v>356420.7</v>
      </c>
      <c r="H749" s="48" t="n">
        <v>266694.95</v>
      </c>
      <c r="I749" s="48" t="n">
        <v>67394.53999999999</v>
      </c>
      <c r="J749" s="48" t="n">
        <v>53151.42</v>
      </c>
    </row>
    <row r="750">
      <c r="A750" s="50" t="inlineStr">
        <is>
          <t>Shane Barreca</t>
        </is>
      </c>
      <c r="B750" s="50" t="inlineStr">
        <is>
          <t>Qualifier</t>
        </is>
      </c>
      <c r="C750" s="50" t="inlineStr">
        <is>
          <t>DG Yuengling Inc</t>
        </is>
      </c>
      <c r="D750" s="50" t="inlineStr">
        <is>
          <t>Yuengling Lager</t>
        </is>
      </c>
      <c r="E750" s="46" t="n">
        <v>4533</v>
      </c>
      <c r="F750" s="46" t="n">
        <v>4254</v>
      </c>
      <c r="G750" s="48" t="n">
        <v>101414</v>
      </c>
      <c r="H750" s="48" t="n">
        <v>95716.14999999999</v>
      </c>
      <c r="I750" s="48" t="n">
        <v>27464.56</v>
      </c>
      <c r="J750" s="48" t="n">
        <v>25943.98</v>
      </c>
    </row>
    <row r="752">
      <c r="A752" s="2" t="inlineStr">
        <is>
          <t>Blue = values exactly as exported from RDE. Reps excluded to match the live dashboard and the payout recap: Default, Office Tell Sell, Chris Politano.</t>
        </is>
      </c>
    </row>
    <row r="753">
      <c r="A753" s="2" t="inlineStr">
        <is>
          <t>Replace this tab with a fresh export of the same shape and every analysis tab recalculates.</t>
        </is>
      </c>
    </row>
  </sheetData>
  <autoFilter ref="A4:J7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0"/>
  <sheetViews>
    <sheetView showGridLines="0" workbookViewId="0">
      <pane ySplit="4" topLeftCell="A5" activePane="bottomLeft" state="frozen"/>
      <selection pane="bottomLeft" activeCell="A1" sqref="A1"/>
    </sheetView>
  </sheetViews>
  <sheetFormatPr baseColWidth="8" defaultRowHeight="15"/>
  <cols>
    <col width="30" customWidth="1" min="1" max="1"/>
    <col width="26" customWidth="1" min="2" max="2"/>
    <col width="11" customWidth="1" min="3" max="3"/>
    <col width="11" customWidth="1" min="4" max="4"/>
    <col width="14" customWidth="1" min="5" max="5"/>
    <col width="14" customWidth="1" min="6" max="6"/>
    <col width="13" customWidth="1" min="7" max="7"/>
    <col width="13" customWidth="1" min="8" max="8"/>
  </cols>
  <sheetData>
    <row r="1">
      <c r="A1" s="22" t="inlineStr">
        <is>
          <t>Source data — Control</t>
        </is>
      </c>
    </row>
    <row r="2">
      <c r="A2" s="2" t="inlineStr">
        <is>
          <t>Brands NOT in Summer of Success, 6/1–8/31 (2026 vs 2025) — aggregated to supplier × brand   ·   Source: RDE_2026_Summer_of_Success_Brands_Not_Included_in_SoS.csv</t>
        </is>
      </c>
    </row>
    <row r="4" ht="30" customHeight="1">
      <c r="A4" s="6" t="inlineStr">
        <is>
          <t>Supplier</t>
        </is>
      </c>
      <c r="B4" s="6" t="inlineStr">
        <is>
          <t>Brand Family</t>
        </is>
      </c>
      <c r="C4" s="6" t="inlineStr">
        <is>
          <t>CE 2025</t>
        </is>
      </c>
      <c r="D4" s="6" t="inlineStr">
        <is>
          <t>CE 2026</t>
        </is>
      </c>
      <c r="E4" s="6" t="inlineStr">
        <is>
          <t>Revenue 2025</t>
        </is>
      </c>
      <c r="F4" s="6" t="inlineStr">
        <is>
          <t>Revenue 2026</t>
        </is>
      </c>
      <c r="G4" s="6" t="inlineStr">
        <is>
          <t>GP 2025</t>
        </is>
      </c>
      <c r="H4" s="6" t="inlineStr">
        <is>
          <t>GP 2026</t>
        </is>
      </c>
    </row>
    <row r="5">
      <c r="A5" s="50" t="inlineStr">
        <is>
          <t>1925 Spirits LLC</t>
        </is>
      </c>
      <c r="B5" s="50" t="inlineStr">
        <is>
          <t>Leyenda 1925</t>
        </is>
      </c>
      <c r="C5" s="46" t="n">
        <v>0</v>
      </c>
      <c r="D5" s="46" t="n">
        <v>30</v>
      </c>
      <c r="E5" s="48" t="n">
        <v>0</v>
      </c>
      <c r="F5" s="48" t="n">
        <v>22539.14</v>
      </c>
      <c r="G5" s="48" t="n">
        <v>0</v>
      </c>
      <c r="H5" s="48" t="n">
        <v>6420.199999999999</v>
      </c>
    </row>
    <row r="6">
      <c r="A6" s="50" t="inlineStr">
        <is>
          <t>2 Towns Ciderhouse</t>
        </is>
      </c>
      <c r="B6" s="50" t="inlineStr">
        <is>
          <t>Craftwell</t>
        </is>
      </c>
      <c r="C6" s="46" t="n">
        <v>2</v>
      </c>
      <c r="D6" s="46" t="n">
        <v>0</v>
      </c>
      <c r="E6" s="48" t="n">
        <v>164</v>
      </c>
      <c r="F6" s="48" t="n">
        <v>0</v>
      </c>
      <c r="G6" s="48" t="n">
        <v>47.26000000000001</v>
      </c>
      <c r="H6" s="48" t="n">
        <v>0</v>
      </c>
    </row>
    <row r="7">
      <c r="A7" s="50" t="inlineStr">
        <is>
          <t>Alias Brew Works</t>
        </is>
      </c>
      <c r="B7" s="50" t="inlineStr">
        <is>
          <t>Alias Brew Works</t>
        </is>
      </c>
      <c r="C7" s="46" t="n">
        <v>250</v>
      </c>
      <c r="D7" s="46" t="n">
        <v>0</v>
      </c>
      <c r="E7" s="48" t="n">
        <v>10532</v>
      </c>
      <c r="F7" s="48" t="n">
        <v>0</v>
      </c>
      <c r="G7" s="48" t="n">
        <v>2785.46</v>
      </c>
      <c r="H7" s="48" t="n">
        <v>0</v>
      </c>
    </row>
    <row r="8">
      <c r="A8" s="50" t="inlineStr">
        <is>
          <t>Alte Beverage</t>
        </is>
      </c>
      <c r="B8" s="50" t="inlineStr">
        <is>
          <t>Alte Beverage</t>
        </is>
      </c>
      <c r="C8" s="46" t="n">
        <v>0</v>
      </c>
      <c r="D8" s="46" t="n">
        <v>42</v>
      </c>
      <c r="E8" s="48" t="n">
        <v>0</v>
      </c>
      <c r="F8" s="48" t="n">
        <v>3984</v>
      </c>
      <c r="G8" s="48" t="n">
        <v>0</v>
      </c>
      <c r="H8" s="48" t="n">
        <v>1470.66</v>
      </c>
    </row>
    <row r="9">
      <c r="A9" s="50" t="inlineStr">
        <is>
          <t>American Fruits</t>
        </is>
      </c>
      <c r="B9" s="50" t="inlineStr">
        <is>
          <t>American Fruit</t>
        </is>
      </c>
      <c r="C9" s="46" t="n">
        <v>6</v>
      </c>
      <c r="D9" s="46" t="n">
        <v>5</v>
      </c>
      <c r="E9" s="48" t="n">
        <v>1590</v>
      </c>
      <c r="F9" s="48" t="n">
        <v>900</v>
      </c>
      <c r="G9" s="48" t="n">
        <v>460.88</v>
      </c>
      <c r="H9" s="48" t="n">
        <v>284.76</v>
      </c>
    </row>
    <row r="10">
      <c r="A10" s="50" t="inlineStr">
        <is>
          <t>Artisanal Imports</t>
        </is>
      </c>
      <c r="B10" s="50" t="inlineStr">
        <is>
          <t>Palma</t>
        </is>
      </c>
      <c r="C10" s="46" t="n">
        <v>2006</v>
      </c>
      <c r="D10" s="46" t="n">
        <v>925</v>
      </c>
      <c r="E10" s="48" t="n">
        <v>58338.32</v>
      </c>
      <c r="F10" s="48" t="n">
        <v>23888.25</v>
      </c>
      <c r="G10" s="48" t="n">
        <v>15328.33</v>
      </c>
      <c r="H10" s="48" t="n">
        <v>4364.2</v>
      </c>
    </row>
    <row r="11">
      <c r="A11" s="50" t="inlineStr">
        <is>
          <t>Artisanal Imports</t>
        </is>
      </c>
      <c r="B11" s="50" t="inlineStr">
        <is>
          <t>Tona</t>
        </is>
      </c>
      <c r="C11" s="46" t="n">
        <v>1465</v>
      </c>
      <c r="D11" s="46" t="n">
        <v>960</v>
      </c>
      <c r="E11" s="48" t="n">
        <v>41646</v>
      </c>
      <c r="F11" s="48" t="n">
        <v>28242</v>
      </c>
      <c r="G11" s="48" t="n">
        <v>11602.85</v>
      </c>
      <c r="H11" s="48" t="n">
        <v>8420.299999999999</v>
      </c>
    </row>
    <row r="12">
      <c r="A12" s="50" t="inlineStr">
        <is>
          <t>Athletic Brewing Company</t>
        </is>
      </c>
      <c r="B12" s="50" t="inlineStr">
        <is>
          <t>Athletic</t>
        </is>
      </c>
      <c r="C12" s="46" t="n">
        <v>6309</v>
      </c>
      <c r="D12" s="46" t="n">
        <v>6840</v>
      </c>
      <c r="E12" s="48" t="n">
        <v>195603.7</v>
      </c>
      <c r="F12" s="48" t="n">
        <v>210942.89</v>
      </c>
      <c r="G12" s="48" t="n">
        <v>46975.7</v>
      </c>
      <c r="H12" s="48" t="n">
        <v>50377.99000000001</v>
      </c>
    </row>
    <row r="13">
      <c r="A13" s="50" t="inlineStr">
        <is>
          <t>BJ'S Private Label Brew</t>
        </is>
      </c>
      <c r="B13" s="50" t="inlineStr">
        <is>
          <t>BJ'S Private Label Brewa</t>
        </is>
      </c>
      <c r="C13" s="46" t="n">
        <v>850</v>
      </c>
      <c r="D13" s="46" t="n">
        <v>904</v>
      </c>
      <c r="E13" s="48" t="n">
        <v>14704.24</v>
      </c>
      <c r="F13" s="48" t="n">
        <v>17866.83</v>
      </c>
      <c r="G13" s="48" t="n">
        <v>3273.68</v>
      </c>
      <c r="H13" s="48" t="n">
        <v>4178.7</v>
      </c>
    </row>
    <row r="14">
      <c r="A14" s="50" t="inlineStr">
        <is>
          <t>Bardstown Bourbon Co</t>
        </is>
      </c>
      <c r="B14" s="50" t="inlineStr">
        <is>
          <t>Bardstown Bourbon</t>
        </is>
      </c>
      <c r="C14" s="46" t="n">
        <v>111</v>
      </c>
      <c r="D14" s="46" t="n">
        <v>79</v>
      </c>
      <c r="E14" s="48" t="n">
        <v>59574.9</v>
      </c>
      <c r="F14" s="48" t="n">
        <v>37875.75</v>
      </c>
      <c r="G14" s="48" t="n">
        <v>17009.23</v>
      </c>
      <c r="H14" s="48" t="n">
        <v>11018.74</v>
      </c>
    </row>
    <row r="15">
      <c r="A15" s="50" t="inlineStr">
        <is>
          <t>Bardstown Bourbon Co</t>
        </is>
      </c>
      <c r="B15" s="50" t="inlineStr">
        <is>
          <t>Bardstown Green River</t>
        </is>
      </c>
      <c r="C15" s="46" t="n">
        <v>38</v>
      </c>
      <c r="D15" s="46" t="n">
        <v>60</v>
      </c>
      <c r="E15" s="48" t="n">
        <v>16250.28</v>
      </c>
      <c r="F15" s="48" t="n">
        <v>18716.8</v>
      </c>
      <c r="G15" s="48" t="n">
        <v>4971.759999999999</v>
      </c>
      <c r="H15" s="48" t="n">
        <v>5946.13</v>
      </c>
    </row>
    <row r="16">
      <c r="A16" s="50" t="inlineStr">
        <is>
          <t>Barn Brew Co</t>
        </is>
      </c>
      <c r="B16" s="50" t="inlineStr">
        <is>
          <t>Barn Brew</t>
        </is>
      </c>
      <c r="C16" s="46" t="n">
        <v>165</v>
      </c>
      <c r="D16" s="46" t="n">
        <v>116</v>
      </c>
      <c r="E16" s="48" t="n">
        <v>10210</v>
      </c>
      <c r="F16" s="48" t="n">
        <v>6814</v>
      </c>
      <c r="G16" s="48" t="n">
        <v>2665.45</v>
      </c>
      <c r="H16" s="48" t="n">
        <v>2134.28</v>
      </c>
    </row>
    <row r="17">
      <c r="A17" s="50" t="inlineStr">
        <is>
          <t>Beak &amp; Skiff</t>
        </is>
      </c>
      <c r="B17" s="50" t="inlineStr">
        <is>
          <t>1911 Hard Cider</t>
        </is>
      </c>
      <c r="C17" s="46" t="n">
        <v>1963</v>
      </c>
      <c r="D17" s="46" t="n">
        <v>2328</v>
      </c>
      <c r="E17" s="48" t="n">
        <v>78175</v>
      </c>
      <c r="F17" s="48" t="n">
        <v>93525.5</v>
      </c>
      <c r="G17" s="48" t="n">
        <v>20647.32</v>
      </c>
      <c r="H17" s="48" t="n">
        <v>25453.55</v>
      </c>
    </row>
    <row r="18">
      <c r="A18" s="50" t="inlineStr">
        <is>
          <t>Beak &amp; Skiff</t>
        </is>
      </c>
      <c r="B18" s="50" t="inlineStr">
        <is>
          <t>1911 Spirits</t>
        </is>
      </c>
      <c r="C18" s="46" t="n">
        <v>15</v>
      </c>
      <c r="D18" s="46" t="n">
        <v>6</v>
      </c>
      <c r="E18" s="48" t="n">
        <v>370</v>
      </c>
      <c r="F18" s="48" t="n">
        <v>155</v>
      </c>
      <c r="G18" s="48" t="n">
        <v>-237.58</v>
      </c>
      <c r="H18" s="48" t="n">
        <v>-98.88</v>
      </c>
    </row>
    <row r="19">
      <c r="A19" s="50" t="inlineStr">
        <is>
          <t>Bell's</t>
        </is>
      </c>
      <c r="B19" s="50" t="inlineStr">
        <is>
          <t>Bell's Hearted Family</t>
        </is>
      </c>
      <c r="C19" s="46" t="n">
        <v>858</v>
      </c>
      <c r="D19" s="46" t="n">
        <v>1064</v>
      </c>
      <c r="E19" s="48" t="n">
        <v>29965.7</v>
      </c>
      <c r="F19" s="48" t="n">
        <v>36959.6</v>
      </c>
      <c r="G19" s="48" t="n">
        <v>9551.049999999999</v>
      </c>
      <c r="H19" s="48" t="n">
        <v>11872.13</v>
      </c>
    </row>
    <row r="20">
      <c r="A20" s="50" t="inlineStr">
        <is>
          <t>Bella Ray Beverage</t>
        </is>
      </c>
      <c r="B20" s="50" t="inlineStr">
        <is>
          <t>Bella Ray</t>
        </is>
      </c>
      <c r="C20" s="46" t="n">
        <v>0</v>
      </c>
      <c r="D20" s="46" t="n">
        <v>84</v>
      </c>
      <c r="E20" s="48" t="n">
        <v>0</v>
      </c>
      <c r="F20" s="48" t="n">
        <v>5491</v>
      </c>
      <c r="G20" s="48" t="n">
        <v>0</v>
      </c>
      <c r="H20" s="48" t="n">
        <v>2654.320000000001</v>
      </c>
    </row>
    <row r="21">
      <c r="A21" s="50" t="inlineStr">
        <is>
          <t>Blaze Life LLC</t>
        </is>
      </c>
      <c r="B21" s="50" t="inlineStr">
        <is>
          <t>Bodega Chiller</t>
        </is>
      </c>
      <c r="C21" s="46" t="n">
        <v>15</v>
      </c>
      <c r="D21" s="46" t="n">
        <v>-1</v>
      </c>
      <c r="E21" s="48" t="n">
        <v>1054</v>
      </c>
      <c r="F21" s="48" t="n">
        <v>-72</v>
      </c>
      <c r="G21" s="48" t="n">
        <v>299.95</v>
      </c>
      <c r="H21" s="48" t="n">
        <v>-21.73</v>
      </c>
    </row>
    <row r="22">
      <c r="A22" s="50" t="inlineStr">
        <is>
          <t>Blaze Life LLC</t>
        </is>
      </c>
      <c r="B22" s="50" t="inlineStr">
        <is>
          <t>Mota'Lada</t>
        </is>
      </c>
      <c r="C22" s="46" t="n">
        <v>8</v>
      </c>
      <c r="D22" s="46" t="n">
        <v>0</v>
      </c>
      <c r="E22" s="48" t="n">
        <v>512</v>
      </c>
      <c r="F22" s="48" t="n">
        <v>0</v>
      </c>
      <c r="G22" s="48" t="n">
        <v>155.84</v>
      </c>
      <c r="H22" s="48" t="n">
        <v>0</v>
      </c>
    </row>
    <row r="23">
      <c r="A23" s="50" t="inlineStr">
        <is>
          <t>Bold Rock Hard Cider</t>
        </is>
      </c>
      <c r="B23" s="50" t="inlineStr">
        <is>
          <t>Bold Rock</t>
        </is>
      </c>
      <c r="C23" s="46" t="n">
        <v>89</v>
      </c>
      <c r="D23" s="46" t="n">
        <v>65</v>
      </c>
      <c r="E23" s="48" t="n">
        <v>2615.5</v>
      </c>
      <c r="F23" s="48" t="n">
        <v>1746.5</v>
      </c>
      <c r="G23" s="48" t="n">
        <v>628.25</v>
      </c>
      <c r="H23" s="48" t="n">
        <v>386.88</v>
      </c>
    </row>
    <row r="24">
      <c r="A24" s="50" t="inlineStr">
        <is>
          <t>Boston Beer Company</t>
        </is>
      </c>
      <c r="B24" s="50" t="inlineStr">
        <is>
          <t>Angry Orchard</t>
        </is>
      </c>
      <c r="C24" s="46" t="n">
        <v>11157</v>
      </c>
      <c r="D24" s="46" t="n">
        <v>11394</v>
      </c>
      <c r="E24" s="48" t="n">
        <v>377644.07</v>
      </c>
      <c r="F24" s="48" t="n">
        <v>380551.96</v>
      </c>
      <c r="G24" s="48" t="n">
        <v>100028.19</v>
      </c>
      <c r="H24" s="48" t="n">
        <v>95340.64999999998</v>
      </c>
    </row>
    <row r="25">
      <c r="A25" s="50" t="inlineStr">
        <is>
          <t>Boston Beer Company</t>
        </is>
      </c>
      <c r="B25" s="50" t="inlineStr">
        <is>
          <t>Coney Island</t>
        </is>
      </c>
      <c r="C25" s="46" t="n">
        <v>0</v>
      </c>
      <c r="D25" s="46" t="n">
        <v>0</v>
      </c>
      <c r="E25" s="48" t="n">
        <v>0</v>
      </c>
      <c r="F25" s="48" t="n">
        <v>0</v>
      </c>
      <c r="G25" s="48" t="n">
        <v>0</v>
      </c>
      <c r="H25" s="48" t="n">
        <v>0</v>
      </c>
    </row>
    <row r="26">
      <c r="A26" s="50" t="inlineStr">
        <is>
          <t>Boston Beer Company</t>
        </is>
      </c>
      <c r="B26" s="50" t="inlineStr">
        <is>
          <t>Hard Mountain Dew</t>
        </is>
      </c>
      <c r="C26" s="46" t="n">
        <v>1421</v>
      </c>
      <c r="D26" s="46" t="n">
        <v>1008</v>
      </c>
      <c r="E26" s="48" t="n">
        <v>41524.46</v>
      </c>
      <c r="F26" s="48" t="n">
        <v>29695</v>
      </c>
      <c r="G26" s="48" t="n">
        <v>9944.699999999999</v>
      </c>
      <c r="H26" s="48" t="n">
        <v>7441.39</v>
      </c>
    </row>
    <row r="27">
      <c r="A27" s="50" t="inlineStr">
        <is>
          <t>Boston Beer Company</t>
        </is>
      </c>
      <c r="B27" s="50" t="inlineStr">
        <is>
          <t>Lytt</t>
        </is>
      </c>
      <c r="C27" s="46" t="n">
        <v>0</v>
      </c>
      <c r="D27" s="46" t="n">
        <v>396</v>
      </c>
      <c r="E27" s="48" t="n">
        <v>0</v>
      </c>
      <c r="F27" s="48" t="n">
        <v>39923.6</v>
      </c>
      <c r="G27" s="48" t="n">
        <v>0</v>
      </c>
      <c r="H27" s="48" t="n">
        <v>7102.989999999999</v>
      </c>
    </row>
    <row r="28">
      <c r="A28" s="50" t="inlineStr">
        <is>
          <t>Boston Beer Company</t>
        </is>
      </c>
      <c r="B28" s="50" t="inlineStr">
        <is>
          <t>Samuel Adams</t>
        </is>
      </c>
      <c r="C28" s="46" t="n">
        <v>32444</v>
      </c>
      <c r="D28" s="46" t="n">
        <v>29217</v>
      </c>
      <c r="E28" s="48" t="n">
        <v>1024845.6</v>
      </c>
      <c r="F28" s="48" t="n">
        <v>977822.4499999998</v>
      </c>
      <c r="G28" s="48" t="n">
        <v>240619.5999999999</v>
      </c>
      <c r="H28" s="48" t="n">
        <v>275956.9999999999</v>
      </c>
    </row>
    <row r="29">
      <c r="A29" s="50" t="inlineStr">
        <is>
          <t>Boston Beer Company</t>
        </is>
      </c>
      <c r="B29" s="50" t="inlineStr">
        <is>
          <t>Sinless Vodka Cocktail</t>
        </is>
      </c>
      <c r="C29" s="46" t="n">
        <v>0</v>
      </c>
      <c r="D29" s="46" t="n">
        <v>313</v>
      </c>
      <c r="E29" s="48" t="n">
        <v>0</v>
      </c>
      <c r="F29" s="48" t="n">
        <v>14729</v>
      </c>
      <c r="G29" s="48" t="n">
        <v>0</v>
      </c>
      <c r="H29" s="48" t="n">
        <v>7148.940000000001</v>
      </c>
    </row>
    <row r="30">
      <c r="A30" s="50" t="inlineStr">
        <is>
          <t>Boston Beer Company</t>
        </is>
      </c>
      <c r="B30" s="50" t="inlineStr">
        <is>
          <t>Sun Cruiser</t>
        </is>
      </c>
      <c r="C30" s="46" t="n">
        <v>22020</v>
      </c>
      <c r="D30" s="46" t="n">
        <v>35748</v>
      </c>
      <c r="E30" s="48" t="n">
        <v>933610.3999999999</v>
      </c>
      <c r="F30" s="48" t="n">
        <v>1447120.25</v>
      </c>
      <c r="G30" s="48" t="n">
        <v>460326.38</v>
      </c>
      <c r="H30" s="48" t="n">
        <v>697508.21</v>
      </c>
    </row>
    <row r="31">
      <c r="A31" s="50" t="inlineStr">
        <is>
          <t>Brewt's LLC</t>
        </is>
      </c>
      <c r="B31" s="50" t="inlineStr">
        <is>
          <t>Brewt's</t>
        </is>
      </c>
      <c r="C31" s="46" t="n">
        <v>13</v>
      </c>
      <c r="D31" s="46" t="n">
        <v>4</v>
      </c>
      <c r="E31" s="48" t="n">
        <v>912</v>
      </c>
      <c r="F31" s="48" t="n">
        <v>237</v>
      </c>
      <c r="G31" s="48" t="n">
        <v>218.5</v>
      </c>
      <c r="H31" s="48" t="n">
        <v>54.5</v>
      </c>
    </row>
    <row r="32">
      <c r="A32" s="50" t="inlineStr">
        <is>
          <t>Buzbee's Beverages USA LLC</t>
        </is>
      </c>
      <c r="B32" s="50" t="inlineStr">
        <is>
          <t>Buzbee's</t>
        </is>
      </c>
      <c r="C32" s="46" t="n">
        <v>7</v>
      </c>
      <c r="D32" s="46" t="n">
        <v>1</v>
      </c>
      <c r="E32" s="48" t="n">
        <v>297</v>
      </c>
      <c r="F32" s="48" t="n">
        <v>28.5</v>
      </c>
      <c r="G32" s="48" t="n">
        <v>77</v>
      </c>
      <c r="H32" s="48" t="n">
        <v>8.5</v>
      </c>
    </row>
    <row r="33">
      <c r="A33" s="50" t="inlineStr">
        <is>
          <t>Caravella Inc</t>
        </is>
      </c>
      <c r="B33" s="50" t="inlineStr">
        <is>
          <t>2 Canos</t>
        </is>
      </c>
      <c r="C33" s="46" t="n">
        <v>11</v>
      </c>
      <c r="D33" s="46" t="n">
        <v>5</v>
      </c>
      <c r="E33" s="48" t="n">
        <v>711.4000000000001</v>
      </c>
      <c r="F33" s="48" t="n">
        <v>294.5</v>
      </c>
      <c r="G33" s="48" t="n">
        <v>-41.98</v>
      </c>
      <c r="H33" s="48" t="n">
        <v>-51.9</v>
      </c>
    </row>
    <row r="34">
      <c r="A34" s="50" t="inlineStr">
        <is>
          <t>Caravella Inc</t>
        </is>
      </c>
      <c r="B34" s="50" t="inlineStr">
        <is>
          <t>Caravella</t>
        </is>
      </c>
      <c r="C34" s="46" t="n">
        <v>122</v>
      </c>
      <c r="D34" s="46" t="n">
        <v>41</v>
      </c>
      <c r="E34" s="48" t="n">
        <v>4310.2</v>
      </c>
      <c r="F34" s="48" t="n">
        <v>1440.5</v>
      </c>
      <c r="G34" s="48" t="n">
        <v>282.2</v>
      </c>
      <c r="H34" s="48" t="n">
        <v>65.84</v>
      </c>
    </row>
    <row r="35">
      <c r="A35" s="50" t="inlineStr">
        <is>
          <t>Caravella Inc</t>
        </is>
      </c>
      <c r="B35" s="50" t="inlineStr">
        <is>
          <t>Dancing Vines</t>
        </is>
      </c>
      <c r="C35" s="46" t="n">
        <v>4</v>
      </c>
      <c r="D35" s="46" t="n">
        <v>6</v>
      </c>
      <c r="E35" s="48" t="n">
        <v>336</v>
      </c>
      <c r="F35" s="48" t="n">
        <v>760</v>
      </c>
      <c r="G35" s="48" t="n">
        <v>-72.31999999999999</v>
      </c>
      <c r="H35" s="48" t="n">
        <v>147.52</v>
      </c>
    </row>
    <row r="36">
      <c r="A36" s="50" t="inlineStr">
        <is>
          <t>Caravella Inc</t>
        </is>
      </c>
      <c r="B36" s="50" t="inlineStr">
        <is>
          <t>Poca Loca</t>
        </is>
      </c>
      <c r="C36" s="46" t="n">
        <v>12</v>
      </c>
      <c r="D36" s="46" t="n">
        <v>37</v>
      </c>
      <c r="E36" s="48" t="n">
        <v>619.2</v>
      </c>
      <c r="F36" s="48" t="n">
        <v>1855.2</v>
      </c>
      <c r="G36" s="48" t="n">
        <v>145.28</v>
      </c>
      <c r="H36" s="48" t="n">
        <v>304.21</v>
      </c>
    </row>
    <row r="37">
      <c r="A37" s="50" t="inlineStr">
        <is>
          <t>Cavalier Ventures, LLC</t>
        </is>
      </c>
      <c r="B37" s="50" t="inlineStr">
        <is>
          <t>Coastal Cocktails</t>
        </is>
      </c>
      <c r="C37" s="46" t="n">
        <v>378</v>
      </c>
      <c r="D37" s="46" t="n">
        <v>388</v>
      </c>
      <c r="E37" s="48" t="n">
        <v>20806.75</v>
      </c>
      <c r="F37" s="48" t="n">
        <v>21591.9</v>
      </c>
      <c r="G37" s="48" t="n">
        <v>8813.1</v>
      </c>
      <c r="H37" s="48" t="n">
        <v>8647.4</v>
      </c>
    </row>
    <row r="38">
      <c r="A38" s="50" t="inlineStr">
        <is>
          <t>Cerveceria La Tropical</t>
        </is>
      </c>
      <c r="B38" s="50" t="inlineStr">
        <is>
          <t>La Tropical</t>
        </is>
      </c>
      <c r="C38" s="46" t="n">
        <v>48</v>
      </c>
      <c r="D38" s="46" t="n">
        <v>0</v>
      </c>
      <c r="E38" s="48" t="n">
        <v>1212.5</v>
      </c>
      <c r="F38" s="48" t="n">
        <v>0</v>
      </c>
      <c r="G38" s="48" t="n">
        <v>143.52</v>
      </c>
      <c r="H38" s="48" t="n">
        <v>0</v>
      </c>
    </row>
    <row r="39">
      <c r="A39" s="50" t="inlineStr">
        <is>
          <t>Chateau Diana Winery</t>
        </is>
      </c>
      <c r="B39" s="50" t="inlineStr">
        <is>
          <t>Chateau Diana</t>
        </is>
      </c>
      <c r="C39" s="46" t="n">
        <v>0</v>
      </c>
      <c r="D39" s="46" t="n">
        <v>30</v>
      </c>
      <c r="E39" s="48" t="n">
        <v>0</v>
      </c>
      <c r="F39" s="48" t="n">
        <v>2370</v>
      </c>
      <c r="G39" s="48" t="n">
        <v>0</v>
      </c>
      <c r="H39" s="48" t="n">
        <v>597.6</v>
      </c>
    </row>
    <row r="40">
      <c r="A40" s="50" t="inlineStr">
        <is>
          <t>Citizen Cider</t>
        </is>
      </c>
      <c r="B40" s="50" t="inlineStr">
        <is>
          <t>Citizen Cider</t>
        </is>
      </c>
      <c r="C40" s="46" t="n">
        <v>152</v>
      </c>
      <c r="D40" s="46" t="n">
        <v>0</v>
      </c>
      <c r="E40" s="48" t="n">
        <v>7137</v>
      </c>
      <c r="F40" s="48" t="n">
        <v>0</v>
      </c>
      <c r="G40" s="48" t="n">
        <v>2205.06</v>
      </c>
      <c r="H40" s="48" t="n">
        <v>0</v>
      </c>
    </row>
    <row r="41">
      <c r="A41" s="50" t="inlineStr">
        <is>
          <t>Constellation Brands</t>
        </is>
      </c>
      <c r="B41" s="50" t="inlineStr">
        <is>
          <t>Corona Familiar</t>
        </is>
      </c>
      <c r="C41" s="46" t="n">
        <v>10556</v>
      </c>
      <c r="D41" s="46" t="n">
        <v>11143</v>
      </c>
      <c r="E41" s="48" t="n">
        <v>305790.1899999999</v>
      </c>
      <c r="F41" s="48" t="n">
        <v>322536.2</v>
      </c>
      <c r="G41" s="48" t="n">
        <v>79887.17999999999</v>
      </c>
      <c r="H41" s="48" t="n">
        <v>86664.61</v>
      </c>
    </row>
    <row r="42">
      <c r="A42" s="50" t="inlineStr">
        <is>
          <t>Constellation Brands</t>
        </is>
      </c>
      <c r="B42" s="50" t="inlineStr">
        <is>
          <t>Corona Light</t>
        </is>
      </c>
      <c r="C42" s="46" t="n">
        <v>18935</v>
      </c>
      <c r="D42" s="46" t="n">
        <v>17852</v>
      </c>
      <c r="E42" s="48" t="n">
        <v>594408.3200000002</v>
      </c>
      <c r="F42" s="48" t="n">
        <v>559908.23</v>
      </c>
      <c r="G42" s="48" t="n">
        <v>131053.36</v>
      </c>
      <c r="H42" s="48" t="n">
        <v>131328.39</v>
      </c>
    </row>
    <row r="43">
      <c r="A43" s="50" t="inlineStr">
        <is>
          <t>Constellation Brands</t>
        </is>
      </c>
      <c r="B43" s="50" t="inlineStr">
        <is>
          <t>Corona NA</t>
        </is>
      </c>
      <c r="C43" s="46" t="n">
        <v>2804</v>
      </c>
      <c r="D43" s="46" t="n">
        <v>3291</v>
      </c>
      <c r="E43" s="48" t="n">
        <v>87648.27</v>
      </c>
      <c r="F43" s="48" t="n">
        <v>102768.19</v>
      </c>
      <c r="G43" s="48" t="n">
        <v>20744.83</v>
      </c>
      <c r="H43" s="48" t="n">
        <v>24244.93000000001</v>
      </c>
    </row>
    <row r="44">
      <c r="A44" s="50" t="inlineStr">
        <is>
          <t>Constellation Brands</t>
        </is>
      </c>
      <c r="B44" s="50" t="inlineStr">
        <is>
          <t>Corona Refresca</t>
        </is>
      </c>
      <c r="C44" s="46" t="n">
        <v>216</v>
      </c>
      <c r="D44" s="46" t="n">
        <v>0</v>
      </c>
      <c r="E44" s="48" t="n">
        <v>6611.190000000001</v>
      </c>
      <c r="F44" s="48" t="n">
        <v>0</v>
      </c>
      <c r="G44" s="48" t="n">
        <v>1399.92</v>
      </c>
      <c r="H44" s="48" t="n">
        <v>0</v>
      </c>
    </row>
    <row r="45">
      <c r="A45" s="50" t="inlineStr">
        <is>
          <t>Constellation Brands</t>
        </is>
      </c>
      <c r="B45" s="50" t="inlineStr">
        <is>
          <t>Corona Sunbrew</t>
        </is>
      </c>
      <c r="C45" s="46" t="n">
        <v>3904</v>
      </c>
      <c r="D45" s="46" t="n">
        <v>3871</v>
      </c>
      <c r="E45" s="48" t="n">
        <v>120936.5</v>
      </c>
      <c r="F45" s="48" t="n">
        <v>119790.18</v>
      </c>
      <c r="G45" s="48" t="n">
        <v>27078.33</v>
      </c>
      <c r="H45" s="48" t="n">
        <v>26676.05000000001</v>
      </c>
    </row>
    <row r="46">
      <c r="A46" s="50" t="inlineStr">
        <is>
          <t>Constellation Brands</t>
        </is>
      </c>
      <c r="B46" s="50" t="inlineStr">
        <is>
          <t>Modelo Aquas Frescas</t>
        </is>
      </c>
      <c r="C46" s="46" t="n">
        <v>888</v>
      </c>
      <c r="D46" s="46" t="n">
        <v>261</v>
      </c>
      <c r="E46" s="48" t="n">
        <v>27189.25</v>
      </c>
      <c r="F46" s="48" t="n">
        <v>8112.5</v>
      </c>
      <c r="G46" s="48" t="n">
        <v>5895.81</v>
      </c>
      <c r="H46" s="48" t="n">
        <v>1814.57</v>
      </c>
    </row>
    <row r="47">
      <c r="A47" s="50" t="inlineStr">
        <is>
          <t>Constellation Brands</t>
        </is>
      </c>
      <c r="B47" s="50" t="inlineStr">
        <is>
          <t>Modelo Negra</t>
        </is>
      </c>
      <c r="C47" s="46" t="n">
        <v>7290</v>
      </c>
      <c r="D47" s="46" t="n">
        <v>7862</v>
      </c>
      <c r="E47" s="48" t="n">
        <v>229727.4</v>
      </c>
      <c r="F47" s="48" t="n">
        <v>246502.5</v>
      </c>
      <c r="G47" s="48" t="n">
        <v>53835.2</v>
      </c>
      <c r="H47" s="48" t="n">
        <v>58219.84000000001</v>
      </c>
    </row>
    <row r="48">
      <c r="A48" s="50" t="inlineStr">
        <is>
          <t>Constellation Brands</t>
        </is>
      </c>
      <c r="B48" s="50" t="inlineStr">
        <is>
          <t>Modelo Oro</t>
        </is>
      </c>
      <c r="C48" s="46" t="n">
        <v>2032</v>
      </c>
      <c r="D48" s="46" t="n">
        <v>1335</v>
      </c>
      <c r="E48" s="48" t="n">
        <v>53754.8</v>
      </c>
      <c r="F48" s="48" t="n">
        <v>35049.26</v>
      </c>
      <c r="G48" s="48" t="n">
        <v>10662.22</v>
      </c>
      <c r="H48" s="48" t="n">
        <v>8528.599999999999</v>
      </c>
    </row>
    <row r="49">
      <c r="A49" s="50" t="inlineStr">
        <is>
          <t>Constellation Brands</t>
        </is>
      </c>
      <c r="B49" s="50" t="inlineStr">
        <is>
          <t>The Drop</t>
        </is>
      </c>
      <c r="C49" s="46" t="n">
        <v>192</v>
      </c>
      <c r="D49" s="46" t="n">
        <v>0</v>
      </c>
      <c r="E49" s="48" t="n">
        <v>7762</v>
      </c>
      <c r="F49" s="48" t="n">
        <v>0</v>
      </c>
      <c r="G49" s="48" t="n">
        <v>2314.29</v>
      </c>
      <c r="H49" s="48" t="n">
        <v>0</v>
      </c>
    </row>
    <row r="50">
      <c r="A50" s="50" t="inlineStr">
        <is>
          <t>Crescent Canna</t>
        </is>
      </c>
      <c r="B50" s="50" t="inlineStr">
        <is>
          <t>Crescent 9</t>
        </is>
      </c>
      <c r="C50" s="46" t="n">
        <v>325</v>
      </c>
      <c r="D50" s="46" t="n">
        <v>264</v>
      </c>
      <c r="E50" s="48" t="n">
        <v>18988</v>
      </c>
      <c r="F50" s="48" t="n">
        <v>17047</v>
      </c>
      <c r="G50" s="48" t="n">
        <v>5972.789999999998</v>
      </c>
      <c r="H50" s="48" t="n">
        <v>6653.719999999999</v>
      </c>
    </row>
    <row r="51">
      <c r="A51" s="50" t="inlineStr">
        <is>
          <t>Cricket Hill</t>
        </is>
      </c>
      <c r="B51" s="50" t="inlineStr">
        <is>
          <t>Cricket Hill</t>
        </is>
      </c>
      <c r="C51" s="46" t="n">
        <v>195</v>
      </c>
      <c r="D51" s="46" t="n">
        <v>0</v>
      </c>
      <c r="E51" s="48" t="n">
        <v>7345.63</v>
      </c>
      <c r="F51" s="48" t="n">
        <v>0</v>
      </c>
      <c r="G51" s="48" t="n">
        <v>1928.04</v>
      </c>
      <c r="H51" s="48" t="n">
        <v>0</v>
      </c>
    </row>
    <row r="52">
      <c r="A52" s="50" t="inlineStr">
        <is>
          <t>Crook &amp; Marker</t>
        </is>
      </c>
      <c r="B52" s="50" t="inlineStr">
        <is>
          <t>Crook&amp;Marker</t>
        </is>
      </c>
      <c r="C52" s="46" t="n">
        <v>30</v>
      </c>
      <c r="D52" s="46" t="n">
        <v>-1</v>
      </c>
      <c r="E52" s="48" t="n">
        <v>1223.7</v>
      </c>
      <c r="F52" s="48" t="n">
        <v>-38.5</v>
      </c>
      <c r="G52" s="48" t="n">
        <v>265.59</v>
      </c>
      <c r="H52" s="48" t="n">
        <v>-8.789999999999999</v>
      </c>
    </row>
    <row r="53">
      <c r="A53" s="50" t="inlineStr">
        <is>
          <t>Crook &amp; Marker</t>
        </is>
      </c>
      <c r="B53" s="50" t="inlineStr">
        <is>
          <t>Crooked Tea</t>
        </is>
      </c>
      <c r="C53" s="46" t="n">
        <v>410</v>
      </c>
      <c r="D53" s="46" t="n">
        <v>-10</v>
      </c>
      <c r="E53" s="48" t="n">
        <v>15748.6</v>
      </c>
      <c r="F53" s="48" t="n">
        <v>-367</v>
      </c>
      <c r="G53" s="48" t="n">
        <v>3033.27</v>
      </c>
      <c r="H53" s="48" t="n">
        <v>-69.91</v>
      </c>
    </row>
    <row r="54">
      <c r="A54" s="50" t="inlineStr">
        <is>
          <t>Cruz Beverage</t>
        </is>
      </c>
      <c r="B54" s="50" t="inlineStr">
        <is>
          <t>YaVe Tequila</t>
        </is>
      </c>
      <c r="C54" s="46" t="n">
        <v>0</v>
      </c>
      <c r="D54" s="46" t="n">
        <v>16</v>
      </c>
      <c r="E54" s="48" t="n">
        <v>0</v>
      </c>
      <c r="F54" s="48" t="n">
        <v>5976</v>
      </c>
      <c r="G54" s="48" t="n">
        <v>0</v>
      </c>
      <c r="H54" s="48" t="n">
        <v>981.9199999999998</v>
      </c>
    </row>
    <row r="55">
      <c r="A55" s="50" t="inlineStr">
        <is>
          <t>DG Yuengling Inc</t>
        </is>
      </c>
      <c r="B55" s="50" t="inlineStr">
        <is>
          <t>Dg Yuengling Inc</t>
        </is>
      </c>
      <c r="C55" s="46" t="n">
        <v>68</v>
      </c>
      <c r="D55" s="46" t="n">
        <v>-15</v>
      </c>
      <c r="E55" s="48" t="n">
        <v>1739.4</v>
      </c>
      <c r="F55" s="48" t="n">
        <v>-383.25</v>
      </c>
      <c r="G55" s="48" t="n">
        <v>490.65</v>
      </c>
      <c r="H55" s="48" t="n">
        <v>-107.51</v>
      </c>
    </row>
    <row r="56">
      <c r="A56" s="50" t="inlineStr">
        <is>
          <t>DG Yuengling Inc</t>
        </is>
      </c>
      <c r="B56" s="50" t="inlineStr">
        <is>
          <t>Yuengling Black &amp; Tan</t>
        </is>
      </c>
      <c r="C56" s="46" t="n">
        <v>1620</v>
      </c>
      <c r="D56" s="46" t="n">
        <v>1461</v>
      </c>
      <c r="E56" s="48" t="n">
        <v>41476.11</v>
      </c>
      <c r="F56" s="48" t="n">
        <v>37464.78</v>
      </c>
      <c r="G56" s="48" t="n">
        <v>12137.79</v>
      </c>
      <c r="H56" s="48" t="n">
        <v>11050.33</v>
      </c>
    </row>
    <row r="57">
      <c r="A57" s="50" t="inlineStr">
        <is>
          <t>DG Yuengling Inc</t>
        </is>
      </c>
      <c r="B57" s="50" t="inlineStr">
        <is>
          <t>Yuengling Golden Pilsner</t>
        </is>
      </c>
      <c r="C57" s="46" t="n">
        <v>842</v>
      </c>
      <c r="D57" s="46" t="n">
        <v>539</v>
      </c>
      <c r="E57" s="48" t="n">
        <v>21643.2</v>
      </c>
      <c r="F57" s="48" t="n">
        <v>14039.93</v>
      </c>
      <c r="G57" s="48" t="n">
        <v>6455.419999999999</v>
      </c>
      <c r="H57" s="48" t="n">
        <v>4163.92</v>
      </c>
    </row>
    <row r="58">
      <c r="A58" s="50" t="inlineStr">
        <is>
          <t>DG Yuengling Inc</t>
        </is>
      </c>
      <c r="B58" s="50" t="inlineStr">
        <is>
          <t>Yuengling Oktoberfest</t>
        </is>
      </c>
      <c r="C58" s="46" t="n">
        <v>811</v>
      </c>
      <c r="D58" s="46" t="n">
        <v>1191</v>
      </c>
      <c r="E58" s="48" t="n">
        <v>20710.3</v>
      </c>
      <c r="F58" s="48" t="n">
        <v>32369.19</v>
      </c>
      <c r="G58" s="48" t="n">
        <v>5840.690000000001</v>
      </c>
      <c r="H58" s="48" t="n">
        <v>9497.34</v>
      </c>
    </row>
    <row r="59">
      <c r="A59" s="50" t="inlineStr">
        <is>
          <t>DG Yuengling Inc</t>
        </is>
      </c>
      <c r="B59" s="50" t="inlineStr">
        <is>
          <t>Yuengling Premium</t>
        </is>
      </c>
      <c r="C59" s="46" t="n">
        <v>1109</v>
      </c>
      <c r="D59" s="46" t="n">
        <v>1022</v>
      </c>
      <c r="E59" s="48" t="n">
        <v>16589.2</v>
      </c>
      <c r="F59" s="48" t="n">
        <v>15283.9</v>
      </c>
      <c r="G59" s="48" t="n">
        <v>3724.3</v>
      </c>
      <c r="H59" s="48" t="n">
        <v>3513.67</v>
      </c>
    </row>
    <row r="60">
      <c r="A60" s="50" t="inlineStr">
        <is>
          <t>DG Yuengling Inc</t>
        </is>
      </c>
      <c r="B60" s="50" t="inlineStr">
        <is>
          <t>Yuengling Premium Light</t>
        </is>
      </c>
      <c r="C60" s="46" t="n">
        <v>454</v>
      </c>
      <c r="D60" s="46" t="n">
        <v>490</v>
      </c>
      <c r="E60" s="48" t="n">
        <v>6787.3</v>
      </c>
      <c r="F60" s="48" t="n">
        <v>7325.5</v>
      </c>
      <c r="G60" s="48" t="n">
        <v>1569.72</v>
      </c>
      <c r="H60" s="48" t="n">
        <v>1679.58</v>
      </c>
    </row>
    <row r="61">
      <c r="A61" s="50" t="inlineStr">
        <is>
          <t>Dad Grass</t>
        </is>
      </c>
      <c r="B61" s="50" t="inlineStr">
        <is>
          <t>Dad Grass</t>
        </is>
      </c>
      <c r="C61" s="46" t="n">
        <v>77</v>
      </c>
      <c r="D61" s="46" t="n">
        <v>17</v>
      </c>
      <c r="E61" s="48" t="n">
        <v>5693</v>
      </c>
      <c r="F61" s="48" t="n">
        <v>1480</v>
      </c>
      <c r="G61" s="48" t="n">
        <v>1629.71</v>
      </c>
      <c r="H61" s="48" t="n">
        <v>608.26</v>
      </c>
    </row>
    <row r="62">
      <c r="A62" s="50" t="inlineStr">
        <is>
          <t>Defiant Brewing Co.</t>
        </is>
      </c>
      <c r="B62" s="50" t="inlineStr">
        <is>
          <t>Defiant</t>
        </is>
      </c>
      <c r="C62" s="46" t="n">
        <v>46</v>
      </c>
      <c r="D62" s="46" t="n">
        <v>0</v>
      </c>
      <c r="E62" s="48" t="n">
        <v>1671</v>
      </c>
      <c r="F62" s="48" t="n">
        <v>0</v>
      </c>
      <c r="G62" s="48" t="n">
        <v>410.76</v>
      </c>
      <c r="H62" s="48" t="n">
        <v>0</v>
      </c>
    </row>
    <row r="63">
      <c r="A63" s="50" t="inlineStr">
        <is>
          <t>Delta Beverage LLC</t>
        </is>
      </c>
      <c r="B63" s="50" t="inlineStr">
        <is>
          <t>Delta</t>
        </is>
      </c>
      <c r="C63" s="46" t="n">
        <v>1578</v>
      </c>
      <c r="D63" s="46" t="n">
        <v>1168</v>
      </c>
      <c r="E63" s="48" t="n">
        <v>116958</v>
      </c>
      <c r="F63" s="48" t="n">
        <v>90866</v>
      </c>
      <c r="G63" s="48" t="n">
        <v>32925.78</v>
      </c>
      <c r="H63" s="48" t="n">
        <v>33478.68</v>
      </c>
    </row>
    <row r="64">
      <c r="A64" s="50" t="inlineStr">
        <is>
          <t>Dreamz Invenstments LLC</t>
        </is>
      </c>
      <c r="B64" s="50" t="inlineStr">
        <is>
          <t>Brio</t>
        </is>
      </c>
      <c r="C64" s="46" t="n">
        <v>0</v>
      </c>
      <c r="D64" s="46" t="n">
        <v>10</v>
      </c>
      <c r="E64" s="48" t="n">
        <v>0</v>
      </c>
      <c r="F64" s="48" t="n">
        <v>836</v>
      </c>
      <c r="G64" s="48" t="n">
        <v>0</v>
      </c>
      <c r="H64" s="48" t="n">
        <v>353.3</v>
      </c>
    </row>
    <row r="65">
      <c r="A65" s="50" t="inlineStr">
        <is>
          <t>Duclaw Brewing</t>
        </is>
      </c>
      <c r="B65" s="50" t="inlineStr">
        <is>
          <t>Duclaw</t>
        </is>
      </c>
      <c r="C65" s="46" t="n">
        <v>259</v>
      </c>
      <c r="D65" s="46" t="n">
        <v>0</v>
      </c>
      <c r="E65" s="48" t="n">
        <v>9800.5</v>
      </c>
      <c r="F65" s="48" t="n">
        <v>0</v>
      </c>
      <c r="G65" s="48" t="n">
        <v>2824.21</v>
      </c>
      <c r="H65" s="48" t="n">
        <v>0</v>
      </c>
    </row>
    <row r="66">
      <c r="A66" s="50" t="inlineStr">
        <is>
          <t>Efes</t>
        </is>
      </c>
      <c r="B66" s="50" t="inlineStr">
        <is>
          <t>Efes</t>
        </is>
      </c>
      <c r="C66" s="46" t="n">
        <v>29</v>
      </c>
      <c r="D66" s="46" t="n">
        <v>0</v>
      </c>
      <c r="E66" s="48" t="n">
        <v>1075</v>
      </c>
      <c r="F66" s="48" t="n">
        <v>0</v>
      </c>
      <c r="G66" s="48" t="n">
        <v>386.2</v>
      </c>
      <c r="H66" s="48" t="n">
        <v>0</v>
      </c>
    </row>
    <row r="67">
      <c r="A67" s="50" t="inlineStr">
        <is>
          <t>Eleven20</t>
        </is>
      </c>
      <c r="B67" s="50" t="inlineStr">
        <is>
          <t>Eleven20 Tequila</t>
        </is>
      </c>
      <c r="C67" s="46" t="n">
        <v>0</v>
      </c>
      <c r="D67" s="46" t="n">
        <v>1</v>
      </c>
      <c r="E67" s="48" t="n">
        <v>99</v>
      </c>
      <c r="F67" s="48" t="n">
        <v>108</v>
      </c>
      <c r="G67" s="48" t="n">
        <v>95.73</v>
      </c>
      <c r="H67" s="48" t="n">
        <v>-88.54000000000001</v>
      </c>
    </row>
    <row r="68">
      <c r="A68" s="50" t="inlineStr">
        <is>
          <t>Emergent Beverage Partners</t>
        </is>
      </c>
      <c r="B68" s="50" t="inlineStr">
        <is>
          <t>Beckett's D9</t>
        </is>
      </c>
      <c r="C68" s="46" t="n">
        <v>14</v>
      </c>
      <c r="D68" s="46" t="n">
        <v>4</v>
      </c>
      <c r="E68" s="48" t="n">
        <v>1010</v>
      </c>
      <c r="F68" s="48" t="n">
        <v>236</v>
      </c>
      <c r="G68" s="48" t="n">
        <v>198.74</v>
      </c>
      <c r="H68" s="48" t="n">
        <v>60</v>
      </c>
    </row>
    <row r="69">
      <c r="A69" s="50" t="inlineStr">
        <is>
          <t>Emergent Beverage Partners</t>
        </is>
      </c>
      <c r="B69" s="50" t="inlineStr">
        <is>
          <t>Boldt Infused D9</t>
        </is>
      </c>
      <c r="C69" s="46" t="n">
        <v>193</v>
      </c>
      <c r="D69" s="46" t="n">
        <v>32</v>
      </c>
      <c r="E69" s="48" t="n">
        <v>13985</v>
      </c>
      <c r="F69" s="48" t="n">
        <v>2632</v>
      </c>
      <c r="G69" s="48" t="n">
        <v>3357.89</v>
      </c>
      <c r="H69" s="48" t="n">
        <v>1023.36</v>
      </c>
    </row>
    <row r="70">
      <c r="A70" s="50" t="inlineStr">
        <is>
          <t>Emergent Beverage Partners</t>
        </is>
      </c>
      <c r="B70" s="50" t="inlineStr">
        <is>
          <t>Crooked Beverage</t>
        </is>
      </c>
      <c r="C70" s="46" t="n">
        <v>16</v>
      </c>
      <c r="D70" s="46" t="n">
        <v>-2</v>
      </c>
      <c r="E70" s="48" t="n">
        <v>1129</v>
      </c>
      <c r="F70" s="48" t="n">
        <v>0</v>
      </c>
      <c r="G70" s="48" t="n">
        <v>184.6800000000001</v>
      </c>
      <c r="H70" s="48" t="n">
        <v>118.04</v>
      </c>
    </row>
    <row r="71">
      <c r="A71" s="50" t="inlineStr">
        <is>
          <t>Emergent Beverage Partners</t>
        </is>
      </c>
      <c r="B71" s="50" t="inlineStr">
        <is>
          <t>Hectare's</t>
        </is>
      </c>
      <c r="C71" s="46" t="n">
        <v>197</v>
      </c>
      <c r="D71" s="46" t="n">
        <v>79</v>
      </c>
      <c r="E71" s="48" t="n">
        <v>14556</v>
      </c>
      <c r="F71" s="48" t="n">
        <v>6230</v>
      </c>
      <c r="G71" s="48" t="n">
        <v>3220.83</v>
      </c>
      <c r="H71" s="48" t="n">
        <v>2025.22</v>
      </c>
    </row>
    <row r="72">
      <c r="A72" s="50" t="inlineStr">
        <is>
          <t>Emergent Beverage Partners</t>
        </is>
      </c>
      <c r="B72" s="50" t="inlineStr">
        <is>
          <t>Lark Infused D9</t>
        </is>
      </c>
      <c r="C72" s="46" t="n">
        <v>27</v>
      </c>
      <c r="D72" s="46" t="n">
        <v>0</v>
      </c>
      <c r="E72" s="48" t="n">
        <v>1964</v>
      </c>
      <c r="F72" s="48" t="n">
        <v>0</v>
      </c>
      <c r="G72" s="48" t="n">
        <v>370.46</v>
      </c>
      <c r="H72" s="48" t="n">
        <v>0</v>
      </c>
    </row>
    <row r="73">
      <c r="A73" s="50" t="inlineStr">
        <is>
          <t>Ever Grand Group LLC</t>
        </is>
      </c>
      <c r="B73" s="50" t="inlineStr">
        <is>
          <t>Snow Beer</t>
        </is>
      </c>
      <c r="C73" s="46" t="n">
        <v>54</v>
      </c>
      <c r="D73" s="46" t="n">
        <v>31</v>
      </c>
      <c r="E73" s="48" t="n">
        <v>1912.95</v>
      </c>
      <c r="F73" s="48" t="n">
        <v>1099.99</v>
      </c>
      <c r="G73" s="48" t="n">
        <v>554.8299999999999</v>
      </c>
      <c r="H73" s="48" t="n">
        <v>323.93</v>
      </c>
    </row>
    <row r="74">
      <c r="A74" s="50" t="inlineStr">
        <is>
          <t>Evil Genius</t>
        </is>
      </c>
      <c r="B74" s="50" t="inlineStr">
        <is>
          <t>Evil Genius</t>
        </is>
      </c>
      <c r="C74" s="46" t="n">
        <v>1241</v>
      </c>
      <c r="D74" s="46" t="n">
        <v>1075</v>
      </c>
      <c r="E74" s="48" t="n">
        <v>44241.25</v>
      </c>
      <c r="F74" s="48" t="n">
        <v>38719.46</v>
      </c>
      <c r="G74" s="48" t="n">
        <v>9260.489999999998</v>
      </c>
      <c r="H74" s="48" t="n">
        <v>9020.15</v>
      </c>
    </row>
    <row r="75">
      <c r="A75" s="50" t="inlineStr">
        <is>
          <t>FIFCO</t>
        </is>
      </c>
      <c r="B75" s="50" t="inlineStr">
        <is>
          <t>Genesee</t>
        </is>
      </c>
      <c r="C75" s="46" t="n">
        <v>3804</v>
      </c>
      <c r="D75" s="46" t="n">
        <v>3856</v>
      </c>
      <c r="E75" s="48" t="n">
        <v>47402.1</v>
      </c>
      <c r="F75" s="48" t="n">
        <v>49019.34999999999</v>
      </c>
      <c r="G75" s="48" t="n">
        <v>11201.05</v>
      </c>
      <c r="H75" s="48" t="n">
        <v>11705.45</v>
      </c>
    </row>
    <row r="76">
      <c r="A76" s="50" t="inlineStr">
        <is>
          <t>FIFCO</t>
        </is>
      </c>
      <c r="B76" s="50" t="inlineStr">
        <is>
          <t>Imperial</t>
        </is>
      </c>
      <c r="C76" s="46" t="n">
        <v>700</v>
      </c>
      <c r="D76" s="46" t="n">
        <v>-1</v>
      </c>
      <c r="E76" s="48" t="n">
        <v>18119.4</v>
      </c>
      <c r="F76" s="48" t="n">
        <v>-26.5</v>
      </c>
      <c r="G76" s="48" t="n">
        <v>5418.019999999999</v>
      </c>
      <c r="H76" s="48" t="n">
        <v>-10.32</v>
      </c>
    </row>
    <row r="77">
      <c r="A77" s="50" t="inlineStr">
        <is>
          <t>FX Matt</t>
        </is>
      </c>
      <c r="B77" s="50" t="inlineStr">
        <is>
          <t>Flying Dog Brewing Co</t>
        </is>
      </c>
      <c r="C77" s="46" t="n">
        <v>3464</v>
      </c>
      <c r="D77" s="46" t="n">
        <v>2938</v>
      </c>
      <c r="E77" s="48" t="n">
        <v>136516.5</v>
      </c>
      <c r="F77" s="48" t="n">
        <v>118899</v>
      </c>
      <c r="G77" s="48" t="n">
        <v>40730.97</v>
      </c>
      <c r="H77" s="48" t="n">
        <v>34768.02000000001</v>
      </c>
    </row>
    <row r="78">
      <c r="A78" s="50" t="inlineStr">
        <is>
          <t>FX Matt</t>
        </is>
      </c>
      <c r="B78" s="50" t="inlineStr">
        <is>
          <t>Friday Beers</t>
        </is>
      </c>
      <c r="C78" s="46" t="n">
        <v>397</v>
      </c>
      <c r="D78" s="46" t="n">
        <v>266</v>
      </c>
      <c r="E78" s="48" t="n">
        <v>9410</v>
      </c>
      <c r="F78" s="48" t="n">
        <v>6231.5</v>
      </c>
      <c r="G78" s="48" t="n">
        <v>2834.04</v>
      </c>
      <c r="H78" s="48" t="n">
        <v>1791.63</v>
      </c>
    </row>
    <row r="79">
      <c r="A79" s="50" t="inlineStr">
        <is>
          <t>FX Matt</t>
        </is>
      </c>
      <c r="B79" s="50" t="inlineStr">
        <is>
          <t>Kingfisher Premium</t>
        </is>
      </c>
      <c r="C79" s="46" t="n">
        <v>575</v>
      </c>
      <c r="D79" s="46" t="n">
        <v>353</v>
      </c>
      <c r="E79" s="48" t="n">
        <v>18276.5</v>
      </c>
      <c r="F79" s="48" t="n">
        <v>11261.5</v>
      </c>
      <c r="G79" s="48" t="n">
        <v>5078.32</v>
      </c>
      <c r="H79" s="48" t="n">
        <v>2985.369999999999</v>
      </c>
    </row>
    <row r="80">
      <c r="A80" s="50" t="inlineStr">
        <is>
          <t>FX Matt</t>
        </is>
      </c>
      <c r="B80" s="50" t="inlineStr">
        <is>
          <t>Mckenzie's</t>
        </is>
      </c>
      <c r="C80" s="46" t="n">
        <v>93</v>
      </c>
      <c r="D80" s="46" t="n">
        <v>78</v>
      </c>
      <c r="E80" s="48" t="n">
        <v>2908.5</v>
      </c>
      <c r="F80" s="48" t="n">
        <v>2454</v>
      </c>
      <c r="G80" s="48" t="n">
        <v>872.9900000000001</v>
      </c>
      <c r="H80" s="48" t="n">
        <v>723.6900000000001</v>
      </c>
    </row>
    <row r="81">
      <c r="A81" s="50" t="inlineStr">
        <is>
          <t>FX Matt</t>
        </is>
      </c>
      <c r="B81" s="50" t="inlineStr">
        <is>
          <t>Right Coast</t>
        </is>
      </c>
      <c r="C81" s="46" t="n">
        <v>725</v>
      </c>
      <c r="D81" s="46" t="n">
        <v>252</v>
      </c>
      <c r="E81" s="48" t="n">
        <v>41286.5</v>
      </c>
      <c r="F81" s="48" t="n">
        <v>14291.5</v>
      </c>
      <c r="G81" s="48" t="n">
        <v>18442.73</v>
      </c>
      <c r="H81" s="48" t="n">
        <v>6313.88</v>
      </c>
    </row>
    <row r="82">
      <c r="A82" s="50" t="inlineStr">
        <is>
          <t>FX Matt</t>
        </is>
      </c>
      <c r="B82" s="50" t="inlineStr">
        <is>
          <t>Saranac</t>
        </is>
      </c>
      <c r="C82" s="46" t="n">
        <v>2757</v>
      </c>
      <c r="D82" s="46" t="n">
        <v>2109</v>
      </c>
      <c r="E82" s="48" t="n">
        <v>59572.35000000001</v>
      </c>
      <c r="F82" s="48" t="n">
        <v>46656.83</v>
      </c>
      <c r="G82" s="48" t="n">
        <v>14916.53</v>
      </c>
      <c r="H82" s="48" t="n">
        <v>11753.18</v>
      </c>
    </row>
    <row r="83">
      <c r="A83" s="50" t="inlineStr">
        <is>
          <t>Famosa</t>
        </is>
      </c>
      <c r="B83" s="50" t="inlineStr">
        <is>
          <t>Famosa</t>
        </is>
      </c>
      <c r="C83" s="46" t="n">
        <v>7902</v>
      </c>
      <c r="D83" s="46" t="n">
        <v>7696</v>
      </c>
      <c r="E83" s="48" t="n">
        <v>207741.52</v>
      </c>
      <c r="F83" s="48" t="n">
        <v>202867.14</v>
      </c>
      <c r="G83" s="48" t="n">
        <v>51495.70000000002</v>
      </c>
      <c r="H83" s="48" t="n">
        <v>44399.02</v>
      </c>
    </row>
    <row r="84">
      <c r="A84" s="50" t="inlineStr">
        <is>
          <t>Famosa</t>
        </is>
      </c>
      <c r="B84" s="50" t="inlineStr">
        <is>
          <t>Monte Carlo</t>
        </is>
      </c>
      <c r="C84" s="46" t="n">
        <v>-6</v>
      </c>
      <c r="D84" s="46" t="n">
        <v>0</v>
      </c>
      <c r="E84" s="48" t="n">
        <v>-30</v>
      </c>
      <c r="F84" s="48" t="n">
        <v>0</v>
      </c>
      <c r="G84" s="48" t="n">
        <v>87.42</v>
      </c>
      <c r="H84" s="48" t="n">
        <v>0</v>
      </c>
    </row>
    <row r="85">
      <c r="A85" s="50" t="inlineStr">
        <is>
          <t>Flying Fish</t>
        </is>
      </c>
      <c r="B85" s="50" t="inlineStr">
        <is>
          <t>Big Mans Brew</t>
        </is>
      </c>
      <c r="C85" s="46" t="n">
        <v>61</v>
      </c>
      <c r="D85" s="46" t="n">
        <v>16</v>
      </c>
      <c r="E85" s="48" t="n">
        <v>2050</v>
      </c>
      <c r="F85" s="48" t="n">
        <v>560</v>
      </c>
      <c r="G85" s="48" t="n">
        <v>501.75</v>
      </c>
      <c r="H85" s="48" t="n">
        <v>158.77</v>
      </c>
    </row>
    <row r="86">
      <c r="A86" s="50" t="inlineStr">
        <is>
          <t>Flying Fish</t>
        </is>
      </c>
      <c r="B86" s="50" t="inlineStr">
        <is>
          <t>Flying Fish</t>
        </is>
      </c>
      <c r="C86" s="46" t="n">
        <v>999</v>
      </c>
      <c r="D86" s="46" t="n">
        <v>753</v>
      </c>
      <c r="E86" s="48" t="n">
        <v>35013.25</v>
      </c>
      <c r="F86" s="48" t="n">
        <v>27148.75</v>
      </c>
      <c r="G86" s="48" t="n">
        <v>9319.57</v>
      </c>
      <c r="H86" s="48" t="n">
        <v>7244</v>
      </c>
    </row>
    <row r="87">
      <c r="A87" s="50" t="inlineStr">
        <is>
          <t>Food &amp; Bev Enterprise LLC</t>
        </is>
      </c>
      <c r="B87" s="50" t="inlineStr">
        <is>
          <t>Aguila Import</t>
        </is>
      </c>
      <c r="C87" s="46" t="n">
        <v>503</v>
      </c>
      <c r="D87" s="46" t="n">
        <v>609</v>
      </c>
      <c r="E87" s="48" t="n">
        <v>22389</v>
      </c>
      <c r="F87" s="48" t="n">
        <v>27791.5</v>
      </c>
      <c r="G87" s="48" t="n">
        <v>6209.32</v>
      </c>
      <c r="H87" s="48" t="n">
        <v>7731</v>
      </c>
    </row>
    <row r="88">
      <c r="A88" s="50" t="inlineStr">
        <is>
          <t>Food &amp; Bev Enterprise LLC</t>
        </is>
      </c>
      <c r="B88" s="50" t="inlineStr">
        <is>
          <t>Costenita</t>
        </is>
      </c>
      <c r="C88" s="46" t="n">
        <v>169</v>
      </c>
      <c r="D88" s="46" t="n">
        <v>128</v>
      </c>
      <c r="E88" s="48" t="n">
        <v>10406</v>
      </c>
      <c r="F88" s="48" t="n">
        <v>7875</v>
      </c>
      <c r="G88" s="48" t="n">
        <v>2780.81</v>
      </c>
      <c r="H88" s="48" t="n">
        <v>2098.36</v>
      </c>
    </row>
    <row r="89">
      <c r="A89" s="50" t="inlineStr">
        <is>
          <t>Food &amp; Bev Enterprise LLC</t>
        </is>
      </c>
      <c r="B89" s="50" t="inlineStr">
        <is>
          <t>Food &amp; Bev</t>
        </is>
      </c>
      <c r="C89" s="46" t="n">
        <v>721</v>
      </c>
      <c r="D89" s="46" t="n">
        <v>715</v>
      </c>
      <c r="E89" s="48" t="n">
        <v>31863.5</v>
      </c>
      <c r="F89" s="48" t="n">
        <v>32505.5</v>
      </c>
      <c r="G89" s="48" t="n">
        <v>8667.120000000001</v>
      </c>
      <c r="H89" s="48" t="n">
        <v>9214.220000000001</v>
      </c>
    </row>
    <row r="90">
      <c r="A90" s="50" t="inlineStr">
        <is>
          <t>Food &amp; Bev Enterprise LLC</t>
        </is>
      </c>
      <c r="B90" s="50" t="inlineStr">
        <is>
          <t>Poker Import</t>
        </is>
      </c>
      <c r="C90" s="46" t="n">
        <v>647</v>
      </c>
      <c r="D90" s="46" t="n">
        <v>497</v>
      </c>
      <c r="E90" s="48" t="n">
        <v>28239.5</v>
      </c>
      <c r="F90" s="48" t="n">
        <v>23394.2</v>
      </c>
      <c r="G90" s="48" t="n">
        <v>7707.459999999999</v>
      </c>
      <c r="H90" s="48" t="n">
        <v>6780.24</v>
      </c>
    </row>
    <row r="91">
      <c r="A91" s="50" t="inlineStr">
        <is>
          <t>Forged Irish Stout</t>
        </is>
      </c>
      <c r="B91" s="50" t="inlineStr">
        <is>
          <t>Forged Irish Stout</t>
        </is>
      </c>
      <c r="C91" s="46" t="n">
        <v>184</v>
      </c>
      <c r="D91" s="46" t="n">
        <v>176</v>
      </c>
      <c r="E91" s="48" t="n">
        <v>6421</v>
      </c>
      <c r="F91" s="48" t="n">
        <v>6295.5</v>
      </c>
      <c r="G91" s="48" t="n">
        <v>1658.27</v>
      </c>
      <c r="H91" s="48" t="n">
        <v>1609.71</v>
      </c>
    </row>
    <row r="92">
      <c r="A92" s="50" t="inlineStr">
        <is>
          <t>GUSH INC</t>
        </is>
      </c>
      <c r="B92" s="50" t="inlineStr">
        <is>
          <t>Gush</t>
        </is>
      </c>
      <c r="C92" s="46" t="n">
        <v>32</v>
      </c>
      <c r="D92" s="46" t="n">
        <v>0</v>
      </c>
      <c r="E92" s="48" t="n">
        <v>6516</v>
      </c>
      <c r="F92" s="48" t="n">
        <v>0</v>
      </c>
      <c r="G92" s="48" t="n">
        <v>1812</v>
      </c>
      <c r="H92" s="48" t="n">
        <v>0</v>
      </c>
    </row>
    <row r="93">
      <c r="A93" s="50" t="inlineStr">
        <is>
          <t>Gambrinus Imports</t>
        </is>
      </c>
      <c r="B93" s="50" t="inlineStr">
        <is>
          <t>Shiner</t>
        </is>
      </c>
      <c r="C93" s="46" t="n">
        <v>627</v>
      </c>
      <c r="D93" s="46" t="n">
        <v>735</v>
      </c>
      <c r="E93" s="48" t="n">
        <v>19978.73</v>
      </c>
      <c r="F93" s="48" t="n">
        <v>23537.92</v>
      </c>
      <c r="G93" s="48" t="n">
        <v>4310.72</v>
      </c>
      <c r="H93" s="48" t="n">
        <v>5035.48</v>
      </c>
    </row>
    <row r="94">
      <c r="A94" s="50" t="inlineStr">
        <is>
          <t>Garage Beer</t>
        </is>
      </c>
      <c r="B94" s="50" t="inlineStr">
        <is>
          <t>Garage Beer</t>
        </is>
      </c>
      <c r="C94" s="46" t="n">
        <v>3876</v>
      </c>
      <c r="D94" s="46" t="n">
        <v>6571</v>
      </c>
      <c r="E94" s="48" t="n">
        <v>92948.46000000001</v>
      </c>
      <c r="F94" s="48" t="n">
        <v>156917.19</v>
      </c>
      <c r="G94" s="48" t="n">
        <v>25656.18</v>
      </c>
      <c r="H94" s="48" t="n">
        <v>40446.96999999999</v>
      </c>
    </row>
    <row r="95">
      <c r="A95" s="50" t="inlineStr">
        <is>
          <t>Gigli</t>
        </is>
      </c>
      <c r="B95" s="50" t="inlineStr">
        <is>
          <t>Gigli</t>
        </is>
      </c>
      <c r="C95" s="46" t="n">
        <v>120</v>
      </c>
      <c r="D95" s="46" t="n">
        <v>0</v>
      </c>
      <c r="E95" s="48" t="n">
        <v>9057</v>
      </c>
      <c r="F95" s="48" t="n">
        <v>0</v>
      </c>
      <c r="G95" s="48" t="n">
        <v>2424.6</v>
      </c>
      <c r="H95" s="48" t="n">
        <v>0</v>
      </c>
    </row>
    <row r="96">
      <c r="A96" s="50" t="inlineStr">
        <is>
          <t>Global Beer</t>
        </is>
      </c>
      <c r="B96" s="50" t="inlineStr">
        <is>
          <t>Baptist Wit</t>
        </is>
      </c>
      <c r="C96" s="46" t="n">
        <v>12</v>
      </c>
      <c r="D96" s="46" t="n">
        <v>12</v>
      </c>
      <c r="E96" s="48" t="n">
        <v>490</v>
      </c>
      <c r="F96" s="48" t="n">
        <v>520</v>
      </c>
      <c r="G96" s="48" t="n">
        <v>128.56</v>
      </c>
      <c r="H96" s="48" t="n">
        <v>156.44</v>
      </c>
    </row>
    <row r="97">
      <c r="A97" s="50" t="inlineStr">
        <is>
          <t>Global Beer</t>
        </is>
      </c>
      <c r="B97" s="50" t="inlineStr">
        <is>
          <t>Bavik</t>
        </is>
      </c>
      <c r="C97" s="46" t="n">
        <v>21</v>
      </c>
      <c r="D97" s="46" t="n">
        <v>35</v>
      </c>
      <c r="E97" s="48" t="n">
        <v>690</v>
      </c>
      <c r="F97" s="48" t="n">
        <v>1195</v>
      </c>
      <c r="G97" s="48" t="n">
        <v>191.12</v>
      </c>
      <c r="H97" s="48" t="n">
        <v>306.34</v>
      </c>
    </row>
    <row r="98">
      <c r="A98" s="50" t="inlineStr">
        <is>
          <t>Global Beer</t>
        </is>
      </c>
      <c r="B98" s="50" t="inlineStr">
        <is>
          <t>Czechvar</t>
        </is>
      </c>
      <c r="C98" s="46" t="n">
        <v>394</v>
      </c>
      <c r="D98" s="46" t="n">
        <v>190</v>
      </c>
      <c r="E98" s="48" t="n">
        <v>14030</v>
      </c>
      <c r="F98" s="48" t="n">
        <v>6930.5</v>
      </c>
      <c r="G98" s="48" t="n">
        <v>3625.45</v>
      </c>
      <c r="H98" s="48" t="n">
        <v>1593.45</v>
      </c>
    </row>
    <row r="99">
      <c r="A99" s="50" t="inlineStr">
        <is>
          <t>Global Beer</t>
        </is>
      </c>
      <c r="B99" s="50" t="inlineStr">
        <is>
          <t>Gulden Draak</t>
        </is>
      </c>
      <c r="C99" s="46" t="n">
        <v>27</v>
      </c>
      <c r="D99" s="46" t="n">
        <v>26</v>
      </c>
      <c r="E99" s="48" t="n">
        <v>3334</v>
      </c>
      <c r="F99" s="48" t="n">
        <v>3380</v>
      </c>
      <c r="G99" s="48" t="n">
        <v>975.1700000000001</v>
      </c>
      <c r="H99" s="48" t="n">
        <v>1087.23</v>
      </c>
    </row>
    <row r="100">
      <c r="A100" s="50" t="inlineStr">
        <is>
          <t>Global Beer</t>
        </is>
      </c>
      <c r="B100" s="50" t="inlineStr">
        <is>
          <t>Petrus</t>
        </is>
      </c>
      <c r="C100" s="46" t="n">
        <v>32</v>
      </c>
      <c r="D100" s="46" t="n">
        <v>28</v>
      </c>
      <c r="E100" s="48" t="n">
        <v>3420</v>
      </c>
      <c r="F100" s="48" t="n">
        <v>3320</v>
      </c>
      <c r="G100" s="48" t="n">
        <v>1007.09</v>
      </c>
      <c r="H100" s="48" t="n">
        <v>1049.2</v>
      </c>
    </row>
    <row r="101">
      <c r="A101" s="50" t="inlineStr">
        <is>
          <t>Global Beer</t>
        </is>
      </c>
      <c r="B101" s="50" t="inlineStr">
        <is>
          <t>Piraat</t>
        </is>
      </c>
      <c r="C101" s="46" t="n">
        <v>26</v>
      </c>
      <c r="D101" s="46" t="n">
        <v>21</v>
      </c>
      <c r="E101" s="48" t="n">
        <v>1984</v>
      </c>
      <c r="F101" s="48" t="n">
        <v>1891</v>
      </c>
      <c r="G101" s="48" t="n">
        <v>599.21</v>
      </c>
      <c r="H101" s="48" t="n">
        <v>592.66</v>
      </c>
    </row>
    <row r="102">
      <c r="A102" s="50" t="inlineStr">
        <is>
          <t>Global Beer</t>
        </is>
      </c>
      <c r="B102" s="50" t="inlineStr">
        <is>
          <t>Stiegl</t>
        </is>
      </c>
      <c r="C102" s="46" t="n">
        <v>511</v>
      </c>
      <c r="D102" s="46" t="n">
        <v>425</v>
      </c>
      <c r="E102" s="48" t="n">
        <v>20012</v>
      </c>
      <c r="F102" s="48" t="n">
        <v>19296.5</v>
      </c>
      <c r="G102" s="48" t="n">
        <v>4123.890000000001</v>
      </c>
      <c r="H102" s="48" t="n">
        <v>5366.059999999999</v>
      </c>
    </row>
    <row r="103">
      <c r="A103" s="50" t="inlineStr">
        <is>
          <t>Global Beer</t>
        </is>
      </c>
      <c r="B103" s="50" t="inlineStr">
        <is>
          <t>Sullivan's</t>
        </is>
      </c>
      <c r="C103" s="46" t="n">
        <v>203</v>
      </c>
      <c r="D103" s="46" t="n">
        <v>133</v>
      </c>
      <c r="E103" s="48" t="n">
        <v>9502</v>
      </c>
      <c r="F103" s="48" t="n">
        <v>6500</v>
      </c>
      <c r="G103" s="48" t="n">
        <v>2811.53</v>
      </c>
      <c r="H103" s="48" t="n">
        <v>2195.25</v>
      </c>
    </row>
    <row r="104">
      <c r="A104" s="50" t="inlineStr">
        <is>
          <t>Global Beer</t>
        </is>
      </c>
      <c r="B104" s="50" t="inlineStr">
        <is>
          <t>Van Steenberge</t>
        </is>
      </c>
      <c r="C104" s="46" t="n">
        <v>0</v>
      </c>
      <c r="D104" s="46" t="n">
        <v>22</v>
      </c>
      <c r="E104" s="48" t="n">
        <v>0</v>
      </c>
      <c r="F104" s="48" t="n">
        <v>1795.5</v>
      </c>
      <c r="G104" s="48" t="n">
        <v>0</v>
      </c>
      <c r="H104" s="48" t="n">
        <v>439.7</v>
      </c>
    </row>
    <row r="105">
      <c r="A105" s="50" t="inlineStr">
        <is>
          <t>Global Beer</t>
        </is>
      </c>
      <c r="B105" s="50" t="inlineStr">
        <is>
          <t>Yard House</t>
        </is>
      </c>
      <c r="C105" s="46" t="n">
        <v>90</v>
      </c>
      <c r="D105" s="46" t="n">
        <v>73</v>
      </c>
      <c r="E105" s="48" t="n">
        <v>4620</v>
      </c>
      <c r="F105" s="48" t="n">
        <v>3850</v>
      </c>
      <c r="G105" s="48" t="n">
        <v>1384.1</v>
      </c>
      <c r="H105" s="48" t="n">
        <v>1150.34</v>
      </c>
    </row>
    <row r="106">
      <c r="A106" s="50" t="inlineStr">
        <is>
          <t>Global Village Imp.</t>
        </is>
      </c>
      <c r="B106" s="50" t="inlineStr">
        <is>
          <t>Augustiner</t>
        </is>
      </c>
      <c r="C106" s="46" t="n">
        <v>370</v>
      </c>
      <c r="D106" s="46" t="n">
        <v>311</v>
      </c>
      <c r="E106" s="48" t="n">
        <v>15785</v>
      </c>
      <c r="F106" s="48" t="n">
        <v>13318.1</v>
      </c>
      <c r="G106" s="48" t="n">
        <v>4955.1</v>
      </c>
      <c r="H106" s="48" t="n">
        <v>4215.13</v>
      </c>
    </row>
    <row r="107">
      <c r="A107" s="50" t="inlineStr">
        <is>
          <t>Great Lakes</t>
        </is>
      </c>
      <c r="B107" s="50" t="inlineStr">
        <is>
          <t>Float Shoppe</t>
        </is>
      </c>
      <c r="C107" s="46" t="n">
        <v>0</v>
      </c>
      <c r="D107" s="46" t="n">
        <v>2</v>
      </c>
      <c r="E107" s="48" t="n">
        <v>0</v>
      </c>
      <c r="F107" s="48" t="n">
        <v>160</v>
      </c>
      <c r="G107" s="48" t="n">
        <v>0</v>
      </c>
      <c r="H107" s="48" t="n">
        <v>59.46</v>
      </c>
    </row>
    <row r="108">
      <c r="A108" s="50" t="inlineStr">
        <is>
          <t>Great Lakes</t>
        </is>
      </c>
      <c r="B108" s="50" t="inlineStr">
        <is>
          <t>Great Lakes</t>
        </is>
      </c>
      <c r="C108" s="46" t="n">
        <v>949</v>
      </c>
      <c r="D108" s="46" t="n">
        <v>946</v>
      </c>
      <c r="E108" s="48" t="n">
        <v>31019</v>
      </c>
      <c r="F108" s="48" t="n">
        <v>30519.91</v>
      </c>
      <c r="G108" s="48" t="n">
        <v>9052.080000000002</v>
      </c>
      <c r="H108" s="48" t="n">
        <v>8868.869999999999</v>
      </c>
    </row>
    <row r="109">
      <c r="A109" s="50" t="inlineStr">
        <is>
          <t>HOP WTR</t>
        </is>
      </c>
      <c r="B109" s="50" t="inlineStr">
        <is>
          <t>HOP WTR</t>
        </is>
      </c>
      <c r="C109" s="46" t="n">
        <v>260</v>
      </c>
      <c r="D109" s="46" t="n">
        <v>82</v>
      </c>
      <c r="E109" s="48" t="n">
        <v>7819.3</v>
      </c>
      <c r="F109" s="48" t="n">
        <v>2436.1</v>
      </c>
      <c r="G109" s="48" t="n">
        <v>905.35</v>
      </c>
      <c r="H109" s="48" t="n">
        <v>622.98</v>
      </c>
    </row>
    <row r="110">
      <c r="A110" s="50" t="inlineStr">
        <is>
          <t>Harpoon Brewery</t>
        </is>
      </c>
      <c r="B110" s="50" t="inlineStr">
        <is>
          <t>Long Trail</t>
        </is>
      </c>
      <c r="C110" s="46" t="n">
        <v>1028</v>
      </c>
      <c r="D110" s="46" t="n">
        <v>819</v>
      </c>
      <c r="E110" s="48" t="n">
        <v>33821</v>
      </c>
      <c r="F110" s="48" t="n">
        <v>26922.46</v>
      </c>
      <c r="G110" s="48" t="n">
        <v>9746.180000000002</v>
      </c>
      <c r="H110" s="48" t="n">
        <v>7776.849999999999</v>
      </c>
    </row>
    <row r="111">
      <c r="A111" s="50" t="inlineStr">
        <is>
          <t>Harpoon Brewery</t>
        </is>
      </c>
      <c r="B111" s="50" t="inlineStr">
        <is>
          <t>Shed</t>
        </is>
      </c>
      <c r="C111" s="46" t="n">
        <v>0</v>
      </c>
      <c r="D111" s="46" t="n">
        <v>0</v>
      </c>
      <c r="E111" s="48" t="n">
        <v>0</v>
      </c>
      <c r="F111" s="48" t="n">
        <v>0</v>
      </c>
      <c r="G111" s="48" t="n">
        <v>0</v>
      </c>
      <c r="H111" s="48" t="n">
        <v>0</v>
      </c>
    </row>
    <row r="112">
      <c r="A112" s="50" t="inlineStr">
        <is>
          <t>Heineken USA</t>
        </is>
      </c>
      <c r="B112" s="50" t="inlineStr">
        <is>
          <t>Amstel</t>
        </is>
      </c>
      <c r="C112" s="46" t="n">
        <v>3771</v>
      </c>
      <c r="D112" s="46" t="n">
        <v>3555</v>
      </c>
      <c r="E112" s="48" t="n">
        <v>117617</v>
      </c>
      <c r="F112" s="48" t="n">
        <v>110549.15</v>
      </c>
      <c r="G112" s="48" t="n">
        <v>27964.66</v>
      </c>
      <c r="H112" s="48" t="n">
        <v>26028.73</v>
      </c>
    </row>
    <row r="113">
      <c r="A113" s="50" t="inlineStr">
        <is>
          <t>Heineken USA</t>
        </is>
      </c>
      <c r="B113" s="50" t="inlineStr">
        <is>
          <t>Buckler</t>
        </is>
      </c>
      <c r="C113" s="46" t="n">
        <v>89</v>
      </c>
      <c r="D113" s="46" t="n">
        <v>0</v>
      </c>
      <c r="E113" s="48" t="n">
        <v>2789.88</v>
      </c>
      <c r="F113" s="48" t="n">
        <v>0</v>
      </c>
      <c r="G113" s="48" t="n">
        <v>798.95</v>
      </c>
      <c r="H113" s="48" t="n">
        <v>0</v>
      </c>
    </row>
    <row r="114">
      <c r="A114" s="50" t="inlineStr">
        <is>
          <t>Heineken USA</t>
        </is>
      </c>
      <c r="B114" s="50" t="inlineStr">
        <is>
          <t>Carta Blanca</t>
        </is>
      </c>
      <c r="C114" s="46" t="n">
        <v>238</v>
      </c>
      <c r="D114" s="46" t="n">
        <v>328</v>
      </c>
      <c r="E114" s="48" t="n">
        <v>5363.2</v>
      </c>
      <c r="F114" s="48" t="n">
        <v>7516</v>
      </c>
      <c r="G114" s="48" t="n">
        <v>1557.54</v>
      </c>
      <c r="H114" s="48" t="n">
        <v>2183.03</v>
      </c>
    </row>
    <row r="115">
      <c r="A115" s="50" t="inlineStr">
        <is>
          <t>Heineken USA</t>
        </is>
      </c>
      <c r="B115" s="50" t="inlineStr">
        <is>
          <t>Dos Equis</t>
        </is>
      </c>
      <c r="C115" s="46" t="n">
        <v>2715</v>
      </c>
      <c r="D115" s="46" t="n">
        <v>2247</v>
      </c>
      <c r="E115" s="48" t="n">
        <v>75249.25</v>
      </c>
      <c r="F115" s="48" t="n">
        <v>62025.55000000001</v>
      </c>
      <c r="G115" s="48" t="n">
        <v>17054.42</v>
      </c>
      <c r="H115" s="48" t="n">
        <v>14172.29</v>
      </c>
    </row>
    <row r="116">
      <c r="A116" s="50" t="inlineStr">
        <is>
          <t>Heineken USA</t>
        </is>
      </c>
      <c r="B116" s="50" t="inlineStr">
        <is>
          <t>Heineken 0.0 Ultimate</t>
        </is>
      </c>
      <c r="C116" s="46" t="n">
        <v>0</v>
      </c>
      <c r="D116" s="46" t="n">
        <v>365</v>
      </c>
      <c r="E116" s="48" t="n">
        <v>0</v>
      </c>
      <c r="F116" s="48" t="n">
        <v>12219.1</v>
      </c>
      <c r="G116" s="48" t="n">
        <v>0</v>
      </c>
      <c r="H116" s="48" t="n">
        <v>3201.14</v>
      </c>
    </row>
    <row r="117">
      <c r="A117" s="50" t="inlineStr">
        <is>
          <t>Heineken USA</t>
        </is>
      </c>
      <c r="B117" s="50" t="inlineStr">
        <is>
          <t>Heineken Silver</t>
        </is>
      </c>
      <c r="C117" s="46" t="n">
        <v>1190</v>
      </c>
      <c r="D117" s="46" t="n">
        <v>720</v>
      </c>
      <c r="E117" s="48" t="n">
        <v>32594.85</v>
      </c>
      <c r="F117" s="48" t="n">
        <v>19366</v>
      </c>
      <c r="G117" s="48" t="n">
        <v>5667.440000000001</v>
      </c>
      <c r="H117" s="48" t="n">
        <v>4717.759999999999</v>
      </c>
    </row>
    <row r="118">
      <c r="A118" s="50" t="inlineStr">
        <is>
          <t>Heineken USA</t>
        </is>
      </c>
      <c r="B118" s="50" t="inlineStr">
        <is>
          <t>Murphy's</t>
        </is>
      </c>
      <c r="C118" s="46" t="n">
        <v>281</v>
      </c>
      <c r="D118" s="46" t="n">
        <v>288</v>
      </c>
      <c r="E118" s="48" t="n">
        <v>7915.6</v>
      </c>
      <c r="F118" s="48" t="n">
        <v>7986.299999999999</v>
      </c>
      <c r="G118" s="48" t="n">
        <v>1425.22</v>
      </c>
      <c r="H118" s="48" t="n">
        <v>1376.09</v>
      </c>
    </row>
    <row r="119">
      <c r="A119" s="50" t="inlineStr">
        <is>
          <t>Heineken USA</t>
        </is>
      </c>
      <c r="B119" s="50" t="inlineStr">
        <is>
          <t>Newcastle</t>
        </is>
      </c>
      <c r="C119" s="46" t="n">
        <v>0</v>
      </c>
      <c r="D119" s="46" t="n">
        <v>142</v>
      </c>
      <c r="E119" s="48" t="n">
        <v>0</v>
      </c>
      <c r="F119" s="48" t="n">
        <v>4535.2</v>
      </c>
      <c r="G119" s="48" t="n">
        <v>0</v>
      </c>
      <c r="H119" s="48" t="n">
        <v>1252.18</v>
      </c>
    </row>
    <row r="120">
      <c r="A120" s="50" t="inlineStr">
        <is>
          <t>Heineken USA</t>
        </is>
      </c>
      <c r="B120" s="50" t="inlineStr">
        <is>
          <t>Prestige Lager</t>
        </is>
      </c>
      <c r="C120" s="46" t="n">
        <v>227</v>
      </c>
      <c r="D120" s="46" t="n">
        <v>340</v>
      </c>
      <c r="E120" s="48" t="n">
        <v>6546.5</v>
      </c>
      <c r="F120" s="48" t="n">
        <v>9760.700000000001</v>
      </c>
      <c r="G120" s="48" t="n">
        <v>1852.85</v>
      </c>
      <c r="H120" s="48" t="n">
        <v>2746.5</v>
      </c>
    </row>
    <row r="121">
      <c r="A121" s="50" t="inlineStr">
        <is>
          <t>Heineken USA</t>
        </is>
      </c>
      <c r="B121" s="50" t="inlineStr">
        <is>
          <t>Red Stripe</t>
        </is>
      </c>
      <c r="C121" s="46" t="n">
        <v>2626</v>
      </c>
      <c r="D121" s="46" t="n">
        <v>2406</v>
      </c>
      <c r="E121" s="48" t="n">
        <v>75142.5</v>
      </c>
      <c r="F121" s="48" t="n">
        <v>69146</v>
      </c>
      <c r="G121" s="48" t="n">
        <v>17567.3</v>
      </c>
      <c r="H121" s="48" t="n">
        <v>16357.49</v>
      </c>
    </row>
    <row r="122">
      <c r="A122" s="50" t="inlineStr">
        <is>
          <t>Heineken USA</t>
        </is>
      </c>
      <c r="B122" s="50" t="inlineStr">
        <is>
          <t>Strongbow</t>
        </is>
      </c>
      <c r="C122" s="46" t="n">
        <v>200</v>
      </c>
      <c r="D122" s="46" t="n">
        <v>179</v>
      </c>
      <c r="E122" s="48" t="n">
        <v>7348.5</v>
      </c>
      <c r="F122" s="48" t="n">
        <v>6624</v>
      </c>
      <c r="G122" s="48" t="n">
        <v>2094.8</v>
      </c>
      <c r="H122" s="48" t="n">
        <v>1888.26</v>
      </c>
    </row>
    <row r="123">
      <c r="A123" s="50" t="inlineStr">
        <is>
          <t>Heineken USA</t>
        </is>
      </c>
      <c r="B123" s="50" t="inlineStr">
        <is>
          <t>Tecate</t>
        </is>
      </c>
      <c r="C123" s="46" t="n">
        <v>3136</v>
      </c>
      <c r="D123" s="46" t="n">
        <v>3022</v>
      </c>
      <c r="E123" s="48" t="n">
        <v>57107.8</v>
      </c>
      <c r="F123" s="48" t="n">
        <v>55387.09999999999</v>
      </c>
      <c r="G123" s="48" t="n">
        <v>6194.300000000001</v>
      </c>
      <c r="H123" s="48" t="n">
        <v>6072.490000000001</v>
      </c>
    </row>
    <row r="124">
      <c r="A124" s="50" t="inlineStr">
        <is>
          <t>Hofbrauhaus USA</t>
        </is>
      </c>
      <c r="B124" s="50" t="inlineStr">
        <is>
          <t>Hofbrau Usa</t>
        </is>
      </c>
      <c r="C124" s="46" t="n">
        <v>5611</v>
      </c>
      <c r="D124" s="46" t="n">
        <v>5825</v>
      </c>
      <c r="E124" s="48" t="n">
        <v>210904.5</v>
      </c>
      <c r="F124" s="48" t="n">
        <v>224131.05</v>
      </c>
      <c r="G124" s="48" t="n">
        <v>60053.45</v>
      </c>
      <c r="H124" s="48" t="n">
        <v>61778.17000000001</v>
      </c>
    </row>
    <row r="125">
      <c r="A125" s="50" t="inlineStr">
        <is>
          <t>Hornell Brewing Company</t>
        </is>
      </c>
      <c r="B125" s="50" t="inlineStr">
        <is>
          <t>Arizona Hard</t>
        </is>
      </c>
      <c r="C125" s="46" t="n">
        <v>428</v>
      </c>
      <c r="D125" s="46" t="n">
        <v>202</v>
      </c>
      <c r="E125" s="48" t="n">
        <v>19298</v>
      </c>
      <c r="F125" s="48" t="n">
        <v>8068</v>
      </c>
      <c r="G125" s="48" t="n">
        <v>7746.279999999998</v>
      </c>
      <c r="H125" s="48" t="n">
        <v>2616.02</v>
      </c>
    </row>
    <row r="126">
      <c r="A126" s="50" t="inlineStr">
        <is>
          <t>Island Brands USA</t>
        </is>
      </c>
      <c r="B126" s="50" t="inlineStr">
        <is>
          <t>Island Brands</t>
        </is>
      </c>
      <c r="C126" s="46" t="n">
        <v>-1</v>
      </c>
      <c r="D126" s="46" t="n">
        <v>0</v>
      </c>
      <c r="E126" s="48" t="n">
        <v>-31</v>
      </c>
      <c r="F126" s="48" t="n">
        <v>0</v>
      </c>
      <c r="G126" s="48" t="n">
        <v>-7.73</v>
      </c>
      <c r="H126" s="48" t="n">
        <v>0</v>
      </c>
    </row>
    <row r="127">
      <c r="A127" s="50" t="inlineStr">
        <is>
          <t>Ithaca</t>
        </is>
      </c>
      <c r="B127" s="50" t="inlineStr">
        <is>
          <t>Ithaca</t>
        </is>
      </c>
      <c r="C127" s="46" t="n">
        <v>194</v>
      </c>
      <c r="D127" s="46" t="n">
        <v>123</v>
      </c>
      <c r="E127" s="48" t="n">
        <v>7513</v>
      </c>
      <c r="F127" s="48" t="n">
        <v>4900</v>
      </c>
      <c r="G127" s="48" t="n">
        <v>1936.27</v>
      </c>
      <c r="H127" s="48" t="n">
        <v>1054.09</v>
      </c>
    </row>
    <row r="128">
      <c r="A128" s="50" t="inlineStr">
        <is>
          <t>Jersey Girl</t>
        </is>
      </c>
      <c r="B128" s="50" t="inlineStr">
        <is>
          <t>Jersey Girl</t>
        </is>
      </c>
      <c r="C128" s="46" t="n">
        <v>-3</v>
      </c>
      <c r="D128" s="46" t="n">
        <v>0</v>
      </c>
      <c r="E128" s="48" t="n">
        <v>-106</v>
      </c>
      <c r="F128" s="48" t="n">
        <v>0</v>
      </c>
      <c r="G128" s="48" t="n">
        <v>-30.28</v>
      </c>
      <c r="H128" s="48" t="n">
        <v>0</v>
      </c>
    </row>
    <row r="129">
      <c r="A129" s="50" t="inlineStr">
        <is>
          <t>Jerzey Jungle LLC</t>
        </is>
      </c>
      <c r="B129" s="50" t="inlineStr">
        <is>
          <t>Jerzey Jungle</t>
        </is>
      </c>
      <c r="C129" s="46" t="n">
        <v>19</v>
      </c>
      <c r="D129" s="46" t="n">
        <v>0</v>
      </c>
      <c r="E129" s="48" t="n">
        <v>2008</v>
      </c>
      <c r="F129" s="48" t="n">
        <v>0</v>
      </c>
      <c r="G129" s="48" t="n">
        <v>968</v>
      </c>
      <c r="H129" s="48" t="n">
        <v>0</v>
      </c>
    </row>
    <row r="130">
      <c r="A130" s="50" t="inlineStr">
        <is>
          <t>Lagunitas Brewing Co</t>
        </is>
      </c>
      <c r="B130" s="50" t="inlineStr">
        <is>
          <t>Lagunitas</t>
        </is>
      </c>
      <c r="C130" s="46" t="n">
        <v>5567</v>
      </c>
      <c r="D130" s="46" t="n">
        <v>5626</v>
      </c>
      <c r="E130" s="48" t="n">
        <v>192431.75</v>
      </c>
      <c r="F130" s="48" t="n">
        <v>194113.85</v>
      </c>
      <c r="G130" s="48" t="n">
        <v>59414.24000000001</v>
      </c>
      <c r="H130" s="48" t="n">
        <v>60198.11000000001</v>
      </c>
    </row>
    <row r="131">
      <c r="A131" s="50" t="inlineStr">
        <is>
          <t>Lagunitas Brewing Co</t>
        </is>
      </c>
      <c r="B131" s="50" t="inlineStr">
        <is>
          <t>Lagunitas NA</t>
        </is>
      </c>
      <c r="C131" s="46" t="n">
        <v>166</v>
      </c>
      <c r="D131" s="46" t="n">
        <v>84</v>
      </c>
      <c r="E131" s="48" t="n">
        <v>4781.65</v>
      </c>
      <c r="F131" s="48" t="n">
        <v>2578.5</v>
      </c>
      <c r="G131" s="48" t="n">
        <v>1406.69</v>
      </c>
      <c r="H131" s="48" t="n">
        <v>862.23</v>
      </c>
    </row>
    <row r="132">
      <c r="A132" s="50" t="inlineStr">
        <is>
          <t>Licores Artesanales</t>
        </is>
      </c>
      <c r="B132" s="50" t="inlineStr">
        <is>
          <t>Desquite</t>
        </is>
      </c>
      <c r="C132" s="46" t="n">
        <v>0</v>
      </c>
      <c r="D132" s="46" t="n">
        <v>19</v>
      </c>
      <c r="E132" s="48" t="n">
        <v>0</v>
      </c>
      <c r="F132" s="48" t="n">
        <v>3764.67</v>
      </c>
      <c r="G132" s="48" t="n">
        <v>0</v>
      </c>
      <c r="H132" s="48" t="n">
        <v>751.24</v>
      </c>
    </row>
    <row r="133">
      <c r="A133" s="50" t="inlineStr">
        <is>
          <t>Little Water Distillery</t>
        </is>
      </c>
      <c r="B133" s="50" t="inlineStr">
        <is>
          <t>48 Blocks</t>
        </is>
      </c>
      <c r="C133" s="46" t="n">
        <v>3</v>
      </c>
      <c r="D133" s="46" t="n">
        <v>1</v>
      </c>
      <c r="E133" s="48" t="n">
        <v>610</v>
      </c>
      <c r="F133" s="48" t="n">
        <v>152.5</v>
      </c>
      <c r="G133" s="48" t="n">
        <v>129.76</v>
      </c>
      <c r="H133" s="48" t="n">
        <v>32.44</v>
      </c>
    </row>
    <row r="134">
      <c r="A134" s="50" t="inlineStr">
        <is>
          <t>Little Water Distillery</t>
        </is>
      </c>
      <c r="B134" s="50" t="inlineStr">
        <is>
          <t>Rusted Revolver</t>
        </is>
      </c>
      <c r="C134" s="46" t="n">
        <v>1</v>
      </c>
      <c r="D134" s="46" t="n">
        <v>1</v>
      </c>
      <c r="E134" s="48" t="n">
        <v>156</v>
      </c>
      <c r="F134" s="48" t="n">
        <v>156</v>
      </c>
      <c r="G134" s="48" t="n">
        <v>33.48</v>
      </c>
      <c r="H134" s="48" t="n">
        <v>33.48</v>
      </c>
    </row>
    <row r="135">
      <c r="A135" s="50" t="inlineStr">
        <is>
          <t>Little Water Distillery</t>
        </is>
      </c>
      <c r="B135" s="50" t="inlineStr">
        <is>
          <t>Whitecap</t>
        </is>
      </c>
      <c r="C135" s="46" t="n">
        <v>1</v>
      </c>
      <c r="D135" s="46" t="n">
        <v>0</v>
      </c>
      <c r="E135" s="48" t="n">
        <v>170</v>
      </c>
      <c r="F135" s="48" t="n">
        <v>0</v>
      </c>
      <c r="G135" s="48" t="n">
        <v>39.44</v>
      </c>
      <c r="H135" s="48" t="n">
        <v>0</v>
      </c>
    </row>
    <row r="136">
      <c r="A136" s="50" t="inlineStr">
        <is>
          <t>Lo Secco LLC</t>
        </is>
      </c>
      <c r="B136" s="50" t="inlineStr">
        <is>
          <t>Lo Secco</t>
        </is>
      </c>
      <c r="C136" s="46" t="n">
        <v>0</v>
      </c>
      <c r="D136" s="46" t="n">
        <v>15</v>
      </c>
      <c r="E136" s="48" t="n">
        <v>0</v>
      </c>
      <c r="F136" s="48" t="n">
        <v>2940</v>
      </c>
      <c r="G136" s="48" t="n">
        <v>0</v>
      </c>
      <c r="H136" s="48" t="n">
        <v>928.8</v>
      </c>
    </row>
    <row r="137">
      <c r="A137" s="50" t="inlineStr">
        <is>
          <t>Local Choice Inc</t>
        </is>
      </c>
      <c r="B137" s="50" t="inlineStr">
        <is>
          <t>Striped Pig</t>
        </is>
      </c>
      <c r="C137" s="46" t="n">
        <v>0</v>
      </c>
      <c r="D137" s="46" t="n">
        <v>3</v>
      </c>
      <c r="E137" s="48" t="n">
        <v>0</v>
      </c>
      <c r="F137" s="48" t="n">
        <v>610</v>
      </c>
      <c r="G137" s="48" t="n">
        <v>0</v>
      </c>
      <c r="H137" s="48" t="n">
        <v>126.52</v>
      </c>
    </row>
    <row r="138">
      <c r="A138" s="50" t="inlineStr">
        <is>
          <t>Lodo Brands</t>
        </is>
      </c>
      <c r="B138" s="50" t="inlineStr">
        <is>
          <t>LoDo</t>
        </is>
      </c>
      <c r="C138" s="46" t="n">
        <v>188</v>
      </c>
      <c r="D138" s="46" t="n">
        <v>45</v>
      </c>
      <c r="E138" s="48" t="n">
        <v>24026</v>
      </c>
      <c r="F138" s="48" t="n">
        <v>7838</v>
      </c>
      <c r="G138" s="48" t="n">
        <v>5600.200000000001</v>
      </c>
      <c r="H138" s="48" t="n">
        <v>2259.690000000001</v>
      </c>
    </row>
    <row r="139">
      <c r="A139" s="50" t="inlineStr">
        <is>
          <t>Mark Anthony</t>
        </is>
      </c>
      <c r="B139" s="50" t="inlineStr">
        <is>
          <t>Dillon's Cocktails</t>
        </is>
      </c>
      <c r="C139" s="46" t="n">
        <v>318</v>
      </c>
      <c r="D139" s="46" t="n">
        <v>279</v>
      </c>
      <c r="E139" s="48" t="n">
        <v>14570</v>
      </c>
      <c r="F139" s="48" t="n">
        <v>12730</v>
      </c>
      <c r="G139" s="48" t="n">
        <v>5117.98</v>
      </c>
      <c r="H139" s="48" t="n">
        <v>4432.07</v>
      </c>
    </row>
    <row r="140">
      <c r="A140" s="50" t="inlineStr">
        <is>
          <t>Mark Anthony</t>
        </is>
      </c>
      <c r="B140" s="50" t="inlineStr">
        <is>
          <t>Mike's Hard Dirty Lemonade</t>
        </is>
      </c>
      <c r="C140" s="46" t="n">
        <v>0</v>
      </c>
      <c r="D140" s="46" t="n">
        <v>205</v>
      </c>
      <c r="E140" s="48" t="n">
        <v>0</v>
      </c>
      <c r="F140" s="48" t="n">
        <v>6154.5</v>
      </c>
      <c r="G140" s="48" t="n">
        <v>0</v>
      </c>
      <c r="H140" s="48" t="n">
        <v>1363.31</v>
      </c>
    </row>
    <row r="141">
      <c r="A141" s="50" t="inlineStr">
        <is>
          <t>Mark Anthony</t>
        </is>
      </c>
      <c r="B141" s="50" t="inlineStr">
        <is>
          <t>Mike's Hard Lemonade</t>
        </is>
      </c>
      <c r="C141" s="46" t="n">
        <v>13380</v>
      </c>
      <c r="D141" s="46" t="n">
        <v>9807</v>
      </c>
      <c r="E141" s="48" t="n">
        <v>429981.1</v>
      </c>
      <c r="F141" s="48" t="n">
        <v>315351</v>
      </c>
      <c r="G141" s="48" t="n">
        <v>107172</v>
      </c>
      <c r="H141" s="48" t="n">
        <v>80609.08000000002</v>
      </c>
    </row>
    <row r="142">
      <c r="A142" s="50" t="inlineStr">
        <is>
          <t>Mark Anthony</t>
        </is>
      </c>
      <c r="B142" s="50" t="inlineStr">
        <is>
          <t>Ole</t>
        </is>
      </c>
      <c r="C142" s="46" t="n">
        <v>0</v>
      </c>
      <c r="D142" s="46" t="n">
        <v>367</v>
      </c>
      <c r="E142" s="48" t="n">
        <v>0</v>
      </c>
      <c r="F142" s="48" t="n">
        <v>17545</v>
      </c>
      <c r="G142" s="48" t="n">
        <v>0</v>
      </c>
      <c r="H142" s="48" t="n">
        <v>6568.9</v>
      </c>
    </row>
    <row r="143">
      <c r="A143" s="50" t="inlineStr">
        <is>
          <t>Misc</t>
        </is>
      </c>
      <c r="B143" s="50" t="inlineStr">
        <is>
          <t>Misc</t>
        </is>
      </c>
      <c r="C143" s="46" t="n">
        <v>0</v>
      </c>
      <c r="D143" s="46" t="n">
        <v>0</v>
      </c>
      <c r="E143" s="48" t="n">
        <v>7848.38</v>
      </c>
      <c r="F143" s="48" t="n">
        <v>4107.65</v>
      </c>
      <c r="G143" s="48" t="n">
        <v>7847.330000000001</v>
      </c>
      <c r="H143" s="48" t="n">
        <v>4107.77</v>
      </c>
    </row>
    <row r="144">
      <c r="A144" s="50" t="inlineStr">
        <is>
          <t>Modern Infusions</t>
        </is>
      </c>
      <c r="B144" s="50" t="inlineStr">
        <is>
          <t>Fiveislands</t>
        </is>
      </c>
      <c r="C144" s="46" t="n">
        <v>0</v>
      </c>
      <c r="D144" s="46" t="n">
        <v>236</v>
      </c>
      <c r="E144" s="48" t="n">
        <v>0</v>
      </c>
      <c r="F144" s="48" t="n">
        <v>13841</v>
      </c>
      <c r="G144" s="48" t="n">
        <v>0</v>
      </c>
      <c r="H144" s="48" t="n">
        <v>7268.28</v>
      </c>
    </row>
    <row r="145">
      <c r="A145" s="50" t="inlineStr">
        <is>
          <t>Modern Infusions</t>
        </is>
      </c>
      <c r="B145" s="50" t="inlineStr">
        <is>
          <t>Hi5</t>
        </is>
      </c>
      <c r="C145" s="46" t="n">
        <v>66</v>
      </c>
      <c r="D145" s="46" t="n">
        <v>24</v>
      </c>
      <c r="E145" s="48" t="n">
        <v>2948</v>
      </c>
      <c r="F145" s="48" t="n">
        <v>1378</v>
      </c>
      <c r="G145" s="48" t="n">
        <v>1174.58</v>
      </c>
      <c r="H145" s="48" t="n">
        <v>512.3199999999999</v>
      </c>
    </row>
    <row r="146">
      <c r="A146" s="50" t="inlineStr">
        <is>
          <t>Molly's</t>
        </is>
      </c>
      <c r="B146" s="50" t="inlineStr">
        <is>
          <t>Molly's</t>
        </is>
      </c>
      <c r="C146" s="46" t="n">
        <v>148</v>
      </c>
      <c r="D146" s="46" t="n">
        <v>71</v>
      </c>
      <c r="E146" s="48" t="n">
        <v>16784.74999999999</v>
      </c>
      <c r="F146" s="48" t="n">
        <v>8162.71</v>
      </c>
      <c r="G146" s="48" t="n">
        <v>2355.73</v>
      </c>
      <c r="H146" s="48" t="n">
        <v>889.61</v>
      </c>
    </row>
    <row r="147">
      <c r="A147" s="50" t="inlineStr">
        <is>
          <t>MolsonCoors Beverage Company</t>
        </is>
      </c>
      <c r="B147" s="50" t="inlineStr">
        <is>
          <t>Aguila</t>
        </is>
      </c>
      <c r="C147" s="46" t="n">
        <v>647</v>
      </c>
      <c r="D147" s="46" t="n">
        <v>1140</v>
      </c>
      <c r="E147" s="48" t="n">
        <v>16825.6</v>
      </c>
      <c r="F147" s="48" t="n">
        <v>29585.6</v>
      </c>
      <c r="G147" s="48" t="n">
        <v>3938.640000000001</v>
      </c>
      <c r="H147" s="48" t="n">
        <v>6879.07</v>
      </c>
    </row>
    <row r="148">
      <c r="A148" s="50" t="inlineStr">
        <is>
          <t>MolsonCoors Beverage Company</t>
        </is>
      </c>
      <c r="B148" s="50" t="inlineStr">
        <is>
          <t>Arnold Palmer</t>
        </is>
      </c>
      <c r="C148" s="46" t="n">
        <v>6905</v>
      </c>
      <c r="D148" s="46" t="n">
        <v>4253</v>
      </c>
      <c r="E148" s="48" t="n">
        <v>188514.11</v>
      </c>
      <c r="F148" s="48" t="n">
        <v>124926.26</v>
      </c>
      <c r="G148" s="48" t="n">
        <v>23489.36</v>
      </c>
      <c r="H148" s="48" t="n">
        <v>23469.61</v>
      </c>
    </row>
    <row r="149">
      <c r="A149" s="50" t="inlineStr">
        <is>
          <t>MolsonCoors Beverage Company</t>
        </is>
      </c>
      <c r="B149" s="50" t="inlineStr">
        <is>
          <t>Coors 0.0</t>
        </is>
      </c>
      <c r="C149" s="46" t="n">
        <v>0</v>
      </c>
      <c r="D149" s="46" t="n">
        <v>298</v>
      </c>
      <c r="E149" s="48" t="n">
        <v>0</v>
      </c>
      <c r="F149" s="48" t="n">
        <v>7809.95</v>
      </c>
      <c r="G149" s="48" t="n">
        <v>0</v>
      </c>
      <c r="H149" s="48" t="n">
        <v>2409.64</v>
      </c>
    </row>
    <row r="150">
      <c r="A150" s="50" t="inlineStr">
        <is>
          <t>MolsonCoors Beverage Company</t>
        </is>
      </c>
      <c r="B150" s="50" t="inlineStr">
        <is>
          <t>Coors Edge</t>
        </is>
      </c>
      <c r="C150" s="46" t="n">
        <v>730</v>
      </c>
      <c r="D150" s="46" t="n">
        <v>694</v>
      </c>
      <c r="E150" s="48" t="n">
        <v>16042.28</v>
      </c>
      <c r="F150" s="48" t="n">
        <v>15250.9</v>
      </c>
      <c r="G150" s="48" t="n">
        <v>4441.86</v>
      </c>
      <c r="H150" s="48" t="n">
        <v>4222.56</v>
      </c>
    </row>
    <row r="151">
      <c r="A151" s="50" t="inlineStr">
        <is>
          <t>MolsonCoors Beverage Company</t>
        </is>
      </c>
      <c r="B151" s="50" t="inlineStr">
        <is>
          <t>Cusquena</t>
        </is>
      </c>
      <c r="C151" s="46" t="n">
        <v>1324</v>
      </c>
      <c r="D151" s="46" t="n">
        <v>1690</v>
      </c>
      <c r="E151" s="48" t="n">
        <v>34308.2</v>
      </c>
      <c r="F151" s="48" t="n">
        <v>43780.80000000001</v>
      </c>
      <c r="G151" s="48" t="n">
        <v>7951.34</v>
      </c>
      <c r="H151" s="48" t="n">
        <v>10137.98</v>
      </c>
    </row>
    <row r="152">
      <c r="A152" s="50" t="inlineStr">
        <is>
          <t>MolsonCoors Beverage Company</t>
        </is>
      </c>
      <c r="B152" s="50" t="inlineStr">
        <is>
          <t>Fosters</t>
        </is>
      </c>
      <c r="C152" s="46" t="n">
        <v>6287</v>
      </c>
      <c r="D152" s="46" t="n">
        <v>5910</v>
      </c>
      <c r="E152" s="48" t="n">
        <v>140784.3</v>
      </c>
      <c r="F152" s="48" t="n">
        <v>132425.4</v>
      </c>
      <c r="G152" s="48" t="n">
        <v>28876.04</v>
      </c>
      <c r="H152" s="48" t="n">
        <v>27149.00999999999</v>
      </c>
    </row>
    <row r="153">
      <c r="A153" s="50" t="inlineStr">
        <is>
          <t>MolsonCoors Beverage Company</t>
        </is>
      </c>
      <c r="B153" s="50" t="inlineStr">
        <is>
          <t>George Killian's</t>
        </is>
      </c>
      <c r="C153" s="46" t="n">
        <v>624</v>
      </c>
      <c r="D153" s="46" t="n">
        <v>563</v>
      </c>
      <c r="E153" s="48" t="n">
        <v>17010.5</v>
      </c>
      <c r="F153" s="48" t="n">
        <v>15428</v>
      </c>
      <c r="G153" s="48" t="n">
        <v>4630.37</v>
      </c>
      <c r="H153" s="48" t="n">
        <v>4227.75</v>
      </c>
    </row>
    <row r="154">
      <c r="A154" s="50" t="inlineStr">
        <is>
          <t>MolsonCoors Beverage Company</t>
        </is>
      </c>
      <c r="B154" s="50" t="inlineStr">
        <is>
          <t>Grolsch</t>
        </is>
      </c>
      <c r="C154" s="46" t="n">
        <v>1795</v>
      </c>
      <c r="D154" s="46" t="n">
        <v>1473</v>
      </c>
      <c r="E154" s="48" t="n">
        <v>61861.8</v>
      </c>
      <c r="F154" s="48" t="n">
        <v>50929.2</v>
      </c>
      <c r="G154" s="48" t="n">
        <v>12190.27</v>
      </c>
      <c r="H154" s="48" t="n">
        <v>10040.12</v>
      </c>
    </row>
    <row r="155">
      <c r="A155" s="50" t="inlineStr">
        <is>
          <t>MolsonCoors Beverage Company</t>
        </is>
      </c>
      <c r="B155" s="50" t="inlineStr">
        <is>
          <t>Hamm's</t>
        </is>
      </c>
      <c r="C155" s="46" t="n">
        <v>563</v>
      </c>
      <c r="D155" s="46" t="n">
        <v>620</v>
      </c>
      <c r="E155" s="48" t="n">
        <v>7184</v>
      </c>
      <c r="F155" s="48" t="n">
        <v>8426</v>
      </c>
      <c r="G155" s="48" t="n">
        <v>798.1099999999999</v>
      </c>
      <c r="H155" s="48" t="n">
        <v>1054.3</v>
      </c>
    </row>
    <row r="156">
      <c r="A156" s="50" t="inlineStr">
        <is>
          <t>MolsonCoors Beverage Company</t>
        </is>
      </c>
      <c r="B156" s="50" t="inlineStr">
        <is>
          <t>Happy Thursday Spiked Refresher</t>
        </is>
      </c>
      <c r="C156" s="46" t="n">
        <v>121</v>
      </c>
      <c r="D156" s="46" t="n">
        <v>6</v>
      </c>
      <c r="E156" s="48" t="n">
        <v>3577.33</v>
      </c>
      <c r="F156" s="48" t="n">
        <v>174.3</v>
      </c>
      <c r="G156" s="48" t="n">
        <v>642.49</v>
      </c>
      <c r="H156" s="48" t="n">
        <v>29.19</v>
      </c>
    </row>
    <row r="157">
      <c r="A157" s="50" t="inlineStr">
        <is>
          <t>MolsonCoors Beverage Company</t>
        </is>
      </c>
      <c r="B157" s="50" t="inlineStr">
        <is>
          <t>Keystone</t>
        </is>
      </c>
      <c r="C157" s="46" t="n">
        <v>4147</v>
      </c>
      <c r="D157" s="46" t="n">
        <v>6258</v>
      </c>
      <c r="E157" s="48" t="n">
        <v>52733.8</v>
      </c>
      <c r="F157" s="48" t="n">
        <v>91063.89999999999</v>
      </c>
      <c r="G157" s="48" t="n">
        <v>7444.060000000001</v>
      </c>
      <c r="H157" s="48" t="n">
        <v>18818.47</v>
      </c>
    </row>
    <row r="158">
      <c r="A158" s="50" t="inlineStr">
        <is>
          <t>MolsonCoors Beverage Company</t>
        </is>
      </c>
      <c r="B158" s="50" t="inlineStr">
        <is>
          <t>Leinenkugel</t>
        </is>
      </c>
      <c r="C158" s="46" t="n">
        <v>8981</v>
      </c>
      <c r="D158" s="46" t="n">
        <v>9694</v>
      </c>
      <c r="E158" s="48" t="n">
        <v>292819.24</v>
      </c>
      <c r="F158" s="48" t="n">
        <v>314179.11</v>
      </c>
      <c r="G158" s="48" t="n">
        <v>66071.55</v>
      </c>
      <c r="H158" s="48" t="n">
        <v>68946.12</v>
      </c>
    </row>
    <row r="159">
      <c r="A159" s="50" t="inlineStr">
        <is>
          <t>MolsonCoors Beverage Company</t>
        </is>
      </c>
      <c r="B159" s="50" t="inlineStr">
        <is>
          <t>Miller Extra Light</t>
        </is>
      </c>
      <c r="C159" s="46" t="n">
        <v>3148</v>
      </c>
      <c r="D159" s="46" t="n">
        <v>2522</v>
      </c>
      <c r="E159" s="48" t="n">
        <v>69850.94</v>
      </c>
      <c r="F159" s="48" t="n">
        <v>58098.48</v>
      </c>
      <c r="G159" s="48" t="n">
        <v>17296.64</v>
      </c>
      <c r="H159" s="48" t="n">
        <v>14525.5</v>
      </c>
    </row>
    <row r="160">
      <c r="A160" s="50" t="inlineStr">
        <is>
          <t>MolsonCoors Beverage Company</t>
        </is>
      </c>
      <c r="B160" s="50" t="inlineStr">
        <is>
          <t>Miller Genuine Draft</t>
        </is>
      </c>
      <c r="C160" s="46" t="n">
        <v>2837</v>
      </c>
      <c r="D160" s="46" t="n">
        <v>2218</v>
      </c>
      <c r="E160" s="48" t="n">
        <v>66574.85000000001</v>
      </c>
      <c r="F160" s="48" t="n">
        <v>53873.24999999999</v>
      </c>
      <c r="G160" s="48" t="n">
        <v>16570.49</v>
      </c>
      <c r="H160" s="48" t="n">
        <v>13463.22</v>
      </c>
    </row>
    <row r="161">
      <c r="A161" s="50" t="inlineStr">
        <is>
          <t>MolsonCoors Beverage Company</t>
        </is>
      </c>
      <c r="B161" s="50" t="inlineStr">
        <is>
          <t>Miller High Life</t>
        </is>
      </c>
      <c r="C161" s="46" t="n">
        <v>19009</v>
      </c>
      <c r="D161" s="46" t="n">
        <v>18094</v>
      </c>
      <c r="E161" s="48" t="n">
        <v>338133.1900000001</v>
      </c>
      <c r="F161" s="48" t="n">
        <v>329946.41</v>
      </c>
      <c r="G161" s="48" t="n">
        <v>70621.46999999999</v>
      </c>
      <c r="H161" s="48" t="n">
        <v>69562.38</v>
      </c>
    </row>
    <row r="162">
      <c r="A162" s="50" t="inlineStr">
        <is>
          <t>MolsonCoors Beverage Company</t>
        </is>
      </c>
      <c r="B162" s="50" t="inlineStr">
        <is>
          <t>Milwaukee's Best Ice</t>
        </is>
      </c>
      <c r="C162" s="46" t="n">
        <v>1836</v>
      </c>
      <c r="D162" s="46" t="n">
        <v>1816</v>
      </c>
      <c r="E162" s="48" t="n">
        <v>23086.7</v>
      </c>
      <c r="F162" s="48" t="n">
        <v>22786.2</v>
      </c>
      <c r="G162" s="48" t="n">
        <v>2902.09</v>
      </c>
      <c r="H162" s="48" t="n">
        <v>2705.66</v>
      </c>
    </row>
    <row r="163">
      <c r="A163" s="50" t="inlineStr">
        <is>
          <t>MolsonCoors Beverage Company</t>
        </is>
      </c>
      <c r="B163" s="50" t="inlineStr">
        <is>
          <t>Milwaukee's Best Light</t>
        </is>
      </c>
      <c r="C163" s="46" t="n">
        <v>223</v>
      </c>
      <c r="D163" s="46" t="n">
        <v>231</v>
      </c>
      <c r="E163" s="48" t="n">
        <v>3560</v>
      </c>
      <c r="F163" s="48" t="n">
        <v>3864</v>
      </c>
      <c r="G163" s="48" t="n">
        <v>723.66</v>
      </c>
      <c r="H163" s="48" t="n">
        <v>803.26</v>
      </c>
    </row>
    <row r="164">
      <c r="A164" s="50" t="inlineStr">
        <is>
          <t>MolsonCoors Beverage Company</t>
        </is>
      </c>
      <c r="B164" s="50" t="inlineStr">
        <is>
          <t>Molson</t>
        </is>
      </c>
      <c r="C164" s="46" t="n">
        <v>2765</v>
      </c>
      <c r="D164" s="46" t="n">
        <v>2337</v>
      </c>
      <c r="E164" s="48" t="n">
        <v>68656</v>
      </c>
      <c r="F164" s="48" t="n">
        <v>58190.34999999998</v>
      </c>
      <c r="G164" s="48" t="n">
        <v>16678.87</v>
      </c>
      <c r="H164" s="48" t="n">
        <v>13813.95</v>
      </c>
    </row>
    <row r="165">
      <c r="A165" s="50" t="inlineStr">
        <is>
          <t>MolsonCoors Beverage Company</t>
        </is>
      </c>
      <c r="B165" s="50" t="inlineStr">
        <is>
          <t>Monaco</t>
        </is>
      </c>
      <c r="C165" s="46" t="n">
        <v>0</v>
      </c>
      <c r="D165" s="46" t="n">
        <v>756</v>
      </c>
      <c r="E165" s="48" t="n">
        <v>0</v>
      </c>
      <c r="F165" s="48" t="n">
        <v>34797.2</v>
      </c>
      <c r="G165" s="48" t="n">
        <v>0</v>
      </c>
      <c r="H165" s="48" t="n">
        <v>14425.7</v>
      </c>
    </row>
    <row r="166">
      <c r="A166" s="50" t="inlineStr">
        <is>
          <t>MolsonCoors Beverage Company</t>
        </is>
      </c>
      <c r="B166" s="50" t="inlineStr">
        <is>
          <t>NaKed Life</t>
        </is>
      </c>
      <c r="C166" s="46" t="n">
        <v>0</v>
      </c>
      <c r="D166" s="46" t="n">
        <v>7</v>
      </c>
      <c r="E166" s="48" t="n">
        <v>0</v>
      </c>
      <c r="F166" s="48" t="n">
        <v>458.59</v>
      </c>
      <c r="G166" s="48" t="n">
        <v>0</v>
      </c>
      <c r="H166" s="48" t="n">
        <v>121.67</v>
      </c>
    </row>
    <row r="167">
      <c r="A167" s="50" t="inlineStr">
        <is>
          <t>MolsonCoors Beverage Company</t>
        </is>
      </c>
      <c r="B167" s="50" t="inlineStr">
        <is>
          <t>Old English</t>
        </is>
      </c>
      <c r="C167" s="46" t="n">
        <v>1696</v>
      </c>
      <c r="D167" s="46" t="n">
        <v>1535</v>
      </c>
      <c r="E167" s="48" t="n">
        <v>25684.65</v>
      </c>
      <c r="F167" s="48" t="n">
        <v>23267.25</v>
      </c>
      <c r="G167" s="48" t="n">
        <v>5225.13</v>
      </c>
      <c r="H167" s="48" t="n">
        <v>4732.22</v>
      </c>
    </row>
    <row r="168">
      <c r="A168" s="50" t="inlineStr">
        <is>
          <t>MolsonCoors Beverage Company</t>
        </is>
      </c>
      <c r="B168" s="50" t="inlineStr">
        <is>
          <t>Pilsner Urquell</t>
        </is>
      </c>
      <c r="C168" s="46" t="n">
        <v>2949</v>
      </c>
      <c r="D168" s="46" t="n">
        <v>3227</v>
      </c>
      <c r="E168" s="48" t="n">
        <v>91722.68000000001</v>
      </c>
      <c r="F168" s="48" t="n">
        <v>100508.23</v>
      </c>
      <c r="G168" s="48" t="n">
        <v>19781.65</v>
      </c>
      <c r="H168" s="48" t="n">
        <v>21664.48</v>
      </c>
    </row>
    <row r="169">
      <c r="A169" s="50" t="inlineStr">
        <is>
          <t>MolsonCoors Beverage Company</t>
        </is>
      </c>
      <c r="B169" s="50" t="inlineStr">
        <is>
          <t>Redd's</t>
        </is>
      </c>
      <c r="C169" s="46" t="n">
        <v>244</v>
      </c>
      <c r="D169" s="46" t="n">
        <v>186</v>
      </c>
      <c r="E169" s="48" t="n">
        <v>7471.7</v>
      </c>
      <c r="F169" s="48" t="n">
        <v>5718.799999999998</v>
      </c>
      <c r="G169" s="48" t="n">
        <v>1688.18</v>
      </c>
      <c r="H169" s="48" t="n">
        <v>1298.68</v>
      </c>
    </row>
    <row r="170">
      <c r="A170" s="50" t="inlineStr">
        <is>
          <t>MolsonCoors Beverage Company</t>
        </is>
      </c>
      <c r="B170" s="50" t="inlineStr">
        <is>
          <t>Redd's Wicked</t>
        </is>
      </c>
      <c r="C170" s="46" t="n">
        <v>573</v>
      </c>
      <c r="D170" s="46" t="n">
        <v>576</v>
      </c>
      <c r="E170" s="48" t="n">
        <v>12908.9</v>
      </c>
      <c r="F170" s="48" t="n">
        <v>13363</v>
      </c>
      <c r="G170" s="48" t="n">
        <v>895.9900000000001</v>
      </c>
      <c r="H170" s="48" t="n">
        <v>1170.12</v>
      </c>
    </row>
    <row r="171">
      <c r="A171" s="50" t="inlineStr">
        <is>
          <t>MolsonCoors Beverage Company</t>
        </is>
      </c>
      <c r="B171" s="50" t="inlineStr">
        <is>
          <t>Simply Spiked</t>
        </is>
      </c>
      <c r="C171" s="46" t="n">
        <v>1556</v>
      </c>
      <c r="D171" s="46" t="n">
        <v>658</v>
      </c>
      <c r="E171" s="48" t="n">
        <v>46047.8</v>
      </c>
      <c r="F171" s="48" t="n">
        <v>19827.18</v>
      </c>
      <c r="G171" s="48" t="n">
        <v>9353.65</v>
      </c>
      <c r="H171" s="48" t="n">
        <v>4133.43</v>
      </c>
    </row>
    <row r="172">
      <c r="A172" s="50" t="inlineStr">
        <is>
          <t>MolsonCoors Beverage Company</t>
        </is>
      </c>
      <c r="B172" s="50" t="inlineStr">
        <is>
          <t>Sol</t>
        </is>
      </c>
      <c r="C172" s="46" t="n">
        <v>322</v>
      </c>
      <c r="D172" s="46" t="n">
        <v>305</v>
      </c>
      <c r="E172" s="48" t="n">
        <v>9484.75</v>
      </c>
      <c r="F172" s="48" t="n">
        <v>8911.050000000001</v>
      </c>
      <c r="G172" s="48" t="n">
        <v>2271.74</v>
      </c>
      <c r="H172" s="48" t="n">
        <v>2085.94</v>
      </c>
    </row>
    <row r="173">
      <c r="A173" s="50" t="inlineStr">
        <is>
          <t>MolsonCoors Beverage Company</t>
        </is>
      </c>
      <c r="B173" s="50" t="inlineStr">
        <is>
          <t>Steel Reserve</t>
        </is>
      </c>
      <c r="C173" s="46" t="n">
        <v>3474</v>
      </c>
      <c r="D173" s="46" t="n">
        <v>2910</v>
      </c>
      <c r="E173" s="48" t="n">
        <v>52649.59999999999</v>
      </c>
      <c r="F173" s="48" t="n">
        <v>44302.84999999999</v>
      </c>
      <c r="G173" s="48" t="n">
        <v>11400.42</v>
      </c>
      <c r="H173" s="48" t="n">
        <v>9688.209999999999</v>
      </c>
    </row>
    <row r="174">
      <c r="A174" s="50" t="inlineStr">
        <is>
          <t>MolsonCoors Beverage Company</t>
        </is>
      </c>
      <c r="B174" s="50" t="inlineStr">
        <is>
          <t>Steel Reserve Alloy Series</t>
        </is>
      </c>
      <c r="C174" s="46" t="n">
        <v>9</v>
      </c>
      <c r="D174" s="46" t="n">
        <v>0</v>
      </c>
      <c r="E174" s="48" t="n">
        <v>186.3</v>
      </c>
      <c r="F174" s="48" t="n">
        <v>0</v>
      </c>
      <c r="G174" s="48" t="n">
        <v>45.27</v>
      </c>
      <c r="H174" s="48" t="n">
        <v>0</v>
      </c>
    </row>
    <row r="175">
      <c r="A175" s="50" t="inlineStr">
        <is>
          <t>MolsonCoors Beverage Company</t>
        </is>
      </c>
      <c r="B175" s="50" t="inlineStr">
        <is>
          <t>Topo Chico</t>
        </is>
      </c>
      <c r="C175" s="46" t="n">
        <v>1036</v>
      </c>
      <c r="D175" s="46" t="n">
        <v>404</v>
      </c>
      <c r="E175" s="48" t="n">
        <v>31651.3</v>
      </c>
      <c r="F175" s="48" t="n">
        <v>12855.2</v>
      </c>
      <c r="G175" s="48" t="n">
        <v>8372.34</v>
      </c>
      <c r="H175" s="48" t="n">
        <v>3583.76</v>
      </c>
    </row>
    <row r="176">
      <c r="A176" s="50" t="inlineStr">
        <is>
          <t>MolsonCoors Beverage Company</t>
        </is>
      </c>
      <c r="B176" s="50" t="inlineStr">
        <is>
          <t>Tyskie Gronie</t>
        </is>
      </c>
      <c r="C176" s="46" t="n">
        <v>6095</v>
      </c>
      <c r="D176" s="46" t="n">
        <v>5979</v>
      </c>
      <c r="E176" s="48" t="n">
        <v>119925.85</v>
      </c>
      <c r="F176" s="48" t="n">
        <v>116474.65</v>
      </c>
      <c r="G176" s="48" t="n">
        <v>23338.22</v>
      </c>
      <c r="H176" s="48" t="n">
        <v>22766.66</v>
      </c>
    </row>
    <row r="177">
      <c r="A177" s="50" t="inlineStr">
        <is>
          <t>MolsonCoors Beverage Company</t>
        </is>
      </c>
      <c r="B177" s="50" t="inlineStr">
        <is>
          <t>Vizzy</t>
        </is>
      </c>
      <c r="C177" s="46" t="n">
        <v>493</v>
      </c>
      <c r="D177" s="46" t="n">
        <v>197</v>
      </c>
      <c r="E177" s="48" t="n">
        <v>15330</v>
      </c>
      <c r="F177" s="48" t="n">
        <v>6176</v>
      </c>
      <c r="G177" s="48" t="n">
        <v>4045.610000000001</v>
      </c>
      <c r="H177" s="48" t="n">
        <v>1667.06</v>
      </c>
    </row>
    <row r="178">
      <c r="A178" s="50" t="inlineStr">
        <is>
          <t>Montauk Brewing Co</t>
        </is>
      </c>
      <c r="B178" s="50" t="inlineStr">
        <is>
          <t>Montauk</t>
        </is>
      </c>
      <c r="C178" s="46" t="n">
        <v>8994</v>
      </c>
      <c r="D178" s="46" t="n">
        <v>8658</v>
      </c>
      <c r="E178" s="48" t="n">
        <v>320701.5999999999</v>
      </c>
      <c r="F178" s="48" t="n">
        <v>314999.23</v>
      </c>
      <c r="G178" s="48" t="n">
        <v>81073.79000000001</v>
      </c>
      <c r="H178" s="48" t="n">
        <v>80057.69</v>
      </c>
    </row>
    <row r="179">
      <c r="A179" s="50" t="inlineStr">
        <is>
          <t>Montauk Brewing Co</t>
        </is>
      </c>
      <c r="B179" s="50" t="inlineStr">
        <is>
          <t>Popsicle Hard</t>
        </is>
      </c>
      <c r="C179" s="46" t="n">
        <v>0</v>
      </c>
      <c r="D179" s="46" t="n">
        <v>444</v>
      </c>
      <c r="E179" s="48" t="n">
        <v>0</v>
      </c>
      <c r="F179" s="48" t="n">
        <v>12951</v>
      </c>
      <c r="G179" s="48" t="n">
        <v>0</v>
      </c>
      <c r="H179" s="48" t="n">
        <v>3001.68</v>
      </c>
    </row>
    <row r="180">
      <c r="A180" s="50" t="inlineStr">
        <is>
          <t>Narragansett</t>
        </is>
      </c>
      <c r="B180" s="50" t="inlineStr">
        <is>
          <t>Del's Shandy</t>
        </is>
      </c>
      <c r="C180" s="46" t="n">
        <v>415</v>
      </c>
      <c r="D180" s="46" t="n">
        <v>414</v>
      </c>
      <c r="E180" s="48" t="n">
        <v>11896.5</v>
      </c>
      <c r="F180" s="48" t="n">
        <v>11796</v>
      </c>
      <c r="G180" s="48" t="n">
        <v>3451.63</v>
      </c>
      <c r="H180" s="48" t="n">
        <v>3433.28</v>
      </c>
    </row>
    <row r="181">
      <c r="A181" s="50" t="inlineStr">
        <is>
          <t>Narragansett</t>
        </is>
      </c>
      <c r="B181" s="50" t="inlineStr">
        <is>
          <t>Narragansett</t>
        </is>
      </c>
      <c r="C181" s="46" t="n">
        <v>2699</v>
      </c>
      <c r="D181" s="46" t="n">
        <v>2624</v>
      </c>
      <c r="E181" s="48" t="n">
        <v>54821</v>
      </c>
      <c r="F181" s="48" t="n">
        <v>54217.75</v>
      </c>
      <c r="G181" s="48" t="n">
        <v>13694.34</v>
      </c>
      <c r="H181" s="48" t="n">
        <v>13717.62</v>
      </c>
    </row>
    <row r="182">
      <c r="A182" s="50" t="inlineStr">
        <is>
          <t>New Belgium Brewing Company</t>
        </is>
      </c>
      <c r="B182" s="50" t="inlineStr">
        <is>
          <t>Kirin Light</t>
        </is>
      </c>
      <c r="C182" s="46" t="n">
        <v>87</v>
      </c>
      <c r="D182" s="46" t="n">
        <v>101</v>
      </c>
      <c r="E182" s="48" t="n">
        <v>2781</v>
      </c>
      <c r="F182" s="48" t="n">
        <v>3307.5</v>
      </c>
      <c r="G182" s="48" t="n">
        <v>677.34</v>
      </c>
      <c r="H182" s="48" t="n">
        <v>865.3199999999999</v>
      </c>
    </row>
    <row r="183">
      <c r="A183" s="50" t="inlineStr">
        <is>
          <t>New Belgium Brewing Company</t>
        </is>
      </c>
      <c r="B183" s="50" t="inlineStr">
        <is>
          <t>Lightstrike</t>
        </is>
      </c>
      <c r="C183" s="46" t="n">
        <v>33</v>
      </c>
      <c r="D183" s="46" t="n">
        <v>8</v>
      </c>
      <c r="E183" s="48" t="n">
        <v>1011</v>
      </c>
      <c r="F183" s="48" t="n">
        <v>246.9</v>
      </c>
      <c r="G183" s="48" t="n">
        <v>286.5</v>
      </c>
      <c r="H183" s="48" t="n">
        <v>69.71000000000001</v>
      </c>
    </row>
    <row r="184">
      <c r="A184" s="50" t="inlineStr">
        <is>
          <t>New Belgium Brewing Company</t>
        </is>
      </c>
      <c r="B184" s="50" t="inlineStr">
        <is>
          <t>New Belgium Brewing Company</t>
        </is>
      </c>
      <c r="C184" s="46" t="n">
        <v>655</v>
      </c>
      <c r="D184" s="46" t="n">
        <v>1294</v>
      </c>
      <c r="E184" s="48" t="n">
        <v>19504.6</v>
      </c>
      <c r="F184" s="48" t="n">
        <v>39368.43</v>
      </c>
      <c r="G184" s="48" t="n">
        <v>5080.36</v>
      </c>
      <c r="H184" s="48" t="n">
        <v>9150.150000000001</v>
      </c>
    </row>
    <row r="185">
      <c r="A185" s="50" t="inlineStr">
        <is>
          <t>New Belgium Brewing Company</t>
        </is>
      </c>
      <c r="B185" s="50" t="inlineStr">
        <is>
          <t>Voodoo Hardcharged</t>
        </is>
      </c>
      <c r="C185" s="46" t="n">
        <v>647</v>
      </c>
      <c r="D185" s="46" t="n">
        <v>290</v>
      </c>
      <c r="E185" s="48" t="n">
        <v>18204.23</v>
      </c>
      <c r="F185" s="48" t="n">
        <v>7989.5</v>
      </c>
      <c r="G185" s="48" t="n">
        <v>3081.3</v>
      </c>
      <c r="H185" s="48" t="n">
        <v>1520</v>
      </c>
    </row>
    <row r="186">
      <c r="A186" s="50" t="inlineStr">
        <is>
          <t>Newburgh Brewing</t>
        </is>
      </c>
      <c r="B186" s="50" t="inlineStr">
        <is>
          <t>Newburgh</t>
        </is>
      </c>
      <c r="C186" s="46" t="n">
        <v>266</v>
      </c>
      <c r="D186" s="46" t="n">
        <v>200</v>
      </c>
      <c r="E186" s="48" t="n">
        <v>11487</v>
      </c>
      <c r="F186" s="48" t="n">
        <v>8624</v>
      </c>
      <c r="G186" s="48" t="n">
        <v>3367.69</v>
      </c>
      <c r="H186" s="48" t="n">
        <v>2524.87</v>
      </c>
    </row>
    <row r="187">
      <c r="A187" s="50" t="inlineStr">
        <is>
          <t>Noca Beverages</t>
        </is>
      </c>
      <c r="B187" s="50" t="inlineStr">
        <is>
          <t>Noca</t>
        </is>
      </c>
      <c r="C187" s="46" t="n">
        <v>0</v>
      </c>
      <c r="D187" s="46" t="n">
        <v>2638</v>
      </c>
      <c r="E187" s="48" t="n">
        <v>0</v>
      </c>
      <c r="F187" s="48" t="n">
        <v>75077.25</v>
      </c>
      <c r="G187" s="48" t="n">
        <v>0</v>
      </c>
      <c r="H187" s="48" t="n">
        <v>17069.15</v>
      </c>
    </row>
    <row r="188">
      <c r="A188" s="50" t="inlineStr">
        <is>
          <t>OVO Vodka LLC</t>
        </is>
      </c>
      <c r="B188" s="50" t="inlineStr">
        <is>
          <t>OVO Vodka</t>
        </is>
      </c>
      <c r="C188" s="46" t="n">
        <v>83</v>
      </c>
      <c r="D188" s="46" t="n">
        <v>26</v>
      </c>
      <c r="E188" s="48" t="n">
        <v>20315.25</v>
      </c>
      <c r="F188" s="48" t="n">
        <v>6542.5</v>
      </c>
      <c r="G188" s="48" t="n">
        <v>4796.61</v>
      </c>
      <c r="H188" s="48" t="n">
        <v>1531.97</v>
      </c>
    </row>
    <row r="189">
      <c r="A189" s="50" t="inlineStr">
        <is>
          <t>Oceano</t>
        </is>
      </c>
      <c r="B189" s="50" t="inlineStr">
        <is>
          <t>Oceano</t>
        </is>
      </c>
      <c r="C189" s="46" t="n">
        <v>0</v>
      </c>
      <c r="D189" s="46" t="n">
        <v>22</v>
      </c>
      <c r="E189" s="48" t="n">
        <v>0</v>
      </c>
      <c r="F189" s="48" t="n">
        <v>1200</v>
      </c>
      <c r="G189" s="48" t="n">
        <v>0</v>
      </c>
      <c r="H189" s="48" t="n">
        <v>998.4</v>
      </c>
    </row>
    <row r="190">
      <c r="A190" s="50" t="inlineStr">
        <is>
          <t>Pabst Brewing Company</t>
        </is>
      </c>
      <c r="B190" s="50" t="inlineStr">
        <is>
          <t>Colt 45</t>
        </is>
      </c>
      <c r="C190" s="46" t="n">
        <v>8652</v>
      </c>
      <c r="D190" s="46" t="n">
        <v>9343</v>
      </c>
      <c r="E190" s="48" t="n">
        <v>120876.3</v>
      </c>
      <c r="F190" s="48" t="n">
        <v>120783.24</v>
      </c>
      <c r="G190" s="48" t="n">
        <v>30098.15000000001</v>
      </c>
      <c r="H190" s="48" t="n">
        <v>23651.88</v>
      </c>
    </row>
    <row r="191">
      <c r="A191" s="50" t="inlineStr">
        <is>
          <t>Pabst Brewing Company</t>
        </is>
      </c>
      <c r="B191" s="50" t="inlineStr">
        <is>
          <t>Country Club</t>
        </is>
      </c>
      <c r="C191" s="46" t="n">
        <v>955</v>
      </c>
      <c r="D191" s="46" t="n">
        <v>-1</v>
      </c>
      <c r="E191" s="48" t="n">
        <v>10085.8</v>
      </c>
      <c r="F191" s="48" t="n">
        <v>-14.5</v>
      </c>
      <c r="G191" s="48" t="n">
        <v>2057.58</v>
      </c>
      <c r="H191" s="48" t="n">
        <v>-3.33</v>
      </c>
    </row>
    <row r="192">
      <c r="A192" s="50" t="inlineStr">
        <is>
          <t>Pabst Brewing Company</t>
        </is>
      </c>
      <c r="B192" s="50" t="inlineStr">
        <is>
          <t>EL Jimador</t>
        </is>
      </c>
      <c r="C192" s="46" t="n">
        <v>328</v>
      </c>
      <c r="D192" s="46" t="n">
        <v>0</v>
      </c>
      <c r="E192" s="48" t="n">
        <v>7994</v>
      </c>
      <c r="F192" s="48" t="n">
        <v>0</v>
      </c>
      <c r="G192" s="48" t="n">
        <v>2308.7</v>
      </c>
      <c r="H192" s="48" t="n">
        <v>0</v>
      </c>
    </row>
    <row r="193">
      <c r="A193" s="50" t="inlineStr">
        <is>
          <t>Pabst Brewing Company</t>
        </is>
      </c>
      <c r="B193" s="50" t="inlineStr">
        <is>
          <t>Jack Daniels Country Cocktails</t>
        </is>
      </c>
      <c r="C193" s="46" t="n">
        <v>4583</v>
      </c>
      <c r="D193" s="46" t="n">
        <v>3683</v>
      </c>
      <c r="E193" s="48" t="n">
        <v>136640.03</v>
      </c>
      <c r="F193" s="48" t="n">
        <v>111266.56</v>
      </c>
      <c r="G193" s="48" t="n">
        <v>31910.2</v>
      </c>
      <c r="H193" s="48" t="n">
        <v>24625.91</v>
      </c>
    </row>
    <row r="194">
      <c r="A194" s="50" t="inlineStr">
        <is>
          <t>Pabst Brewing Company</t>
        </is>
      </c>
      <c r="B194" s="50" t="inlineStr">
        <is>
          <t>Lone Star</t>
        </is>
      </c>
      <c r="C194" s="46" t="n">
        <v>423</v>
      </c>
      <c r="D194" s="46" t="n">
        <v>326</v>
      </c>
      <c r="E194" s="48" t="n">
        <v>7982.85</v>
      </c>
      <c r="F194" s="48" t="n">
        <v>6324.05</v>
      </c>
      <c r="G194" s="48" t="n">
        <v>1798.81</v>
      </c>
      <c r="H194" s="48" t="n">
        <v>1466.8</v>
      </c>
    </row>
    <row r="195">
      <c r="A195" s="50" t="inlineStr">
        <is>
          <t>Pabst Brewing Company</t>
        </is>
      </c>
      <c r="B195" s="50" t="inlineStr">
        <is>
          <t>New Holland Brewing Co</t>
        </is>
      </c>
      <c r="C195" s="46" t="n">
        <v>265</v>
      </c>
      <c r="D195" s="46" t="n">
        <v>230</v>
      </c>
      <c r="E195" s="48" t="n">
        <v>20046</v>
      </c>
      <c r="F195" s="48" t="n">
        <v>17488</v>
      </c>
      <c r="G195" s="48" t="n">
        <v>5936.260000000001</v>
      </c>
      <c r="H195" s="48" t="n">
        <v>4835.209999999999</v>
      </c>
    </row>
    <row r="196">
      <c r="A196" s="50" t="inlineStr">
        <is>
          <t>Pabst Brewing Company</t>
        </is>
      </c>
      <c r="B196" s="50" t="inlineStr">
        <is>
          <t>Old Milwaukee</t>
        </is>
      </c>
      <c r="C196" s="46" t="n">
        <v>4419</v>
      </c>
      <c r="D196" s="46" t="n">
        <v>2060</v>
      </c>
      <c r="E196" s="48" t="n">
        <v>49083.08</v>
      </c>
      <c r="F196" s="48" t="n">
        <v>23105.5</v>
      </c>
      <c r="G196" s="48" t="n">
        <v>10166.41</v>
      </c>
      <c r="H196" s="48" t="n">
        <v>4743.470000000001</v>
      </c>
    </row>
    <row r="197">
      <c r="A197" s="50" t="inlineStr">
        <is>
          <t>Pabst Brewing Company</t>
        </is>
      </c>
      <c r="B197" s="50" t="inlineStr">
        <is>
          <t>Pabst Blue Ribbon</t>
        </is>
      </c>
      <c r="C197" s="46" t="n">
        <v>42496</v>
      </c>
      <c r="D197" s="46" t="n">
        <v>38261</v>
      </c>
      <c r="E197" s="48" t="n">
        <v>647810.5499999998</v>
      </c>
      <c r="F197" s="48" t="n">
        <v>594078.16</v>
      </c>
      <c r="G197" s="48" t="n">
        <v>99108.50999999999</v>
      </c>
      <c r="H197" s="48" t="n">
        <v>103398.67</v>
      </c>
    </row>
    <row r="198">
      <c r="A198" s="50" t="inlineStr">
        <is>
          <t>Pabst Brewing Company</t>
        </is>
      </c>
      <c r="B198" s="50" t="inlineStr">
        <is>
          <t>Pabst Light</t>
        </is>
      </c>
      <c r="C198" s="46" t="n">
        <v>2132</v>
      </c>
      <c r="D198" s="46" t="n">
        <v>2851</v>
      </c>
      <c r="E198" s="48" t="n">
        <v>32232.84</v>
      </c>
      <c r="F198" s="48" t="n">
        <v>44214.38</v>
      </c>
      <c r="G198" s="48" t="n">
        <v>4434.799999999999</v>
      </c>
      <c r="H198" s="48" t="n">
        <v>7018.140000000002</v>
      </c>
    </row>
    <row r="199">
      <c r="A199" s="50" t="inlineStr">
        <is>
          <t>Pabst Brewing Company</t>
        </is>
      </c>
      <c r="B199" s="50" t="inlineStr">
        <is>
          <t>Schaefer</t>
        </is>
      </c>
      <c r="C199" s="46" t="n">
        <v>1206</v>
      </c>
      <c r="D199" s="46" t="n">
        <v>1705</v>
      </c>
      <c r="E199" s="48" t="n">
        <v>16422</v>
      </c>
      <c r="F199" s="48" t="n">
        <v>23237</v>
      </c>
      <c r="G199" s="48" t="n">
        <v>4428.66</v>
      </c>
      <c r="H199" s="48" t="n">
        <v>6081.72</v>
      </c>
    </row>
    <row r="200">
      <c r="A200" s="50" t="inlineStr">
        <is>
          <t>Pabst Brewing Company</t>
        </is>
      </c>
      <c r="B200" s="50" t="inlineStr">
        <is>
          <t>Schlitz Malt</t>
        </is>
      </c>
      <c r="C200" s="46" t="n">
        <v>2817</v>
      </c>
      <c r="D200" s="46" t="n">
        <v>2255</v>
      </c>
      <c r="E200" s="48" t="n">
        <v>30754.76</v>
      </c>
      <c r="F200" s="48" t="n">
        <v>24172.91</v>
      </c>
      <c r="G200" s="48" t="n">
        <v>4447.190000000001</v>
      </c>
      <c r="H200" s="48" t="n">
        <v>4625.530000000002</v>
      </c>
    </row>
    <row r="201">
      <c r="A201" s="50" t="inlineStr">
        <is>
          <t>Pabst Brewing Company</t>
        </is>
      </c>
      <c r="B201" s="50" t="inlineStr">
        <is>
          <t>Small Town</t>
        </is>
      </c>
      <c r="C201" s="46" t="n">
        <v>530</v>
      </c>
      <c r="D201" s="46" t="n">
        <v>449</v>
      </c>
      <c r="E201" s="48" t="n">
        <v>16249</v>
      </c>
      <c r="F201" s="48" t="n">
        <v>13774</v>
      </c>
      <c r="G201" s="48" t="n">
        <v>4095.01</v>
      </c>
      <c r="H201" s="48" t="n">
        <v>3389.71</v>
      </c>
    </row>
    <row r="202">
      <c r="A202" s="50" t="inlineStr">
        <is>
          <t>Pabst Brewing Company</t>
        </is>
      </c>
      <c r="B202" s="50" t="inlineStr">
        <is>
          <t>St Ides</t>
        </is>
      </c>
      <c r="C202" s="46" t="n">
        <v>4299</v>
      </c>
      <c r="D202" s="46" t="n">
        <v>3611</v>
      </c>
      <c r="E202" s="48" t="n">
        <v>58070.93</v>
      </c>
      <c r="F202" s="48" t="n">
        <v>45795.03999999999</v>
      </c>
      <c r="G202" s="48" t="n">
        <v>14690.27</v>
      </c>
      <c r="H202" s="48" t="n">
        <v>9147.800000000001</v>
      </c>
    </row>
    <row r="203">
      <c r="A203" s="50" t="inlineStr">
        <is>
          <t>Pampa Beverages</t>
        </is>
      </c>
      <c r="B203" s="50" t="inlineStr">
        <is>
          <t>Quilmes</t>
        </is>
      </c>
      <c r="C203" s="46" t="n">
        <v>467</v>
      </c>
      <c r="D203" s="46" t="n">
        <v>902</v>
      </c>
      <c r="E203" s="48" t="n">
        <v>14764.5</v>
      </c>
      <c r="F203" s="48" t="n">
        <v>26768.1</v>
      </c>
      <c r="G203" s="48" t="n">
        <v>3897.410000000001</v>
      </c>
      <c r="H203" s="48" t="n">
        <v>3949.06</v>
      </c>
    </row>
    <row r="204">
      <c r="A204" s="50" t="inlineStr">
        <is>
          <t>Paradisse Spirits LLC</t>
        </is>
      </c>
      <c r="B204" s="50" t="inlineStr">
        <is>
          <t>Paradisse</t>
        </is>
      </c>
      <c r="C204" s="46" t="n">
        <v>0</v>
      </c>
      <c r="D204" s="46" t="n">
        <v>0</v>
      </c>
      <c r="E204" s="48" t="n">
        <v>0</v>
      </c>
      <c r="F204" s="48" t="n">
        <v>312</v>
      </c>
      <c r="G204" s="48" t="n">
        <v>0</v>
      </c>
      <c r="H204" s="48" t="n">
        <v>94.92</v>
      </c>
    </row>
    <row r="205">
      <c r="A205" s="50" t="inlineStr">
        <is>
          <t>Park Street Imports</t>
        </is>
      </c>
      <c r="B205" s="50" t="inlineStr">
        <is>
          <t>Plaid Duck</t>
        </is>
      </c>
      <c r="C205" s="46" t="n">
        <v>56</v>
      </c>
      <c r="D205" s="46" t="n">
        <v>79</v>
      </c>
      <c r="E205" s="48" t="n">
        <v>3476</v>
      </c>
      <c r="F205" s="48" t="n">
        <v>4924</v>
      </c>
      <c r="G205" s="48" t="n">
        <v>1572</v>
      </c>
      <c r="H205" s="48" t="n">
        <v>2238</v>
      </c>
    </row>
    <row r="206">
      <c r="A206" s="50" t="inlineStr">
        <is>
          <t>Passion Tree Co</t>
        </is>
      </c>
      <c r="B206" s="50" t="inlineStr">
        <is>
          <t>Pop Sips</t>
        </is>
      </c>
      <c r="C206" s="46" t="n">
        <v>0</v>
      </c>
      <c r="D206" s="46" t="n">
        <v>59</v>
      </c>
      <c r="E206" s="48" t="n">
        <v>0</v>
      </c>
      <c r="F206" s="48" t="n">
        <v>3540</v>
      </c>
      <c r="G206" s="48" t="n">
        <v>0</v>
      </c>
      <c r="H206" s="48" t="n">
        <v>822.1500000000002</v>
      </c>
    </row>
    <row r="207">
      <c r="A207" s="50" t="inlineStr">
        <is>
          <t>Paulaner</t>
        </is>
      </c>
      <c r="B207" s="50" t="inlineStr">
        <is>
          <t>Fuller's</t>
        </is>
      </c>
      <c r="C207" s="46" t="n">
        <v>43</v>
      </c>
      <c r="D207" s="46" t="n">
        <v>0</v>
      </c>
      <c r="E207" s="48" t="n">
        <v>1964</v>
      </c>
      <c r="F207" s="48" t="n">
        <v>0</v>
      </c>
      <c r="G207" s="48" t="n">
        <v>555.91</v>
      </c>
      <c r="H207" s="48" t="n">
        <v>0</v>
      </c>
    </row>
    <row r="208">
      <c r="A208" s="50" t="inlineStr">
        <is>
          <t>Paulaner</t>
        </is>
      </c>
      <c r="B208" s="50" t="inlineStr">
        <is>
          <t>Hacker-Pschorr</t>
        </is>
      </c>
      <c r="C208" s="46" t="n">
        <v>961</v>
      </c>
      <c r="D208" s="46" t="n">
        <v>1020</v>
      </c>
      <c r="E208" s="48" t="n">
        <v>34395.25</v>
      </c>
      <c r="F208" s="48" t="n">
        <v>37627.89999999999</v>
      </c>
      <c r="G208" s="48" t="n">
        <v>11045.7</v>
      </c>
      <c r="H208" s="48" t="n">
        <v>11850.89</v>
      </c>
    </row>
    <row r="209">
      <c r="A209" s="50" t="inlineStr">
        <is>
          <t>Paulaner</t>
        </is>
      </c>
      <c r="B209" s="50" t="inlineStr">
        <is>
          <t>Paulaner</t>
        </is>
      </c>
      <c r="C209" s="46" t="n">
        <v>3140</v>
      </c>
      <c r="D209" s="46" t="n">
        <v>2723</v>
      </c>
      <c r="E209" s="48" t="n">
        <v>107259</v>
      </c>
      <c r="F209" s="48" t="n">
        <v>96989.53</v>
      </c>
      <c r="G209" s="48" t="n">
        <v>32078.9</v>
      </c>
      <c r="H209" s="48" t="n">
        <v>30196.57000000001</v>
      </c>
    </row>
    <row r="210">
      <c r="A210" s="50" t="inlineStr">
        <is>
          <t>Paulaner</t>
        </is>
      </c>
      <c r="B210" s="50" t="inlineStr">
        <is>
          <t>Tsingtao</t>
        </is>
      </c>
      <c r="C210" s="46" t="n">
        <v>724</v>
      </c>
      <c r="D210" s="46" t="n">
        <v>861</v>
      </c>
      <c r="E210" s="48" t="n">
        <v>24153.5</v>
      </c>
      <c r="F210" s="48" t="n">
        <v>29461.5</v>
      </c>
      <c r="G210" s="48" t="n">
        <v>4862.040000000001</v>
      </c>
      <c r="H210" s="48" t="n">
        <v>6148.699999999999</v>
      </c>
    </row>
    <row r="211">
      <c r="A211" s="50" t="inlineStr">
        <is>
          <t>Phusion Projects</t>
        </is>
      </c>
      <c r="B211" s="50" t="inlineStr">
        <is>
          <t>Earthquake</t>
        </is>
      </c>
      <c r="C211" s="46" t="n">
        <v>485</v>
      </c>
      <c r="D211" s="46" t="n">
        <v>372</v>
      </c>
      <c r="E211" s="48" t="n">
        <v>6736</v>
      </c>
      <c r="F211" s="48" t="n">
        <v>5859</v>
      </c>
      <c r="G211" s="48" t="n">
        <v>1471.56</v>
      </c>
      <c r="H211" s="48" t="n">
        <v>1448.11</v>
      </c>
    </row>
    <row r="212">
      <c r="A212" s="50" t="inlineStr">
        <is>
          <t>Phusion Projects</t>
        </is>
      </c>
      <c r="B212" s="50" t="inlineStr">
        <is>
          <t>Four Loko</t>
        </is>
      </c>
      <c r="C212" s="46" t="n">
        <v>4748</v>
      </c>
      <c r="D212" s="46" t="n">
        <v>3390</v>
      </c>
      <c r="E212" s="48" t="n">
        <v>112742</v>
      </c>
      <c r="F212" s="48" t="n">
        <v>94350</v>
      </c>
      <c r="G212" s="48" t="n">
        <v>18428.32</v>
      </c>
      <c r="H212" s="48" t="n">
        <v>26247.7</v>
      </c>
    </row>
    <row r="213">
      <c r="A213" s="50" t="inlineStr">
        <is>
          <t>Phusion Projects</t>
        </is>
      </c>
      <c r="B213" s="50" t="inlineStr">
        <is>
          <t>Mamita's</t>
        </is>
      </c>
      <c r="C213" s="46" t="n">
        <v>602</v>
      </c>
      <c r="D213" s="46" t="n">
        <v>206</v>
      </c>
      <c r="E213" s="48" t="n">
        <v>24263</v>
      </c>
      <c r="F213" s="48" t="n">
        <v>7358</v>
      </c>
      <c r="G213" s="48" t="n">
        <v>9559.57</v>
      </c>
      <c r="H213" s="48" t="n">
        <v>2322.28</v>
      </c>
    </row>
    <row r="214">
      <c r="A214" s="50" t="inlineStr">
        <is>
          <t>Pio Imports</t>
        </is>
      </c>
      <c r="B214" s="50" t="inlineStr">
        <is>
          <t>Bloom Bubbles</t>
        </is>
      </c>
      <c r="C214" s="46" t="n">
        <v>0</v>
      </c>
      <c r="D214" s="46" t="n">
        <v>43</v>
      </c>
      <c r="E214" s="48" t="n">
        <v>0</v>
      </c>
      <c r="F214" s="48" t="n">
        <v>4371</v>
      </c>
      <c r="G214" s="48" t="n">
        <v>0</v>
      </c>
      <c r="H214" s="48" t="n">
        <v>758.2099999999999</v>
      </c>
    </row>
    <row r="215">
      <c r="A215" s="50" t="inlineStr">
        <is>
          <t>Point Brewing</t>
        </is>
      </c>
      <c r="B215" s="50" t="inlineStr">
        <is>
          <t>Whole Hog</t>
        </is>
      </c>
      <c r="C215" s="46" t="n">
        <v>1363</v>
      </c>
      <c r="D215" s="46" t="n">
        <v>1241</v>
      </c>
      <c r="E215" s="48" t="n">
        <v>46247</v>
      </c>
      <c r="F215" s="48" t="n">
        <v>42154.03</v>
      </c>
      <c r="G215" s="48" t="n">
        <v>9975.420000000002</v>
      </c>
      <c r="H215" s="48" t="n">
        <v>9195.299999999999</v>
      </c>
    </row>
    <row r="216">
      <c r="A216" s="50" t="inlineStr">
        <is>
          <t>Power Distribution LLC</t>
        </is>
      </c>
      <c r="B216" s="50" t="inlineStr">
        <is>
          <t>Belize Breeze</t>
        </is>
      </c>
      <c r="C216" s="46" t="n">
        <v>0</v>
      </c>
      <c r="D216" s="46" t="n">
        <v>0</v>
      </c>
      <c r="E216" s="48" t="n">
        <v>0</v>
      </c>
      <c r="F216" s="48" t="n">
        <v>-41</v>
      </c>
      <c r="G216" s="48" t="n">
        <v>0</v>
      </c>
      <c r="H216" s="48" t="n">
        <v>-41</v>
      </c>
    </row>
    <row r="217">
      <c r="A217" s="50" t="inlineStr">
        <is>
          <t>Prestige</t>
        </is>
      </c>
      <c r="B217" s="50" t="inlineStr">
        <is>
          <t>Fix Hellas</t>
        </is>
      </c>
      <c r="C217" s="46" t="n">
        <v>22</v>
      </c>
      <c r="D217" s="46" t="n">
        <v>7</v>
      </c>
      <c r="E217" s="48" t="n">
        <v>887.5</v>
      </c>
      <c r="F217" s="48" t="n">
        <v>330</v>
      </c>
      <c r="G217" s="48" t="n">
        <v>276.95</v>
      </c>
      <c r="H217" s="48" t="n">
        <v>135.74</v>
      </c>
    </row>
    <row r="218">
      <c r="A218" s="50" t="inlineStr">
        <is>
          <t>Prestige</t>
        </is>
      </c>
      <c r="B218" s="50" t="inlineStr">
        <is>
          <t>Greek Spirits</t>
        </is>
      </c>
      <c r="C218" s="46" t="n">
        <v>3</v>
      </c>
      <c r="D218" s="46" t="n">
        <v>3</v>
      </c>
      <c r="E218" s="48" t="n">
        <v>450</v>
      </c>
      <c r="F218" s="48" t="n">
        <v>642</v>
      </c>
      <c r="G218" s="48" t="n">
        <v>46.27</v>
      </c>
      <c r="H218" s="48" t="n">
        <v>203.77</v>
      </c>
    </row>
    <row r="219">
      <c r="A219" s="50" t="inlineStr">
        <is>
          <t>Prestige</t>
        </is>
      </c>
      <c r="B219" s="50" t="inlineStr">
        <is>
          <t>Greek Wines</t>
        </is>
      </c>
      <c r="C219" s="46" t="n">
        <v>33</v>
      </c>
      <c r="D219" s="46" t="n">
        <v>50</v>
      </c>
      <c r="E219" s="48" t="n">
        <v>4695</v>
      </c>
      <c r="F219" s="48" t="n">
        <v>9517</v>
      </c>
      <c r="G219" s="48" t="n">
        <v>850.4299999999999</v>
      </c>
      <c r="H219" s="48" t="n">
        <v>2658.73</v>
      </c>
    </row>
    <row r="220">
      <c r="A220" s="50" t="inlineStr">
        <is>
          <t>Prestige</t>
        </is>
      </c>
      <c r="B220" s="50" t="inlineStr">
        <is>
          <t>Mythos</t>
        </is>
      </c>
      <c r="C220" s="46" t="n">
        <v>520</v>
      </c>
      <c r="D220" s="46" t="n">
        <v>618</v>
      </c>
      <c r="E220" s="48" t="n">
        <v>22168</v>
      </c>
      <c r="F220" s="48" t="n">
        <v>31145.5</v>
      </c>
      <c r="G220" s="48" t="n">
        <v>6603.76</v>
      </c>
      <c r="H220" s="48" t="n">
        <v>9463.549999999999</v>
      </c>
    </row>
    <row r="221">
      <c r="A221" s="50" t="inlineStr">
        <is>
          <t>Prestige Beverage Group</t>
        </is>
      </c>
      <c r="B221" s="50" t="inlineStr">
        <is>
          <t>2XO</t>
        </is>
      </c>
      <c r="C221" s="46" t="n">
        <v>0</v>
      </c>
      <c r="D221" s="46" t="n">
        <v>17</v>
      </c>
      <c r="E221" s="48" t="n">
        <v>0</v>
      </c>
      <c r="F221" s="48" t="n">
        <v>7920</v>
      </c>
      <c r="G221" s="48" t="n">
        <v>0</v>
      </c>
      <c r="H221" s="48" t="n">
        <v>1437.14</v>
      </c>
    </row>
    <row r="222">
      <c r="A222" s="50" t="inlineStr">
        <is>
          <t>Prestige Beverage Group</t>
        </is>
      </c>
      <c r="B222" s="50" t="inlineStr">
        <is>
          <t>Gionelli</t>
        </is>
      </c>
      <c r="C222" s="46" t="n">
        <v>0</v>
      </c>
      <c r="D222" s="46" t="n">
        <v>1</v>
      </c>
      <c r="E222" s="48" t="n">
        <v>0</v>
      </c>
      <c r="F222" s="48" t="n">
        <v>48</v>
      </c>
      <c r="G222" s="48" t="n">
        <v>0</v>
      </c>
      <c r="H222" s="48" t="n">
        <v>4.42</v>
      </c>
    </row>
    <row r="223">
      <c r="A223" s="50" t="inlineStr">
        <is>
          <t>Prestige Beverage Group</t>
        </is>
      </c>
      <c r="B223" s="50" t="inlineStr">
        <is>
          <t>Le Grand Noir</t>
        </is>
      </c>
      <c r="C223" s="46" t="n">
        <v>0</v>
      </c>
      <c r="D223" s="46" t="n">
        <v>53</v>
      </c>
      <c r="E223" s="48" t="n">
        <v>0</v>
      </c>
      <c r="F223" s="48" t="n">
        <v>4904</v>
      </c>
      <c r="G223" s="48" t="n">
        <v>0</v>
      </c>
      <c r="H223" s="48" t="n">
        <v>765.8600000000001</v>
      </c>
    </row>
    <row r="224">
      <c r="A224" s="50" t="inlineStr">
        <is>
          <t>Prestige Beverage Group</t>
        </is>
      </c>
      <c r="B224" s="50" t="inlineStr">
        <is>
          <t>Overstone</t>
        </is>
      </c>
      <c r="C224" s="46" t="n">
        <v>0</v>
      </c>
      <c r="D224" s="46" t="n">
        <v>2</v>
      </c>
      <c r="E224" s="48" t="n">
        <v>0</v>
      </c>
      <c r="F224" s="48" t="n">
        <v>208</v>
      </c>
      <c r="G224" s="48" t="n">
        <v>0</v>
      </c>
      <c r="H224" s="48" t="n">
        <v>39.84</v>
      </c>
    </row>
    <row r="225">
      <c r="A225" s="50" t="inlineStr">
        <is>
          <t>Pride &amp; Clarke</t>
        </is>
      </c>
      <c r="B225" s="50" t="inlineStr">
        <is>
          <t>Pride &amp; Clarke</t>
        </is>
      </c>
      <c r="C225" s="46" t="n">
        <v>2960</v>
      </c>
      <c r="D225" s="46" t="n">
        <v>2122</v>
      </c>
      <c r="E225" s="48" t="n">
        <v>193209.9</v>
      </c>
      <c r="F225" s="48" t="n">
        <v>138152.6</v>
      </c>
      <c r="G225" s="48" t="n">
        <v>15173.96</v>
      </c>
      <c r="H225" s="48" t="n">
        <v>14809.89</v>
      </c>
    </row>
    <row r="226">
      <c r="A226" s="50" t="inlineStr">
        <is>
          <t>Primos Imports LLC</t>
        </is>
      </c>
      <c r="B226" s="50" t="inlineStr">
        <is>
          <t>Charro</t>
        </is>
      </c>
      <c r="C226" s="46" t="n">
        <v>0</v>
      </c>
      <c r="D226" s="46" t="n">
        <v>1</v>
      </c>
      <c r="E226" s="48" t="n">
        <v>0</v>
      </c>
      <c r="F226" s="48" t="n">
        <v>53.35</v>
      </c>
      <c r="G226" s="48" t="n">
        <v>0</v>
      </c>
      <c r="H226" s="48" t="n">
        <v>14.71</v>
      </c>
    </row>
    <row r="227">
      <c r="A227" s="50" t="inlineStr">
        <is>
          <t>Primos Imports LLC</t>
        </is>
      </c>
      <c r="B227" s="50" t="inlineStr">
        <is>
          <t>Monte Xanic</t>
        </is>
      </c>
      <c r="C227" s="46" t="n">
        <v>2</v>
      </c>
      <c r="D227" s="46" t="n">
        <v>5</v>
      </c>
      <c r="E227" s="48" t="n">
        <v>534</v>
      </c>
      <c r="F227" s="48" t="n">
        <v>1025</v>
      </c>
      <c r="G227" s="48" t="n">
        <v>130.93</v>
      </c>
      <c r="H227" s="48" t="n">
        <v>10.24</v>
      </c>
    </row>
    <row r="228">
      <c r="A228" s="50" t="inlineStr">
        <is>
          <t>Primos Imports LLC</t>
        </is>
      </c>
      <c r="B228" s="50" t="inlineStr">
        <is>
          <t>Rompe Corazon</t>
        </is>
      </c>
      <c r="C228" s="46" t="n">
        <v>0</v>
      </c>
      <c r="D228" s="46" t="n">
        <v>1</v>
      </c>
      <c r="E228" s="48" t="n">
        <v>0</v>
      </c>
      <c r="F228" s="48" t="n">
        <v>114</v>
      </c>
      <c r="G228" s="48" t="n">
        <v>0</v>
      </c>
      <c r="H228" s="48" t="n">
        <v>21.77</v>
      </c>
    </row>
    <row r="229">
      <c r="A229" s="50" t="inlineStr">
        <is>
          <t>Radeberger USA</t>
        </is>
      </c>
      <c r="B229" s="50" t="inlineStr">
        <is>
          <t>Clausthaler</t>
        </is>
      </c>
      <c r="C229" s="46" t="n">
        <v>694</v>
      </c>
      <c r="D229" s="46" t="n">
        <v>687</v>
      </c>
      <c r="E229" s="48" t="n">
        <v>24117</v>
      </c>
      <c r="F229" s="48" t="n">
        <v>23714</v>
      </c>
      <c r="G229" s="48" t="n">
        <v>8202.98</v>
      </c>
      <c r="H229" s="48" t="n">
        <v>7298.34</v>
      </c>
    </row>
    <row r="230">
      <c r="A230" s="50" t="inlineStr">
        <is>
          <t>Radeberger USA</t>
        </is>
      </c>
      <c r="B230" s="50" t="inlineStr">
        <is>
          <t>Dab</t>
        </is>
      </c>
      <c r="C230" s="46" t="n">
        <v>4955</v>
      </c>
      <c r="D230" s="46" t="n">
        <v>4707</v>
      </c>
      <c r="E230" s="48" t="n">
        <v>98710.65000000002</v>
      </c>
      <c r="F230" s="48" t="n">
        <v>98631.40000000001</v>
      </c>
      <c r="G230" s="48" t="n">
        <v>24940.24</v>
      </c>
      <c r="H230" s="48" t="n">
        <v>24442.82</v>
      </c>
    </row>
    <row r="231">
      <c r="A231" s="50" t="inlineStr">
        <is>
          <t>Radeberger USA</t>
        </is>
      </c>
      <c r="B231" s="50" t="inlineStr">
        <is>
          <t>Radeberger</t>
        </is>
      </c>
      <c r="C231" s="46" t="n">
        <v>1599</v>
      </c>
      <c r="D231" s="46" t="n">
        <v>1945</v>
      </c>
      <c r="E231" s="48" t="n">
        <v>41482</v>
      </c>
      <c r="F231" s="48" t="n">
        <v>52849.7</v>
      </c>
      <c r="G231" s="48" t="n">
        <v>12903.4</v>
      </c>
      <c r="H231" s="48" t="n">
        <v>15204.25</v>
      </c>
    </row>
    <row r="232">
      <c r="A232" s="50" t="inlineStr">
        <is>
          <t>Radeberger USA</t>
        </is>
      </c>
      <c r="B232" s="50" t="inlineStr">
        <is>
          <t>Schofferhofer</t>
        </is>
      </c>
      <c r="C232" s="46" t="n">
        <v>3766</v>
      </c>
      <c r="D232" s="46" t="n">
        <v>3712</v>
      </c>
      <c r="E232" s="48" t="n">
        <v>125875</v>
      </c>
      <c r="F232" s="48" t="n">
        <v>125700.4</v>
      </c>
      <c r="G232" s="48" t="n">
        <v>39327.16</v>
      </c>
      <c r="H232" s="48" t="n">
        <v>36229.59</v>
      </c>
    </row>
    <row r="233">
      <c r="A233" s="50" t="inlineStr">
        <is>
          <t>Radix Labs</t>
        </is>
      </c>
      <c r="B233" s="50" t="inlineStr">
        <is>
          <t>Find Wunder</t>
        </is>
      </c>
      <c r="C233" s="46" t="n">
        <v>182</v>
      </c>
      <c r="D233" s="46" t="n">
        <v>0</v>
      </c>
      <c r="E233" s="48" t="n">
        <v>16244.45</v>
      </c>
      <c r="F233" s="48" t="n">
        <v>0</v>
      </c>
      <c r="G233" s="48" t="n">
        <v>4421.21</v>
      </c>
      <c r="H233" s="48" t="n">
        <v>0</v>
      </c>
    </row>
    <row r="234">
      <c r="A234" s="50" t="inlineStr">
        <is>
          <t>Red Bull</t>
        </is>
      </c>
      <c r="B234" s="50" t="inlineStr">
        <is>
          <t>Red Bull</t>
        </is>
      </c>
      <c r="C234" s="46" t="n">
        <v>1874</v>
      </c>
      <c r="D234" s="46" t="n">
        <v>1569</v>
      </c>
      <c r="E234" s="48" t="n">
        <v>101356.83</v>
      </c>
      <c r="F234" s="48" t="n">
        <v>88976.5</v>
      </c>
      <c r="G234" s="48" t="n">
        <v>13608.35</v>
      </c>
      <c r="H234" s="48" t="n">
        <v>15447.74</v>
      </c>
    </row>
    <row r="235">
      <c r="A235" s="50" t="inlineStr">
        <is>
          <t>River Horse Brewing Co</t>
        </is>
      </c>
      <c r="B235" s="50" t="inlineStr">
        <is>
          <t>River Horse Brewing Co</t>
        </is>
      </c>
      <c r="C235" s="46" t="n">
        <v>570</v>
      </c>
      <c r="D235" s="46" t="n">
        <v>0</v>
      </c>
      <c r="E235" s="48" t="n">
        <v>26115.73</v>
      </c>
      <c r="F235" s="48" t="n">
        <v>0</v>
      </c>
      <c r="G235" s="48" t="n">
        <v>7914.79</v>
      </c>
      <c r="H235" s="48" t="n">
        <v>0</v>
      </c>
    </row>
    <row r="236">
      <c r="A236" s="50" t="inlineStr">
        <is>
          <t>Riviera Imports</t>
        </is>
      </c>
      <c r="B236" s="50" t="inlineStr">
        <is>
          <t>Ecaana</t>
        </is>
      </c>
      <c r="C236" s="46" t="n">
        <v>0</v>
      </c>
      <c r="D236" s="46" t="n">
        <v>8</v>
      </c>
      <c r="E236" s="48" t="n">
        <v>0</v>
      </c>
      <c r="F236" s="48" t="n">
        <v>454</v>
      </c>
      <c r="G236" s="48" t="n">
        <v>0</v>
      </c>
      <c r="H236" s="48" t="n">
        <v>99.02000000000001</v>
      </c>
    </row>
    <row r="237">
      <c r="A237" s="50" t="inlineStr">
        <is>
          <t>SAZERAC INC</t>
        </is>
      </c>
      <c r="B237" s="50" t="inlineStr">
        <is>
          <t>Fresca Hard Sparkling</t>
        </is>
      </c>
      <c r="C237" s="46" t="n">
        <v>0</v>
      </c>
      <c r="D237" s="46" t="n">
        <v>54</v>
      </c>
      <c r="E237" s="48" t="n">
        <v>0</v>
      </c>
      <c r="F237" s="48" t="n">
        <v>1373.4</v>
      </c>
      <c r="G237" s="48" t="n">
        <v>0</v>
      </c>
      <c r="H237" s="48" t="n">
        <v>316.08</v>
      </c>
    </row>
    <row r="238">
      <c r="A238" s="50" t="inlineStr">
        <is>
          <t>SAZERAC INC</t>
        </is>
      </c>
      <c r="B238" s="50" t="inlineStr">
        <is>
          <t>Fresca Mixed</t>
        </is>
      </c>
      <c r="C238" s="46" t="n">
        <v>249</v>
      </c>
      <c r="D238" s="46" t="n">
        <v>175</v>
      </c>
      <c r="E238" s="48" t="n">
        <v>11523</v>
      </c>
      <c r="F238" s="48" t="n">
        <v>8098</v>
      </c>
      <c r="G238" s="48" t="n">
        <v>5043.810000000001</v>
      </c>
      <c r="H238" s="48" t="n">
        <v>3544.5</v>
      </c>
    </row>
    <row r="239">
      <c r="A239" s="50" t="inlineStr">
        <is>
          <t>SN Food &amp; Beverage LLC</t>
        </is>
      </c>
      <c r="B239" s="50" t="inlineStr">
        <is>
          <t>Carbliss</t>
        </is>
      </c>
      <c r="C239" s="46" t="n">
        <v>0</v>
      </c>
      <c r="D239" s="46" t="n">
        <v>3045</v>
      </c>
      <c r="E239" s="48" t="n">
        <v>0</v>
      </c>
      <c r="F239" s="48" t="n">
        <v>159822.5</v>
      </c>
      <c r="G239" s="48" t="n">
        <v>0</v>
      </c>
      <c r="H239" s="48" t="n">
        <v>62382.5</v>
      </c>
    </row>
    <row r="240">
      <c r="A240" s="50" t="inlineStr">
        <is>
          <t>SPYRT Worldwide</t>
        </is>
      </c>
      <c r="B240" s="50" t="inlineStr">
        <is>
          <t>Hetman Vodka</t>
        </is>
      </c>
      <c r="C240" s="46" t="n">
        <v>0</v>
      </c>
      <c r="D240" s="46" t="n">
        <v>0</v>
      </c>
      <c r="E240" s="48" t="n">
        <v>0</v>
      </c>
      <c r="F240" s="48" t="n">
        <v>350</v>
      </c>
      <c r="G240" s="48" t="n">
        <v>0</v>
      </c>
      <c r="H240" s="48" t="n">
        <v>123.32</v>
      </c>
    </row>
    <row r="241">
      <c r="A241" s="50" t="inlineStr">
        <is>
          <t>SPYRT Worldwide</t>
        </is>
      </c>
      <c r="B241" s="50" t="inlineStr">
        <is>
          <t>Shabo Wine</t>
        </is>
      </c>
      <c r="C241" s="46" t="n">
        <v>0</v>
      </c>
      <c r="D241" s="46" t="n">
        <v>4</v>
      </c>
      <c r="E241" s="48" t="n">
        <v>0</v>
      </c>
      <c r="F241" s="48" t="n">
        <v>640</v>
      </c>
      <c r="G241" s="48" t="n">
        <v>0</v>
      </c>
      <c r="H241" s="48" t="n">
        <v>132.52</v>
      </c>
    </row>
    <row r="242">
      <c r="A242" s="50" t="inlineStr">
        <is>
          <t>SPYRT Worldwide</t>
        </is>
      </c>
      <c r="B242" s="50" t="inlineStr">
        <is>
          <t>Ukrainian Spirit</t>
        </is>
      </c>
      <c r="C242" s="46" t="n">
        <v>0</v>
      </c>
      <c r="D242" s="46" t="n">
        <v>2</v>
      </c>
      <c r="E242" s="48" t="n">
        <v>0</v>
      </c>
      <c r="F242" s="48" t="n">
        <v>525</v>
      </c>
      <c r="G242" s="48" t="n">
        <v>0</v>
      </c>
      <c r="H242" s="48" t="n">
        <v>149.62</v>
      </c>
    </row>
    <row r="243">
      <c r="A243" s="50" t="inlineStr">
        <is>
          <t>Saratoga</t>
        </is>
      </c>
      <c r="B243" s="50" t="inlineStr">
        <is>
          <t>Saratoga</t>
        </is>
      </c>
      <c r="C243" s="46" t="n">
        <v>1809</v>
      </c>
      <c r="D243" s="46" t="n">
        <v>2521</v>
      </c>
      <c r="E243" s="48" t="n">
        <v>31947</v>
      </c>
      <c r="F243" s="48" t="n">
        <v>48337.5</v>
      </c>
      <c r="G243" s="48" t="n">
        <v>3605.639999999999</v>
      </c>
      <c r="H243" s="48" t="n">
        <v>5794.74</v>
      </c>
    </row>
    <row r="244">
      <c r="A244" s="50" t="inlineStr">
        <is>
          <t>Savorian INC</t>
        </is>
      </c>
      <c r="B244" s="50" t="inlineStr">
        <is>
          <t>Castellani Etichetta Gialla</t>
        </is>
      </c>
      <c r="C244" s="46" t="n">
        <v>0</v>
      </c>
      <c r="D244" s="46" t="n">
        <v>12</v>
      </c>
      <c r="E244" s="48" t="n">
        <v>0</v>
      </c>
      <c r="F244" s="48" t="n">
        <v>960</v>
      </c>
      <c r="G244" s="48" t="n">
        <v>0</v>
      </c>
      <c r="H244" s="48" t="n">
        <v>235.0600000000001</v>
      </c>
    </row>
    <row r="245">
      <c r="A245" s="50" t="inlineStr">
        <is>
          <t>Savorian INC</t>
        </is>
      </c>
      <c r="B245" s="50" t="inlineStr">
        <is>
          <t>Les Domaniales Rose D' Anjou Loire</t>
        </is>
      </c>
      <c r="C245" s="46" t="n">
        <v>0</v>
      </c>
      <c r="D245" s="46" t="n">
        <v>2</v>
      </c>
      <c r="E245" s="48" t="n">
        <v>0</v>
      </c>
      <c r="F245" s="48" t="n">
        <v>170</v>
      </c>
      <c r="G245" s="48" t="n">
        <v>0</v>
      </c>
      <c r="H245" s="48" t="n">
        <v>45.84</v>
      </c>
    </row>
    <row r="246">
      <c r="A246" s="50" t="inlineStr">
        <is>
          <t>Savorian INC</t>
        </is>
      </c>
      <c r="B246" s="50" t="inlineStr">
        <is>
          <t>Stoney River</t>
        </is>
      </c>
      <c r="C246" s="46" t="n">
        <v>0</v>
      </c>
      <c r="D246" s="46" t="n">
        <v>3</v>
      </c>
      <c r="E246" s="48" t="n">
        <v>0</v>
      </c>
      <c r="F246" s="48" t="n">
        <v>300</v>
      </c>
      <c r="G246" s="48" t="n">
        <v>0</v>
      </c>
      <c r="H246" s="48" t="n">
        <v>65.76000000000001</v>
      </c>
    </row>
    <row r="247">
      <c r="A247" s="50" t="inlineStr">
        <is>
          <t>Sierra Nevada Brewing Company</t>
        </is>
      </c>
      <c r="B247" s="50" t="inlineStr">
        <is>
          <t>Sierra Nevada</t>
        </is>
      </c>
      <c r="C247" s="46" t="n">
        <v>12122</v>
      </c>
      <c r="D247" s="46" t="n">
        <v>13105</v>
      </c>
      <c r="E247" s="48" t="n">
        <v>425122.55</v>
      </c>
      <c r="F247" s="48" t="n">
        <v>458124.78</v>
      </c>
      <c r="G247" s="48" t="n">
        <v>115810.15</v>
      </c>
      <c r="H247" s="48" t="n">
        <v>125160.53</v>
      </c>
    </row>
    <row r="248">
      <c r="A248" s="50" t="inlineStr">
        <is>
          <t>Sixpoint Brewing</t>
        </is>
      </c>
      <c r="B248" s="50" t="inlineStr">
        <is>
          <t>Sixpoint</t>
        </is>
      </c>
      <c r="C248" s="46" t="n">
        <v>5327</v>
      </c>
      <c r="D248" s="46" t="n">
        <v>4968</v>
      </c>
      <c r="E248" s="48" t="n">
        <v>163953.48</v>
      </c>
      <c r="F248" s="48" t="n">
        <v>154203.64</v>
      </c>
      <c r="G248" s="48" t="n">
        <v>41423.56999999999</v>
      </c>
      <c r="H248" s="48" t="n">
        <v>38364.64</v>
      </c>
    </row>
    <row r="249">
      <c r="A249" s="50" t="inlineStr">
        <is>
          <t>Source Brewing</t>
        </is>
      </c>
      <c r="B249" s="50" t="inlineStr">
        <is>
          <t>Source Brewing</t>
        </is>
      </c>
      <c r="C249" s="46" t="n">
        <v>0</v>
      </c>
      <c r="D249" s="46" t="n">
        <v>486</v>
      </c>
      <c r="E249" s="48" t="n">
        <v>0</v>
      </c>
      <c r="F249" s="48" t="n">
        <v>26420.5</v>
      </c>
      <c r="G249" s="48" t="n">
        <v>0</v>
      </c>
      <c r="H249" s="48" t="n">
        <v>7677.599999999999</v>
      </c>
    </row>
    <row r="250">
      <c r="A250" s="50" t="inlineStr">
        <is>
          <t>Southern Tier Brewing Company</t>
        </is>
      </c>
      <c r="B250" s="50" t="inlineStr">
        <is>
          <t>Southern Tier</t>
        </is>
      </c>
      <c r="C250" s="46" t="n">
        <v>1988</v>
      </c>
      <c r="D250" s="46" t="n">
        <v>1870</v>
      </c>
      <c r="E250" s="48" t="n">
        <v>91911.09999999999</v>
      </c>
      <c r="F250" s="48" t="n">
        <v>87768.60000000001</v>
      </c>
      <c r="G250" s="48" t="n">
        <v>22461.97</v>
      </c>
      <c r="H250" s="48" t="n">
        <v>22281.95</v>
      </c>
    </row>
    <row r="251">
      <c r="A251" s="50" t="inlineStr">
        <is>
          <t>Southern Tier Distilling Company</t>
        </is>
      </c>
      <c r="B251" s="50" t="inlineStr">
        <is>
          <t>Southern Tier Distilling</t>
        </is>
      </c>
      <c r="C251" s="46" t="n">
        <v>175</v>
      </c>
      <c r="D251" s="46" t="n">
        <v>161</v>
      </c>
      <c r="E251" s="48" t="n">
        <v>10726</v>
      </c>
      <c r="F251" s="48" t="n">
        <v>10579.34</v>
      </c>
      <c r="G251" s="48" t="n">
        <v>4459.07</v>
      </c>
      <c r="H251" s="48" t="n">
        <v>4397.72</v>
      </c>
    </row>
    <row r="252">
      <c r="A252" s="50" t="inlineStr">
        <is>
          <t>Southern Tier Distilling Company</t>
        </is>
      </c>
      <c r="B252" s="50" t="inlineStr">
        <is>
          <t>Victory House Pour Vodka</t>
        </is>
      </c>
      <c r="C252" s="46" t="n">
        <v>0</v>
      </c>
      <c r="D252" s="46" t="n">
        <v>11</v>
      </c>
      <c r="E252" s="48" t="n">
        <v>0</v>
      </c>
      <c r="F252" s="48" t="n">
        <v>633</v>
      </c>
      <c r="G252" s="48" t="n">
        <v>0</v>
      </c>
      <c r="H252" s="48" t="n">
        <v>284.41</v>
      </c>
    </row>
    <row r="253">
      <c r="A253" s="50" t="inlineStr">
        <is>
          <t>Stone Brewing</t>
        </is>
      </c>
      <c r="B253" s="50" t="inlineStr">
        <is>
          <t>Stone Brewing</t>
        </is>
      </c>
      <c r="C253" s="46" t="n">
        <v>4839</v>
      </c>
      <c r="D253" s="46" t="n">
        <v>3941</v>
      </c>
      <c r="E253" s="48" t="n">
        <v>151107.05</v>
      </c>
      <c r="F253" s="48" t="n">
        <v>119974.5</v>
      </c>
      <c r="G253" s="48" t="n">
        <v>41359.13999999999</v>
      </c>
      <c r="H253" s="48" t="n">
        <v>33143.37</v>
      </c>
    </row>
    <row r="254">
      <c r="A254" s="50" t="inlineStr">
        <is>
          <t>Stone Brewing</t>
        </is>
      </c>
      <c r="B254" s="50" t="inlineStr">
        <is>
          <t>Stone Premium &amp; Smooth Beer Co</t>
        </is>
      </c>
      <c r="C254" s="46" t="n">
        <v>523</v>
      </c>
      <c r="D254" s="46" t="n">
        <v>572</v>
      </c>
      <c r="E254" s="48" t="n">
        <v>12986</v>
      </c>
      <c r="F254" s="48" t="n">
        <v>14040</v>
      </c>
      <c r="G254" s="48" t="n">
        <v>3538.5</v>
      </c>
      <c r="H254" s="48" t="n">
        <v>3813</v>
      </c>
    </row>
    <row r="255">
      <c r="A255" s="50" t="inlineStr">
        <is>
          <t>Surface Brands</t>
        </is>
      </c>
      <c r="B255" s="50" t="inlineStr">
        <is>
          <t>La Bodega</t>
        </is>
      </c>
      <c r="C255" s="46" t="n">
        <v>0</v>
      </c>
      <c r="D255" s="46" t="n">
        <v>1</v>
      </c>
      <c r="E255" s="48" t="n">
        <v>0</v>
      </c>
      <c r="F255" s="48" t="n">
        <v>220</v>
      </c>
      <c r="G255" s="48" t="n">
        <v>0</v>
      </c>
      <c r="H255" s="48" t="n">
        <v>43.57</v>
      </c>
    </row>
    <row r="256">
      <c r="A256" s="50" t="inlineStr">
        <is>
          <t>Surface Brands</t>
        </is>
      </c>
      <c r="B256" s="50" t="inlineStr">
        <is>
          <t>Poggio Torselli</t>
        </is>
      </c>
      <c r="C256" s="46" t="n">
        <v>0</v>
      </c>
      <c r="D256" s="46" t="n">
        <v>8</v>
      </c>
      <c r="E256" s="48" t="n">
        <v>0</v>
      </c>
      <c r="F256" s="48" t="n">
        <v>1035</v>
      </c>
      <c r="G256" s="48" t="n">
        <v>0</v>
      </c>
      <c r="H256" s="48" t="n">
        <v>557.4</v>
      </c>
    </row>
    <row r="257">
      <c r="A257" s="50" t="inlineStr">
        <is>
          <t>Talkhouse Encore</t>
        </is>
      </c>
      <c r="B257" s="50" t="inlineStr">
        <is>
          <t>Talkhouse Encore</t>
        </is>
      </c>
      <c r="C257" s="46" t="n">
        <v>541</v>
      </c>
      <c r="D257" s="46" t="n">
        <v>657</v>
      </c>
      <c r="E257" s="48" t="n">
        <v>29643</v>
      </c>
      <c r="F257" s="48" t="n">
        <v>36035</v>
      </c>
      <c r="G257" s="48" t="n">
        <v>12331</v>
      </c>
      <c r="H257" s="48" t="n">
        <v>15011</v>
      </c>
    </row>
    <row r="258">
      <c r="A258" s="50" t="inlineStr">
        <is>
          <t>The Old G LLC</t>
        </is>
      </c>
      <c r="B258" s="50" t="inlineStr">
        <is>
          <t>The Old G</t>
        </is>
      </c>
      <c r="C258" s="46" t="n">
        <v>1</v>
      </c>
      <c r="D258" s="46" t="n">
        <v>0</v>
      </c>
      <c r="E258" s="48" t="n">
        <v>186</v>
      </c>
      <c r="F258" s="48" t="n">
        <v>0</v>
      </c>
      <c r="G258" s="48" t="n">
        <v>68.45999999999999</v>
      </c>
      <c r="H258" s="48" t="n">
        <v>0</v>
      </c>
    </row>
    <row r="259">
      <c r="A259" s="50" t="inlineStr">
        <is>
          <t>Tilray Alternative Beverage</t>
        </is>
      </c>
      <c r="B259" s="50" t="inlineStr">
        <is>
          <t>Fizzy Jane</t>
        </is>
      </c>
      <c r="C259" s="46" t="n">
        <v>133</v>
      </c>
      <c r="D259" s="46" t="n">
        <v>54</v>
      </c>
      <c r="E259" s="48" t="n">
        <v>8749</v>
      </c>
      <c r="F259" s="48" t="n">
        <v>4286</v>
      </c>
      <c r="G259" s="48" t="n">
        <v>2621.47</v>
      </c>
      <c r="H259" s="48" t="n">
        <v>1533.56</v>
      </c>
    </row>
    <row r="260">
      <c r="A260" s="50" t="inlineStr">
        <is>
          <t>Tilray Alternative Beverage</t>
        </is>
      </c>
      <c r="B260" s="50" t="inlineStr">
        <is>
          <t>Happy Flower</t>
        </is>
      </c>
      <c r="C260" s="46" t="n">
        <v>50</v>
      </c>
      <c r="D260" s="46" t="n">
        <v>90</v>
      </c>
      <c r="E260" s="48" t="n">
        <v>3986</v>
      </c>
      <c r="F260" s="48" t="n">
        <v>8180</v>
      </c>
      <c r="G260" s="48" t="n">
        <v>1055.58</v>
      </c>
      <c r="H260" s="48" t="n">
        <v>2923.08</v>
      </c>
    </row>
    <row r="261">
      <c r="A261" s="50" t="inlineStr">
        <is>
          <t>Tilray Alternative Beverage</t>
        </is>
      </c>
      <c r="B261" s="50" t="inlineStr">
        <is>
          <t>Herb &amp; Bloom</t>
        </is>
      </c>
      <c r="C261" s="46" t="n">
        <v>246</v>
      </c>
      <c r="D261" s="46" t="n">
        <v>-17</v>
      </c>
      <c r="E261" s="48" t="n">
        <v>22632</v>
      </c>
      <c r="F261" s="48" t="n">
        <v>-944</v>
      </c>
      <c r="G261" s="48" t="n">
        <v>6571.5</v>
      </c>
      <c r="H261" s="48" t="n">
        <v>130.79</v>
      </c>
    </row>
    <row r="262">
      <c r="A262" s="50" t="inlineStr">
        <is>
          <t>Total Beverage Solutions</t>
        </is>
      </c>
      <c r="B262" s="50" t="inlineStr">
        <is>
          <t>Banks</t>
        </is>
      </c>
      <c r="C262" s="46" t="n">
        <v>152</v>
      </c>
      <c r="D262" s="46" t="n">
        <v>117</v>
      </c>
      <c r="E262" s="48" t="n">
        <v>6235.5</v>
      </c>
      <c r="F262" s="48" t="n">
        <v>4801</v>
      </c>
      <c r="G262" s="48" t="n">
        <v>1725.76</v>
      </c>
      <c r="H262" s="48" t="n">
        <v>1154.11</v>
      </c>
    </row>
    <row r="263">
      <c r="A263" s="50" t="inlineStr">
        <is>
          <t>Total Beverage Solutions</t>
        </is>
      </c>
      <c r="B263" s="50" t="inlineStr">
        <is>
          <t>Carib</t>
        </is>
      </c>
      <c r="C263" s="46" t="n">
        <v>4563</v>
      </c>
      <c r="D263" s="46" t="n">
        <v>4177</v>
      </c>
      <c r="E263" s="48" t="n">
        <v>175177</v>
      </c>
      <c r="F263" s="48" t="n">
        <v>163873.01</v>
      </c>
      <c r="G263" s="48" t="n">
        <v>53376.98999999999</v>
      </c>
      <c r="H263" s="48" t="n">
        <v>49971.96000000001</v>
      </c>
    </row>
    <row r="264">
      <c r="A264" s="50" t="inlineStr">
        <is>
          <t>Total Beverage Solutions</t>
        </is>
      </c>
      <c r="B264" s="50" t="inlineStr">
        <is>
          <t>Mackeson</t>
        </is>
      </c>
      <c r="C264" s="46" t="n">
        <v>167</v>
      </c>
      <c r="D264" s="46" t="n">
        <v>154</v>
      </c>
      <c r="E264" s="48" t="n">
        <v>6494.5</v>
      </c>
      <c r="F264" s="48" t="n">
        <v>6073</v>
      </c>
      <c r="G264" s="48" t="n">
        <v>1790.11</v>
      </c>
      <c r="H264" s="48" t="n">
        <v>1734.82</v>
      </c>
    </row>
    <row r="265">
      <c r="A265" s="50" t="inlineStr">
        <is>
          <t>Total Beverage Solutions</t>
        </is>
      </c>
      <c r="B265" s="50" t="inlineStr">
        <is>
          <t>Magners</t>
        </is>
      </c>
      <c r="C265" s="46" t="n">
        <v>1808</v>
      </c>
      <c r="D265" s="46" t="n">
        <v>2259</v>
      </c>
      <c r="E265" s="48" t="n">
        <v>65426</v>
      </c>
      <c r="F265" s="48" t="n">
        <v>82802.5</v>
      </c>
      <c r="G265" s="48" t="n">
        <v>17075.44</v>
      </c>
      <c r="H265" s="48" t="n">
        <v>19744.8</v>
      </c>
    </row>
    <row r="266">
      <c r="A266" s="50" t="inlineStr">
        <is>
          <t>Total Beverage Solutions</t>
        </is>
      </c>
      <c r="B266" s="50" t="inlineStr">
        <is>
          <t>Rekorderlig</t>
        </is>
      </c>
      <c r="C266" s="46" t="n">
        <v>105</v>
      </c>
      <c r="D266" s="46" t="n">
        <v>104</v>
      </c>
      <c r="E266" s="48" t="n">
        <v>4874</v>
      </c>
      <c r="F266" s="48" t="n">
        <v>5360</v>
      </c>
      <c r="G266" s="48" t="n">
        <v>813.9800000000001</v>
      </c>
      <c r="H266" s="48" t="n">
        <v>1154.9</v>
      </c>
    </row>
    <row r="267">
      <c r="A267" s="50" t="inlineStr">
        <is>
          <t>Total Beverage Solutions</t>
        </is>
      </c>
      <c r="B267" s="50" t="inlineStr">
        <is>
          <t>Shipyard</t>
        </is>
      </c>
      <c r="C267" s="46" t="n">
        <v>935</v>
      </c>
      <c r="D267" s="46" t="n">
        <v>965</v>
      </c>
      <c r="E267" s="48" t="n">
        <v>35279.15</v>
      </c>
      <c r="F267" s="48" t="n">
        <v>38406.5</v>
      </c>
      <c r="G267" s="48" t="n">
        <v>9421.040000000001</v>
      </c>
      <c r="H267" s="48" t="n">
        <v>11411.82</v>
      </c>
    </row>
    <row r="268">
      <c r="A268" s="50" t="inlineStr">
        <is>
          <t>Total Beverage Solutions</t>
        </is>
      </c>
      <c r="B268" s="50" t="inlineStr">
        <is>
          <t>Weihenstephaner</t>
        </is>
      </c>
      <c r="C268" s="46" t="n">
        <v>2477</v>
      </c>
      <c r="D268" s="46" t="n">
        <v>2578</v>
      </c>
      <c r="E268" s="48" t="n">
        <v>105804.75</v>
      </c>
      <c r="F268" s="48" t="n">
        <v>114531</v>
      </c>
      <c r="G268" s="48" t="n">
        <v>30687.07</v>
      </c>
      <c r="H268" s="48" t="n">
        <v>31700.41</v>
      </c>
    </row>
    <row r="269">
      <c r="A269" s="50" t="inlineStr">
        <is>
          <t>Travelers Club</t>
        </is>
      </c>
      <c r="B269" s="50" t="inlineStr">
        <is>
          <t>Travelers Club</t>
        </is>
      </c>
      <c r="C269" s="46" t="n">
        <v>995</v>
      </c>
      <c r="D269" s="46" t="n">
        <v>948</v>
      </c>
      <c r="E269" s="48" t="n">
        <v>49616.78</v>
      </c>
      <c r="F269" s="48" t="n">
        <v>37254.74</v>
      </c>
      <c r="G269" s="48" t="n">
        <v>6105.580000000001</v>
      </c>
      <c r="H269" s="48" t="n">
        <v>-5572.59</v>
      </c>
    </row>
    <row r="270">
      <c r="A270" s="50" t="inlineStr">
        <is>
          <t>Trinity Flavors</t>
        </is>
      </c>
      <c r="B270" s="50" t="inlineStr">
        <is>
          <t>Trinity</t>
        </is>
      </c>
      <c r="C270" s="46" t="n">
        <v>1</v>
      </c>
      <c r="D270" s="46" t="n">
        <v>0</v>
      </c>
      <c r="E270" s="48" t="n">
        <v>70</v>
      </c>
      <c r="F270" s="48" t="n">
        <v>0</v>
      </c>
      <c r="G270" s="48" t="n">
        <v>21.63</v>
      </c>
      <c r="H270" s="48" t="n">
        <v>0</v>
      </c>
    </row>
    <row r="271">
      <c r="A271" s="50" t="inlineStr">
        <is>
          <t>US Beverage</t>
        </is>
      </c>
      <c r="B271" s="50" t="inlineStr">
        <is>
          <t>Birra Moretti</t>
        </is>
      </c>
      <c r="C271" s="46" t="n">
        <v>514</v>
      </c>
      <c r="D271" s="46" t="n">
        <v>676</v>
      </c>
      <c r="E271" s="48" t="n">
        <v>16227</v>
      </c>
      <c r="F271" s="48" t="n">
        <v>21306</v>
      </c>
      <c r="G271" s="48" t="n">
        <v>2913.52</v>
      </c>
      <c r="H271" s="48" t="n">
        <v>3804.36</v>
      </c>
    </row>
    <row r="272">
      <c r="A272" s="50" t="inlineStr">
        <is>
          <t>US Beverage</t>
        </is>
      </c>
      <c r="B272" s="50" t="inlineStr">
        <is>
          <t>Daura</t>
        </is>
      </c>
      <c r="C272" s="46" t="n">
        <v>532</v>
      </c>
      <c r="D272" s="46" t="n">
        <v>589</v>
      </c>
      <c r="E272" s="48" t="n">
        <v>19061</v>
      </c>
      <c r="F272" s="48" t="n">
        <v>21111.6</v>
      </c>
      <c r="G272" s="48" t="n">
        <v>5319.919999999999</v>
      </c>
      <c r="H272" s="48" t="n">
        <v>5920.37</v>
      </c>
    </row>
    <row r="273">
      <c r="A273" s="50" t="inlineStr">
        <is>
          <t>US Beverage</t>
        </is>
      </c>
      <c r="B273" s="50" t="inlineStr">
        <is>
          <t>Dragon Stout</t>
        </is>
      </c>
      <c r="C273" s="46" t="n">
        <v>2560</v>
      </c>
      <c r="D273" s="46" t="n">
        <v>2359</v>
      </c>
      <c r="E273" s="48" t="n">
        <v>101179.92</v>
      </c>
      <c r="F273" s="48" t="n">
        <v>92857.72</v>
      </c>
      <c r="G273" s="48" t="n">
        <v>23631.11000000001</v>
      </c>
      <c r="H273" s="48" t="n">
        <v>21418.62999999999</v>
      </c>
    </row>
    <row r="274">
      <c r="A274" s="50" t="inlineStr">
        <is>
          <t>US Beverage</t>
        </is>
      </c>
      <c r="B274" s="50" t="inlineStr">
        <is>
          <t>Estrella</t>
        </is>
      </c>
      <c r="C274" s="46" t="n">
        <v>607</v>
      </c>
      <c r="D274" s="46" t="n">
        <v>392</v>
      </c>
      <c r="E274" s="48" t="n">
        <v>20667.5</v>
      </c>
      <c r="F274" s="48" t="n">
        <v>12508.1</v>
      </c>
      <c r="G274" s="48" t="n">
        <v>5267.509999999999</v>
      </c>
      <c r="H274" s="48" t="n">
        <v>2945.190000000001</v>
      </c>
    </row>
    <row r="275">
      <c r="A275" s="50" t="inlineStr">
        <is>
          <t>US Beverage</t>
        </is>
      </c>
      <c r="B275" s="50" t="inlineStr">
        <is>
          <t>Innis &amp; Gunn</t>
        </is>
      </c>
      <c r="C275" s="46" t="n">
        <v>156</v>
      </c>
      <c r="D275" s="46" t="n">
        <v>164</v>
      </c>
      <c r="E275" s="48" t="n">
        <v>6336</v>
      </c>
      <c r="F275" s="48" t="n">
        <v>6699.4</v>
      </c>
      <c r="G275" s="48" t="n">
        <v>1661.2</v>
      </c>
      <c r="H275" s="48" t="n">
        <v>1742.5</v>
      </c>
    </row>
    <row r="276">
      <c r="A276" s="50" t="inlineStr">
        <is>
          <t>US Beverage</t>
        </is>
      </c>
      <c r="B276" s="50" t="inlineStr">
        <is>
          <t>Krusovice</t>
        </is>
      </c>
      <c r="C276" s="46" t="n">
        <v>318</v>
      </c>
      <c r="D276" s="46" t="n">
        <v>0</v>
      </c>
      <c r="E276" s="48" t="n">
        <v>8111</v>
      </c>
      <c r="F276" s="48" t="n">
        <v>0</v>
      </c>
      <c r="G276" s="48" t="n">
        <v>1792.86</v>
      </c>
      <c r="H276" s="48" t="n">
        <v>0</v>
      </c>
    </row>
    <row r="277">
      <c r="A277" s="50" t="inlineStr">
        <is>
          <t>US Beverage</t>
        </is>
      </c>
      <c r="B277" s="50" t="inlineStr">
        <is>
          <t>Malibu Splash</t>
        </is>
      </c>
      <c r="C277" s="46" t="n">
        <v>1201</v>
      </c>
      <c r="D277" s="46" t="n">
        <v>0</v>
      </c>
      <c r="E277" s="48" t="n">
        <v>49421</v>
      </c>
      <c r="F277" s="48" t="n">
        <v>0</v>
      </c>
      <c r="G277" s="48" t="n">
        <v>10720</v>
      </c>
      <c r="H277" s="48" t="n">
        <v>0</v>
      </c>
    </row>
    <row r="278">
      <c r="A278" s="50" t="inlineStr">
        <is>
          <t>US Beverage</t>
        </is>
      </c>
      <c r="B278" s="50" t="inlineStr">
        <is>
          <t>Moosehead</t>
        </is>
      </c>
      <c r="C278" s="46" t="n">
        <v>656</v>
      </c>
      <c r="D278" s="46" t="n">
        <v>459</v>
      </c>
      <c r="E278" s="48" t="n">
        <v>15953.5</v>
      </c>
      <c r="F278" s="48" t="n">
        <v>11263.6</v>
      </c>
      <c r="G278" s="48" t="n">
        <v>3968.98</v>
      </c>
      <c r="H278" s="48" t="n">
        <v>3045.76</v>
      </c>
    </row>
    <row r="279">
      <c r="A279" s="50" t="inlineStr">
        <is>
          <t>US Beverage</t>
        </is>
      </c>
      <c r="B279" s="50" t="inlineStr">
        <is>
          <t>Sagres Cerveja</t>
        </is>
      </c>
      <c r="C279" s="46" t="n">
        <v>28</v>
      </c>
      <c r="D279" s="46" t="n">
        <v>84</v>
      </c>
      <c r="E279" s="48" t="n">
        <v>941</v>
      </c>
      <c r="F279" s="48" t="n">
        <v>2776.2</v>
      </c>
      <c r="G279" s="48" t="n">
        <v>279.4299999999999</v>
      </c>
      <c r="H279" s="48" t="n">
        <v>813.55</v>
      </c>
    </row>
    <row r="280">
      <c r="A280" s="50" t="inlineStr">
        <is>
          <t>US Beverage</t>
        </is>
      </c>
      <c r="B280" s="50" t="inlineStr">
        <is>
          <t>Sammy's Beach Bum</t>
        </is>
      </c>
      <c r="C280" s="46" t="n">
        <v>0</v>
      </c>
      <c r="D280" s="46" t="n">
        <v>12</v>
      </c>
      <c r="E280" s="48" t="n">
        <v>0</v>
      </c>
      <c r="F280" s="48" t="n">
        <v>2652</v>
      </c>
      <c r="G280" s="48" t="n">
        <v>0</v>
      </c>
      <c r="H280" s="48" t="n">
        <v>702.64</v>
      </c>
    </row>
    <row r="281">
      <c r="A281" s="50" t="inlineStr">
        <is>
          <t>US Beverage</t>
        </is>
      </c>
      <c r="B281" s="50" t="inlineStr">
        <is>
          <t>Tagus</t>
        </is>
      </c>
      <c r="C281" s="46" t="n">
        <v>23</v>
      </c>
      <c r="D281" s="46" t="n">
        <v>19</v>
      </c>
      <c r="E281" s="48" t="n">
        <v>684</v>
      </c>
      <c r="F281" s="48" t="n">
        <v>530.0999999999999</v>
      </c>
      <c r="G281" s="48" t="n">
        <v>204.64</v>
      </c>
      <c r="H281" s="48" t="n">
        <v>135.05</v>
      </c>
    </row>
    <row r="282">
      <c r="A282" s="50" t="inlineStr">
        <is>
          <t>Unibroue</t>
        </is>
      </c>
      <c r="B282" s="50" t="inlineStr">
        <is>
          <t>Unibroue</t>
        </is>
      </c>
      <c r="C282" s="46" t="n">
        <v>89</v>
      </c>
      <c r="D282" s="46" t="n">
        <v>82</v>
      </c>
      <c r="E282" s="48" t="n">
        <v>4512</v>
      </c>
      <c r="F282" s="48" t="n">
        <v>4130</v>
      </c>
      <c r="G282" s="48" t="n">
        <v>1546.86</v>
      </c>
      <c r="H282" s="48" t="n">
        <v>1333.38</v>
      </c>
    </row>
    <row r="283">
      <c r="A283" s="50" t="inlineStr">
        <is>
          <t>Vermont Hard Cider</t>
        </is>
      </c>
      <c r="B283" s="50" t="inlineStr">
        <is>
          <t>Day Chaser</t>
        </is>
      </c>
      <c r="C283" s="46" t="n">
        <v>0</v>
      </c>
      <c r="D283" s="46" t="n">
        <v>0</v>
      </c>
      <c r="E283" s="48" t="n">
        <v>0</v>
      </c>
      <c r="F283" s="48" t="n">
        <v>0</v>
      </c>
      <c r="G283" s="48" t="n">
        <v>0</v>
      </c>
      <c r="H283" s="48" t="n">
        <v>0</v>
      </c>
    </row>
    <row r="284">
      <c r="A284" s="50" t="inlineStr">
        <is>
          <t>Vermont Hard Cider</t>
        </is>
      </c>
      <c r="B284" s="50" t="inlineStr">
        <is>
          <t>Woodchuck</t>
        </is>
      </c>
      <c r="C284" s="46" t="n">
        <v>936</v>
      </c>
      <c r="D284" s="46" t="n">
        <v>772</v>
      </c>
      <c r="E284" s="48" t="n">
        <v>30747.5</v>
      </c>
      <c r="F284" s="48" t="n">
        <v>25176</v>
      </c>
      <c r="G284" s="48" t="n">
        <v>6576.619999999999</v>
      </c>
      <c r="H284" s="48" t="n">
        <v>5565.609999999999</v>
      </c>
    </row>
    <row r="285">
      <c r="A285" s="50" t="inlineStr">
        <is>
          <t>Vermont Hard Cider</t>
        </is>
      </c>
      <c r="B285" s="50" t="inlineStr">
        <is>
          <t>Wyder's</t>
        </is>
      </c>
      <c r="C285" s="46" t="n">
        <v>21</v>
      </c>
      <c r="D285" s="46" t="n">
        <v>28</v>
      </c>
      <c r="E285" s="48" t="n">
        <v>590</v>
      </c>
      <c r="F285" s="48" t="n">
        <v>820</v>
      </c>
      <c r="G285" s="48" t="n">
        <v>159.87</v>
      </c>
      <c r="H285" s="48" t="n">
        <v>209.05</v>
      </c>
    </row>
    <row r="286">
      <c r="A286" s="50" t="inlineStr">
        <is>
          <t>Victory Brewing Company</t>
        </is>
      </c>
      <c r="B286" s="50" t="inlineStr">
        <is>
          <t>Monkey Family</t>
        </is>
      </c>
      <c r="C286" s="46" t="n">
        <v>4520</v>
      </c>
      <c r="D286" s="46" t="n">
        <v>3926</v>
      </c>
      <c r="E286" s="48" t="n">
        <v>157925.5</v>
      </c>
      <c r="F286" s="48" t="n">
        <v>136280.78</v>
      </c>
      <c r="G286" s="48" t="n">
        <v>42875.15</v>
      </c>
      <c r="H286" s="48" t="n">
        <v>36765.79</v>
      </c>
    </row>
    <row r="287">
      <c r="A287" s="50" t="inlineStr">
        <is>
          <t>Victory Brewing Company</t>
        </is>
      </c>
      <c r="B287" s="50" t="inlineStr">
        <is>
          <t>Victory</t>
        </is>
      </c>
      <c r="C287" s="46" t="n">
        <v>1447</v>
      </c>
      <c r="D287" s="46" t="n">
        <v>1221</v>
      </c>
      <c r="E287" s="48" t="n">
        <v>43729.5</v>
      </c>
      <c r="F287" s="48" t="n">
        <v>37194</v>
      </c>
      <c r="G287" s="48" t="n">
        <v>10477.5</v>
      </c>
      <c r="H287" s="48" t="n">
        <v>8962.76</v>
      </c>
    </row>
    <row r="288">
      <c r="A288" s="50" t="inlineStr">
        <is>
          <t>Vinaio Imports LTD</t>
        </is>
      </c>
      <c r="B288" s="50" t="inlineStr">
        <is>
          <t>Carinoso</t>
        </is>
      </c>
      <c r="C288" s="46" t="n">
        <v>0</v>
      </c>
      <c r="D288" s="46" t="n">
        <v>1</v>
      </c>
      <c r="E288" s="48" t="n">
        <v>0</v>
      </c>
      <c r="F288" s="48" t="n">
        <v>90</v>
      </c>
      <c r="G288" s="48" t="n">
        <v>0</v>
      </c>
      <c r="H288" s="48" t="n">
        <v>28.92</v>
      </c>
    </row>
    <row r="289">
      <c r="A289" s="50" t="inlineStr">
        <is>
          <t>Vinaio Imports LTD</t>
        </is>
      </c>
      <c r="B289" s="50" t="inlineStr">
        <is>
          <t>Cerveza Republica LA Tuya</t>
        </is>
      </c>
      <c r="C289" s="46" t="n">
        <v>509</v>
      </c>
      <c r="D289" s="46" t="n">
        <v>-2</v>
      </c>
      <c r="E289" s="48" t="n">
        <v>14980</v>
      </c>
      <c r="F289" s="48" t="n">
        <v>-64</v>
      </c>
      <c r="G289" s="48" t="n">
        <v>4005.800000000001</v>
      </c>
      <c r="H289" s="48" t="n">
        <v>-21.9</v>
      </c>
    </row>
    <row r="290">
      <c r="A290" s="50" t="inlineStr">
        <is>
          <t>Vinaio Imports LTD</t>
        </is>
      </c>
      <c r="B290" s="50" t="inlineStr">
        <is>
          <t>Cerveza Republica La Tuya 5.0 La Dura</t>
        </is>
      </c>
      <c r="C290" s="46" t="n">
        <v>964</v>
      </c>
      <c r="D290" s="46" t="n">
        <v>1495</v>
      </c>
      <c r="E290" s="48" t="n">
        <v>26292</v>
      </c>
      <c r="F290" s="48" t="n">
        <v>47906</v>
      </c>
      <c r="G290" s="48" t="n">
        <v>7347.27</v>
      </c>
      <c r="H290" s="48" t="n">
        <v>15350.06</v>
      </c>
    </row>
    <row r="291">
      <c r="A291" s="50" t="inlineStr">
        <is>
          <t>Viva Beverages Inc</t>
        </is>
      </c>
      <c r="B291" s="50" t="inlineStr">
        <is>
          <t>Viva Tequila Seltzer</t>
        </is>
      </c>
      <c r="C291" s="46" t="n">
        <v>0</v>
      </c>
      <c r="D291" s="46" t="n">
        <v>638</v>
      </c>
      <c r="E291" s="48" t="n">
        <v>0</v>
      </c>
      <c r="F291" s="48" t="n">
        <v>34486.65</v>
      </c>
      <c r="G291" s="48" t="n">
        <v>0</v>
      </c>
      <c r="H291" s="48" t="n">
        <v>13606.95</v>
      </c>
    </row>
    <row r="292">
      <c r="A292" s="50" t="inlineStr">
        <is>
          <t>Warwick Valley</t>
        </is>
      </c>
      <c r="B292" s="50" t="inlineStr">
        <is>
          <t>Doc's</t>
        </is>
      </c>
      <c r="C292" s="46" t="n">
        <v>3490</v>
      </c>
      <c r="D292" s="46" t="n">
        <v>3320</v>
      </c>
      <c r="E292" s="48" t="n">
        <v>135235.5</v>
      </c>
      <c r="F292" s="48" t="n">
        <v>127837</v>
      </c>
      <c r="G292" s="48" t="n">
        <v>37784.86</v>
      </c>
      <c r="H292" s="48" t="n">
        <v>35657.18</v>
      </c>
    </row>
    <row r="293">
      <c r="A293" s="50" t="inlineStr">
        <is>
          <t>Warwick Valley</t>
        </is>
      </c>
      <c r="B293" s="50" t="inlineStr">
        <is>
          <t>Gin Pig</t>
        </is>
      </c>
      <c r="C293" s="46" t="n">
        <v>2</v>
      </c>
      <c r="D293" s="46" t="n">
        <v>1</v>
      </c>
      <c r="E293" s="48" t="n">
        <v>300</v>
      </c>
      <c r="F293" s="48" t="n">
        <v>300</v>
      </c>
      <c r="G293" s="48" t="n">
        <v>94.92</v>
      </c>
      <c r="H293" s="48" t="n">
        <v>94.92</v>
      </c>
    </row>
    <row r="294">
      <c r="A294" s="50" t="inlineStr">
        <is>
          <t>Warwick Valley</t>
        </is>
      </c>
      <c r="B294" s="50" t="inlineStr">
        <is>
          <t>Warwick Gin</t>
        </is>
      </c>
      <c r="C294" s="46" t="n">
        <v>1</v>
      </c>
      <c r="D294" s="46" t="n">
        <v>9</v>
      </c>
      <c r="E294" s="48" t="n">
        <v>138</v>
      </c>
      <c r="F294" s="48" t="n">
        <v>2100</v>
      </c>
      <c r="G294" s="48" t="n">
        <v>41.46</v>
      </c>
      <c r="H294" s="48" t="n">
        <v>555.39</v>
      </c>
    </row>
    <row r="295">
      <c r="A295" s="50" t="inlineStr">
        <is>
          <t>Waterloo Gin</t>
        </is>
      </c>
      <c r="B295" s="50" t="inlineStr">
        <is>
          <t>Waterloo Gin</t>
        </is>
      </c>
      <c r="C295" s="46" t="n">
        <v>7</v>
      </c>
      <c r="D295" s="46" t="n">
        <v>0</v>
      </c>
      <c r="E295" s="48" t="n">
        <v>2618</v>
      </c>
      <c r="F295" s="48" t="n">
        <v>0</v>
      </c>
      <c r="G295" s="48" t="n">
        <v>672.0699999999999</v>
      </c>
      <c r="H295" s="48" t="n">
        <v>0</v>
      </c>
    </row>
    <row r="296">
      <c r="A296" s="50" t="inlineStr">
        <is>
          <t>XYZ Beverage</t>
        </is>
      </c>
      <c r="B296" s="50" t="inlineStr">
        <is>
          <t>Press</t>
        </is>
      </c>
      <c r="C296" s="46" t="n">
        <v>125</v>
      </c>
      <c r="D296" s="46" t="n">
        <v>0</v>
      </c>
      <c r="E296" s="48" t="n">
        <v>3141</v>
      </c>
      <c r="F296" s="48" t="n">
        <v>0</v>
      </c>
      <c r="G296" s="48" t="n">
        <v>232.25</v>
      </c>
      <c r="H296" s="48" t="n">
        <v>0</v>
      </c>
    </row>
    <row r="298">
      <c r="A298" s="2" t="inlineStr">
        <is>
          <t>Blue = values exactly as exported from RDE. Reps excluded to match the live dashboard and the payout recap: Default, Office Tell Sell, Chris Politano.</t>
        </is>
      </c>
    </row>
    <row r="299">
      <c r="A299" s="2" t="inlineStr">
        <is>
          <t>Replace this tab with a fresh export of the same shape and every analysis tab recalculates.</t>
        </is>
      </c>
    </row>
    <row r="300">
      <c r="A300" s="2" t="inlineStr">
        <is>
          <t>This tab is the export summed to supplier × brand — the grain every analysis tab reads it at. The full rep-level export is the source CSV named above.</t>
        </is>
      </c>
    </row>
  </sheetData>
  <autoFilter ref="A4:H29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2026-09-11T17:54:50Z</dcterms:created>
  <dcterms:modified xsi:type="dcterms:W3CDTF">2026-09-11T17:54:51Z</dcterms:modified>
</cp:coreProperties>
</file>